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45" windowWidth="20370" windowHeight="8685"/>
  </bookViews>
  <sheets>
    <sheet name="Summary" sheetId="3" r:id="rId1"/>
    <sheet name="Test Case" sheetId="4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K24" i="4" l="1"/>
  <c r="J24" i="4"/>
  <c r="I24" i="4"/>
  <c r="H24" i="4"/>
  <c r="G24" i="4"/>
  <c r="K23" i="4"/>
  <c r="J23" i="4"/>
  <c r="I23" i="4"/>
  <c r="H23" i="4"/>
  <c r="G23" i="4"/>
  <c r="K22" i="4"/>
  <c r="J22" i="4"/>
  <c r="I22" i="4"/>
  <c r="H22" i="4"/>
  <c r="G22" i="4"/>
  <c r="K21" i="4"/>
  <c r="J21" i="4"/>
  <c r="I21" i="4"/>
  <c r="H21" i="4"/>
  <c r="G21" i="4"/>
  <c r="K20" i="4"/>
  <c r="J20" i="4"/>
  <c r="I20" i="4"/>
  <c r="H20" i="4"/>
  <c r="G20" i="4"/>
  <c r="K19" i="4"/>
  <c r="J19" i="4"/>
  <c r="I19" i="4"/>
  <c r="H19" i="4"/>
  <c r="G19" i="4"/>
  <c r="K18" i="4"/>
  <c r="J18" i="4"/>
  <c r="I18" i="4"/>
  <c r="H18" i="4"/>
  <c r="G18" i="4"/>
  <c r="K17" i="4"/>
  <c r="J17" i="4"/>
  <c r="I17" i="4"/>
  <c r="H17" i="4"/>
  <c r="G17" i="4"/>
  <c r="K16" i="4"/>
  <c r="J16" i="4"/>
  <c r="I16" i="4"/>
  <c r="H16" i="4"/>
  <c r="G16" i="4"/>
  <c r="K15" i="4"/>
  <c r="J15" i="4"/>
  <c r="I15" i="4"/>
  <c r="H15" i="4"/>
  <c r="G15" i="4"/>
  <c r="K14" i="4"/>
  <c r="J14" i="4"/>
  <c r="I14" i="4"/>
  <c r="H14" i="4"/>
  <c r="G14" i="4"/>
  <c r="K13" i="4"/>
  <c r="J13" i="4"/>
  <c r="I13" i="4"/>
  <c r="H13" i="4"/>
  <c r="G13" i="4"/>
  <c r="K12" i="4"/>
  <c r="J12" i="4"/>
  <c r="I12" i="4"/>
  <c r="H12" i="4"/>
  <c r="G12" i="4"/>
  <c r="K11" i="4"/>
  <c r="J11" i="4"/>
  <c r="I11" i="4"/>
  <c r="H11" i="4"/>
  <c r="G11" i="4"/>
  <c r="K10" i="4"/>
  <c r="J10" i="4"/>
  <c r="I10" i="4"/>
  <c r="H10" i="4"/>
  <c r="G10" i="4"/>
  <c r="K9" i="4"/>
  <c r="J9" i="4"/>
  <c r="I9" i="4"/>
  <c r="H9" i="4"/>
  <c r="G9" i="4"/>
  <c r="K8" i="4"/>
  <c r="J8" i="4"/>
  <c r="I8" i="4"/>
  <c r="H8" i="4"/>
  <c r="G8" i="4"/>
  <c r="K7" i="4"/>
  <c r="J7" i="4"/>
  <c r="I7" i="4"/>
  <c r="H7" i="4"/>
  <c r="G7" i="4"/>
  <c r="K6" i="4"/>
  <c r="J6" i="4"/>
  <c r="I6" i="4"/>
  <c r="H6" i="4"/>
  <c r="G6" i="4"/>
  <c r="K5" i="4"/>
  <c r="J5" i="4"/>
  <c r="I5" i="4"/>
  <c r="H5" i="4"/>
  <c r="G5" i="4"/>
  <c r="K4" i="4"/>
  <c r="J4" i="4"/>
  <c r="I4" i="4"/>
  <c r="H4" i="4"/>
  <c r="G4" i="4"/>
  <c r="K3" i="4"/>
  <c r="J3" i="4"/>
  <c r="I3" i="4"/>
  <c r="H3" i="4"/>
  <c r="G3" i="4"/>
  <c r="A3" i="4"/>
  <c r="A4" i="4" s="1"/>
  <c r="A5" i="4" s="1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K2" i="4"/>
  <c r="J2" i="4"/>
  <c r="I2" i="4"/>
  <c r="H2" i="4"/>
  <c r="G2" i="4"/>
  <c r="J25" i="4" l="1"/>
  <c r="F3" i="3" s="1"/>
  <c r="G25" i="4"/>
  <c r="C3" i="3" s="1"/>
  <c r="K25" i="4"/>
  <c r="G3" i="3" s="1"/>
  <c r="H25" i="4"/>
  <c r="D3" i="3" s="1"/>
  <c r="I25" i="4"/>
  <c r="E3" i="3" s="1"/>
  <c r="H3" i="3" l="1"/>
</calcChain>
</file>

<file path=xl/sharedStrings.xml><?xml version="1.0" encoding="utf-8"?>
<sst xmlns="http://schemas.openxmlformats.org/spreadsheetml/2006/main" count="82" uniqueCount="54">
  <si>
    <t>Correct Y / N</t>
  </si>
  <si>
    <t>Test Case</t>
  </si>
  <si>
    <t>Expected Results</t>
  </si>
  <si>
    <t>Bug  ID</t>
  </si>
  <si>
    <t>Notes</t>
  </si>
  <si>
    <t>Pass</t>
  </si>
  <si>
    <t>Fail</t>
  </si>
  <si>
    <t>N/A</t>
  </si>
  <si>
    <t>Not Now</t>
  </si>
  <si>
    <t>Main Test Case</t>
  </si>
  <si>
    <t>To be Tested</t>
  </si>
  <si>
    <t>TOTAL</t>
  </si>
  <si>
    <t>Input data / Action / Field Name</t>
  </si>
  <si>
    <t>Receive Section B, CDA Report(s) and Audit reports from Admin Dept</t>
  </si>
  <si>
    <t>All information needed for migration is complete</t>
  </si>
  <si>
    <t>Create client on Inv Admin and link relevant funds</t>
  </si>
  <si>
    <t>All info captured is saved and funds are linked to client</t>
  </si>
  <si>
    <t>Enter PSNID and retrieve client record and select relevant fund for migration transaction</t>
  </si>
  <si>
    <t>Client record displayed on screen and selected fund is highlighted</t>
  </si>
  <si>
    <t>Click on unit transactions / Investment / Special investment</t>
  </si>
  <si>
    <t>User directed to Special Investment screen</t>
  </si>
  <si>
    <t>Click on radio button for Reserved Units</t>
  </si>
  <si>
    <t>Fields to be completed appears on screen</t>
  </si>
  <si>
    <t>Amount invested</t>
  </si>
  <si>
    <t>Enter amount as provided on Section B</t>
  </si>
  <si>
    <t>Price Date</t>
  </si>
  <si>
    <t>Enter relevant price date (will always be the last working day of a month for migrations)</t>
  </si>
  <si>
    <t>Units required</t>
  </si>
  <si>
    <t>Enter units as provided on Section B (will always be equal to amount invested for smoothed bonus funds)</t>
  </si>
  <si>
    <t>Transaction Type</t>
  </si>
  <si>
    <t>Select Old Money from dropdown</t>
  </si>
  <si>
    <t>Source</t>
  </si>
  <si>
    <t>Select Migrate PEN or Migrate Wizard from dropdown</t>
  </si>
  <si>
    <t>Charges</t>
  </si>
  <si>
    <t>Defaults to zero</t>
  </si>
  <si>
    <t xml:space="preserve">Commission </t>
  </si>
  <si>
    <t>CBA Opening Balance</t>
  </si>
  <si>
    <t>Only applicable to Stable Bonus.  Enter amount as provided on Section B.  This field should not be visible for any other fund selected</t>
  </si>
  <si>
    <t>Advice Note</t>
  </si>
  <si>
    <t>Always select NO for migrations</t>
  </si>
  <si>
    <t>Ignore all furhter fields and click submit</t>
  </si>
  <si>
    <t>User should get an error message if Stable Bonus fund was selected and CBA amount was not entered</t>
  </si>
  <si>
    <t>User should get an error message if smoothed bonus fund was selected and amount invested and units required are not equal to eachother</t>
  </si>
  <si>
    <t>User should get an error message if price date is not on a working day</t>
  </si>
  <si>
    <t>A verification pop-up should appear if amount invested is more than R5 000000.  User can click OK or Cancel</t>
  </si>
  <si>
    <t>Cancel</t>
  </si>
  <si>
    <t>User directed back to Special Investment page</t>
  </si>
  <si>
    <t>OK</t>
  </si>
  <si>
    <t>A pop-up should appear to prompt user to check that the migrated value includes the CBA amount (only in the case of Stable Bonus), else</t>
  </si>
  <si>
    <t>Transaction is processed and value is displayed in applicable fund</t>
  </si>
  <si>
    <t>Repeat all the above steps for any further funds for this client</t>
  </si>
  <si>
    <t>Transactions are processed and values are displayed in applicable funds</t>
  </si>
  <si>
    <t>Audit certificates</t>
  </si>
  <si>
    <t>User must receive audit certificates via email (pdf attachment) for each amount migrated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</si>
</sst>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"/>
  </numFmts>
  <fonts count="5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E0E0E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wrapText="1"/>
    </xf>
    <xf numFmtId="0" fontId="3" fillId="0" borderId="1" xfId="0" applyFont="1" applyBorder="1" applyAlignment="1">
      <alignment wrapText="1"/>
    </xf>
    <xf numFmtId="0" fontId="0" fillId="3" borderId="0" xfId="0" applyFill="1"/>
    <xf numFmtId="164" fontId="0" fillId="0" borderId="0" xfId="0" applyNumberFormat="1" applyAlignment="1">
      <alignment wrapText="1"/>
    </xf>
    <xf numFmtId="164" fontId="1" fillId="3" borderId="2" xfId="0" applyNumberFormat="1" applyFont="1" applyFill="1" applyBorder="1" applyAlignment="1">
      <alignment vertical="center" wrapText="1"/>
    </xf>
    <xf numFmtId="0" fontId="1" fillId="3" borderId="2" xfId="0" applyFont="1" applyFill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0" fillId="0" borderId="2" xfId="0" applyBorder="1" applyAlignment="1">
      <alignment wrapText="1"/>
    </xf>
    <xf numFmtId="0" fontId="1" fillId="3" borderId="2" xfId="0" applyFont="1" applyFill="1" applyBorder="1" applyAlignment="1">
      <alignment horizontal="left" vertical="center" wrapText="1"/>
    </xf>
    <xf numFmtId="164" fontId="2" fillId="2" borderId="2" xfId="0" applyNumberFormat="1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2" xfId="0" applyFont="1" applyFill="1" applyBorder="1" applyAlignment="1">
      <alignment horizont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wrapText="1"/>
    </xf>
  </cellXfs>
  <cellStyles count="1">
    <cellStyle name="Normal" xfId="0" builtinId="0"/>
  </cellStyles>
  <dxfs count="2">
    <dxf>
      <font>
        <color rgb="FFFF0000"/>
      </font>
      <fill>
        <patternFill>
          <bgColor theme="9" tint="0.59996337778862885"/>
        </patternFill>
      </fill>
    </dxf>
    <dxf>
      <font>
        <color rgb="FFFF0000"/>
      </font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</xdr:row>
          <xdr:rowOff>57150</xdr:rowOff>
        </xdr:from>
        <xdr:to>
          <xdr:col>0</xdr:col>
          <xdr:colOff>581025</xdr:colOff>
          <xdr:row>8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581025</xdr:colOff>
          <xdr:row>2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28575</xdr:rowOff>
        </xdr:from>
        <xdr:to>
          <xdr:col>1</xdr:col>
          <xdr:colOff>238125</xdr:colOff>
          <xdr:row>0</xdr:row>
          <xdr:rowOff>180975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Migr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Test Case"/>
      <sheetName val="Migration"/>
    </sheetNames>
    <definedNames>
      <definedName name="Button5_Click"/>
    </definedNames>
    <sheetDataSet>
      <sheetData sheetId="0"/>
      <sheetData sheetId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H7"/>
  <sheetViews>
    <sheetView tabSelected="1" zoomScaleNormal="100" workbookViewId="0">
      <selection activeCell="C26" sqref="C26"/>
    </sheetView>
  </sheetViews>
  <sheetFormatPr defaultRowHeight="15" x14ac:dyDescent="0.25"/>
  <cols>
    <col min="1" max="1" width="9.140625" style="3"/>
    <col min="2" max="2" width="18.140625" style="3" customWidth="1"/>
    <col min="3" max="8" width="15" style="3" customWidth="1"/>
    <col min="9" max="16384" width="9.140625" style="3"/>
  </cols>
  <sheetData>
    <row r="2" spans="2:8" x14ac:dyDescent="0.25">
      <c r="B2" s="13"/>
      <c r="C2" s="13" t="s">
        <v>5</v>
      </c>
      <c r="D2" s="13" t="s">
        <v>6</v>
      </c>
      <c r="E2" s="13" t="s">
        <v>10</v>
      </c>
      <c r="F2" s="13" t="s">
        <v>7</v>
      </c>
      <c r="G2" s="13" t="s">
        <v>8</v>
      </c>
      <c r="H2" s="13" t="s">
        <v>11</v>
      </c>
    </row>
    <row r="3" spans="2:8" x14ac:dyDescent="0.25">
      <c r="B3" s="13" t="s">
        <v>9</v>
      </c>
      <c r="C3" s="14">
        <f>'Test Case'!G25</f>
        <v>23</v>
      </c>
      <c r="D3" s="14">
        <f>'Test Case'!H25</f>
        <v>0</v>
      </c>
      <c r="E3" s="14">
        <f>'Test Case'!I25</f>
        <v>0</v>
      </c>
      <c r="F3" s="15">
        <f>'Test Case'!J25</f>
        <v>0</v>
      </c>
      <c r="G3" s="15">
        <f>'Test Case'!K25</f>
        <v>0</v>
      </c>
      <c r="H3" s="14">
        <f>SUM(C3:E3)</f>
        <v>23</v>
      </c>
    </row>
    <row r="4" spans="2:8" x14ac:dyDescent="0.25">
      <c r="B4" s="13"/>
      <c r="C4" s="14"/>
      <c r="D4" s="14"/>
      <c r="E4" s="14"/>
      <c r="F4" s="15"/>
      <c r="G4" s="15"/>
      <c r="H4" s="14"/>
    </row>
    <row r="5" spans="2:8" x14ac:dyDescent="0.25">
      <c r="B5" s="13"/>
      <c r="C5" s="14"/>
      <c r="D5" s="14"/>
      <c r="E5" s="14"/>
      <c r="F5" s="15"/>
      <c r="G5" s="15"/>
      <c r="H5" s="14"/>
    </row>
    <row r="6" spans="2:8" x14ac:dyDescent="0.25">
      <c r="B6" s="13"/>
      <c r="C6" s="14"/>
      <c r="D6" s="14"/>
      <c r="E6" s="14"/>
      <c r="F6" s="15"/>
      <c r="G6" s="15"/>
      <c r="H6" s="14"/>
    </row>
    <row r="7" spans="2:8" x14ac:dyDescent="0.25">
      <c r="B7" s="13"/>
      <c r="C7" s="14"/>
      <c r="D7" s="14"/>
      <c r="E7" s="14"/>
      <c r="F7" s="15"/>
      <c r="G7" s="15"/>
      <c r="H7" s="1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_xludf.CLEAR">
                <anchor moveWithCells="1">
                  <from>
                    <xdr:col>0</xdr:col>
                    <xdr:colOff>38100</xdr:colOff>
                    <xdr:row>7</xdr:row>
                    <xdr:rowOff>57150</xdr:rowOff>
                  </from>
                  <to>
                    <xdr:col>0</xdr:col>
                    <xdr:colOff>581025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>
                  <from>
                    <xdr:col>0</xdr:col>
                    <xdr:colOff>38100</xdr:colOff>
                    <xdr:row>2</xdr:row>
                    <xdr:rowOff>9525</xdr:rowOff>
                  </from>
                  <to>
                    <xdr:col>0</xdr:col>
                    <xdr:colOff>581025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26"/>
  <sheetViews>
    <sheetView zoomScaleNormal="100" workbookViewId="0">
      <pane ySplit="1" topLeftCell="A3" activePane="bottomLeft" state="frozen"/>
      <selection pane="bottomLeft" activeCell="E3" sqref="E3"/>
    </sheetView>
  </sheetViews>
  <sheetFormatPr defaultRowHeight="15" x14ac:dyDescent="0.25"/>
  <cols>
    <col min="1" max="1" width="6.7109375" style="4" customWidth="1"/>
    <col min="2" max="2" width="41.42578125" style="1" customWidth="1"/>
    <col min="3" max="3" width="39.5703125" style="1" customWidth="1"/>
    <col min="4" max="4" width="39" style="1" customWidth="1"/>
    <col min="5" max="5" width="20.42578125" style="1" customWidth="1"/>
    <col min="6" max="6" width="14.7109375" style="1" customWidth="1"/>
    <col min="7" max="10" width="9.140625" style="1"/>
    <col min="11" max="11" width="16.5703125" style="1" customWidth="1"/>
    <col min="12" max="16384" width="9.140625" style="1"/>
  </cols>
  <sheetData>
    <row r="1" spans="1:11" ht="30" customHeight="1" x14ac:dyDescent="0.25">
      <c r="A1" s="10" t="s">
        <v>1</v>
      </c>
      <c r="B1" s="11" t="s">
        <v>12</v>
      </c>
      <c r="C1" s="11" t="s">
        <v>2</v>
      </c>
      <c r="D1" s="12" t="s">
        <v>4</v>
      </c>
      <c r="E1" s="12" t="s">
        <v>3</v>
      </c>
      <c r="F1" s="11" t="s">
        <v>0</v>
      </c>
      <c r="G1" s="12" t="s">
        <v>5</v>
      </c>
      <c r="H1" s="12" t="s">
        <v>6</v>
      </c>
      <c r="I1" s="12"/>
      <c r="J1" s="12" t="s">
        <v>7</v>
      </c>
      <c r="K1" s="12" t="s">
        <v>8</v>
      </c>
    </row>
    <row r="2" spans="1:11" ht="25.5" x14ac:dyDescent="0.25">
      <c r="A2" s="5">
        <v>1</v>
      </c>
      <c r="B2" s="6" t="s">
        <v>13</v>
      </c>
      <c r="C2" s="9" t="s">
        <v>14</v>
      </c>
      <c r="D2" s="6"/>
      <c r="E2" s="6"/>
      <c r="F2" s="8" t="s">
        <v>5</v>
      </c>
      <c r="G2" s="8">
        <f t="shared" ref="G2:K19" si="0">IF($F2=G$1,1,0)</f>
        <v>1</v>
      </c>
      <c r="H2" s="8">
        <f t="shared" si="0"/>
        <v>0</v>
      </c>
      <c r="I2" s="8">
        <f t="shared" si="0"/>
        <v>0</v>
      </c>
      <c r="J2" s="8">
        <f t="shared" si="0"/>
        <v>0</v>
      </c>
      <c r="K2" s="8">
        <f t="shared" si="0"/>
        <v>0</v>
      </c>
    </row>
    <row r="3" spans="1:11" ht="25.5" x14ac:dyDescent="0.25">
      <c r="A3" s="5">
        <f>A2+0.0001</f>
        <v>1.0001</v>
      </c>
      <c r="B3" s="6" t="s">
        <v>15</v>
      </c>
      <c r="C3" s="9" t="s">
        <v>16</v>
      </c>
      <c r="D3" s="7"/>
      <c r="E3" s="6"/>
      <c r="F3" s="8" t="s">
        <v>5</v>
      </c>
      <c r="G3" s="8">
        <f t="shared" si="0"/>
        <v>1</v>
      </c>
      <c r="H3" s="8">
        <f t="shared" si="0"/>
        <v>0</v>
      </c>
      <c r="I3" s="8">
        <f t="shared" si="0"/>
        <v>0</v>
      </c>
      <c r="J3" s="8">
        <f t="shared" si="0"/>
        <v>0</v>
      </c>
      <c r="K3" s="8">
        <f t="shared" si="0"/>
        <v>0</v>
      </c>
    </row>
    <row r="4" spans="1:11" ht="25.5" x14ac:dyDescent="0.25">
      <c r="A4" s="5">
        <f t="shared" ref="A4:A23" si="1">A3+0.0001</f>
        <v>1.0002</v>
      </c>
      <c r="B4" s="6" t="s">
        <v>17</v>
      </c>
      <c r="C4" s="9" t="s">
        <v>18</v>
      </c>
      <c r="D4" s="7"/>
      <c r="E4" s="6"/>
      <c r="F4" s="8" t="s">
        <v>5</v>
      </c>
      <c r="G4" s="8">
        <f t="shared" si="0"/>
        <v>1</v>
      </c>
      <c r="H4" s="8">
        <f t="shared" si="0"/>
        <v>0</v>
      </c>
      <c r="I4" s="8">
        <f t="shared" si="0"/>
        <v>0</v>
      </c>
      <c r="J4" s="8">
        <f t="shared" si="0"/>
        <v>0</v>
      </c>
      <c r="K4" s="8">
        <f t="shared" si="0"/>
        <v>0</v>
      </c>
    </row>
    <row r="5" spans="1:11" ht="25.5" x14ac:dyDescent="0.25">
      <c r="A5" s="5">
        <f>A4+0.0001</f>
        <v>1.0003</v>
      </c>
      <c r="B5" s="6" t="s">
        <v>19</v>
      </c>
      <c r="C5" s="9" t="s">
        <v>20</v>
      </c>
      <c r="D5" s="7"/>
      <c r="E5" s="6"/>
      <c r="F5" s="8" t="s">
        <v>5</v>
      </c>
      <c r="G5" s="8">
        <f t="shared" si="0"/>
        <v>1</v>
      </c>
      <c r="H5" s="8">
        <f t="shared" si="0"/>
        <v>0</v>
      </c>
      <c r="I5" s="8">
        <f t="shared" si="0"/>
        <v>0</v>
      </c>
      <c r="J5" s="8">
        <f t="shared" si="0"/>
        <v>0</v>
      </c>
      <c r="K5" s="8">
        <f t="shared" si="0"/>
        <v>0</v>
      </c>
    </row>
    <row r="6" spans="1:11" x14ac:dyDescent="0.25">
      <c r="A6" s="5">
        <f t="shared" ref="A6" si="2">A5+0.0001</f>
        <v>1.0004</v>
      </c>
      <c r="B6" s="6" t="s">
        <v>21</v>
      </c>
      <c r="C6" s="9" t="s">
        <v>22</v>
      </c>
      <c r="D6" s="7"/>
      <c r="E6" s="6"/>
      <c r="F6" s="8" t="s">
        <v>5</v>
      </c>
      <c r="G6" s="8">
        <f t="shared" si="0"/>
        <v>1</v>
      </c>
      <c r="H6" s="8">
        <f t="shared" si="0"/>
        <v>0</v>
      </c>
      <c r="I6" s="8">
        <f t="shared" si="0"/>
        <v>0</v>
      </c>
      <c r="J6" s="8">
        <f t="shared" si="0"/>
        <v>0</v>
      </c>
      <c r="K6" s="8">
        <f t="shared" si="0"/>
        <v>0</v>
      </c>
    </row>
    <row r="7" spans="1:11" x14ac:dyDescent="0.25">
      <c r="A7" s="5">
        <f t="shared" si="1"/>
        <v>1.0004999999999999</v>
      </c>
      <c r="B7" s="6" t="s">
        <v>23</v>
      </c>
      <c r="C7" s="9" t="s">
        <v>24</v>
      </c>
      <c r="D7" s="7"/>
      <c r="E7" s="6"/>
      <c r="F7" s="8" t="s">
        <v>5</v>
      </c>
      <c r="G7" s="8">
        <f t="shared" si="0"/>
        <v>1</v>
      </c>
      <c r="H7" s="8">
        <f t="shared" si="0"/>
        <v>0</v>
      </c>
      <c r="I7" s="8">
        <f t="shared" si="0"/>
        <v>0</v>
      </c>
      <c r="J7" s="8">
        <f t="shared" si="0"/>
        <v>0</v>
      </c>
      <c r="K7" s="8">
        <f t="shared" si="0"/>
        <v>0</v>
      </c>
    </row>
    <row r="8" spans="1:11" ht="25.5" x14ac:dyDescent="0.25">
      <c r="A8" s="5">
        <f>A7+0.0001</f>
        <v>1.0005999999999999</v>
      </c>
      <c r="B8" s="6" t="s">
        <v>25</v>
      </c>
      <c r="C8" s="9" t="s">
        <v>26</v>
      </c>
      <c r="D8" s="7"/>
      <c r="E8" s="6"/>
      <c r="F8" s="8" t="s">
        <v>5</v>
      </c>
      <c r="G8" s="8">
        <f t="shared" si="0"/>
        <v>1</v>
      </c>
      <c r="H8" s="8">
        <f t="shared" si="0"/>
        <v>0</v>
      </c>
      <c r="I8" s="8">
        <f t="shared" si="0"/>
        <v>0</v>
      </c>
      <c r="J8" s="8">
        <f t="shared" si="0"/>
        <v>0</v>
      </c>
      <c r="K8" s="8">
        <f t="shared" si="0"/>
        <v>0</v>
      </c>
    </row>
    <row r="9" spans="1:11" ht="38.25" x14ac:dyDescent="0.25">
      <c r="A9" s="5">
        <f t="shared" ref="A9" si="3">A8+0.0001</f>
        <v>1.0006999999999999</v>
      </c>
      <c r="B9" s="6" t="s">
        <v>27</v>
      </c>
      <c r="C9" s="9" t="s">
        <v>28</v>
      </c>
      <c r="D9" s="7"/>
      <c r="E9" s="6"/>
      <c r="F9" s="8" t="s">
        <v>5</v>
      </c>
      <c r="G9" s="8">
        <f t="shared" si="0"/>
        <v>1</v>
      </c>
      <c r="H9" s="8">
        <f t="shared" si="0"/>
        <v>0</v>
      </c>
      <c r="I9" s="8">
        <f t="shared" si="0"/>
        <v>0</v>
      </c>
      <c r="J9" s="8">
        <f t="shared" si="0"/>
        <v>0</v>
      </c>
      <c r="K9" s="8">
        <f t="shared" si="0"/>
        <v>0</v>
      </c>
    </row>
    <row r="10" spans="1:11" x14ac:dyDescent="0.25">
      <c r="A10" s="5">
        <f t="shared" si="1"/>
        <v>1.0007999999999999</v>
      </c>
      <c r="B10" s="6" t="s">
        <v>29</v>
      </c>
      <c r="C10" s="9" t="s">
        <v>30</v>
      </c>
      <c r="D10" s="7"/>
      <c r="E10" s="6"/>
      <c r="F10" s="8" t="s">
        <v>5</v>
      </c>
      <c r="G10" s="8">
        <f t="shared" si="0"/>
        <v>1</v>
      </c>
      <c r="H10" s="8">
        <f t="shared" si="0"/>
        <v>0</v>
      </c>
      <c r="I10" s="8">
        <f t="shared" si="0"/>
        <v>0</v>
      </c>
      <c r="J10" s="8">
        <f t="shared" si="0"/>
        <v>0</v>
      </c>
      <c r="K10" s="8">
        <f t="shared" si="0"/>
        <v>0</v>
      </c>
    </row>
    <row r="11" spans="1:11" ht="25.5" x14ac:dyDescent="0.25">
      <c r="A11" s="5">
        <f>A10+0.0001</f>
        <v>1.0008999999999999</v>
      </c>
      <c r="B11" s="6" t="s">
        <v>31</v>
      </c>
      <c r="C11" s="9" t="s">
        <v>32</v>
      </c>
      <c r="D11" s="7"/>
      <c r="E11" s="6"/>
      <c r="F11" s="8" t="s">
        <v>5</v>
      </c>
      <c r="G11" s="8">
        <f t="shared" si="0"/>
        <v>1</v>
      </c>
      <c r="H11" s="8">
        <f t="shared" si="0"/>
        <v>0</v>
      </c>
      <c r="I11" s="8">
        <f t="shared" si="0"/>
        <v>0</v>
      </c>
      <c r="J11" s="8">
        <f t="shared" si="0"/>
        <v>0</v>
      </c>
      <c r="K11" s="8">
        <f t="shared" si="0"/>
        <v>0</v>
      </c>
    </row>
    <row r="12" spans="1:11" x14ac:dyDescent="0.25">
      <c r="A12" s="5">
        <f t="shared" ref="A12" si="4">A11+0.0001</f>
        <v>1.0009999999999999</v>
      </c>
      <c r="B12" s="6" t="s">
        <v>33</v>
      </c>
      <c r="C12" s="9" t="s">
        <v>34</v>
      </c>
      <c r="D12" s="7"/>
      <c r="E12" s="6"/>
      <c r="F12" s="8" t="s">
        <v>5</v>
      </c>
      <c r="G12" s="8">
        <f t="shared" si="0"/>
        <v>1</v>
      </c>
      <c r="H12" s="8">
        <f t="shared" si="0"/>
        <v>0</v>
      </c>
      <c r="I12" s="8">
        <f t="shared" si="0"/>
        <v>0</v>
      </c>
      <c r="J12" s="8">
        <f t="shared" si="0"/>
        <v>0</v>
      </c>
      <c r="K12" s="8">
        <f t="shared" si="0"/>
        <v>0</v>
      </c>
    </row>
    <row r="13" spans="1:11" x14ac:dyDescent="0.25">
      <c r="A13" s="5">
        <f t="shared" si="1"/>
        <v>1.0010999999999999</v>
      </c>
      <c r="B13" s="6" t="s">
        <v>35</v>
      </c>
      <c r="C13" s="9" t="s">
        <v>34</v>
      </c>
      <c r="D13" s="7"/>
      <c r="E13" s="6"/>
      <c r="F13" s="8" t="s">
        <v>5</v>
      </c>
      <c r="G13" s="8">
        <f t="shared" si="0"/>
        <v>1</v>
      </c>
      <c r="H13" s="8">
        <f t="shared" si="0"/>
        <v>0</v>
      </c>
      <c r="I13" s="8">
        <f t="shared" si="0"/>
        <v>0</v>
      </c>
      <c r="J13" s="8">
        <f t="shared" si="0"/>
        <v>0</v>
      </c>
      <c r="K13" s="8">
        <f t="shared" si="0"/>
        <v>0</v>
      </c>
    </row>
    <row r="14" spans="1:11" ht="51" x14ac:dyDescent="0.25">
      <c r="A14" s="5">
        <f>A13+0.0001</f>
        <v>1.0011999999999999</v>
      </c>
      <c r="B14" s="6" t="s">
        <v>36</v>
      </c>
      <c r="C14" s="9" t="s">
        <v>37</v>
      </c>
      <c r="D14" s="7"/>
      <c r="E14" s="6"/>
      <c r="F14" s="8" t="s">
        <v>5</v>
      </c>
      <c r="G14" s="8">
        <f t="shared" si="0"/>
        <v>1</v>
      </c>
      <c r="H14" s="8">
        <f t="shared" si="0"/>
        <v>0</v>
      </c>
      <c r="I14" s="8">
        <f t="shared" si="0"/>
        <v>0</v>
      </c>
      <c r="J14" s="8">
        <f t="shared" si="0"/>
        <v>0</v>
      </c>
      <c r="K14" s="8">
        <f t="shared" si="0"/>
        <v>0</v>
      </c>
    </row>
    <row r="15" spans="1:11" x14ac:dyDescent="0.25">
      <c r="A15" s="5">
        <f>A14+0.0001</f>
        <v>1.0012999999999999</v>
      </c>
      <c r="B15" s="6" t="s">
        <v>38</v>
      </c>
      <c r="C15" s="9" t="s">
        <v>39</v>
      </c>
      <c r="D15" s="7"/>
      <c r="E15" s="6"/>
      <c r="F15" s="8" t="s">
        <v>5</v>
      </c>
      <c r="G15" s="8">
        <f t="shared" si="0"/>
        <v>1</v>
      </c>
      <c r="H15" s="8">
        <f t="shared" si="0"/>
        <v>0</v>
      </c>
      <c r="I15" s="8">
        <f t="shared" si="0"/>
        <v>0</v>
      </c>
      <c r="J15" s="8">
        <f t="shared" si="0"/>
        <v>0</v>
      </c>
      <c r="K15" s="8">
        <f t="shared" si="0"/>
        <v>0</v>
      </c>
    </row>
    <row r="16" spans="1:11" ht="38.25" x14ac:dyDescent="0.25">
      <c r="A16" s="5">
        <f t="shared" si="1"/>
        <v>1.0013999999999998</v>
      </c>
      <c r="B16" s="7" t="s">
        <v>40</v>
      </c>
      <c r="C16" s="6" t="s">
        <v>41</v>
      </c>
      <c r="D16" s="7"/>
      <c r="E16" s="7"/>
      <c r="F16" s="8" t="s">
        <v>5</v>
      </c>
      <c r="G16" s="8">
        <f t="shared" si="0"/>
        <v>1</v>
      </c>
      <c r="H16" s="8">
        <f t="shared" si="0"/>
        <v>0</v>
      </c>
      <c r="I16" s="8">
        <f t="shared" si="0"/>
        <v>0</v>
      </c>
      <c r="J16" s="8">
        <f t="shared" si="0"/>
        <v>0</v>
      </c>
      <c r="K16" s="8">
        <f t="shared" si="0"/>
        <v>0</v>
      </c>
    </row>
    <row r="17" spans="1:11" ht="51" x14ac:dyDescent="0.25">
      <c r="A17" s="5">
        <f t="shared" si="1"/>
        <v>1.0014999999999998</v>
      </c>
      <c r="B17" s="7"/>
      <c r="C17" s="6" t="s">
        <v>42</v>
      </c>
      <c r="D17" s="7"/>
      <c r="E17" s="7"/>
      <c r="F17" s="8" t="s">
        <v>5</v>
      </c>
      <c r="G17" s="8">
        <f t="shared" si="0"/>
        <v>1</v>
      </c>
      <c r="H17" s="8">
        <f t="shared" si="0"/>
        <v>0</v>
      </c>
      <c r="I17" s="8">
        <f t="shared" si="0"/>
        <v>0</v>
      </c>
      <c r="J17" s="8">
        <f t="shared" si="0"/>
        <v>0</v>
      </c>
      <c r="K17" s="8">
        <f t="shared" si="0"/>
        <v>0</v>
      </c>
    </row>
    <row r="18" spans="1:11" ht="25.5" x14ac:dyDescent="0.25">
      <c r="A18" s="5">
        <f t="shared" si="1"/>
        <v>1.0015999999999998</v>
      </c>
      <c r="B18" s="7"/>
      <c r="C18" s="6" t="s">
        <v>43</v>
      </c>
      <c r="D18" s="7"/>
      <c r="E18" s="7"/>
      <c r="F18" s="8" t="s">
        <v>5</v>
      </c>
      <c r="G18" s="8">
        <f t="shared" si="0"/>
        <v>1</v>
      </c>
      <c r="H18" s="8">
        <f t="shared" si="0"/>
        <v>0</v>
      </c>
      <c r="I18" s="8">
        <f t="shared" si="0"/>
        <v>0</v>
      </c>
      <c r="J18" s="8">
        <f t="shared" si="0"/>
        <v>0</v>
      </c>
      <c r="K18" s="8">
        <f t="shared" si="0"/>
        <v>0</v>
      </c>
    </row>
    <row r="19" spans="1:11" ht="38.25" x14ac:dyDescent="0.25">
      <c r="A19" s="5">
        <f t="shared" si="1"/>
        <v>1.0016999999999998</v>
      </c>
      <c r="B19" s="7"/>
      <c r="C19" s="6" t="s">
        <v>44</v>
      </c>
      <c r="D19" s="7"/>
      <c r="E19" s="7"/>
      <c r="F19" s="8" t="s">
        <v>5</v>
      </c>
      <c r="G19" s="8">
        <f t="shared" si="0"/>
        <v>1</v>
      </c>
      <c r="H19" s="8">
        <f t="shared" si="0"/>
        <v>0</v>
      </c>
      <c r="I19" s="8">
        <f t="shared" si="0"/>
        <v>0</v>
      </c>
      <c r="J19" s="8">
        <f t="shared" si="0"/>
        <v>0</v>
      </c>
      <c r="K19" s="8">
        <f t="shared" si="0"/>
        <v>0</v>
      </c>
    </row>
    <row r="20" spans="1:11" ht="25.5" x14ac:dyDescent="0.25">
      <c r="A20" s="5">
        <f t="shared" si="1"/>
        <v>1.0017999999999998</v>
      </c>
      <c r="B20" s="6" t="s">
        <v>45</v>
      </c>
      <c r="C20" s="6" t="s">
        <v>46</v>
      </c>
      <c r="D20" s="7"/>
      <c r="E20" s="7"/>
      <c r="F20" s="8" t="s">
        <v>5</v>
      </c>
      <c r="G20" s="8">
        <f t="shared" ref="G20:K24" si="5">IF($F20=G$1,1,0)</f>
        <v>1</v>
      </c>
      <c r="H20" s="8">
        <f t="shared" si="5"/>
        <v>0</v>
      </c>
      <c r="I20" s="8">
        <f t="shared" si="5"/>
        <v>0</v>
      </c>
      <c r="J20" s="8">
        <f t="shared" si="5"/>
        <v>0</v>
      </c>
      <c r="K20" s="8">
        <f t="shared" si="5"/>
        <v>0</v>
      </c>
    </row>
    <row r="21" spans="1:11" ht="51" x14ac:dyDescent="0.25">
      <c r="A21" s="5">
        <f t="shared" si="1"/>
        <v>1.0018999999999998</v>
      </c>
      <c r="B21" s="6" t="s">
        <v>47</v>
      </c>
      <c r="C21" s="6" t="s">
        <v>48</v>
      </c>
      <c r="D21" s="7"/>
      <c r="E21" s="7"/>
      <c r="F21" s="8" t="s">
        <v>5</v>
      </c>
      <c r="G21" s="8">
        <f t="shared" si="5"/>
        <v>1</v>
      </c>
      <c r="H21" s="8">
        <f t="shared" si="5"/>
        <v>0</v>
      </c>
      <c r="I21" s="8">
        <f t="shared" si="5"/>
        <v>0</v>
      </c>
      <c r="J21" s="8">
        <f t="shared" si="5"/>
        <v>0</v>
      </c>
      <c r="K21" s="8">
        <f t="shared" si="5"/>
        <v>0</v>
      </c>
    </row>
    <row r="22" spans="1:11" ht="25.5" x14ac:dyDescent="0.25">
      <c r="A22" s="5">
        <f t="shared" si="1"/>
        <v>1.0019999999999998</v>
      </c>
      <c r="B22" s="6"/>
      <c r="C22" s="6" t="s">
        <v>49</v>
      </c>
      <c r="D22" s="7"/>
      <c r="E22" s="7"/>
      <c r="F22" s="8" t="s">
        <v>5</v>
      </c>
      <c r="G22" s="8">
        <f t="shared" si="5"/>
        <v>1</v>
      </c>
      <c r="H22" s="8">
        <f t="shared" si="5"/>
        <v>0</v>
      </c>
      <c r="I22" s="8">
        <f t="shared" si="5"/>
        <v>0</v>
      </c>
      <c r="J22" s="8">
        <f t="shared" si="5"/>
        <v>0</v>
      </c>
      <c r="K22" s="8">
        <f t="shared" si="5"/>
        <v>0</v>
      </c>
    </row>
    <row r="23" spans="1:11" ht="25.5" x14ac:dyDescent="0.25">
      <c r="A23" s="5">
        <f t="shared" si="1"/>
        <v>1.0020999999999998</v>
      </c>
      <c r="B23" s="6" t="s">
        <v>50</v>
      </c>
      <c r="C23" s="6" t="s">
        <v>51</v>
      </c>
      <c r="D23" s="7"/>
      <c r="E23" s="7"/>
      <c r="F23" s="8" t="s">
        <v>5</v>
      </c>
      <c r="G23" s="8">
        <f t="shared" si="5"/>
        <v>1</v>
      </c>
      <c r="H23" s="8">
        <f t="shared" si="5"/>
        <v>0</v>
      </c>
      <c r="I23" s="8">
        <f t="shared" si="5"/>
        <v>0</v>
      </c>
      <c r="J23" s="8">
        <f t="shared" si="5"/>
        <v>0</v>
      </c>
      <c r="K23" s="8">
        <f t="shared" si="5"/>
        <v>0</v>
      </c>
    </row>
    <row r="24" spans="1:11" ht="25.5" x14ac:dyDescent="0.25">
      <c r="A24" s="5">
        <f>A23+0.0001</f>
        <v>1.0021999999999998</v>
      </c>
      <c r="B24" s="6" t="s">
        <v>52</v>
      </c>
      <c r="C24" s="6" t="s">
        <v>53</v>
      </c>
      <c r="D24" s="7"/>
      <c r="E24" s="7"/>
      <c r="F24" s="8" t="s">
        <v>5</v>
      </c>
      <c r="G24" s="8">
        <f t="shared" si="5"/>
        <v>1</v>
      </c>
      <c r="H24" s="8">
        <f t="shared" si="5"/>
        <v>0</v>
      </c>
      <c r="I24" s="8">
        <f t="shared" si="5"/>
        <v>0</v>
      </c>
      <c r="J24" s="8">
        <f t="shared" si="5"/>
        <v>0</v>
      </c>
      <c r="K24" s="8">
        <f t="shared" si="5"/>
        <v>0</v>
      </c>
    </row>
    <row r="25" spans="1:11" ht="15.75" thickBot="1" x14ac:dyDescent="0.3">
      <c r="G25" s="16">
        <f>SUM(G2:G24)</f>
        <v>23</v>
      </c>
      <c r="H25" s="2">
        <f t="shared" ref="H25:K25" si="6">SUM(H2:H24)</f>
        <v>0</v>
      </c>
      <c r="I25" s="2">
        <f t="shared" si="6"/>
        <v>0</v>
      </c>
      <c r="J25" s="2">
        <f t="shared" si="6"/>
        <v>0</v>
      </c>
      <c r="K25" s="2">
        <f t="shared" si="6"/>
        <v>0</v>
      </c>
    </row>
    <row r="26" spans="1:11" ht="15.75" thickTop="1" x14ac:dyDescent="0.25"/>
  </sheetData>
  <conditionalFormatting sqref="A2:K24">
    <cfRule type="expression" dxfId="1" priority="1">
      <formula>$F2="Fail"</formula>
    </cfRule>
  </conditionalFormatting>
  <dataValidations count="1">
    <dataValidation type="list" allowBlank="1" showInputMessage="1" showErrorMessage="1" sqref="F2:F24">
      <formula1>$G$1:$K$1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1]!Button5_Click">
                <anchor moveWithCells="1">
                  <from>
                    <xdr:col>0</xdr:col>
                    <xdr:colOff>57150</xdr:colOff>
                    <xdr:row>0</xdr:row>
                    <xdr:rowOff>28575</xdr:rowOff>
                  </from>
                  <to>
                    <xdr:col>1</xdr:col>
                    <xdr:colOff>238125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Test Case</vt:lpstr>
    </vt:vector>
  </TitlesOfParts>
  <Company>Sanlam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Jannie Basson (SEB)</dc:creator>
  <cp:lastModifiedBy>Lisa Myburgh (SEB)</cp:lastModifiedBy>
  <dcterms:created xsi:type="dcterms:W3CDTF">2014-07-31T09:50:05Z</dcterms:created>
  <dcterms:modified xsi:type="dcterms:W3CDTF">2014-12-04T09:10:16Z</dcterms:modified>
</cp:coreProperties>
</file>