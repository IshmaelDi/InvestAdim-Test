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989124\Desktop\Test Documents\Test Cases\Test Cases\"/>
    </mc:Choice>
  </mc:AlternateContent>
  <bookViews>
    <workbookView xWindow="120" yWindow="465" windowWidth="20370" windowHeight="7680" activeTab="4"/>
  </bookViews>
  <sheets>
    <sheet name="Summary" sheetId="3" r:id="rId1"/>
    <sheet name="Test Case" sheetId="2" r:id="rId2"/>
    <sheet name="Automated Instructions" sheetId="4" r:id="rId3"/>
    <sheet name="Internal" sheetId="6" r:id="rId4"/>
    <sheet name="External" sheetId="5" r:id="rId5"/>
    <sheet name="External - Recurring" sheetId="12" r:id="rId6"/>
    <sheet name="Investment Reversal" sheetId="10" r:id="rId7"/>
    <sheet name="Alter Investment" sheetId="11" r:id="rId8"/>
    <sheet name="External - Policy AccountingSCI" sheetId="13" r:id="rId9"/>
    <sheet name="Internal - Policy AccountinSCI" sheetId="15" r:id="rId10"/>
    <sheet name="Sheet1" sheetId="7" r:id="rId11"/>
    <sheet name="Sheet2" sheetId="9" r:id="rId12"/>
  </sheets>
  <definedNames>
    <definedName name="_xlnm._FilterDatabase" localSheetId="1" hidden="1">'Test Case'!$A$1:$L$839</definedName>
    <definedName name="_xlnm.Print_Area" localSheetId="7">'Alter Investment'!$A$1:$F$226</definedName>
    <definedName name="_xlnm.Print_Area" localSheetId="4">External!$B$1:$D$60</definedName>
    <definedName name="_xlnm.Print_Area" localSheetId="5">'External - Recurring'!$B$1:$D$60</definedName>
    <definedName name="_xlnm.Print_Area" localSheetId="3">Internal!$A$1:$D$107</definedName>
    <definedName name="_xlnm.Print_Area" localSheetId="6">'Investment Reversal'!$A$1:$E$137</definedName>
  </definedNames>
  <calcPr calcId="162913"/>
</workbook>
</file>

<file path=xl/calcChain.xml><?xml version="1.0" encoding="utf-8"?>
<calcChain xmlns="http://schemas.openxmlformats.org/spreadsheetml/2006/main">
  <c r="K58" i="4" l="1"/>
  <c r="K59" i="4"/>
  <c r="K60" i="4"/>
  <c r="K61" i="4"/>
  <c r="K62" i="4"/>
  <c r="K63" i="4"/>
  <c r="K64" i="4"/>
  <c r="K65" i="4"/>
  <c r="K66" i="4"/>
  <c r="K67" i="4"/>
  <c r="K68" i="4"/>
  <c r="K69" i="4"/>
  <c r="K70" i="4"/>
  <c r="K71" i="4"/>
  <c r="K72" i="4"/>
  <c r="K73" i="4"/>
  <c r="K57" i="4"/>
  <c r="K33" i="4"/>
  <c r="K34" i="4"/>
  <c r="K35" i="4"/>
  <c r="K36" i="4"/>
  <c r="K37" i="4"/>
  <c r="K38" i="4"/>
  <c r="K39" i="4"/>
  <c r="K40" i="4"/>
  <c r="K41" i="4"/>
  <c r="K42" i="4"/>
  <c r="K43" i="4"/>
  <c r="K44" i="4"/>
  <c r="K45" i="4"/>
  <c r="K46" i="4"/>
  <c r="K47" i="4"/>
  <c r="K48" i="4"/>
  <c r="K49" i="4"/>
  <c r="K50" i="4"/>
  <c r="K51" i="4"/>
  <c r="K52" i="4"/>
  <c r="K53" i="4"/>
  <c r="K54" i="4"/>
  <c r="K55" i="4"/>
  <c r="K32" i="4"/>
  <c r="K4" i="4"/>
  <c r="K5" i="4"/>
  <c r="K6" i="4"/>
  <c r="K7" i="4"/>
  <c r="K8" i="4"/>
  <c r="K9" i="4"/>
  <c r="K10" i="4"/>
  <c r="K11" i="4"/>
  <c r="K12" i="4"/>
  <c r="K13" i="4"/>
  <c r="K14" i="4"/>
  <c r="K15" i="4"/>
  <c r="K16" i="4"/>
  <c r="K17" i="4"/>
  <c r="K18" i="4"/>
  <c r="K19" i="4"/>
  <c r="K20" i="4"/>
  <c r="K21" i="4"/>
  <c r="K22" i="4"/>
  <c r="K23" i="4"/>
  <c r="K24" i="4"/>
  <c r="K25" i="4"/>
  <c r="K26" i="4"/>
  <c r="K27" i="4"/>
  <c r="K28" i="4"/>
  <c r="K29" i="4"/>
  <c r="K30" i="4"/>
  <c r="K3" i="4"/>
  <c r="J51" i="11" l="1"/>
  <c r="I51" i="11"/>
  <c r="H51" i="11"/>
  <c r="G51" i="11"/>
  <c r="J56" i="11"/>
  <c r="I56" i="11"/>
  <c r="H56" i="11"/>
  <c r="G56" i="11"/>
  <c r="J64" i="15" l="1"/>
  <c r="I64" i="15"/>
  <c r="H64" i="15"/>
  <c r="G64" i="15"/>
  <c r="J63" i="15"/>
  <c r="I63" i="15"/>
  <c r="H63" i="15"/>
  <c r="G63" i="15"/>
  <c r="K61" i="15"/>
  <c r="J61" i="15"/>
  <c r="I61" i="15"/>
  <c r="H61" i="15"/>
  <c r="G61" i="15"/>
  <c r="K60" i="15"/>
  <c r="J60" i="15"/>
  <c r="I60" i="15"/>
  <c r="H60" i="15"/>
  <c r="G60" i="15"/>
  <c r="K59" i="15"/>
  <c r="J59" i="15"/>
  <c r="I59" i="15"/>
  <c r="H59" i="15"/>
  <c r="G59" i="15"/>
  <c r="K58" i="15"/>
  <c r="J58" i="15"/>
  <c r="I58" i="15"/>
  <c r="H58" i="15"/>
  <c r="G58" i="15"/>
  <c r="K57" i="15"/>
  <c r="J57" i="15"/>
  <c r="I57" i="15"/>
  <c r="H57" i="15"/>
  <c r="G57" i="15"/>
  <c r="K56" i="15"/>
  <c r="J56" i="15"/>
  <c r="I56" i="15"/>
  <c r="H56" i="15"/>
  <c r="G56" i="15"/>
  <c r="K53" i="15"/>
  <c r="J53" i="15"/>
  <c r="I53" i="15"/>
  <c r="H53" i="15"/>
  <c r="G53" i="15"/>
  <c r="K52" i="15"/>
  <c r="J52" i="15"/>
  <c r="I52" i="15"/>
  <c r="H52" i="15"/>
  <c r="G52" i="15"/>
  <c r="K51" i="15"/>
  <c r="J51" i="15"/>
  <c r="I51" i="15"/>
  <c r="H51" i="15"/>
  <c r="G51" i="15"/>
  <c r="K50" i="15"/>
  <c r="J50" i="15"/>
  <c r="I50" i="15"/>
  <c r="H50" i="15"/>
  <c r="G50" i="15"/>
  <c r="K49" i="15"/>
  <c r="J49" i="15"/>
  <c r="I49" i="15"/>
  <c r="H49" i="15"/>
  <c r="G49" i="15"/>
  <c r="K48" i="15"/>
  <c r="J48" i="15"/>
  <c r="I48" i="15"/>
  <c r="H48" i="15"/>
  <c r="G48" i="15"/>
  <c r="K47" i="15"/>
  <c r="J47" i="15"/>
  <c r="I47" i="15"/>
  <c r="H47" i="15"/>
  <c r="G47" i="15"/>
  <c r="K46" i="15"/>
  <c r="J46" i="15"/>
  <c r="I46" i="15"/>
  <c r="H46" i="15"/>
  <c r="G46" i="15"/>
  <c r="K45" i="15"/>
  <c r="J45" i="15"/>
  <c r="I45" i="15"/>
  <c r="H45" i="15"/>
  <c r="G45" i="15"/>
  <c r="K44" i="15"/>
  <c r="J44" i="15"/>
  <c r="I44" i="15"/>
  <c r="H44" i="15"/>
  <c r="G44" i="15"/>
  <c r="K43" i="15"/>
  <c r="J43" i="15"/>
  <c r="I43" i="15"/>
  <c r="H43" i="15"/>
  <c r="G43" i="15"/>
  <c r="K42" i="15"/>
  <c r="J42" i="15"/>
  <c r="I42" i="15"/>
  <c r="H42" i="15"/>
  <c r="G42" i="15"/>
  <c r="K41" i="15"/>
  <c r="J41" i="15"/>
  <c r="I41" i="15"/>
  <c r="H41" i="15"/>
  <c r="G41" i="15"/>
  <c r="K40" i="15"/>
  <c r="J40" i="15"/>
  <c r="I40" i="15"/>
  <c r="H40" i="15"/>
  <c r="G40" i="15"/>
  <c r="K38" i="15"/>
  <c r="J38" i="15"/>
  <c r="I38" i="15"/>
  <c r="H38" i="15"/>
  <c r="G38" i="15"/>
  <c r="K37" i="15"/>
  <c r="J37" i="15"/>
  <c r="I37" i="15"/>
  <c r="H37" i="15"/>
  <c r="G37" i="15"/>
  <c r="K36" i="15"/>
  <c r="J36" i="15"/>
  <c r="I36" i="15"/>
  <c r="H36" i="15"/>
  <c r="G36" i="15"/>
  <c r="K35" i="15"/>
  <c r="J35" i="15"/>
  <c r="I35" i="15"/>
  <c r="H35" i="15"/>
  <c r="G35" i="15"/>
  <c r="K34" i="15"/>
  <c r="J34" i="15"/>
  <c r="I34" i="15"/>
  <c r="H34" i="15"/>
  <c r="G34" i="15"/>
  <c r="K33" i="15"/>
  <c r="J33" i="15"/>
  <c r="I33" i="15"/>
  <c r="H33" i="15"/>
  <c r="G33" i="15"/>
  <c r="K32" i="15"/>
  <c r="J32" i="15"/>
  <c r="I32" i="15"/>
  <c r="H32" i="15"/>
  <c r="G32" i="15"/>
  <c r="K28" i="15"/>
  <c r="J28" i="15"/>
  <c r="I28" i="15"/>
  <c r="H28" i="15"/>
  <c r="G28" i="15"/>
  <c r="K27" i="15"/>
  <c r="J27" i="15"/>
  <c r="I27" i="15"/>
  <c r="H27" i="15"/>
  <c r="G27" i="15"/>
  <c r="K26" i="15"/>
  <c r="J26" i="15"/>
  <c r="I26" i="15"/>
  <c r="H26" i="15"/>
  <c r="G26" i="15"/>
  <c r="K25" i="15"/>
  <c r="J25" i="15"/>
  <c r="I25" i="15"/>
  <c r="H25" i="15"/>
  <c r="G25" i="15"/>
  <c r="K24" i="15"/>
  <c r="J24" i="15"/>
  <c r="I24" i="15"/>
  <c r="H24" i="15"/>
  <c r="G24" i="15"/>
  <c r="K23" i="15"/>
  <c r="J23" i="15"/>
  <c r="I23" i="15"/>
  <c r="H23" i="15"/>
  <c r="G23" i="15"/>
  <c r="K22" i="15"/>
  <c r="J22" i="15"/>
  <c r="I22" i="15"/>
  <c r="H22" i="15"/>
  <c r="G22" i="15"/>
  <c r="K21" i="15"/>
  <c r="J21" i="15"/>
  <c r="I21" i="15"/>
  <c r="H21" i="15"/>
  <c r="G21" i="15"/>
  <c r="K20" i="15"/>
  <c r="J20" i="15"/>
  <c r="I20" i="15"/>
  <c r="H20" i="15"/>
  <c r="G20" i="15"/>
  <c r="K19" i="15"/>
  <c r="J19" i="15"/>
  <c r="I19" i="15"/>
  <c r="H19" i="15"/>
  <c r="G19" i="15"/>
  <c r="K18" i="15"/>
  <c r="J18" i="15"/>
  <c r="I18" i="15"/>
  <c r="H18" i="15"/>
  <c r="G18" i="15"/>
  <c r="K17" i="15"/>
  <c r="J17" i="15"/>
  <c r="I17" i="15"/>
  <c r="H17" i="15"/>
  <c r="G17" i="15"/>
  <c r="K16" i="15"/>
  <c r="J16" i="15"/>
  <c r="I16" i="15"/>
  <c r="H16" i="15"/>
  <c r="G16" i="15"/>
  <c r="K15" i="15"/>
  <c r="J15" i="15"/>
  <c r="I15" i="15"/>
  <c r="H15" i="15"/>
  <c r="G15" i="15"/>
  <c r="K14" i="15"/>
  <c r="J14" i="15"/>
  <c r="I14" i="15"/>
  <c r="H14" i="15"/>
  <c r="G14" i="15"/>
  <c r="K13" i="15"/>
  <c r="J13" i="15"/>
  <c r="I13" i="15"/>
  <c r="H13" i="15"/>
  <c r="G13" i="15"/>
  <c r="K12" i="15"/>
  <c r="J12" i="15"/>
  <c r="I12" i="15"/>
  <c r="H12" i="15"/>
  <c r="G12" i="15"/>
  <c r="A12" i="15"/>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K10" i="15"/>
  <c r="J10" i="15"/>
  <c r="I10" i="15"/>
  <c r="H10" i="15"/>
  <c r="G10" i="15"/>
  <c r="K9" i="15"/>
  <c r="J9" i="15"/>
  <c r="I9" i="15"/>
  <c r="H9" i="15"/>
  <c r="G9" i="15"/>
  <c r="K8" i="15"/>
  <c r="J8" i="15"/>
  <c r="I8" i="15"/>
  <c r="H8" i="15"/>
  <c r="G8" i="15"/>
  <c r="K7" i="15"/>
  <c r="J7" i="15"/>
  <c r="I7" i="15"/>
  <c r="H7" i="15"/>
  <c r="G7" i="15"/>
  <c r="K6" i="15"/>
  <c r="J6" i="15"/>
  <c r="I6" i="15"/>
  <c r="H6" i="15"/>
  <c r="G6" i="15"/>
  <c r="K5" i="15"/>
  <c r="J5" i="15"/>
  <c r="I5" i="15"/>
  <c r="H5" i="15"/>
  <c r="G5" i="15"/>
  <c r="K4" i="15"/>
  <c r="J4" i="15"/>
  <c r="I4" i="15"/>
  <c r="H4" i="15"/>
  <c r="G4" i="15"/>
  <c r="K95" i="13"/>
  <c r="J95" i="13"/>
  <c r="I95" i="13"/>
  <c r="H95" i="13"/>
  <c r="G95" i="13"/>
  <c r="K94" i="13"/>
  <c r="J94" i="13"/>
  <c r="I94" i="13"/>
  <c r="H94" i="13"/>
  <c r="G94" i="13"/>
  <c r="K93" i="13"/>
  <c r="J93" i="13"/>
  <c r="I93" i="13"/>
  <c r="H93" i="13"/>
  <c r="G93" i="13"/>
  <c r="K92" i="13"/>
  <c r="J92" i="13"/>
  <c r="I92" i="13"/>
  <c r="H92" i="13"/>
  <c r="G92" i="13"/>
  <c r="K91" i="13"/>
  <c r="J91" i="13"/>
  <c r="I91" i="13"/>
  <c r="H91" i="13"/>
  <c r="G91" i="13"/>
  <c r="K90" i="13"/>
  <c r="J90" i="13"/>
  <c r="I90" i="13"/>
  <c r="H90" i="13"/>
  <c r="G90" i="13"/>
  <c r="K86" i="13"/>
  <c r="J86" i="13"/>
  <c r="I86" i="13"/>
  <c r="H86" i="13"/>
  <c r="G86" i="13"/>
  <c r="K85" i="13"/>
  <c r="J85" i="13"/>
  <c r="I85" i="13"/>
  <c r="H85" i="13"/>
  <c r="G85" i="13"/>
  <c r="K84" i="13"/>
  <c r="J84" i="13"/>
  <c r="I84" i="13"/>
  <c r="H84" i="13"/>
  <c r="G84" i="13"/>
  <c r="K83" i="13"/>
  <c r="J83" i="13"/>
  <c r="I83" i="13"/>
  <c r="H83" i="13"/>
  <c r="G83" i="13"/>
  <c r="K82" i="13"/>
  <c r="J82" i="13"/>
  <c r="I82" i="13"/>
  <c r="H82" i="13"/>
  <c r="G82" i="13"/>
  <c r="K81" i="13"/>
  <c r="J81" i="13"/>
  <c r="I81" i="13"/>
  <c r="H81" i="13"/>
  <c r="G81" i="13"/>
  <c r="K80" i="13"/>
  <c r="J80" i="13"/>
  <c r="I80" i="13"/>
  <c r="H80" i="13"/>
  <c r="G80" i="13"/>
  <c r="K79" i="13"/>
  <c r="J79" i="13"/>
  <c r="I79" i="13"/>
  <c r="H79" i="13"/>
  <c r="G79" i="13"/>
  <c r="K78" i="13"/>
  <c r="J78" i="13"/>
  <c r="I78" i="13"/>
  <c r="H78" i="13"/>
  <c r="G78" i="13"/>
  <c r="K77" i="13"/>
  <c r="J77" i="13"/>
  <c r="I77" i="13"/>
  <c r="H77" i="13"/>
  <c r="G77" i="13"/>
  <c r="K76" i="13"/>
  <c r="J76" i="13"/>
  <c r="I76" i="13"/>
  <c r="H76" i="13"/>
  <c r="G76" i="13"/>
  <c r="K75" i="13"/>
  <c r="J75" i="13"/>
  <c r="I75" i="13"/>
  <c r="H75" i="13"/>
  <c r="G75" i="13"/>
  <c r="K74" i="13"/>
  <c r="J74" i="13"/>
  <c r="I74" i="13"/>
  <c r="H74" i="13"/>
  <c r="G74" i="13"/>
  <c r="K73" i="13"/>
  <c r="J73" i="13"/>
  <c r="I73" i="13"/>
  <c r="H73" i="13"/>
  <c r="G73" i="13"/>
  <c r="K70" i="13"/>
  <c r="J70" i="13"/>
  <c r="I70" i="13"/>
  <c r="H70" i="13"/>
  <c r="G70" i="13"/>
  <c r="K69" i="13"/>
  <c r="J69" i="13"/>
  <c r="I69" i="13"/>
  <c r="H69" i="13"/>
  <c r="G69" i="13"/>
  <c r="K67" i="13"/>
  <c r="J67" i="13"/>
  <c r="I67" i="13"/>
  <c r="H67" i="13"/>
  <c r="G67" i="13"/>
  <c r="K66" i="13"/>
  <c r="J66" i="13"/>
  <c r="I66" i="13"/>
  <c r="H66" i="13"/>
  <c r="G66" i="13"/>
  <c r="K65" i="13"/>
  <c r="J65" i="13"/>
  <c r="I65" i="13"/>
  <c r="H65" i="13"/>
  <c r="G65" i="13"/>
  <c r="K64" i="13"/>
  <c r="J64" i="13"/>
  <c r="I64" i="13"/>
  <c r="H64" i="13"/>
  <c r="G64" i="13"/>
  <c r="K63" i="13"/>
  <c r="J63" i="13"/>
  <c r="I63" i="13"/>
  <c r="H63" i="13"/>
  <c r="G63" i="13"/>
  <c r="K62" i="13"/>
  <c r="J62" i="13"/>
  <c r="I62" i="13"/>
  <c r="H62" i="13"/>
  <c r="G62" i="13"/>
  <c r="K61" i="13"/>
  <c r="J61" i="13"/>
  <c r="I61" i="13"/>
  <c r="H61" i="13"/>
  <c r="G61" i="13"/>
  <c r="K58" i="13"/>
  <c r="J58" i="13"/>
  <c r="I58" i="13"/>
  <c r="H58" i="13"/>
  <c r="G58" i="13"/>
  <c r="K57" i="13"/>
  <c r="J57" i="13"/>
  <c r="I57" i="13"/>
  <c r="H57" i="13"/>
  <c r="G57" i="13"/>
  <c r="K54" i="13"/>
  <c r="J54" i="13"/>
  <c r="I54" i="13"/>
  <c r="H54" i="13"/>
  <c r="G54" i="13"/>
  <c r="K53" i="13"/>
  <c r="J53" i="13"/>
  <c r="I53" i="13"/>
  <c r="H53" i="13"/>
  <c r="G53" i="13"/>
  <c r="K52" i="13"/>
  <c r="J52" i="13"/>
  <c r="I52" i="13"/>
  <c r="H52" i="13"/>
  <c r="G52" i="13"/>
  <c r="K51" i="13"/>
  <c r="J51" i="13"/>
  <c r="I51" i="13"/>
  <c r="H51" i="13"/>
  <c r="G51" i="13"/>
  <c r="K50" i="13"/>
  <c r="J50" i="13"/>
  <c r="I50" i="13"/>
  <c r="H50" i="13"/>
  <c r="G50" i="13"/>
  <c r="K49" i="13"/>
  <c r="J49" i="13"/>
  <c r="I49" i="13"/>
  <c r="H49" i="13"/>
  <c r="G49" i="13"/>
  <c r="K48" i="13"/>
  <c r="J48" i="13"/>
  <c r="I48" i="13"/>
  <c r="H48" i="13"/>
  <c r="G48" i="13"/>
  <c r="K47" i="13"/>
  <c r="J47" i="13"/>
  <c r="I47" i="13"/>
  <c r="H47" i="13"/>
  <c r="G47" i="13"/>
  <c r="K46" i="13"/>
  <c r="J46" i="13"/>
  <c r="I46" i="13"/>
  <c r="H46" i="13"/>
  <c r="G46" i="13"/>
  <c r="K45" i="13"/>
  <c r="J45" i="13"/>
  <c r="I45" i="13"/>
  <c r="H45" i="13"/>
  <c r="G45" i="13"/>
  <c r="K44" i="13"/>
  <c r="J44" i="13"/>
  <c r="I44" i="13"/>
  <c r="H44" i="13"/>
  <c r="G44" i="13"/>
  <c r="K43" i="13"/>
  <c r="J43" i="13"/>
  <c r="I43" i="13"/>
  <c r="H43" i="13"/>
  <c r="G43" i="13"/>
  <c r="K42" i="13"/>
  <c r="J42" i="13"/>
  <c r="I42" i="13"/>
  <c r="H42" i="13"/>
  <c r="G42" i="13"/>
  <c r="K41" i="13"/>
  <c r="J41" i="13"/>
  <c r="I41" i="13"/>
  <c r="H41" i="13"/>
  <c r="G41" i="13"/>
  <c r="K40" i="13"/>
  <c r="J40" i="13"/>
  <c r="I40" i="13"/>
  <c r="H40" i="13"/>
  <c r="G40" i="13"/>
  <c r="K39" i="13"/>
  <c r="J39" i="13"/>
  <c r="I39" i="13"/>
  <c r="H39" i="13"/>
  <c r="G39" i="13"/>
  <c r="K38" i="13"/>
  <c r="J38" i="13"/>
  <c r="I38" i="13"/>
  <c r="H38" i="13"/>
  <c r="G38" i="13"/>
  <c r="K37" i="13"/>
  <c r="J37" i="13"/>
  <c r="I37" i="13"/>
  <c r="H37" i="13"/>
  <c r="G37" i="13"/>
  <c r="K36" i="13"/>
  <c r="J36" i="13"/>
  <c r="I36" i="13"/>
  <c r="H36" i="13"/>
  <c r="G36" i="13"/>
  <c r="K35" i="13"/>
  <c r="J35" i="13"/>
  <c r="I35" i="13"/>
  <c r="H35" i="13"/>
  <c r="G35" i="13"/>
  <c r="K32" i="13"/>
  <c r="J32" i="13"/>
  <c r="I32" i="13"/>
  <c r="H32" i="13"/>
  <c r="G32" i="13"/>
  <c r="K31" i="13"/>
  <c r="J31" i="13"/>
  <c r="I31" i="13"/>
  <c r="H31" i="13"/>
  <c r="G31" i="13"/>
  <c r="K28" i="13"/>
  <c r="J28" i="13"/>
  <c r="I28" i="13"/>
  <c r="H28" i="13"/>
  <c r="G28" i="13"/>
  <c r="K27" i="13"/>
  <c r="J27" i="13"/>
  <c r="I27" i="13"/>
  <c r="H27" i="13"/>
  <c r="G27" i="13"/>
  <c r="K26" i="13"/>
  <c r="J26" i="13"/>
  <c r="I26" i="13"/>
  <c r="H26" i="13"/>
  <c r="G26" i="13"/>
  <c r="K25" i="13"/>
  <c r="J25" i="13"/>
  <c r="I25" i="13"/>
  <c r="H25" i="13"/>
  <c r="G25" i="13"/>
  <c r="K24" i="13"/>
  <c r="J24" i="13"/>
  <c r="I24" i="13"/>
  <c r="H24" i="13"/>
  <c r="G24" i="13"/>
  <c r="K23" i="13"/>
  <c r="J23" i="13"/>
  <c r="I23" i="13"/>
  <c r="H23" i="13"/>
  <c r="G23" i="13"/>
  <c r="K22" i="13"/>
  <c r="J22" i="13"/>
  <c r="I22" i="13"/>
  <c r="H22" i="13"/>
  <c r="G22" i="13"/>
  <c r="K21" i="13"/>
  <c r="J21" i="13"/>
  <c r="I21" i="13"/>
  <c r="H21" i="13"/>
  <c r="G21" i="13"/>
  <c r="K20" i="13"/>
  <c r="J20" i="13"/>
  <c r="I20" i="13"/>
  <c r="H20" i="13"/>
  <c r="G20" i="13"/>
  <c r="K19" i="13"/>
  <c r="J19" i="13"/>
  <c r="I19" i="13"/>
  <c r="H19" i="13"/>
  <c r="G19" i="13"/>
  <c r="K18" i="13"/>
  <c r="J18" i="13"/>
  <c r="I18" i="13"/>
  <c r="H18" i="13"/>
  <c r="G18" i="13"/>
  <c r="K17" i="13"/>
  <c r="J17" i="13"/>
  <c r="I17" i="13"/>
  <c r="H17" i="13"/>
  <c r="G17" i="13"/>
  <c r="K16" i="13"/>
  <c r="J16" i="13"/>
  <c r="I16" i="13"/>
  <c r="H16" i="13"/>
  <c r="G16" i="13"/>
  <c r="K15" i="13"/>
  <c r="J15" i="13"/>
  <c r="I15" i="13"/>
  <c r="H15" i="13"/>
  <c r="G15" i="13"/>
  <c r="K14" i="13"/>
  <c r="J14" i="13"/>
  <c r="I14" i="13"/>
  <c r="H14" i="13"/>
  <c r="G14" i="13"/>
  <c r="K13" i="13"/>
  <c r="J13" i="13"/>
  <c r="I13" i="13"/>
  <c r="H13" i="13"/>
  <c r="G13" i="13"/>
  <c r="K12" i="13"/>
  <c r="J12" i="13"/>
  <c r="I12" i="13"/>
  <c r="H12" i="13"/>
  <c r="G12" i="13"/>
  <c r="K10" i="13"/>
  <c r="J10" i="13"/>
  <c r="I10" i="13"/>
  <c r="H10" i="13"/>
  <c r="G10" i="13"/>
  <c r="K9" i="13"/>
  <c r="J9" i="13"/>
  <c r="I9" i="13"/>
  <c r="H9" i="13"/>
  <c r="G9" i="13"/>
  <c r="K8" i="13"/>
  <c r="J8" i="13"/>
  <c r="I8" i="13"/>
  <c r="H8" i="13"/>
  <c r="G8" i="13"/>
  <c r="K7" i="13"/>
  <c r="J7" i="13"/>
  <c r="I7" i="13"/>
  <c r="H7" i="13"/>
  <c r="G7" i="13"/>
  <c r="K6" i="13"/>
  <c r="J6" i="13"/>
  <c r="I6" i="13"/>
  <c r="H6" i="13"/>
  <c r="G6" i="13"/>
  <c r="K5" i="13"/>
  <c r="J5" i="13"/>
  <c r="I5" i="13"/>
  <c r="H5" i="13"/>
  <c r="G5" i="13"/>
  <c r="K4" i="13"/>
  <c r="J4" i="13"/>
  <c r="I4" i="13"/>
  <c r="H4" i="13"/>
  <c r="G4" i="13"/>
  <c r="A14" i="13"/>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12" i="13"/>
  <c r="A13" i="13" s="1"/>
  <c r="I65" i="15" l="1"/>
  <c r="J65" i="15"/>
  <c r="G65" i="15"/>
  <c r="K65" i="15"/>
  <c r="H65" i="15"/>
  <c r="K99" i="13" l="1"/>
  <c r="J98" i="13"/>
  <c r="I98" i="13"/>
  <c r="H98" i="13"/>
  <c r="G98" i="13"/>
  <c r="J97" i="13"/>
  <c r="I97" i="13"/>
  <c r="H97" i="13"/>
  <c r="G97" i="13"/>
  <c r="I99" i="13" l="1"/>
  <c r="H99" i="13"/>
  <c r="J99" i="13"/>
  <c r="G99" i="13"/>
  <c r="J5" i="4" l="1"/>
  <c r="I5" i="4"/>
  <c r="H5" i="4"/>
  <c r="G5" i="4"/>
  <c r="J4" i="4"/>
  <c r="I4" i="4"/>
  <c r="H4" i="4"/>
  <c r="G4" i="4"/>
  <c r="J3" i="4"/>
  <c r="I3" i="4"/>
  <c r="H3" i="4"/>
  <c r="G3" i="4"/>
  <c r="J26" i="4"/>
  <c r="I26" i="4"/>
  <c r="H26" i="4"/>
  <c r="G26" i="4"/>
  <c r="J65" i="4"/>
  <c r="I65" i="4"/>
  <c r="H65" i="4"/>
  <c r="G65" i="4"/>
  <c r="A57" i="4" l="1"/>
  <c r="G134" i="11" l="1"/>
  <c r="H134" i="11"/>
  <c r="I134" i="11"/>
  <c r="J134" i="11"/>
  <c r="G133" i="11"/>
  <c r="H133" i="11"/>
  <c r="I133" i="11"/>
  <c r="J133" i="11"/>
  <c r="A166" i="1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53" i="11" l="1"/>
  <c r="A55" i="1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11" i="11"/>
  <c r="A54" i="6"/>
  <c r="A53" i="6"/>
  <c r="A60" i="5"/>
  <c r="A106" i="6"/>
  <c r="A107" i="6" s="1"/>
  <c r="A200" i="11" l="1"/>
  <c r="A77" i="11"/>
  <c r="A78" i="11" s="1"/>
  <c r="A79" i="11" s="1"/>
  <c r="A80" i="11" s="1"/>
  <c r="A82" i="11" s="1"/>
  <c r="A83" i="11" s="1"/>
  <c r="A84" i="11" s="1"/>
  <c r="A85" i="11" s="1"/>
  <c r="A87" i="11" s="1"/>
  <c r="A88" i="11" s="1"/>
  <c r="A89" i="11" s="1"/>
  <c r="A90"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J91" i="10"/>
  <c r="I91" i="10"/>
  <c r="H91" i="10"/>
  <c r="G91" i="10"/>
  <c r="J137" i="10"/>
  <c r="I137" i="10"/>
  <c r="H137" i="10"/>
  <c r="G137" i="10"/>
  <c r="A10" i="10"/>
  <c r="J50" i="10"/>
  <c r="I50" i="10"/>
  <c r="H50" i="10"/>
  <c r="G50" i="10"/>
  <c r="J119" i="10"/>
  <c r="I119" i="10"/>
  <c r="H119" i="10"/>
  <c r="G119" i="10"/>
  <c r="J126" i="10"/>
  <c r="I126" i="10"/>
  <c r="H126" i="10"/>
  <c r="G126" i="10"/>
  <c r="J53" i="12"/>
  <c r="I53" i="12"/>
  <c r="H53" i="12"/>
  <c r="G53" i="12"/>
  <c r="A53" i="12"/>
  <c r="J60" i="5" l="1"/>
  <c r="I60" i="5"/>
  <c r="H60" i="5"/>
  <c r="G60" i="5"/>
  <c r="J53" i="6"/>
  <c r="I53" i="6"/>
  <c r="H53" i="6"/>
  <c r="G53" i="6"/>
  <c r="J52" i="10"/>
  <c r="I52" i="10"/>
  <c r="H52" i="10"/>
  <c r="G52" i="10"/>
  <c r="K61" i="12"/>
  <c r="G7" i="3" s="1"/>
  <c r="J60" i="12"/>
  <c r="I60" i="12"/>
  <c r="H60" i="12"/>
  <c r="G60" i="12"/>
  <c r="J59" i="12"/>
  <c r="I59" i="12"/>
  <c r="H59" i="12"/>
  <c r="G59" i="12"/>
  <c r="J58" i="12"/>
  <c r="I58" i="12"/>
  <c r="H58" i="12"/>
  <c r="G58" i="12"/>
  <c r="J57" i="12"/>
  <c r="I57" i="12"/>
  <c r="H57" i="12"/>
  <c r="G57" i="12"/>
  <c r="J56" i="12"/>
  <c r="I56" i="12"/>
  <c r="H56" i="12"/>
  <c r="G56" i="12"/>
  <c r="J55" i="12"/>
  <c r="I55" i="12"/>
  <c r="H55" i="12"/>
  <c r="G55" i="12"/>
  <c r="J51" i="12"/>
  <c r="I51" i="12"/>
  <c r="H51" i="12"/>
  <c r="G51" i="12"/>
  <c r="J50" i="12"/>
  <c r="I50" i="12"/>
  <c r="H50" i="12"/>
  <c r="G50" i="12"/>
  <c r="J49" i="12"/>
  <c r="I49" i="12"/>
  <c r="H49" i="12"/>
  <c r="G49" i="12"/>
  <c r="J48" i="12"/>
  <c r="I48" i="12"/>
  <c r="H48" i="12"/>
  <c r="G48" i="12"/>
  <c r="J47" i="12"/>
  <c r="I47" i="12"/>
  <c r="H47" i="12"/>
  <c r="G47" i="12"/>
  <c r="J46" i="12"/>
  <c r="I46" i="12"/>
  <c r="H46" i="12"/>
  <c r="G46" i="12"/>
  <c r="J45" i="12"/>
  <c r="I45" i="12"/>
  <c r="H45" i="12"/>
  <c r="G45" i="12"/>
  <c r="J44" i="12"/>
  <c r="I44" i="12"/>
  <c r="H44" i="12"/>
  <c r="G44" i="12"/>
  <c r="J43" i="12"/>
  <c r="I43" i="12"/>
  <c r="H43" i="12"/>
  <c r="G43" i="12"/>
  <c r="J42" i="12"/>
  <c r="I42" i="12"/>
  <c r="H42" i="12"/>
  <c r="G42" i="12"/>
  <c r="J41" i="12"/>
  <c r="I41" i="12"/>
  <c r="H41" i="12"/>
  <c r="G41" i="12"/>
  <c r="J40" i="12"/>
  <c r="I40" i="12"/>
  <c r="H40" i="12"/>
  <c r="G40" i="12"/>
  <c r="J39" i="12"/>
  <c r="I39" i="12"/>
  <c r="H39" i="12"/>
  <c r="G39" i="12"/>
  <c r="J38" i="12"/>
  <c r="I38" i="12"/>
  <c r="H38" i="12"/>
  <c r="G38" i="12"/>
  <c r="J37" i="12"/>
  <c r="I37" i="12"/>
  <c r="H37" i="12"/>
  <c r="G37" i="12"/>
  <c r="J36" i="12"/>
  <c r="I36" i="12"/>
  <c r="H36" i="12"/>
  <c r="G36" i="12"/>
  <c r="J35" i="12"/>
  <c r="I35" i="12"/>
  <c r="H35" i="12"/>
  <c r="G35" i="12"/>
  <c r="J34" i="12"/>
  <c r="I34" i="12"/>
  <c r="H34" i="12"/>
  <c r="G34" i="12"/>
  <c r="J33" i="12"/>
  <c r="I33" i="12"/>
  <c r="H33" i="12"/>
  <c r="G33" i="12"/>
  <c r="J32" i="12"/>
  <c r="I32" i="12"/>
  <c r="H32" i="12"/>
  <c r="G32" i="12"/>
  <c r="J31" i="12"/>
  <c r="I31" i="12"/>
  <c r="H31" i="12"/>
  <c r="G31" i="12"/>
  <c r="J30" i="12"/>
  <c r="I30" i="12"/>
  <c r="H30" i="12"/>
  <c r="G30" i="12"/>
  <c r="J29" i="12"/>
  <c r="I29" i="12"/>
  <c r="H29" i="12"/>
  <c r="G29" i="12"/>
  <c r="J28" i="12"/>
  <c r="I28" i="12"/>
  <c r="H28" i="12"/>
  <c r="G28" i="12"/>
  <c r="J27" i="12"/>
  <c r="I27" i="12"/>
  <c r="H27" i="12"/>
  <c r="G27" i="12"/>
  <c r="J26" i="12"/>
  <c r="I26" i="12"/>
  <c r="H26" i="12"/>
  <c r="G26" i="12"/>
  <c r="J25" i="12"/>
  <c r="I25" i="12"/>
  <c r="H25" i="12"/>
  <c r="G25" i="12"/>
  <c r="J24" i="12"/>
  <c r="I24" i="12"/>
  <c r="H24" i="12"/>
  <c r="G24" i="12"/>
  <c r="J23" i="12"/>
  <c r="I23" i="12"/>
  <c r="H23" i="12"/>
  <c r="G23" i="12"/>
  <c r="J22" i="12"/>
  <c r="I22" i="12"/>
  <c r="H22" i="12"/>
  <c r="G22" i="12"/>
  <c r="J21" i="12"/>
  <c r="I21" i="12"/>
  <c r="H21" i="12"/>
  <c r="G21" i="12"/>
  <c r="J20" i="12"/>
  <c r="I20" i="12"/>
  <c r="H20" i="12"/>
  <c r="G20" i="12"/>
  <c r="J19" i="12"/>
  <c r="I19" i="12"/>
  <c r="H19" i="12"/>
  <c r="G19" i="12"/>
  <c r="J18" i="12"/>
  <c r="I18" i="12"/>
  <c r="H18" i="12"/>
  <c r="G18" i="12"/>
  <c r="J17" i="12"/>
  <c r="I17" i="12"/>
  <c r="H17" i="12"/>
  <c r="G17" i="12"/>
  <c r="J16" i="12"/>
  <c r="I16" i="12"/>
  <c r="H16" i="12"/>
  <c r="G16" i="12"/>
  <c r="J15" i="12"/>
  <c r="I15" i="12"/>
  <c r="H15" i="12"/>
  <c r="G15" i="12"/>
  <c r="J14" i="12"/>
  <c r="I14" i="12"/>
  <c r="H14" i="12"/>
  <c r="G14" i="12"/>
  <c r="J13" i="12"/>
  <c r="I13" i="12"/>
  <c r="H13" i="12"/>
  <c r="G13" i="12"/>
  <c r="J12" i="12"/>
  <c r="I12" i="12"/>
  <c r="H12" i="12"/>
  <c r="G12" i="12"/>
  <c r="A12" i="12"/>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J10" i="12"/>
  <c r="I10" i="12"/>
  <c r="H10" i="12"/>
  <c r="G10" i="12"/>
  <c r="J9" i="12"/>
  <c r="I9" i="12"/>
  <c r="H9" i="12"/>
  <c r="G9" i="12"/>
  <c r="J8" i="12"/>
  <c r="I8" i="12"/>
  <c r="H8" i="12"/>
  <c r="G8" i="12"/>
  <c r="J7" i="12"/>
  <c r="I7" i="12"/>
  <c r="H7" i="12"/>
  <c r="G7" i="12"/>
  <c r="J6" i="12"/>
  <c r="I6" i="12"/>
  <c r="H6" i="12"/>
  <c r="G6" i="12"/>
  <c r="J5" i="12"/>
  <c r="I5" i="12"/>
  <c r="H5" i="12"/>
  <c r="G5" i="12"/>
  <c r="J4" i="12"/>
  <c r="I4" i="12"/>
  <c r="H4" i="12"/>
  <c r="G4" i="12"/>
  <c r="J107" i="6"/>
  <c r="I107" i="6"/>
  <c r="H107" i="6"/>
  <c r="G107" i="6"/>
  <c r="J106" i="6"/>
  <c r="I106" i="6"/>
  <c r="H106" i="6"/>
  <c r="G106" i="6"/>
  <c r="G61" i="12" l="1"/>
  <c r="C7" i="3" s="1"/>
  <c r="J61" i="12"/>
  <c r="F7" i="3" s="1"/>
  <c r="I61" i="12"/>
  <c r="E7" i="3" s="1"/>
  <c r="H61" i="12"/>
  <c r="D7" i="3" s="1"/>
  <c r="A56" i="6"/>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J29" i="6"/>
  <c r="I29" i="6"/>
  <c r="H29" i="6"/>
  <c r="G29" i="6"/>
  <c r="K108" i="6"/>
  <c r="J49" i="6"/>
  <c r="I49" i="6"/>
  <c r="H49" i="6"/>
  <c r="G49" i="6"/>
  <c r="J104" i="6"/>
  <c r="I104" i="6"/>
  <c r="H104" i="6"/>
  <c r="G104" i="6"/>
  <c r="J103" i="6"/>
  <c r="I103" i="6"/>
  <c r="H103" i="6"/>
  <c r="G103" i="6"/>
  <c r="J102" i="6"/>
  <c r="I102" i="6"/>
  <c r="H102" i="6"/>
  <c r="G102" i="6"/>
  <c r="J101" i="6"/>
  <c r="I101" i="6"/>
  <c r="H101" i="6"/>
  <c r="G101" i="6"/>
  <c r="J100" i="6"/>
  <c r="I100" i="6"/>
  <c r="H100" i="6"/>
  <c r="G100" i="6"/>
  <c r="J99" i="6"/>
  <c r="I99" i="6"/>
  <c r="H99" i="6"/>
  <c r="G99" i="6"/>
  <c r="J57" i="6"/>
  <c r="I57" i="6"/>
  <c r="H57" i="6"/>
  <c r="G57" i="6"/>
  <c r="H7" i="3" l="1"/>
  <c r="J55" i="5"/>
  <c r="I55" i="5"/>
  <c r="H55" i="5"/>
  <c r="G55" i="5"/>
  <c r="J54" i="5"/>
  <c r="I54" i="5"/>
  <c r="H54" i="5"/>
  <c r="G54" i="5"/>
  <c r="J53" i="5"/>
  <c r="I53" i="5"/>
  <c r="H53" i="5"/>
  <c r="G53" i="5"/>
  <c r="G13" i="5"/>
  <c r="H13" i="5"/>
  <c r="I13" i="5"/>
  <c r="J13" i="5"/>
  <c r="G14" i="5"/>
  <c r="H14" i="5"/>
  <c r="I14" i="5"/>
  <c r="J14" i="5"/>
  <c r="G15" i="5"/>
  <c r="H15" i="5"/>
  <c r="I15" i="5"/>
  <c r="J15" i="5"/>
  <c r="G16" i="5"/>
  <c r="H16" i="5"/>
  <c r="I16" i="5"/>
  <c r="J16" i="5"/>
  <c r="G17" i="5"/>
  <c r="H17" i="5"/>
  <c r="I17" i="5"/>
  <c r="J17" i="5"/>
  <c r="G18" i="5"/>
  <c r="H18" i="5"/>
  <c r="I18" i="5"/>
  <c r="J18" i="5"/>
  <c r="G19" i="5"/>
  <c r="H19" i="5"/>
  <c r="I19" i="5"/>
  <c r="J19" i="5"/>
  <c r="G20" i="5"/>
  <c r="H20" i="5"/>
  <c r="I20" i="5"/>
  <c r="J20" i="5"/>
  <c r="G21" i="5"/>
  <c r="H21" i="5"/>
  <c r="I21" i="5"/>
  <c r="J21" i="5"/>
  <c r="G22" i="5"/>
  <c r="H22" i="5"/>
  <c r="I22" i="5"/>
  <c r="J22" i="5"/>
  <c r="G23" i="5"/>
  <c r="H23" i="5"/>
  <c r="I23" i="5"/>
  <c r="J23" i="5"/>
  <c r="G24" i="5"/>
  <c r="H24" i="5"/>
  <c r="I24" i="5"/>
  <c r="J24" i="5"/>
  <c r="G25" i="5"/>
  <c r="H25" i="5"/>
  <c r="I25" i="5"/>
  <c r="J25" i="5"/>
  <c r="G26" i="5"/>
  <c r="H26" i="5"/>
  <c r="I26" i="5"/>
  <c r="J26" i="5"/>
  <c r="G27" i="5"/>
  <c r="H27" i="5"/>
  <c r="I27" i="5"/>
  <c r="J27" i="5"/>
  <c r="G28" i="5"/>
  <c r="H28" i="5"/>
  <c r="I28" i="5"/>
  <c r="J28" i="5"/>
  <c r="G29" i="5"/>
  <c r="H29" i="5"/>
  <c r="I29" i="5"/>
  <c r="J29" i="5"/>
  <c r="G30" i="5"/>
  <c r="H30" i="5"/>
  <c r="I30" i="5"/>
  <c r="J30" i="5"/>
  <c r="G31" i="5"/>
  <c r="H31" i="5"/>
  <c r="I31" i="5"/>
  <c r="J31" i="5"/>
  <c r="G32" i="5"/>
  <c r="H32" i="5"/>
  <c r="I32" i="5"/>
  <c r="J32" i="5"/>
  <c r="G33" i="5"/>
  <c r="H33" i="5"/>
  <c r="I33" i="5"/>
  <c r="J33" i="5"/>
  <c r="G34" i="5"/>
  <c r="H34" i="5"/>
  <c r="I34" i="5"/>
  <c r="J34" i="5"/>
  <c r="G35" i="5"/>
  <c r="H35" i="5"/>
  <c r="I35" i="5"/>
  <c r="J35" i="5"/>
  <c r="G36" i="5"/>
  <c r="H36" i="5"/>
  <c r="I36" i="5"/>
  <c r="J36" i="5"/>
  <c r="G37" i="5"/>
  <c r="H37" i="5"/>
  <c r="I37" i="5"/>
  <c r="J37" i="5"/>
  <c r="G38" i="5"/>
  <c r="H38" i="5"/>
  <c r="I38" i="5"/>
  <c r="J38" i="5"/>
  <c r="G39" i="5"/>
  <c r="H39" i="5"/>
  <c r="I39" i="5"/>
  <c r="J39" i="5"/>
  <c r="G40" i="5"/>
  <c r="H40" i="5"/>
  <c r="I40" i="5"/>
  <c r="J40" i="5"/>
  <c r="G41" i="5"/>
  <c r="H41" i="5"/>
  <c r="I41" i="5"/>
  <c r="J41" i="5"/>
  <c r="G42" i="5"/>
  <c r="H42" i="5"/>
  <c r="I42" i="5"/>
  <c r="J42" i="5"/>
  <c r="G43" i="5"/>
  <c r="H43" i="5"/>
  <c r="I43" i="5"/>
  <c r="J43" i="5"/>
  <c r="G44" i="5"/>
  <c r="H44" i="5"/>
  <c r="I44" i="5"/>
  <c r="J44" i="5"/>
  <c r="G45" i="5"/>
  <c r="H45" i="5"/>
  <c r="I45" i="5"/>
  <c r="J45" i="5"/>
  <c r="G46" i="5"/>
  <c r="H46" i="5"/>
  <c r="I46" i="5"/>
  <c r="J46" i="5"/>
  <c r="G47" i="5"/>
  <c r="H47" i="5"/>
  <c r="I47" i="5"/>
  <c r="J47" i="5"/>
  <c r="G48" i="5"/>
  <c r="H48" i="5"/>
  <c r="I48" i="5"/>
  <c r="J48" i="5"/>
  <c r="G49" i="5"/>
  <c r="H49" i="5"/>
  <c r="I49" i="5"/>
  <c r="J49" i="5"/>
  <c r="G50" i="5"/>
  <c r="H50" i="5"/>
  <c r="I50" i="5"/>
  <c r="J50" i="5"/>
  <c r="G51" i="5"/>
  <c r="H51" i="5"/>
  <c r="I51" i="5"/>
  <c r="J51" i="5"/>
  <c r="J12" i="5"/>
  <c r="I12" i="5"/>
  <c r="H12" i="5"/>
  <c r="G12" i="5"/>
  <c r="J7" i="5"/>
  <c r="I7" i="5"/>
  <c r="H7" i="5"/>
  <c r="G7" i="5"/>
  <c r="J6" i="5"/>
  <c r="I6" i="5"/>
  <c r="H6" i="5"/>
  <c r="G6" i="5"/>
  <c r="J5" i="5"/>
  <c r="I5" i="5"/>
  <c r="H5" i="5"/>
  <c r="G5" i="5"/>
  <c r="J4" i="5"/>
  <c r="I4" i="5"/>
  <c r="H4" i="5"/>
  <c r="G4" i="5"/>
  <c r="J10" i="5" l="1"/>
  <c r="I10" i="5"/>
  <c r="H10" i="5"/>
  <c r="G10" i="5"/>
  <c r="J9" i="5"/>
  <c r="I9" i="5"/>
  <c r="H9" i="5"/>
  <c r="G9" i="5"/>
  <c r="J8" i="5"/>
  <c r="I8" i="5"/>
  <c r="H8" i="5"/>
  <c r="G8" i="5"/>
  <c r="A12" i="5"/>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J25" i="4" l="1"/>
  <c r="I25" i="4"/>
  <c r="H25" i="4"/>
  <c r="G25" i="4"/>
  <c r="J24" i="4"/>
  <c r="I24" i="4"/>
  <c r="H24" i="4"/>
  <c r="G24" i="4"/>
  <c r="J23" i="4"/>
  <c r="I23" i="4"/>
  <c r="H23" i="4"/>
  <c r="G23" i="4"/>
  <c r="J22" i="4"/>
  <c r="I22" i="4"/>
  <c r="H22" i="4"/>
  <c r="G22" i="4"/>
  <c r="J21" i="4"/>
  <c r="I21" i="4"/>
  <c r="H21" i="4"/>
  <c r="G21" i="4"/>
  <c r="J20" i="4"/>
  <c r="I20" i="4"/>
  <c r="H20" i="4"/>
  <c r="G20" i="4"/>
  <c r="J16" i="4"/>
  <c r="I16" i="4"/>
  <c r="H16" i="4"/>
  <c r="G16" i="4"/>
  <c r="J59" i="4" l="1"/>
  <c r="I59" i="4"/>
  <c r="H59" i="4"/>
  <c r="G59" i="4"/>
  <c r="J58" i="4"/>
  <c r="I58" i="4"/>
  <c r="H58" i="4"/>
  <c r="G58" i="4"/>
  <c r="J57" i="4"/>
  <c r="I57" i="4"/>
  <c r="H57" i="4"/>
  <c r="G57" i="4"/>
  <c r="J55" i="4"/>
  <c r="I55" i="4"/>
  <c r="H55" i="4"/>
  <c r="G55" i="4"/>
  <c r="J54" i="4"/>
  <c r="I54" i="4"/>
  <c r="H54" i="4"/>
  <c r="G54" i="4"/>
  <c r="J53" i="4"/>
  <c r="I53" i="4"/>
  <c r="H53" i="4"/>
  <c r="G53" i="4"/>
  <c r="J52" i="4"/>
  <c r="I52" i="4"/>
  <c r="H52" i="4"/>
  <c r="G52" i="4"/>
  <c r="J51" i="4"/>
  <c r="I51" i="4"/>
  <c r="H51" i="4"/>
  <c r="G51" i="4"/>
  <c r="J50" i="4"/>
  <c r="I50" i="4"/>
  <c r="H50" i="4"/>
  <c r="G50" i="4"/>
  <c r="J49" i="4"/>
  <c r="I49" i="4"/>
  <c r="H49" i="4"/>
  <c r="G49" i="4"/>
  <c r="J48" i="4"/>
  <c r="I48" i="4"/>
  <c r="H48" i="4"/>
  <c r="G48" i="4"/>
  <c r="J47" i="4"/>
  <c r="I47" i="4"/>
  <c r="H47" i="4"/>
  <c r="G47" i="4"/>
  <c r="J46" i="4"/>
  <c r="I46" i="4"/>
  <c r="H46" i="4"/>
  <c r="G46" i="4"/>
  <c r="J45" i="4"/>
  <c r="I45" i="4"/>
  <c r="H45" i="4"/>
  <c r="G45" i="4"/>
  <c r="J44" i="4"/>
  <c r="I44" i="4"/>
  <c r="H44" i="4"/>
  <c r="G44" i="4"/>
  <c r="J43" i="4"/>
  <c r="I43" i="4"/>
  <c r="H43" i="4"/>
  <c r="G43" i="4"/>
  <c r="J42" i="4"/>
  <c r="I42" i="4"/>
  <c r="H42" i="4"/>
  <c r="G42" i="4"/>
  <c r="J41" i="4"/>
  <c r="I41" i="4"/>
  <c r="H41" i="4"/>
  <c r="G41" i="4"/>
  <c r="J40" i="4"/>
  <c r="I40" i="4"/>
  <c r="H40" i="4"/>
  <c r="G40" i="4"/>
  <c r="J39" i="4"/>
  <c r="I39" i="4"/>
  <c r="H39" i="4"/>
  <c r="G39" i="4"/>
  <c r="J38" i="4"/>
  <c r="I38" i="4"/>
  <c r="H38" i="4"/>
  <c r="G38" i="4"/>
  <c r="J37" i="4"/>
  <c r="I37" i="4"/>
  <c r="H37" i="4"/>
  <c r="G37" i="4"/>
  <c r="J36" i="4"/>
  <c r="I36" i="4"/>
  <c r="H36" i="4"/>
  <c r="G36" i="4"/>
  <c r="J35" i="4"/>
  <c r="I35" i="4"/>
  <c r="H35" i="4"/>
  <c r="G35" i="4"/>
  <c r="J34" i="4"/>
  <c r="I34" i="4"/>
  <c r="H34" i="4"/>
  <c r="G34" i="4"/>
  <c r="J33" i="4"/>
  <c r="I33" i="4"/>
  <c r="H33" i="4"/>
  <c r="G33" i="4"/>
  <c r="J29" i="4"/>
  <c r="I29" i="4"/>
  <c r="H29" i="4"/>
  <c r="G29" i="4"/>
  <c r="J28" i="4"/>
  <c r="I28" i="4"/>
  <c r="H28" i="4"/>
  <c r="G28" i="4"/>
  <c r="J27" i="4"/>
  <c r="I27" i="4"/>
  <c r="H27" i="4"/>
  <c r="G27" i="4"/>
  <c r="J19" i="4"/>
  <c r="I19" i="4"/>
  <c r="H19" i="4"/>
  <c r="G19" i="4"/>
  <c r="J18" i="4"/>
  <c r="I18" i="4"/>
  <c r="H18" i="4"/>
  <c r="G18" i="4"/>
  <c r="J17" i="4"/>
  <c r="I17" i="4"/>
  <c r="H17" i="4"/>
  <c r="G17" i="4"/>
  <c r="J15" i="4"/>
  <c r="I15" i="4"/>
  <c r="H15" i="4"/>
  <c r="G15" i="4"/>
  <c r="J14" i="4"/>
  <c r="I14" i="4"/>
  <c r="H14" i="4"/>
  <c r="G14" i="4"/>
  <c r="J13" i="4"/>
  <c r="I13" i="4"/>
  <c r="H13" i="4"/>
  <c r="G13" i="4"/>
  <c r="J12" i="4"/>
  <c r="I12" i="4"/>
  <c r="H12" i="4"/>
  <c r="G12" i="4"/>
  <c r="J11" i="4"/>
  <c r="I11" i="4"/>
  <c r="H11" i="4"/>
  <c r="G11" i="4"/>
  <c r="J10" i="4"/>
  <c r="I10" i="4"/>
  <c r="H10" i="4"/>
  <c r="G10" i="4"/>
  <c r="J9" i="4"/>
  <c r="I9" i="4"/>
  <c r="H9" i="4"/>
  <c r="G9" i="4"/>
  <c r="J213" i="11" l="1"/>
  <c r="I213" i="11"/>
  <c r="H213" i="11"/>
  <c r="G213" i="11"/>
  <c r="G198" i="11"/>
  <c r="H198" i="11"/>
  <c r="I198" i="11"/>
  <c r="J198" i="11"/>
  <c r="J221" i="11"/>
  <c r="I221" i="11"/>
  <c r="H221" i="11"/>
  <c r="G221" i="11"/>
  <c r="J220" i="11"/>
  <c r="I220" i="11"/>
  <c r="H220" i="11"/>
  <c r="G220" i="11"/>
  <c r="J219" i="11"/>
  <c r="I219" i="11"/>
  <c r="H219" i="11"/>
  <c r="G219" i="11"/>
  <c r="J218" i="11"/>
  <c r="I218" i="11"/>
  <c r="H218" i="11"/>
  <c r="G218" i="11"/>
  <c r="J217" i="11"/>
  <c r="I217" i="11"/>
  <c r="H217" i="11"/>
  <c r="G217" i="11"/>
  <c r="J216" i="11"/>
  <c r="I216" i="11"/>
  <c r="H216" i="11"/>
  <c r="G216" i="11"/>
  <c r="J215" i="11"/>
  <c r="I215" i="11"/>
  <c r="H215" i="11"/>
  <c r="G215" i="11"/>
  <c r="J214" i="11"/>
  <c r="I214" i="11"/>
  <c r="H214" i="11"/>
  <c r="G214" i="11"/>
  <c r="J212" i="11"/>
  <c r="I212" i="11"/>
  <c r="H212" i="11"/>
  <c r="G212" i="11"/>
  <c r="J211" i="11"/>
  <c r="I211" i="11"/>
  <c r="H211" i="11"/>
  <c r="G211" i="11"/>
  <c r="J210" i="11"/>
  <c r="I210" i="11"/>
  <c r="H210" i="11"/>
  <c r="G210" i="11"/>
  <c r="J209" i="11"/>
  <c r="I209" i="11"/>
  <c r="H209" i="11"/>
  <c r="G209" i="11"/>
  <c r="J208" i="11"/>
  <c r="I208" i="11"/>
  <c r="H208" i="11"/>
  <c r="G208" i="11"/>
  <c r="J207" i="11"/>
  <c r="I207" i="11"/>
  <c r="H207" i="11"/>
  <c r="G207" i="11"/>
  <c r="J206" i="11"/>
  <c r="I206" i="11"/>
  <c r="H206" i="11"/>
  <c r="G206" i="11"/>
  <c r="J205" i="11"/>
  <c r="I205" i="11"/>
  <c r="H205" i="11"/>
  <c r="G205" i="11"/>
  <c r="J204" i="11"/>
  <c r="I204" i="11"/>
  <c r="H204" i="11"/>
  <c r="G204" i="11"/>
  <c r="J203" i="11"/>
  <c r="I203" i="11"/>
  <c r="H203" i="11"/>
  <c r="G203" i="11"/>
  <c r="J202" i="11"/>
  <c r="I202" i="11"/>
  <c r="H202" i="11"/>
  <c r="G202" i="11"/>
  <c r="J200" i="11"/>
  <c r="I200" i="11"/>
  <c r="H200" i="11"/>
  <c r="G200" i="11"/>
  <c r="J199" i="11"/>
  <c r="I199" i="11"/>
  <c r="H199" i="11"/>
  <c r="G199" i="11"/>
  <c r="J197" i="11"/>
  <c r="I197" i="11"/>
  <c r="H197" i="11"/>
  <c r="G197" i="11"/>
  <c r="J196" i="11"/>
  <c r="I196" i="11"/>
  <c r="H196" i="11"/>
  <c r="G196" i="11"/>
  <c r="J195" i="11"/>
  <c r="I195" i="11"/>
  <c r="H195" i="11"/>
  <c r="G195" i="11"/>
  <c r="J194" i="11"/>
  <c r="I194" i="11"/>
  <c r="H194" i="11"/>
  <c r="G194" i="11"/>
  <c r="J193" i="11"/>
  <c r="I193" i="11"/>
  <c r="H193" i="11"/>
  <c r="G193" i="11"/>
  <c r="J192" i="11"/>
  <c r="I192" i="11"/>
  <c r="H192" i="11"/>
  <c r="G192" i="11"/>
  <c r="J191" i="11"/>
  <c r="I191" i="11"/>
  <c r="H191" i="11"/>
  <c r="G191" i="11"/>
  <c r="J190" i="11"/>
  <c r="I190" i="11"/>
  <c r="H190" i="11"/>
  <c r="G190" i="11"/>
  <c r="J189" i="11"/>
  <c r="I189" i="11"/>
  <c r="H189" i="11"/>
  <c r="G189" i="11"/>
  <c r="J188" i="11"/>
  <c r="I188" i="11"/>
  <c r="H188" i="11"/>
  <c r="G188" i="11"/>
  <c r="J187" i="11"/>
  <c r="I187" i="11"/>
  <c r="H187" i="11"/>
  <c r="G187" i="11"/>
  <c r="J186" i="11"/>
  <c r="I186" i="11"/>
  <c r="H186" i="11"/>
  <c r="G186" i="11"/>
  <c r="J185" i="11"/>
  <c r="I185" i="11"/>
  <c r="H185" i="11"/>
  <c r="G185" i="11"/>
  <c r="J184" i="11"/>
  <c r="I184" i="11"/>
  <c r="H184" i="11"/>
  <c r="G184" i="11"/>
  <c r="J183" i="11"/>
  <c r="I183" i="11"/>
  <c r="H183" i="11"/>
  <c r="G183" i="11"/>
  <c r="J182" i="11"/>
  <c r="I182" i="11"/>
  <c r="H182" i="11"/>
  <c r="G182" i="11"/>
  <c r="J181" i="11"/>
  <c r="I181" i="11"/>
  <c r="H181" i="11"/>
  <c r="G181" i="11"/>
  <c r="J180" i="11"/>
  <c r="I180" i="11"/>
  <c r="H180" i="11"/>
  <c r="G180" i="11"/>
  <c r="J179" i="11"/>
  <c r="I179" i="11"/>
  <c r="H179" i="11"/>
  <c r="G179" i="11"/>
  <c r="J178" i="11"/>
  <c r="I178" i="11"/>
  <c r="H178" i="11"/>
  <c r="G178" i="11"/>
  <c r="J177" i="11"/>
  <c r="I177" i="11"/>
  <c r="H177" i="11"/>
  <c r="G177" i="11"/>
  <c r="J176" i="11"/>
  <c r="I176" i="11"/>
  <c r="H176" i="11"/>
  <c r="G176" i="11"/>
  <c r="J175" i="11"/>
  <c r="I175" i="11"/>
  <c r="H175" i="11"/>
  <c r="G175" i="11"/>
  <c r="J174" i="11"/>
  <c r="I174" i="11"/>
  <c r="H174" i="11"/>
  <c r="G174" i="11"/>
  <c r="J173" i="11"/>
  <c r="I173" i="11"/>
  <c r="H173" i="11"/>
  <c r="G173" i="11"/>
  <c r="J172" i="11"/>
  <c r="I172" i="11"/>
  <c r="H172" i="11"/>
  <c r="G172" i="11"/>
  <c r="J171" i="11"/>
  <c r="I171" i="11"/>
  <c r="H171" i="11"/>
  <c r="G171" i="11"/>
  <c r="J170" i="11"/>
  <c r="I170" i="11"/>
  <c r="H170" i="11"/>
  <c r="G170" i="11"/>
  <c r="J169" i="11"/>
  <c r="I169" i="11"/>
  <c r="H169" i="11"/>
  <c r="G169" i="11"/>
  <c r="J168" i="11"/>
  <c r="I168" i="11"/>
  <c r="H168" i="11"/>
  <c r="G168" i="11"/>
  <c r="J167" i="11"/>
  <c r="I167" i="11"/>
  <c r="H167" i="11"/>
  <c r="G167" i="11"/>
  <c r="J166" i="11"/>
  <c r="I166" i="11"/>
  <c r="H166" i="11"/>
  <c r="G166" i="11"/>
  <c r="J124" i="11"/>
  <c r="I124" i="11"/>
  <c r="H124" i="11"/>
  <c r="G124" i="11"/>
  <c r="J123" i="11"/>
  <c r="I123" i="11"/>
  <c r="H123" i="11"/>
  <c r="G123" i="11"/>
  <c r="J122" i="11"/>
  <c r="I122" i="11"/>
  <c r="H122" i="11"/>
  <c r="G122" i="11"/>
  <c r="J121" i="11"/>
  <c r="I121" i="11"/>
  <c r="H121" i="11"/>
  <c r="G121" i="11"/>
  <c r="J120" i="11"/>
  <c r="I120" i="11"/>
  <c r="H120" i="11"/>
  <c r="G120" i="11"/>
  <c r="J119" i="11"/>
  <c r="I119" i="11"/>
  <c r="H119" i="11"/>
  <c r="G119" i="11"/>
  <c r="J118" i="11"/>
  <c r="I118" i="11"/>
  <c r="H118" i="11"/>
  <c r="G118" i="11"/>
  <c r="J117" i="11"/>
  <c r="I117" i="11"/>
  <c r="H117" i="11"/>
  <c r="G117" i="11"/>
  <c r="J116" i="11"/>
  <c r="I116" i="11"/>
  <c r="H116" i="11"/>
  <c r="G116" i="11"/>
  <c r="J115" i="11"/>
  <c r="I115" i="11"/>
  <c r="H115" i="11"/>
  <c r="G115" i="11"/>
  <c r="J114" i="11"/>
  <c r="I114" i="11"/>
  <c r="H114" i="11"/>
  <c r="G114" i="11"/>
  <c r="J113" i="11"/>
  <c r="I113" i="11"/>
  <c r="H113" i="11"/>
  <c r="G113" i="11"/>
  <c r="J112" i="11"/>
  <c r="I112" i="11"/>
  <c r="H112" i="11"/>
  <c r="G112" i="11"/>
  <c r="J111" i="11"/>
  <c r="I111" i="11"/>
  <c r="H111" i="11"/>
  <c r="G111" i="11"/>
  <c r="J110" i="11"/>
  <c r="I110" i="11"/>
  <c r="H110" i="11"/>
  <c r="G110" i="11"/>
  <c r="J109" i="11"/>
  <c r="I109" i="11"/>
  <c r="H109" i="11"/>
  <c r="G109" i="11"/>
  <c r="J108" i="11"/>
  <c r="I108" i="11"/>
  <c r="H108" i="11"/>
  <c r="G108" i="11"/>
  <c r="J107" i="11"/>
  <c r="I107" i="11"/>
  <c r="H107" i="11"/>
  <c r="G107" i="11"/>
  <c r="J106" i="11"/>
  <c r="I106" i="11"/>
  <c r="H106" i="11"/>
  <c r="G106" i="11"/>
  <c r="J105" i="11"/>
  <c r="I105" i="11"/>
  <c r="H105" i="11"/>
  <c r="G105" i="11"/>
  <c r="J152" i="11"/>
  <c r="I152" i="11"/>
  <c r="H152" i="11"/>
  <c r="G152" i="11"/>
  <c r="J151" i="11"/>
  <c r="I151" i="11"/>
  <c r="H151" i="11"/>
  <c r="G151" i="11"/>
  <c r="J150" i="11"/>
  <c r="I150" i="11"/>
  <c r="H150" i="11"/>
  <c r="G150" i="11"/>
  <c r="J149" i="11"/>
  <c r="I149" i="11"/>
  <c r="H149" i="11"/>
  <c r="G149" i="11"/>
  <c r="J148" i="11"/>
  <c r="I148" i="11"/>
  <c r="H148" i="11"/>
  <c r="G148" i="11"/>
  <c r="J147" i="11"/>
  <c r="I147" i="11"/>
  <c r="H147" i="11"/>
  <c r="G147" i="11"/>
  <c r="J146" i="11"/>
  <c r="I146" i="11"/>
  <c r="H146" i="11"/>
  <c r="G146" i="11"/>
  <c r="J145" i="11"/>
  <c r="I145" i="11"/>
  <c r="H145" i="11"/>
  <c r="G145" i="11"/>
  <c r="J144" i="11"/>
  <c r="I144" i="11"/>
  <c r="H144" i="11"/>
  <c r="G144" i="11"/>
  <c r="J143" i="11"/>
  <c r="I143" i="11"/>
  <c r="H143" i="11"/>
  <c r="G143" i="11"/>
  <c r="J142" i="11"/>
  <c r="I142" i="11"/>
  <c r="H142" i="11"/>
  <c r="G142" i="11"/>
  <c r="J141" i="11"/>
  <c r="I141" i="11"/>
  <c r="H141" i="11"/>
  <c r="G141" i="11"/>
  <c r="J140" i="11"/>
  <c r="I140" i="11"/>
  <c r="H140" i="11"/>
  <c r="G140" i="11"/>
  <c r="J139" i="11"/>
  <c r="I139" i="11"/>
  <c r="H139" i="11"/>
  <c r="G139" i="11"/>
  <c r="J138" i="11"/>
  <c r="I138" i="11"/>
  <c r="H138" i="11"/>
  <c r="G138" i="11"/>
  <c r="J137" i="11"/>
  <c r="I137" i="11"/>
  <c r="H137" i="11"/>
  <c r="G137" i="11"/>
  <c r="J136" i="11"/>
  <c r="I136" i="11"/>
  <c r="H136" i="11"/>
  <c r="G136" i="11"/>
  <c r="J135" i="11"/>
  <c r="I135" i="11"/>
  <c r="H135" i="11"/>
  <c r="G135" i="11"/>
  <c r="K232" i="11"/>
  <c r="G9" i="3" s="1"/>
  <c r="J226" i="11"/>
  <c r="I226" i="11"/>
  <c r="H226" i="11"/>
  <c r="G226" i="11"/>
  <c r="J225" i="11"/>
  <c r="I225" i="11"/>
  <c r="H225" i="11"/>
  <c r="G225" i="11"/>
  <c r="J224" i="11"/>
  <c r="I224" i="11"/>
  <c r="H224" i="11"/>
  <c r="G224" i="11"/>
  <c r="J223" i="11"/>
  <c r="I223" i="11"/>
  <c r="H223" i="11"/>
  <c r="G223" i="11"/>
  <c r="J164" i="11"/>
  <c r="I164" i="11"/>
  <c r="H164" i="11"/>
  <c r="G164" i="11"/>
  <c r="J163" i="11"/>
  <c r="I163" i="11"/>
  <c r="H163" i="11"/>
  <c r="G163" i="11"/>
  <c r="J162" i="11"/>
  <c r="I162" i="11"/>
  <c r="H162" i="11"/>
  <c r="G162" i="11"/>
  <c r="J161" i="11"/>
  <c r="I161" i="11"/>
  <c r="H161" i="11"/>
  <c r="G161" i="11"/>
  <c r="J160" i="11"/>
  <c r="I160" i="11"/>
  <c r="H160" i="11"/>
  <c r="G160" i="11"/>
  <c r="J159" i="11"/>
  <c r="I159" i="11"/>
  <c r="H159" i="11"/>
  <c r="G159" i="11"/>
  <c r="J158" i="11"/>
  <c r="I158" i="11"/>
  <c r="H158" i="11"/>
  <c r="G158" i="11"/>
  <c r="J157" i="11"/>
  <c r="I157" i="11"/>
  <c r="H157" i="11"/>
  <c r="G157" i="11"/>
  <c r="J156" i="11"/>
  <c r="I156" i="11"/>
  <c r="H156" i="11"/>
  <c r="G156" i="11"/>
  <c r="J155" i="11"/>
  <c r="I155" i="11"/>
  <c r="H155" i="11"/>
  <c r="G155" i="11"/>
  <c r="J154" i="11"/>
  <c r="I154" i="11"/>
  <c r="H154" i="11"/>
  <c r="G154" i="11"/>
  <c r="J153" i="11"/>
  <c r="I153" i="11"/>
  <c r="H153" i="11"/>
  <c r="G153" i="11"/>
  <c r="J132" i="11"/>
  <c r="I132" i="11"/>
  <c r="H132" i="11"/>
  <c r="G132" i="11"/>
  <c r="J131" i="11"/>
  <c r="I131" i="11"/>
  <c r="H131" i="11"/>
  <c r="G131" i="11"/>
  <c r="J130" i="11"/>
  <c r="I130" i="11"/>
  <c r="H130" i="11"/>
  <c r="G130" i="11"/>
  <c r="J129" i="11"/>
  <c r="I129" i="11"/>
  <c r="H129" i="11"/>
  <c r="G129" i="11"/>
  <c r="J128" i="11"/>
  <c r="I128" i="11"/>
  <c r="H128" i="11"/>
  <c r="G128" i="11"/>
  <c r="J127" i="11"/>
  <c r="I127" i="11"/>
  <c r="H127" i="11"/>
  <c r="G127" i="11"/>
  <c r="J126" i="11"/>
  <c r="I126" i="11"/>
  <c r="H126" i="11"/>
  <c r="G126" i="11"/>
  <c r="J125" i="11"/>
  <c r="I125" i="11"/>
  <c r="H125" i="11"/>
  <c r="G125" i="11"/>
  <c r="J104" i="11"/>
  <c r="I104" i="11"/>
  <c r="H104" i="11"/>
  <c r="G104" i="11"/>
  <c r="J103" i="11"/>
  <c r="I103" i="11"/>
  <c r="H103" i="11"/>
  <c r="G103" i="11"/>
  <c r="J102" i="11"/>
  <c r="I102" i="11"/>
  <c r="H102" i="11"/>
  <c r="G102" i="11"/>
  <c r="J101" i="11"/>
  <c r="I101" i="11"/>
  <c r="H101" i="11"/>
  <c r="G101" i="11"/>
  <c r="J100" i="11"/>
  <c r="I100" i="11"/>
  <c r="H100" i="11"/>
  <c r="G100" i="11"/>
  <c r="J99" i="11"/>
  <c r="I99" i="11"/>
  <c r="H99" i="11"/>
  <c r="G99" i="11"/>
  <c r="J98" i="11"/>
  <c r="I98" i="11"/>
  <c r="H98" i="11"/>
  <c r="G98" i="11"/>
  <c r="J97" i="11"/>
  <c r="I97" i="11"/>
  <c r="H97" i="11"/>
  <c r="G97" i="11"/>
  <c r="J96" i="11"/>
  <c r="I96" i="11"/>
  <c r="H96" i="11"/>
  <c r="G96" i="11"/>
  <c r="J95" i="11"/>
  <c r="I95" i="11"/>
  <c r="H95" i="11"/>
  <c r="G95" i="11"/>
  <c r="J94" i="11"/>
  <c r="I94" i="11"/>
  <c r="H94" i="11"/>
  <c r="G94" i="11"/>
  <c r="J93" i="11"/>
  <c r="I93" i="11"/>
  <c r="H93" i="11"/>
  <c r="G93" i="11"/>
  <c r="J92" i="11"/>
  <c r="I92" i="11"/>
  <c r="H92" i="11"/>
  <c r="G92" i="11"/>
  <c r="J90" i="11"/>
  <c r="I90" i="11"/>
  <c r="H90" i="11"/>
  <c r="G90" i="11"/>
  <c r="J89" i="11"/>
  <c r="I89" i="11"/>
  <c r="H89" i="11"/>
  <c r="G89" i="11"/>
  <c r="J88" i="11"/>
  <c r="I88" i="11"/>
  <c r="H88" i="11"/>
  <c r="G88" i="11"/>
  <c r="J87" i="11"/>
  <c r="I87" i="11"/>
  <c r="H87" i="11"/>
  <c r="G87" i="11"/>
  <c r="J85" i="11"/>
  <c r="I85" i="11"/>
  <c r="H85" i="11"/>
  <c r="G85" i="11"/>
  <c r="J84" i="11"/>
  <c r="I84" i="11"/>
  <c r="H84" i="11"/>
  <c r="G84" i="11"/>
  <c r="J83" i="11"/>
  <c r="I83" i="11"/>
  <c r="H83" i="11"/>
  <c r="G83" i="11"/>
  <c r="J82" i="11"/>
  <c r="I82" i="11"/>
  <c r="H82" i="11"/>
  <c r="G82" i="11"/>
  <c r="J80" i="11"/>
  <c r="I80" i="11"/>
  <c r="H80" i="11"/>
  <c r="G80" i="11"/>
  <c r="J79" i="11"/>
  <c r="I79" i="11"/>
  <c r="H79" i="11"/>
  <c r="G79" i="11"/>
  <c r="J78" i="11"/>
  <c r="I78" i="11"/>
  <c r="H78" i="11"/>
  <c r="G78" i="11"/>
  <c r="J77" i="11"/>
  <c r="I77" i="11"/>
  <c r="H77" i="11"/>
  <c r="G77" i="11"/>
  <c r="J75" i="11"/>
  <c r="I75" i="11"/>
  <c r="H75" i="11"/>
  <c r="G75" i="11"/>
  <c r="J74" i="11"/>
  <c r="I74" i="11"/>
  <c r="H74" i="11"/>
  <c r="G74" i="11"/>
  <c r="J73" i="11"/>
  <c r="I73" i="11"/>
  <c r="H73" i="11"/>
  <c r="G73" i="11"/>
  <c r="J72" i="11"/>
  <c r="I72" i="11"/>
  <c r="H72" i="11"/>
  <c r="G72" i="11"/>
  <c r="J71" i="11"/>
  <c r="I71" i="11"/>
  <c r="H71" i="11"/>
  <c r="G71" i="11"/>
  <c r="J70" i="11"/>
  <c r="I70" i="11"/>
  <c r="H70" i="11"/>
  <c r="G70" i="11"/>
  <c r="J69" i="11"/>
  <c r="I69" i="11"/>
  <c r="H69" i="11"/>
  <c r="G69" i="11"/>
  <c r="J68" i="11"/>
  <c r="I68" i="11"/>
  <c r="H68" i="11"/>
  <c r="G68" i="11"/>
  <c r="J67" i="11"/>
  <c r="I67" i="11"/>
  <c r="H67" i="11"/>
  <c r="G67" i="11"/>
  <c r="J66" i="11"/>
  <c r="I66" i="11"/>
  <c r="H66" i="11"/>
  <c r="G66" i="11"/>
  <c r="J65" i="11"/>
  <c r="I65" i="11"/>
  <c r="H65" i="11"/>
  <c r="G65" i="11"/>
  <c r="J64" i="11"/>
  <c r="I64" i="11"/>
  <c r="H64" i="11"/>
  <c r="G64" i="11"/>
  <c r="J63" i="11"/>
  <c r="I63" i="11"/>
  <c r="H63" i="11"/>
  <c r="G63" i="11"/>
  <c r="J62" i="11"/>
  <c r="I62" i="11"/>
  <c r="H62" i="11"/>
  <c r="G62" i="11"/>
  <c r="J61" i="11"/>
  <c r="I61" i="11"/>
  <c r="H61" i="11"/>
  <c r="G61" i="11"/>
  <c r="J60" i="11"/>
  <c r="I60" i="11"/>
  <c r="H60" i="11"/>
  <c r="G60" i="11"/>
  <c r="J59" i="11"/>
  <c r="I59" i="11"/>
  <c r="H59" i="11"/>
  <c r="G59" i="11"/>
  <c r="J58" i="11"/>
  <c r="I58" i="11"/>
  <c r="H58" i="11"/>
  <c r="G58" i="11"/>
  <c r="J57" i="11"/>
  <c r="I57" i="11"/>
  <c r="H57" i="11"/>
  <c r="G57" i="11"/>
  <c r="J55" i="11"/>
  <c r="I55" i="11"/>
  <c r="H55" i="11"/>
  <c r="G55" i="11"/>
  <c r="J50" i="11"/>
  <c r="I50" i="11"/>
  <c r="H50" i="11"/>
  <c r="G50" i="11"/>
  <c r="J49" i="11"/>
  <c r="I49" i="11"/>
  <c r="H49" i="11"/>
  <c r="G49" i="11"/>
  <c r="J48" i="11"/>
  <c r="I48" i="11"/>
  <c r="H48" i="11"/>
  <c r="G48" i="11"/>
  <c r="J47" i="11"/>
  <c r="I47" i="11"/>
  <c r="H47" i="11"/>
  <c r="G47" i="11"/>
  <c r="J46" i="11"/>
  <c r="I46" i="11"/>
  <c r="H46" i="11"/>
  <c r="G46" i="11"/>
  <c r="J45" i="11"/>
  <c r="I45" i="11"/>
  <c r="H45" i="11"/>
  <c r="G45" i="11"/>
  <c r="J44" i="11"/>
  <c r="I44" i="11"/>
  <c r="H44" i="11"/>
  <c r="G44" i="11"/>
  <c r="J43" i="11"/>
  <c r="I43" i="11"/>
  <c r="H43" i="11"/>
  <c r="G43" i="11"/>
  <c r="J42" i="11"/>
  <c r="I42" i="11"/>
  <c r="H42" i="11"/>
  <c r="G42" i="11"/>
  <c r="J41" i="11"/>
  <c r="I41" i="11"/>
  <c r="H41" i="11"/>
  <c r="G41" i="11"/>
  <c r="J40" i="11"/>
  <c r="I40" i="11"/>
  <c r="H40" i="11"/>
  <c r="G40" i="11"/>
  <c r="J39" i="11"/>
  <c r="I39" i="11"/>
  <c r="H39" i="11"/>
  <c r="G39" i="11"/>
  <c r="J38" i="11"/>
  <c r="I38" i="11"/>
  <c r="H38" i="11"/>
  <c r="G38" i="11"/>
  <c r="J37" i="11"/>
  <c r="I37" i="11"/>
  <c r="H37" i="11"/>
  <c r="G37" i="11"/>
  <c r="J36" i="11"/>
  <c r="I36" i="11"/>
  <c r="H36" i="11"/>
  <c r="G36" i="11"/>
  <c r="J35" i="11"/>
  <c r="I35" i="11"/>
  <c r="H35" i="11"/>
  <c r="G35" i="11"/>
  <c r="J34" i="11"/>
  <c r="I34" i="11"/>
  <c r="H34" i="11"/>
  <c r="G34" i="11"/>
  <c r="J33" i="11"/>
  <c r="I33" i="11"/>
  <c r="H33" i="11"/>
  <c r="G33" i="11"/>
  <c r="J32" i="11"/>
  <c r="I32" i="11"/>
  <c r="H32" i="11"/>
  <c r="G32" i="11"/>
  <c r="J31" i="11"/>
  <c r="I31" i="11"/>
  <c r="H31" i="11"/>
  <c r="G31" i="11"/>
  <c r="J30" i="11"/>
  <c r="I30" i="11"/>
  <c r="H30" i="11"/>
  <c r="G30" i="11"/>
  <c r="J29" i="11"/>
  <c r="I29" i="11"/>
  <c r="H29" i="11"/>
  <c r="G29" i="11"/>
  <c r="J28" i="11"/>
  <c r="I28" i="11"/>
  <c r="H28" i="11"/>
  <c r="G28" i="11"/>
  <c r="J27" i="11"/>
  <c r="I27" i="11"/>
  <c r="H27" i="11"/>
  <c r="G27" i="11"/>
  <c r="J26" i="11"/>
  <c r="I26" i="11"/>
  <c r="H26" i="11"/>
  <c r="G26" i="11"/>
  <c r="J25" i="11"/>
  <c r="I25" i="11"/>
  <c r="H25" i="11"/>
  <c r="G25" i="11"/>
  <c r="J24" i="11"/>
  <c r="I24" i="11"/>
  <c r="H24" i="11"/>
  <c r="G24" i="11"/>
  <c r="J23" i="11"/>
  <c r="I23" i="11"/>
  <c r="H23" i="11"/>
  <c r="G23" i="11"/>
  <c r="J22" i="11"/>
  <c r="I22" i="11"/>
  <c r="H22" i="11"/>
  <c r="G22" i="11"/>
  <c r="J21" i="11"/>
  <c r="I21" i="11"/>
  <c r="H21" i="11"/>
  <c r="G21" i="11"/>
  <c r="J20" i="11"/>
  <c r="I20" i="11"/>
  <c r="H20" i="11"/>
  <c r="G20" i="11"/>
  <c r="J19" i="11"/>
  <c r="I19" i="11"/>
  <c r="H19" i="11"/>
  <c r="G19" i="11"/>
  <c r="J18" i="11"/>
  <c r="I18" i="11"/>
  <c r="H18" i="11"/>
  <c r="G18" i="11"/>
  <c r="J17" i="11"/>
  <c r="I17" i="11"/>
  <c r="H17" i="11"/>
  <c r="G17" i="11"/>
  <c r="J16" i="11"/>
  <c r="I16" i="11"/>
  <c r="H16" i="11"/>
  <c r="G16" i="11"/>
  <c r="J15" i="11"/>
  <c r="I15" i="11"/>
  <c r="H15" i="11"/>
  <c r="G15" i="11"/>
  <c r="J14" i="11"/>
  <c r="I14" i="11"/>
  <c r="H14" i="11"/>
  <c r="G14" i="11"/>
  <c r="J13" i="11"/>
  <c r="I13" i="11"/>
  <c r="H13" i="11"/>
  <c r="G13" i="11"/>
  <c r="J12" i="11"/>
  <c r="I12" i="11"/>
  <c r="H12" i="11"/>
  <c r="G12" i="11"/>
  <c r="A12" i="1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J11" i="11"/>
  <c r="I11" i="11"/>
  <c r="H11" i="11"/>
  <c r="G11" i="11"/>
  <c r="J9" i="11"/>
  <c r="I9" i="11"/>
  <c r="H9" i="11"/>
  <c r="G9" i="11"/>
  <c r="J8" i="11"/>
  <c r="I8" i="11"/>
  <c r="H8" i="11"/>
  <c r="G8" i="11"/>
  <c r="J7" i="11"/>
  <c r="I7" i="11"/>
  <c r="H7" i="11"/>
  <c r="G7" i="11"/>
  <c r="J6" i="11"/>
  <c r="I6" i="11"/>
  <c r="H6" i="11"/>
  <c r="G6" i="11"/>
  <c r="J5" i="11"/>
  <c r="I5" i="11"/>
  <c r="H5" i="11"/>
  <c r="G5" i="11"/>
  <c r="J4" i="11"/>
  <c r="I4" i="11"/>
  <c r="H4" i="11"/>
  <c r="G4" i="11"/>
  <c r="J3" i="11"/>
  <c r="I3" i="11"/>
  <c r="H3" i="11"/>
  <c r="G3" i="11"/>
  <c r="A3" i="11"/>
  <c r="A4" i="11" s="1"/>
  <c r="A5" i="11" s="1"/>
  <c r="A6" i="11" s="1"/>
  <c r="A7" i="11" s="1"/>
  <c r="A8" i="11" s="1"/>
  <c r="A9" i="11" s="1"/>
  <c r="A202" i="11" l="1"/>
  <c r="A203" i="11" s="1"/>
  <c r="I232" i="11"/>
  <c r="E9" i="3" s="1"/>
  <c r="J232" i="11"/>
  <c r="F9" i="3" s="1"/>
  <c r="G232" i="11"/>
  <c r="C9" i="3" s="1"/>
  <c r="H232" i="11"/>
  <c r="D9" i="3" s="1"/>
  <c r="A11" i="10"/>
  <c r="J134" i="10"/>
  <c r="I134" i="10"/>
  <c r="H134" i="10"/>
  <c r="G134" i="10"/>
  <c r="J133" i="10"/>
  <c r="I133" i="10"/>
  <c r="H133" i="10"/>
  <c r="G133" i="10"/>
  <c r="J132" i="10"/>
  <c r="I132" i="10"/>
  <c r="H132" i="10"/>
  <c r="G132" i="10"/>
  <c r="J89" i="10"/>
  <c r="I89" i="10"/>
  <c r="H89" i="10"/>
  <c r="G89" i="10"/>
  <c r="J88" i="10"/>
  <c r="I88" i="10"/>
  <c r="H88" i="10"/>
  <c r="G88" i="10"/>
  <c r="J87" i="10"/>
  <c r="I87" i="10"/>
  <c r="H87" i="10"/>
  <c r="G87" i="10"/>
  <c r="J86" i="10"/>
  <c r="I86" i="10"/>
  <c r="H86" i="10"/>
  <c r="G86" i="10"/>
  <c r="A223" i="11" l="1"/>
  <c r="A224" i="11" s="1"/>
  <c r="A225" i="11" s="1"/>
  <c r="A226" i="11" s="1"/>
  <c r="A204" i="11"/>
  <c r="A205" i="11" s="1"/>
  <c r="A206" i="11" s="1"/>
  <c r="A207" i="11" s="1"/>
  <c r="A208" i="11" s="1"/>
  <c r="A209" i="11" s="1"/>
  <c r="A210" i="11" s="1"/>
  <c r="A211" i="11" s="1"/>
  <c r="A212" i="11" s="1"/>
  <c r="A213" i="11" s="1"/>
  <c r="A214" i="11" s="1"/>
  <c r="A215" i="11" s="1"/>
  <c r="A216" i="11" s="1"/>
  <c r="A217" i="11" s="1"/>
  <c r="A218" i="11" s="1"/>
  <c r="A219" i="11" s="1"/>
  <c r="A220" i="11" s="1"/>
  <c r="A221" i="11" s="1"/>
  <c r="H9" i="3"/>
  <c r="A54" i="10"/>
  <c r="A55" i="10" s="1"/>
  <c r="A12" i="10"/>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G135" i="10"/>
  <c r="H135" i="10"/>
  <c r="I135" i="10"/>
  <c r="J135" i="10"/>
  <c r="A4" i="10"/>
  <c r="A5" i="10" s="1"/>
  <c r="A6" i="10" s="1"/>
  <c r="A7" i="10" s="1"/>
  <c r="A8" i="10" s="1"/>
  <c r="J130" i="10"/>
  <c r="I130" i="10"/>
  <c r="H130" i="10"/>
  <c r="G130" i="10"/>
  <c r="J129" i="10"/>
  <c r="I129" i="10"/>
  <c r="H129" i="10"/>
  <c r="G129" i="10"/>
  <c r="J128" i="10"/>
  <c r="I128" i="10"/>
  <c r="H128" i="10"/>
  <c r="G128" i="10"/>
  <c r="J127" i="10"/>
  <c r="I127" i="10"/>
  <c r="H127" i="10"/>
  <c r="G127"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96" i="10"/>
  <c r="I96" i="10"/>
  <c r="H96" i="10"/>
  <c r="G96"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5" i="10"/>
  <c r="I95" i="10"/>
  <c r="H95" i="10"/>
  <c r="G95" i="10"/>
  <c r="J94" i="10"/>
  <c r="I94" i="10"/>
  <c r="H94" i="10"/>
  <c r="G94" i="10"/>
  <c r="J93" i="10"/>
  <c r="I93" i="10"/>
  <c r="H93" i="10"/>
  <c r="G93" i="10"/>
  <c r="K139" i="10"/>
  <c r="G8" i="3" s="1"/>
  <c r="J84" i="10"/>
  <c r="I84" i="10"/>
  <c r="H84" i="10"/>
  <c r="G84" i="10"/>
  <c r="J83" i="10"/>
  <c r="I83" i="10"/>
  <c r="H83" i="10"/>
  <c r="G83" i="10"/>
  <c r="J82" i="10"/>
  <c r="I82" i="10"/>
  <c r="H82" i="10"/>
  <c r="G82" i="10"/>
  <c r="J81" i="10"/>
  <c r="I81" i="10"/>
  <c r="H81" i="10"/>
  <c r="G81" i="10"/>
  <c r="J79" i="10"/>
  <c r="I79" i="10"/>
  <c r="H79" i="10"/>
  <c r="G79" i="10"/>
  <c r="J78" i="10"/>
  <c r="I78" i="10"/>
  <c r="H78" i="10"/>
  <c r="G78" i="10"/>
  <c r="J77" i="10"/>
  <c r="I77" i="10"/>
  <c r="H77" i="10"/>
  <c r="G77" i="10"/>
  <c r="J76" i="10"/>
  <c r="I76" i="10"/>
  <c r="H76" i="10"/>
  <c r="G76"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4" i="10"/>
  <c r="I54" i="10"/>
  <c r="H54" i="10"/>
  <c r="G54"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8" i="10"/>
  <c r="I8" i="10"/>
  <c r="H8" i="10"/>
  <c r="G8" i="10"/>
  <c r="J7" i="10"/>
  <c r="I7" i="10"/>
  <c r="H7" i="10"/>
  <c r="G7" i="10"/>
  <c r="J6" i="10"/>
  <c r="I6" i="10"/>
  <c r="H6" i="10"/>
  <c r="G6" i="10"/>
  <c r="J5" i="10"/>
  <c r="I5" i="10"/>
  <c r="H5" i="10"/>
  <c r="G5" i="10"/>
  <c r="J4" i="10"/>
  <c r="I4" i="10"/>
  <c r="H4" i="10"/>
  <c r="G4" i="10"/>
  <c r="A76" i="10" l="1"/>
  <c r="A56" i="10"/>
  <c r="A57" i="10" s="1"/>
  <c r="A58" i="10" s="1"/>
  <c r="A59" i="10" s="1"/>
  <c r="A60" i="10" s="1"/>
  <c r="A61" i="10" s="1"/>
  <c r="A62" i="10" s="1"/>
  <c r="A63" i="10" s="1"/>
  <c r="A64" i="10" s="1"/>
  <c r="A65" i="10" s="1"/>
  <c r="A66" i="10" s="1"/>
  <c r="A67" i="10" s="1"/>
  <c r="A68" i="10" s="1"/>
  <c r="A69" i="10" s="1"/>
  <c r="A70" i="10" s="1"/>
  <c r="A71" i="10" s="1"/>
  <c r="A72" i="10" s="1"/>
  <c r="A73" i="10" s="1"/>
  <c r="A74" i="10" s="1"/>
  <c r="A3" i="4"/>
  <c r="J73" i="4"/>
  <c r="I73" i="4"/>
  <c r="H73" i="4"/>
  <c r="G73" i="4"/>
  <c r="J72" i="4"/>
  <c r="I72" i="4"/>
  <c r="H72" i="4"/>
  <c r="G72" i="4"/>
  <c r="J71" i="4"/>
  <c r="I71" i="4"/>
  <c r="H71" i="4"/>
  <c r="G71" i="4"/>
  <c r="J70" i="4"/>
  <c r="I70" i="4"/>
  <c r="H70" i="4"/>
  <c r="G70" i="4"/>
  <c r="J69" i="4"/>
  <c r="I69" i="4"/>
  <c r="H69" i="4"/>
  <c r="G69" i="4"/>
  <c r="J68" i="4"/>
  <c r="I68" i="4"/>
  <c r="H68" i="4"/>
  <c r="G68" i="4"/>
  <c r="J67" i="4"/>
  <c r="I67" i="4"/>
  <c r="H67" i="4"/>
  <c r="G67" i="4"/>
  <c r="J66" i="4"/>
  <c r="I66" i="4"/>
  <c r="H66" i="4"/>
  <c r="G66" i="4"/>
  <c r="J64" i="4"/>
  <c r="I64" i="4"/>
  <c r="H64" i="4"/>
  <c r="G64" i="4"/>
  <c r="J63" i="4"/>
  <c r="I63" i="4"/>
  <c r="H63" i="4"/>
  <c r="G63" i="4"/>
  <c r="J62" i="4"/>
  <c r="I62" i="4"/>
  <c r="H62" i="4"/>
  <c r="G62" i="4"/>
  <c r="J61" i="4"/>
  <c r="I61" i="4"/>
  <c r="H61" i="4"/>
  <c r="G61" i="4"/>
  <c r="J60" i="4"/>
  <c r="I60" i="4"/>
  <c r="H60" i="4"/>
  <c r="G60" i="4"/>
  <c r="J32" i="4"/>
  <c r="I32" i="4"/>
  <c r="H32" i="4"/>
  <c r="G32" i="4"/>
  <c r="A4" i="4" l="1"/>
  <c r="A5" i="4" s="1"/>
  <c r="A32" i="4"/>
  <c r="A81" i="10"/>
  <c r="A82" i="10" s="1"/>
  <c r="A83" i="10" s="1"/>
  <c r="A84" i="10" s="1"/>
  <c r="A86" i="10" s="1"/>
  <c r="A87" i="10" s="1"/>
  <c r="A88" i="10" s="1"/>
  <c r="A89" i="10" s="1"/>
  <c r="A93" i="10" s="1"/>
  <c r="A94" i="10" s="1"/>
  <c r="A95" i="10" s="1"/>
  <c r="A96" i="10" s="1"/>
  <c r="A97" i="10" s="1"/>
  <c r="A98" i="10" s="1"/>
  <c r="A99" i="10" s="1"/>
  <c r="A100" i="10" s="1"/>
  <c r="A101" i="10" s="1"/>
  <c r="A102" i="10" s="1"/>
  <c r="A77" i="10"/>
  <c r="A78" i="10" s="1"/>
  <c r="A79" i="10" s="1"/>
  <c r="J58" i="5"/>
  <c r="I58" i="5"/>
  <c r="H58" i="5"/>
  <c r="G58" i="5"/>
  <c r="J57" i="5"/>
  <c r="I57" i="5"/>
  <c r="H57" i="5"/>
  <c r="G57" i="5"/>
  <c r="J56" i="5"/>
  <c r="I56" i="5"/>
  <c r="H56" i="5"/>
  <c r="G56" i="5"/>
  <c r="G77" i="6"/>
  <c r="H77" i="6"/>
  <c r="I77" i="6"/>
  <c r="J77" i="6"/>
  <c r="G78" i="6"/>
  <c r="H78" i="6"/>
  <c r="I78" i="6"/>
  <c r="J78" i="6"/>
  <c r="G79" i="6"/>
  <c r="H79" i="6"/>
  <c r="I79" i="6"/>
  <c r="J79" i="6"/>
  <c r="G80" i="6"/>
  <c r="H80" i="6"/>
  <c r="I80" i="6"/>
  <c r="J80" i="6"/>
  <c r="G81" i="6"/>
  <c r="H81" i="6"/>
  <c r="I81" i="6"/>
  <c r="J81" i="6"/>
  <c r="G82" i="6"/>
  <c r="H82" i="6"/>
  <c r="I82" i="6"/>
  <c r="J82" i="6"/>
  <c r="G83" i="6"/>
  <c r="H83" i="6"/>
  <c r="I83" i="6"/>
  <c r="J83" i="6"/>
  <c r="G84" i="6"/>
  <c r="H84" i="6"/>
  <c r="I84" i="6"/>
  <c r="J84" i="6"/>
  <c r="G85" i="6"/>
  <c r="H85" i="6"/>
  <c r="I85" i="6"/>
  <c r="J85" i="6"/>
  <c r="G86" i="6"/>
  <c r="H86" i="6"/>
  <c r="I86" i="6"/>
  <c r="J86" i="6"/>
  <c r="G87" i="6"/>
  <c r="H87" i="6"/>
  <c r="I87" i="6"/>
  <c r="J87" i="6"/>
  <c r="G88" i="6"/>
  <c r="H88" i="6"/>
  <c r="I88" i="6"/>
  <c r="J88" i="6"/>
  <c r="G89" i="6"/>
  <c r="H89" i="6"/>
  <c r="I89" i="6"/>
  <c r="J89" i="6"/>
  <c r="G90" i="6"/>
  <c r="H90" i="6"/>
  <c r="I90" i="6"/>
  <c r="J90" i="6"/>
  <c r="G91" i="6"/>
  <c r="H91" i="6"/>
  <c r="I91" i="6"/>
  <c r="J91" i="6"/>
  <c r="G92" i="6"/>
  <c r="H92" i="6"/>
  <c r="I92" i="6"/>
  <c r="J92" i="6"/>
  <c r="G93" i="6"/>
  <c r="H93" i="6"/>
  <c r="I93" i="6"/>
  <c r="J93" i="6"/>
  <c r="G94" i="6"/>
  <c r="H94" i="6"/>
  <c r="I94" i="6"/>
  <c r="J94" i="6"/>
  <c r="G95" i="6"/>
  <c r="H95" i="6"/>
  <c r="I95" i="6"/>
  <c r="J95" i="6"/>
  <c r="G96" i="6"/>
  <c r="H96" i="6"/>
  <c r="I96" i="6"/>
  <c r="J96" i="6"/>
  <c r="G97" i="6"/>
  <c r="H97" i="6"/>
  <c r="I97" i="6"/>
  <c r="J97" i="6"/>
  <c r="G59" i="6"/>
  <c r="H59" i="6"/>
  <c r="I59" i="6"/>
  <c r="J59" i="6"/>
  <c r="G60" i="6"/>
  <c r="H60" i="6"/>
  <c r="I60" i="6"/>
  <c r="J60" i="6"/>
  <c r="G61" i="6"/>
  <c r="H61" i="6"/>
  <c r="I61" i="6"/>
  <c r="J61" i="6"/>
  <c r="G62" i="6"/>
  <c r="H62" i="6"/>
  <c r="I62" i="6"/>
  <c r="J62" i="6"/>
  <c r="G63" i="6"/>
  <c r="H63" i="6"/>
  <c r="I63" i="6"/>
  <c r="J63" i="6"/>
  <c r="G64" i="6"/>
  <c r="H64" i="6"/>
  <c r="I64" i="6"/>
  <c r="J64" i="6"/>
  <c r="G65" i="6"/>
  <c r="H65" i="6"/>
  <c r="I65" i="6"/>
  <c r="J65" i="6"/>
  <c r="G66" i="6"/>
  <c r="H66" i="6"/>
  <c r="I66" i="6"/>
  <c r="J66" i="6"/>
  <c r="G67" i="6"/>
  <c r="H67" i="6"/>
  <c r="I67" i="6"/>
  <c r="J67" i="6"/>
  <c r="G68" i="6"/>
  <c r="H68" i="6"/>
  <c r="I68" i="6"/>
  <c r="J68" i="6"/>
  <c r="G69" i="6"/>
  <c r="H69" i="6"/>
  <c r="I69" i="6"/>
  <c r="J69" i="6"/>
  <c r="G70" i="6"/>
  <c r="H70" i="6"/>
  <c r="I70" i="6"/>
  <c r="J70" i="6"/>
  <c r="G71" i="6"/>
  <c r="H71" i="6"/>
  <c r="I71" i="6"/>
  <c r="J71" i="6"/>
  <c r="G72" i="6"/>
  <c r="H72" i="6"/>
  <c r="I72" i="6"/>
  <c r="J72" i="6"/>
  <c r="G73" i="6"/>
  <c r="H73" i="6"/>
  <c r="I73" i="6"/>
  <c r="J73" i="6"/>
  <c r="G74" i="6"/>
  <c r="H74" i="6"/>
  <c r="I74" i="6"/>
  <c r="J74" i="6"/>
  <c r="G75" i="6"/>
  <c r="H75" i="6"/>
  <c r="I75" i="6"/>
  <c r="J75" i="6"/>
  <c r="G76" i="6"/>
  <c r="H76" i="6"/>
  <c r="I76" i="6"/>
  <c r="J76" i="6"/>
  <c r="J58" i="6"/>
  <c r="I58" i="6"/>
  <c r="H58" i="6"/>
  <c r="G58" i="6"/>
  <c r="J56" i="6"/>
  <c r="I56" i="6"/>
  <c r="H56" i="6"/>
  <c r="G56" i="6"/>
  <c r="J54" i="6"/>
  <c r="I54" i="6"/>
  <c r="H54" i="6"/>
  <c r="G54" i="6"/>
  <c r="G36" i="6"/>
  <c r="H36" i="6"/>
  <c r="I36" i="6"/>
  <c r="J36" i="6"/>
  <c r="G37" i="6"/>
  <c r="H37" i="6"/>
  <c r="I37" i="6"/>
  <c r="J37" i="6"/>
  <c r="G38" i="6"/>
  <c r="H38" i="6"/>
  <c r="I38" i="6"/>
  <c r="J38" i="6"/>
  <c r="G39" i="6"/>
  <c r="H39" i="6"/>
  <c r="I39" i="6"/>
  <c r="J39" i="6"/>
  <c r="G40" i="6"/>
  <c r="H40" i="6"/>
  <c r="I40" i="6"/>
  <c r="J40" i="6"/>
  <c r="G41" i="6"/>
  <c r="H41" i="6"/>
  <c r="I41" i="6"/>
  <c r="J41" i="6"/>
  <c r="G42" i="6"/>
  <c r="H42" i="6"/>
  <c r="I42" i="6"/>
  <c r="J42" i="6"/>
  <c r="G43" i="6"/>
  <c r="H43" i="6"/>
  <c r="I43" i="6"/>
  <c r="J43" i="6"/>
  <c r="G44" i="6"/>
  <c r="H44" i="6"/>
  <c r="I44" i="6"/>
  <c r="J44" i="6"/>
  <c r="G45" i="6"/>
  <c r="H45" i="6"/>
  <c r="I45" i="6"/>
  <c r="J45" i="6"/>
  <c r="G46" i="6"/>
  <c r="H46" i="6"/>
  <c r="I46" i="6"/>
  <c r="J46" i="6"/>
  <c r="G47" i="6"/>
  <c r="H47" i="6"/>
  <c r="I47" i="6"/>
  <c r="J47" i="6"/>
  <c r="G48" i="6"/>
  <c r="H48" i="6"/>
  <c r="I48" i="6"/>
  <c r="J48" i="6"/>
  <c r="G50" i="6"/>
  <c r="H50" i="6"/>
  <c r="I50" i="6"/>
  <c r="J50" i="6"/>
  <c r="G51" i="6"/>
  <c r="H51" i="6"/>
  <c r="I51" i="6"/>
  <c r="J51" i="6"/>
  <c r="J35" i="6"/>
  <c r="I35" i="6"/>
  <c r="H35" i="6"/>
  <c r="G35" i="6"/>
  <c r="G21" i="6"/>
  <c r="H21" i="6"/>
  <c r="I21" i="6"/>
  <c r="J21" i="6"/>
  <c r="G22" i="6"/>
  <c r="H22" i="6"/>
  <c r="I22" i="6"/>
  <c r="J22" i="6"/>
  <c r="G23" i="6"/>
  <c r="H23" i="6"/>
  <c r="I23" i="6"/>
  <c r="J23" i="6"/>
  <c r="G24" i="6"/>
  <c r="H24" i="6"/>
  <c r="I24" i="6"/>
  <c r="J24" i="6"/>
  <c r="G25" i="6"/>
  <c r="H25" i="6"/>
  <c r="I25" i="6"/>
  <c r="J25" i="6"/>
  <c r="G26" i="6"/>
  <c r="H26" i="6"/>
  <c r="I26" i="6"/>
  <c r="J26" i="6"/>
  <c r="G27" i="6"/>
  <c r="H27" i="6"/>
  <c r="I27" i="6"/>
  <c r="J27" i="6"/>
  <c r="G28" i="6"/>
  <c r="H28" i="6"/>
  <c r="I28" i="6"/>
  <c r="J28" i="6"/>
  <c r="G30" i="6"/>
  <c r="H30" i="6"/>
  <c r="I30" i="6"/>
  <c r="J30" i="6"/>
  <c r="G31" i="6"/>
  <c r="H31" i="6"/>
  <c r="I31" i="6"/>
  <c r="J31" i="6"/>
  <c r="G32" i="6"/>
  <c r="H32" i="6"/>
  <c r="I32" i="6"/>
  <c r="J32" i="6"/>
  <c r="G33" i="6"/>
  <c r="H33" i="6"/>
  <c r="I33" i="6"/>
  <c r="J33" i="6"/>
  <c r="G34" i="6"/>
  <c r="H34" i="6"/>
  <c r="I34" i="6"/>
  <c r="J34" i="6"/>
  <c r="G13" i="6"/>
  <c r="H13" i="6"/>
  <c r="I13" i="6"/>
  <c r="J13" i="6"/>
  <c r="G14" i="6"/>
  <c r="H14" i="6"/>
  <c r="I14" i="6"/>
  <c r="J14" i="6"/>
  <c r="G15" i="6"/>
  <c r="H15" i="6"/>
  <c r="I15" i="6"/>
  <c r="J15" i="6"/>
  <c r="G16" i="6"/>
  <c r="H16" i="6"/>
  <c r="I16" i="6"/>
  <c r="J16" i="6"/>
  <c r="G17" i="6"/>
  <c r="H17" i="6"/>
  <c r="I17" i="6"/>
  <c r="J17" i="6"/>
  <c r="G18" i="6"/>
  <c r="H18" i="6"/>
  <c r="I18" i="6"/>
  <c r="J18" i="6"/>
  <c r="G19" i="6"/>
  <c r="H19" i="6"/>
  <c r="I19" i="6"/>
  <c r="J19" i="6"/>
  <c r="G20" i="6"/>
  <c r="H20" i="6"/>
  <c r="I20" i="6"/>
  <c r="J20" i="6"/>
  <c r="J12" i="6"/>
  <c r="I12" i="6"/>
  <c r="H12" i="6"/>
  <c r="G12" i="6"/>
  <c r="G5" i="6"/>
  <c r="H5" i="6"/>
  <c r="I5" i="6"/>
  <c r="J5" i="6"/>
  <c r="G6" i="6"/>
  <c r="H6" i="6"/>
  <c r="I6" i="6"/>
  <c r="J6" i="6"/>
  <c r="G7" i="6"/>
  <c r="H7" i="6"/>
  <c r="I7" i="6"/>
  <c r="J7" i="6"/>
  <c r="G8" i="6"/>
  <c r="H8" i="6"/>
  <c r="I8" i="6"/>
  <c r="J8" i="6"/>
  <c r="G9" i="6"/>
  <c r="H9" i="6"/>
  <c r="I9" i="6"/>
  <c r="J9" i="6"/>
  <c r="G10" i="6"/>
  <c r="H10" i="6"/>
  <c r="I10" i="6"/>
  <c r="J10" i="6"/>
  <c r="J4" i="6"/>
  <c r="I4" i="6"/>
  <c r="H4" i="6"/>
  <c r="G4" i="6"/>
  <c r="A9" i="4" l="1"/>
  <c r="A10" i="4" s="1"/>
  <c r="A11" i="4" s="1"/>
  <c r="A13" i="4" s="1"/>
  <c r="A14" i="4" s="1"/>
  <c r="A15" i="4" s="1"/>
  <c r="A16" i="4" s="1"/>
  <c r="A17" i="4" s="1"/>
  <c r="A18" i="4" s="1"/>
  <c r="A19" i="4" s="1"/>
  <c r="A20" i="4" s="1"/>
  <c r="A21" i="4" s="1"/>
  <c r="A22" i="4" s="1"/>
  <c r="A23" i="4" s="1"/>
  <c r="A24" i="4" s="1"/>
  <c r="A25" i="4" s="1"/>
  <c r="A26" i="4" s="1"/>
  <c r="A27" i="4" s="1"/>
  <c r="A28" i="4" s="1"/>
  <c r="A29" i="4" s="1"/>
  <c r="A30" i="4" s="1"/>
  <c r="A33" i="4"/>
  <c r="A34" i="4" s="1"/>
  <c r="A35" i="4" s="1"/>
  <c r="A36" i="4" s="1"/>
  <c r="A37" i="4" s="1"/>
  <c r="A38" i="4" s="1"/>
  <c r="A39" i="4" s="1"/>
  <c r="A40" i="4" s="1"/>
  <c r="A41" i="4" s="1"/>
  <c r="A42" i="4" s="1"/>
  <c r="A43" i="4" s="1"/>
  <c r="A44" i="4" s="1"/>
  <c r="A45" i="4" s="1"/>
  <c r="A46" i="4" s="1"/>
  <c r="A47" i="4" s="1"/>
  <c r="A48" i="4" s="1"/>
  <c r="A132" i="10"/>
  <c r="A133" i="10" s="1"/>
  <c r="A134" i="10" s="1"/>
  <c r="A135" i="10" s="1"/>
  <c r="A103" i="10"/>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I108" i="6"/>
  <c r="J108" i="6"/>
  <c r="H108" i="6"/>
  <c r="G108" i="6"/>
  <c r="G811" i="2"/>
  <c r="H811" i="2"/>
  <c r="I811" i="2"/>
  <c r="J811" i="2"/>
  <c r="K811" i="2"/>
  <c r="G812" i="2"/>
  <c r="H812" i="2"/>
  <c r="I812" i="2"/>
  <c r="J812" i="2"/>
  <c r="K812" i="2"/>
  <c r="G813" i="2"/>
  <c r="H813" i="2"/>
  <c r="I813" i="2"/>
  <c r="J813" i="2"/>
  <c r="K813" i="2"/>
  <c r="G814" i="2"/>
  <c r="H814" i="2"/>
  <c r="I814" i="2"/>
  <c r="J814" i="2"/>
  <c r="K814" i="2"/>
  <c r="G815" i="2"/>
  <c r="H815" i="2"/>
  <c r="I815" i="2"/>
  <c r="J815" i="2"/>
  <c r="K815" i="2"/>
  <c r="G816" i="2"/>
  <c r="H816" i="2"/>
  <c r="I816" i="2"/>
  <c r="J816" i="2"/>
  <c r="K816" i="2"/>
  <c r="G817" i="2"/>
  <c r="H817" i="2"/>
  <c r="I817" i="2"/>
  <c r="J817" i="2"/>
  <c r="K817" i="2"/>
  <c r="G818" i="2"/>
  <c r="H818" i="2"/>
  <c r="I818" i="2"/>
  <c r="J818" i="2"/>
  <c r="K818" i="2"/>
  <c r="G819" i="2"/>
  <c r="H819" i="2"/>
  <c r="I819" i="2"/>
  <c r="J819" i="2"/>
  <c r="K819" i="2"/>
  <c r="G820" i="2"/>
  <c r="H820" i="2"/>
  <c r="I820" i="2"/>
  <c r="J820" i="2"/>
  <c r="K820" i="2"/>
  <c r="G821" i="2"/>
  <c r="H821" i="2"/>
  <c r="I821" i="2"/>
  <c r="J821" i="2"/>
  <c r="K821" i="2"/>
  <c r="G822" i="2"/>
  <c r="H822" i="2"/>
  <c r="I822" i="2"/>
  <c r="J822" i="2"/>
  <c r="K822" i="2"/>
  <c r="G823" i="2"/>
  <c r="H823" i="2"/>
  <c r="I823" i="2"/>
  <c r="J823" i="2"/>
  <c r="K823" i="2"/>
  <c r="G824" i="2"/>
  <c r="H824" i="2"/>
  <c r="I824" i="2"/>
  <c r="J824" i="2"/>
  <c r="K824" i="2"/>
  <c r="K810" i="2"/>
  <c r="J810" i="2"/>
  <c r="I810" i="2"/>
  <c r="H810" i="2"/>
  <c r="G810" i="2"/>
  <c r="G439" i="2"/>
  <c r="H439" i="2"/>
  <c r="I439" i="2"/>
  <c r="J439" i="2"/>
  <c r="K439" i="2"/>
  <c r="G440" i="2"/>
  <c r="H440" i="2"/>
  <c r="I440" i="2"/>
  <c r="J440" i="2"/>
  <c r="K440" i="2"/>
  <c r="G441" i="2"/>
  <c r="H441" i="2"/>
  <c r="I441" i="2"/>
  <c r="J441" i="2"/>
  <c r="K441" i="2"/>
  <c r="G442" i="2"/>
  <c r="H442" i="2"/>
  <c r="I442" i="2"/>
  <c r="J442" i="2"/>
  <c r="K442" i="2"/>
  <c r="G443" i="2"/>
  <c r="H443" i="2"/>
  <c r="I443" i="2"/>
  <c r="J443" i="2"/>
  <c r="K443" i="2"/>
  <c r="G444" i="2"/>
  <c r="H444" i="2"/>
  <c r="I444" i="2"/>
  <c r="J444" i="2"/>
  <c r="K444" i="2"/>
  <c r="G445" i="2"/>
  <c r="H445" i="2"/>
  <c r="I445" i="2"/>
  <c r="J445" i="2"/>
  <c r="K445" i="2"/>
  <c r="G446" i="2"/>
  <c r="H446" i="2"/>
  <c r="I446" i="2"/>
  <c r="J446" i="2"/>
  <c r="K446" i="2"/>
  <c r="G447" i="2"/>
  <c r="H447" i="2"/>
  <c r="I447" i="2"/>
  <c r="J447" i="2"/>
  <c r="K447" i="2"/>
  <c r="G448" i="2"/>
  <c r="H448" i="2"/>
  <c r="I448" i="2"/>
  <c r="J448" i="2"/>
  <c r="K448" i="2"/>
  <c r="G449" i="2"/>
  <c r="H449" i="2"/>
  <c r="I449" i="2"/>
  <c r="J449" i="2"/>
  <c r="K449" i="2"/>
  <c r="G450" i="2"/>
  <c r="H450" i="2"/>
  <c r="I450" i="2"/>
  <c r="J450" i="2"/>
  <c r="K450" i="2"/>
  <c r="G451" i="2"/>
  <c r="H451" i="2"/>
  <c r="I451" i="2"/>
  <c r="J451" i="2"/>
  <c r="K451" i="2"/>
  <c r="G452" i="2"/>
  <c r="H452" i="2"/>
  <c r="I452" i="2"/>
  <c r="J452" i="2"/>
  <c r="K452" i="2"/>
  <c r="G453" i="2"/>
  <c r="H453" i="2"/>
  <c r="I453" i="2"/>
  <c r="J453" i="2"/>
  <c r="K453" i="2"/>
  <c r="G454" i="2"/>
  <c r="H454" i="2"/>
  <c r="I454" i="2"/>
  <c r="J454" i="2"/>
  <c r="K454" i="2"/>
  <c r="G455" i="2"/>
  <c r="H455" i="2"/>
  <c r="I455" i="2"/>
  <c r="J455" i="2"/>
  <c r="K455" i="2"/>
  <c r="G456" i="2"/>
  <c r="H456" i="2"/>
  <c r="I456" i="2"/>
  <c r="J456" i="2"/>
  <c r="K456" i="2"/>
  <c r="G457" i="2"/>
  <c r="H457" i="2"/>
  <c r="I457" i="2"/>
  <c r="J457" i="2"/>
  <c r="K457" i="2"/>
  <c r="G458" i="2"/>
  <c r="H458" i="2"/>
  <c r="I458" i="2"/>
  <c r="J458" i="2"/>
  <c r="K458" i="2"/>
  <c r="G459" i="2"/>
  <c r="H459" i="2"/>
  <c r="I459" i="2"/>
  <c r="J459" i="2"/>
  <c r="K459" i="2"/>
  <c r="G460" i="2"/>
  <c r="H460" i="2"/>
  <c r="I460" i="2"/>
  <c r="J460" i="2"/>
  <c r="K460" i="2"/>
  <c r="G461" i="2"/>
  <c r="H461" i="2"/>
  <c r="I461" i="2"/>
  <c r="J461" i="2"/>
  <c r="K461" i="2"/>
  <c r="G462" i="2"/>
  <c r="H462" i="2"/>
  <c r="I462" i="2"/>
  <c r="J462" i="2"/>
  <c r="K462" i="2"/>
  <c r="G463" i="2"/>
  <c r="H463" i="2"/>
  <c r="I463" i="2"/>
  <c r="J463" i="2"/>
  <c r="K463" i="2"/>
  <c r="G464" i="2"/>
  <c r="H464" i="2"/>
  <c r="I464" i="2"/>
  <c r="J464" i="2"/>
  <c r="K464" i="2"/>
  <c r="G465" i="2"/>
  <c r="H465" i="2"/>
  <c r="I465" i="2"/>
  <c r="J465" i="2"/>
  <c r="K465" i="2"/>
  <c r="G466" i="2"/>
  <c r="H466" i="2"/>
  <c r="I466" i="2"/>
  <c r="J466" i="2"/>
  <c r="K466" i="2"/>
  <c r="G467" i="2"/>
  <c r="H467" i="2"/>
  <c r="I467" i="2"/>
  <c r="J467" i="2"/>
  <c r="K467" i="2"/>
  <c r="G468" i="2"/>
  <c r="H468" i="2"/>
  <c r="I468" i="2"/>
  <c r="J468" i="2"/>
  <c r="K468" i="2"/>
  <c r="G469" i="2"/>
  <c r="H469" i="2"/>
  <c r="I469" i="2"/>
  <c r="J469" i="2"/>
  <c r="K469" i="2"/>
  <c r="G470" i="2"/>
  <c r="H470" i="2"/>
  <c r="I470" i="2"/>
  <c r="J470" i="2"/>
  <c r="K470" i="2"/>
  <c r="G471" i="2"/>
  <c r="H471" i="2"/>
  <c r="I471" i="2"/>
  <c r="J471" i="2"/>
  <c r="K471" i="2"/>
  <c r="G472" i="2"/>
  <c r="H472" i="2"/>
  <c r="I472" i="2"/>
  <c r="J472" i="2"/>
  <c r="K472" i="2"/>
  <c r="G473" i="2"/>
  <c r="H473" i="2"/>
  <c r="I473" i="2"/>
  <c r="J473" i="2"/>
  <c r="K473" i="2"/>
  <c r="G474" i="2"/>
  <c r="H474" i="2"/>
  <c r="I474" i="2"/>
  <c r="J474" i="2"/>
  <c r="K474" i="2"/>
  <c r="G475" i="2"/>
  <c r="H475" i="2"/>
  <c r="I475" i="2"/>
  <c r="J475" i="2"/>
  <c r="K475" i="2"/>
  <c r="G476" i="2"/>
  <c r="H476" i="2"/>
  <c r="I476" i="2"/>
  <c r="J476" i="2"/>
  <c r="K476" i="2"/>
  <c r="G477" i="2"/>
  <c r="H477" i="2"/>
  <c r="I477" i="2"/>
  <c r="J477" i="2"/>
  <c r="K477" i="2"/>
  <c r="G478" i="2"/>
  <c r="H478" i="2"/>
  <c r="I478" i="2"/>
  <c r="J478" i="2"/>
  <c r="K478" i="2"/>
  <c r="G479" i="2"/>
  <c r="H479" i="2"/>
  <c r="I479" i="2"/>
  <c r="J479" i="2"/>
  <c r="K479" i="2"/>
  <c r="G480" i="2"/>
  <c r="H480" i="2"/>
  <c r="I480" i="2"/>
  <c r="J480" i="2"/>
  <c r="K480" i="2"/>
  <c r="G481" i="2"/>
  <c r="H481" i="2"/>
  <c r="I481" i="2"/>
  <c r="J481" i="2"/>
  <c r="K481" i="2"/>
  <c r="G482" i="2"/>
  <c r="H482" i="2"/>
  <c r="I482" i="2"/>
  <c r="J482" i="2"/>
  <c r="K482" i="2"/>
  <c r="G483" i="2"/>
  <c r="H483" i="2"/>
  <c r="I483" i="2"/>
  <c r="J483" i="2"/>
  <c r="K483" i="2"/>
  <c r="G484" i="2"/>
  <c r="H484" i="2"/>
  <c r="I484" i="2"/>
  <c r="J484" i="2"/>
  <c r="K484" i="2"/>
  <c r="G485" i="2"/>
  <c r="H485" i="2"/>
  <c r="I485" i="2"/>
  <c r="J485" i="2"/>
  <c r="K485" i="2"/>
  <c r="G486" i="2"/>
  <c r="H486" i="2"/>
  <c r="I486" i="2"/>
  <c r="J486" i="2"/>
  <c r="K486" i="2"/>
  <c r="G487" i="2"/>
  <c r="H487" i="2"/>
  <c r="I487" i="2"/>
  <c r="J487" i="2"/>
  <c r="K487" i="2"/>
  <c r="G488" i="2"/>
  <c r="H488" i="2"/>
  <c r="I488" i="2"/>
  <c r="J488" i="2"/>
  <c r="K488" i="2"/>
  <c r="G489" i="2"/>
  <c r="H489" i="2"/>
  <c r="I489" i="2"/>
  <c r="J489" i="2"/>
  <c r="K489" i="2"/>
  <c r="G490" i="2"/>
  <c r="H490" i="2"/>
  <c r="I490" i="2"/>
  <c r="J490" i="2"/>
  <c r="K490" i="2"/>
  <c r="G491" i="2"/>
  <c r="H491" i="2"/>
  <c r="I491" i="2"/>
  <c r="J491" i="2"/>
  <c r="K491" i="2"/>
  <c r="G492" i="2"/>
  <c r="H492" i="2"/>
  <c r="I492" i="2"/>
  <c r="J492" i="2"/>
  <c r="K492" i="2"/>
  <c r="G493" i="2"/>
  <c r="H493" i="2"/>
  <c r="I493" i="2"/>
  <c r="J493" i="2"/>
  <c r="K493" i="2"/>
  <c r="G494" i="2"/>
  <c r="H494" i="2"/>
  <c r="I494" i="2"/>
  <c r="J494" i="2"/>
  <c r="K494" i="2"/>
  <c r="G495" i="2"/>
  <c r="H495" i="2"/>
  <c r="I495" i="2"/>
  <c r="J495" i="2"/>
  <c r="K495" i="2"/>
  <c r="G496" i="2"/>
  <c r="H496" i="2"/>
  <c r="I496" i="2"/>
  <c r="J496" i="2"/>
  <c r="K496" i="2"/>
  <c r="G497" i="2"/>
  <c r="H497" i="2"/>
  <c r="I497" i="2"/>
  <c r="J497" i="2"/>
  <c r="K497" i="2"/>
  <c r="G498" i="2"/>
  <c r="H498" i="2"/>
  <c r="I498" i="2"/>
  <c r="J498" i="2"/>
  <c r="K498" i="2"/>
  <c r="G499" i="2"/>
  <c r="H499" i="2"/>
  <c r="I499" i="2"/>
  <c r="J499" i="2"/>
  <c r="K499" i="2"/>
  <c r="G500" i="2"/>
  <c r="H500" i="2"/>
  <c r="I500" i="2"/>
  <c r="J500" i="2"/>
  <c r="K500" i="2"/>
  <c r="G501" i="2"/>
  <c r="H501" i="2"/>
  <c r="I501" i="2"/>
  <c r="J501" i="2"/>
  <c r="K501" i="2"/>
  <c r="G502" i="2"/>
  <c r="H502" i="2"/>
  <c r="I502" i="2"/>
  <c r="J502" i="2"/>
  <c r="K502" i="2"/>
  <c r="G503" i="2"/>
  <c r="H503" i="2"/>
  <c r="I503" i="2"/>
  <c r="J503" i="2"/>
  <c r="K503" i="2"/>
  <c r="G504" i="2"/>
  <c r="H504" i="2"/>
  <c r="I504" i="2"/>
  <c r="J504" i="2"/>
  <c r="K504" i="2"/>
  <c r="G505" i="2"/>
  <c r="H505" i="2"/>
  <c r="I505" i="2"/>
  <c r="J505" i="2"/>
  <c r="K505" i="2"/>
  <c r="G506" i="2"/>
  <c r="H506" i="2"/>
  <c r="I506" i="2"/>
  <c r="J506" i="2"/>
  <c r="K506" i="2"/>
  <c r="G507" i="2"/>
  <c r="H507" i="2"/>
  <c r="I507" i="2"/>
  <c r="J507" i="2"/>
  <c r="K507" i="2"/>
  <c r="G508" i="2"/>
  <c r="H508" i="2"/>
  <c r="I508" i="2"/>
  <c r="J508" i="2"/>
  <c r="K508" i="2"/>
  <c r="G509" i="2"/>
  <c r="H509" i="2"/>
  <c r="I509" i="2"/>
  <c r="J509" i="2"/>
  <c r="K509" i="2"/>
  <c r="G510" i="2"/>
  <c r="H510" i="2"/>
  <c r="I510" i="2"/>
  <c r="J510" i="2"/>
  <c r="K510" i="2"/>
  <c r="G511" i="2"/>
  <c r="H511" i="2"/>
  <c r="I511" i="2"/>
  <c r="J511" i="2"/>
  <c r="K511" i="2"/>
  <c r="G512" i="2"/>
  <c r="H512" i="2"/>
  <c r="I512" i="2"/>
  <c r="J512" i="2"/>
  <c r="K512" i="2"/>
  <c r="G513" i="2"/>
  <c r="H513" i="2"/>
  <c r="I513" i="2"/>
  <c r="J513" i="2"/>
  <c r="K513" i="2"/>
  <c r="G514" i="2"/>
  <c r="H514" i="2"/>
  <c r="I514" i="2"/>
  <c r="J514" i="2"/>
  <c r="K514" i="2"/>
  <c r="G515" i="2"/>
  <c r="H515" i="2"/>
  <c r="I515" i="2"/>
  <c r="J515" i="2"/>
  <c r="K515" i="2"/>
  <c r="G516" i="2"/>
  <c r="H516" i="2"/>
  <c r="I516" i="2"/>
  <c r="J516" i="2"/>
  <c r="K516" i="2"/>
  <c r="G517" i="2"/>
  <c r="H517" i="2"/>
  <c r="I517" i="2"/>
  <c r="J517" i="2"/>
  <c r="K517" i="2"/>
  <c r="G518" i="2"/>
  <c r="H518" i="2"/>
  <c r="I518" i="2"/>
  <c r="J518" i="2"/>
  <c r="K518" i="2"/>
  <c r="G519" i="2"/>
  <c r="H519" i="2"/>
  <c r="I519" i="2"/>
  <c r="J519" i="2"/>
  <c r="K519" i="2"/>
  <c r="G520" i="2"/>
  <c r="H520" i="2"/>
  <c r="I520" i="2"/>
  <c r="J520" i="2"/>
  <c r="K520" i="2"/>
  <c r="G521" i="2"/>
  <c r="H521" i="2"/>
  <c r="I521" i="2"/>
  <c r="J521" i="2"/>
  <c r="K521" i="2"/>
  <c r="G522" i="2"/>
  <c r="H522" i="2"/>
  <c r="I522" i="2"/>
  <c r="J522" i="2"/>
  <c r="K522" i="2"/>
  <c r="G523" i="2"/>
  <c r="H523" i="2"/>
  <c r="I523" i="2"/>
  <c r="J523" i="2"/>
  <c r="K523" i="2"/>
  <c r="G524" i="2"/>
  <c r="H524" i="2"/>
  <c r="I524" i="2"/>
  <c r="J524" i="2"/>
  <c r="K524" i="2"/>
  <c r="G525" i="2"/>
  <c r="H525" i="2"/>
  <c r="I525" i="2"/>
  <c r="J525" i="2"/>
  <c r="K525" i="2"/>
  <c r="G526" i="2"/>
  <c r="H526" i="2"/>
  <c r="I526" i="2"/>
  <c r="J526" i="2"/>
  <c r="K526" i="2"/>
  <c r="G527" i="2"/>
  <c r="H527" i="2"/>
  <c r="I527" i="2"/>
  <c r="J527" i="2"/>
  <c r="K527" i="2"/>
  <c r="G528" i="2"/>
  <c r="H528" i="2"/>
  <c r="I528" i="2"/>
  <c r="J528" i="2"/>
  <c r="K528" i="2"/>
  <c r="G529" i="2"/>
  <c r="H529" i="2"/>
  <c r="I529" i="2"/>
  <c r="J529" i="2"/>
  <c r="K529" i="2"/>
  <c r="G530" i="2"/>
  <c r="H530" i="2"/>
  <c r="I530" i="2"/>
  <c r="J530" i="2"/>
  <c r="K530" i="2"/>
  <c r="G531" i="2"/>
  <c r="H531" i="2"/>
  <c r="I531" i="2"/>
  <c r="J531" i="2"/>
  <c r="K531" i="2"/>
  <c r="G532" i="2"/>
  <c r="H532" i="2"/>
  <c r="I532" i="2"/>
  <c r="J532" i="2"/>
  <c r="K532" i="2"/>
  <c r="G533" i="2"/>
  <c r="H533" i="2"/>
  <c r="I533" i="2"/>
  <c r="J533" i="2"/>
  <c r="K533" i="2"/>
  <c r="G534" i="2"/>
  <c r="H534" i="2"/>
  <c r="I534" i="2"/>
  <c r="J534" i="2"/>
  <c r="K534" i="2"/>
  <c r="G535" i="2"/>
  <c r="H535" i="2"/>
  <c r="I535" i="2"/>
  <c r="J535" i="2"/>
  <c r="K535" i="2"/>
  <c r="G536" i="2"/>
  <c r="H536" i="2"/>
  <c r="I536" i="2"/>
  <c r="J536" i="2"/>
  <c r="K536" i="2"/>
  <c r="G537" i="2"/>
  <c r="H537" i="2"/>
  <c r="I537" i="2"/>
  <c r="J537" i="2"/>
  <c r="K537" i="2"/>
  <c r="G538" i="2"/>
  <c r="H538" i="2"/>
  <c r="I538" i="2"/>
  <c r="J538" i="2"/>
  <c r="K538" i="2"/>
  <c r="G539" i="2"/>
  <c r="H539" i="2"/>
  <c r="I539" i="2"/>
  <c r="J539" i="2"/>
  <c r="K539" i="2"/>
  <c r="G540" i="2"/>
  <c r="H540" i="2"/>
  <c r="I540" i="2"/>
  <c r="J540" i="2"/>
  <c r="K540" i="2"/>
  <c r="G541" i="2"/>
  <c r="H541" i="2"/>
  <c r="I541" i="2"/>
  <c r="J541" i="2"/>
  <c r="K541" i="2"/>
  <c r="G542" i="2"/>
  <c r="H542" i="2"/>
  <c r="I542" i="2"/>
  <c r="J542" i="2"/>
  <c r="K542" i="2"/>
  <c r="G543" i="2"/>
  <c r="H543" i="2"/>
  <c r="I543" i="2"/>
  <c r="J543" i="2"/>
  <c r="K543" i="2"/>
  <c r="G544" i="2"/>
  <c r="H544" i="2"/>
  <c r="I544" i="2"/>
  <c r="J544" i="2"/>
  <c r="K544" i="2"/>
  <c r="G545" i="2"/>
  <c r="H545" i="2"/>
  <c r="I545" i="2"/>
  <c r="J545" i="2"/>
  <c r="K545" i="2"/>
  <c r="G546" i="2"/>
  <c r="H546" i="2"/>
  <c r="I546" i="2"/>
  <c r="J546" i="2"/>
  <c r="K546" i="2"/>
  <c r="G547" i="2"/>
  <c r="H547" i="2"/>
  <c r="I547" i="2"/>
  <c r="J547" i="2"/>
  <c r="K547" i="2"/>
  <c r="G548" i="2"/>
  <c r="H548" i="2"/>
  <c r="I548" i="2"/>
  <c r="J548" i="2"/>
  <c r="K548" i="2"/>
  <c r="G549" i="2"/>
  <c r="H549" i="2"/>
  <c r="I549" i="2"/>
  <c r="J549" i="2"/>
  <c r="K549" i="2"/>
  <c r="G550" i="2"/>
  <c r="H550" i="2"/>
  <c r="I550" i="2"/>
  <c r="J550" i="2"/>
  <c r="K550" i="2"/>
  <c r="G551" i="2"/>
  <c r="H551" i="2"/>
  <c r="I551" i="2"/>
  <c r="J551" i="2"/>
  <c r="K551" i="2"/>
  <c r="G552" i="2"/>
  <c r="H552" i="2"/>
  <c r="I552" i="2"/>
  <c r="J552" i="2"/>
  <c r="K552" i="2"/>
  <c r="G553" i="2"/>
  <c r="H553" i="2"/>
  <c r="I553" i="2"/>
  <c r="J553" i="2"/>
  <c r="K553" i="2"/>
  <c r="G554" i="2"/>
  <c r="H554" i="2"/>
  <c r="I554" i="2"/>
  <c r="J554" i="2"/>
  <c r="K554" i="2"/>
  <c r="G555" i="2"/>
  <c r="H555" i="2"/>
  <c r="I555" i="2"/>
  <c r="J555" i="2"/>
  <c r="K555" i="2"/>
  <c r="G556" i="2"/>
  <c r="H556" i="2"/>
  <c r="I556" i="2"/>
  <c r="J556" i="2"/>
  <c r="K556" i="2"/>
  <c r="G557" i="2"/>
  <c r="H557" i="2"/>
  <c r="I557" i="2"/>
  <c r="J557" i="2"/>
  <c r="K557" i="2"/>
  <c r="G558" i="2"/>
  <c r="H558" i="2"/>
  <c r="I558" i="2"/>
  <c r="J558" i="2"/>
  <c r="K558" i="2"/>
  <c r="G559" i="2"/>
  <c r="H559" i="2"/>
  <c r="I559" i="2"/>
  <c r="J559" i="2"/>
  <c r="K559" i="2"/>
  <c r="G560" i="2"/>
  <c r="H560" i="2"/>
  <c r="I560" i="2"/>
  <c r="J560" i="2"/>
  <c r="K560" i="2"/>
  <c r="G561" i="2"/>
  <c r="H561" i="2"/>
  <c r="I561" i="2"/>
  <c r="J561" i="2"/>
  <c r="K561" i="2"/>
  <c r="G562" i="2"/>
  <c r="H562" i="2"/>
  <c r="I562" i="2"/>
  <c r="J562" i="2"/>
  <c r="K562" i="2"/>
  <c r="G563" i="2"/>
  <c r="H563" i="2"/>
  <c r="I563" i="2"/>
  <c r="J563" i="2"/>
  <c r="K563" i="2"/>
  <c r="G564" i="2"/>
  <c r="H564" i="2"/>
  <c r="I564" i="2"/>
  <c r="J564" i="2"/>
  <c r="K564" i="2"/>
  <c r="G565" i="2"/>
  <c r="H565" i="2"/>
  <c r="I565" i="2"/>
  <c r="J565" i="2"/>
  <c r="K565" i="2"/>
  <c r="G566" i="2"/>
  <c r="H566" i="2"/>
  <c r="I566" i="2"/>
  <c r="J566" i="2"/>
  <c r="K566" i="2"/>
  <c r="G567" i="2"/>
  <c r="H567" i="2"/>
  <c r="I567" i="2"/>
  <c r="J567" i="2"/>
  <c r="K567" i="2"/>
  <c r="G568" i="2"/>
  <c r="H568" i="2"/>
  <c r="I568" i="2"/>
  <c r="J568" i="2"/>
  <c r="K568" i="2"/>
  <c r="G569" i="2"/>
  <c r="H569" i="2"/>
  <c r="I569" i="2"/>
  <c r="J569" i="2"/>
  <c r="K569" i="2"/>
  <c r="G570" i="2"/>
  <c r="H570" i="2"/>
  <c r="I570" i="2"/>
  <c r="J570" i="2"/>
  <c r="K570" i="2"/>
  <c r="G571" i="2"/>
  <c r="H571" i="2"/>
  <c r="I571" i="2"/>
  <c r="J571" i="2"/>
  <c r="K571" i="2"/>
  <c r="G572" i="2"/>
  <c r="H572" i="2"/>
  <c r="I572" i="2"/>
  <c r="J572" i="2"/>
  <c r="K572" i="2"/>
  <c r="G573" i="2"/>
  <c r="H573" i="2"/>
  <c r="I573" i="2"/>
  <c r="J573" i="2"/>
  <c r="K573" i="2"/>
  <c r="G574" i="2"/>
  <c r="H574" i="2"/>
  <c r="I574" i="2"/>
  <c r="J574" i="2"/>
  <c r="K574" i="2"/>
  <c r="G575" i="2"/>
  <c r="H575" i="2"/>
  <c r="I575" i="2"/>
  <c r="J575" i="2"/>
  <c r="K575" i="2"/>
  <c r="G576" i="2"/>
  <c r="H576" i="2"/>
  <c r="I576" i="2"/>
  <c r="J576" i="2"/>
  <c r="K576" i="2"/>
  <c r="G577" i="2"/>
  <c r="H577" i="2"/>
  <c r="I577" i="2"/>
  <c r="J577" i="2"/>
  <c r="K577" i="2"/>
  <c r="G578" i="2"/>
  <c r="H578" i="2"/>
  <c r="I578" i="2"/>
  <c r="J578" i="2"/>
  <c r="K578" i="2"/>
  <c r="G579" i="2"/>
  <c r="H579" i="2"/>
  <c r="I579" i="2"/>
  <c r="J579" i="2"/>
  <c r="K579" i="2"/>
  <c r="G580" i="2"/>
  <c r="H580" i="2"/>
  <c r="I580" i="2"/>
  <c r="J580" i="2"/>
  <c r="K580" i="2"/>
  <c r="G581" i="2"/>
  <c r="H581" i="2"/>
  <c r="I581" i="2"/>
  <c r="J581" i="2"/>
  <c r="K581" i="2"/>
  <c r="G582" i="2"/>
  <c r="H582" i="2"/>
  <c r="I582" i="2"/>
  <c r="J582" i="2"/>
  <c r="K582" i="2"/>
  <c r="G583" i="2"/>
  <c r="H583" i="2"/>
  <c r="I583" i="2"/>
  <c r="J583" i="2"/>
  <c r="K583" i="2"/>
  <c r="G584" i="2"/>
  <c r="H584" i="2"/>
  <c r="I584" i="2"/>
  <c r="J584" i="2"/>
  <c r="K584" i="2"/>
  <c r="G585" i="2"/>
  <c r="H585" i="2"/>
  <c r="I585" i="2"/>
  <c r="J585" i="2"/>
  <c r="K585" i="2"/>
  <c r="G586" i="2"/>
  <c r="H586" i="2"/>
  <c r="I586" i="2"/>
  <c r="J586" i="2"/>
  <c r="K586" i="2"/>
  <c r="G587" i="2"/>
  <c r="H587" i="2"/>
  <c r="I587" i="2"/>
  <c r="J587" i="2"/>
  <c r="K587" i="2"/>
  <c r="G588" i="2"/>
  <c r="H588" i="2"/>
  <c r="I588" i="2"/>
  <c r="J588" i="2"/>
  <c r="K588" i="2"/>
  <c r="G589" i="2"/>
  <c r="H589" i="2"/>
  <c r="I589" i="2"/>
  <c r="J589" i="2"/>
  <c r="K589" i="2"/>
  <c r="G590" i="2"/>
  <c r="H590" i="2"/>
  <c r="I590" i="2"/>
  <c r="J590" i="2"/>
  <c r="K590" i="2"/>
  <c r="G591" i="2"/>
  <c r="H591" i="2"/>
  <c r="I591" i="2"/>
  <c r="J591" i="2"/>
  <c r="K591" i="2"/>
  <c r="G592" i="2"/>
  <c r="H592" i="2"/>
  <c r="I592" i="2"/>
  <c r="J592" i="2"/>
  <c r="K592" i="2"/>
  <c r="G593" i="2"/>
  <c r="H593" i="2"/>
  <c r="I593" i="2"/>
  <c r="J593" i="2"/>
  <c r="K593" i="2"/>
  <c r="G594" i="2"/>
  <c r="H594" i="2"/>
  <c r="I594" i="2"/>
  <c r="J594" i="2"/>
  <c r="K594" i="2"/>
  <c r="G595" i="2"/>
  <c r="H595" i="2"/>
  <c r="I595" i="2"/>
  <c r="J595" i="2"/>
  <c r="K595" i="2"/>
  <c r="G596" i="2"/>
  <c r="H596" i="2"/>
  <c r="I596" i="2"/>
  <c r="J596" i="2"/>
  <c r="K596" i="2"/>
  <c r="G597" i="2"/>
  <c r="H597" i="2"/>
  <c r="I597" i="2"/>
  <c r="J597" i="2"/>
  <c r="K597" i="2"/>
  <c r="G598" i="2"/>
  <c r="H598" i="2"/>
  <c r="I598" i="2"/>
  <c r="J598" i="2"/>
  <c r="K598" i="2"/>
  <c r="G599" i="2"/>
  <c r="H599" i="2"/>
  <c r="I599" i="2"/>
  <c r="J599" i="2"/>
  <c r="K599" i="2"/>
  <c r="G600" i="2"/>
  <c r="H600" i="2"/>
  <c r="I600" i="2"/>
  <c r="J600" i="2"/>
  <c r="K600" i="2"/>
  <c r="G601" i="2"/>
  <c r="H601" i="2"/>
  <c r="I601" i="2"/>
  <c r="J601" i="2"/>
  <c r="K601" i="2"/>
  <c r="G602" i="2"/>
  <c r="H602" i="2"/>
  <c r="I602" i="2"/>
  <c r="J602" i="2"/>
  <c r="K602" i="2"/>
  <c r="G603" i="2"/>
  <c r="H603" i="2"/>
  <c r="I603" i="2"/>
  <c r="J603" i="2"/>
  <c r="K603" i="2"/>
  <c r="G604" i="2"/>
  <c r="H604" i="2"/>
  <c r="I604" i="2"/>
  <c r="J604" i="2"/>
  <c r="K604" i="2"/>
  <c r="G605" i="2"/>
  <c r="H605" i="2"/>
  <c r="I605" i="2"/>
  <c r="J605" i="2"/>
  <c r="K605" i="2"/>
  <c r="G606" i="2"/>
  <c r="H606" i="2"/>
  <c r="I606" i="2"/>
  <c r="J606" i="2"/>
  <c r="K606" i="2"/>
  <c r="G607" i="2"/>
  <c r="H607" i="2"/>
  <c r="I607" i="2"/>
  <c r="J607" i="2"/>
  <c r="K607" i="2"/>
  <c r="G608" i="2"/>
  <c r="H608" i="2"/>
  <c r="I608" i="2"/>
  <c r="J608" i="2"/>
  <c r="K608" i="2"/>
  <c r="G609" i="2"/>
  <c r="H609" i="2"/>
  <c r="I609" i="2"/>
  <c r="J609" i="2"/>
  <c r="K609" i="2"/>
  <c r="G610" i="2"/>
  <c r="H610" i="2"/>
  <c r="I610" i="2"/>
  <c r="J610" i="2"/>
  <c r="K610" i="2"/>
  <c r="G611" i="2"/>
  <c r="H611" i="2"/>
  <c r="I611" i="2"/>
  <c r="J611" i="2"/>
  <c r="K611" i="2"/>
  <c r="G612" i="2"/>
  <c r="H612" i="2"/>
  <c r="I612" i="2"/>
  <c r="J612" i="2"/>
  <c r="K612" i="2"/>
  <c r="G613" i="2"/>
  <c r="H613" i="2"/>
  <c r="I613" i="2"/>
  <c r="J613" i="2"/>
  <c r="K613" i="2"/>
  <c r="G614" i="2"/>
  <c r="H614" i="2"/>
  <c r="I614" i="2"/>
  <c r="J614" i="2"/>
  <c r="K614" i="2"/>
  <c r="G615" i="2"/>
  <c r="H615" i="2"/>
  <c r="I615" i="2"/>
  <c r="J615" i="2"/>
  <c r="K615" i="2"/>
  <c r="G616" i="2"/>
  <c r="H616" i="2"/>
  <c r="I616" i="2"/>
  <c r="J616" i="2"/>
  <c r="K616" i="2"/>
  <c r="G617" i="2"/>
  <c r="H617" i="2"/>
  <c r="I617" i="2"/>
  <c r="J617" i="2"/>
  <c r="K617" i="2"/>
  <c r="G618" i="2"/>
  <c r="H618" i="2"/>
  <c r="I618" i="2"/>
  <c r="J618" i="2"/>
  <c r="K618" i="2"/>
  <c r="G619" i="2"/>
  <c r="H619" i="2"/>
  <c r="I619" i="2"/>
  <c r="J619" i="2"/>
  <c r="K619" i="2"/>
  <c r="G620" i="2"/>
  <c r="H620" i="2"/>
  <c r="I620" i="2"/>
  <c r="J620" i="2"/>
  <c r="K620" i="2"/>
  <c r="G621" i="2"/>
  <c r="H621" i="2"/>
  <c r="I621" i="2"/>
  <c r="J621" i="2"/>
  <c r="K621" i="2"/>
  <c r="G622" i="2"/>
  <c r="H622" i="2"/>
  <c r="I622" i="2"/>
  <c r="J622" i="2"/>
  <c r="K622" i="2"/>
  <c r="G623" i="2"/>
  <c r="H623" i="2"/>
  <c r="I623" i="2"/>
  <c r="J623" i="2"/>
  <c r="K623" i="2"/>
  <c r="G624" i="2"/>
  <c r="H624" i="2"/>
  <c r="I624" i="2"/>
  <c r="J624" i="2"/>
  <c r="K624" i="2"/>
  <c r="G625" i="2"/>
  <c r="H625" i="2"/>
  <c r="I625" i="2"/>
  <c r="J625" i="2"/>
  <c r="K625" i="2"/>
  <c r="G626" i="2"/>
  <c r="H626" i="2"/>
  <c r="I626" i="2"/>
  <c r="J626" i="2"/>
  <c r="K626" i="2"/>
  <c r="G627" i="2"/>
  <c r="H627" i="2"/>
  <c r="I627" i="2"/>
  <c r="J627" i="2"/>
  <c r="K627" i="2"/>
  <c r="G628" i="2"/>
  <c r="H628" i="2"/>
  <c r="I628" i="2"/>
  <c r="J628" i="2"/>
  <c r="K628" i="2"/>
  <c r="G629" i="2"/>
  <c r="H629" i="2"/>
  <c r="I629" i="2"/>
  <c r="J629" i="2"/>
  <c r="K629" i="2"/>
  <c r="G630" i="2"/>
  <c r="H630" i="2"/>
  <c r="I630" i="2"/>
  <c r="J630" i="2"/>
  <c r="K630" i="2"/>
  <c r="G631" i="2"/>
  <c r="H631" i="2"/>
  <c r="I631" i="2"/>
  <c r="J631" i="2"/>
  <c r="K631" i="2"/>
  <c r="G632" i="2"/>
  <c r="H632" i="2"/>
  <c r="I632" i="2"/>
  <c r="J632" i="2"/>
  <c r="K632" i="2"/>
  <c r="G633" i="2"/>
  <c r="H633" i="2"/>
  <c r="I633" i="2"/>
  <c r="J633" i="2"/>
  <c r="K633" i="2"/>
  <c r="G634" i="2"/>
  <c r="H634" i="2"/>
  <c r="I634" i="2"/>
  <c r="J634" i="2"/>
  <c r="K634" i="2"/>
  <c r="G635" i="2"/>
  <c r="H635" i="2"/>
  <c r="I635" i="2"/>
  <c r="J635" i="2"/>
  <c r="K635" i="2"/>
  <c r="G636" i="2"/>
  <c r="H636" i="2"/>
  <c r="I636" i="2"/>
  <c r="J636" i="2"/>
  <c r="K636" i="2"/>
  <c r="G637" i="2"/>
  <c r="H637" i="2"/>
  <c r="I637" i="2"/>
  <c r="J637" i="2"/>
  <c r="K637" i="2"/>
  <c r="G638" i="2"/>
  <c r="H638" i="2"/>
  <c r="I638" i="2"/>
  <c r="J638" i="2"/>
  <c r="K638" i="2"/>
  <c r="G639" i="2"/>
  <c r="H639" i="2"/>
  <c r="I639" i="2"/>
  <c r="J639" i="2"/>
  <c r="K639" i="2"/>
  <c r="G640" i="2"/>
  <c r="H640" i="2"/>
  <c r="I640" i="2"/>
  <c r="J640" i="2"/>
  <c r="K640" i="2"/>
  <c r="G641" i="2"/>
  <c r="H641" i="2"/>
  <c r="I641" i="2"/>
  <c r="J641" i="2"/>
  <c r="K641" i="2"/>
  <c r="G642" i="2"/>
  <c r="H642" i="2"/>
  <c r="I642" i="2"/>
  <c r="J642" i="2"/>
  <c r="K642" i="2"/>
  <c r="G643" i="2"/>
  <c r="H643" i="2"/>
  <c r="I643" i="2"/>
  <c r="J643" i="2"/>
  <c r="K643" i="2"/>
  <c r="G644" i="2"/>
  <c r="H644" i="2"/>
  <c r="I644" i="2"/>
  <c r="J644" i="2"/>
  <c r="K644" i="2"/>
  <c r="G645" i="2"/>
  <c r="H645" i="2"/>
  <c r="I645" i="2"/>
  <c r="J645" i="2"/>
  <c r="K645" i="2"/>
  <c r="G646" i="2"/>
  <c r="H646" i="2"/>
  <c r="I646" i="2"/>
  <c r="J646" i="2"/>
  <c r="K646" i="2"/>
  <c r="G647" i="2"/>
  <c r="H647" i="2"/>
  <c r="I647" i="2"/>
  <c r="J647" i="2"/>
  <c r="K647" i="2"/>
  <c r="G648" i="2"/>
  <c r="H648" i="2"/>
  <c r="I648" i="2"/>
  <c r="J648" i="2"/>
  <c r="K648" i="2"/>
  <c r="G649" i="2"/>
  <c r="H649" i="2"/>
  <c r="I649" i="2"/>
  <c r="J649" i="2"/>
  <c r="K649" i="2"/>
  <c r="G650" i="2"/>
  <c r="H650" i="2"/>
  <c r="I650" i="2"/>
  <c r="J650" i="2"/>
  <c r="K650" i="2"/>
  <c r="G651" i="2"/>
  <c r="H651" i="2"/>
  <c r="I651" i="2"/>
  <c r="J651" i="2"/>
  <c r="K651" i="2"/>
  <c r="G652" i="2"/>
  <c r="H652" i="2"/>
  <c r="I652" i="2"/>
  <c r="J652" i="2"/>
  <c r="K652" i="2"/>
  <c r="G653" i="2"/>
  <c r="H653" i="2"/>
  <c r="I653" i="2"/>
  <c r="J653" i="2"/>
  <c r="K653" i="2"/>
  <c r="G654" i="2"/>
  <c r="H654" i="2"/>
  <c r="I654" i="2"/>
  <c r="J654" i="2"/>
  <c r="K654" i="2"/>
  <c r="G655" i="2"/>
  <c r="H655" i="2"/>
  <c r="I655" i="2"/>
  <c r="J655" i="2"/>
  <c r="K655" i="2"/>
  <c r="G656" i="2"/>
  <c r="H656" i="2"/>
  <c r="I656" i="2"/>
  <c r="J656" i="2"/>
  <c r="K656" i="2"/>
  <c r="G657" i="2"/>
  <c r="H657" i="2"/>
  <c r="I657" i="2"/>
  <c r="J657" i="2"/>
  <c r="K657" i="2"/>
  <c r="G658" i="2"/>
  <c r="H658" i="2"/>
  <c r="I658" i="2"/>
  <c r="J658" i="2"/>
  <c r="K658" i="2"/>
  <c r="G659" i="2"/>
  <c r="H659" i="2"/>
  <c r="I659" i="2"/>
  <c r="J659" i="2"/>
  <c r="K659" i="2"/>
  <c r="G660" i="2"/>
  <c r="H660" i="2"/>
  <c r="I660" i="2"/>
  <c r="J660" i="2"/>
  <c r="K660" i="2"/>
  <c r="G661" i="2"/>
  <c r="H661" i="2"/>
  <c r="I661" i="2"/>
  <c r="J661" i="2"/>
  <c r="K661" i="2"/>
  <c r="G662" i="2"/>
  <c r="H662" i="2"/>
  <c r="I662" i="2"/>
  <c r="J662" i="2"/>
  <c r="K662" i="2"/>
  <c r="G663" i="2"/>
  <c r="H663" i="2"/>
  <c r="I663" i="2"/>
  <c r="J663" i="2"/>
  <c r="K663" i="2"/>
  <c r="G664" i="2"/>
  <c r="H664" i="2"/>
  <c r="I664" i="2"/>
  <c r="J664" i="2"/>
  <c r="K664" i="2"/>
  <c r="G665" i="2"/>
  <c r="H665" i="2"/>
  <c r="I665" i="2"/>
  <c r="J665" i="2"/>
  <c r="K665" i="2"/>
  <c r="G666" i="2"/>
  <c r="H666" i="2"/>
  <c r="I666" i="2"/>
  <c r="J666" i="2"/>
  <c r="K666" i="2"/>
  <c r="G667" i="2"/>
  <c r="H667" i="2"/>
  <c r="I667" i="2"/>
  <c r="J667" i="2"/>
  <c r="K667" i="2"/>
  <c r="G668" i="2"/>
  <c r="H668" i="2"/>
  <c r="I668" i="2"/>
  <c r="J668" i="2"/>
  <c r="K668" i="2"/>
  <c r="G669" i="2"/>
  <c r="H669" i="2"/>
  <c r="I669" i="2"/>
  <c r="J669" i="2"/>
  <c r="K669" i="2"/>
  <c r="G670" i="2"/>
  <c r="H670" i="2"/>
  <c r="I670" i="2"/>
  <c r="J670" i="2"/>
  <c r="K670" i="2"/>
  <c r="G671" i="2"/>
  <c r="H671" i="2"/>
  <c r="I671" i="2"/>
  <c r="J671" i="2"/>
  <c r="K671" i="2"/>
  <c r="G672" i="2"/>
  <c r="H672" i="2"/>
  <c r="I672" i="2"/>
  <c r="J672" i="2"/>
  <c r="K672" i="2"/>
  <c r="G673" i="2"/>
  <c r="H673" i="2"/>
  <c r="I673" i="2"/>
  <c r="J673" i="2"/>
  <c r="K673" i="2"/>
  <c r="G674" i="2"/>
  <c r="H674" i="2"/>
  <c r="I674" i="2"/>
  <c r="J674" i="2"/>
  <c r="K674" i="2"/>
  <c r="G675" i="2"/>
  <c r="H675" i="2"/>
  <c r="I675" i="2"/>
  <c r="J675" i="2"/>
  <c r="K675" i="2"/>
  <c r="G676" i="2"/>
  <c r="H676" i="2"/>
  <c r="I676" i="2"/>
  <c r="J676" i="2"/>
  <c r="K676" i="2"/>
  <c r="G677" i="2"/>
  <c r="H677" i="2"/>
  <c r="I677" i="2"/>
  <c r="J677" i="2"/>
  <c r="K677" i="2"/>
  <c r="G678" i="2"/>
  <c r="H678" i="2"/>
  <c r="I678" i="2"/>
  <c r="J678" i="2"/>
  <c r="K678" i="2"/>
  <c r="G679" i="2"/>
  <c r="H679" i="2"/>
  <c r="I679" i="2"/>
  <c r="J679" i="2"/>
  <c r="K679" i="2"/>
  <c r="G680" i="2"/>
  <c r="H680" i="2"/>
  <c r="I680" i="2"/>
  <c r="J680" i="2"/>
  <c r="K680" i="2"/>
  <c r="G681" i="2"/>
  <c r="H681" i="2"/>
  <c r="I681" i="2"/>
  <c r="J681" i="2"/>
  <c r="K681" i="2"/>
  <c r="G682" i="2"/>
  <c r="H682" i="2"/>
  <c r="I682" i="2"/>
  <c r="J682" i="2"/>
  <c r="K682" i="2"/>
  <c r="G683" i="2"/>
  <c r="H683" i="2"/>
  <c r="I683" i="2"/>
  <c r="J683" i="2"/>
  <c r="K683" i="2"/>
  <c r="G684" i="2"/>
  <c r="H684" i="2"/>
  <c r="I684" i="2"/>
  <c r="J684" i="2"/>
  <c r="K684" i="2"/>
  <c r="G685" i="2"/>
  <c r="H685" i="2"/>
  <c r="I685" i="2"/>
  <c r="J685" i="2"/>
  <c r="K685" i="2"/>
  <c r="G686" i="2"/>
  <c r="H686" i="2"/>
  <c r="I686" i="2"/>
  <c r="J686" i="2"/>
  <c r="K686" i="2"/>
  <c r="G687" i="2"/>
  <c r="H687" i="2"/>
  <c r="I687" i="2"/>
  <c r="J687" i="2"/>
  <c r="K687" i="2"/>
  <c r="G688" i="2"/>
  <c r="H688" i="2"/>
  <c r="I688" i="2"/>
  <c r="J688" i="2"/>
  <c r="K688" i="2"/>
  <c r="G689" i="2"/>
  <c r="H689" i="2"/>
  <c r="I689" i="2"/>
  <c r="J689" i="2"/>
  <c r="K689" i="2"/>
  <c r="G690" i="2"/>
  <c r="H690" i="2"/>
  <c r="I690" i="2"/>
  <c r="J690" i="2"/>
  <c r="K690" i="2"/>
  <c r="G691" i="2"/>
  <c r="H691" i="2"/>
  <c r="I691" i="2"/>
  <c r="J691" i="2"/>
  <c r="K691" i="2"/>
  <c r="G692" i="2"/>
  <c r="H692" i="2"/>
  <c r="I692" i="2"/>
  <c r="J692" i="2"/>
  <c r="K692" i="2"/>
  <c r="G693" i="2"/>
  <c r="H693" i="2"/>
  <c r="I693" i="2"/>
  <c r="J693" i="2"/>
  <c r="K693" i="2"/>
  <c r="G694" i="2"/>
  <c r="H694" i="2"/>
  <c r="I694" i="2"/>
  <c r="J694" i="2"/>
  <c r="K694" i="2"/>
  <c r="G695" i="2"/>
  <c r="H695" i="2"/>
  <c r="I695" i="2"/>
  <c r="J695" i="2"/>
  <c r="K695" i="2"/>
  <c r="G696" i="2"/>
  <c r="H696" i="2"/>
  <c r="I696" i="2"/>
  <c r="J696" i="2"/>
  <c r="K696" i="2"/>
  <c r="G697" i="2"/>
  <c r="H697" i="2"/>
  <c r="I697" i="2"/>
  <c r="J697" i="2"/>
  <c r="K697" i="2"/>
  <c r="G698" i="2"/>
  <c r="H698" i="2"/>
  <c r="I698" i="2"/>
  <c r="J698" i="2"/>
  <c r="K698" i="2"/>
  <c r="G699" i="2"/>
  <c r="H699" i="2"/>
  <c r="I699" i="2"/>
  <c r="J699" i="2"/>
  <c r="K699" i="2"/>
  <c r="G700" i="2"/>
  <c r="H700" i="2"/>
  <c r="I700" i="2"/>
  <c r="J700" i="2"/>
  <c r="K700" i="2"/>
  <c r="G701" i="2"/>
  <c r="H701" i="2"/>
  <c r="I701" i="2"/>
  <c r="J701" i="2"/>
  <c r="K701" i="2"/>
  <c r="G702" i="2"/>
  <c r="H702" i="2"/>
  <c r="I702" i="2"/>
  <c r="J702" i="2"/>
  <c r="K702" i="2"/>
  <c r="G703" i="2"/>
  <c r="H703" i="2"/>
  <c r="I703" i="2"/>
  <c r="J703" i="2"/>
  <c r="K703" i="2"/>
  <c r="G704" i="2"/>
  <c r="H704" i="2"/>
  <c r="I704" i="2"/>
  <c r="J704" i="2"/>
  <c r="K704" i="2"/>
  <c r="G705" i="2"/>
  <c r="H705" i="2"/>
  <c r="I705" i="2"/>
  <c r="J705" i="2"/>
  <c r="K705" i="2"/>
  <c r="G706" i="2"/>
  <c r="H706" i="2"/>
  <c r="I706" i="2"/>
  <c r="J706" i="2"/>
  <c r="K706" i="2"/>
  <c r="G707" i="2"/>
  <c r="H707" i="2"/>
  <c r="I707" i="2"/>
  <c r="J707" i="2"/>
  <c r="K707" i="2"/>
  <c r="G708" i="2"/>
  <c r="H708" i="2"/>
  <c r="I708" i="2"/>
  <c r="J708" i="2"/>
  <c r="K708" i="2"/>
  <c r="G709" i="2"/>
  <c r="H709" i="2"/>
  <c r="I709" i="2"/>
  <c r="J709" i="2"/>
  <c r="K709" i="2"/>
  <c r="G710" i="2"/>
  <c r="H710" i="2"/>
  <c r="I710" i="2"/>
  <c r="J710" i="2"/>
  <c r="K710" i="2"/>
  <c r="G711" i="2"/>
  <c r="H711" i="2"/>
  <c r="I711" i="2"/>
  <c r="J711" i="2"/>
  <c r="K711" i="2"/>
  <c r="G712" i="2"/>
  <c r="H712" i="2"/>
  <c r="I712" i="2"/>
  <c r="J712" i="2"/>
  <c r="K712" i="2"/>
  <c r="G713" i="2"/>
  <c r="H713" i="2"/>
  <c r="I713" i="2"/>
  <c r="J713" i="2"/>
  <c r="K713" i="2"/>
  <c r="G714" i="2"/>
  <c r="H714" i="2"/>
  <c r="I714" i="2"/>
  <c r="J714" i="2"/>
  <c r="K714" i="2"/>
  <c r="G715" i="2"/>
  <c r="H715" i="2"/>
  <c r="I715" i="2"/>
  <c r="J715" i="2"/>
  <c r="K715" i="2"/>
  <c r="G716" i="2"/>
  <c r="H716" i="2"/>
  <c r="I716" i="2"/>
  <c r="J716" i="2"/>
  <c r="K716" i="2"/>
  <c r="G717" i="2"/>
  <c r="H717" i="2"/>
  <c r="I717" i="2"/>
  <c r="J717" i="2"/>
  <c r="K717" i="2"/>
  <c r="G718" i="2"/>
  <c r="H718" i="2"/>
  <c r="I718" i="2"/>
  <c r="J718" i="2"/>
  <c r="K718" i="2"/>
  <c r="G719" i="2"/>
  <c r="H719" i="2"/>
  <c r="I719" i="2"/>
  <c r="J719" i="2"/>
  <c r="K719" i="2"/>
  <c r="G720" i="2"/>
  <c r="H720" i="2"/>
  <c r="I720" i="2"/>
  <c r="J720" i="2"/>
  <c r="K720" i="2"/>
  <c r="G721" i="2"/>
  <c r="H721" i="2"/>
  <c r="I721" i="2"/>
  <c r="J721" i="2"/>
  <c r="K721" i="2"/>
  <c r="G722" i="2"/>
  <c r="H722" i="2"/>
  <c r="I722" i="2"/>
  <c r="J722" i="2"/>
  <c r="K722" i="2"/>
  <c r="G723" i="2"/>
  <c r="H723" i="2"/>
  <c r="I723" i="2"/>
  <c r="J723" i="2"/>
  <c r="K723" i="2"/>
  <c r="G724" i="2"/>
  <c r="H724" i="2"/>
  <c r="I724" i="2"/>
  <c r="J724" i="2"/>
  <c r="K724" i="2"/>
  <c r="G725" i="2"/>
  <c r="H725" i="2"/>
  <c r="I725" i="2"/>
  <c r="J725" i="2"/>
  <c r="K725" i="2"/>
  <c r="G726" i="2"/>
  <c r="H726" i="2"/>
  <c r="I726" i="2"/>
  <c r="J726" i="2"/>
  <c r="K726" i="2"/>
  <c r="G727" i="2"/>
  <c r="H727" i="2"/>
  <c r="I727" i="2"/>
  <c r="J727" i="2"/>
  <c r="K727" i="2"/>
  <c r="G728" i="2"/>
  <c r="H728" i="2"/>
  <c r="I728" i="2"/>
  <c r="J728" i="2"/>
  <c r="K728" i="2"/>
  <c r="G729" i="2"/>
  <c r="H729" i="2"/>
  <c r="I729" i="2"/>
  <c r="J729" i="2"/>
  <c r="K729" i="2"/>
  <c r="G730" i="2"/>
  <c r="H730" i="2"/>
  <c r="I730" i="2"/>
  <c r="J730" i="2"/>
  <c r="K730" i="2"/>
  <c r="G731" i="2"/>
  <c r="H731" i="2"/>
  <c r="I731" i="2"/>
  <c r="J731" i="2"/>
  <c r="K731" i="2"/>
  <c r="G732" i="2"/>
  <c r="H732" i="2"/>
  <c r="I732" i="2"/>
  <c r="J732" i="2"/>
  <c r="K732" i="2"/>
  <c r="G733" i="2"/>
  <c r="H733" i="2"/>
  <c r="I733" i="2"/>
  <c r="J733" i="2"/>
  <c r="K733" i="2"/>
  <c r="G734" i="2"/>
  <c r="H734" i="2"/>
  <c r="I734" i="2"/>
  <c r="J734" i="2"/>
  <c r="K734" i="2"/>
  <c r="G735" i="2"/>
  <c r="H735" i="2"/>
  <c r="I735" i="2"/>
  <c r="J735" i="2"/>
  <c r="K735" i="2"/>
  <c r="G736" i="2"/>
  <c r="H736" i="2"/>
  <c r="I736" i="2"/>
  <c r="J736" i="2"/>
  <c r="K736" i="2"/>
  <c r="G737" i="2"/>
  <c r="H737" i="2"/>
  <c r="I737" i="2"/>
  <c r="J737" i="2"/>
  <c r="K737" i="2"/>
  <c r="G738" i="2"/>
  <c r="H738" i="2"/>
  <c r="I738" i="2"/>
  <c r="J738" i="2"/>
  <c r="K738" i="2"/>
  <c r="G739" i="2"/>
  <c r="H739" i="2"/>
  <c r="I739" i="2"/>
  <c r="J739" i="2"/>
  <c r="K739" i="2"/>
  <c r="G740" i="2"/>
  <c r="H740" i="2"/>
  <c r="I740" i="2"/>
  <c r="J740" i="2"/>
  <c r="K740" i="2"/>
  <c r="G741" i="2"/>
  <c r="H741" i="2"/>
  <c r="I741" i="2"/>
  <c r="J741" i="2"/>
  <c r="K741" i="2"/>
  <c r="G742" i="2"/>
  <c r="H742" i="2"/>
  <c r="I742" i="2"/>
  <c r="J742" i="2"/>
  <c r="K742" i="2"/>
  <c r="G743" i="2"/>
  <c r="H743" i="2"/>
  <c r="I743" i="2"/>
  <c r="J743" i="2"/>
  <c r="K743" i="2"/>
  <c r="G744" i="2"/>
  <c r="H744" i="2"/>
  <c r="I744" i="2"/>
  <c r="J744" i="2"/>
  <c r="K744" i="2"/>
  <c r="G745" i="2"/>
  <c r="H745" i="2"/>
  <c r="I745" i="2"/>
  <c r="J745" i="2"/>
  <c r="K745" i="2"/>
  <c r="G746" i="2"/>
  <c r="H746" i="2"/>
  <c r="I746" i="2"/>
  <c r="J746" i="2"/>
  <c r="K746" i="2"/>
  <c r="G747" i="2"/>
  <c r="H747" i="2"/>
  <c r="I747" i="2"/>
  <c r="J747" i="2"/>
  <c r="K747" i="2"/>
  <c r="G748" i="2"/>
  <c r="H748" i="2"/>
  <c r="I748" i="2"/>
  <c r="J748" i="2"/>
  <c r="K748" i="2"/>
  <c r="G749" i="2"/>
  <c r="H749" i="2"/>
  <c r="I749" i="2"/>
  <c r="J749" i="2"/>
  <c r="K749" i="2"/>
  <c r="G750" i="2"/>
  <c r="H750" i="2"/>
  <c r="I750" i="2"/>
  <c r="J750" i="2"/>
  <c r="K750" i="2"/>
  <c r="G751" i="2"/>
  <c r="H751" i="2"/>
  <c r="I751" i="2"/>
  <c r="J751" i="2"/>
  <c r="K751" i="2"/>
  <c r="G752" i="2"/>
  <c r="H752" i="2"/>
  <c r="I752" i="2"/>
  <c r="J752" i="2"/>
  <c r="K752" i="2"/>
  <c r="G753" i="2"/>
  <c r="H753" i="2"/>
  <c r="I753" i="2"/>
  <c r="J753" i="2"/>
  <c r="K753" i="2"/>
  <c r="G754" i="2"/>
  <c r="H754" i="2"/>
  <c r="I754" i="2"/>
  <c r="J754" i="2"/>
  <c r="K754" i="2"/>
  <c r="G755" i="2"/>
  <c r="H755" i="2"/>
  <c r="I755" i="2"/>
  <c r="J755" i="2"/>
  <c r="K755" i="2"/>
  <c r="G756" i="2"/>
  <c r="H756" i="2"/>
  <c r="I756" i="2"/>
  <c r="J756" i="2"/>
  <c r="K756" i="2"/>
  <c r="G757" i="2"/>
  <c r="H757" i="2"/>
  <c r="I757" i="2"/>
  <c r="J757" i="2"/>
  <c r="K757" i="2"/>
  <c r="G758" i="2"/>
  <c r="H758" i="2"/>
  <c r="I758" i="2"/>
  <c r="J758" i="2"/>
  <c r="K758" i="2"/>
  <c r="G759" i="2"/>
  <c r="H759" i="2"/>
  <c r="I759" i="2"/>
  <c r="J759" i="2"/>
  <c r="K759" i="2"/>
  <c r="G760" i="2"/>
  <c r="H760" i="2"/>
  <c r="I760" i="2"/>
  <c r="J760" i="2"/>
  <c r="K760" i="2"/>
  <c r="G761" i="2"/>
  <c r="H761" i="2"/>
  <c r="I761" i="2"/>
  <c r="J761" i="2"/>
  <c r="K761" i="2"/>
  <c r="G762" i="2"/>
  <c r="H762" i="2"/>
  <c r="I762" i="2"/>
  <c r="J762" i="2"/>
  <c r="K762" i="2"/>
  <c r="G763" i="2"/>
  <c r="H763" i="2"/>
  <c r="I763" i="2"/>
  <c r="J763" i="2"/>
  <c r="K763" i="2"/>
  <c r="G764" i="2"/>
  <c r="H764" i="2"/>
  <c r="I764" i="2"/>
  <c r="J764" i="2"/>
  <c r="K764" i="2"/>
  <c r="G765" i="2"/>
  <c r="H765" i="2"/>
  <c r="I765" i="2"/>
  <c r="J765" i="2"/>
  <c r="K765" i="2"/>
  <c r="G766" i="2"/>
  <c r="H766" i="2"/>
  <c r="I766" i="2"/>
  <c r="J766" i="2"/>
  <c r="K766" i="2"/>
  <c r="G767" i="2"/>
  <c r="H767" i="2"/>
  <c r="I767" i="2"/>
  <c r="J767" i="2"/>
  <c r="K767" i="2"/>
  <c r="G768" i="2"/>
  <c r="H768" i="2"/>
  <c r="I768" i="2"/>
  <c r="J768" i="2"/>
  <c r="K768" i="2"/>
  <c r="G769" i="2"/>
  <c r="H769" i="2"/>
  <c r="I769" i="2"/>
  <c r="J769" i="2"/>
  <c r="K769" i="2"/>
  <c r="G770" i="2"/>
  <c r="H770" i="2"/>
  <c r="I770" i="2"/>
  <c r="J770" i="2"/>
  <c r="K770" i="2"/>
  <c r="G771" i="2"/>
  <c r="H771" i="2"/>
  <c r="I771" i="2"/>
  <c r="J771" i="2"/>
  <c r="K771" i="2"/>
  <c r="G772" i="2"/>
  <c r="H772" i="2"/>
  <c r="I772" i="2"/>
  <c r="J772" i="2"/>
  <c r="K772" i="2"/>
  <c r="G773" i="2"/>
  <c r="H773" i="2"/>
  <c r="I773" i="2"/>
  <c r="J773" i="2"/>
  <c r="K773" i="2"/>
  <c r="G774" i="2"/>
  <c r="H774" i="2"/>
  <c r="I774" i="2"/>
  <c r="J774" i="2"/>
  <c r="K774" i="2"/>
  <c r="G775" i="2"/>
  <c r="H775" i="2"/>
  <c r="I775" i="2"/>
  <c r="J775" i="2"/>
  <c r="K775" i="2"/>
  <c r="G776" i="2"/>
  <c r="H776" i="2"/>
  <c r="I776" i="2"/>
  <c r="J776" i="2"/>
  <c r="K776" i="2"/>
  <c r="G777" i="2"/>
  <c r="H777" i="2"/>
  <c r="I777" i="2"/>
  <c r="J777" i="2"/>
  <c r="K777" i="2"/>
  <c r="G778" i="2"/>
  <c r="H778" i="2"/>
  <c r="I778" i="2"/>
  <c r="J778" i="2"/>
  <c r="K778" i="2"/>
  <c r="G779" i="2"/>
  <c r="H779" i="2"/>
  <c r="I779" i="2"/>
  <c r="J779" i="2"/>
  <c r="K779" i="2"/>
  <c r="G780" i="2"/>
  <c r="H780" i="2"/>
  <c r="I780" i="2"/>
  <c r="J780" i="2"/>
  <c r="K780" i="2"/>
  <c r="G781" i="2"/>
  <c r="H781" i="2"/>
  <c r="I781" i="2"/>
  <c r="J781" i="2"/>
  <c r="K781" i="2"/>
  <c r="G782" i="2"/>
  <c r="H782" i="2"/>
  <c r="I782" i="2"/>
  <c r="J782" i="2"/>
  <c r="K782" i="2"/>
  <c r="G783" i="2"/>
  <c r="H783" i="2"/>
  <c r="I783" i="2"/>
  <c r="J783" i="2"/>
  <c r="K783" i="2"/>
  <c r="G784" i="2"/>
  <c r="H784" i="2"/>
  <c r="I784" i="2"/>
  <c r="J784" i="2"/>
  <c r="K784" i="2"/>
  <c r="G785" i="2"/>
  <c r="H785" i="2"/>
  <c r="I785" i="2"/>
  <c r="J785" i="2"/>
  <c r="K785" i="2"/>
  <c r="G786" i="2"/>
  <c r="H786" i="2"/>
  <c r="I786" i="2"/>
  <c r="J786" i="2"/>
  <c r="K786" i="2"/>
  <c r="G787" i="2"/>
  <c r="H787" i="2"/>
  <c r="I787" i="2"/>
  <c r="J787" i="2"/>
  <c r="K787" i="2"/>
  <c r="G788" i="2"/>
  <c r="H788" i="2"/>
  <c r="I788" i="2"/>
  <c r="J788" i="2"/>
  <c r="K788" i="2"/>
  <c r="G789" i="2"/>
  <c r="H789" i="2"/>
  <c r="I789" i="2"/>
  <c r="J789" i="2"/>
  <c r="K789" i="2"/>
  <c r="G790" i="2"/>
  <c r="H790" i="2"/>
  <c r="I790" i="2"/>
  <c r="J790" i="2"/>
  <c r="K790" i="2"/>
  <c r="G791" i="2"/>
  <c r="H791" i="2"/>
  <c r="I791" i="2"/>
  <c r="J791" i="2"/>
  <c r="K791" i="2"/>
  <c r="G792" i="2"/>
  <c r="H792" i="2"/>
  <c r="I792" i="2"/>
  <c r="J792" i="2"/>
  <c r="K792" i="2"/>
  <c r="G793" i="2"/>
  <c r="H793" i="2"/>
  <c r="I793" i="2"/>
  <c r="J793" i="2"/>
  <c r="K793" i="2"/>
  <c r="G794" i="2"/>
  <c r="H794" i="2"/>
  <c r="I794" i="2"/>
  <c r="J794" i="2"/>
  <c r="K794" i="2"/>
  <c r="G795" i="2"/>
  <c r="H795" i="2"/>
  <c r="I795" i="2"/>
  <c r="J795" i="2"/>
  <c r="K795" i="2"/>
  <c r="G796" i="2"/>
  <c r="H796" i="2"/>
  <c r="I796" i="2"/>
  <c r="J796" i="2"/>
  <c r="K796" i="2"/>
  <c r="G797" i="2"/>
  <c r="H797" i="2"/>
  <c r="I797" i="2"/>
  <c r="J797" i="2"/>
  <c r="K797" i="2"/>
  <c r="G798" i="2"/>
  <c r="H798" i="2"/>
  <c r="I798" i="2"/>
  <c r="J798" i="2"/>
  <c r="K798" i="2"/>
  <c r="G799" i="2"/>
  <c r="H799" i="2"/>
  <c r="I799" i="2"/>
  <c r="J799" i="2"/>
  <c r="K799" i="2"/>
  <c r="G800" i="2"/>
  <c r="H800" i="2"/>
  <c r="I800" i="2"/>
  <c r="J800" i="2"/>
  <c r="K800" i="2"/>
  <c r="G801" i="2"/>
  <c r="H801" i="2"/>
  <c r="I801" i="2"/>
  <c r="J801" i="2"/>
  <c r="K801" i="2"/>
  <c r="G802" i="2"/>
  <c r="H802" i="2"/>
  <c r="I802" i="2"/>
  <c r="J802" i="2"/>
  <c r="K802" i="2"/>
  <c r="G803" i="2"/>
  <c r="H803" i="2"/>
  <c r="I803" i="2"/>
  <c r="J803" i="2"/>
  <c r="K803" i="2"/>
  <c r="G804" i="2"/>
  <c r="H804" i="2"/>
  <c r="I804" i="2"/>
  <c r="J804" i="2"/>
  <c r="K804" i="2"/>
  <c r="G805" i="2"/>
  <c r="H805" i="2"/>
  <c r="I805" i="2"/>
  <c r="J805" i="2"/>
  <c r="K805" i="2"/>
  <c r="G806" i="2"/>
  <c r="H806" i="2"/>
  <c r="I806" i="2"/>
  <c r="J806" i="2"/>
  <c r="K806" i="2"/>
  <c r="G807" i="2"/>
  <c r="H807" i="2"/>
  <c r="I807" i="2"/>
  <c r="J807" i="2"/>
  <c r="K807" i="2"/>
  <c r="K438" i="2"/>
  <c r="J438" i="2"/>
  <c r="I438" i="2"/>
  <c r="H438" i="2"/>
  <c r="G438" i="2"/>
  <c r="G27" i="2"/>
  <c r="H27" i="2"/>
  <c r="I27" i="2"/>
  <c r="J27" i="2"/>
  <c r="K27" i="2"/>
  <c r="G28" i="2"/>
  <c r="H28" i="2"/>
  <c r="I28" i="2"/>
  <c r="J28" i="2"/>
  <c r="K28" i="2"/>
  <c r="G29" i="2"/>
  <c r="H29" i="2"/>
  <c r="I29" i="2"/>
  <c r="J29" i="2"/>
  <c r="K29" i="2"/>
  <c r="G30" i="2"/>
  <c r="H30" i="2"/>
  <c r="I30" i="2"/>
  <c r="J30" i="2"/>
  <c r="K30" i="2"/>
  <c r="G31" i="2"/>
  <c r="H31" i="2"/>
  <c r="I31" i="2"/>
  <c r="J31" i="2"/>
  <c r="K31" i="2"/>
  <c r="G32" i="2"/>
  <c r="H32" i="2"/>
  <c r="I32" i="2"/>
  <c r="J32" i="2"/>
  <c r="K32" i="2"/>
  <c r="G33" i="2"/>
  <c r="H33" i="2"/>
  <c r="I33" i="2"/>
  <c r="J33" i="2"/>
  <c r="K33" i="2"/>
  <c r="G34" i="2"/>
  <c r="H34" i="2"/>
  <c r="I34" i="2"/>
  <c r="J34" i="2"/>
  <c r="K34" i="2"/>
  <c r="G35" i="2"/>
  <c r="H35" i="2"/>
  <c r="I35" i="2"/>
  <c r="J35" i="2"/>
  <c r="K35" i="2"/>
  <c r="G36" i="2"/>
  <c r="H36" i="2"/>
  <c r="I36" i="2"/>
  <c r="J36" i="2"/>
  <c r="K36" i="2"/>
  <c r="G37" i="2"/>
  <c r="H37" i="2"/>
  <c r="I37" i="2"/>
  <c r="J37" i="2"/>
  <c r="K37" i="2"/>
  <c r="G38" i="2"/>
  <c r="H38" i="2"/>
  <c r="I38" i="2"/>
  <c r="J38" i="2"/>
  <c r="K38" i="2"/>
  <c r="G39" i="2"/>
  <c r="H39" i="2"/>
  <c r="I39" i="2"/>
  <c r="J39" i="2"/>
  <c r="K39" i="2"/>
  <c r="G40" i="2"/>
  <c r="H40" i="2"/>
  <c r="I40" i="2"/>
  <c r="J40" i="2"/>
  <c r="K40" i="2"/>
  <c r="G41" i="2"/>
  <c r="H41" i="2"/>
  <c r="I41" i="2"/>
  <c r="J41" i="2"/>
  <c r="K41" i="2"/>
  <c r="G42" i="2"/>
  <c r="H42" i="2"/>
  <c r="I42" i="2"/>
  <c r="J42" i="2"/>
  <c r="K42" i="2"/>
  <c r="G43" i="2"/>
  <c r="H43" i="2"/>
  <c r="I43" i="2"/>
  <c r="J43" i="2"/>
  <c r="K43" i="2"/>
  <c r="G44" i="2"/>
  <c r="H44" i="2"/>
  <c r="I44" i="2"/>
  <c r="J44" i="2"/>
  <c r="K44" i="2"/>
  <c r="G45" i="2"/>
  <c r="H45" i="2"/>
  <c r="I45" i="2"/>
  <c r="J45" i="2"/>
  <c r="K45" i="2"/>
  <c r="G46" i="2"/>
  <c r="H46" i="2"/>
  <c r="I46" i="2"/>
  <c r="J46" i="2"/>
  <c r="K46" i="2"/>
  <c r="G47" i="2"/>
  <c r="H47" i="2"/>
  <c r="I47" i="2"/>
  <c r="J47" i="2"/>
  <c r="K47" i="2"/>
  <c r="G48" i="2"/>
  <c r="H48" i="2"/>
  <c r="I48" i="2"/>
  <c r="J48" i="2"/>
  <c r="K48" i="2"/>
  <c r="G49" i="2"/>
  <c r="H49" i="2"/>
  <c r="I49" i="2"/>
  <c r="J49" i="2"/>
  <c r="K49" i="2"/>
  <c r="G50" i="2"/>
  <c r="H50" i="2"/>
  <c r="I50" i="2"/>
  <c r="J50" i="2"/>
  <c r="K50" i="2"/>
  <c r="G51" i="2"/>
  <c r="H51" i="2"/>
  <c r="I51" i="2"/>
  <c r="J51" i="2"/>
  <c r="K51" i="2"/>
  <c r="G52" i="2"/>
  <c r="H52" i="2"/>
  <c r="I52" i="2"/>
  <c r="J52" i="2"/>
  <c r="K52" i="2"/>
  <c r="G53" i="2"/>
  <c r="H53" i="2"/>
  <c r="I53" i="2"/>
  <c r="J53" i="2"/>
  <c r="K53" i="2"/>
  <c r="G54" i="2"/>
  <c r="H54" i="2"/>
  <c r="I54" i="2"/>
  <c r="J54" i="2"/>
  <c r="K54" i="2"/>
  <c r="G55" i="2"/>
  <c r="H55" i="2"/>
  <c r="I55" i="2"/>
  <c r="J55" i="2"/>
  <c r="K55" i="2"/>
  <c r="G56" i="2"/>
  <c r="H56" i="2"/>
  <c r="I56" i="2"/>
  <c r="J56" i="2"/>
  <c r="K56" i="2"/>
  <c r="G57" i="2"/>
  <c r="H57" i="2"/>
  <c r="I57" i="2"/>
  <c r="J57" i="2"/>
  <c r="K57" i="2"/>
  <c r="G58" i="2"/>
  <c r="H58" i="2"/>
  <c r="I58" i="2"/>
  <c r="J58" i="2"/>
  <c r="K58" i="2"/>
  <c r="G59" i="2"/>
  <c r="H59" i="2"/>
  <c r="I59" i="2"/>
  <c r="J59" i="2"/>
  <c r="K59" i="2"/>
  <c r="G60" i="2"/>
  <c r="H60" i="2"/>
  <c r="I60" i="2"/>
  <c r="J60" i="2"/>
  <c r="K60" i="2"/>
  <c r="G61" i="2"/>
  <c r="H61" i="2"/>
  <c r="I61" i="2"/>
  <c r="J61" i="2"/>
  <c r="K61" i="2"/>
  <c r="G62" i="2"/>
  <c r="H62" i="2"/>
  <c r="I62" i="2"/>
  <c r="J62" i="2"/>
  <c r="K62" i="2"/>
  <c r="G63" i="2"/>
  <c r="H63" i="2"/>
  <c r="I63" i="2"/>
  <c r="J63" i="2"/>
  <c r="K63" i="2"/>
  <c r="G64" i="2"/>
  <c r="H64" i="2"/>
  <c r="I64" i="2"/>
  <c r="J64" i="2"/>
  <c r="K64" i="2"/>
  <c r="G65" i="2"/>
  <c r="H65" i="2"/>
  <c r="I65" i="2"/>
  <c r="J65" i="2"/>
  <c r="K65" i="2"/>
  <c r="G66" i="2"/>
  <c r="H66" i="2"/>
  <c r="I66" i="2"/>
  <c r="J66" i="2"/>
  <c r="K66" i="2"/>
  <c r="G67" i="2"/>
  <c r="H67" i="2"/>
  <c r="I67" i="2"/>
  <c r="J67" i="2"/>
  <c r="K67" i="2"/>
  <c r="G68" i="2"/>
  <c r="H68" i="2"/>
  <c r="I68" i="2"/>
  <c r="J68" i="2"/>
  <c r="K68" i="2"/>
  <c r="G69" i="2"/>
  <c r="H69" i="2"/>
  <c r="I69" i="2"/>
  <c r="J69" i="2"/>
  <c r="K69" i="2"/>
  <c r="G70" i="2"/>
  <c r="H70" i="2"/>
  <c r="I70" i="2"/>
  <c r="J70" i="2"/>
  <c r="K70" i="2"/>
  <c r="G71" i="2"/>
  <c r="H71" i="2"/>
  <c r="I71" i="2"/>
  <c r="J71" i="2"/>
  <c r="K71" i="2"/>
  <c r="G72" i="2"/>
  <c r="H72" i="2"/>
  <c r="I72" i="2"/>
  <c r="J72" i="2"/>
  <c r="K72" i="2"/>
  <c r="G73" i="2"/>
  <c r="H73" i="2"/>
  <c r="I73" i="2"/>
  <c r="J73" i="2"/>
  <c r="K73" i="2"/>
  <c r="G74" i="2"/>
  <c r="H74" i="2"/>
  <c r="I74" i="2"/>
  <c r="J74" i="2"/>
  <c r="K74" i="2"/>
  <c r="G75" i="2"/>
  <c r="H75" i="2"/>
  <c r="I75" i="2"/>
  <c r="J75" i="2"/>
  <c r="K75" i="2"/>
  <c r="G76" i="2"/>
  <c r="H76" i="2"/>
  <c r="I76" i="2"/>
  <c r="J76" i="2"/>
  <c r="K76" i="2"/>
  <c r="G77" i="2"/>
  <c r="H77" i="2"/>
  <c r="I77" i="2"/>
  <c r="J77" i="2"/>
  <c r="K77" i="2"/>
  <c r="G78" i="2"/>
  <c r="H78" i="2"/>
  <c r="I78" i="2"/>
  <c r="J78" i="2"/>
  <c r="K78" i="2"/>
  <c r="G79" i="2"/>
  <c r="H79" i="2"/>
  <c r="I79" i="2"/>
  <c r="J79" i="2"/>
  <c r="K79" i="2"/>
  <c r="G80" i="2"/>
  <c r="H80" i="2"/>
  <c r="I80" i="2"/>
  <c r="J80" i="2"/>
  <c r="K80" i="2"/>
  <c r="G81" i="2"/>
  <c r="H81" i="2"/>
  <c r="I81" i="2"/>
  <c r="J81" i="2"/>
  <c r="K81" i="2"/>
  <c r="G82" i="2"/>
  <c r="H82" i="2"/>
  <c r="I82" i="2"/>
  <c r="J82" i="2"/>
  <c r="K82" i="2"/>
  <c r="G83" i="2"/>
  <c r="H83" i="2"/>
  <c r="I83" i="2"/>
  <c r="J83" i="2"/>
  <c r="K83" i="2"/>
  <c r="G84" i="2"/>
  <c r="H84" i="2"/>
  <c r="I84" i="2"/>
  <c r="J84" i="2"/>
  <c r="K84" i="2"/>
  <c r="G85" i="2"/>
  <c r="H85" i="2"/>
  <c r="I85" i="2"/>
  <c r="J85" i="2"/>
  <c r="K85" i="2"/>
  <c r="G86" i="2"/>
  <c r="H86" i="2"/>
  <c r="I86" i="2"/>
  <c r="J86" i="2"/>
  <c r="K86" i="2"/>
  <c r="G87" i="2"/>
  <c r="H87" i="2"/>
  <c r="I87" i="2"/>
  <c r="J87" i="2"/>
  <c r="K87" i="2"/>
  <c r="G88" i="2"/>
  <c r="H88" i="2"/>
  <c r="I88" i="2"/>
  <c r="J88" i="2"/>
  <c r="K88" i="2"/>
  <c r="G89" i="2"/>
  <c r="H89" i="2"/>
  <c r="I89" i="2"/>
  <c r="J89" i="2"/>
  <c r="K89" i="2"/>
  <c r="G90" i="2"/>
  <c r="H90" i="2"/>
  <c r="I90" i="2"/>
  <c r="J90" i="2"/>
  <c r="K90" i="2"/>
  <c r="G91" i="2"/>
  <c r="H91" i="2"/>
  <c r="I91" i="2"/>
  <c r="J91" i="2"/>
  <c r="K91" i="2"/>
  <c r="G92" i="2"/>
  <c r="H92" i="2"/>
  <c r="I92" i="2"/>
  <c r="J92" i="2"/>
  <c r="K92" i="2"/>
  <c r="G93" i="2"/>
  <c r="H93" i="2"/>
  <c r="I93" i="2"/>
  <c r="J93" i="2"/>
  <c r="K93" i="2"/>
  <c r="G94" i="2"/>
  <c r="H94" i="2"/>
  <c r="I94" i="2"/>
  <c r="J94" i="2"/>
  <c r="K94" i="2"/>
  <c r="G95" i="2"/>
  <c r="H95" i="2"/>
  <c r="I95" i="2"/>
  <c r="J95" i="2"/>
  <c r="K95" i="2"/>
  <c r="G96" i="2"/>
  <c r="H96" i="2"/>
  <c r="I96" i="2"/>
  <c r="J96" i="2"/>
  <c r="K96" i="2"/>
  <c r="G97" i="2"/>
  <c r="H97" i="2"/>
  <c r="I97" i="2"/>
  <c r="J97" i="2"/>
  <c r="K97" i="2"/>
  <c r="G98" i="2"/>
  <c r="H98" i="2"/>
  <c r="I98" i="2"/>
  <c r="J98" i="2"/>
  <c r="K98" i="2"/>
  <c r="G99" i="2"/>
  <c r="H99" i="2"/>
  <c r="I99" i="2"/>
  <c r="J99" i="2"/>
  <c r="K99" i="2"/>
  <c r="G100" i="2"/>
  <c r="H100" i="2"/>
  <c r="I100" i="2"/>
  <c r="J100" i="2"/>
  <c r="K100" i="2"/>
  <c r="G101" i="2"/>
  <c r="H101" i="2"/>
  <c r="I101" i="2"/>
  <c r="J101" i="2"/>
  <c r="K101" i="2"/>
  <c r="G102" i="2"/>
  <c r="H102" i="2"/>
  <c r="I102" i="2"/>
  <c r="J102" i="2"/>
  <c r="K102" i="2"/>
  <c r="G103" i="2"/>
  <c r="H103" i="2"/>
  <c r="I103" i="2"/>
  <c r="J103" i="2"/>
  <c r="K103" i="2"/>
  <c r="G104" i="2"/>
  <c r="H104" i="2"/>
  <c r="I104" i="2"/>
  <c r="J104" i="2"/>
  <c r="K104" i="2"/>
  <c r="G105" i="2"/>
  <c r="H105" i="2"/>
  <c r="I105" i="2"/>
  <c r="J105" i="2"/>
  <c r="K105" i="2"/>
  <c r="G106" i="2"/>
  <c r="H106" i="2"/>
  <c r="I106" i="2"/>
  <c r="J106" i="2"/>
  <c r="K106" i="2"/>
  <c r="G107" i="2"/>
  <c r="H107" i="2"/>
  <c r="I107" i="2"/>
  <c r="J107" i="2"/>
  <c r="K107" i="2"/>
  <c r="G108" i="2"/>
  <c r="H108" i="2"/>
  <c r="I108" i="2"/>
  <c r="J108" i="2"/>
  <c r="K108" i="2"/>
  <c r="G109" i="2"/>
  <c r="H109" i="2"/>
  <c r="I109" i="2"/>
  <c r="J109" i="2"/>
  <c r="K109" i="2"/>
  <c r="G110" i="2"/>
  <c r="H110" i="2"/>
  <c r="I110" i="2"/>
  <c r="J110" i="2"/>
  <c r="K110" i="2"/>
  <c r="G111" i="2"/>
  <c r="H111" i="2"/>
  <c r="I111" i="2"/>
  <c r="J111" i="2"/>
  <c r="K111" i="2"/>
  <c r="G112" i="2"/>
  <c r="H112" i="2"/>
  <c r="I112" i="2"/>
  <c r="J112" i="2"/>
  <c r="K112" i="2"/>
  <c r="G113" i="2"/>
  <c r="H113" i="2"/>
  <c r="I113" i="2"/>
  <c r="J113" i="2"/>
  <c r="K113" i="2"/>
  <c r="G114" i="2"/>
  <c r="H114" i="2"/>
  <c r="I114" i="2"/>
  <c r="J114" i="2"/>
  <c r="K114" i="2"/>
  <c r="G115" i="2"/>
  <c r="H115" i="2"/>
  <c r="I115" i="2"/>
  <c r="J115" i="2"/>
  <c r="K115" i="2"/>
  <c r="G116" i="2"/>
  <c r="H116" i="2"/>
  <c r="I116" i="2"/>
  <c r="J116" i="2"/>
  <c r="K116" i="2"/>
  <c r="G117" i="2"/>
  <c r="H117" i="2"/>
  <c r="I117" i="2"/>
  <c r="J117" i="2"/>
  <c r="K117" i="2"/>
  <c r="G118" i="2"/>
  <c r="H118" i="2"/>
  <c r="I118" i="2"/>
  <c r="J118" i="2"/>
  <c r="K118" i="2"/>
  <c r="G119" i="2"/>
  <c r="H119" i="2"/>
  <c r="I119" i="2"/>
  <c r="J119" i="2"/>
  <c r="K119" i="2"/>
  <c r="G120" i="2"/>
  <c r="H120" i="2"/>
  <c r="I120" i="2"/>
  <c r="J120" i="2"/>
  <c r="K120" i="2"/>
  <c r="G121" i="2"/>
  <c r="H121" i="2"/>
  <c r="I121" i="2"/>
  <c r="J121" i="2"/>
  <c r="K121" i="2"/>
  <c r="G122" i="2"/>
  <c r="H122" i="2"/>
  <c r="I122" i="2"/>
  <c r="J122" i="2"/>
  <c r="K122" i="2"/>
  <c r="G123" i="2"/>
  <c r="H123" i="2"/>
  <c r="I123" i="2"/>
  <c r="J123" i="2"/>
  <c r="K123" i="2"/>
  <c r="G124" i="2"/>
  <c r="H124" i="2"/>
  <c r="I124" i="2"/>
  <c r="J124" i="2"/>
  <c r="K124" i="2"/>
  <c r="G125" i="2"/>
  <c r="H125" i="2"/>
  <c r="I125" i="2"/>
  <c r="J125" i="2"/>
  <c r="K125" i="2"/>
  <c r="G126" i="2"/>
  <c r="H126" i="2"/>
  <c r="I126" i="2"/>
  <c r="J126" i="2"/>
  <c r="K126" i="2"/>
  <c r="G129" i="2"/>
  <c r="H129" i="2"/>
  <c r="I129" i="2"/>
  <c r="J129" i="2"/>
  <c r="K129" i="2"/>
  <c r="G130" i="2"/>
  <c r="H130" i="2"/>
  <c r="I130" i="2"/>
  <c r="J130" i="2"/>
  <c r="K130" i="2"/>
  <c r="G131" i="2"/>
  <c r="H131" i="2"/>
  <c r="I131" i="2"/>
  <c r="J131" i="2"/>
  <c r="K131" i="2"/>
  <c r="G132" i="2"/>
  <c r="H132" i="2"/>
  <c r="I132" i="2"/>
  <c r="J132" i="2"/>
  <c r="K132" i="2"/>
  <c r="G133" i="2"/>
  <c r="H133" i="2"/>
  <c r="I133" i="2"/>
  <c r="J133" i="2"/>
  <c r="K133" i="2"/>
  <c r="G134" i="2"/>
  <c r="H134" i="2"/>
  <c r="I134" i="2"/>
  <c r="J134" i="2"/>
  <c r="K134" i="2"/>
  <c r="G135" i="2"/>
  <c r="H135" i="2"/>
  <c r="I135" i="2"/>
  <c r="J135" i="2"/>
  <c r="K135" i="2"/>
  <c r="G136" i="2"/>
  <c r="H136" i="2"/>
  <c r="I136" i="2"/>
  <c r="J136" i="2"/>
  <c r="K136" i="2"/>
  <c r="G137" i="2"/>
  <c r="H137" i="2"/>
  <c r="I137" i="2"/>
  <c r="J137" i="2"/>
  <c r="K137" i="2"/>
  <c r="G138" i="2"/>
  <c r="H138" i="2"/>
  <c r="I138" i="2"/>
  <c r="J138" i="2"/>
  <c r="K138" i="2"/>
  <c r="G139" i="2"/>
  <c r="H139" i="2"/>
  <c r="I139" i="2"/>
  <c r="J139" i="2"/>
  <c r="K139" i="2"/>
  <c r="G140" i="2"/>
  <c r="H140" i="2"/>
  <c r="I140" i="2"/>
  <c r="J140" i="2"/>
  <c r="K140" i="2"/>
  <c r="G141" i="2"/>
  <c r="H141" i="2"/>
  <c r="I141" i="2"/>
  <c r="J141" i="2"/>
  <c r="K141" i="2"/>
  <c r="G142" i="2"/>
  <c r="H142" i="2"/>
  <c r="I142" i="2"/>
  <c r="J142" i="2"/>
  <c r="K142" i="2"/>
  <c r="G143" i="2"/>
  <c r="H143" i="2"/>
  <c r="I143" i="2"/>
  <c r="J143" i="2"/>
  <c r="K143" i="2"/>
  <c r="G144" i="2"/>
  <c r="H144" i="2"/>
  <c r="I144" i="2"/>
  <c r="J144" i="2"/>
  <c r="K144" i="2"/>
  <c r="G145" i="2"/>
  <c r="H145" i="2"/>
  <c r="I145" i="2"/>
  <c r="J145" i="2"/>
  <c r="K145" i="2"/>
  <c r="G146" i="2"/>
  <c r="H146" i="2"/>
  <c r="I146" i="2"/>
  <c r="J146" i="2"/>
  <c r="K146" i="2"/>
  <c r="G147" i="2"/>
  <c r="H147" i="2"/>
  <c r="I147" i="2"/>
  <c r="J147" i="2"/>
  <c r="K147" i="2"/>
  <c r="G148" i="2"/>
  <c r="H148" i="2"/>
  <c r="I148" i="2"/>
  <c r="J148" i="2"/>
  <c r="K148" i="2"/>
  <c r="G149" i="2"/>
  <c r="H149" i="2"/>
  <c r="I149" i="2"/>
  <c r="J149" i="2"/>
  <c r="K149" i="2"/>
  <c r="G150" i="2"/>
  <c r="H150" i="2"/>
  <c r="I150" i="2"/>
  <c r="J150" i="2"/>
  <c r="K150" i="2"/>
  <c r="G151" i="2"/>
  <c r="H151" i="2"/>
  <c r="I151" i="2"/>
  <c r="J151" i="2"/>
  <c r="K151" i="2"/>
  <c r="G152" i="2"/>
  <c r="H152" i="2"/>
  <c r="I152" i="2"/>
  <c r="J152" i="2"/>
  <c r="K152" i="2"/>
  <c r="G153" i="2"/>
  <c r="H153" i="2"/>
  <c r="I153" i="2"/>
  <c r="J153" i="2"/>
  <c r="K153" i="2"/>
  <c r="G154" i="2"/>
  <c r="H154" i="2"/>
  <c r="I154" i="2"/>
  <c r="J154" i="2"/>
  <c r="K154" i="2"/>
  <c r="G155" i="2"/>
  <c r="H155" i="2"/>
  <c r="I155" i="2"/>
  <c r="J155" i="2"/>
  <c r="K155" i="2"/>
  <c r="G156" i="2"/>
  <c r="H156" i="2"/>
  <c r="I156" i="2"/>
  <c r="J156" i="2"/>
  <c r="K156" i="2"/>
  <c r="G157" i="2"/>
  <c r="H157" i="2"/>
  <c r="I157" i="2"/>
  <c r="J157" i="2"/>
  <c r="K157" i="2"/>
  <c r="G158" i="2"/>
  <c r="H158" i="2"/>
  <c r="I158" i="2"/>
  <c r="J158" i="2"/>
  <c r="K158" i="2"/>
  <c r="G159" i="2"/>
  <c r="H159" i="2"/>
  <c r="I159" i="2"/>
  <c r="J159" i="2"/>
  <c r="K159" i="2"/>
  <c r="G160" i="2"/>
  <c r="H160" i="2"/>
  <c r="I160" i="2"/>
  <c r="J160" i="2"/>
  <c r="K160" i="2"/>
  <c r="G161" i="2"/>
  <c r="H161" i="2"/>
  <c r="I161" i="2"/>
  <c r="J161" i="2"/>
  <c r="K161" i="2"/>
  <c r="G162" i="2"/>
  <c r="H162" i="2"/>
  <c r="I162" i="2"/>
  <c r="J162" i="2"/>
  <c r="K162" i="2"/>
  <c r="G163" i="2"/>
  <c r="H163" i="2"/>
  <c r="I163" i="2"/>
  <c r="J163" i="2"/>
  <c r="K163" i="2"/>
  <c r="G164" i="2"/>
  <c r="H164" i="2"/>
  <c r="I164" i="2"/>
  <c r="J164" i="2"/>
  <c r="K164" i="2"/>
  <c r="G165" i="2"/>
  <c r="H165" i="2"/>
  <c r="I165" i="2"/>
  <c r="J165" i="2"/>
  <c r="K165" i="2"/>
  <c r="G166" i="2"/>
  <c r="H166" i="2"/>
  <c r="I166" i="2"/>
  <c r="J166" i="2"/>
  <c r="K166" i="2"/>
  <c r="G167" i="2"/>
  <c r="H167" i="2"/>
  <c r="I167" i="2"/>
  <c r="J167" i="2"/>
  <c r="K167" i="2"/>
  <c r="G168" i="2"/>
  <c r="H168" i="2"/>
  <c r="I168" i="2"/>
  <c r="J168" i="2"/>
  <c r="K168" i="2"/>
  <c r="G169" i="2"/>
  <c r="H169" i="2"/>
  <c r="I169" i="2"/>
  <c r="J169" i="2"/>
  <c r="K169" i="2"/>
  <c r="G170" i="2"/>
  <c r="H170" i="2"/>
  <c r="I170" i="2"/>
  <c r="J170" i="2"/>
  <c r="K170" i="2"/>
  <c r="G171" i="2"/>
  <c r="H171" i="2"/>
  <c r="I171" i="2"/>
  <c r="J171" i="2"/>
  <c r="K171" i="2"/>
  <c r="G172" i="2"/>
  <c r="H172" i="2"/>
  <c r="I172" i="2"/>
  <c r="J172" i="2"/>
  <c r="K172" i="2"/>
  <c r="G173" i="2"/>
  <c r="H173" i="2"/>
  <c r="I173" i="2"/>
  <c r="J173" i="2"/>
  <c r="K173" i="2"/>
  <c r="G174" i="2"/>
  <c r="H174" i="2"/>
  <c r="I174" i="2"/>
  <c r="J174" i="2"/>
  <c r="K174" i="2"/>
  <c r="G175" i="2"/>
  <c r="H175" i="2"/>
  <c r="I175" i="2"/>
  <c r="J175" i="2"/>
  <c r="K175" i="2"/>
  <c r="G176" i="2"/>
  <c r="H176" i="2"/>
  <c r="I176" i="2"/>
  <c r="J176" i="2"/>
  <c r="K176" i="2"/>
  <c r="G177" i="2"/>
  <c r="H177" i="2"/>
  <c r="I177" i="2"/>
  <c r="J177" i="2"/>
  <c r="K177" i="2"/>
  <c r="G178" i="2"/>
  <c r="H178" i="2"/>
  <c r="I178" i="2"/>
  <c r="J178" i="2"/>
  <c r="K178" i="2"/>
  <c r="G179" i="2"/>
  <c r="H179" i="2"/>
  <c r="I179" i="2"/>
  <c r="J179" i="2"/>
  <c r="K179" i="2"/>
  <c r="G180" i="2"/>
  <c r="H180" i="2"/>
  <c r="I180" i="2"/>
  <c r="J180" i="2"/>
  <c r="K180" i="2"/>
  <c r="G181" i="2"/>
  <c r="H181" i="2"/>
  <c r="I181" i="2"/>
  <c r="J181" i="2"/>
  <c r="K181" i="2"/>
  <c r="G182" i="2"/>
  <c r="H182" i="2"/>
  <c r="I182" i="2"/>
  <c r="J182" i="2"/>
  <c r="K182" i="2"/>
  <c r="G183" i="2"/>
  <c r="H183" i="2"/>
  <c r="I183" i="2"/>
  <c r="J183" i="2"/>
  <c r="K183" i="2"/>
  <c r="G184" i="2"/>
  <c r="H184" i="2"/>
  <c r="I184" i="2"/>
  <c r="J184" i="2"/>
  <c r="K184" i="2"/>
  <c r="G185" i="2"/>
  <c r="H185" i="2"/>
  <c r="I185" i="2"/>
  <c r="J185" i="2"/>
  <c r="K185" i="2"/>
  <c r="G186" i="2"/>
  <c r="H186" i="2"/>
  <c r="I186" i="2"/>
  <c r="J186" i="2"/>
  <c r="K186" i="2"/>
  <c r="G187" i="2"/>
  <c r="H187" i="2"/>
  <c r="I187" i="2"/>
  <c r="J187" i="2"/>
  <c r="K187" i="2"/>
  <c r="G188" i="2"/>
  <c r="H188" i="2"/>
  <c r="I188" i="2"/>
  <c r="J188" i="2"/>
  <c r="K188" i="2"/>
  <c r="G189" i="2"/>
  <c r="H189" i="2"/>
  <c r="I189" i="2"/>
  <c r="J189" i="2"/>
  <c r="K189" i="2"/>
  <c r="G190" i="2"/>
  <c r="H190" i="2"/>
  <c r="I190" i="2"/>
  <c r="J190" i="2"/>
  <c r="K190" i="2"/>
  <c r="G191" i="2"/>
  <c r="H191" i="2"/>
  <c r="I191" i="2"/>
  <c r="J191" i="2"/>
  <c r="K191" i="2"/>
  <c r="G192" i="2"/>
  <c r="H192" i="2"/>
  <c r="I192" i="2"/>
  <c r="J192" i="2"/>
  <c r="K192" i="2"/>
  <c r="G193" i="2"/>
  <c r="H193" i="2"/>
  <c r="I193" i="2"/>
  <c r="J193" i="2"/>
  <c r="K193" i="2"/>
  <c r="G194" i="2"/>
  <c r="H194" i="2"/>
  <c r="I194" i="2"/>
  <c r="J194" i="2"/>
  <c r="K194" i="2"/>
  <c r="G195" i="2"/>
  <c r="H195" i="2"/>
  <c r="I195" i="2"/>
  <c r="J195" i="2"/>
  <c r="K195" i="2"/>
  <c r="G196" i="2"/>
  <c r="H196" i="2"/>
  <c r="I196" i="2"/>
  <c r="J196" i="2"/>
  <c r="K196" i="2"/>
  <c r="G197" i="2"/>
  <c r="H197" i="2"/>
  <c r="I197" i="2"/>
  <c r="J197" i="2"/>
  <c r="K197" i="2"/>
  <c r="G198" i="2"/>
  <c r="H198" i="2"/>
  <c r="I198" i="2"/>
  <c r="J198" i="2"/>
  <c r="K198" i="2"/>
  <c r="G199" i="2"/>
  <c r="H199" i="2"/>
  <c r="I199" i="2"/>
  <c r="J199" i="2"/>
  <c r="K199" i="2"/>
  <c r="G200" i="2"/>
  <c r="H200" i="2"/>
  <c r="I200" i="2"/>
  <c r="J200" i="2"/>
  <c r="K200" i="2"/>
  <c r="G201" i="2"/>
  <c r="H201" i="2"/>
  <c r="I201" i="2"/>
  <c r="J201" i="2"/>
  <c r="K201" i="2"/>
  <c r="G202" i="2"/>
  <c r="H202" i="2"/>
  <c r="I202" i="2"/>
  <c r="J202" i="2"/>
  <c r="K202" i="2"/>
  <c r="G203" i="2"/>
  <c r="H203" i="2"/>
  <c r="I203" i="2"/>
  <c r="J203" i="2"/>
  <c r="K203" i="2"/>
  <c r="G204" i="2"/>
  <c r="H204" i="2"/>
  <c r="I204" i="2"/>
  <c r="J204" i="2"/>
  <c r="K204" i="2"/>
  <c r="G205" i="2"/>
  <c r="H205" i="2"/>
  <c r="I205" i="2"/>
  <c r="J205" i="2"/>
  <c r="K205" i="2"/>
  <c r="G206" i="2"/>
  <c r="H206" i="2"/>
  <c r="I206" i="2"/>
  <c r="J206" i="2"/>
  <c r="K206" i="2"/>
  <c r="G207" i="2"/>
  <c r="H207" i="2"/>
  <c r="I207" i="2"/>
  <c r="J207" i="2"/>
  <c r="K207" i="2"/>
  <c r="G208" i="2"/>
  <c r="H208" i="2"/>
  <c r="I208" i="2"/>
  <c r="J208" i="2"/>
  <c r="K208" i="2"/>
  <c r="G209" i="2"/>
  <c r="H209" i="2"/>
  <c r="I209" i="2"/>
  <c r="J209" i="2"/>
  <c r="K209" i="2"/>
  <c r="G210" i="2"/>
  <c r="H210" i="2"/>
  <c r="I210" i="2"/>
  <c r="J210" i="2"/>
  <c r="K210" i="2"/>
  <c r="G211" i="2"/>
  <c r="H211" i="2"/>
  <c r="I211" i="2"/>
  <c r="J211" i="2"/>
  <c r="K211" i="2"/>
  <c r="G212" i="2"/>
  <c r="H212" i="2"/>
  <c r="I212" i="2"/>
  <c r="J212" i="2"/>
  <c r="K212" i="2"/>
  <c r="G213" i="2"/>
  <c r="H213" i="2"/>
  <c r="I213" i="2"/>
  <c r="J213" i="2"/>
  <c r="K213" i="2"/>
  <c r="G214" i="2"/>
  <c r="H214" i="2"/>
  <c r="I214" i="2"/>
  <c r="J214" i="2"/>
  <c r="K214" i="2"/>
  <c r="G215" i="2"/>
  <c r="H215" i="2"/>
  <c r="I215" i="2"/>
  <c r="J215" i="2"/>
  <c r="K215" i="2"/>
  <c r="G216" i="2"/>
  <c r="H216" i="2"/>
  <c r="I216" i="2"/>
  <c r="J216" i="2"/>
  <c r="K216" i="2"/>
  <c r="G217" i="2"/>
  <c r="H217" i="2"/>
  <c r="I217" i="2"/>
  <c r="J217" i="2"/>
  <c r="K217" i="2"/>
  <c r="G218" i="2"/>
  <c r="H218" i="2"/>
  <c r="I218" i="2"/>
  <c r="J218" i="2"/>
  <c r="K218" i="2"/>
  <c r="G219" i="2"/>
  <c r="H219" i="2"/>
  <c r="I219" i="2"/>
  <c r="J219" i="2"/>
  <c r="K219" i="2"/>
  <c r="G220" i="2"/>
  <c r="H220" i="2"/>
  <c r="I220" i="2"/>
  <c r="J220" i="2"/>
  <c r="K220" i="2"/>
  <c r="G221" i="2"/>
  <c r="H221" i="2"/>
  <c r="I221" i="2"/>
  <c r="J221" i="2"/>
  <c r="K221" i="2"/>
  <c r="G222" i="2"/>
  <c r="H222" i="2"/>
  <c r="I222" i="2"/>
  <c r="J222" i="2"/>
  <c r="K222" i="2"/>
  <c r="G223" i="2"/>
  <c r="H223" i="2"/>
  <c r="I223" i="2"/>
  <c r="J223" i="2"/>
  <c r="K223" i="2"/>
  <c r="G224" i="2"/>
  <c r="H224" i="2"/>
  <c r="I224" i="2"/>
  <c r="J224" i="2"/>
  <c r="K224" i="2"/>
  <c r="G225" i="2"/>
  <c r="H225" i="2"/>
  <c r="I225" i="2"/>
  <c r="J225" i="2"/>
  <c r="K225" i="2"/>
  <c r="G226" i="2"/>
  <c r="H226" i="2"/>
  <c r="I226" i="2"/>
  <c r="J226" i="2"/>
  <c r="K226" i="2"/>
  <c r="G227" i="2"/>
  <c r="H227" i="2"/>
  <c r="I227" i="2"/>
  <c r="J227" i="2"/>
  <c r="K227" i="2"/>
  <c r="G228" i="2"/>
  <c r="H228" i="2"/>
  <c r="I228" i="2"/>
  <c r="J228" i="2"/>
  <c r="K228" i="2"/>
  <c r="G229" i="2"/>
  <c r="H229" i="2"/>
  <c r="I229" i="2"/>
  <c r="J229" i="2"/>
  <c r="K229" i="2"/>
  <c r="G230" i="2"/>
  <c r="H230" i="2"/>
  <c r="I230" i="2"/>
  <c r="J230" i="2"/>
  <c r="K230" i="2"/>
  <c r="G231" i="2"/>
  <c r="H231" i="2"/>
  <c r="I231" i="2"/>
  <c r="J231" i="2"/>
  <c r="K231" i="2"/>
  <c r="G232" i="2"/>
  <c r="H232" i="2"/>
  <c r="I232" i="2"/>
  <c r="J232" i="2"/>
  <c r="K232" i="2"/>
  <c r="G233" i="2"/>
  <c r="H233" i="2"/>
  <c r="I233" i="2"/>
  <c r="J233" i="2"/>
  <c r="K233" i="2"/>
  <c r="G234" i="2"/>
  <c r="H234" i="2"/>
  <c r="I234" i="2"/>
  <c r="J234" i="2"/>
  <c r="K234" i="2"/>
  <c r="G235" i="2"/>
  <c r="H235" i="2"/>
  <c r="I235" i="2"/>
  <c r="J235" i="2"/>
  <c r="K235" i="2"/>
  <c r="G236" i="2"/>
  <c r="H236" i="2"/>
  <c r="I236" i="2"/>
  <c r="J236" i="2"/>
  <c r="K236" i="2"/>
  <c r="G237" i="2"/>
  <c r="H237" i="2"/>
  <c r="I237" i="2"/>
  <c r="J237" i="2"/>
  <c r="K237" i="2"/>
  <c r="G238" i="2"/>
  <c r="H238" i="2"/>
  <c r="I238" i="2"/>
  <c r="J238" i="2"/>
  <c r="K238" i="2"/>
  <c r="G239" i="2"/>
  <c r="H239" i="2"/>
  <c r="I239" i="2"/>
  <c r="J239" i="2"/>
  <c r="K239" i="2"/>
  <c r="G240" i="2"/>
  <c r="H240" i="2"/>
  <c r="I240" i="2"/>
  <c r="J240" i="2"/>
  <c r="K240" i="2"/>
  <c r="G241" i="2"/>
  <c r="H241" i="2"/>
  <c r="I241" i="2"/>
  <c r="J241" i="2"/>
  <c r="K241" i="2"/>
  <c r="G242" i="2"/>
  <c r="H242" i="2"/>
  <c r="I242" i="2"/>
  <c r="J242" i="2"/>
  <c r="K242" i="2"/>
  <c r="G243" i="2"/>
  <c r="H243" i="2"/>
  <c r="I243" i="2"/>
  <c r="J243" i="2"/>
  <c r="K243" i="2"/>
  <c r="G244" i="2"/>
  <c r="H244" i="2"/>
  <c r="I244" i="2"/>
  <c r="J244" i="2"/>
  <c r="K244" i="2"/>
  <c r="G245" i="2"/>
  <c r="H245" i="2"/>
  <c r="I245" i="2"/>
  <c r="J245" i="2"/>
  <c r="K245" i="2"/>
  <c r="G246" i="2"/>
  <c r="H246" i="2"/>
  <c r="I246" i="2"/>
  <c r="J246" i="2"/>
  <c r="K246" i="2"/>
  <c r="G247" i="2"/>
  <c r="H247" i="2"/>
  <c r="I247" i="2"/>
  <c r="J247" i="2"/>
  <c r="K247" i="2"/>
  <c r="G248" i="2"/>
  <c r="H248" i="2"/>
  <c r="I248" i="2"/>
  <c r="J248" i="2"/>
  <c r="K248" i="2"/>
  <c r="G249" i="2"/>
  <c r="H249" i="2"/>
  <c r="I249" i="2"/>
  <c r="J249" i="2"/>
  <c r="K249" i="2"/>
  <c r="G250" i="2"/>
  <c r="H250" i="2"/>
  <c r="I250" i="2"/>
  <c r="J250" i="2"/>
  <c r="K250" i="2"/>
  <c r="G251" i="2"/>
  <c r="H251" i="2"/>
  <c r="I251" i="2"/>
  <c r="J251" i="2"/>
  <c r="K251" i="2"/>
  <c r="G252" i="2"/>
  <c r="H252" i="2"/>
  <c r="I252" i="2"/>
  <c r="J252" i="2"/>
  <c r="K252" i="2"/>
  <c r="G253" i="2"/>
  <c r="H253" i="2"/>
  <c r="I253" i="2"/>
  <c r="J253" i="2"/>
  <c r="K253" i="2"/>
  <c r="G254" i="2"/>
  <c r="H254" i="2"/>
  <c r="I254" i="2"/>
  <c r="J254" i="2"/>
  <c r="K254" i="2"/>
  <c r="G255" i="2"/>
  <c r="H255" i="2"/>
  <c r="I255" i="2"/>
  <c r="J255" i="2"/>
  <c r="K255" i="2"/>
  <c r="G256" i="2"/>
  <c r="H256" i="2"/>
  <c r="I256" i="2"/>
  <c r="J256" i="2"/>
  <c r="K256" i="2"/>
  <c r="G257" i="2"/>
  <c r="H257" i="2"/>
  <c r="I257" i="2"/>
  <c r="J257" i="2"/>
  <c r="K257" i="2"/>
  <c r="G258" i="2"/>
  <c r="H258" i="2"/>
  <c r="I258" i="2"/>
  <c r="J258" i="2"/>
  <c r="K258" i="2"/>
  <c r="G259" i="2"/>
  <c r="H259" i="2"/>
  <c r="I259" i="2"/>
  <c r="J259" i="2"/>
  <c r="K259" i="2"/>
  <c r="G260" i="2"/>
  <c r="H260" i="2"/>
  <c r="I260" i="2"/>
  <c r="J260" i="2"/>
  <c r="K260" i="2"/>
  <c r="G261" i="2"/>
  <c r="H261" i="2"/>
  <c r="I261" i="2"/>
  <c r="J261" i="2"/>
  <c r="K261" i="2"/>
  <c r="G262" i="2"/>
  <c r="H262" i="2"/>
  <c r="I262" i="2"/>
  <c r="J262" i="2"/>
  <c r="K262" i="2"/>
  <c r="G263" i="2"/>
  <c r="H263" i="2"/>
  <c r="I263" i="2"/>
  <c r="J263" i="2"/>
  <c r="K263" i="2"/>
  <c r="G264" i="2"/>
  <c r="H264" i="2"/>
  <c r="I264" i="2"/>
  <c r="J264" i="2"/>
  <c r="K264" i="2"/>
  <c r="G265" i="2"/>
  <c r="H265" i="2"/>
  <c r="I265" i="2"/>
  <c r="J265" i="2"/>
  <c r="K265" i="2"/>
  <c r="G266" i="2"/>
  <c r="H266" i="2"/>
  <c r="I266" i="2"/>
  <c r="J266" i="2"/>
  <c r="K266" i="2"/>
  <c r="G267" i="2"/>
  <c r="H267" i="2"/>
  <c r="I267" i="2"/>
  <c r="J267" i="2"/>
  <c r="K267" i="2"/>
  <c r="G268" i="2"/>
  <c r="H268" i="2"/>
  <c r="I268" i="2"/>
  <c r="J268" i="2"/>
  <c r="K268" i="2"/>
  <c r="G269" i="2"/>
  <c r="H269" i="2"/>
  <c r="I269" i="2"/>
  <c r="J269" i="2"/>
  <c r="K269" i="2"/>
  <c r="G270" i="2"/>
  <c r="H270" i="2"/>
  <c r="I270" i="2"/>
  <c r="J270" i="2"/>
  <c r="K270" i="2"/>
  <c r="G271" i="2"/>
  <c r="H271" i="2"/>
  <c r="I271" i="2"/>
  <c r="J271" i="2"/>
  <c r="K271" i="2"/>
  <c r="G272" i="2"/>
  <c r="H272" i="2"/>
  <c r="I272" i="2"/>
  <c r="J272" i="2"/>
  <c r="K272" i="2"/>
  <c r="G273" i="2"/>
  <c r="H273" i="2"/>
  <c r="I273" i="2"/>
  <c r="J273" i="2"/>
  <c r="K273" i="2"/>
  <c r="G274" i="2"/>
  <c r="H274" i="2"/>
  <c r="I274" i="2"/>
  <c r="J274" i="2"/>
  <c r="K274" i="2"/>
  <c r="G275" i="2"/>
  <c r="H275" i="2"/>
  <c r="I275" i="2"/>
  <c r="J275" i="2"/>
  <c r="K275" i="2"/>
  <c r="G276" i="2"/>
  <c r="H276" i="2"/>
  <c r="I276" i="2"/>
  <c r="J276" i="2"/>
  <c r="K276" i="2"/>
  <c r="G277" i="2"/>
  <c r="H277" i="2"/>
  <c r="I277" i="2"/>
  <c r="J277" i="2"/>
  <c r="K277" i="2"/>
  <c r="G278" i="2"/>
  <c r="H278" i="2"/>
  <c r="I278" i="2"/>
  <c r="J278" i="2"/>
  <c r="K278" i="2"/>
  <c r="G279" i="2"/>
  <c r="H279" i="2"/>
  <c r="I279" i="2"/>
  <c r="J279" i="2"/>
  <c r="K279" i="2"/>
  <c r="G280" i="2"/>
  <c r="H280" i="2"/>
  <c r="I280" i="2"/>
  <c r="J280" i="2"/>
  <c r="K280" i="2"/>
  <c r="G281" i="2"/>
  <c r="H281" i="2"/>
  <c r="I281" i="2"/>
  <c r="J281" i="2"/>
  <c r="K281" i="2"/>
  <c r="G282" i="2"/>
  <c r="H282" i="2"/>
  <c r="I282" i="2"/>
  <c r="J282" i="2"/>
  <c r="K282" i="2"/>
  <c r="G283" i="2"/>
  <c r="H283" i="2"/>
  <c r="I283" i="2"/>
  <c r="J283" i="2"/>
  <c r="K283" i="2"/>
  <c r="G284" i="2"/>
  <c r="H284" i="2"/>
  <c r="I284" i="2"/>
  <c r="J284" i="2"/>
  <c r="K284" i="2"/>
  <c r="G285" i="2"/>
  <c r="H285" i="2"/>
  <c r="I285" i="2"/>
  <c r="J285" i="2"/>
  <c r="K285" i="2"/>
  <c r="G286" i="2"/>
  <c r="H286" i="2"/>
  <c r="I286" i="2"/>
  <c r="J286" i="2"/>
  <c r="K286" i="2"/>
  <c r="G287" i="2"/>
  <c r="H287" i="2"/>
  <c r="I287" i="2"/>
  <c r="J287" i="2"/>
  <c r="K287" i="2"/>
  <c r="G288" i="2"/>
  <c r="H288" i="2"/>
  <c r="I288" i="2"/>
  <c r="J288" i="2"/>
  <c r="K288" i="2"/>
  <c r="G289" i="2"/>
  <c r="H289" i="2"/>
  <c r="I289" i="2"/>
  <c r="J289" i="2"/>
  <c r="K289" i="2"/>
  <c r="G290" i="2"/>
  <c r="H290" i="2"/>
  <c r="I290" i="2"/>
  <c r="J290" i="2"/>
  <c r="K290" i="2"/>
  <c r="G291" i="2"/>
  <c r="H291" i="2"/>
  <c r="I291" i="2"/>
  <c r="J291" i="2"/>
  <c r="K291" i="2"/>
  <c r="G292" i="2"/>
  <c r="H292" i="2"/>
  <c r="I292" i="2"/>
  <c r="J292" i="2"/>
  <c r="K292" i="2"/>
  <c r="G293" i="2"/>
  <c r="H293" i="2"/>
  <c r="I293" i="2"/>
  <c r="J293" i="2"/>
  <c r="K293" i="2"/>
  <c r="G294" i="2"/>
  <c r="H294" i="2"/>
  <c r="I294" i="2"/>
  <c r="J294" i="2"/>
  <c r="K294" i="2"/>
  <c r="G295" i="2"/>
  <c r="H295" i="2"/>
  <c r="I295" i="2"/>
  <c r="J295" i="2"/>
  <c r="K295" i="2"/>
  <c r="G296" i="2"/>
  <c r="H296" i="2"/>
  <c r="I296" i="2"/>
  <c r="J296" i="2"/>
  <c r="K296" i="2"/>
  <c r="G297" i="2"/>
  <c r="H297" i="2"/>
  <c r="I297" i="2"/>
  <c r="J297" i="2"/>
  <c r="K297" i="2"/>
  <c r="G298" i="2"/>
  <c r="H298" i="2"/>
  <c r="I298" i="2"/>
  <c r="J298" i="2"/>
  <c r="K298" i="2"/>
  <c r="G299" i="2"/>
  <c r="H299" i="2"/>
  <c r="I299" i="2"/>
  <c r="J299" i="2"/>
  <c r="K299" i="2"/>
  <c r="G300" i="2"/>
  <c r="H300" i="2"/>
  <c r="I300" i="2"/>
  <c r="J300" i="2"/>
  <c r="K300" i="2"/>
  <c r="G301" i="2"/>
  <c r="H301" i="2"/>
  <c r="I301" i="2"/>
  <c r="J301" i="2"/>
  <c r="K301" i="2"/>
  <c r="G302" i="2"/>
  <c r="H302" i="2"/>
  <c r="I302" i="2"/>
  <c r="J302" i="2"/>
  <c r="K302" i="2"/>
  <c r="G303" i="2"/>
  <c r="H303" i="2"/>
  <c r="I303" i="2"/>
  <c r="J303" i="2"/>
  <c r="K303" i="2"/>
  <c r="G304" i="2"/>
  <c r="H304" i="2"/>
  <c r="I304" i="2"/>
  <c r="J304" i="2"/>
  <c r="K304" i="2"/>
  <c r="G305" i="2"/>
  <c r="H305" i="2"/>
  <c r="I305" i="2"/>
  <c r="J305" i="2"/>
  <c r="K305" i="2"/>
  <c r="G306" i="2"/>
  <c r="H306" i="2"/>
  <c r="I306" i="2"/>
  <c r="J306" i="2"/>
  <c r="K306" i="2"/>
  <c r="G307" i="2"/>
  <c r="H307" i="2"/>
  <c r="I307" i="2"/>
  <c r="J307" i="2"/>
  <c r="K307" i="2"/>
  <c r="G308" i="2"/>
  <c r="H308" i="2"/>
  <c r="I308" i="2"/>
  <c r="J308" i="2"/>
  <c r="K308" i="2"/>
  <c r="G309" i="2"/>
  <c r="H309" i="2"/>
  <c r="I309" i="2"/>
  <c r="J309" i="2"/>
  <c r="K309" i="2"/>
  <c r="G310" i="2"/>
  <c r="H310" i="2"/>
  <c r="I310" i="2"/>
  <c r="J310" i="2"/>
  <c r="K310" i="2"/>
  <c r="G311" i="2"/>
  <c r="H311" i="2"/>
  <c r="I311" i="2"/>
  <c r="J311" i="2"/>
  <c r="K311" i="2"/>
  <c r="G312" i="2"/>
  <c r="H312" i="2"/>
  <c r="I312" i="2"/>
  <c r="J312" i="2"/>
  <c r="K312" i="2"/>
  <c r="G313" i="2"/>
  <c r="H313" i="2"/>
  <c r="I313" i="2"/>
  <c r="J313" i="2"/>
  <c r="K313" i="2"/>
  <c r="G314" i="2"/>
  <c r="H314" i="2"/>
  <c r="I314" i="2"/>
  <c r="J314" i="2"/>
  <c r="K314" i="2"/>
  <c r="G315" i="2"/>
  <c r="H315" i="2"/>
  <c r="I315" i="2"/>
  <c r="J315" i="2"/>
  <c r="K315" i="2"/>
  <c r="G316" i="2"/>
  <c r="H316" i="2"/>
  <c r="I316" i="2"/>
  <c r="J316" i="2"/>
  <c r="K316" i="2"/>
  <c r="G317" i="2"/>
  <c r="H317" i="2"/>
  <c r="I317" i="2"/>
  <c r="J317" i="2"/>
  <c r="K317" i="2"/>
  <c r="G318" i="2"/>
  <c r="H318" i="2"/>
  <c r="I318" i="2"/>
  <c r="J318" i="2"/>
  <c r="K318" i="2"/>
  <c r="G319" i="2"/>
  <c r="H319" i="2"/>
  <c r="I319" i="2"/>
  <c r="J319" i="2"/>
  <c r="K319" i="2"/>
  <c r="G320" i="2"/>
  <c r="H320" i="2"/>
  <c r="I320" i="2"/>
  <c r="J320" i="2"/>
  <c r="K320" i="2"/>
  <c r="G321" i="2"/>
  <c r="H321" i="2"/>
  <c r="I321" i="2"/>
  <c r="J321" i="2"/>
  <c r="K321" i="2"/>
  <c r="G322" i="2"/>
  <c r="H322" i="2"/>
  <c r="I322" i="2"/>
  <c r="J322" i="2"/>
  <c r="K322" i="2"/>
  <c r="G323" i="2"/>
  <c r="H323" i="2"/>
  <c r="I323" i="2"/>
  <c r="J323" i="2"/>
  <c r="K323" i="2"/>
  <c r="G324" i="2"/>
  <c r="H324" i="2"/>
  <c r="I324" i="2"/>
  <c r="J324" i="2"/>
  <c r="K324" i="2"/>
  <c r="G325" i="2"/>
  <c r="H325" i="2"/>
  <c r="I325" i="2"/>
  <c r="J325" i="2"/>
  <c r="K325" i="2"/>
  <c r="G326" i="2"/>
  <c r="H326" i="2"/>
  <c r="I326" i="2"/>
  <c r="J326" i="2"/>
  <c r="K326" i="2"/>
  <c r="G327" i="2"/>
  <c r="H327" i="2"/>
  <c r="I327" i="2"/>
  <c r="J327" i="2"/>
  <c r="K327" i="2"/>
  <c r="G328" i="2"/>
  <c r="H328" i="2"/>
  <c r="I328" i="2"/>
  <c r="J328" i="2"/>
  <c r="K328" i="2"/>
  <c r="G329" i="2"/>
  <c r="H329" i="2"/>
  <c r="I329" i="2"/>
  <c r="J329" i="2"/>
  <c r="K329" i="2"/>
  <c r="G330" i="2"/>
  <c r="H330" i="2"/>
  <c r="I330" i="2"/>
  <c r="J330" i="2"/>
  <c r="K330" i="2"/>
  <c r="G331" i="2"/>
  <c r="H331" i="2"/>
  <c r="I331" i="2"/>
  <c r="J331" i="2"/>
  <c r="K331" i="2"/>
  <c r="G332" i="2"/>
  <c r="H332" i="2"/>
  <c r="I332" i="2"/>
  <c r="J332" i="2"/>
  <c r="K332" i="2"/>
  <c r="G333" i="2"/>
  <c r="H333" i="2"/>
  <c r="I333" i="2"/>
  <c r="J333" i="2"/>
  <c r="K333" i="2"/>
  <c r="G334" i="2"/>
  <c r="H334" i="2"/>
  <c r="I334" i="2"/>
  <c r="J334" i="2"/>
  <c r="K334" i="2"/>
  <c r="G335" i="2"/>
  <c r="H335" i="2"/>
  <c r="I335" i="2"/>
  <c r="J335" i="2"/>
  <c r="K335" i="2"/>
  <c r="G336" i="2"/>
  <c r="H336" i="2"/>
  <c r="I336" i="2"/>
  <c r="J336" i="2"/>
  <c r="K336" i="2"/>
  <c r="G337" i="2"/>
  <c r="H337" i="2"/>
  <c r="I337" i="2"/>
  <c r="J337" i="2"/>
  <c r="K337" i="2"/>
  <c r="G338" i="2"/>
  <c r="H338" i="2"/>
  <c r="I338" i="2"/>
  <c r="J338" i="2"/>
  <c r="K338" i="2"/>
  <c r="G339" i="2"/>
  <c r="H339" i="2"/>
  <c r="I339" i="2"/>
  <c r="J339" i="2"/>
  <c r="K339" i="2"/>
  <c r="G340" i="2"/>
  <c r="H340" i="2"/>
  <c r="I340" i="2"/>
  <c r="J340" i="2"/>
  <c r="K340" i="2"/>
  <c r="G341" i="2"/>
  <c r="H341" i="2"/>
  <c r="I341" i="2"/>
  <c r="J341" i="2"/>
  <c r="K341" i="2"/>
  <c r="G342" i="2"/>
  <c r="H342" i="2"/>
  <c r="I342" i="2"/>
  <c r="J342" i="2"/>
  <c r="K342" i="2"/>
  <c r="G343" i="2"/>
  <c r="H343" i="2"/>
  <c r="I343" i="2"/>
  <c r="J343" i="2"/>
  <c r="K343" i="2"/>
  <c r="G344" i="2"/>
  <c r="H344" i="2"/>
  <c r="I344" i="2"/>
  <c r="J344" i="2"/>
  <c r="K344" i="2"/>
  <c r="G345" i="2"/>
  <c r="H345" i="2"/>
  <c r="I345" i="2"/>
  <c r="J345" i="2"/>
  <c r="K345" i="2"/>
  <c r="G346" i="2"/>
  <c r="H346" i="2"/>
  <c r="I346" i="2"/>
  <c r="J346" i="2"/>
  <c r="K346" i="2"/>
  <c r="G347" i="2"/>
  <c r="H347" i="2"/>
  <c r="I347" i="2"/>
  <c r="J347" i="2"/>
  <c r="K347" i="2"/>
  <c r="G348" i="2"/>
  <c r="H348" i="2"/>
  <c r="I348" i="2"/>
  <c r="J348" i="2"/>
  <c r="K348" i="2"/>
  <c r="G349" i="2"/>
  <c r="H349" i="2"/>
  <c r="I349" i="2"/>
  <c r="J349" i="2"/>
  <c r="K349" i="2"/>
  <c r="G350" i="2"/>
  <c r="H350" i="2"/>
  <c r="I350" i="2"/>
  <c r="J350" i="2"/>
  <c r="K350" i="2"/>
  <c r="G351" i="2"/>
  <c r="H351" i="2"/>
  <c r="I351" i="2"/>
  <c r="J351" i="2"/>
  <c r="K351" i="2"/>
  <c r="G352" i="2"/>
  <c r="H352" i="2"/>
  <c r="I352" i="2"/>
  <c r="J352" i="2"/>
  <c r="K352" i="2"/>
  <c r="G353" i="2"/>
  <c r="H353" i="2"/>
  <c r="I353" i="2"/>
  <c r="J353" i="2"/>
  <c r="K353" i="2"/>
  <c r="G354" i="2"/>
  <c r="H354" i="2"/>
  <c r="I354" i="2"/>
  <c r="J354" i="2"/>
  <c r="K354" i="2"/>
  <c r="G355" i="2"/>
  <c r="H355" i="2"/>
  <c r="I355" i="2"/>
  <c r="J355" i="2"/>
  <c r="K355" i="2"/>
  <c r="G356" i="2"/>
  <c r="H356" i="2"/>
  <c r="I356" i="2"/>
  <c r="J356" i="2"/>
  <c r="K356" i="2"/>
  <c r="G357" i="2"/>
  <c r="H357" i="2"/>
  <c r="I357" i="2"/>
  <c r="J357" i="2"/>
  <c r="K357" i="2"/>
  <c r="G358" i="2"/>
  <c r="H358" i="2"/>
  <c r="I358" i="2"/>
  <c r="J358" i="2"/>
  <c r="K358" i="2"/>
  <c r="G359" i="2"/>
  <c r="H359" i="2"/>
  <c r="I359" i="2"/>
  <c r="J359" i="2"/>
  <c r="K359" i="2"/>
  <c r="G360" i="2"/>
  <c r="H360" i="2"/>
  <c r="I360" i="2"/>
  <c r="J360" i="2"/>
  <c r="K360" i="2"/>
  <c r="G361" i="2"/>
  <c r="H361" i="2"/>
  <c r="I361" i="2"/>
  <c r="J361" i="2"/>
  <c r="K361" i="2"/>
  <c r="G362" i="2"/>
  <c r="H362" i="2"/>
  <c r="I362" i="2"/>
  <c r="J362" i="2"/>
  <c r="K362" i="2"/>
  <c r="G363" i="2"/>
  <c r="H363" i="2"/>
  <c r="I363" i="2"/>
  <c r="J363" i="2"/>
  <c r="K363" i="2"/>
  <c r="G364" i="2"/>
  <c r="H364" i="2"/>
  <c r="I364" i="2"/>
  <c r="J364" i="2"/>
  <c r="K364" i="2"/>
  <c r="G365" i="2"/>
  <c r="H365" i="2"/>
  <c r="I365" i="2"/>
  <c r="J365" i="2"/>
  <c r="K365" i="2"/>
  <c r="G366" i="2"/>
  <c r="H366" i="2"/>
  <c r="I366" i="2"/>
  <c r="J366" i="2"/>
  <c r="K366" i="2"/>
  <c r="G367" i="2"/>
  <c r="H367" i="2"/>
  <c r="I367" i="2"/>
  <c r="J367" i="2"/>
  <c r="K367" i="2"/>
  <c r="G368" i="2"/>
  <c r="H368" i="2"/>
  <c r="I368" i="2"/>
  <c r="J368" i="2"/>
  <c r="K368" i="2"/>
  <c r="G369" i="2"/>
  <c r="H369" i="2"/>
  <c r="I369" i="2"/>
  <c r="J369" i="2"/>
  <c r="K369" i="2"/>
  <c r="G370" i="2"/>
  <c r="H370" i="2"/>
  <c r="I370" i="2"/>
  <c r="J370" i="2"/>
  <c r="K370" i="2"/>
  <c r="G371" i="2"/>
  <c r="H371" i="2"/>
  <c r="I371" i="2"/>
  <c r="J371" i="2"/>
  <c r="K371" i="2"/>
  <c r="G372" i="2"/>
  <c r="H372" i="2"/>
  <c r="I372" i="2"/>
  <c r="J372" i="2"/>
  <c r="K372" i="2"/>
  <c r="G373" i="2"/>
  <c r="H373" i="2"/>
  <c r="I373" i="2"/>
  <c r="J373" i="2"/>
  <c r="K373" i="2"/>
  <c r="G374" i="2"/>
  <c r="H374" i="2"/>
  <c r="I374" i="2"/>
  <c r="J374" i="2"/>
  <c r="K374" i="2"/>
  <c r="G375" i="2"/>
  <c r="H375" i="2"/>
  <c r="I375" i="2"/>
  <c r="J375" i="2"/>
  <c r="K375" i="2"/>
  <c r="G376" i="2"/>
  <c r="H376" i="2"/>
  <c r="I376" i="2"/>
  <c r="J376" i="2"/>
  <c r="K376" i="2"/>
  <c r="G377" i="2"/>
  <c r="H377" i="2"/>
  <c r="I377" i="2"/>
  <c r="J377" i="2"/>
  <c r="K377" i="2"/>
  <c r="G378" i="2"/>
  <c r="H378" i="2"/>
  <c r="I378" i="2"/>
  <c r="J378" i="2"/>
  <c r="K378" i="2"/>
  <c r="G379" i="2"/>
  <c r="H379" i="2"/>
  <c r="I379" i="2"/>
  <c r="J379" i="2"/>
  <c r="K379" i="2"/>
  <c r="G380" i="2"/>
  <c r="H380" i="2"/>
  <c r="I380" i="2"/>
  <c r="J380" i="2"/>
  <c r="K380" i="2"/>
  <c r="G381" i="2"/>
  <c r="H381" i="2"/>
  <c r="I381" i="2"/>
  <c r="J381" i="2"/>
  <c r="K381" i="2"/>
  <c r="G382" i="2"/>
  <c r="H382" i="2"/>
  <c r="I382" i="2"/>
  <c r="J382" i="2"/>
  <c r="K382" i="2"/>
  <c r="G383" i="2"/>
  <c r="H383" i="2"/>
  <c r="I383" i="2"/>
  <c r="J383" i="2"/>
  <c r="K383" i="2"/>
  <c r="G384" i="2"/>
  <c r="H384" i="2"/>
  <c r="I384" i="2"/>
  <c r="J384" i="2"/>
  <c r="K384" i="2"/>
  <c r="G385" i="2"/>
  <c r="H385" i="2"/>
  <c r="I385" i="2"/>
  <c r="J385" i="2"/>
  <c r="K385" i="2"/>
  <c r="G386" i="2"/>
  <c r="H386" i="2"/>
  <c r="I386" i="2"/>
  <c r="J386" i="2"/>
  <c r="K386" i="2"/>
  <c r="G387" i="2"/>
  <c r="H387" i="2"/>
  <c r="I387" i="2"/>
  <c r="J387" i="2"/>
  <c r="K387" i="2"/>
  <c r="G388" i="2"/>
  <c r="H388" i="2"/>
  <c r="I388" i="2"/>
  <c r="J388" i="2"/>
  <c r="K388" i="2"/>
  <c r="G389" i="2"/>
  <c r="H389" i="2"/>
  <c r="I389" i="2"/>
  <c r="J389" i="2"/>
  <c r="K389" i="2"/>
  <c r="G390" i="2"/>
  <c r="H390" i="2"/>
  <c r="I390" i="2"/>
  <c r="J390" i="2"/>
  <c r="K390" i="2"/>
  <c r="G391" i="2"/>
  <c r="H391" i="2"/>
  <c r="I391" i="2"/>
  <c r="J391" i="2"/>
  <c r="K391" i="2"/>
  <c r="G392" i="2"/>
  <c r="H392" i="2"/>
  <c r="I392" i="2"/>
  <c r="J392" i="2"/>
  <c r="K392" i="2"/>
  <c r="G393" i="2"/>
  <c r="H393" i="2"/>
  <c r="I393" i="2"/>
  <c r="J393" i="2"/>
  <c r="K393" i="2"/>
  <c r="G394" i="2"/>
  <c r="H394" i="2"/>
  <c r="I394" i="2"/>
  <c r="J394" i="2"/>
  <c r="K394" i="2"/>
  <c r="G395" i="2"/>
  <c r="H395" i="2"/>
  <c r="I395" i="2"/>
  <c r="J395" i="2"/>
  <c r="K395" i="2"/>
  <c r="G396" i="2"/>
  <c r="H396" i="2"/>
  <c r="I396" i="2"/>
  <c r="J396" i="2"/>
  <c r="K396" i="2"/>
  <c r="G397" i="2"/>
  <c r="H397" i="2"/>
  <c r="I397" i="2"/>
  <c r="J397" i="2"/>
  <c r="K397" i="2"/>
  <c r="G398" i="2"/>
  <c r="H398" i="2"/>
  <c r="I398" i="2"/>
  <c r="J398" i="2"/>
  <c r="K398" i="2"/>
  <c r="G399" i="2"/>
  <c r="H399" i="2"/>
  <c r="I399" i="2"/>
  <c r="J399" i="2"/>
  <c r="K399" i="2"/>
  <c r="G400" i="2"/>
  <c r="H400" i="2"/>
  <c r="I400" i="2"/>
  <c r="J400" i="2"/>
  <c r="K400" i="2"/>
  <c r="G401" i="2"/>
  <c r="H401" i="2"/>
  <c r="I401" i="2"/>
  <c r="J401" i="2"/>
  <c r="K401" i="2"/>
  <c r="G402" i="2"/>
  <c r="H402" i="2"/>
  <c r="I402" i="2"/>
  <c r="J402" i="2"/>
  <c r="K402" i="2"/>
  <c r="G403" i="2"/>
  <c r="H403" i="2"/>
  <c r="I403" i="2"/>
  <c r="J403" i="2"/>
  <c r="K403" i="2"/>
  <c r="G404" i="2"/>
  <c r="H404" i="2"/>
  <c r="I404" i="2"/>
  <c r="J404" i="2"/>
  <c r="K404" i="2"/>
  <c r="G405" i="2"/>
  <c r="H405" i="2"/>
  <c r="I405" i="2"/>
  <c r="J405" i="2"/>
  <c r="K405" i="2"/>
  <c r="G406" i="2"/>
  <c r="H406" i="2"/>
  <c r="I406" i="2"/>
  <c r="J406" i="2"/>
  <c r="K406" i="2"/>
  <c r="G407" i="2"/>
  <c r="H407" i="2"/>
  <c r="I407" i="2"/>
  <c r="J407" i="2"/>
  <c r="K407" i="2"/>
  <c r="G408" i="2"/>
  <c r="H408" i="2"/>
  <c r="I408" i="2"/>
  <c r="J408" i="2"/>
  <c r="K408" i="2"/>
  <c r="G409" i="2"/>
  <c r="H409" i="2"/>
  <c r="I409" i="2"/>
  <c r="J409" i="2"/>
  <c r="K409" i="2"/>
  <c r="G410" i="2"/>
  <c r="H410" i="2"/>
  <c r="I410" i="2"/>
  <c r="J410" i="2"/>
  <c r="K410" i="2"/>
  <c r="G411" i="2"/>
  <c r="H411" i="2"/>
  <c r="I411" i="2"/>
  <c r="J411" i="2"/>
  <c r="K411" i="2"/>
  <c r="G412" i="2"/>
  <c r="H412" i="2"/>
  <c r="I412" i="2"/>
  <c r="J412" i="2"/>
  <c r="K412" i="2"/>
  <c r="G413" i="2"/>
  <c r="H413" i="2"/>
  <c r="I413" i="2"/>
  <c r="J413" i="2"/>
  <c r="K413" i="2"/>
  <c r="G414" i="2"/>
  <c r="H414" i="2"/>
  <c r="I414" i="2"/>
  <c r="J414" i="2"/>
  <c r="K414" i="2"/>
  <c r="G415" i="2"/>
  <c r="H415" i="2"/>
  <c r="I415" i="2"/>
  <c r="J415" i="2"/>
  <c r="K415" i="2"/>
  <c r="G416" i="2"/>
  <c r="H416" i="2"/>
  <c r="I416" i="2"/>
  <c r="J416" i="2"/>
  <c r="K416" i="2"/>
  <c r="G417" i="2"/>
  <c r="H417" i="2"/>
  <c r="I417" i="2"/>
  <c r="J417" i="2"/>
  <c r="K417" i="2"/>
  <c r="G418" i="2"/>
  <c r="H418" i="2"/>
  <c r="I418" i="2"/>
  <c r="J418" i="2"/>
  <c r="K418" i="2"/>
  <c r="G419" i="2"/>
  <c r="H419" i="2"/>
  <c r="I419" i="2"/>
  <c r="J419" i="2"/>
  <c r="K419" i="2"/>
  <c r="G420" i="2"/>
  <c r="H420" i="2"/>
  <c r="I420" i="2"/>
  <c r="J420" i="2"/>
  <c r="K420" i="2"/>
  <c r="G421" i="2"/>
  <c r="H421" i="2"/>
  <c r="I421" i="2"/>
  <c r="J421" i="2"/>
  <c r="K421" i="2"/>
  <c r="G422" i="2"/>
  <c r="H422" i="2"/>
  <c r="I422" i="2"/>
  <c r="J422" i="2"/>
  <c r="K422" i="2"/>
  <c r="G423" i="2"/>
  <c r="H423" i="2"/>
  <c r="I423" i="2"/>
  <c r="J423" i="2"/>
  <c r="K423" i="2"/>
  <c r="G424" i="2"/>
  <c r="H424" i="2"/>
  <c r="I424" i="2"/>
  <c r="J424" i="2"/>
  <c r="K424" i="2"/>
  <c r="G425" i="2"/>
  <c r="H425" i="2"/>
  <c r="I425" i="2"/>
  <c r="J425" i="2"/>
  <c r="K425" i="2"/>
  <c r="G426" i="2"/>
  <c r="H426" i="2"/>
  <c r="I426" i="2"/>
  <c r="J426" i="2"/>
  <c r="K426" i="2"/>
  <c r="G427" i="2"/>
  <c r="H427" i="2"/>
  <c r="I427" i="2"/>
  <c r="J427" i="2"/>
  <c r="K427" i="2"/>
  <c r="G428" i="2"/>
  <c r="H428" i="2"/>
  <c r="I428" i="2"/>
  <c r="J428" i="2"/>
  <c r="K428" i="2"/>
  <c r="G429" i="2"/>
  <c r="H429" i="2"/>
  <c r="I429" i="2"/>
  <c r="J429" i="2"/>
  <c r="K429" i="2"/>
  <c r="G430" i="2"/>
  <c r="H430" i="2"/>
  <c r="I430" i="2"/>
  <c r="J430" i="2"/>
  <c r="K430" i="2"/>
  <c r="G431" i="2"/>
  <c r="H431" i="2"/>
  <c r="I431" i="2"/>
  <c r="J431" i="2"/>
  <c r="K431" i="2"/>
  <c r="G432" i="2"/>
  <c r="H432" i="2"/>
  <c r="I432" i="2"/>
  <c r="J432" i="2"/>
  <c r="K432" i="2"/>
  <c r="G433" i="2"/>
  <c r="H433" i="2"/>
  <c r="I433" i="2"/>
  <c r="J433" i="2"/>
  <c r="K433" i="2"/>
  <c r="G434" i="2"/>
  <c r="H434" i="2"/>
  <c r="I434" i="2"/>
  <c r="J434" i="2"/>
  <c r="K434" i="2"/>
  <c r="K26" i="2"/>
  <c r="J26" i="2"/>
  <c r="I26" i="2"/>
  <c r="H26" i="2"/>
  <c r="G26" i="2"/>
  <c r="G5" i="2"/>
  <c r="H5" i="2"/>
  <c r="I5" i="2"/>
  <c r="J5" i="2"/>
  <c r="K5" i="2"/>
  <c r="G6" i="2"/>
  <c r="H6" i="2"/>
  <c r="I6" i="2"/>
  <c r="J6" i="2"/>
  <c r="K6" i="2"/>
  <c r="G7" i="2"/>
  <c r="H7" i="2"/>
  <c r="I7" i="2"/>
  <c r="J7" i="2"/>
  <c r="K7" i="2"/>
  <c r="G8" i="2"/>
  <c r="H8" i="2"/>
  <c r="I8" i="2"/>
  <c r="J8" i="2"/>
  <c r="K8" i="2"/>
  <c r="G9" i="2"/>
  <c r="H9" i="2"/>
  <c r="I9" i="2"/>
  <c r="J9" i="2"/>
  <c r="K9" i="2"/>
  <c r="G10" i="2"/>
  <c r="H10" i="2"/>
  <c r="I10" i="2"/>
  <c r="J10" i="2"/>
  <c r="K10" i="2"/>
  <c r="G11" i="2"/>
  <c r="H11" i="2"/>
  <c r="I11" i="2"/>
  <c r="J11" i="2"/>
  <c r="K11" i="2"/>
  <c r="G12" i="2"/>
  <c r="H12" i="2"/>
  <c r="I12" i="2"/>
  <c r="J12" i="2"/>
  <c r="K12" i="2"/>
  <c r="G13" i="2"/>
  <c r="H13" i="2"/>
  <c r="I13" i="2"/>
  <c r="J13" i="2"/>
  <c r="K13" i="2"/>
  <c r="G14" i="2"/>
  <c r="H14" i="2"/>
  <c r="I14" i="2"/>
  <c r="J14" i="2"/>
  <c r="K14" i="2"/>
  <c r="G15" i="2"/>
  <c r="H15" i="2"/>
  <c r="I15" i="2"/>
  <c r="J15" i="2"/>
  <c r="K15" i="2"/>
  <c r="G16" i="2"/>
  <c r="H16" i="2"/>
  <c r="I16" i="2"/>
  <c r="J16" i="2"/>
  <c r="K16" i="2"/>
  <c r="G17" i="2"/>
  <c r="H17" i="2"/>
  <c r="I17" i="2"/>
  <c r="J17" i="2"/>
  <c r="K17" i="2"/>
  <c r="G18" i="2"/>
  <c r="H18" i="2"/>
  <c r="I18" i="2"/>
  <c r="J18" i="2"/>
  <c r="K18" i="2"/>
  <c r="G19" i="2"/>
  <c r="H19" i="2"/>
  <c r="I19" i="2"/>
  <c r="J19" i="2"/>
  <c r="K19" i="2"/>
  <c r="G20" i="2"/>
  <c r="H20" i="2"/>
  <c r="I20" i="2"/>
  <c r="J20" i="2"/>
  <c r="K20" i="2"/>
  <c r="G21" i="2"/>
  <c r="H21" i="2"/>
  <c r="I21" i="2"/>
  <c r="J21" i="2"/>
  <c r="K21" i="2"/>
  <c r="G22" i="2"/>
  <c r="H22" i="2"/>
  <c r="I22" i="2"/>
  <c r="J22" i="2"/>
  <c r="K22" i="2"/>
  <c r="G23" i="2"/>
  <c r="H23" i="2"/>
  <c r="I23" i="2"/>
  <c r="J23" i="2"/>
  <c r="K23" i="2"/>
  <c r="H4" i="2"/>
  <c r="I4" i="2"/>
  <c r="J4" i="2"/>
  <c r="K4" i="2"/>
  <c r="A49" i="4" l="1"/>
  <c r="A50" i="4" s="1"/>
  <c r="A51" i="4" s="1"/>
  <c r="A52" i="4" s="1"/>
  <c r="A53" i="4" s="1"/>
  <c r="A54" i="4" s="1"/>
  <c r="A55" i="4" s="1"/>
  <c r="A58" i="4" s="1"/>
  <c r="A59" i="4" s="1"/>
  <c r="A60" i="4" s="1"/>
  <c r="A61" i="4" s="1"/>
  <c r="A62" i="4" s="1"/>
  <c r="A63" i="4" s="1"/>
  <c r="A64" i="4" s="1"/>
  <c r="A65" i="4" s="1"/>
  <c r="A66" i="4" s="1"/>
  <c r="A67" i="4" s="1"/>
  <c r="A68" i="4" s="1"/>
  <c r="A69" i="4" s="1"/>
  <c r="A70" i="4" s="1"/>
  <c r="A71" i="4" s="1"/>
  <c r="A72" i="4" s="1"/>
  <c r="A73" i="4" s="1"/>
  <c r="K61" i="5"/>
  <c r="G6" i="3" s="1"/>
  <c r="G61" i="5"/>
  <c r="C6" i="3" s="1"/>
  <c r="G5" i="3"/>
  <c r="C5" i="3"/>
  <c r="A12" i="6"/>
  <c r="A13" i="6" s="1"/>
  <c r="K74" i="4"/>
  <c r="G4" i="3" s="1"/>
  <c r="J30" i="4"/>
  <c r="I30" i="4"/>
  <c r="H30" i="4"/>
  <c r="G30" i="4"/>
  <c r="K837" i="2"/>
  <c r="J837" i="2"/>
  <c r="I837" i="2"/>
  <c r="H837" i="2"/>
  <c r="G837" i="2"/>
  <c r="K836" i="2"/>
  <c r="J836" i="2"/>
  <c r="I836" i="2"/>
  <c r="H836" i="2"/>
  <c r="G836" i="2"/>
  <c r="K835" i="2"/>
  <c r="J835" i="2"/>
  <c r="I835" i="2"/>
  <c r="H835" i="2"/>
  <c r="G835" i="2"/>
  <c r="K834" i="2"/>
  <c r="J834" i="2"/>
  <c r="I834" i="2"/>
  <c r="H834" i="2"/>
  <c r="G834" i="2"/>
  <c r="K833" i="2"/>
  <c r="J833" i="2"/>
  <c r="I833" i="2"/>
  <c r="H833" i="2"/>
  <c r="G833" i="2"/>
  <c r="K832" i="2"/>
  <c r="J832" i="2"/>
  <c r="I832" i="2"/>
  <c r="H832" i="2"/>
  <c r="G832" i="2"/>
  <c r="K831" i="2"/>
  <c r="J831" i="2"/>
  <c r="I831" i="2"/>
  <c r="H831" i="2"/>
  <c r="G831" i="2"/>
  <c r="K830" i="2"/>
  <c r="J830" i="2"/>
  <c r="I830" i="2"/>
  <c r="H830" i="2"/>
  <c r="G830" i="2"/>
  <c r="K829" i="2"/>
  <c r="J829" i="2"/>
  <c r="I829" i="2"/>
  <c r="H829" i="2"/>
  <c r="G829" i="2"/>
  <c r="K828" i="2"/>
  <c r="J828" i="2"/>
  <c r="I828" i="2"/>
  <c r="H828" i="2"/>
  <c r="G828" i="2"/>
  <c r="K827" i="2"/>
  <c r="J827" i="2"/>
  <c r="I827" i="2"/>
  <c r="H827" i="2"/>
  <c r="G827" i="2"/>
  <c r="A827" i="2"/>
  <c r="A828" i="2" s="1"/>
  <c r="A829" i="2" s="1"/>
  <c r="A830" i="2" s="1"/>
  <c r="A831" i="2" s="1"/>
  <c r="A832" i="2" s="1"/>
  <c r="A833" i="2" s="1"/>
  <c r="A834" i="2" s="1"/>
  <c r="A835" i="2" s="1"/>
  <c r="A836" i="2" s="1"/>
  <c r="A837" i="2" s="1"/>
  <c r="A810" i="2"/>
  <c r="A811" i="2" s="1"/>
  <c r="A812" i="2" s="1"/>
  <c r="A813" i="2" s="1"/>
  <c r="A814" i="2" s="1"/>
  <c r="A815" i="2" s="1"/>
  <c r="A816" i="2" s="1"/>
  <c r="A817" i="2" s="1"/>
  <c r="A818" i="2" s="1"/>
  <c r="A819" i="2" s="1"/>
  <c r="A820" i="2" s="1"/>
  <c r="A821" i="2" s="1"/>
  <c r="A822" i="2" s="1"/>
  <c r="A823" i="2" s="1"/>
  <c r="A824" i="2" s="1"/>
  <c r="A438" i="2"/>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26" i="2"/>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G4" i="2"/>
  <c r="A4" i="2"/>
  <c r="A5" i="2" s="1"/>
  <c r="A6" i="2" s="1"/>
  <c r="A7" i="2" s="1"/>
  <c r="A8" i="2" s="1"/>
  <c r="A9" i="2" s="1"/>
  <c r="A10" i="2" s="1"/>
  <c r="A11" i="2" s="1"/>
  <c r="A12" i="2" s="1"/>
  <c r="A13" i="2" s="1"/>
  <c r="A14" i="2" s="1"/>
  <c r="A15" i="2" s="1"/>
  <c r="A16" i="2" s="1"/>
  <c r="A17" i="2" s="1"/>
  <c r="A18" i="2" s="1"/>
  <c r="A19" i="2" s="1"/>
  <c r="A20" i="2" s="1"/>
  <c r="A21" i="2" s="1"/>
  <c r="A22" i="2" s="1"/>
  <c r="A23" i="2" s="1"/>
  <c r="A14" i="6" l="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G74" i="4"/>
  <c r="C4" i="3" s="1"/>
  <c r="I74" i="4"/>
  <c r="E4" i="3" s="1"/>
  <c r="J74" i="4"/>
  <c r="F4" i="3" s="1"/>
  <c r="H74" i="4"/>
  <c r="D4" i="3" s="1"/>
  <c r="H61" i="5"/>
  <c r="D6" i="3" s="1"/>
  <c r="I61" i="5"/>
  <c r="E6" i="3" s="1"/>
  <c r="J61" i="5"/>
  <c r="F6" i="3" s="1"/>
  <c r="H838" i="2"/>
  <c r="D3" i="3" s="1"/>
  <c r="K838" i="2"/>
  <c r="G3" i="3" s="1"/>
  <c r="G838" i="2"/>
  <c r="C3" i="3" s="1"/>
  <c r="J838" i="2"/>
  <c r="F3" i="3" s="1"/>
  <c r="I838" i="2"/>
  <c r="E3" i="3" s="1"/>
  <c r="E5" i="3"/>
  <c r="F5" i="3"/>
  <c r="D5" i="3"/>
  <c r="H4" i="3" l="1"/>
  <c r="H5" i="3"/>
  <c r="H6" i="3"/>
  <c r="J139" i="10" l="1"/>
  <c r="F8" i="3" s="1"/>
  <c r="H139" i="10"/>
  <c r="D8" i="3" s="1"/>
  <c r="G139" i="10"/>
  <c r="I139" i="10"/>
  <c r="E8" i="3" s="1"/>
  <c r="H3" i="3" l="1"/>
  <c r="C8" i="3"/>
  <c r="H8" i="3" s="1"/>
</calcChain>
</file>

<file path=xl/sharedStrings.xml><?xml version="1.0" encoding="utf-8"?>
<sst xmlns="http://schemas.openxmlformats.org/spreadsheetml/2006/main" count="4281" uniqueCount="1184">
  <si>
    <t>Correct Y / N</t>
  </si>
  <si>
    <t>Test Case</t>
  </si>
  <si>
    <t>Expected Results</t>
  </si>
  <si>
    <t>Bug  ID</t>
  </si>
  <si>
    <t>Notes</t>
  </si>
  <si>
    <t>Pass</t>
  </si>
  <si>
    <t>Fail</t>
  </si>
  <si>
    <t>N/A</t>
  </si>
  <si>
    <t>Not Now</t>
  </si>
  <si>
    <t>To be Tested</t>
  </si>
  <si>
    <t>TOTAL</t>
  </si>
  <si>
    <t>Input data / Action / Field Name</t>
  </si>
  <si>
    <t>REMOTE_NUMBER</t>
  </si>
  <si>
    <t>Data Dictionary</t>
  </si>
  <si>
    <t>TYPEDESCRIPTION</t>
  </si>
  <si>
    <t>Single Investment</t>
  </si>
  <si>
    <t>Internal Investment</t>
  </si>
  <si>
    <t>External Investment</t>
  </si>
  <si>
    <t>NON-RF Companies</t>
  </si>
  <si>
    <t>Queries</t>
  </si>
  <si>
    <t>Run query:</t>
  </si>
  <si>
    <t>Should display entries on the database.</t>
  </si>
  <si>
    <t>SELECT * FROM</t>
  </si>
  <si>
    <t>SHRTB2.SHR_TRANREK</t>
  </si>
  <si>
    <t>WITH UR</t>
  </si>
  <si>
    <t>SHRTB2.SHR_ASSET</t>
  </si>
  <si>
    <t>SHRTB2.SHR_CLIENT_TYPE</t>
  </si>
  <si>
    <t>SHRTB2.SHR_KOMREK</t>
  </si>
  <si>
    <t>SHRTB2.SHR_MPY</t>
  </si>
  <si>
    <t>Lump Sum</t>
  </si>
  <si>
    <t>Do not load a client</t>
  </si>
  <si>
    <t>Error:</t>
  </si>
  <si>
    <t>Go to:</t>
  </si>
  <si>
    <t>Please load a client before using this function.</t>
  </si>
  <si>
    <t>Load any client:</t>
  </si>
  <si>
    <t>The ‘Investment Process’ screen should open.</t>
  </si>
  <si>
    <t>The ‘Investment Process’ screen have 6 sub-headings:</t>
  </si>
  <si>
    <t xml:space="preserve">NON-LISP Clients:  </t>
  </si>
  <si>
    <t>When the ‘Investment Process’ screen opens, the ‘Personal Details’ tab should show as default, and will be enabled, and be in alter mode. All the other tabs should be disabled, and will only become enable once you get navigate to that tab.</t>
  </si>
  <si>
    <t>LISP Clients:</t>
  </si>
  <si>
    <t>This is High Network Clients, with a ‘H_ENTITEIT = 5’. The ‘Investment Process’ screen should display with the ‘Profile’ tab as default, but the user should be able to select tab, to change the personal details.</t>
  </si>
  <si>
    <t>The entire LISP clients should show on the database.</t>
  </si>
  <si>
    <t>SHRTB2.SHR_HOOF</t>
  </si>
  <si>
    <t>WHERE H_ENTITEIT = 5</t>
  </si>
  <si>
    <t>Unit Transactions &gt; Investments &gt; Normal Investments</t>
  </si>
  <si>
    <t xml:space="preserve">   Personal Details</t>
  </si>
  <si>
    <t xml:space="preserve">   Profile</t>
  </si>
  <si>
    <t xml:space="preserve">   Lump Sum</t>
  </si>
  <si>
    <t xml:space="preserve">   Once Off D/O</t>
  </si>
  <si>
    <t xml:space="preserve">   Recurring</t>
  </si>
  <si>
    <t xml:space="preserve">   Correspondence</t>
  </si>
  <si>
    <t>‘Personal Details’ tab.</t>
  </si>
  <si>
    <t>This is the first screen in the investment process, and it allows the user to change personal details for the current client.</t>
  </si>
  <si>
    <t>Do not make any changes in the ‘Personal Details’ tab.</t>
  </si>
  <si>
    <t>If there are no changes to the current client, the user must confirm the current details to click on ‘No change/Proceed’.</t>
  </si>
  <si>
    <t>This will take you to the ‘Profile’ tab.</t>
  </si>
  <si>
    <t>Click again on the ‘Personal Details’ tab.</t>
  </si>
  <si>
    <t>You should be able to go back to that screen, and only the ‘Alter’ button should show. You will be able to make changes again, and click on the ‘Alter’ button.</t>
  </si>
  <si>
    <t>Making changes on in the ‘Personal Details’ tab by changing any or all of the following:</t>
  </si>
  <si>
    <t>When you click ‘Alter/Proceed’ to save changes, the changes should reflect immediate on the ‘Landing Page’.</t>
  </si>
  <si>
    <t xml:space="preserve">   Title</t>
  </si>
  <si>
    <t xml:space="preserve">   Name</t>
  </si>
  <si>
    <t xml:space="preserve">   ID Number</t>
  </si>
  <si>
    <t xml:space="preserve">   DOB</t>
  </si>
  <si>
    <t xml:space="preserve">   Address</t>
  </si>
  <si>
    <t xml:space="preserve">   FICA</t>
  </si>
  <si>
    <t>Click ‘Alter/Proceed’ to save changes.</t>
  </si>
  <si>
    <t>The ‘Personal Details’ screen should be the same as it is in the BRS for:</t>
  </si>
  <si>
    <t>See BRS for:</t>
  </si>
  <si>
    <t>Client Maintenance &gt; Alter &gt; Alter Details</t>
  </si>
  <si>
    <t>The ‘Personal Details’ tab heading is: Verify Personal Details</t>
  </si>
  <si>
    <t>The PSNID are fixed text that cannot be changed.</t>
  </si>
  <si>
    <t>Alter/Proceed</t>
  </si>
  <si>
    <t>Visible and enabled.</t>
  </si>
  <si>
    <t>Click on ‘Alter/Proceed’ if you have made any changes. This will validate your changes, and save it. The ‘Landing Page’ should also be updated with the new changes. It will take you to the next tab.</t>
  </si>
  <si>
    <t>When you tab back to the previous screen, then only the ‘alter’ button should show.</t>
  </si>
  <si>
    <t>If validation fails, then error message should appear, and all the buttons should appear as originally.</t>
  </si>
  <si>
    <t>No Change/Proceed</t>
  </si>
  <si>
    <t xml:space="preserve">Visible and enabled. </t>
  </si>
  <si>
    <t>Click on ‘No change/Proceed’ if no changes was made, this will take you to the next tab.</t>
  </si>
  <si>
    <t>When you tab back to the previous screen, only the ‘alter’ button should show.</t>
  </si>
  <si>
    <t>The ‘Profile’ tab the user can select a fund to invest in, as well as the type of Investment.</t>
  </si>
  <si>
    <t>The heading for this tab is: ‘Investment Profile’</t>
  </si>
  <si>
    <t>This screen should display all the ‘Investor Codes’ and ‘Fund Names’ that is linked to that specific person. The data should be grouped by investor code.</t>
  </si>
  <si>
    <t>‘Investment Profile’ has a sub heading.</t>
  </si>
  <si>
    <t>There should be an ‘Investor Code’ heading with the &lt;REGNR&gt;, and if the client description exists, it should appear as ‘Client Description with the &lt;client description&gt; next to the ‘Investor Code’ heading.</t>
  </si>
  <si>
    <t>If more than one investor is linked to this client, then display the Investment Profile for each investor code.</t>
  </si>
  <si>
    <t>On this screen the user should be able to select a fund to invest in, as well as the type of investment (lump sum, once off and/or recurring).</t>
  </si>
  <si>
    <t>This will show the records for the Client Description.</t>
  </si>
  <si>
    <t>SHRTB2.SHR_REGNR</t>
  </si>
  <si>
    <t>WHERE NME_AGTER &lt; ‘0’</t>
  </si>
  <si>
    <t>A list of all the funds linked to the investor should display.</t>
  </si>
  <si>
    <t>Should display a list of all the funds that is linked to the investor(s).</t>
  </si>
  <si>
    <t>Should cater for at least 100 investor codes linked to a client, and at least 250 funds linked to investor code.</t>
  </si>
  <si>
    <t>Input/Display fields under ‘Investment Code’.</t>
  </si>
  <si>
    <t>Fund name (50 characters)</t>
  </si>
  <si>
    <t>Once Off</t>
  </si>
  <si>
    <t>Recurring</t>
  </si>
  <si>
    <t>‘Income Instruction’ select button</t>
  </si>
  <si>
    <t>Run Query</t>
  </si>
  <si>
    <t>All the PSNID’s should be group with their REGNR’s</t>
  </si>
  <si>
    <t>ORDER BY PSNID</t>
  </si>
  <si>
    <t>Load PSNID with more than one Investor Code.</t>
  </si>
  <si>
    <t>A list of all the Investor Code’s should display.</t>
  </si>
  <si>
    <t>Then go to Investments.</t>
  </si>
  <si>
    <t>Fund Name</t>
  </si>
  <si>
    <t>Fund name is displays in the long English version.</t>
  </si>
  <si>
    <t>A list of all the funds that is linked to that investor code/client must display. The user can select the fund to invest in.</t>
  </si>
  <si>
    <t>Income Instruction</t>
  </si>
  <si>
    <t>Income Instruction is not applicable to RF companies</t>
  </si>
  <si>
    <t>Refer BRS:</t>
  </si>
  <si>
    <t>Should be visible and enabled in create mode.</t>
  </si>
  <si>
    <t>Client Maintenance &gt; Create/Alter fund record</t>
  </si>
  <si>
    <t xml:space="preserve">Refer to link for ‘Income Instruction’ testing </t>
  </si>
  <si>
    <t>Client Enquiries &gt; View fund record</t>
  </si>
  <si>
    <t>When you exit on ‘Income Instruction’, then it should return to the ‘Investment Profile’ screen.</t>
  </si>
  <si>
    <t>Run Query:</t>
  </si>
  <si>
    <t>Records should appear for open funds.</t>
  </si>
  <si>
    <t>WHERE FUND_END_DATE &lt; 'Current Date'</t>
  </si>
  <si>
    <t>OR</t>
  </si>
  <si>
    <t>WHERE FUND_START_DATE &lt; 'Current Date'</t>
  </si>
  <si>
    <t>This is visible and enabled in create mode if Lump sum Investment is acceptable for the fund and if the fund is still open.</t>
  </si>
  <si>
    <t>These REGNR’s should be disabled, and would not have a tick box next to it.</t>
  </si>
  <si>
    <t>WHERE PRIM_PROD_CODE = 5</t>
  </si>
  <si>
    <t>OR PRIM_PROD_CODE = 8</t>
  </si>
  <si>
    <t>Lump Sum Check Box</t>
  </si>
  <si>
    <t>Should be able to tick box if you want to select it.</t>
  </si>
  <si>
    <t>Should be able to tick more than one box.</t>
  </si>
  <si>
    <t>Cases with PRIM_PROD_CODE 5 and 8 should not have a tick box.</t>
  </si>
  <si>
    <t>Tick box and click on ‘Submit’.</t>
  </si>
  <si>
    <t>The ‘Investment Process Lump sum Profile” screen should appear.</t>
  </si>
  <si>
    <t>The following columns should appear from top to bottom.</t>
  </si>
  <si>
    <t xml:space="preserve">   Total investment amount (11,2 decimals)</t>
  </si>
  <si>
    <t xml:space="preserve">   Source</t>
  </si>
  <si>
    <t xml:space="preserve">   Deposit Number (6 characters)</t>
  </si>
  <si>
    <t xml:space="preserve">   Search</t>
  </si>
  <si>
    <t>Total investment amount</t>
  </si>
  <si>
    <t xml:space="preserve">   This is a mandatory field, and is visible and enabled in create mode.</t>
  </si>
  <si>
    <t xml:space="preserve">   Filed length 11, characters.</t>
  </si>
  <si>
    <t xml:space="preserve">   The amount will appear in default as 0.00</t>
  </si>
  <si>
    <t xml:space="preserve">   When you select more than one fund for a Lump sum, then you should capture the whole amount for all the funds.</t>
  </si>
  <si>
    <t>Add 12,2 decimals in the ‘Total Investment amount’.</t>
  </si>
  <si>
    <t xml:space="preserve">   Should not be able to add more than the 11,2 decimals.</t>
  </si>
  <si>
    <t>If no amount is captured</t>
  </si>
  <si>
    <t>The investment amount cannot be zero</t>
  </si>
  <si>
    <t>Investment amount &gt; 5 000 000</t>
  </si>
  <si>
    <t>Warning:</t>
  </si>
  <si>
    <t>The investment amount is greater that R5 000 000</t>
  </si>
  <si>
    <t>Should display all the ‘Non-Money Market’ Funds</t>
  </si>
  <si>
    <t>WHERE ASSET_TYPE &lt;&gt; 'M'</t>
  </si>
  <si>
    <t xml:space="preserve">WITH UR </t>
  </si>
  <si>
    <t>WHERE DIVIDEND ='N'</t>
  </si>
  <si>
    <t>Price date: Non Money Market</t>
  </si>
  <si>
    <t xml:space="preserve">   This is visible and enabled in create mode and is mandatory if the selected fund, or one of the selected funds, is not a Money Market type fund and is not a dividend type fund.</t>
  </si>
  <si>
    <t xml:space="preserve">   This should be visible in view mode if it is a non-Money Market fund.</t>
  </si>
  <si>
    <t xml:space="preserve">   Go to ‘Bankers Holiday’ and capture a date there, then it should refuse.</t>
  </si>
  <si>
    <t xml:space="preserve">   Go to ‘Bankers Holiday’ and change a date, and capture that date. It should not accept. Change the date back to it original in ‘Bankers Holiday’.</t>
  </si>
  <si>
    <t xml:space="preserve">   Capture also a date that is over a weekend, and it should refuse as well.</t>
  </si>
  <si>
    <t>This is visible and enabled in create mode and is mandatory if the selected fund, or one of the selected funds, is not a Money Market type fund and is not a dividend type fund.</t>
  </si>
  <si>
    <t>This should be visible in view mode if it is a non-Money Market fund.</t>
  </si>
  <si>
    <t>Should not display if there is no Non-Money Market funds</t>
  </si>
  <si>
    <t>Mandatory if selected fund is not a Money Market fund.</t>
  </si>
  <si>
    <t>Should display a ‘Price Date’ if it is a RF Company</t>
  </si>
  <si>
    <t>Should display a ‘Price Date: Non Money Market’ if non RF Company</t>
  </si>
  <si>
    <t>Go to ‘Bankers Holiday’ and capture a date there, then it should refuse.</t>
  </si>
  <si>
    <t>Go to ‘Bankers Holiday’ and change a date, and capture that date. It should not accept. Change the date back to it original in ‘Bankers Holiday’.</t>
  </si>
  <si>
    <t>Capture also a date that is over a weekend, and it should refuse as well.</t>
  </si>
  <si>
    <t>Price date to far into the future</t>
  </si>
  <si>
    <t>Choose buttons:</t>
  </si>
  <si>
    <t>OK – continue / Cancel – return focus to “Verify personal details’</t>
  </si>
  <si>
    <t>Price date is older than transaction date. Click OK to continue or Cancel</t>
  </si>
  <si>
    <t>Should display all the ‘Money Market’ Funds</t>
  </si>
  <si>
    <t>WHERE ASSET_TYPE = 'M'</t>
  </si>
  <si>
    <t>For Non Money Market fund and not Dividend type fund: 
IF captured date &gt; current date + 1 working day</t>
  </si>
  <si>
    <t>For non money market type funds: 
IF price date &lt; Transaction date – 1 day</t>
  </si>
  <si>
    <t>Price date: Money Market</t>
  </si>
  <si>
    <t xml:space="preserve">   This should be visible in view mode.</t>
  </si>
  <si>
    <t>This is visible and enabled in create mode and is mandatory if one of the selected fund(s) is a Money Market fund.</t>
  </si>
  <si>
    <t>This should be visible in view mode.</t>
  </si>
  <si>
    <t>Should not display if there is no Money Market funds</t>
  </si>
  <si>
    <t>Mandatory if selected fund is a Money Market fund.</t>
  </si>
  <si>
    <t>Total investment amount (11,2 decimals)</t>
  </si>
  <si>
    <t>Price date: Non Money Market (10 characters)</t>
  </si>
  <si>
    <t>Price date: Money Market (10 characters)</t>
  </si>
  <si>
    <t>Price date: Dividend Fund (10 characters)</t>
  </si>
  <si>
    <t>Source</t>
  </si>
  <si>
    <t>Deposit Number (6 characters)</t>
  </si>
  <si>
    <t>Search</t>
  </si>
  <si>
    <t>This is a mandatory field, and is visible and enabled in create mode.</t>
  </si>
  <si>
    <t>Filed length 11, characters.</t>
  </si>
  <si>
    <t>The amount will appear in default as 0.00</t>
  </si>
  <si>
    <t>When you select more than one fund for a Lump sum, then you should capture the whole amount for all the funds.</t>
  </si>
  <si>
    <t>Should not be able to add more than the 11,2 decimals.</t>
  </si>
  <si>
    <t>Should display a list of all funds with there is Dividends.</t>
  </si>
  <si>
    <t>WHERE DIVIDEND ='Y’</t>
  </si>
  <si>
    <t>Price date: Dividend Fund</t>
  </si>
  <si>
    <t>This should be visible and enabled in create mode if one of the selected fund(s) is a dividend type fund.</t>
  </si>
  <si>
    <t>This should be mandatory if selected fund is a dividend fund.</t>
  </si>
  <si>
    <t>Mandatory if selected fund is a dividend type fund.</t>
  </si>
  <si>
    <t>Go to ‘Bankers Holiday’ and get a date that is not on the list and see that it is not a weekend.</t>
  </si>
  <si>
    <t>For all price dates: If the captured date is not a working day.</t>
  </si>
  <si>
    <t>All price dates must be a working day.</t>
  </si>
  <si>
    <t>If a Dividend fund or Dividend income fund is selected, but no dividend fund prices date are captured.</t>
  </si>
  <si>
    <t>Price date must be captured for Dividend type funds.</t>
  </si>
  <si>
    <t>Result for ‘Price Date’ &lt; than current date</t>
  </si>
  <si>
    <t>WHERE SINGLE_PRICE_DATE &lt; Current date'</t>
  </si>
  <si>
    <t>If price date &lt; current date – months allowed for backdating (values stored on SHR_MPY).</t>
  </si>
  <si>
    <t>Price date is too far in the past.</t>
  </si>
  <si>
    <t xml:space="preserve">   This should be visible and enabled in create mode.</t>
  </si>
  <si>
    <t xml:space="preserve">   This is a mandatory field.</t>
  </si>
  <si>
    <t xml:space="preserve">   It should have a dropdown and should display the description and the code should be in brackets: Lump Sum (03) as default (shr1_oorsprong)</t>
  </si>
  <si>
    <t>Source: Lump Sum (03) and Regular Limp Sum (18)</t>
  </si>
  <si>
    <t>Source: Lump sum – Region (07)</t>
  </si>
  <si>
    <t>This should be visible and enabled in create mode.</t>
  </si>
  <si>
    <t>This is a mandatory field.</t>
  </si>
  <si>
    <t>Should be able to search for a ‘Deposit Number’.</t>
  </si>
  <si>
    <t>Should have a field length of 6 numeric characters.</t>
  </si>
  <si>
    <t>It should have a dropdown and should display the description and the code should be in brackets: Lump Sum (03) as default (shr1_oorsprong)</t>
  </si>
  <si>
    <t>Does not have a ‘Deposit Number search.</t>
  </si>
  <si>
    <t>Should have a ‘Pay Point’ block with a field of 3 numeric characters.</t>
  </si>
  <si>
    <t>‘Pay Point’ should be visible and is mandatory if source 07.</t>
  </si>
  <si>
    <t>Should have a ‘Receipt Nr’ with a field of 6 numeric characters.</t>
  </si>
  <si>
    <t>‘Receipt Nr’ should be visible and is mandatory if source 07.</t>
  </si>
  <si>
    <t>All the different type of investments should appear on the query, and some of those could appear on the ‘Source’ dropdown.</t>
  </si>
  <si>
    <t>SHRTB2.SHR1_OORSPRONG</t>
  </si>
  <si>
    <t>If no source is selected</t>
  </si>
  <si>
    <t>No source is selected.</t>
  </si>
  <si>
    <t>The deposit number must be captured.</t>
  </si>
  <si>
    <t>If source = 07 and no pay point is captured</t>
  </si>
  <si>
    <t>Pay point code must be supplied</t>
  </si>
  <si>
    <t>If source = 07 and no receipt nr is captured</t>
  </si>
  <si>
    <t>Receipt number must be supplied</t>
  </si>
  <si>
    <t>Deposit Number</t>
  </si>
  <si>
    <t xml:space="preserve">   Should be visible and enabled in create mode if the source &lt;&gt; 07</t>
  </si>
  <si>
    <t xml:space="preserve">   This is mandatory for both RF and Non RF companies.</t>
  </si>
  <si>
    <t xml:space="preserve">   Should be visible in view mode.</t>
  </si>
  <si>
    <t xml:space="preserve">   Should be visible and enabled if deposit number is visible and enabled.</t>
  </si>
  <si>
    <t xml:space="preserve">   When you select this button, a pop-up screen should appear.</t>
  </si>
  <si>
    <t>If source = 03 / 05 / 18 and no deposit number</t>
  </si>
  <si>
    <t>is captured</t>
  </si>
  <si>
    <t>‘Deposit search’ input pop-up screen</t>
  </si>
  <si>
    <t xml:space="preserve">   The heading should be ‘Investment deposit number search’.</t>
  </si>
  <si>
    <t xml:space="preserve">   The default focus should be on the DATE</t>
  </si>
  <si>
    <t xml:space="preserve">   At the ‘Deposit amount’, the amount should be entered.</t>
  </si>
  <si>
    <t xml:space="preserve">   Selected date/Selected period radio buttons</t>
  </si>
  <si>
    <t xml:space="preserve">   From / To date</t>
  </si>
  <si>
    <t xml:space="preserve">   Search button</t>
  </si>
  <si>
    <t xml:space="preserve">   Reset button.</t>
  </si>
  <si>
    <t>Deposit amount</t>
  </si>
  <si>
    <t xml:space="preserve">   Should be visible and enabled in create mode.</t>
  </si>
  <si>
    <t xml:space="preserve">   Should display the amount that was entered in the ‘Total Investment amount’ as default.</t>
  </si>
  <si>
    <t xml:space="preserve">   Should be a mandatory field</t>
  </si>
  <si>
    <t xml:space="preserve">   The filed length should be 13,2 decimal characters.</t>
  </si>
  <si>
    <t>Selected date/Selected period radio buttons</t>
  </si>
  <si>
    <t xml:space="preserve">   This should be visible and enabled in create mode</t>
  </si>
  <si>
    <t xml:space="preserve">   The default should be ‘Selected Date’</t>
  </si>
  <si>
    <t xml:space="preserve">   Should be entered in DD/MM/YEAR format.</t>
  </si>
  <si>
    <t>From / To Date</t>
  </si>
  <si>
    <t xml:space="preserve">   When you select ‘Selected Period’ the ‘From / To Date Both’ should be visible and enabled in create mode and is mandatory.</t>
  </si>
  <si>
    <t xml:space="preserve">   Focus should be on the date input field.</t>
  </si>
  <si>
    <t xml:space="preserve">   ‘From’ if selected period is selected.</t>
  </si>
  <si>
    <t xml:space="preserve">   ‘Date’ if selected date is selected.</t>
  </si>
  <si>
    <t xml:space="preserve">   Field length should be 10 decimal characters.</t>
  </si>
  <si>
    <t>No Date(s) are captured</t>
  </si>
  <si>
    <t>Date field(s) must be captured</t>
  </si>
  <si>
    <t xml:space="preserve">   This should be visible and enabled.</t>
  </si>
  <si>
    <t xml:space="preserve">   When this command button is selected, it should submit the search transaction.</t>
  </si>
  <si>
    <t xml:space="preserve">   The matching data should display at the bottom.</t>
  </si>
  <si>
    <t xml:space="preserve">   When user selects a row from the search results, it should populate the deposit number.</t>
  </si>
  <si>
    <t xml:space="preserve">   Change the Deposit Amount to another amount and click on the ‘Search’ command button. The bottom section should change to the new amount information.</t>
  </si>
  <si>
    <t>All the deposit number should appear on this query. Search for your deposit number on TR_DEPOSITO.</t>
  </si>
  <si>
    <t>SHRTB2.SHR_DEPOSITO_NR</t>
  </si>
  <si>
    <t>WHERE TR_DEPOSIT = 'your deposit number'</t>
  </si>
  <si>
    <t>No investment amount is captured</t>
  </si>
  <si>
    <t>Investment amount cannot be 0</t>
  </si>
  <si>
    <t>When no data is found for selection</t>
  </si>
  <si>
    <t>No records found for the captured amount/period</t>
  </si>
  <si>
    <t>Reset</t>
  </si>
  <si>
    <t xml:space="preserve">   This button should be visible and enabled in create mode.</t>
  </si>
  <si>
    <t xml:space="preserve">   When you select it, it should display the default values</t>
  </si>
  <si>
    <t>Entries at the bottom of the pop-up screen</t>
  </si>
  <si>
    <t>There should be the following headings with the amount of lines that matched the search criteria, all these headings should be visible in create mode:</t>
  </si>
  <si>
    <t>Deposit # (field length should be 8 text characters)</t>
  </si>
  <si>
    <t>Price date (field length should be 10 characters)</t>
  </si>
  <si>
    <t>Reference (field length should be 80 text characters)</t>
  </si>
  <si>
    <t>Deposit amount (field length should be 13,2 decimal characters)</t>
  </si>
  <si>
    <t xml:space="preserve">Batch amount (field length should be 13.2 decimal characters) </t>
  </si>
  <si>
    <t>Control amount (field length should be 13,2 decimal characters)</t>
  </si>
  <si>
    <t>Select a row</t>
  </si>
  <si>
    <t xml:space="preserve">   This will populate the deposit number on the ‘Lump Sum Investment Process’ screen, and the pop-up will close.</t>
  </si>
  <si>
    <t>Pay point and Receipt nr</t>
  </si>
  <si>
    <t xml:space="preserve">   This will only be visible if ‘Lump Sum – Region (07)’ is selected, and will then be a mandatory field.</t>
  </si>
  <si>
    <t>Advice note</t>
  </si>
  <si>
    <t xml:space="preserve">   Should have 2 radio buttons for a ‘yes’ and ‘no’.</t>
  </si>
  <si>
    <t xml:space="preserve">   The ‘no’ radio should be the default.</t>
  </si>
  <si>
    <t>Click on the ‘YES” radio button</t>
  </si>
  <si>
    <t>A line should appear with:</t>
  </si>
  <si>
    <t xml:space="preserve">   Sort correspondence, with ‘Yes’ and “No” radio buttons</t>
  </si>
  <si>
    <t xml:space="preserve">   Message input block</t>
  </si>
  <si>
    <t>Message</t>
  </si>
  <si>
    <t xml:space="preserve">   Should be visible and enabled if the ‘Advice Note’ radio button is ‘yes’.</t>
  </si>
  <si>
    <t xml:space="preserve">   This should be an optional input field.</t>
  </si>
  <si>
    <t xml:space="preserve">   Field length should be 20 text characters.</t>
  </si>
  <si>
    <t>Is one set of agents applicable for the entire transaction</t>
  </si>
  <si>
    <t xml:space="preserve">   This should be default to ‘yes’</t>
  </si>
  <si>
    <t xml:space="preserve">   This is mandatory.</t>
  </si>
  <si>
    <t>Click on the ‘Yes” radio button</t>
  </si>
  <si>
    <t>The agent input information should appear at the bottom of the screen with the following headings for that agent:</t>
  </si>
  <si>
    <t xml:space="preserve">   Agent details with ‘Def’ and ‘Search’ button (6 / 50 text characters)</t>
  </si>
  <si>
    <t xml:space="preserve">   Biblife (7 text characters)</t>
  </si>
  <si>
    <t xml:space="preserve">   Perc (3 decimal characters) Should always be 100%</t>
  </si>
  <si>
    <t>Only one agent should appear when you click on the ‘Yes’ radio button.</t>
  </si>
  <si>
    <t>Commission can be split between a maximum of 3 marketers. Only show the number of rows that make up the 100% commission. Start off with one tow for 100%. If the user changes the % to less than 100&amp;, show a second row with the difference between the 100% and the entered %. If the % of the two rows does not add up to 100%, show the 3rd row with the balance of the % to equal 100%.</t>
  </si>
  <si>
    <t>Agent details</t>
  </si>
  <si>
    <t xml:space="preserve">   This is visible and enabled in create mode</t>
  </si>
  <si>
    <t xml:space="preserve">   This is visible in view mode.</t>
  </si>
  <si>
    <t xml:space="preserve">   Is a mandatory field</t>
  </si>
  <si>
    <t xml:space="preserve">   User should be able to user the Agent Code to retrieve the name details for the AGT/SHR_BROKER.</t>
  </si>
  <si>
    <t>If the captured agent code is not a default agent / exist on AGT</t>
  </si>
  <si>
    <t>Invalid agent code is captured.</t>
  </si>
  <si>
    <t>No agent details captured</t>
  </si>
  <si>
    <t>At least one agent code must be captured.</t>
  </si>
  <si>
    <t>If agent captured is out of service (use current business rules)</t>
  </si>
  <si>
    <t>Agent code is out of service</t>
  </si>
  <si>
    <t>If agent is a control account (contract code = 1404 and 1409)</t>
  </si>
  <si>
    <t>Control commission codes are not allowed</t>
  </si>
  <si>
    <t>Should show the default agents per company.</t>
  </si>
  <si>
    <t>Def</t>
  </si>
  <si>
    <t xml:space="preserve">   Visible and enabled in create mode.</t>
  </si>
  <si>
    <t xml:space="preserve">   When user selects this command button, it should populate the default agent.</t>
  </si>
  <si>
    <t>Default agents:</t>
  </si>
  <si>
    <t xml:space="preserve">   Company 257 = 90000S</t>
  </si>
  <si>
    <t xml:space="preserve">   Company 331 = 90000S</t>
  </si>
  <si>
    <t xml:space="preserve">   Company 532 = 90000S</t>
  </si>
  <si>
    <t xml:space="preserve">   Company 600 = 80000S</t>
  </si>
  <si>
    <t xml:space="preserve">   When the user selects this button, it should routes to ‘Marketer Admin &gt; Marketer Maintenance’, where the user should be able to search for Agent details.</t>
  </si>
  <si>
    <t xml:space="preserve">   When user selects agent’s code, it should return the focus to prior screen and populate the agent details.</t>
  </si>
  <si>
    <t xml:space="preserve">   Select another agent, and go to ‘Marketer Admin &gt; Marketer Maintenance’ again. This screen should be blank, and you should be able to search on a blank screen. The previous information should not be stored.</t>
  </si>
  <si>
    <t>Biblife</t>
  </si>
  <si>
    <t xml:space="preserve">   Should be visible in view mode</t>
  </si>
  <si>
    <t xml:space="preserve">   Field length should be 7 text characters.</t>
  </si>
  <si>
    <t>Invalid biblife code(s) captured (except when 99’s) – apply current business rules</t>
  </si>
  <si>
    <t>Invalid biblife code for agent &lt;number of agent captured on GUI&gt;.</t>
  </si>
  <si>
    <t>Select a Biblife marketer, but capture the code as 777777. Submit</t>
  </si>
  <si>
    <t>Error</t>
  </si>
  <si>
    <t>Invalid Biblife code for agent</t>
  </si>
  <si>
    <t>Perc</t>
  </si>
  <si>
    <t xml:space="preserve">   The total of all the agents should add up to 100%.</t>
  </si>
  <si>
    <t xml:space="preserve">   When agent is captured, the value should display as 100.</t>
  </si>
  <si>
    <t xml:space="preserve">   If user changes the value to &lt; 100, then the difference should display in the next input line.</t>
  </si>
  <si>
    <t xml:space="preserve">   This can be applying up to 3 agents.</t>
  </si>
  <si>
    <t>No agent % captured</t>
  </si>
  <si>
    <t>Agent percentage must be captured.</t>
  </si>
  <si>
    <t>If the total % of all the captured agent code &lt;&gt; 100</t>
  </si>
  <si>
    <t>The agent percentages must add to 100%</t>
  </si>
  <si>
    <t>Click Continue.</t>
  </si>
  <si>
    <t>The ‘Investment Process’ screen should appear with the heading:</t>
  </si>
  <si>
    <t>Lump Sum Profile</t>
  </si>
  <si>
    <t>Default Marketer(s) details</t>
  </si>
  <si>
    <t>The information for that heading should all be visible in view mode.</t>
  </si>
  <si>
    <t>Click on the ‘No’ radio button for ‘Is one set of agents applicable for the entire transaction’ and click on ‘continue’</t>
  </si>
  <si>
    <t>Default Marketer(s) details:</t>
  </si>
  <si>
    <t>The headings that should appear:</t>
  </si>
  <si>
    <t xml:space="preserve">   Investor (8 decimal character)</t>
  </si>
  <si>
    <t xml:space="preserve">   Fund Name (30 text character)</t>
  </si>
  <si>
    <t xml:space="preserve">   Amount (11,2 decimal character)</t>
  </si>
  <si>
    <t xml:space="preserve">   Charges % (1,2 decimal character)</t>
  </si>
  <si>
    <t xml:space="preserve">   Commission % (1,2 decimal character)</t>
  </si>
  <si>
    <t xml:space="preserve">   MMC% (3,2 decimal character)</t>
  </si>
  <si>
    <t xml:space="preserve">   Score % (3,2 decimal character)</t>
  </si>
  <si>
    <t>This is the screen where the user can capture the details of the agent(s) applicable to the lump sum investment.</t>
  </si>
  <si>
    <t>Lump Sum Profile screen</t>
  </si>
  <si>
    <t>All the fields should be visible in view mode, except for:</t>
  </si>
  <si>
    <t xml:space="preserve">   MMC % (3,2 decimal character)</t>
  </si>
  <si>
    <t>This can be changed.</t>
  </si>
  <si>
    <t>Investor</t>
  </si>
  <si>
    <t xml:space="preserve">   Should be visible if one set of agents is applicable for the entire transaction</t>
  </si>
  <si>
    <t xml:space="preserve">   Should be visible in create and view mode. </t>
  </si>
  <si>
    <t>Fund name</t>
  </si>
  <si>
    <t xml:space="preserve">   Should be visible in create and view mode.</t>
  </si>
  <si>
    <t xml:space="preserve">   The English full name should display.</t>
  </si>
  <si>
    <t>Amount</t>
  </si>
  <si>
    <t xml:space="preserve">   Should be visible and enabled in create mode if one set of agents is applicable for the entire transaction</t>
  </si>
  <si>
    <t xml:space="preserve">   Should be visible in view mode if ‘Is one set of agents applicable for the entire transaction’.</t>
  </si>
  <si>
    <t xml:space="preserve">   This should be a mandatory field.</t>
  </si>
  <si>
    <t xml:space="preserve">When more than one fund is selected for a Lump Sum. </t>
  </si>
  <si>
    <t>On the ‘Lump Sum Profile’ screen the ‘Investment codes’ and ‘Funds’ that was selected should show. The amount that was captured should be split across those funds, and the amount should then add up to the captured amount.</t>
  </si>
  <si>
    <t>If more than one fund was selected, split the amounts, but make it more / less than the original amount.</t>
  </si>
  <si>
    <t>The amount invested does not total the initial amount as indicated.</t>
  </si>
  <si>
    <t>Change the amount to less than the amount captured.</t>
  </si>
  <si>
    <t>Charges %</t>
  </si>
  <si>
    <t xml:space="preserve">   Should display the default value that is applicable for the investor and the fund.</t>
  </si>
  <si>
    <t xml:space="preserve">   The user should be able to change the value.</t>
  </si>
  <si>
    <t>Change the Charges % to be less than the Commission %, and click on ‘Next’.</t>
  </si>
  <si>
    <t>Commission % may not exceed the charges %</t>
  </si>
  <si>
    <t>Change the Charges % to be more than the Commission %, and click on ‘Next’.</t>
  </si>
  <si>
    <t>Should direct you to the next screen.</t>
  </si>
  <si>
    <t>The following note will appear in red:</t>
  </si>
  <si>
    <t>NOTE: The charges you indicate here will be applied. Special Offer conditions will not apply!</t>
  </si>
  <si>
    <t>Commission %</t>
  </si>
  <si>
    <t>Change the Commission % to be more than the Charges %, and click on ‘Next’.</t>
  </si>
  <si>
    <t>Commission % may not exceed charges %</t>
  </si>
  <si>
    <t>Change the Commission % to be less than the Charges %, and click on ‘Next’.</t>
  </si>
  <si>
    <t>Commission for Agent Code that contains a ‘S’.</t>
  </si>
  <si>
    <t>Commission % should be displayed = 0. The user should be able to change this value.</t>
  </si>
  <si>
    <t>MMC %</t>
  </si>
  <si>
    <t xml:space="preserve">   Should be visible view mode.</t>
  </si>
  <si>
    <t xml:space="preserve">   Should display the default value for that fund.</t>
  </si>
  <si>
    <t>NOT PART OF THIS RELEASE</t>
  </si>
  <si>
    <t>Score %</t>
  </si>
  <si>
    <t xml:space="preserve">   Should display the default value for investor code and fund.</t>
  </si>
  <si>
    <t xml:space="preserve">   The value should not be able to change</t>
  </si>
  <si>
    <t>If a possible duplicate exist, the following message should appear, with a screen showing the duplicates.</t>
  </si>
  <si>
    <t>Message:</t>
  </si>
  <si>
    <t>The following possible duplicates investments exist.</t>
  </si>
  <si>
    <t>Duplicate Investments</t>
  </si>
  <si>
    <t>This section should only display if possible duplication investments exists for the current context investor code and the transaction date or price date.</t>
  </si>
  <si>
    <t>The following screen should appear when there is a duplication entry.</t>
  </si>
  <si>
    <t>The following possible duplicate investments exist:</t>
  </si>
  <si>
    <t>This is at the bottom of the page.</t>
  </si>
  <si>
    <t>Command buttons:</t>
  </si>
  <si>
    <t xml:space="preserve">   Proceed - Visible and enable in create mode</t>
  </si>
  <si>
    <t>-      All validations should be done and should continue to the next process.</t>
  </si>
  <si>
    <t xml:space="preserve">   Reset - Visible and enable in create mode</t>
  </si>
  <si>
    <t>-      If this command button is selected, it should reset to the default values.</t>
  </si>
  <si>
    <t xml:space="preserve">   Visible in view mode</t>
  </si>
  <si>
    <t xml:space="preserve">   Field length = 8 text character</t>
  </si>
  <si>
    <t>Fund</t>
  </si>
  <si>
    <t>·         Visible in view mode</t>
  </si>
  <si>
    <t>·         Display English short name</t>
  </si>
  <si>
    <t>·         Display English long name version when mouse over.</t>
  </si>
  <si>
    <t>·         Field length = 15 text character</t>
  </si>
  <si>
    <t>Serial</t>
  </si>
  <si>
    <t xml:space="preserve">   Field length = 5 numeric character</t>
  </si>
  <si>
    <t>Clerk</t>
  </si>
  <si>
    <t xml:space="preserve">   Display the name and surname, and the user code in brackets (eg. Sandre Hatlen (SP))</t>
  </si>
  <si>
    <t xml:space="preserve">   Field length = 2 text character</t>
  </si>
  <si>
    <t>Trans Date</t>
  </si>
  <si>
    <t xml:space="preserve">   Field length = 10 character</t>
  </si>
  <si>
    <t>Price Date</t>
  </si>
  <si>
    <t>‘Transaction History’ button</t>
  </si>
  <si>
    <t xml:space="preserve">   Visible in view mode (See Transaction History Spec)</t>
  </si>
  <si>
    <t xml:space="preserve">   If this button is selected, display the latest 30 transactions that are linked to that investor/fund. The data should be displayed in a model with an Exit button.</t>
  </si>
  <si>
    <t>Skip Lump Sum Investment/Skip Once Off Investment/Skip Recurring Investment</t>
  </si>
  <si>
    <t>·         Visible and enable in create mode</t>
  </si>
  <si>
    <t>·         When this button is selected, it should not create that Investment, and it should continue to the next process.</t>
  </si>
  <si>
    <t xml:space="preserve">   Should display the value of the command button, depending on which process is applicable.</t>
  </si>
  <si>
    <t xml:space="preserve">   Should be visible and enabled in create mode if no duplication transaction exist, and if one set of agents is applicable for the entire transaction.</t>
  </si>
  <si>
    <t xml:space="preserve">   If the user selects the button, it should not create the investment, but should continue to the next process.</t>
  </si>
  <si>
    <t xml:space="preserve">   The value of the command button should be displayed, depending on which process is applicable.</t>
  </si>
  <si>
    <t xml:space="preserve">   This is a command button</t>
  </si>
  <si>
    <t xml:space="preserve">Select the ‘Skip Lump Sum Investment/Skip Once Investment/Skip Recurring Investment’ </t>
  </si>
  <si>
    <t>A Pop-up message should appear:</t>
  </si>
  <si>
    <t>The Lump Sum Investment / Once Investment / Recurring Investment will not be processed.</t>
  </si>
  <si>
    <t>Click on ‘OK’</t>
  </si>
  <si>
    <t>This should take you to the ‘Request New Business letter’ screen.</t>
  </si>
  <si>
    <t>(See test plan for ‘Recurring Investments’)</t>
  </si>
  <si>
    <t>All validations pass</t>
  </si>
  <si>
    <t>Information:</t>
  </si>
  <si>
    <t>Investment placed successfully.</t>
  </si>
  <si>
    <t>Lump Sum - Existing Fund / Client</t>
  </si>
  <si>
    <t>Once Off Debit Order</t>
  </si>
  <si>
    <r>
      <t>2.126</t>
    </r>
    <r>
      <rPr>
        <sz val="7"/>
        <color theme="1"/>
        <rFont val="Calibri"/>
        <family val="2"/>
        <scheme val="minor"/>
      </rPr>
      <t xml:space="preserve">              </t>
    </r>
    <r>
      <rPr>
        <sz val="10"/>
        <color theme="1"/>
        <rFont val="Calibri"/>
        <family val="2"/>
        <scheme val="minor"/>
      </rPr>
      <t> </t>
    </r>
  </si>
  <si>
    <t>Once-Off Debit Order</t>
  </si>
  <si>
    <t>On the ‘Profile’ screen, when you selected a ‘Once-Off Debit Order’ as well, then this should be next screen after “Lump Sum’.</t>
  </si>
  <si>
    <t>When you only selected a ‘Once-Off Debit Order’ on the ‘Profile’ screen, then it should have directed you to this screen directly.</t>
  </si>
  <si>
    <r>
      <t>2.127</t>
    </r>
    <r>
      <rPr>
        <sz val="7"/>
        <color theme="1"/>
        <rFont val="Calibri"/>
        <family val="2"/>
        <scheme val="minor"/>
      </rPr>
      <t xml:space="preserve">              </t>
    </r>
    <r>
      <rPr>
        <sz val="10"/>
        <color theme="1"/>
        <rFont val="Calibri"/>
        <family val="2"/>
        <scheme val="minor"/>
      </rPr>
      <t> </t>
    </r>
  </si>
  <si>
    <t>Should display entries on the database of the entire fund before the current date.</t>
  </si>
  <si>
    <t>WHERE FUND_END_DATE &lt; 'current date'</t>
  </si>
  <si>
    <r>
      <t>2.128</t>
    </r>
    <r>
      <rPr>
        <sz val="7"/>
        <color theme="1"/>
        <rFont val="Calibri"/>
        <family val="2"/>
        <scheme val="minor"/>
      </rPr>
      <t xml:space="preserve">              </t>
    </r>
    <r>
      <rPr>
        <sz val="10"/>
        <color theme="1"/>
        <rFont val="Calibri"/>
        <family val="2"/>
        <scheme val="minor"/>
      </rPr>
      <t> </t>
    </r>
  </si>
  <si>
    <t>Should display entries on the database of the entire fund after the current date.</t>
  </si>
  <si>
    <t>WHERE FUND_END_DATE &gt; 'current date'</t>
  </si>
  <si>
    <r>
      <t>2.129</t>
    </r>
    <r>
      <rPr>
        <sz val="7"/>
        <color theme="1"/>
        <rFont val="Calibri"/>
        <family val="2"/>
        <scheme val="minor"/>
      </rPr>
      <t xml:space="preserve">              </t>
    </r>
    <r>
      <rPr>
        <sz val="10"/>
        <color theme="1"/>
        <rFont val="Calibri"/>
        <family val="2"/>
        <scheme val="minor"/>
      </rPr>
      <t> </t>
    </r>
  </si>
  <si>
    <t>Once Off Check Box</t>
  </si>
  <si>
    <t xml:space="preserve">   This should be visible and enabled in create mode is once off investment is acceptable for the fund and if the fund is still open.</t>
  </si>
  <si>
    <t xml:space="preserve">   Should be visible in view mode as well.</t>
  </si>
  <si>
    <r>
      <t>2.130</t>
    </r>
    <r>
      <rPr>
        <sz val="7"/>
        <color theme="1"/>
        <rFont val="Calibri"/>
        <family val="2"/>
        <scheme val="minor"/>
      </rPr>
      <t xml:space="preserve">              </t>
    </r>
    <r>
      <rPr>
        <sz val="10"/>
        <color theme="1"/>
        <rFont val="Calibri"/>
        <family val="2"/>
        <scheme val="minor"/>
      </rPr>
      <t> </t>
    </r>
  </si>
  <si>
    <t>Click on ‘submit’ button</t>
  </si>
  <si>
    <t>The screen with the heading for the ‘Investment Process’ should appear</t>
  </si>
  <si>
    <r>
      <t>2.131</t>
    </r>
    <r>
      <rPr>
        <sz val="7"/>
        <color theme="1"/>
        <rFont val="Calibri"/>
        <family val="2"/>
        <scheme val="minor"/>
      </rPr>
      <t xml:space="preserve">              </t>
    </r>
    <r>
      <rPr>
        <sz val="10"/>
        <color theme="1"/>
        <rFont val="Calibri"/>
        <family val="2"/>
        <scheme val="minor"/>
      </rPr>
      <t> </t>
    </r>
  </si>
  <si>
    <t>The heading for the ‘Investment Process’.</t>
  </si>
  <si>
    <t>The user can capture the bank details for a once off debit order.</t>
  </si>
  <si>
    <r>
      <t>2.132</t>
    </r>
    <r>
      <rPr>
        <sz val="7"/>
        <color theme="1"/>
        <rFont val="Calibri"/>
        <family val="2"/>
        <scheme val="minor"/>
      </rPr>
      <t xml:space="preserve">              </t>
    </r>
    <r>
      <rPr>
        <sz val="10"/>
        <color theme="1"/>
        <rFont val="Calibri"/>
        <family val="2"/>
        <scheme val="minor"/>
      </rPr>
      <t> </t>
    </r>
  </si>
  <si>
    <t>Sub Heading: Once Off Debit Order process</t>
  </si>
  <si>
    <t xml:space="preserve">This should be visible and view and in create mode. </t>
  </si>
  <si>
    <r>
      <t>2.133</t>
    </r>
    <r>
      <rPr>
        <sz val="7"/>
        <color theme="1"/>
        <rFont val="Calibri"/>
        <family val="2"/>
        <scheme val="minor"/>
      </rPr>
      <t xml:space="preserve">              </t>
    </r>
    <r>
      <rPr>
        <sz val="10"/>
        <color theme="1"/>
        <rFont val="Calibri"/>
        <family val="2"/>
        <scheme val="minor"/>
      </rPr>
      <t> </t>
    </r>
  </si>
  <si>
    <t>If Once Off Debit Order details already exists for investor code/fund with transaction date = current date.</t>
  </si>
  <si>
    <t>Once Off Debit Order already exists for Investor code/fund.</t>
  </si>
  <si>
    <r>
      <t>2.134</t>
    </r>
    <r>
      <rPr>
        <sz val="7"/>
        <color theme="1"/>
        <rFont val="Calibri"/>
        <family val="2"/>
        <scheme val="minor"/>
      </rPr>
      <t xml:space="preserve">              </t>
    </r>
    <r>
      <rPr>
        <sz val="10"/>
        <color theme="1"/>
        <rFont val="Calibri"/>
        <family val="2"/>
        <scheme val="minor"/>
      </rPr>
      <t> </t>
    </r>
  </si>
  <si>
    <t>Should show duplications on the database.</t>
  </si>
  <si>
    <t>SHRTB2.SHR_DIS_EM</t>
  </si>
  <si>
    <t>WHERE TREK_STATUS = 'P'</t>
  </si>
  <si>
    <r>
      <t>2.135</t>
    </r>
    <r>
      <rPr>
        <sz val="7"/>
        <color theme="1"/>
        <rFont val="Calibri"/>
        <family val="2"/>
        <scheme val="minor"/>
      </rPr>
      <t xml:space="preserve">              </t>
    </r>
    <r>
      <rPr>
        <sz val="10"/>
        <color theme="1"/>
        <rFont val="Calibri"/>
        <family val="2"/>
        <scheme val="minor"/>
      </rPr>
      <t> </t>
    </r>
  </si>
  <si>
    <t>If Once Off Debit Order details already exists on PSNID with transaction date &lt; current date, file is sent to Multidata, but no confirmation from Multidata received yet.</t>
  </si>
  <si>
    <t>OK – continue</t>
  </si>
  <si>
    <t>Possible duplicate – Once off debit orders may exists. Click OK to continue or Cancel.</t>
  </si>
  <si>
    <t>Cancel – return focus to the input of the screen.</t>
  </si>
  <si>
    <r>
      <t>2.136</t>
    </r>
    <r>
      <rPr>
        <sz val="7"/>
        <color theme="1"/>
        <rFont val="Calibri"/>
        <family val="2"/>
        <scheme val="minor"/>
      </rPr>
      <t xml:space="preserve">              </t>
    </r>
    <r>
      <rPr>
        <sz val="10"/>
        <color theme="1"/>
        <rFont val="Calibri"/>
        <family val="2"/>
        <scheme val="minor"/>
      </rPr>
      <t> </t>
    </r>
  </si>
  <si>
    <t>Banking details</t>
  </si>
  <si>
    <t>See BRS:</t>
  </si>
  <si>
    <t>Client Maintenance – Bank Account – Maintain</t>
  </si>
  <si>
    <r>
      <t>2.137</t>
    </r>
    <r>
      <rPr>
        <sz val="7"/>
        <color theme="1"/>
        <rFont val="Calibri"/>
        <family val="2"/>
        <scheme val="minor"/>
      </rPr>
      <t xml:space="preserve">              </t>
    </r>
    <r>
      <rPr>
        <sz val="10"/>
        <color theme="1"/>
        <rFont val="Calibri"/>
        <family val="2"/>
        <scheme val="minor"/>
      </rPr>
      <t> </t>
    </r>
  </si>
  <si>
    <r>
      <t>On the ‘Once off debit order details’</t>
    </r>
    <r>
      <rPr>
        <b/>
        <sz val="10"/>
        <color theme="1"/>
        <rFont val="Calibri"/>
        <family val="2"/>
        <scheme val="minor"/>
      </rPr>
      <t xml:space="preserve"> </t>
    </r>
    <r>
      <rPr>
        <sz val="10"/>
        <color theme="1"/>
        <rFont val="Calibri"/>
        <family val="2"/>
        <scheme val="minor"/>
      </rPr>
      <t>screen the following input files should show, with pre-populated fields if there is banking details for that PSNID.</t>
    </r>
  </si>
  <si>
    <t xml:space="preserve">   Account number (13 decimal characters)</t>
  </si>
  <si>
    <t xml:space="preserve">   6 digit Bank Code (6 decimal characters)</t>
  </si>
  <si>
    <t xml:space="preserve">   Account Type (15 text characters)</t>
  </si>
  <si>
    <t xml:space="preserve">   Bank Name (Branch and name of bank) (50 text characters)</t>
  </si>
  <si>
    <r>
      <t>2.138</t>
    </r>
    <r>
      <rPr>
        <sz val="7"/>
        <color theme="1"/>
        <rFont val="Calibri"/>
        <family val="2"/>
        <scheme val="minor"/>
      </rPr>
      <t xml:space="preserve">              </t>
    </r>
    <r>
      <rPr>
        <sz val="10"/>
        <color theme="1"/>
        <rFont val="Calibri"/>
        <family val="2"/>
        <scheme val="minor"/>
      </rPr>
      <t> </t>
    </r>
  </si>
  <si>
    <t>Account number</t>
  </si>
  <si>
    <t xml:space="preserve">   Should be visible and in decimals. (13 decimal characters)</t>
  </si>
  <si>
    <t xml:space="preserve">   Existing banking details should show.</t>
  </si>
  <si>
    <t xml:space="preserve">   If banking details is not the same, then the user should be able to change the banking details</t>
  </si>
  <si>
    <t xml:space="preserve">   See BRS for:</t>
  </si>
  <si>
    <t>Client Maintenance – Alter – Alter Bank Details</t>
  </si>
  <si>
    <r>
      <t>2.139</t>
    </r>
    <r>
      <rPr>
        <sz val="7"/>
        <color theme="1"/>
        <rFont val="Calibri"/>
        <family val="2"/>
        <scheme val="minor"/>
      </rPr>
      <t xml:space="preserve">              </t>
    </r>
    <r>
      <rPr>
        <sz val="10"/>
        <color theme="1"/>
        <rFont val="Calibri"/>
        <family val="2"/>
        <scheme val="minor"/>
      </rPr>
      <t> </t>
    </r>
  </si>
  <si>
    <t>6 Digit Bank Code</t>
  </si>
  <si>
    <t xml:space="preserve">   Should be visible and in decimals. (6 decimal characters)</t>
  </si>
  <si>
    <t xml:space="preserve">   Existing Banking code should show.</t>
  </si>
  <si>
    <t xml:space="preserve">   If bank code details not the same, then the user should be able to change the bank code details</t>
  </si>
  <si>
    <r>
      <t>2.140</t>
    </r>
    <r>
      <rPr>
        <sz val="7"/>
        <color theme="1"/>
        <rFont val="Calibri"/>
        <family val="2"/>
        <scheme val="minor"/>
      </rPr>
      <t xml:space="preserve">              </t>
    </r>
    <r>
      <rPr>
        <sz val="10"/>
        <color theme="1"/>
        <rFont val="Calibri"/>
        <family val="2"/>
        <scheme val="minor"/>
      </rPr>
      <t> </t>
    </r>
  </si>
  <si>
    <t>Account Type</t>
  </si>
  <si>
    <t xml:space="preserve">   Should be visible. (15 text characters)</t>
  </si>
  <si>
    <t xml:space="preserve">   If a once off debit order details exists, then the values should display, otherwise the default = None.</t>
  </si>
  <si>
    <t>Should have a dropdown with the following:</t>
  </si>
  <si>
    <t xml:space="preserve">   Cheque (default)</t>
  </si>
  <si>
    <t xml:space="preserve">   Transmission</t>
  </si>
  <si>
    <t xml:space="preserve">   Savings</t>
  </si>
  <si>
    <t xml:space="preserve">   Bond</t>
  </si>
  <si>
    <r>
      <t>2.141</t>
    </r>
    <r>
      <rPr>
        <sz val="7"/>
        <color theme="1"/>
        <rFont val="Calibri"/>
        <family val="2"/>
        <scheme val="minor"/>
      </rPr>
      <t xml:space="preserve">              </t>
    </r>
    <r>
      <rPr>
        <sz val="10"/>
        <color theme="1"/>
        <rFont val="Calibri"/>
        <family val="2"/>
        <scheme val="minor"/>
      </rPr>
      <t> </t>
    </r>
  </si>
  <si>
    <t>Bank Name</t>
  </si>
  <si>
    <t xml:space="preserve">   Should be visible. (50 text characters)</t>
  </si>
  <si>
    <t xml:space="preserve">   Should display the bank and branch name.</t>
  </si>
  <si>
    <r>
      <t>2.142</t>
    </r>
    <r>
      <rPr>
        <sz val="7"/>
        <color theme="1"/>
        <rFont val="Calibri"/>
        <family val="2"/>
        <scheme val="minor"/>
      </rPr>
      <t xml:space="preserve">              </t>
    </r>
    <r>
      <rPr>
        <sz val="10"/>
        <color theme="1"/>
        <rFont val="Calibri"/>
        <family val="2"/>
        <scheme val="minor"/>
      </rPr>
      <t> </t>
    </r>
  </si>
  <si>
    <t>All the branch codes of the banks should appear on the database.</t>
  </si>
  <si>
    <t>SHRTB2.SHR_DIS_TAK</t>
  </si>
  <si>
    <r>
      <t>2.143</t>
    </r>
    <r>
      <rPr>
        <sz val="7"/>
        <color theme="1"/>
        <rFont val="Calibri"/>
        <family val="2"/>
        <scheme val="minor"/>
      </rPr>
      <t xml:space="preserve">              </t>
    </r>
    <r>
      <rPr>
        <sz val="10"/>
        <color theme="1"/>
        <rFont val="Calibri"/>
        <family val="2"/>
        <scheme val="minor"/>
      </rPr>
      <t> </t>
    </r>
  </si>
  <si>
    <t>All the different banks should appear on the database.</t>
  </si>
  <si>
    <t>SHRTB2.SHR_DIS_BANK</t>
  </si>
  <si>
    <r>
      <t>2.144</t>
    </r>
    <r>
      <rPr>
        <sz val="7"/>
        <color theme="1"/>
        <rFont val="Calibri"/>
        <family val="2"/>
        <scheme val="minor"/>
      </rPr>
      <t xml:space="preserve">              </t>
    </r>
    <r>
      <rPr>
        <sz val="10"/>
        <color theme="1"/>
        <rFont val="Calibri"/>
        <family val="2"/>
        <scheme val="minor"/>
      </rPr>
      <t> </t>
    </r>
  </si>
  <si>
    <t>Create new bank account / Alter bank account</t>
  </si>
  <si>
    <t xml:space="preserve">   This should be a command button that should be visible and enabled.</t>
  </si>
  <si>
    <t xml:space="preserve">   Should display ‘Alter bank account’ if banking details exists. </t>
  </si>
  <si>
    <t xml:space="preserve">   When user selects this option, then a list of all the existing banking details of the client should appear.</t>
  </si>
  <si>
    <t xml:space="preserve">   The user should be able to select one of these from the list.</t>
  </si>
  <si>
    <t xml:space="preserve">   If a bank account does not exist, then the user should be able to create a ‘Create new bank account’.</t>
  </si>
  <si>
    <t xml:space="preserve">   Should display ‘Create new bank account’ if no banking details exists.</t>
  </si>
  <si>
    <r>
      <t>2.145</t>
    </r>
    <r>
      <rPr>
        <sz val="7"/>
        <color theme="1"/>
        <rFont val="Calibri"/>
        <family val="2"/>
        <scheme val="minor"/>
      </rPr>
      <t xml:space="preserve">              </t>
    </r>
    <r>
      <rPr>
        <sz val="10"/>
        <color theme="1"/>
        <rFont val="Calibri"/>
        <family val="2"/>
        <scheme val="minor"/>
      </rPr>
      <t> </t>
    </r>
  </si>
  <si>
    <t>If the user captures a blocked bank account.</t>
  </si>
  <si>
    <t>The Captured account is blocked.</t>
  </si>
  <si>
    <r>
      <t>2.146</t>
    </r>
    <r>
      <rPr>
        <sz val="7"/>
        <color theme="1"/>
        <rFont val="Calibri"/>
        <family val="2"/>
        <scheme val="minor"/>
      </rPr>
      <t xml:space="preserve">              </t>
    </r>
    <r>
      <rPr>
        <sz val="10"/>
        <color theme="1"/>
        <rFont val="Calibri"/>
        <family val="2"/>
        <scheme val="minor"/>
      </rPr>
      <t> </t>
    </r>
  </si>
  <si>
    <t>This should show on the database all the blocked accounts that are captured on the system.</t>
  </si>
  <si>
    <t>SHRTB2.BANK_ACCOUNT</t>
  </si>
  <si>
    <t>WHERE BLOCK_IND = 'Y'</t>
  </si>
  <si>
    <r>
      <t>2.147</t>
    </r>
    <r>
      <rPr>
        <sz val="7"/>
        <color theme="1"/>
        <rFont val="Calibri"/>
        <family val="2"/>
        <scheme val="minor"/>
      </rPr>
      <t xml:space="preserve">              </t>
    </r>
    <r>
      <rPr>
        <sz val="10"/>
        <color theme="1"/>
        <rFont val="Calibri"/>
        <family val="2"/>
        <scheme val="minor"/>
      </rPr>
      <t> </t>
    </r>
  </si>
  <si>
    <t>If the user captures a suspended account.</t>
  </si>
  <si>
    <t>The Captured account is suspended.</t>
  </si>
  <si>
    <r>
      <t>2.148</t>
    </r>
    <r>
      <rPr>
        <sz val="7"/>
        <color theme="1"/>
        <rFont val="Calibri"/>
        <family val="2"/>
        <scheme val="minor"/>
      </rPr>
      <t xml:space="preserve">              </t>
    </r>
    <r>
      <rPr>
        <sz val="10"/>
        <color theme="1"/>
        <rFont val="Calibri"/>
        <family val="2"/>
        <scheme val="minor"/>
      </rPr>
      <t> </t>
    </r>
  </si>
  <si>
    <t>This should show on the database all the suspended accounts that are captured on the system.</t>
  </si>
  <si>
    <t>If suspended account is for specific client, then it should not be use for that client, but can be used for another client.</t>
  </si>
  <si>
    <t>WHERE SUSPEND_IND = 'Y'</t>
  </si>
  <si>
    <r>
      <t>2.149</t>
    </r>
    <r>
      <rPr>
        <sz val="7"/>
        <color theme="1"/>
        <rFont val="Calibri"/>
        <family val="2"/>
        <scheme val="minor"/>
      </rPr>
      <t xml:space="preserve">              </t>
    </r>
    <r>
      <rPr>
        <sz val="10"/>
        <color theme="1"/>
        <rFont val="Calibri"/>
        <family val="2"/>
        <scheme val="minor"/>
      </rPr>
      <t> </t>
    </r>
  </si>
  <si>
    <t>The ‘Once Off Debit Order Process’ details should appear on the top of the page, with the ‘Draw Date’ etc underneath it.</t>
  </si>
  <si>
    <r>
      <t>2.150</t>
    </r>
    <r>
      <rPr>
        <sz val="7"/>
        <color theme="1"/>
        <rFont val="Calibri"/>
        <family val="2"/>
        <scheme val="minor"/>
      </rPr>
      <t xml:space="preserve">              </t>
    </r>
    <r>
      <rPr>
        <sz val="10"/>
        <color theme="1"/>
        <rFont val="Calibri"/>
        <family val="2"/>
        <scheme val="minor"/>
      </rPr>
      <t> </t>
    </r>
  </si>
  <si>
    <r>
      <t>At the bottom of the ‘Once off debit order details’, there should be more entries for the ‘Draw Date’, ‘Price Date’ and ‘ Date of receipt of request’.</t>
    </r>
    <r>
      <rPr>
        <b/>
        <sz val="10"/>
        <color theme="1"/>
        <rFont val="Calibri"/>
        <family val="2"/>
        <scheme val="minor"/>
      </rPr>
      <t xml:space="preserve"> </t>
    </r>
  </si>
  <si>
    <t>This should be the screen where the user captures the draw date details for the once off debit order.</t>
  </si>
  <si>
    <r>
      <t>2.151</t>
    </r>
    <r>
      <rPr>
        <sz val="7"/>
        <color theme="1"/>
        <rFont val="Calibri"/>
        <family val="2"/>
        <scheme val="minor"/>
      </rPr>
      <t xml:space="preserve">              </t>
    </r>
    <r>
      <rPr>
        <sz val="10"/>
        <color theme="1"/>
        <rFont val="Calibri"/>
        <family val="2"/>
        <scheme val="minor"/>
      </rPr>
      <t> </t>
    </r>
  </si>
  <si>
    <t>Draw date</t>
  </si>
  <si>
    <t xml:space="preserve">   If draw date = Earliest, then display the date field with the date = current date + 3 working days. The user should not be able to change the date field.</t>
  </si>
  <si>
    <t xml:space="preserve">   If draw date = Future, the user should be enable to select a date, but the date should not be &lt; +3 working days.</t>
  </si>
  <si>
    <t xml:space="preserve">   This value should be populating in the date field of the Price date as well.</t>
  </si>
  <si>
    <t>Should have radio buttons for:</t>
  </si>
  <si>
    <t xml:space="preserve">   Earliest and Future</t>
  </si>
  <si>
    <t xml:space="preserve">   The default should be = Earliest</t>
  </si>
  <si>
    <r>
      <t>2.152</t>
    </r>
    <r>
      <rPr>
        <sz val="7"/>
        <color theme="1"/>
        <rFont val="Calibri"/>
        <family val="2"/>
        <scheme val="minor"/>
      </rPr>
      <t xml:space="preserve">              </t>
    </r>
    <r>
      <rPr>
        <sz val="10"/>
        <color theme="1"/>
        <rFont val="Calibri"/>
        <family val="2"/>
        <scheme val="minor"/>
      </rPr>
      <t> </t>
    </r>
  </si>
  <si>
    <t>Change draw date on Banker Holiday</t>
  </si>
  <si>
    <r>
      <t>2.153</t>
    </r>
    <r>
      <rPr>
        <sz val="7"/>
        <color theme="1"/>
        <rFont val="Calibri"/>
        <family val="2"/>
        <scheme val="minor"/>
      </rPr>
      <t xml:space="preserve">              </t>
    </r>
    <r>
      <rPr>
        <sz val="10"/>
        <color theme="1"/>
        <rFont val="Calibri"/>
        <family val="2"/>
        <scheme val="minor"/>
      </rPr>
      <t> </t>
    </r>
  </si>
  <si>
    <t>If the ‘Draw Date’ is not a working day</t>
  </si>
  <si>
    <t>Draw date must be a working day.</t>
  </si>
  <si>
    <r>
      <t>2.154</t>
    </r>
    <r>
      <rPr>
        <sz val="7"/>
        <color theme="1"/>
        <rFont val="Calibri"/>
        <family val="2"/>
        <scheme val="minor"/>
      </rPr>
      <t xml:space="preserve">              </t>
    </r>
    <r>
      <rPr>
        <sz val="10"/>
        <color theme="1"/>
        <rFont val="Calibri"/>
        <family val="2"/>
        <scheme val="minor"/>
      </rPr>
      <t> </t>
    </r>
  </si>
  <si>
    <t>Price date</t>
  </si>
  <si>
    <t xml:space="preserve">   Should have a radio button with a date input field.</t>
  </si>
  <si>
    <t xml:space="preserve">   The date field should get cleared if the user selects Price date = Capture</t>
  </si>
  <si>
    <t xml:space="preserve">   If the user select the ‘Calculate’, it should display field = ‘date of receipt of request’ to enable the user to capture the value.</t>
  </si>
  <si>
    <t xml:space="preserve">   3 Working days should be added to the ‘date of receipt of request’, and then it should display the value in the Price date. The user should not be able to change the date field.</t>
  </si>
  <si>
    <t xml:space="preserve">   If the captured draw date is, than the calculated price date, then display the draw date = price date.</t>
  </si>
  <si>
    <t xml:space="preserve">   If the price date = Default, the user should not be able to change the value of the date field.</t>
  </si>
  <si>
    <t xml:space="preserve">   If the Price date = Calculated, it should display the field = ‘Date of receipt of request’ to enable the user to capture a value. </t>
  </si>
  <si>
    <t xml:space="preserve">   If the price date = Captured, then the user should be able to change the value of the date field.</t>
  </si>
  <si>
    <t xml:space="preserve">   Default, Captured and Calculated</t>
  </si>
  <si>
    <t xml:space="preserve">   The default should be = Default</t>
  </si>
  <si>
    <r>
      <t>2.155</t>
    </r>
    <r>
      <rPr>
        <sz val="7"/>
        <color theme="1"/>
        <rFont val="Calibri"/>
        <family val="2"/>
        <scheme val="minor"/>
      </rPr>
      <t xml:space="preserve">              </t>
    </r>
    <r>
      <rPr>
        <sz val="10"/>
        <color theme="1"/>
        <rFont val="Calibri"/>
        <family val="2"/>
        <scheme val="minor"/>
      </rPr>
      <t> </t>
    </r>
  </si>
  <si>
    <t>Change ‘Price Date’ on Banker Holiday</t>
  </si>
  <si>
    <r>
      <t>2.156</t>
    </r>
    <r>
      <rPr>
        <sz val="7"/>
        <color theme="1"/>
        <rFont val="Calibri"/>
        <family val="2"/>
        <scheme val="minor"/>
      </rPr>
      <t xml:space="preserve">              </t>
    </r>
    <r>
      <rPr>
        <sz val="10"/>
        <color theme="1"/>
        <rFont val="Calibri"/>
        <family val="2"/>
        <scheme val="minor"/>
      </rPr>
      <t> </t>
    </r>
  </si>
  <si>
    <t>If the price date is not a working day</t>
  </si>
  <si>
    <t>Price date must be a working day.</t>
  </si>
  <si>
    <r>
      <t>2.157</t>
    </r>
    <r>
      <rPr>
        <sz val="7"/>
        <color theme="1"/>
        <rFont val="Calibri"/>
        <family val="2"/>
        <scheme val="minor"/>
      </rPr>
      <t xml:space="preserve">              </t>
    </r>
    <r>
      <rPr>
        <sz val="10"/>
        <color theme="1"/>
        <rFont val="Calibri"/>
        <family val="2"/>
        <scheme val="minor"/>
      </rPr>
      <t> </t>
    </r>
  </si>
  <si>
    <t>Date of receipt of request</t>
  </si>
  <si>
    <t xml:space="preserve">   Should be visible and enabled in create mode. If Price date = Calculated, display the field = ‘Date of receipt of request’. This should enable the user to capture a value.</t>
  </si>
  <si>
    <t xml:space="preserve">   Should be visible in view mode if captured in the create process.</t>
  </si>
  <si>
    <r>
      <t>2.158</t>
    </r>
    <r>
      <rPr>
        <sz val="7"/>
        <color theme="1"/>
        <rFont val="Calibri"/>
        <family val="2"/>
        <scheme val="minor"/>
      </rPr>
      <t xml:space="preserve">              </t>
    </r>
    <r>
      <rPr>
        <sz val="10"/>
        <color theme="1"/>
        <rFont val="Calibri"/>
        <family val="2"/>
        <scheme val="minor"/>
      </rPr>
      <t> </t>
    </r>
  </si>
  <si>
    <t>Change ‘Date of receipt’ on Banker Holiday</t>
  </si>
  <si>
    <r>
      <t>2.159</t>
    </r>
    <r>
      <rPr>
        <sz val="7"/>
        <color theme="1"/>
        <rFont val="Calibri"/>
        <family val="2"/>
        <scheme val="minor"/>
      </rPr>
      <t xml:space="preserve">              </t>
    </r>
    <r>
      <rPr>
        <sz val="10"/>
        <color theme="1"/>
        <rFont val="Calibri"/>
        <family val="2"/>
        <scheme val="minor"/>
      </rPr>
      <t> </t>
    </r>
  </si>
  <si>
    <t>If the date of receipt of the request is not a working day.</t>
  </si>
  <si>
    <t>The receipt date must be a working day.</t>
  </si>
  <si>
    <r>
      <t>2.160</t>
    </r>
    <r>
      <rPr>
        <sz val="7"/>
        <color theme="1"/>
        <rFont val="Calibri"/>
        <family val="2"/>
        <scheme val="minor"/>
      </rPr>
      <t xml:space="preserve">              </t>
    </r>
    <r>
      <rPr>
        <sz val="10"/>
        <color theme="1"/>
        <rFont val="Calibri"/>
        <family val="2"/>
        <scheme val="minor"/>
      </rPr>
      <t> </t>
    </r>
  </si>
  <si>
    <t>If the draw date is &lt; current date + 3 working days.</t>
  </si>
  <si>
    <t>Draw date is not a valid date.</t>
  </si>
  <si>
    <r>
      <t>2.161</t>
    </r>
    <r>
      <rPr>
        <sz val="7"/>
        <color theme="1"/>
        <rFont val="Calibri"/>
        <family val="2"/>
        <scheme val="minor"/>
      </rPr>
      <t xml:space="preserve">              </t>
    </r>
    <r>
      <rPr>
        <sz val="10"/>
        <color theme="1"/>
        <rFont val="Calibri"/>
        <family val="2"/>
        <scheme val="minor"/>
      </rPr>
      <t> </t>
    </r>
  </si>
  <si>
    <t>If the date of receipt of the request &gt; current date</t>
  </si>
  <si>
    <t>The receipt date may not be greater than the draw date.</t>
  </si>
  <si>
    <r>
      <t>2.162</t>
    </r>
    <r>
      <rPr>
        <sz val="7"/>
        <color theme="1"/>
        <rFont val="Calibri"/>
        <family val="2"/>
        <scheme val="minor"/>
      </rPr>
      <t xml:space="preserve">              </t>
    </r>
    <r>
      <rPr>
        <sz val="10"/>
        <color theme="1"/>
        <rFont val="Calibri"/>
        <family val="2"/>
        <scheme val="minor"/>
      </rPr>
      <t> </t>
    </r>
  </si>
  <si>
    <t>If no price date is captured</t>
  </si>
  <si>
    <t>Price date must be captured.</t>
  </si>
  <si>
    <r>
      <t>2.163</t>
    </r>
    <r>
      <rPr>
        <sz val="7"/>
        <color theme="1"/>
        <rFont val="Calibri"/>
        <family val="2"/>
        <scheme val="minor"/>
      </rPr>
      <t xml:space="preserve">              </t>
    </r>
    <r>
      <rPr>
        <sz val="10"/>
        <color theme="1"/>
        <rFont val="Calibri"/>
        <family val="2"/>
        <scheme val="minor"/>
      </rPr>
      <t> </t>
    </r>
  </si>
  <si>
    <t>If no draw date is captured</t>
  </si>
  <si>
    <t>Draw date must be captured.</t>
  </si>
  <si>
    <r>
      <t>2.164</t>
    </r>
    <r>
      <rPr>
        <sz val="7"/>
        <color theme="1"/>
        <rFont val="Calibri"/>
        <family val="2"/>
        <scheme val="minor"/>
      </rPr>
      <t xml:space="preserve">              </t>
    </r>
    <r>
      <rPr>
        <sz val="10"/>
        <color theme="1"/>
        <rFont val="Calibri"/>
        <family val="2"/>
        <scheme val="minor"/>
      </rPr>
      <t> </t>
    </r>
  </si>
  <si>
    <t>If the draw date &gt; current date + 4 months</t>
  </si>
  <si>
    <r>
      <t>The draw date more than 4 months in future is not allowed.</t>
    </r>
    <r>
      <rPr>
        <sz val="10"/>
        <color theme="1"/>
        <rFont val="Calibri"/>
        <family val="2"/>
        <scheme val="minor"/>
      </rPr>
      <t>.</t>
    </r>
  </si>
  <si>
    <r>
      <t>2.165</t>
    </r>
    <r>
      <rPr>
        <sz val="7"/>
        <color theme="1"/>
        <rFont val="Calibri"/>
        <family val="2"/>
        <scheme val="minor"/>
      </rPr>
      <t xml:space="preserve">              </t>
    </r>
    <r>
      <rPr>
        <sz val="10"/>
        <color theme="1"/>
        <rFont val="Calibri"/>
        <family val="2"/>
        <scheme val="minor"/>
      </rPr>
      <t> </t>
    </r>
  </si>
  <si>
    <t>If ‘Date of receipt of request’ is not captured (if applicable)</t>
  </si>
  <si>
    <t>The receipt date must be captured..</t>
  </si>
  <si>
    <r>
      <t>2.166</t>
    </r>
    <r>
      <rPr>
        <sz val="7"/>
        <color theme="1"/>
        <rFont val="Calibri"/>
        <family val="2"/>
        <scheme val="minor"/>
      </rPr>
      <t xml:space="preserve">              </t>
    </r>
    <r>
      <rPr>
        <sz val="10"/>
        <color theme="1"/>
        <rFont val="Calibri"/>
        <family val="2"/>
        <scheme val="minor"/>
      </rPr>
      <t> </t>
    </r>
  </si>
  <si>
    <r>
      <t>2.167</t>
    </r>
    <r>
      <rPr>
        <sz val="7"/>
        <color theme="1"/>
        <rFont val="Calibri"/>
        <family val="2"/>
        <scheme val="minor"/>
      </rPr>
      <t xml:space="preserve">              </t>
    </r>
    <r>
      <rPr>
        <sz val="10"/>
        <color theme="1"/>
        <rFont val="Calibri"/>
        <family val="2"/>
        <scheme val="minor"/>
      </rPr>
      <t> </t>
    </r>
  </si>
  <si>
    <r>
      <t>Commission can be split between a maximum of 3 marketers. Only show the number of rows that make up the 100% commission. Start off with one tow for 100%. If the user changes the % to less than 100&amp;, show a second row with the difference between the 100% and the entered %. If the % of the two rows does not add up to 100%, show the 3</t>
    </r>
    <r>
      <rPr>
        <vertAlign val="superscript"/>
        <sz val="10"/>
        <color theme="1"/>
        <rFont val="Calibri"/>
        <family val="2"/>
        <scheme val="minor"/>
      </rPr>
      <t>rd</t>
    </r>
    <r>
      <rPr>
        <sz val="10"/>
        <color theme="1"/>
        <rFont val="Calibri"/>
        <family val="2"/>
        <scheme val="minor"/>
      </rPr>
      <t xml:space="preserve"> row with the balance of the % to equal 100%.</t>
    </r>
  </si>
  <si>
    <r>
      <t>2.168</t>
    </r>
    <r>
      <rPr>
        <sz val="7"/>
        <color theme="1"/>
        <rFont val="Calibri"/>
        <family val="2"/>
        <scheme val="minor"/>
      </rPr>
      <t xml:space="preserve">              </t>
    </r>
    <r>
      <rPr>
        <sz val="10"/>
        <color theme="1"/>
        <rFont val="Calibri"/>
        <family val="2"/>
        <scheme val="minor"/>
      </rPr>
      <t> </t>
    </r>
  </si>
  <si>
    <r>
      <t>2.169</t>
    </r>
    <r>
      <rPr>
        <sz val="7"/>
        <color theme="1"/>
        <rFont val="Calibri"/>
        <family val="2"/>
        <scheme val="minor"/>
      </rPr>
      <t xml:space="preserve">              </t>
    </r>
    <r>
      <rPr>
        <sz val="10"/>
        <color theme="1"/>
        <rFont val="Calibri"/>
        <family val="2"/>
        <scheme val="minor"/>
      </rPr>
      <t> </t>
    </r>
  </si>
  <si>
    <r>
      <t>2.170</t>
    </r>
    <r>
      <rPr>
        <sz val="7"/>
        <color theme="1"/>
        <rFont val="Calibri"/>
        <family val="2"/>
        <scheme val="minor"/>
      </rPr>
      <t xml:space="preserve">              </t>
    </r>
    <r>
      <rPr>
        <sz val="10"/>
        <color theme="1"/>
        <rFont val="Calibri"/>
        <family val="2"/>
        <scheme val="minor"/>
      </rPr>
      <t> </t>
    </r>
  </si>
  <si>
    <r>
      <t>2.171</t>
    </r>
    <r>
      <rPr>
        <sz val="7"/>
        <color theme="1"/>
        <rFont val="Calibri"/>
        <family val="2"/>
        <scheme val="minor"/>
      </rPr>
      <t xml:space="preserve">              </t>
    </r>
    <r>
      <rPr>
        <sz val="10"/>
        <color theme="1"/>
        <rFont val="Calibri"/>
        <family val="2"/>
        <scheme val="minor"/>
      </rPr>
      <t> </t>
    </r>
  </si>
  <si>
    <r>
      <t>2.172</t>
    </r>
    <r>
      <rPr>
        <sz val="7"/>
        <color theme="1"/>
        <rFont val="Calibri"/>
        <family val="2"/>
        <scheme val="minor"/>
      </rPr>
      <t xml:space="preserve">              </t>
    </r>
    <r>
      <rPr>
        <sz val="10"/>
        <color theme="1"/>
        <rFont val="Calibri"/>
        <family val="2"/>
        <scheme val="minor"/>
      </rPr>
      <t> </t>
    </r>
  </si>
  <si>
    <r>
      <t>2.173</t>
    </r>
    <r>
      <rPr>
        <sz val="7"/>
        <color theme="1"/>
        <rFont val="Calibri"/>
        <family val="2"/>
        <scheme val="minor"/>
      </rPr>
      <t xml:space="preserve">              </t>
    </r>
    <r>
      <rPr>
        <sz val="10"/>
        <color theme="1"/>
        <rFont val="Calibri"/>
        <family val="2"/>
        <scheme val="minor"/>
      </rPr>
      <t> </t>
    </r>
  </si>
  <si>
    <r>
      <t>2.174</t>
    </r>
    <r>
      <rPr>
        <sz val="7"/>
        <color theme="1"/>
        <rFont val="Calibri"/>
        <family val="2"/>
        <scheme val="minor"/>
      </rPr>
      <t xml:space="preserve">              </t>
    </r>
    <r>
      <rPr>
        <sz val="10"/>
        <color theme="1"/>
        <rFont val="Calibri"/>
        <family val="2"/>
        <scheme val="minor"/>
      </rPr>
      <t> </t>
    </r>
  </si>
  <si>
    <r>
      <t>2.175</t>
    </r>
    <r>
      <rPr>
        <sz val="7"/>
        <color theme="1"/>
        <rFont val="Calibri"/>
        <family val="2"/>
        <scheme val="minor"/>
      </rPr>
      <t xml:space="preserve">              </t>
    </r>
    <r>
      <rPr>
        <sz val="10"/>
        <color theme="1"/>
        <rFont val="Calibri"/>
        <family val="2"/>
        <scheme val="minor"/>
      </rPr>
      <t> </t>
    </r>
  </si>
  <si>
    <r>
      <t>2.176</t>
    </r>
    <r>
      <rPr>
        <sz val="7"/>
        <color theme="1"/>
        <rFont val="Calibri"/>
        <family val="2"/>
        <scheme val="minor"/>
      </rPr>
      <t xml:space="preserve">              </t>
    </r>
    <r>
      <rPr>
        <sz val="10"/>
        <color theme="1"/>
        <rFont val="Calibri"/>
        <family val="2"/>
        <scheme val="minor"/>
      </rPr>
      <t> </t>
    </r>
  </si>
  <si>
    <r>
      <t>2.177</t>
    </r>
    <r>
      <rPr>
        <sz val="7"/>
        <color theme="1"/>
        <rFont val="Calibri"/>
        <family val="2"/>
        <scheme val="minor"/>
      </rPr>
      <t xml:space="preserve">              </t>
    </r>
    <r>
      <rPr>
        <sz val="10"/>
        <color theme="1"/>
        <rFont val="Calibri"/>
        <family val="2"/>
        <scheme val="minor"/>
      </rPr>
      <t> </t>
    </r>
  </si>
  <si>
    <r>
      <t>2.178</t>
    </r>
    <r>
      <rPr>
        <sz val="7"/>
        <color theme="1"/>
        <rFont val="Calibri"/>
        <family val="2"/>
        <scheme val="minor"/>
      </rPr>
      <t xml:space="preserve">              </t>
    </r>
    <r>
      <rPr>
        <sz val="10"/>
        <color theme="1"/>
        <rFont val="Calibri"/>
        <family val="2"/>
        <scheme val="minor"/>
      </rPr>
      <t> </t>
    </r>
  </si>
  <si>
    <r>
      <t>2.179</t>
    </r>
    <r>
      <rPr>
        <sz val="7"/>
        <color theme="1"/>
        <rFont val="Calibri"/>
        <family val="2"/>
        <scheme val="minor"/>
      </rPr>
      <t xml:space="preserve">              </t>
    </r>
    <r>
      <rPr>
        <sz val="10"/>
        <color theme="1"/>
        <rFont val="Calibri"/>
        <family val="2"/>
        <scheme val="minor"/>
      </rPr>
      <t> </t>
    </r>
  </si>
  <si>
    <r>
      <t>2.180</t>
    </r>
    <r>
      <rPr>
        <sz val="7"/>
        <color theme="1"/>
        <rFont val="Calibri"/>
        <family val="2"/>
        <scheme val="minor"/>
      </rPr>
      <t xml:space="preserve">              </t>
    </r>
    <r>
      <rPr>
        <sz val="10"/>
        <color theme="1"/>
        <rFont val="Calibri"/>
        <family val="2"/>
        <scheme val="minor"/>
      </rPr>
      <t> </t>
    </r>
  </si>
  <si>
    <r>
      <t>2.181</t>
    </r>
    <r>
      <rPr>
        <sz val="7"/>
        <color theme="1"/>
        <rFont val="Calibri"/>
        <family val="2"/>
        <scheme val="minor"/>
      </rPr>
      <t xml:space="preserve">              </t>
    </r>
    <r>
      <rPr>
        <sz val="10"/>
        <color theme="1"/>
        <rFont val="Calibri"/>
        <family val="2"/>
        <scheme val="minor"/>
      </rPr>
      <t> </t>
    </r>
  </si>
  <si>
    <r>
      <t>2.182</t>
    </r>
    <r>
      <rPr>
        <sz val="7"/>
        <color theme="1"/>
        <rFont val="Calibri"/>
        <family val="2"/>
        <scheme val="minor"/>
      </rPr>
      <t xml:space="preserve">              </t>
    </r>
    <r>
      <rPr>
        <sz val="10"/>
        <color theme="1"/>
        <rFont val="Calibri"/>
        <family val="2"/>
        <scheme val="minor"/>
      </rPr>
      <t> </t>
    </r>
  </si>
  <si>
    <t>The ‘Marketer’s Information’ section should appear.</t>
  </si>
  <si>
    <r>
      <t>2.183</t>
    </r>
    <r>
      <rPr>
        <sz val="7"/>
        <color theme="1"/>
        <rFont val="Calibri"/>
        <family val="2"/>
        <scheme val="minor"/>
      </rPr>
      <t xml:space="preserve">              </t>
    </r>
    <r>
      <rPr>
        <sz val="10"/>
        <color theme="1"/>
        <rFont val="Calibri"/>
        <family val="2"/>
        <scheme val="minor"/>
      </rPr>
      <t> </t>
    </r>
  </si>
  <si>
    <r>
      <t>2.184</t>
    </r>
    <r>
      <rPr>
        <sz val="7"/>
        <color theme="1"/>
        <rFont val="Calibri"/>
        <family val="2"/>
        <scheme val="minor"/>
      </rPr>
      <t xml:space="preserve">              </t>
    </r>
    <r>
      <rPr>
        <sz val="10"/>
        <color theme="1"/>
        <rFont val="Calibri"/>
        <family val="2"/>
        <scheme val="minor"/>
      </rPr>
      <t> </t>
    </r>
  </si>
  <si>
    <t>This is the screen where the user can capture the details of the agent(s) applicable to the Investment.</t>
  </si>
  <si>
    <r>
      <t>2.185</t>
    </r>
    <r>
      <rPr>
        <sz val="7"/>
        <color theme="1"/>
        <rFont val="Calibri"/>
        <family val="2"/>
        <scheme val="minor"/>
      </rPr>
      <t xml:space="preserve">              </t>
    </r>
    <r>
      <rPr>
        <sz val="10"/>
        <color theme="1"/>
        <rFont val="Calibri"/>
        <family val="2"/>
        <scheme val="minor"/>
      </rPr>
      <t> </t>
    </r>
  </si>
  <si>
    <t>“Marketer’s Information’ screen</t>
  </si>
  <si>
    <r>
      <t>2.186</t>
    </r>
    <r>
      <rPr>
        <sz val="7"/>
        <color theme="1"/>
        <rFont val="Calibri"/>
        <family val="2"/>
        <scheme val="minor"/>
      </rPr>
      <t xml:space="preserve">              </t>
    </r>
    <r>
      <rPr>
        <sz val="10"/>
        <color theme="1"/>
        <rFont val="Calibri"/>
        <family val="2"/>
        <scheme val="minor"/>
      </rPr>
      <t> </t>
    </r>
  </si>
  <si>
    <r>
      <t>2.187</t>
    </r>
    <r>
      <rPr>
        <sz val="7"/>
        <color theme="1"/>
        <rFont val="Calibri"/>
        <family val="2"/>
        <scheme val="minor"/>
      </rPr>
      <t xml:space="preserve">              </t>
    </r>
    <r>
      <rPr>
        <sz val="10"/>
        <color theme="1"/>
        <rFont val="Calibri"/>
        <family val="2"/>
        <scheme val="minor"/>
      </rPr>
      <t> </t>
    </r>
  </si>
  <si>
    <r>
      <t>2.188</t>
    </r>
    <r>
      <rPr>
        <sz val="7"/>
        <color theme="1"/>
        <rFont val="Calibri"/>
        <family val="2"/>
        <scheme val="minor"/>
      </rPr>
      <t xml:space="preserve">              </t>
    </r>
    <r>
      <rPr>
        <sz val="10"/>
        <color theme="1"/>
        <rFont val="Calibri"/>
        <family val="2"/>
        <scheme val="minor"/>
      </rPr>
      <t> </t>
    </r>
  </si>
  <si>
    <r>
      <t>2.189</t>
    </r>
    <r>
      <rPr>
        <sz val="7"/>
        <color theme="1"/>
        <rFont val="Calibri"/>
        <family val="2"/>
        <scheme val="minor"/>
      </rPr>
      <t xml:space="preserve">              </t>
    </r>
    <r>
      <rPr>
        <sz val="10"/>
        <color theme="1"/>
        <rFont val="Calibri"/>
        <family val="2"/>
        <scheme val="minor"/>
      </rPr>
      <t> </t>
    </r>
  </si>
  <si>
    <t xml:space="preserve">When more than one fund is selected for a Once-Off Debit Order. </t>
  </si>
  <si>
    <t>On the ‘Once-Off Debit Order’ screen the ‘Investment codes’ and ‘Funds’ that was selected should show. Capture the amounts for each one.</t>
  </si>
  <si>
    <r>
      <t>2.190</t>
    </r>
    <r>
      <rPr>
        <sz val="7"/>
        <color theme="1"/>
        <rFont val="Calibri"/>
        <family val="2"/>
        <scheme val="minor"/>
      </rPr>
      <t xml:space="preserve">              </t>
    </r>
    <r>
      <rPr>
        <sz val="10"/>
        <color theme="1"/>
        <rFont val="Calibri"/>
        <family val="2"/>
        <scheme val="minor"/>
      </rPr>
      <t> </t>
    </r>
  </si>
  <si>
    <r>
      <t>2.191</t>
    </r>
    <r>
      <rPr>
        <sz val="7"/>
        <color theme="1"/>
        <rFont val="Calibri"/>
        <family val="2"/>
        <scheme val="minor"/>
      </rPr>
      <t xml:space="preserve">              </t>
    </r>
    <r>
      <rPr>
        <sz val="10"/>
        <color theme="1"/>
        <rFont val="Calibri"/>
        <family val="2"/>
        <scheme val="minor"/>
      </rPr>
      <t> </t>
    </r>
  </si>
  <si>
    <r>
      <t>2.192</t>
    </r>
    <r>
      <rPr>
        <sz val="7"/>
        <color theme="1"/>
        <rFont val="Calibri"/>
        <family val="2"/>
        <scheme val="minor"/>
      </rPr>
      <t xml:space="preserve">              </t>
    </r>
    <r>
      <rPr>
        <sz val="10"/>
        <color theme="1"/>
        <rFont val="Calibri"/>
        <family val="2"/>
        <scheme val="minor"/>
      </rPr>
      <t> </t>
    </r>
  </si>
  <si>
    <r>
      <t>2.193</t>
    </r>
    <r>
      <rPr>
        <sz val="7"/>
        <color theme="1"/>
        <rFont val="Calibri"/>
        <family val="2"/>
        <scheme val="minor"/>
      </rPr>
      <t xml:space="preserve">              </t>
    </r>
    <r>
      <rPr>
        <sz val="10"/>
        <color theme="1"/>
        <rFont val="Calibri"/>
        <family val="2"/>
        <scheme val="minor"/>
      </rPr>
      <t> </t>
    </r>
  </si>
  <si>
    <r>
      <t>2.194</t>
    </r>
    <r>
      <rPr>
        <sz val="7"/>
        <color theme="1"/>
        <rFont val="Calibri"/>
        <family val="2"/>
        <scheme val="minor"/>
      </rPr>
      <t xml:space="preserve">              </t>
    </r>
    <r>
      <rPr>
        <sz val="10"/>
        <color theme="1"/>
        <rFont val="Calibri"/>
        <family val="2"/>
        <scheme val="minor"/>
      </rPr>
      <t> </t>
    </r>
  </si>
  <si>
    <t>Captured Commission % may not exceed the maximum.</t>
  </si>
  <si>
    <r>
      <t>2.195</t>
    </r>
    <r>
      <rPr>
        <sz val="7"/>
        <color theme="1"/>
        <rFont val="Calibri"/>
        <family val="2"/>
        <scheme val="minor"/>
      </rPr>
      <t xml:space="preserve">              </t>
    </r>
    <r>
      <rPr>
        <sz val="10"/>
        <color theme="1"/>
        <rFont val="Calibri"/>
        <family val="2"/>
        <scheme val="minor"/>
      </rPr>
      <t> </t>
    </r>
  </si>
  <si>
    <r>
      <t>2.196</t>
    </r>
    <r>
      <rPr>
        <sz val="7"/>
        <color theme="1"/>
        <rFont val="Calibri"/>
        <family val="2"/>
        <scheme val="minor"/>
      </rPr>
      <t xml:space="preserve">              </t>
    </r>
    <r>
      <rPr>
        <sz val="10"/>
        <color theme="1"/>
        <rFont val="Calibri"/>
        <family val="2"/>
        <scheme val="minor"/>
      </rPr>
      <t> </t>
    </r>
  </si>
  <si>
    <r>
      <t>2.197</t>
    </r>
    <r>
      <rPr>
        <sz val="7"/>
        <color theme="1"/>
        <rFont val="Calibri"/>
        <family val="2"/>
        <scheme val="minor"/>
      </rPr>
      <t xml:space="preserve">              </t>
    </r>
    <r>
      <rPr>
        <sz val="10"/>
        <color theme="1"/>
        <rFont val="Calibri"/>
        <family val="2"/>
        <scheme val="minor"/>
      </rPr>
      <t> </t>
    </r>
  </si>
  <si>
    <r>
      <t>2.198</t>
    </r>
    <r>
      <rPr>
        <sz val="7"/>
        <color theme="1"/>
        <rFont val="Calibri"/>
        <family val="2"/>
        <scheme val="minor"/>
      </rPr>
      <t xml:space="preserve">              </t>
    </r>
    <r>
      <rPr>
        <sz val="10"/>
        <color theme="1"/>
        <rFont val="Calibri"/>
        <family val="2"/>
        <scheme val="minor"/>
      </rPr>
      <t> </t>
    </r>
  </si>
  <si>
    <t>ERROR:</t>
  </si>
  <si>
    <t>Once-Off Debit Order already exist for Investor code/fund.</t>
  </si>
  <si>
    <r>
      <t>2.199</t>
    </r>
    <r>
      <rPr>
        <sz val="7"/>
        <color theme="1"/>
        <rFont val="Calibri"/>
        <family val="2"/>
        <scheme val="minor"/>
      </rPr>
      <t xml:space="preserve">              </t>
    </r>
    <r>
      <rPr>
        <sz val="10"/>
        <color theme="1"/>
        <rFont val="Calibri"/>
        <family val="2"/>
        <scheme val="minor"/>
      </rPr>
      <t> </t>
    </r>
  </si>
  <si>
    <t>Duplicate</t>
  </si>
  <si>
    <t>This will not allow you to complete the once-Off Debit Order.</t>
  </si>
  <si>
    <r>
      <t>2.200</t>
    </r>
    <r>
      <rPr>
        <sz val="7"/>
        <color theme="1"/>
        <rFont val="Calibri"/>
        <family val="2"/>
        <scheme val="minor"/>
      </rPr>
      <t xml:space="preserve">              </t>
    </r>
    <r>
      <rPr>
        <sz val="10"/>
        <color theme="1"/>
        <rFont val="Calibri"/>
        <family val="2"/>
        <scheme val="minor"/>
      </rPr>
      <t> </t>
    </r>
  </si>
  <si>
    <t>Skip Once Off Debit Order</t>
  </si>
  <si>
    <r>
      <t>·</t>
    </r>
    <r>
      <rPr>
        <sz val="7"/>
        <color theme="1"/>
        <rFont val="Calibri"/>
        <family val="2"/>
        <scheme val="minor"/>
      </rPr>
      <t xml:space="preserve">         </t>
    </r>
    <r>
      <rPr>
        <sz val="10"/>
        <color theme="1"/>
        <rFont val="Calibri"/>
        <family val="2"/>
        <scheme val="minor"/>
      </rPr>
      <t>Visible and enable in create mode</t>
    </r>
  </si>
  <si>
    <r>
      <t>·</t>
    </r>
    <r>
      <rPr>
        <sz val="7"/>
        <color theme="1"/>
        <rFont val="Calibri"/>
        <family val="2"/>
        <scheme val="minor"/>
      </rPr>
      <t xml:space="preserve">         </t>
    </r>
    <r>
      <rPr>
        <sz val="10"/>
        <color theme="1"/>
        <rFont val="Calibri"/>
        <family val="2"/>
        <scheme val="minor"/>
      </rPr>
      <t>When this button is selected, it should not create that Investment, and it should continue to the next process.</t>
    </r>
  </si>
  <si>
    <r>
      <t>2.201</t>
    </r>
    <r>
      <rPr>
        <sz val="7"/>
        <color theme="1"/>
        <rFont val="Calibri"/>
        <family val="2"/>
        <scheme val="minor"/>
      </rPr>
      <t xml:space="preserve">              </t>
    </r>
    <r>
      <rPr>
        <sz val="10"/>
        <color theme="1"/>
        <rFont val="Calibri"/>
        <family val="2"/>
        <scheme val="minor"/>
      </rPr>
      <t> </t>
    </r>
  </si>
  <si>
    <t>Select the ‘Skip Once Investment’</t>
  </si>
  <si>
    <t>The Once Off Debit Order will not be processed.</t>
  </si>
  <si>
    <r>
      <t>2.202</t>
    </r>
    <r>
      <rPr>
        <sz val="7"/>
        <color theme="1"/>
        <rFont val="Calibri"/>
        <family val="2"/>
        <scheme val="minor"/>
      </rPr>
      <t xml:space="preserve">              </t>
    </r>
    <r>
      <rPr>
        <sz val="10"/>
        <color theme="1"/>
        <rFont val="Calibri"/>
        <family val="2"/>
        <scheme val="minor"/>
      </rPr>
      <t> </t>
    </r>
  </si>
  <si>
    <r>
      <t>2.203</t>
    </r>
    <r>
      <rPr>
        <sz val="7"/>
        <color theme="1"/>
        <rFont val="Calibri"/>
        <family val="2"/>
        <scheme val="minor"/>
      </rPr>
      <t xml:space="preserve">              </t>
    </r>
    <r>
      <rPr>
        <sz val="10"/>
        <color theme="1"/>
        <rFont val="Calibri"/>
        <family val="2"/>
        <scheme val="minor"/>
      </rPr>
      <t> </t>
    </r>
  </si>
  <si>
    <t>RF Companies</t>
  </si>
  <si>
    <t>Go to Company 600, and load a client.</t>
  </si>
  <si>
    <t>Client should load successfully.</t>
  </si>
  <si>
    <t>Click on ‘Alter/Proceed’</t>
  </si>
  <si>
    <t>The ‘Investment Profile’ screen should display.</t>
  </si>
  <si>
    <t>There should be NO ‘Income Instruction’ for RF Companies (600).</t>
  </si>
  <si>
    <t>Click on ‘Alter/Proceed’ if you have made any changes. This will validate your changes, and save it. The “Landing Page’ should also be updated with the new changes. It will take you to the next tab.</t>
  </si>
  <si>
    <t>Click on ‘No change/Proceed’.</t>
  </si>
  <si>
    <t>Click on ‘No change/Proceed’ if no changes was made, and it will take you to the next tab.</t>
  </si>
  <si>
    <t>The ‘Profile’ tab the user can select a fund to invest in.</t>
  </si>
  <si>
    <t>On this screen the user should be able to select a fund to invest in, as well as the Lump Sum investment.</t>
  </si>
  <si>
    <t xml:space="preserve">   Price date (10 characters)</t>
  </si>
  <si>
    <t>Should show the REGNR primary products for a 24 or 27.</t>
  </si>
  <si>
    <t>WHERE PRIM_PROD_CODE = 24 or 27</t>
  </si>
  <si>
    <t xml:space="preserve">   03: All primary products except 24</t>
  </si>
  <si>
    <t xml:space="preserve">   05: Only primary product = 24</t>
  </si>
  <si>
    <t xml:space="preserve">   18: All primary products except 24</t>
  </si>
  <si>
    <t xml:space="preserve">   63: Only primary product = 27</t>
  </si>
  <si>
    <t xml:space="preserve">   64: Only primary product = 27</t>
  </si>
  <si>
    <t xml:space="preserve">   68: Not for Smooth Bonus</t>
  </si>
  <si>
    <t xml:space="preserve">   89: Not applicable for Investments</t>
  </si>
  <si>
    <t xml:space="preserve">   93: Not applicable for Investments</t>
  </si>
  <si>
    <t xml:space="preserve">   Should be visible and enabled if source = 3, 5 or 18.</t>
  </si>
  <si>
    <t>Submit query 2.250</t>
  </si>
  <si>
    <t xml:space="preserve">   Query submitted successfully</t>
  </si>
  <si>
    <t>Check to see where there is more than 1 investment made per deposito nr</t>
  </si>
  <si>
    <t xml:space="preserve">   Deposito nr + batch amount displays correctly</t>
  </si>
  <si>
    <t>In the Batch amount field, a total of all transaction amounts created and not yet applied must have been summed and displayed</t>
  </si>
  <si>
    <t>Where there is only a single investment for the deposito nr and the amount has not yet been applied, the batch amount must be displayed and be equal to the deposit amount</t>
  </si>
  <si>
    <t>No investment amount which is = 0.00 must be displayed on the pop-up screen</t>
  </si>
  <si>
    <t xml:space="preserve">   Single and multiple batch transactions display correctly</t>
  </si>
  <si>
    <t xml:space="preserve">   No investment with a value of 0.00 is displayed</t>
  </si>
  <si>
    <t>Apply a batch investment transaction from test case 2.255 where more than 1 investment transaction was made against the deposito nr</t>
  </si>
  <si>
    <t xml:space="preserve">   Batch investment applied successfully</t>
  </si>
  <si>
    <t>Reload the deposit number enquiry screen and check that the information has been updated correctly and the correct summed amount is displayed</t>
  </si>
  <si>
    <t xml:space="preserve">   Information updates and summed correctly on the deposit number enquiry screen for the multiple deposit nr investment made</t>
  </si>
  <si>
    <t xml:space="preserve">Apply a batch investment transaction from test case 2.255 where a single investment transaction was made against the deposito nr </t>
  </si>
  <si>
    <t>Reload the deposit number enquiry screen and check that the information has been updated correctly and no information is still displayed for this transaction</t>
  </si>
  <si>
    <t xml:space="preserve">   Information updates no further information displays on the deposit number enquiry screen for the applied single investment</t>
  </si>
  <si>
    <t xml:space="preserve">   Default agent:</t>
  </si>
  <si>
    <t>Skip Lump Sum.</t>
  </si>
  <si>
    <t xml:space="preserve">Select the ‘Skip Lump Sum Investment’ </t>
  </si>
  <si>
    <t>The Lump Sum Investment will not be processed.</t>
  </si>
  <si>
    <t>For Non Money Market funds: 
IF captured date &gt; current date + 1 working day</t>
  </si>
  <si>
    <t>Authorizing of big amounts</t>
  </si>
  <si>
    <t>The ‘Authorize Investment transactions’ screen should appear with headings:</t>
  </si>
  <si>
    <t>Administrator &gt; Authorize Trans &gt; Investments</t>
  </si>
  <si>
    <t xml:space="preserve">   Investor Code</t>
  </si>
  <si>
    <t xml:space="preserve">   Trust</t>
  </si>
  <si>
    <t xml:space="preserve">   Tran Code</t>
  </si>
  <si>
    <t xml:space="preserve">   Origin</t>
  </si>
  <si>
    <t xml:space="preserve">   Amount</t>
  </si>
  <si>
    <t xml:space="preserve">   Charges</t>
  </si>
  <si>
    <t xml:space="preserve">   Comm</t>
  </si>
  <si>
    <t xml:space="preserve">   Clerk</t>
  </si>
  <si>
    <t xml:space="preserve">   Reject Trans</t>
  </si>
  <si>
    <t xml:space="preserve">   Auth Trans</t>
  </si>
  <si>
    <t>You can select the ‘Reject Trans’ or the ‘Auth Trans’ radio buttons.</t>
  </si>
  <si>
    <t>Reject Trans</t>
  </si>
  <si>
    <t>A pop-up will appear where you must enter a reason for the rejecting. Submit, and your entry will disappear.</t>
  </si>
  <si>
    <t>Auth Trans</t>
  </si>
  <si>
    <t>As soon as you enter ‘Submit’, your entry will disappear, and should update on the landing page.</t>
  </si>
  <si>
    <t>Running batch job</t>
  </si>
  <si>
    <t>Batch Job</t>
  </si>
  <si>
    <t>This should indicate if your REGNR is part of the batch run.</t>
  </si>
  <si>
    <t>Ask to run the batch run, and make sure the correspondence is correct.</t>
  </si>
  <si>
    <t>SHRTB2.SHR_INVEST_BATCH</t>
  </si>
  <si>
    <t>WHERE REGNR = (regnr)</t>
  </si>
  <si>
    <t>Also check out if we need to test debit orders on the investment process</t>
  </si>
  <si>
    <t>The ‘Investment Process’ screen have 5 Tab-headings:</t>
  </si>
  <si>
    <t>Type of Investment Option no available</t>
  </si>
  <si>
    <t xml:space="preserve">Nothing to Select </t>
  </si>
  <si>
    <t>Source  Drop Down List</t>
  </si>
  <si>
    <t>Advice Note: Radio Button Option Selection</t>
  </si>
  <si>
    <t>Is one set of Agents…. : Radio Button Option Selection</t>
  </si>
  <si>
    <t>Lump Sum Selected</t>
  </si>
  <si>
    <t>Nothing to select from in lIst</t>
  </si>
  <si>
    <t>Yes selected</t>
  </si>
  <si>
    <t xml:space="preserve">   Field length should be &gt; 20 text characters 50</t>
  </si>
  <si>
    <t>Not sure about this?</t>
  </si>
  <si>
    <t xml:space="preserve"> Enter the PSNID and Click Proceed</t>
  </si>
  <si>
    <t>Navgation Path -  Unit Transactions &gt; Investment &gt; Normal Investments</t>
  </si>
  <si>
    <t>Personal Details screen is loaded</t>
  </si>
  <si>
    <t>Click No/Change Proceed</t>
  </si>
  <si>
    <t>Investment Profile screen is loaded listing the Portfolio for selection</t>
  </si>
  <si>
    <t>User directed to Lumpsum Profile Screen</t>
  </si>
  <si>
    <t xml:space="preserve">          : Price Date </t>
  </si>
  <si>
    <t xml:space="preserve">          : Advice Note</t>
  </si>
  <si>
    <t>Leave Default</t>
  </si>
  <si>
    <t>Current System Date</t>
  </si>
  <si>
    <t xml:space="preserve">          :Is one set of agents applicable for entire    transaction? Y</t>
  </si>
  <si>
    <t xml:space="preserve">Load an External client </t>
  </si>
  <si>
    <t xml:space="preserve">Ensure that you select </t>
  </si>
  <si>
    <t>The deposit amount invested is allocated to the Portfolio</t>
  </si>
  <si>
    <t>Investor Code: Investor Code Displayed</t>
  </si>
  <si>
    <t>Fund Name: Portfolio Name is displayed</t>
  </si>
  <si>
    <t>Amount: Invested Amount Reflected</t>
  </si>
  <si>
    <t>Charges: Displays Zero</t>
  </si>
  <si>
    <t>Comm%: Displays Zero</t>
  </si>
  <si>
    <r>
      <t xml:space="preserve">Continue : </t>
    </r>
    <r>
      <rPr>
        <sz val="10"/>
        <color theme="1"/>
        <rFont val="Arial"/>
        <family val="2"/>
      </rPr>
      <t>Click the Continue button</t>
    </r>
  </si>
  <si>
    <r>
      <t xml:space="preserve">Next : </t>
    </r>
    <r>
      <rPr>
        <sz val="10"/>
        <color theme="1"/>
        <rFont val="Arial"/>
        <family val="2"/>
      </rPr>
      <t>Click the Next button</t>
    </r>
  </si>
  <si>
    <r>
      <rPr>
        <b/>
        <sz val="10"/>
        <color theme="1"/>
        <rFont val="Arial"/>
        <family val="2"/>
      </rPr>
      <t>Source</t>
    </r>
    <r>
      <rPr>
        <sz val="10"/>
        <color theme="1"/>
        <rFont val="Arial"/>
        <family val="2"/>
      </rPr>
      <t xml:space="preserve"> : Select the Source Code for Internal Investment</t>
    </r>
  </si>
  <si>
    <t xml:space="preserve">Deposit Number : Enter if Required </t>
  </si>
  <si>
    <t>Investment Amount loaded</t>
  </si>
  <si>
    <t>Navigation Path - Client Maintenance &gt; Alter &gt; Alter Primary Product</t>
  </si>
  <si>
    <t>Alter Invest Code Details screen is loaded</t>
  </si>
  <si>
    <t>Ensure that the Primary Product Name = SEB RFA (24)</t>
  </si>
  <si>
    <t xml:space="preserve">Primary Product Name </t>
  </si>
  <si>
    <t>Drop down list displays all primary Products associated with the Client</t>
  </si>
  <si>
    <t xml:space="preserve">Lookup an Internal Client where Primary Product Code = SEB RFA (24) </t>
  </si>
  <si>
    <t xml:space="preserve">Load  Internal client </t>
  </si>
  <si>
    <t>Displays the Name of the Fund associated with the Primary Product</t>
  </si>
  <si>
    <r>
      <rPr>
        <b/>
        <sz val="10"/>
        <color theme="1"/>
        <rFont val="Arial"/>
        <family val="2"/>
      </rPr>
      <t>Insert</t>
    </r>
    <r>
      <rPr>
        <sz val="10"/>
        <color theme="1"/>
        <rFont val="Arial"/>
        <family val="2"/>
      </rPr>
      <t xml:space="preserve">  : Total Investment Amount                                              </t>
    </r>
  </si>
  <si>
    <t xml:space="preserve">Verification -  Accounting and Accounting Codes - </t>
  </si>
  <si>
    <t>or Enter the PSNID and Click Proceed</t>
  </si>
  <si>
    <t xml:space="preserve">Tranasction History displayed </t>
  </si>
  <si>
    <t>Series:</t>
  </si>
  <si>
    <t>Process date: Unknown</t>
  </si>
  <si>
    <t>Price Date: Current System Date</t>
  </si>
  <si>
    <t>Tranasction: Reflects the Type of Investment:</t>
  </si>
  <si>
    <t>Lump Sump Cash : Normal Investment 970</t>
  </si>
  <si>
    <r>
      <t xml:space="preserve">Verify Tranasction History &gt; </t>
    </r>
    <r>
      <rPr>
        <sz val="10"/>
        <color theme="1"/>
        <rFont val="Arial"/>
        <family val="2"/>
      </rPr>
      <t>Click Transaction History Button</t>
    </r>
  </si>
  <si>
    <t>Normal Investment - Internal Client  (Type = Smooth Bonus SB)</t>
  </si>
  <si>
    <t>Select Smoot Bonus Portfolio - SB</t>
  </si>
  <si>
    <t>Portfolio Selection - SB</t>
  </si>
  <si>
    <t xml:space="preserve">Select the Portfolio to Invest in  </t>
  </si>
  <si>
    <r>
      <rPr>
        <b/>
        <sz val="10"/>
        <color theme="1"/>
        <rFont val="Arial"/>
        <family val="2"/>
      </rPr>
      <t xml:space="preserve">Check Box Selection </t>
    </r>
    <r>
      <rPr>
        <sz val="10"/>
        <color theme="1"/>
        <rFont val="Arial"/>
        <family val="2"/>
      </rPr>
      <t>- MBF = Monthly Bonus Fund</t>
    </r>
  </si>
  <si>
    <r>
      <t xml:space="preserve">Click the </t>
    </r>
    <r>
      <rPr>
        <b/>
        <sz val="10"/>
        <color theme="1"/>
        <rFont val="Arial"/>
        <family val="2"/>
      </rPr>
      <t>Check box in the Lump Sum Column</t>
    </r>
  </si>
  <si>
    <r>
      <t xml:space="preserve">Listed Items: Select </t>
    </r>
    <r>
      <rPr>
        <b/>
        <sz val="10"/>
        <color theme="1"/>
        <rFont val="Arial"/>
        <family val="2"/>
      </rPr>
      <t xml:space="preserve">Invest SEB RFA (05) </t>
    </r>
    <r>
      <rPr>
        <sz val="10"/>
        <color theme="1"/>
        <rFont val="Arial"/>
        <family val="2"/>
      </rPr>
      <t xml:space="preserve"> from the list of items</t>
    </r>
  </si>
  <si>
    <r>
      <t xml:space="preserve">Enter the Deposit Number for </t>
    </r>
    <r>
      <rPr>
        <b/>
        <sz val="10"/>
        <color theme="1"/>
        <rFont val="Arial"/>
        <family val="2"/>
      </rPr>
      <t>Invest SEB RFA (05)</t>
    </r>
  </si>
  <si>
    <t>Submit Selection - Clickt the Submit button</t>
  </si>
  <si>
    <t>Deposit Number Captured</t>
  </si>
  <si>
    <r>
      <rPr>
        <b/>
        <sz val="10"/>
        <color theme="1"/>
        <rFont val="Arial"/>
        <family val="2"/>
      </rPr>
      <t>Agent Code</t>
    </r>
    <r>
      <rPr>
        <sz val="10"/>
        <color theme="1"/>
        <rFont val="Arial"/>
        <family val="2"/>
      </rPr>
      <t>: Enter the default agent code</t>
    </r>
  </si>
  <si>
    <t>Click Def to apply default</t>
  </si>
  <si>
    <t xml:space="preserve">                             Source : 05</t>
  </si>
  <si>
    <t>Click the item entry for the new Transaction</t>
  </si>
  <si>
    <t>Details for Investment Displayed</t>
  </si>
  <si>
    <t xml:space="preserve">Charges(R)  0.00  </t>
  </si>
  <si>
    <t>Price: 00.00</t>
  </si>
  <si>
    <t>Clerk: Your Name</t>
  </si>
  <si>
    <t>Price Date: Same as System Date that was captured</t>
  </si>
  <si>
    <t>Charge: 0.00</t>
  </si>
  <si>
    <t>Comm % : 0.00</t>
  </si>
  <si>
    <t>Authorised: NO</t>
  </si>
  <si>
    <t>Not authorised yet</t>
  </si>
  <si>
    <t xml:space="preserve">Vat:  0.00  </t>
  </si>
  <si>
    <t xml:space="preserve">Pakkode:  0  </t>
  </si>
  <si>
    <t>Deposit #: 1000</t>
  </si>
  <si>
    <t>Gross Amount: Displays the Amount captured</t>
  </si>
  <si>
    <t xml:space="preserve">Units: 0.00 </t>
  </si>
  <si>
    <t>Balance: Unknown</t>
  </si>
  <si>
    <t>NB: Repeat Steps 2.0000 but Select a different Portfolio</t>
  </si>
  <si>
    <r>
      <rPr>
        <b/>
        <sz val="10"/>
        <color theme="1"/>
        <rFont val="Arial"/>
        <family val="2"/>
      </rPr>
      <t xml:space="preserve">Check Box Selection </t>
    </r>
    <r>
      <rPr>
        <sz val="10"/>
        <color theme="1"/>
        <rFont val="Arial"/>
        <family val="2"/>
      </rPr>
      <t>- SMM Abs Ret +5%</t>
    </r>
  </si>
  <si>
    <t>Deposit #: Deposit Numbe that you captured</t>
  </si>
  <si>
    <t>Single Investment - External Client  (Type = Smooth Bonus SB)</t>
  </si>
  <si>
    <t>Same as the amount value</t>
  </si>
  <si>
    <t>Authorize and Apply</t>
  </si>
  <si>
    <t>Investments Screen Is loaded</t>
  </si>
  <si>
    <t xml:space="preserve">Select  the transactions that were processed for the Porfolios </t>
  </si>
  <si>
    <t>Click Submit</t>
  </si>
  <si>
    <t>Selection Made</t>
  </si>
  <si>
    <t>Transactions Processed Succesfully</t>
  </si>
  <si>
    <t>Verification - Bulk Investment Report and Notify</t>
  </si>
  <si>
    <t>Check that the Notification has been received</t>
  </si>
  <si>
    <t>Email Notification</t>
  </si>
  <si>
    <t>Message: Files uploaded to FTP Site</t>
  </si>
  <si>
    <t>Confirmation: All Investments Captured</t>
  </si>
  <si>
    <t>Check that the scheduled batch was kicked off</t>
  </si>
  <si>
    <t>Logging - Batch Run Succesfull</t>
  </si>
  <si>
    <t>Signed Instructions - Verify that this was received</t>
  </si>
  <si>
    <t>Ensure that the Transaction Deposit file was generated</t>
  </si>
  <si>
    <t>File  - INS-SCI-DEP-&lt;date&gt;-024N.xls</t>
  </si>
  <si>
    <t>Ensure that the Transactions Processed file was generated</t>
  </si>
  <si>
    <t>INS-SCI-DEP-&lt;date&gt;24N.xls</t>
  </si>
  <si>
    <t>Verify that all the correct transactions are reflected</t>
  </si>
  <si>
    <t>Electronic Transactions Deposits and Porcessing</t>
  </si>
  <si>
    <t>Transfer Success</t>
  </si>
  <si>
    <t>Ensure that the Transfer was succesfull</t>
  </si>
  <si>
    <t>Ensure that the correct notification was received</t>
  </si>
  <si>
    <r>
      <rPr>
        <b/>
        <sz val="10"/>
        <color theme="1"/>
        <rFont val="Arial"/>
        <family val="2"/>
      </rPr>
      <t>STATUS</t>
    </r>
    <r>
      <rPr>
        <sz val="10"/>
        <color theme="1"/>
        <rFont val="Arial"/>
        <family val="2"/>
      </rPr>
      <t xml:space="preserve"> = SUCCESS</t>
    </r>
  </si>
  <si>
    <r>
      <rPr>
        <b/>
        <sz val="10"/>
        <color theme="1"/>
        <rFont val="Arial"/>
        <family val="2"/>
      </rPr>
      <t>Apply Column</t>
    </r>
    <r>
      <rPr>
        <sz val="10"/>
        <color theme="1"/>
        <rFont val="Arial"/>
        <family val="2"/>
      </rPr>
      <t xml:space="preserve"> - Put a Tick in the Check Box</t>
    </r>
  </si>
  <si>
    <t>Apply Investment</t>
  </si>
  <si>
    <t>Navigate - Unit Transaction &gt; Investments &gt; Apply Unpriced Investment</t>
  </si>
  <si>
    <t>Navigate - Unit Transaction &gt; Investments &gt;Reverse Investment</t>
  </si>
  <si>
    <t>Reverse Invesments Trasnactions screen is loaded</t>
  </si>
  <si>
    <t>The Transaction is listed along with its Series Number</t>
  </si>
  <si>
    <r>
      <rPr>
        <b/>
        <sz val="10"/>
        <color theme="1"/>
        <rFont val="Arial"/>
        <family val="2"/>
      </rPr>
      <t>Process date</t>
    </r>
    <r>
      <rPr>
        <sz val="10"/>
        <color theme="1"/>
        <rFont val="Arial"/>
        <family val="2"/>
      </rPr>
      <t>: Date Transaction was processed</t>
    </r>
  </si>
  <si>
    <t>The Process date for your transaction should be same as the price date</t>
  </si>
  <si>
    <r>
      <t xml:space="preserve">Price date: </t>
    </r>
    <r>
      <rPr>
        <sz val="10"/>
        <color theme="1"/>
        <rFont val="Arial"/>
        <family val="2"/>
      </rPr>
      <t>Date the transaction was captured</t>
    </r>
  </si>
  <si>
    <r>
      <t xml:space="preserve">Series: </t>
    </r>
    <r>
      <rPr>
        <sz val="10"/>
        <color theme="1"/>
        <rFont val="Arial"/>
        <family val="2"/>
      </rPr>
      <t>The Series Number is assigned</t>
    </r>
  </si>
  <si>
    <r>
      <t>Transaction:</t>
    </r>
    <r>
      <rPr>
        <sz val="10"/>
        <color theme="1"/>
        <rFont val="Arial"/>
        <family val="2"/>
      </rPr>
      <t xml:space="preserve"> Invest SEB RFA (05)</t>
    </r>
  </si>
  <si>
    <r>
      <rPr>
        <b/>
        <sz val="10"/>
        <color theme="1"/>
        <rFont val="Arial"/>
        <family val="2"/>
      </rPr>
      <t>Gross Amount</t>
    </r>
    <r>
      <rPr>
        <sz val="10"/>
        <color theme="1"/>
        <rFont val="Arial"/>
        <family val="2"/>
      </rPr>
      <t>: Displays the Amount captured</t>
    </r>
  </si>
  <si>
    <r>
      <rPr>
        <b/>
        <sz val="10"/>
        <color theme="1"/>
        <rFont val="Arial"/>
        <family val="2"/>
      </rPr>
      <t>Units</t>
    </r>
    <r>
      <rPr>
        <sz val="10"/>
        <color theme="1"/>
        <rFont val="Arial"/>
        <family val="2"/>
      </rPr>
      <t>: Displays the units for the Amount</t>
    </r>
  </si>
  <si>
    <r>
      <rPr>
        <b/>
        <sz val="10"/>
        <color theme="1"/>
        <rFont val="Arial"/>
        <family val="2"/>
      </rPr>
      <t>Balance:</t>
    </r>
    <r>
      <rPr>
        <sz val="10"/>
        <color theme="1"/>
        <rFont val="Arial"/>
        <family val="2"/>
      </rPr>
      <t xml:space="preserve"> Display the Amount captured</t>
    </r>
  </si>
  <si>
    <t>Radio Button - Select Latest</t>
  </si>
  <si>
    <t>Click Search Button</t>
  </si>
  <si>
    <t>To order by latest transaction</t>
  </si>
  <si>
    <t>Select the Transaction to be Reversed</t>
  </si>
  <si>
    <t>Details for Investment Displayed below</t>
  </si>
  <si>
    <t>Reverse Invesments Trasnaction dialog is displayed</t>
  </si>
  <si>
    <r>
      <rPr>
        <b/>
        <sz val="10"/>
        <color theme="1"/>
        <rFont val="Arial"/>
        <family val="2"/>
      </rPr>
      <t>Type of Reversal:</t>
    </r>
    <r>
      <rPr>
        <sz val="10"/>
        <color theme="1"/>
        <rFont val="Arial"/>
        <family val="2"/>
      </rPr>
      <t xml:space="preserve"> Select FT</t>
    </r>
  </si>
  <si>
    <r>
      <rPr>
        <b/>
        <sz val="10"/>
        <color theme="1"/>
        <rFont val="Arial"/>
        <family val="2"/>
      </rPr>
      <t xml:space="preserve">Reversal Reason: </t>
    </r>
    <r>
      <rPr>
        <sz val="10"/>
        <color theme="1"/>
        <rFont val="Arial"/>
        <family val="2"/>
      </rPr>
      <t>Provide a Reason</t>
    </r>
  </si>
  <si>
    <r>
      <t xml:space="preserve">                             </t>
    </r>
    <r>
      <rPr>
        <b/>
        <sz val="10"/>
        <color theme="1"/>
        <rFont val="Arial"/>
        <family val="2"/>
      </rPr>
      <t>Source : 05</t>
    </r>
  </si>
  <si>
    <r>
      <t>Invest Rev :</t>
    </r>
    <r>
      <rPr>
        <b/>
        <sz val="10"/>
        <color theme="1"/>
        <rFont val="Arial"/>
        <family val="2"/>
      </rPr>
      <t xml:space="preserve"> Invest Rev 940</t>
    </r>
  </si>
  <si>
    <t>Details for Reversal Displayed</t>
  </si>
  <si>
    <r>
      <rPr>
        <b/>
        <sz val="10"/>
        <color theme="1"/>
        <rFont val="Arial"/>
        <family val="2"/>
      </rPr>
      <t>Gross Amount:</t>
    </r>
    <r>
      <rPr>
        <sz val="10"/>
        <color theme="1"/>
        <rFont val="Arial"/>
        <family val="2"/>
      </rPr>
      <t xml:space="preserve"> Displays the Amount Reversed</t>
    </r>
  </si>
  <si>
    <r>
      <rPr>
        <b/>
        <sz val="10"/>
        <color theme="1"/>
        <rFont val="Arial"/>
        <family val="2"/>
      </rPr>
      <t>Tranasction:</t>
    </r>
    <r>
      <rPr>
        <sz val="10"/>
        <color theme="1"/>
        <rFont val="Arial"/>
        <family val="2"/>
      </rPr>
      <t xml:space="preserve"> Reflects the Type of Reversal</t>
    </r>
  </si>
  <si>
    <r>
      <rPr>
        <b/>
        <sz val="10"/>
        <color theme="1"/>
        <rFont val="Arial"/>
        <family val="2"/>
      </rPr>
      <t>Process date:</t>
    </r>
    <r>
      <rPr>
        <sz val="10"/>
        <color theme="1"/>
        <rFont val="Arial"/>
        <family val="2"/>
      </rPr>
      <t xml:space="preserve"> Current System Date</t>
    </r>
  </si>
  <si>
    <r>
      <rPr>
        <b/>
        <sz val="10"/>
        <color theme="1"/>
        <rFont val="Arial"/>
        <family val="2"/>
      </rPr>
      <t>Price Date</t>
    </r>
    <r>
      <rPr>
        <sz val="10"/>
        <color theme="1"/>
        <rFont val="Arial"/>
        <family val="2"/>
      </rPr>
      <t>: Reflects the Date transaction was captured</t>
    </r>
  </si>
  <si>
    <r>
      <rPr>
        <b/>
        <sz val="10"/>
        <color theme="1"/>
        <rFont val="Arial"/>
        <family val="2"/>
      </rPr>
      <t>Units</t>
    </r>
    <r>
      <rPr>
        <sz val="10"/>
        <color theme="1"/>
        <rFont val="Arial"/>
        <family val="2"/>
      </rPr>
      <t>: Displays the Amount in Units Reversed</t>
    </r>
  </si>
  <si>
    <t>Contract Reason: The reason captured</t>
  </si>
  <si>
    <t>Reference</t>
  </si>
  <si>
    <t>Click the item entry for the Reversal Transaction</t>
  </si>
  <si>
    <t>Price: 100.00 Unit Price for all transactions</t>
  </si>
  <si>
    <t>Date: N/A</t>
  </si>
  <si>
    <t>Vat:N/A</t>
  </si>
  <si>
    <t>commision:N/A</t>
  </si>
  <si>
    <t>Production :Amount reversed</t>
  </si>
  <si>
    <t xml:space="preserve">Agent:Default Agent or Agent Responsible </t>
  </si>
  <si>
    <t>Verification -  Client Total Value</t>
  </si>
  <si>
    <t>For the above selected Portfolio &gt; Check that the Invested Amount is reflected</t>
  </si>
  <si>
    <t>Portfolio &gt; Investment Value and Unit reflects the Amount that was capture for the investment</t>
  </si>
  <si>
    <r>
      <rPr>
        <b/>
        <sz val="10"/>
        <color theme="1"/>
        <rFont val="Arial"/>
        <family val="2"/>
      </rPr>
      <t>Total Value</t>
    </r>
    <r>
      <rPr>
        <sz val="10"/>
        <color theme="1"/>
        <rFont val="Arial"/>
        <family val="2"/>
      </rPr>
      <t xml:space="preserve"> : Displays the Total value + Amount Invested</t>
    </r>
  </si>
  <si>
    <r>
      <rPr>
        <b/>
        <sz val="10"/>
        <color theme="1"/>
        <rFont val="Arial"/>
        <family val="2"/>
      </rPr>
      <t>Value:</t>
    </r>
    <r>
      <rPr>
        <sz val="10"/>
        <color theme="1"/>
        <rFont val="Arial"/>
        <family val="2"/>
      </rPr>
      <t xml:space="preserve"> Displays the Amount Captured</t>
    </r>
  </si>
  <si>
    <r>
      <rPr>
        <b/>
        <sz val="10"/>
        <color theme="1"/>
        <rFont val="Arial"/>
        <family val="2"/>
      </rPr>
      <t>Unit:</t>
    </r>
    <r>
      <rPr>
        <sz val="10"/>
        <color theme="1"/>
        <rFont val="Arial"/>
        <family val="2"/>
      </rPr>
      <t xml:space="preserve"> Displays the Amount Captured</t>
    </r>
  </si>
  <si>
    <t xml:space="preserve">Select  the transactions that was processed for the Portfolio </t>
  </si>
  <si>
    <t>Total Value : Displays the Total value LESS Amount that was Reversed</t>
  </si>
  <si>
    <t>Navigate - Unit Transaction &gt; Investments &gt; Alter Investment</t>
  </si>
  <si>
    <t>Select the Transaction to be Altered</t>
  </si>
  <si>
    <t>Click Alter Investment button</t>
  </si>
  <si>
    <t>Alter Invesments Transaction dialog is displayed</t>
  </si>
  <si>
    <r>
      <rPr>
        <b/>
        <sz val="10"/>
        <color theme="1"/>
        <rFont val="Arial"/>
        <family val="2"/>
      </rPr>
      <t xml:space="preserve">Alter Reason: </t>
    </r>
    <r>
      <rPr>
        <sz val="10"/>
        <color theme="1"/>
        <rFont val="Arial"/>
        <family val="2"/>
      </rPr>
      <t>Provide a Reason</t>
    </r>
  </si>
  <si>
    <t>Source: Source Displayed</t>
  </si>
  <si>
    <t>Fund  Monthly Bonus Fund Displayed</t>
  </si>
  <si>
    <t>Price Change: Default to NO</t>
  </si>
  <si>
    <t>Price date: Date the transaction was captured</t>
  </si>
  <si>
    <t>Investment Amount: Investment Amount that was captured</t>
  </si>
  <si>
    <t>Charge %. N/A</t>
  </si>
  <si>
    <t>Commission %: N/A</t>
  </si>
  <si>
    <t>Deposit number: Deposit Number Captured</t>
  </si>
  <si>
    <t>Agent code: Default Agent Code that was used</t>
  </si>
  <si>
    <t>Biblife: 0</t>
  </si>
  <si>
    <t>Commission split %:100.00</t>
  </si>
  <si>
    <t xml:space="preserve">Agent code 2 : 00.00     </t>
  </si>
  <si>
    <t xml:space="preserve">Biblife 2 : 0.00     </t>
  </si>
  <si>
    <t>Commission split %: 0.00</t>
  </si>
  <si>
    <t xml:space="preserve">Agent code : 0.00    </t>
  </si>
  <si>
    <t>Biblife: 0.00</t>
  </si>
  <si>
    <t xml:space="preserve">Clerk: Your Name </t>
  </si>
  <si>
    <t>Alter Action &gt; Select a different Source from the Drop Down</t>
  </si>
  <si>
    <t>Lump Sum Cash (03) - Selected</t>
  </si>
  <si>
    <r>
      <rPr>
        <b/>
        <sz val="10"/>
        <color theme="1"/>
        <rFont val="Arial"/>
        <family val="2"/>
      </rPr>
      <t>Dialog Message Reads:</t>
    </r>
    <r>
      <rPr>
        <i/>
        <sz val="10"/>
        <color theme="1"/>
        <rFont val="Arial"/>
        <family val="2"/>
      </rPr>
      <t xml:space="preserve"> Investment Update Succesfully</t>
    </r>
  </si>
  <si>
    <t>Repeat the above Test Case for - MV Portfolio</t>
  </si>
  <si>
    <t>Repeat the above Test Steps for Market Value Portfolio</t>
  </si>
  <si>
    <t>Tranasction History displayed - 3 Entries are displayed for this Transaction</t>
  </si>
  <si>
    <r>
      <t>Invest Rev :</t>
    </r>
    <r>
      <rPr>
        <b/>
        <sz val="10"/>
        <color theme="1"/>
        <rFont val="Arial"/>
        <family val="2"/>
      </rPr>
      <t xml:space="preserve"> Invest Rev 980</t>
    </r>
  </si>
  <si>
    <r>
      <t xml:space="preserve">                             </t>
    </r>
    <r>
      <rPr>
        <b/>
        <sz val="10"/>
        <color theme="1"/>
        <rFont val="Arial"/>
        <family val="2"/>
      </rPr>
      <t>Source : 03</t>
    </r>
  </si>
  <si>
    <r>
      <rPr>
        <b/>
        <sz val="10"/>
        <color theme="1"/>
        <rFont val="Arial"/>
        <family val="2"/>
      </rPr>
      <t>Balance:</t>
    </r>
    <r>
      <rPr>
        <sz val="10"/>
        <color theme="1"/>
        <rFont val="Arial"/>
        <family val="2"/>
      </rPr>
      <t xml:space="preserve"> Should reflect the same Amount </t>
    </r>
  </si>
  <si>
    <t>Transaction History Entry  Series1 &gt;</t>
  </si>
  <si>
    <t>Transaction History Entry Series 2 &gt;</t>
  </si>
  <si>
    <t>Transaction History Entry Series 3 &gt;</t>
  </si>
  <si>
    <r>
      <t>Invest Rev :</t>
    </r>
    <r>
      <rPr>
        <b/>
        <sz val="10"/>
        <color theme="1"/>
        <rFont val="Arial"/>
        <family val="2"/>
      </rPr>
      <t xml:space="preserve"> Invest SEB RFA 970</t>
    </r>
  </si>
  <si>
    <r>
      <t xml:space="preserve">                             </t>
    </r>
    <r>
      <rPr>
        <b/>
        <sz val="10"/>
        <color theme="1"/>
        <rFont val="Arial"/>
        <family val="2"/>
      </rPr>
      <t>Source :  05</t>
    </r>
  </si>
  <si>
    <r>
      <rPr>
        <b/>
        <sz val="10"/>
        <color theme="1"/>
        <rFont val="Arial"/>
        <family val="2"/>
      </rPr>
      <t>Balance:</t>
    </r>
    <r>
      <rPr>
        <sz val="10"/>
        <color theme="1"/>
        <rFont val="Arial"/>
        <family val="2"/>
      </rPr>
      <t xml:space="preserve"> Should Reflect 0.00 as this Alter is a Reversal Transaction</t>
    </r>
  </si>
  <si>
    <r>
      <rPr>
        <b/>
        <sz val="10"/>
        <color theme="1"/>
        <rFont val="Arial"/>
        <family val="2"/>
      </rPr>
      <t>Balance:</t>
    </r>
    <r>
      <rPr>
        <sz val="10"/>
        <color theme="1"/>
        <rFont val="Arial"/>
        <family val="2"/>
      </rPr>
      <t xml:space="preserve"> Should reflect the Original Amount if Not Changed</t>
    </r>
  </si>
  <si>
    <t>Details for the relevant entry is Displayed</t>
  </si>
  <si>
    <t>Alter Investment - Smooth Bonus Portfolion (SB)</t>
  </si>
  <si>
    <t>Ensure that you select the SB Porfolio  MBF</t>
  </si>
  <si>
    <t>Select the Transaction to be Altered &gt;Ensure that you select the SB Porfolio  MBF</t>
  </si>
  <si>
    <t>Fund : Monthly Bonus Fund Displayed</t>
  </si>
  <si>
    <t>SEB Abs Ret +5% - Selected</t>
  </si>
  <si>
    <t>Click Submit button</t>
  </si>
  <si>
    <t>Alter Action 1 &gt; Select a different Source from the Drop Down</t>
  </si>
  <si>
    <t xml:space="preserve">Verify Tranasction History </t>
  </si>
  <si>
    <t>Alter Action 2 &gt; Select a different Fund/ Portoflio from the Drop Down</t>
  </si>
  <si>
    <t>Select the MV - Portfolio / Fund that was selected in the previous step</t>
  </si>
  <si>
    <r>
      <t xml:space="preserve">                             </t>
    </r>
    <r>
      <rPr>
        <b/>
        <sz val="10"/>
        <color theme="1"/>
        <rFont val="Arial"/>
        <family val="2"/>
      </rPr>
      <t xml:space="preserve">Source : 03 </t>
    </r>
  </si>
  <si>
    <t>Lump Sum Cash</t>
  </si>
  <si>
    <t>Lump Sum Coris</t>
  </si>
  <si>
    <t>Balance: Reflects the balance of previous txn</t>
  </si>
  <si>
    <t>Investment Reversal</t>
  </si>
  <si>
    <t>Create a Bulk Investment File &gt;</t>
  </si>
  <si>
    <t xml:space="preserve">FTP Bulk Investment File </t>
  </si>
  <si>
    <t>10013902</t>
  </si>
  <si>
    <t>TEST</t>
  </si>
  <si>
    <t>10014348</t>
  </si>
  <si>
    <t>10010199</t>
  </si>
  <si>
    <t>10010210</t>
  </si>
  <si>
    <t>10014038</t>
  </si>
  <si>
    <t>10014046</t>
  </si>
  <si>
    <t>10012647</t>
  </si>
  <si>
    <t>10014607</t>
  </si>
  <si>
    <t>10016766</t>
  </si>
  <si>
    <t>10016456</t>
  </si>
  <si>
    <t>10012604</t>
  </si>
  <si>
    <t>10010865</t>
  </si>
  <si>
    <t>10010873</t>
  </si>
  <si>
    <t>ABSA GROUP PENSION FUND (ACTIVE MEMBERS) C/O PO BOX 30</t>
  </si>
  <si>
    <t xml:space="preserve"> SANLAMHOF</t>
  </si>
  <si>
    <t>ABSA GROUP PENSION FUND (STANDARD PENSIONERS) C/O PO BOX 30</t>
  </si>
  <si>
    <t>ABSA HOME EMPLOYEES PROVIDENT FUND C/O PO BOX 30</t>
  </si>
  <si>
    <t>ABSA SMALL ENTERPRISE PROVIDENT FUND C/O PO BOX 30</t>
  </si>
  <si>
    <t>ABSA UMBRELLA RETIREMENT FUND: PENSION SECTIO C/O PO BOX 30</t>
  </si>
  <si>
    <t>ABSA UMBRELLA RETIREMENT FUND: PROVIDENT SECT C/O PO BOX 30</t>
  </si>
  <si>
    <t>ACKERMANS PENSION FUND C/O PO BOX 30</t>
  </si>
  <si>
    <t>ACUMEN PENSION FUND: BELLAMBIE MINING INDUSTR C/O PO BOX 30</t>
  </si>
  <si>
    <t>ACUMEN PROVIDENT FUND C/O PO BOX 30</t>
  </si>
  <si>
    <t>ACVV PENSIOENFONDS C/O PO BOX 30</t>
  </si>
  <si>
    <t>AEGIS GROUP PENSION FUND C/O PO BOX 30</t>
  </si>
  <si>
    <t>AFGRI RETIREMENT FUND C/O PO BOX 30</t>
  </si>
  <si>
    <t>AFGRI STAFF PENSION FUND C/O PO BOX 30</t>
  </si>
  <si>
    <t>Ensure that the record entries exist in the environment that you a testing against</t>
  </si>
  <si>
    <t>Validated the file data</t>
  </si>
  <si>
    <t>Upload File to Drop Off Location for Script</t>
  </si>
  <si>
    <t>Confirm Prices Uploaded</t>
  </si>
  <si>
    <t>NB: This can be checked with Olga</t>
  </si>
  <si>
    <t>Schedule Batch Script Run</t>
  </si>
  <si>
    <t>Ensure that the Prices have already been uploaded and</t>
  </si>
  <si>
    <t>Price are available.</t>
  </si>
  <si>
    <t>Transaction in file are applied with available Prices</t>
  </si>
  <si>
    <t>Transaction are applied.</t>
  </si>
  <si>
    <t>Ensure that the JCL is directed to the correct environment</t>
  </si>
  <si>
    <t>Environment - INVEST SEB Test environment</t>
  </si>
  <si>
    <t>Verification -  Transaction for Bulk Investments</t>
  </si>
  <si>
    <t xml:space="preserve">SHR_600 is kicked off : </t>
  </si>
  <si>
    <t>NB: Ensure that you have the pre- totals of the Portfolios that will be affected by the Automated Process</t>
  </si>
  <si>
    <t>Verify that the Investment date for the Trasnsaction date is reflected for the Portfolio.</t>
  </si>
  <si>
    <t>Process Complete</t>
  </si>
  <si>
    <t>Ensure that the Process has completed the Run</t>
  </si>
  <si>
    <t>Clerk: 00 - Clerk must Reflect 00</t>
  </si>
  <si>
    <t>Verify that the files were outputed to the correct Location</t>
  </si>
  <si>
    <t>NB: Check with Hein and verify the path to the output location.</t>
  </si>
  <si>
    <t>Path: &lt;tbd&gt;</t>
  </si>
  <si>
    <t>Check File Output Location</t>
  </si>
  <si>
    <t>http://ftp.coriscapital.com</t>
  </si>
  <si>
    <t>Drop off Location . The file should be dropped off at this location on the Test Serv - path \....\TestFiles\ToSanlam</t>
  </si>
  <si>
    <t>Ensure that the drop off location is empty</t>
  </si>
  <si>
    <t>The drop off location for the datasets should be empty, this should be the only files in the folder. All other files must be deleted</t>
  </si>
  <si>
    <t>For North:</t>
  </si>
  <si>
    <t>For South</t>
  </si>
  <si>
    <t>D:\WS_FTP_files\Jobs_Test\SEB\SebRFANorth_INSToSCI.bat</t>
  </si>
  <si>
    <t>D:\WS_FTP_files\Jobs_Test\SEB\SebRFASouth_INSToSCI.bat</t>
  </si>
  <si>
    <t>These are the location od the scripts to be executed</t>
  </si>
  <si>
    <t>Usually Hein will notify the test team</t>
  </si>
  <si>
    <t>Chat with Olga regarding the output files</t>
  </si>
  <si>
    <t xml:space="preserve">Lookup an External Client where Primary Product Code = TEST ABSA GROUP PENSION FUND  (25) </t>
  </si>
  <si>
    <t xml:space="preserve">Ensure that the Primary Product Name = ABSA (25) </t>
  </si>
  <si>
    <t>Portfolio Selection - Smooth Bonus</t>
  </si>
  <si>
    <t>Leave Default "No"</t>
  </si>
  <si>
    <t xml:space="preserve">Leave Default "Yes" </t>
  </si>
  <si>
    <t>Investment Process screen is loaded / defaults to Personal details Tab  - Click No/Change Proceed</t>
  </si>
  <si>
    <t>Lumpsum</t>
  </si>
  <si>
    <r>
      <rPr>
        <b/>
        <sz val="10"/>
        <color theme="1"/>
        <rFont val="Arial"/>
        <family val="2"/>
      </rPr>
      <t>Personal details</t>
    </r>
    <r>
      <rPr>
        <sz val="10"/>
        <color theme="1"/>
        <rFont val="Arial"/>
        <family val="2"/>
      </rPr>
      <t xml:space="preserve"> Tab  - Click No/Change Proceed</t>
    </r>
  </si>
  <si>
    <t>Moves to Profile Tab</t>
  </si>
  <si>
    <t>Profile Tab</t>
  </si>
  <si>
    <t>Select the Portfolio to Invest in (MBF) submit (moves to Lump Sum tab)</t>
  </si>
  <si>
    <r>
      <t xml:space="preserve">Total Investment Amount  </t>
    </r>
    <r>
      <rPr>
        <sz val="10"/>
        <color theme="1"/>
        <rFont val="Arial"/>
        <family val="2"/>
      </rPr>
      <t xml:space="preserve">eg 15000 </t>
    </r>
    <r>
      <rPr>
        <b/>
        <sz val="10"/>
        <color theme="1"/>
        <rFont val="Arial"/>
        <family val="2"/>
      </rPr>
      <t xml:space="preserve">                                           </t>
    </r>
  </si>
  <si>
    <r>
      <t>Price Date</t>
    </r>
    <r>
      <rPr>
        <sz val="10"/>
        <color theme="1"/>
        <rFont val="Arial"/>
        <family val="2"/>
      </rPr>
      <t xml:space="preserve">  Current System Date (previous day date)</t>
    </r>
  </si>
  <si>
    <t>Use amount for testing purposes ie 15000</t>
  </si>
  <si>
    <r>
      <t>Deposit Number :</t>
    </r>
    <r>
      <rPr>
        <sz val="10"/>
        <color theme="1"/>
        <rFont val="Arial"/>
        <family val="2"/>
      </rPr>
      <t xml:space="preserve"> As per bank per bank statement  - Continue</t>
    </r>
  </si>
  <si>
    <t xml:space="preserve">          :Is one set of agents applicable for entire transaction? Y</t>
  </si>
  <si>
    <t>select "Next" Continue</t>
  </si>
  <si>
    <t>Click the Continue button</t>
  </si>
  <si>
    <t>Charges %: Displays Zero</t>
  </si>
  <si>
    <r>
      <t xml:space="preserve">Verify Transsction History &gt; </t>
    </r>
    <r>
      <rPr>
        <sz val="10"/>
        <color theme="1"/>
        <rFont val="Arial"/>
        <family val="2"/>
      </rPr>
      <t>Click Transaction History Button</t>
    </r>
  </si>
  <si>
    <t>Series: Blank if not authorised yet</t>
  </si>
  <si>
    <t>Price Date: Current System Date as above</t>
  </si>
  <si>
    <t xml:space="preserve">                   Source : 03</t>
  </si>
  <si>
    <t xml:space="preserve">                   Lump Sump Cash : Normal Investment 970</t>
  </si>
  <si>
    <t>Gross Amount ie. Invest amount entered</t>
  </si>
  <si>
    <t>Units : Blank will populate</t>
  </si>
  <si>
    <t>Series no. will be assigned after authorisation</t>
  </si>
  <si>
    <t>will be populated after authorisation</t>
  </si>
  <si>
    <t>Balance "Unknown"</t>
  </si>
  <si>
    <t>Net Amount 15000</t>
  </si>
  <si>
    <t>Navigate - Administrator &gt; Authorize Transactions . Investments</t>
  </si>
  <si>
    <t>Tick Authorise box</t>
  </si>
  <si>
    <t>Navigate - Unit Tranactions &gt; Investments &gt; Apply Unpriced investments</t>
  </si>
  <si>
    <t>Tick Apply box</t>
  </si>
  <si>
    <t>Select Smoot Bonus Portfolio - SB (MBF)</t>
  </si>
  <si>
    <t>Price Date  Current System Date (previous day date)</t>
  </si>
  <si>
    <t xml:space="preserve">Total Investment Amount  eg 100000                                            </t>
  </si>
  <si>
    <t>Use amount for testing purposes ie 100000</t>
  </si>
  <si>
    <t>Nett Amount 100 000</t>
  </si>
  <si>
    <t>Portfolio Selection - Market Value</t>
  </si>
  <si>
    <t>(Type = Market Value) SMM Abs Ret +5%</t>
  </si>
  <si>
    <t>Lump Sum Excluding Coris / SEB RFA Funds</t>
  </si>
  <si>
    <t>Refer to Accounting Allocation Process Generated for Lumpsum Excluding coris Funds</t>
  </si>
  <si>
    <t>Verification -  Accounting</t>
  </si>
  <si>
    <t xml:space="preserve"> Accounting Files - </t>
  </si>
  <si>
    <t>Lump Sum &amp; Recurring Premiums</t>
  </si>
  <si>
    <t>Ensure that the EA 518 is generated</t>
  </si>
  <si>
    <r>
      <t xml:space="preserve"> Accouting Output must be verified : </t>
    </r>
    <r>
      <rPr>
        <b/>
        <sz val="10"/>
        <rFont val="Arial"/>
        <family val="2"/>
      </rPr>
      <t>GN022, JE002, GP005, GP003, GH000, EA518  (Note 1)</t>
    </r>
    <r>
      <rPr>
        <sz val="10"/>
        <rFont val="Arial"/>
        <family val="2"/>
      </rPr>
      <t xml:space="preserve">
</t>
    </r>
  </si>
  <si>
    <t>For Accouting  Requirement 3.3</t>
  </si>
  <si>
    <t xml:space="preserve"> Apply</t>
  </si>
  <si>
    <t>SEB RFA Not necessary to be Authorized</t>
  </si>
  <si>
    <r>
      <t xml:space="preserve"> Accouting Output must be verified : </t>
    </r>
    <r>
      <rPr>
        <b/>
        <sz val="10"/>
        <rFont val="Arial"/>
        <family val="2"/>
      </rPr>
      <t xml:space="preserve"> GN022, JE002, GP005, GP003, GH000
, MF009
</t>
    </r>
  </si>
  <si>
    <t>Recurring Premiums Excluding Coris / SEB RFA Funds</t>
  </si>
  <si>
    <t>For Accouting  Requirement 3.1</t>
  </si>
  <si>
    <t>For Accouting  Requirement 3.2</t>
  </si>
  <si>
    <t>NON RFA CLIENT</t>
  </si>
  <si>
    <r>
      <rPr>
        <b/>
        <sz val="10"/>
        <color theme="1"/>
        <rFont val="Arial"/>
        <family val="2"/>
      </rPr>
      <t>Source</t>
    </r>
    <r>
      <rPr>
        <sz val="10"/>
        <color theme="1"/>
        <rFont val="Arial"/>
        <family val="2"/>
      </rPr>
      <t xml:space="preserve"> : Select </t>
    </r>
    <r>
      <rPr>
        <b/>
        <i/>
        <sz val="10"/>
        <color theme="1"/>
        <rFont val="Arial"/>
        <family val="2"/>
      </rPr>
      <t>Recurring Cash (18)</t>
    </r>
    <r>
      <rPr>
        <sz val="10"/>
        <color theme="1"/>
        <rFont val="Arial"/>
        <family val="2"/>
      </rPr>
      <t xml:space="preserve"> from the list of items</t>
    </r>
  </si>
  <si>
    <t>Recurring Premiums</t>
  </si>
  <si>
    <r>
      <rPr>
        <b/>
        <sz val="10"/>
        <color theme="1"/>
        <rFont val="Arial"/>
        <family val="2"/>
      </rPr>
      <t>Source</t>
    </r>
    <r>
      <rPr>
        <sz val="10"/>
        <color theme="1"/>
        <rFont val="Arial"/>
        <family val="2"/>
      </rPr>
      <t xml:space="preserve"> : Select</t>
    </r>
    <r>
      <rPr>
        <b/>
        <i/>
        <sz val="10"/>
        <color theme="1"/>
        <rFont val="Arial"/>
        <family val="2"/>
      </rPr>
      <t xml:space="preserve"> Lump Sum Cash (03) f</t>
    </r>
    <r>
      <rPr>
        <sz val="10"/>
        <color theme="1"/>
        <rFont val="Arial"/>
        <family val="2"/>
      </rPr>
      <t>rom the list of items</t>
    </r>
  </si>
  <si>
    <r>
      <t xml:space="preserve"> Accouting Output must be verified : </t>
    </r>
    <r>
      <rPr>
        <b/>
        <sz val="10"/>
        <rFont val="Arial"/>
        <family val="2"/>
      </rPr>
      <t xml:space="preserve"> GN022, JE002, GP005, GP003, GH000
, MC113</t>
    </r>
  </si>
  <si>
    <t>Reverse Investment SB and MV</t>
  </si>
  <si>
    <t>Repeat this step for Both Portfolios</t>
  </si>
  <si>
    <t>Portfolio Selection - MV</t>
  </si>
  <si>
    <t>REVERSAL FOR Lump Sum &amp; Recurring Premiums</t>
  </si>
  <si>
    <t>Verification -  Accounting FOR Reversal</t>
  </si>
  <si>
    <t xml:space="preserve">Verification -  Accounting </t>
  </si>
  <si>
    <t>Accounting Files</t>
  </si>
  <si>
    <r>
      <t>Source : Invest</t>
    </r>
    <r>
      <rPr>
        <b/>
        <sz val="10"/>
        <color theme="1"/>
        <rFont val="Arial"/>
        <family val="2"/>
      </rPr>
      <t xml:space="preserve"> SEB RFA (05)</t>
    </r>
    <r>
      <rPr>
        <sz val="10"/>
        <color theme="1"/>
        <rFont val="Arial"/>
        <family val="2"/>
      </rPr>
      <t xml:space="preserve">  from the list of items</t>
    </r>
  </si>
  <si>
    <r>
      <t xml:space="preserve">Deposit Number :  </t>
    </r>
    <r>
      <rPr>
        <b/>
        <sz val="10"/>
        <color theme="1"/>
        <rFont val="Arial"/>
        <family val="2"/>
      </rPr>
      <t xml:space="preserve">Invest SEB RFA (05)  </t>
    </r>
    <r>
      <rPr>
        <sz val="10"/>
        <color theme="1"/>
        <rFont val="Arial"/>
        <family val="2"/>
      </rPr>
      <t>- Continue</t>
    </r>
  </si>
  <si>
    <t>Refer to the Output file generated on the Walker System when Batch is completed</t>
  </si>
  <si>
    <t>Refer to Accounting Allocation Process Generated for Lumpsum &amp; Recurring Premiums</t>
  </si>
  <si>
    <t>Refer to Accounting Allocation Process Generated for Recurring Premiums Excluding coris Funds</t>
  </si>
  <si>
    <t>External - Recurring</t>
  </si>
  <si>
    <t>Alter Investment</t>
  </si>
  <si>
    <t xml:space="preserve">                   Source : 18</t>
  </si>
  <si>
    <t>Tranasction: Reflects the Type of Investment: Recurring Cash</t>
  </si>
  <si>
    <t xml:space="preserve">                  Recurring Cash : Normal Investment 970</t>
  </si>
  <si>
    <t>Net Amount 15001</t>
  </si>
  <si>
    <t>Use amount for testing purposes ie 15001</t>
  </si>
  <si>
    <r>
      <t xml:space="preserve">Total Investment Amount  </t>
    </r>
    <r>
      <rPr>
        <sz val="10"/>
        <color theme="1"/>
        <rFont val="Arial"/>
        <family val="2"/>
      </rPr>
      <t>eg 15001</t>
    </r>
    <r>
      <rPr>
        <b/>
        <sz val="10"/>
        <color theme="1"/>
        <rFont val="Arial"/>
        <family val="2"/>
      </rPr>
      <t xml:space="preserve">                                        </t>
    </r>
  </si>
  <si>
    <t>Market Value Portfolio - MV</t>
  </si>
  <si>
    <t>Select Portfolio and then Radio Button - Select Latest</t>
  </si>
  <si>
    <t>Click Reverse Investment button</t>
  </si>
  <si>
    <r>
      <t>Reverse Certificates:</t>
    </r>
    <r>
      <rPr>
        <sz val="10"/>
        <color theme="1"/>
        <rFont val="Arial"/>
        <family val="2"/>
      </rPr>
      <t xml:space="preserve"> N/A (Blank)</t>
    </r>
  </si>
  <si>
    <r>
      <rPr>
        <b/>
        <sz val="10"/>
        <color theme="1"/>
        <rFont val="Arial"/>
        <family val="2"/>
      </rPr>
      <t>Refund Payment to client</t>
    </r>
    <r>
      <rPr>
        <sz val="10"/>
        <color theme="1"/>
        <rFont val="Arial"/>
        <family val="2"/>
      </rPr>
      <t>: Select No (then submit)</t>
    </r>
  </si>
  <si>
    <r>
      <rPr>
        <b/>
        <sz val="10"/>
        <color theme="1"/>
        <rFont val="Arial"/>
        <family val="2"/>
      </rPr>
      <t>Balance:</t>
    </r>
    <r>
      <rPr>
        <sz val="10"/>
        <color theme="1"/>
        <rFont val="Arial"/>
        <family val="2"/>
      </rPr>
      <t xml:space="preserve"> Should reflect 0.00 or balance prior to investment BECAUSE TXN was reversed</t>
    </r>
  </si>
  <si>
    <t>Reversal Reference</t>
  </si>
  <si>
    <t>Navigation Path -  Unit Transactions &gt; Investment &gt; Normal Investments</t>
  </si>
  <si>
    <t>Submit Selection - Click the Submit button</t>
  </si>
  <si>
    <t>Deposit #: 1001</t>
  </si>
  <si>
    <t>Check Box Selection - SB = Smooth Bonus</t>
  </si>
  <si>
    <t xml:space="preserve">(Type = Smooth Bonus SB) </t>
  </si>
  <si>
    <t>Alter Invesments Transactions screen is loaded</t>
  </si>
  <si>
    <r>
      <rPr>
        <b/>
        <sz val="10"/>
        <color theme="1"/>
        <rFont val="Arial"/>
        <family val="2"/>
      </rPr>
      <t>Tranasction:</t>
    </r>
    <r>
      <rPr>
        <sz val="10"/>
        <color theme="1"/>
        <rFont val="Arial"/>
        <family val="2"/>
      </rPr>
      <t xml:space="preserve"> Reflects the Type of Transaction</t>
    </r>
  </si>
  <si>
    <r>
      <rPr>
        <b/>
        <sz val="10"/>
        <color theme="1"/>
        <rFont val="Arial"/>
        <family val="2"/>
      </rPr>
      <t>Transaction:</t>
    </r>
    <r>
      <rPr>
        <sz val="10"/>
        <color theme="1"/>
        <rFont val="Arial"/>
        <family val="2"/>
      </rPr>
      <t xml:space="preserve"> Reflects the Type of Transaction</t>
    </r>
  </si>
  <si>
    <r>
      <rPr>
        <b/>
        <sz val="10"/>
        <color theme="1"/>
        <rFont val="Arial"/>
        <family val="2"/>
      </rPr>
      <t>Transaction:</t>
    </r>
    <r>
      <rPr>
        <sz val="10"/>
        <color theme="1"/>
        <rFont val="Arial"/>
        <family val="2"/>
      </rPr>
      <t xml:space="preserve"> Reflects the Type of Transaction - Reversal</t>
    </r>
  </si>
  <si>
    <r>
      <rPr>
        <b/>
        <sz val="10"/>
        <color theme="1"/>
        <rFont val="Arial"/>
        <family val="2"/>
      </rPr>
      <t>Gross Amount:</t>
    </r>
    <r>
      <rPr>
        <sz val="10"/>
        <color theme="1"/>
        <rFont val="Arial"/>
        <family val="2"/>
      </rPr>
      <t xml:space="preserve"> Displays the Amount </t>
    </r>
  </si>
  <si>
    <r>
      <rPr>
        <b/>
        <sz val="10"/>
        <color theme="1"/>
        <rFont val="Arial"/>
        <family val="2"/>
      </rPr>
      <t>Gross Amount:</t>
    </r>
    <r>
      <rPr>
        <sz val="10"/>
        <color theme="1"/>
        <rFont val="Arial"/>
        <family val="2"/>
      </rPr>
      <t xml:space="preserve"> Displays the Amount</t>
    </r>
  </si>
  <si>
    <r>
      <rPr>
        <b/>
        <sz val="10"/>
        <color theme="1"/>
        <rFont val="Arial"/>
        <family val="2"/>
      </rPr>
      <t>Units</t>
    </r>
    <r>
      <rPr>
        <sz val="10"/>
        <color theme="1"/>
        <rFont val="Arial"/>
        <family val="2"/>
      </rPr>
      <t xml:space="preserve">: Displays the Amount in Units </t>
    </r>
  </si>
  <si>
    <r>
      <rPr>
        <b/>
        <sz val="10"/>
        <color theme="1"/>
        <rFont val="Arial"/>
        <family val="2"/>
      </rPr>
      <t>Units</t>
    </r>
    <r>
      <rPr>
        <sz val="10"/>
        <color theme="1"/>
        <rFont val="Arial"/>
        <family val="2"/>
      </rPr>
      <t>: Displays the Amount in Units</t>
    </r>
  </si>
  <si>
    <t>Transaction History displayed</t>
  </si>
  <si>
    <t>Transaction History displayed - 2 Entries are displayed for this Transaction</t>
  </si>
  <si>
    <t>Alter Investment - Smooth Bonus Portfolio (SB) TO MV Portfolio</t>
  </si>
  <si>
    <t xml:space="preserve">Transaction History Entry Series 2 &gt; Reversal </t>
  </si>
  <si>
    <t xml:space="preserve">Transaction History Entry  Series1 &gt; </t>
  </si>
  <si>
    <r>
      <t>Invest  :</t>
    </r>
    <r>
      <rPr>
        <b/>
        <sz val="10"/>
        <color theme="1"/>
        <rFont val="Arial"/>
        <family val="2"/>
      </rPr>
      <t xml:space="preserve"> Invest 980</t>
    </r>
  </si>
  <si>
    <r>
      <rPr>
        <b/>
        <sz val="10"/>
        <color theme="1"/>
        <rFont val="Arial"/>
        <family val="2"/>
      </rPr>
      <t>Units</t>
    </r>
    <r>
      <rPr>
        <sz val="10"/>
        <color theme="1"/>
        <rFont val="Arial"/>
        <family val="2"/>
      </rPr>
      <t>: Displays the Units</t>
    </r>
  </si>
  <si>
    <r>
      <rPr>
        <b/>
        <sz val="10"/>
        <color theme="1"/>
        <rFont val="Arial"/>
        <family val="2"/>
      </rPr>
      <t>Balance:</t>
    </r>
    <r>
      <rPr>
        <sz val="10"/>
        <color theme="1"/>
        <rFont val="Arial"/>
        <family val="2"/>
      </rPr>
      <t xml:space="preserve"> Balance including investment</t>
    </r>
  </si>
  <si>
    <t>Automated Intructions</t>
  </si>
  <si>
    <t xml:space="preserve">SCI.INS_N.20140813.txt - Old File Naming Convention (North) </t>
  </si>
  <si>
    <t>SCI.INS_S.20140813.txt - Old File Naming Convention (South)</t>
  </si>
  <si>
    <t>Chat with Hein Groenewald regading the path to his Pick Up location</t>
  </si>
  <si>
    <t>Notfication sent to schedule batch run.</t>
  </si>
  <si>
    <t>TEST SANLAM UMBRELLA PENSION FUND</t>
  </si>
  <si>
    <t>TEST AMALGAMATED PROVIDENT FUND</t>
  </si>
  <si>
    <t>TEST ABSA GROUP PENSION FUND (ACTIVE MEMBERS)</t>
  </si>
  <si>
    <t>TEST ASSMANG SANLAM PROVIDENT FUND</t>
  </si>
  <si>
    <t>Fund as per file above</t>
  </si>
  <si>
    <t>Ensure that you are catering for Investments and DisInvestments</t>
  </si>
  <si>
    <t>Ensure that you have SEB RFA (24) Client and Non SEB RFA Clients</t>
  </si>
  <si>
    <t>Check File Naming Convention and Ensure that the Correct Naming Convention is applied.</t>
  </si>
  <si>
    <t>Bulk Investment - Upload File</t>
  </si>
  <si>
    <t>Smooth Bonus Portfolio</t>
  </si>
  <si>
    <r>
      <rPr>
        <b/>
        <sz val="10"/>
        <color theme="1"/>
        <rFont val="Arial"/>
        <family val="2"/>
      </rPr>
      <t xml:space="preserve">Check Box Selection </t>
    </r>
    <r>
      <rPr>
        <sz val="10"/>
        <color theme="1"/>
        <rFont val="Arial"/>
        <family val="2"/>
      </rPr>
      <t>- MBF</t>
    </r>
  </si>
  <si>
    <r>
      <t>Listed Items: Select</t>
    </r>
    <r>
      <rPr>
        <b/>
        <sz val="10"/>
        <color theme="1"/>
        <rFont val="Arial"/>
        <family val="2"/>
      </rPr>
      <t xml:space="preserve"> Recuring Cashn (18)</t>
    </r>
    <r>
      <rPr>
        <sz val="10"/>
        <color theme="1"/>
        <rFont val="Arial"/>
        <family val="2"/>
      </rPr>
      <t xml:space="preserve">  from the list of items</t>
    </r>
  </si>
  <si>
    <r>
      <t xml:space="preserve">Enter the Deposit Number for </t>
    </r>
    <r>
      <rPr>
        <b/>
        <sz val="10"/>
        <color theme="1"/>
        <rFont val="Arial"/>
        <family val="2"/>
      </rPr>
      <t>- cash (18)</t>
    </r>
  </si>
  <si>
    <r>
      <t>Listed Items: Select</t>
    </r>
    <r>
      <rPr>
        <b/>
        <sz val="10"/>
        <color theme="1"/>
        <rFont val="Arial"/>
        <family val="2"/>
      </rPr>
      <t xml:space="preserve"> SEB RFA (05)</t>
    </r>
    <r>
      <rPr>
        <sz val="10"/>
        <color theme="1"/>
        <rFont val="Arial"/>
        <family val="2"/>
      </rPr>
      <t xml:space="preserve">  from the list of items</t>
    </r>
  </si>
  <si>
    <r>
      <t xml:space="preserve">Enter the Deposit Number for </t>
    </r>
    <r>
      <rPr>
        <b/>
        <sz val="10"/>
        <color theme="1"/>
        <rFont val="Arial"/>
        <family val="2"/>
      </rPr>
      <t>- cash (05)</t>
    </r>
  </si>
  <si>
    <t>Origin Code 5</t>
  </si>
  <si>
    <t>(SCI) Investments and Disinvestment for Non Coris Funds</t>
  </si>
  <si>
    <t>Origin Code 3</t>
  </si>
  <si>
    <r>
      <t>Source : Invest</t>
    </r>
    <r>
      <rPr>
        <b/>
        <sz val="10"/>
        <color theme="1"/>
        <rFont val="Arial"/>
        <family val="2"/>
      </rPr>
      <t xml:space="preserve"> SEB RFA (03)</t>
    </r>
    <r>
      <rPr>
        <sz val="10"/>
        <color theme="1"/>
        <rFont val="Arial"/>
        <family val="2"/>
      </rPr>
      <t xml:space="preserve">  from the list of items</t>
    </r>
  </si>
  <si>
    <r>
      <t>Listed Items: Select</t>
    </r>
    <r>
      <rPr>
        <b/>
        <sz val="10"/>
        <color theme="1"/>
        <rFont val="Arial"/>
        <family val="2"/>
      </rPr>
      <t xml:space="preserve"> SEB RFA (03)</t>
    </r>
    <r>
      <rPr>
        <sz val="10"/>
        <color theme="1"/>
        <rFont val="Arial"/>
        <family val="2"/>
      </rPr>
      <t xml:space="preserve">  from the list of items</t>
    </r>
  </si>
  <si>
    <r>
      <t xml:space="preserve">Enter the Deposit Number for </t>
    </r>
    <r>
      <rPr>
        <b/>
        <sz val="10"/>
        <color theme="1"/>
        <rFont val="Arial"/>
        <family val="2"/>
      </rPr>
      <t>- cash (03)</t>
    </r>
  </si>
  <si>
    <t xml:space="preserve">Lookup an Internal Client where Primary Product Code = ABSA (25) </t>
  </si>
  <si>
    <t>Ensure that the Primary Product Name = ABSA (25)</t>
  </si>
  <si>
    <t>Origin Code 18</t>
  </si>
  <si>
    <t xml:space="preserve">Transaction History checked </t>
  </si>
  <si>
    <t>Authorize and Apply completed</t>
  </si>
  <si>
    <t>Verification -  Transaction History</t>
  </si>
  <si>
    <r>
      <t>Invest  :</t>
    </r>
    <r>
      <rPr>
        <b/>
        <sz val="10"/>
        <color theme="1"/>
        <rFont val="Arial"/>
        <family val="2"/>
      </rPr>
      <t xml:space="preserve"> Invest Rev 970</t>
    </r>
  </si>
  <si>
    <r>
      <t xml:space="preserve">                             </t>
    </r>
    <r>
      <rPr>
        <b/>
        <sz val="10"/>
        <color theme="1"/>
        <rFont val="Arial"/>
        <family val="2"/>
      </rPr>
      <t>Source : 18</t>
    </r>
  </si>
  <si>
    <t>Source Code 03</t>
  </si>
  <si>
    <t>Source Code 18</t>
  </si>
  <si>
    <t>Got to Step 2.0078 Authorize and Apply</t>
  </si>
  <si>
    <t>Got to Step 2.0049 Verification of Transaction History</t>
  </si>
  <si>
    <t>These steps are repeated for the other Portfolio</t>
  </si>
  <si>
    <t>(SCI) Investments and Disinvestment for  Coris Funds</t>
  </si>
  <si>
    <t>Lookup an Internal Client where Primary Product Code = SEB RFA (24)</t>
  </si>
  <si>
    <t>Refer TO Accounting Posts to Walker - SCI &gt; Allocation Process Investments and Disinvestments for Coris Funds</t>
  </si>
  <si>
    <t>For Accouting  Requiremen 3.1</t>
  </si>
  <si>
    <t>For Accouting  Requirement 4.1</t>
  </si>
  <si>
    <r>
      <t xml:space="preserve"> Accouting Output must be verified : </t>
    </r>
    <r>
      <rPr>
        <b/>
        <sz val="10"/>
        <rFont val="Arial"/>
        <family val="2"/>
      </rPr>
      <t>Dr GN022 with correct deposit number (GN022)  , JE002 (JE002), GP005, GP003, GH000, MC113</t>
    </r>
    <r>
      <rPr>
        <sz val="10"/>
        <rFont val="Arial"/>
        <family val="2"/>
      </rPr>
      <t xml:space="preserve">
</t>
    </r>
  </si>
  <si>
    <t>Ensure that the MC113 is generated</t>
  </si>
  <si>
    <t xml:space="preserve">Total Investment Amount  eg 100000    (to be captured)                                        </t>
  </si>
  <si>
    <t xml:space="preserve">this is an example of the layout of the file, you need to get a proper flle from RFA to do the testing </t>
  </si>
  <si>
    <t xml:space="preserve">NB.  North file must be submitted before the south file </t>
  </si>
  <si>
    <t>Pamela Banyatsang SEB will submit the file to the test site</t>
  </si>
  <si>
    <t xml:space="preserve">Hein will execute the test job </t>
  </si>
  <si>
    <t xml:space="preserve">don’t know where is the DB </t>
  </si>
  <si>
    <t>Pre req - load client first before testing</t>
  </si>
  <si>
    <t xml:space="preserve">load client first </t>
  </si>
  <si>
    <t>Notes/Added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</si>
</sst>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26" x14ac:knownFonts="1">
    <font>
      <sz val="11"/>
      <color theme="1"/>
      <name val="Calibri"/>
      <family val="2"/>
      <scheme val="minor"/>
    </font>
    <font>
      <sz val="10"/>
      <color theme="1"/>
      <name val="Arial"/>
      <family val="2"/>
    </font>
    <font>
      <b/>
      <sz val="11"/>
      <color theme="1"/>
      <name val="Arial"/>
      <family val="2"/>
    </font>
    <font>
      <b/>
      <sz val="11"/>
      <color theme="1"/>
      <name val="Calibri"/>
      <family val="2"/>
      <scheme val="minor"/>
    </font>
    <font>
      <b/>
      <sz val="11"/>
      <color theme="0"/>
      <name val="Calibri"/>
      <family val="2"/>
      <scheme val="minor"/>
    </font>
    <font>
      <b/>
      <sz val="10"/>
      <color theme="0"/>
      <name val="Arial"/>
      <family val="2"/>
    </font>
    <font>
      <b/>
      <sz val="10"/>
      <color theme="1"/>
      <name val="Arial"/>
      <family val="2"/>
    </font>
    <font>
      <b/>
      <sz val="10"/>
      <color theme="1"/>
      <name val="Calibri"/>
      <family val="2"/>
      <scheme val="minor"/>
    </font>
    <font>
      <sz val="10"/>
      <color theme="1"/>
      <name val="Calibri"/>
      <family val="2"/>
      <scheme val="minor"/>
    </font>
    <font>
      <sz val="7"/>
      <color theme="1"/>
      <name val="Calibri"/>
      <family val="2"/>
      <scheme val="minor"/>
    </font>
    <font>
      <b/>
      <sz val="10"/>
      <color rgb="FFFF0000"/>
      <name val="Calibri"/>
      <family val="2"/>
      <scheme val="minor"/>
    </font>
    <font>
      <u/>
      <sz val="10"/>
      <color theme="1"/>
      <name val="Calibri"/>
      <family val="2"/>
      <scheme val="minor"/>
    </font>
    <font>
      <sz val="10"/>
      <color rgb="FF000000"/>
      <name val="Calibri"/>
      <family val="2"/>
      <scheme val="minor"/>
    </font>
    <font>
      <vertAlign val="superscript"/>
      <sz val="10"/>
      <color theme="1"/>
      <name val="Calibri"/>
      <family val="2"/>
      <scheme val="minor"/>
    </font>
    <font>
      <sz val="10"/>
      <color rgb="FFFF0000"/>
      <name val="Calibri"/>
      <family val="2"/>
      <scheme val="minor"/>
    </font>
    <font>
      <i/>
      <sz val="10"/>
      <color theme="1"/>
      <name val="Arial"/>
      <family val="2"/>
    </font>
    <font>
      <u/>
      <sz val="11"/>
      <color theme="10"/>
      <name val="Calibri"/>
      <family val="2"/>
      <scheme val="minor"/>
    </font>
    <font>
      <b/>
      <sz val="10"/>
      <color rgb="FFFF0000"/>
      <name val="Arial"/>
      <family val="2"/>
    </font>
    <font>
      <sz val="11"/>
      <color rgb="FF000000"/>
      <name val="Calibri"/>
      <family val="2"/>
    </font>
    <font>
      <b/>
      <sz val="10"/>
      <name val="Arial"/>
      <family val="2"/>
    </font>
    <font>
      <b/>
      <sz val="11"/>
      <name val="Calibri"/>
      <family val="2"/>
      <scheme val="minor"/>
    </font>
    <font>
      <sz val="10"/>
      <name val="Arial"/>
      <family val="2"/>
    </font>
    <font>
      <b/>
      <i/>
      <sz val="10"/>
      <color theme="1"/>
      <name val="Arial"/>
      <family val="2"/>
    </font>
    <font>
      <sz val="11"/>
      <color rgb="FFFF0000"/>
      <name val="Calibri"/>
      <family val="2"/>
      <scheme val="minor"/>
    </font>
    <font>
      <b/>
      <sz val="11"/>
      <color rgb="FFFF0000"/>
      <name val="Arial"/>
      <family val="2"/>
    </font>
    <font>
      <sz val="10"/>
      <color rgb="FFFF0000"/>
      <name val="Arial"/>
      <family val="2"/>
    </font>
  </fonts>
  <fills count="9">
    <fill>
      <patternFill patternType="none"/>
    </fill>
    <fill>
      <patternFill patternType="gray125"/>
    </fill>
    <fill>
      <patternFill patternType="solid">
        <fgColor rgb="FFE0E0E0"/>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rgb="FF92D050"/>
        <bgColor indexed="64"/>
      </patternFill>
    </fill>
    <fill>
      <patternFill patternType="solid">
        <fgColor theme="3" tint="0.39997558519241921"/>
        <bgColor indexed="64"/>
      </patternFill>
    </fill>
  </fills>
  <borders count="24">
    <border>
      <left/>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diagonal/>
    </border>
    <border>
      <left/>
      <right/>
      <top/>
      <bottom style="double">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6" fillId="0" borderId="0" applyNumberFormat="0" applyFill="0" applyBorder="0" applyAlignment="0" applyProtection="0"/>
  </cellStyleXfs>
  <cellXfs count="183">
    <xf numFmtId="0" fontId="0" fillId="0" borderId="0" xfId="0"/>
    <xf numFmtId="0" fontId="0" fillId="0" borderId="0" xfId="0" applyAlignment="1">
      <alignment wrapText="1"/>
    </xf>
    <xf numFmtId="0" fontId="3" fillId="0" borderId="1" xfId="0" applyFont="1" applyBorder="1" applyAlignment="1">
      <alignment wrapText="1"/>
    </xf>
    <xf numFmtId="0" fontId="0" fillId="3" borderId="0" xfId="0" applyFill="1"/>
    <xf numFmtId="164" fontId="0" fillId="0" borderId="0" xfId="0" applyNumberFormat="1" applyAlignment="1">
      <alignment wrapText="1"/>
    </xf>
    <xf numFmtId="164" fontId="1" fillId="3" borderId="2" xfId="0" applyNumberFormat="1" applyFont="1" applyFill="1" applyBorder="1" applyAlignment="1">
      <alignment vertical="center" wrapText="1"/>
    </xf>
    <xf numFmtId="0" fontId="1" fillId="3" borderId="2" xfId="0" applyFont="1" applyFill="1" applyBorder="1" applyAlignment="1">
      <alignment vertical="center" wrapText="1"/>
    </xf>
    <xf numFmtId="0" fontId="1" fillId="0" borderId="2" xfId="0" applyFont="1" applyBorder="1" applyAlignment="1">
      <alignment vertical="center" wrapText="1"/>
    </xf>
    <xf numFmtId="0" fontId="0" fillId="0" borderId="2" xfId="0" applyBorder="1" applyAlignment="1">
      <alignment wrapText="1"/>
    </xf>
    <xf numFmtId="0" fontId="1" fillId="3" borderId="2" xfId="0" applyFont="1" applyFill="1" applyBorder="1" applyAlignment="1">
      <alignment horizontal="left" vertical="center" wrapText="1"/>
    </xf>
    <xf numFmtId="164" fontId="2" fillId="2" borderId="2" xfId="0" applyNumberFormat="1" applyFont="1" applyFill="1" applyBorder="1" applyAlignment="1">
      <alignment wrapText="1"/>
    </xf>
    <xf numFmtId="0" fontId="2" fillId="2" borderId="2" xfId="0" applyFont="1" applyFill="1" applyBorder="1" applyAlignment="1">
      <alignment wrapText="1"/>
    </xf>
    <xf numFmtId="0" fontId="2" fillId="2" borderId="2" xfId="0" applyFont="1" applyFill="1" applyBorder="1" applyAlignment="1">
      <alignment horizontal="center" wrapText="1"/>
    </xf>
    <xf numFmtId="0" fontId="2"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164" fontId="5" fillId="5" borderId="2" xfId="0" applyNumberFormat="1" applyFont="1" applyFill="1" applyBorder="1" applyAlignment="1">
      <alignment vertical="center" wrapText="1"/>
    </xf>
    <xf numFmtId="0" fontId="5" fillId="5" borderId="2" xfId="0" applyFont="1" applyFill="1" applyBorder="1" applyAlignment="1">
      <alignment vertical="center" wrapText="1"/>
    </xf>
    <xf numFmtId="0" fontId="5" fillId="5" borderId="2" xfId="0" applyFont="1" applyFill="1" applyBorder="1" applyAlignment="1">
      <alignment horizontal="left" vertical="center" wrapText="1"/>
    </xf>
    <xf numFmtId="0" fontId="4" fillId="5" borderId="2" xfId="0" applyFont="1" applyFill="1" applyBorder="1" applyAlignment="1">
      <alignment wrapText="1"/>
    </xf>
    <xf numFmtId="0" fontId="3" fillId="0" borderId="0" xfId="0" applyFont="1" applyAlignment="1">
      <alignment wrapText="1"/>
    </xf>
    <xf numFmtId="0" fontId="1" fillId="0" borderId="2" xfId="0" quotePrefix="1" applyFont="1" applyBorder="1" applyAlignment="1">
      <alignment vertical="center" wrapText="1"/>
    </xf>
    <xf numFmtId="164" fontId="1" fillId="3" borderId="3" xfId="0" applyNumberFormat="1" applyFont="1" applyFill="1" applyBorder="1" applyAlignment="1">
      <alignment vertical="center" wrapText="1"/>
    </xf>
    <xf numFmtId="0" fontId="1" fillId="3" borderId="4" xfId="0" applyFont="1" applyFill="1" applyBorder="1" applyAlignment="1">
      <alignment horizontal="left" vertical="center" wrapText="1"/>
    </xf>
    <xf numFmtId="0" fontId="1" fillId="3" borderId="4" xfId="0" applyFont="1" applyFill="1" applyBorder="1" applyAlignment="1">
      <alignment vertical="center" wrapText="1"/>
    </xf>
    <xf numFmtId="0" fontId="1" fillId="0" borderId="6" xfId="0" applyFont="1" applyBorder="1" applyAlignment="1">
      <alignment vertical="center" wrapText="1"/>
    </xf>
    <xf numFmtId="0" fontId="1" fillId="3" borderId="5" xfId="0" applyFont="1" applyFill="1" applyBorder="1" applyAlignment="1">
      <alignment vertical="center" wrapText="1"/>
    </xf>
    <xf numFmtId="0" fontId="1" fillId="3" borderId="7" xfId="0" applyFont="1" applyFill="1" applyBorder="1" applyAlignment="1">
      <alignment vertical="center" wrapText="1"/>
    </xf>
    <xf numFmtId="0" fontId="1" fillId="0" borderId="7" xfId="0" applyFont="1" applyBorder="1" applyAlignment="1">
      <alignment vertical="center" wrapText="1"/>
    </xf>
    <xf numFmtId="0" fontId="1" fillId="3" borderId="6" xfId="0" applyFont="1" applyFill="1" applyBorder="1" applyAlignment="1">
      <alignment vertical="center" wrapText="1"/>
    </xf>
    <xf numFmtId="0" fontId="1" fillId="0" borderId="5" xfId="0" applyFont="1" applyBorder="1" applyAlignment="1">
      <alignment vertical="center" wrapText="1"/>
    </xf>
    <xf numFmtId="0" fontId="1" fillId="3" borderId="7" xfId="0" applyFont="1" applyFill="1" applyBorder="1" applyAlignment="1">
      <alignment horizontal="left" vertical="center" wrapText="1" indent="1"/>
    </xf>
    <xf numFmtId="0" fontId="1" fillId="3" borderId="6" xfId="0" applyFont="1" applyFill="1" applyBorder="1" applyAlignment="1">
      <alignment horizontal="left" vertical="center" wrapText="1" indent="1"/>
    </xf>
    <xf numFmtId="0" fontId="6" fillId="3" borderId="7" xfId="0" applyFont="1" applyFill="1" applyBorder="1" applyAlignment="1">
      <alignment horizontal="center" vertical="center" wrapText="1"/>
    </xf>
    <xf numFmtId="0" fontId="1" fillId="3" borderId="9" xfId="0" applyFont="1" applyFill="1" applyBorder="1" applyAlignment="1">
      <alignment vertical="center" wrapText="1"/>
    </xf>
    <xf numFmtId="0" fontId="1" fillId="3" borderId="10" xfId="0" applyFont="1" applyFill="1" applyBorder="1" applyAlignment="1">
      <alignment vertical="center" wrapText="1"/>
    </xf>
    <xf numFmtId="0" fontId="1" fillId="3" borderId="11" xfId="0" applyFont="1" applyFill="1" applyBorder="1" applyAlignment="1">
      <alignment vertical="center" wrapText="1"/>
    </xf>
    <xf numFmtId="0" fontId="1" fillId="3" borderId="10" xfId="0" applyFont="1" applyFill="1" applyBorder="1" applyAlignment="1">
      <alignment horizontal="left" vertical="center" wrapText="1" indent="1"/>
    </xf>
    <xf numFmtId="0" fontId="1" fillId="3" borderId="5" xfId="0" applyFont="1" applyFill="1" applyBorder="1" applyAlignment="1">
      <alignment horizontal="left" vertical="center" wrapText="1" indent="1"/>
    </xf>
    <xf numFmtId="164" fontId="1" fillId="3" borderId="8" xfId="0" applyNumberFormat="1" applyFont="1" applyFill="1" applyBorder="1" applyAlignment="1">
      <alignment vertical="center" wrapText="1"/>
    </xf>
    <xf numFmtId="164" fontId="5" fillId="5" borderId="6" xfId="0" applyNumberFormat="1" applyFont="1" applyFill="1" applyBorder="1" applyAlignment="1">
      <alignment vertical="center" wrapText="1"/>
    </xf>
    <xf numFmtId="0" fontId="5" fillId="5" borderId="6" xfId="0" applyFont="1" applyFill="1" applyBorder="1" applyAlignment="1">
      <alignment horizontal="left" vertical="center" wrapText="1"/>
    </xf>
    <xf numFmtId="0" fontId="5" fillId="5" borderId="6" xfId="0" applyFont="1" applyFill="1" applyBorder="1" applyAlignment="1">
      <alignment vertical="center" wrapText="1"/>
    </xf>
    <xf numFmtId="0" fontId="4" fillId="5" borderId="6" xfId="0" applyFont="1" applyFill="1" applyBorder="1" applyAlignment="1">
      <alignment wrapText="1"/>
    </xf>
    <xf numFmtId="0" fontId="0" fillId="3" borderId="10" xfId="0" applyFill="1" applyBorder="1" applyAlignment="1">
      <alignment wrapText="1"/>
    </xf>
    <xf numFmtId="164" fontId="1" fillId="3" borderId="5" xfId="0" applyNumberFormat="1" applyFont="1" applyFill="1" applyBorder="1" applyAlignment="1">
      <alignment vertical="center" wrapText="1"/>
    </xf>
    <xf numFmtId="0" fontId="7" fillId="6" borderId="12" xfId="0" applyFont="1" applyFill="1" applyBorder="1" applyAlignment="1">
      <alignment vertical="center"/>
    </xf>
    <xf numFmtId="0" fontId="7" fillId="6" borderId="13" xfId="0" applyFont="1" applyFill="1" applyBorder="1" applyAlignment="1">
      <alignment vertical="center"/>
    </xf>
    <xf numFmtId="0" fontId="7" fillId="6" borderId="14" xfId="0" applyFont="1" applyFill="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8" fillId="0" borderId="17" xfId="0" applyFont="1" applyBorder="1" applyAlignment="1">
      <alignment vertical="center"/>
    </xf>
    <xf numFmtId="0" fontId="8" fillId="0" borderId="18" xfId="0" applyFont="1" applyBorder="1" applyAlignment="1">
      <alignment vertical="center"/>
    </xf>
    <xf numFmtId="0" fontId="7" fillId="0" borderId="16" xfId="0" applyFont="1" applyBorder="1" applyAlignment="1">
      <alignment vertical="center"/>
    </xf>
    <xf numFmtId="0" fontId="8" fillId="0" borderId="19" xfId="0" applyFont="1" applyBorder="1" applyAlignment="1">
      <alignment vertical="center"/>
    </xf>
    <xf numFmtId="0" fontId="8" fillId="0" borderId="16" xfId="0" applyFont="1" applyBorder="1" applyAlignment="1">
      <alignment horizontal="left" vertical="center"/>
    </xf>
    <xf numFmtId="0" fontId="8" fillId="0" borderId="18" xfId="0" applyFont="1" applyBorder="1" applyAlignment="1">
      <alignment horizontal="left" vertical="center"/>
    </xf>
    <xf numFmtId="0" fontId="8" fillId="0" borderId="17" xfId="0" applyFont="1" applyBorder="1" applyAlignment="1">
      <alignment horizontal="left" vertical="center"/>
    </xf>
    <xf numFmtId="0" fontId="10" fillId="0" borderId="16" xfId="0" applyFont="1" applyBorder="1" applyAlignment="1">
      <alignment vertical="center"/>
    </xf>
    <xf numFmtId="0" fontId="0" fillId="0" borderId="18" xfId="0" applyFont="1" applyBorder="1" applyAlignment="1">
      <alignment vertical="top"/>
    </xf>
    <xf numFmtId="0" fontId="7" fillId="0" borderId="18" xfId="0" applyFont="1" applyBorder="1" applyAlignment="1">
      <alignment vertical="center"/>
    </xf>
    <xf numFmtId="0" fontId="11" fillId="0" borderId="16" xfId="0" applyFont="1" applyBorder="1" applyAlignment="1">
      <alignment vertical="center"/>
    </xf>
    <xf numFmtId="0" fontId="0" fillId="0" borderId="16" xfId="0" applyFont="1" applyBorder="1" applyAlignment="1">
      <alignment vertical="top"/>
    </xf>
    <xf numFmtId="0" fontId="12" fillId="0" borderId="18" xfId="0" applyFont="1" applyBorder="1" applyAlignment="1">
      <alignment vertical="center"/>
    </xf>
    <xf numFmtId="0" fontId="12" fillId="0" borderId="15" xfId="0" applyFont="1" applyBorder="1" applyAlignment="1">
      <alignment vertical="center"/>
    </xf>
    <xf numFmtId="0" fontId="12" fillId="0" borderId="17" xfId="0" applyFont="1" applyBorder="1" applyAlignment="1">
      <alignment vertical="center"/>
    </xf>
    <xf numFmtId="0" fontId="10" fillId="0" borderId="18" xfId="0" applyFont="1" applyBorder="1" applyAlignment="1">
      <alignment vertical="center"/>
    </xf>
    <xf numFmtId="0" fontId="14" fillId="0" borderId="18" xfId="0" applyFont="1" applyBorder="1" applyAlignment="1">
      <alignment vertical="center"/>
    </xf>
    <xf numFmtId="0" fontId="2" fillId="2" borderId="3" xfId="0" applyFont="1" applyFill="1" applyBorder="1" applyAlignment="1">
      <alignment wrapText="1"/>
    </xf>
    <xf numFmtId="0" fontId="2" fillId="2" borderId="4" xfId="0" applyFont="1" applyFill="1" applyBorder="1" applyAlignment="1">
      <alignment horizontal="center" wrapText="1"/>
    </xf>
    <xf numFmtId="0" fontId="15" fillId="3" borderId="7" xfId="0" applyFont="1" applyFill="1" applyBorder="1" applyAlignment="1">
      <alignment vertical="center" wrapText="1"/>
    </xf>
    <xf numFmtId="0" fontId="15" fillId="0" borderId="2" xfId="0" applyFont="1" applyBorder="1" applyAlignment="1">
      <alignment vertical="center" wrapText="1"/>
    </xf>
    <xf numFmtId="0" fontId="6" fillId="3" borderId="2" xfId="0" applyFont="1" applyFill="1" applyBorder="1" applyAlignment="1">
      <alignment vertical="center" wrapText="1"/>
    </xf>
    <xf numFmtId="0" fontId="1" fillId="3" borderId="2" xfId="0" applyFont="1" applyFill="1" applyBorder="1" applyAlignment="1">
      <alignment vertical="center" wrapText="1"/>
    </xf>
    <xf numFmtId="0" fontId="1" fillId="3" borderId="2" xfId="0" applyFont="1" applyFill="1" applyBorder="1" applyAlignment="1">
      <alignment horizontal="left" vertical="center" wrapText="1"/>
    </xf>
    <xf numFmtId="0" fontId="6" fillId="3" borderId="2" xfId="0" applyFont="1" applyFill="1" applyBorder="1" applyAlignment="1">
      <alignment vertical="center" wrapText="1"/>
    </xf>
    <xf numFmtId="0" fontId="1" fillId="3" borderId="2" xfId="0" applyFont="1" applyFill="1" applyBorder="1" applyAlignment="1">
      <alignment vertical="center" wrapText="1"/>
    </xf>
    <xf numFmtId="0" fontId="1" fillId="0" borderId="2" xfId="0" applyFont="1" applyBorder="1" applyAlignment="1">
      <alignment vertical="center" wrapText="1"/>
    </xf>
    <xf numFmtId="0" fontId="1" fillId="3" borderId="2" xfId="0" applyFont="1" applyFill="1" applyBorder="1" applyAlignment="1">
      <alignment horizontal="left" vertical="center" wrapText="1"/>
    </xf>
    <xf numFmtId="0" fontId="5" fillId="5" borderId="2" xfId="0" applyFont="1" applyFill="1" applyBorder="1" applyAlignment="1">
      <alignment vertical="center" wrapText="1"/>
    </xf>
    <xf numFmtId="0" fontId="5" fillId="5" borderId="2" xfId="0" applyFont="1" applyFill="1" applyBorder="1" applyAlignment="1">
      <alignment horizontal="left" vertical="center" wrapText="1"/>
    </xf>
    <xf numFmtId="0" fontId="1" fillId="3" borderId="2" xfId="0" applyFont="1" applyFill="1" applyBorder="1" applyAlignment="1">
      <alignment vertical="top" wrapText="1"/>
    </xf>
    <xf numFmtId="0" fontId="6" fillId="3" borderId="2" xfId="0" applyFont="1" applyFill="1" applyBorder="1" applyAlignment="1">
      <alignment vertical="center" wrapText="1"/>
    </xf>
    <xf numFmtId="0" fontId="6" fillId="0" borderId="2" xfId="0" applyFont="1" applyBorder="1" applyAlignment="1">
      <alignment vertical="center" wrapText="1"/>
    </xf>
    <xf numFmtId="164" fontId="1" fillId="3" borderId="0" xfId="0" applyNumberFormat="1" applyFont="1" applyFill="1" applyBorder="1" applyAlignment="1">
      <alignment vertical="center" wrapText="1"/>
    </xf>
    <xf numFmtId="0" fontId="1" fillId="0" borderId="0" xfId="0" applyFont="1" applyBorder="1" applyAlignment="1">
      <alignment vertical="center" wrapText="1"/>
    </xf>
    <xf numFmtId="0" fontId="1" fillId="3" borderId="0" xfId="0" applyFont="1" applyFill="1" applyBorder="1" applyAlignment="1">
      <alignment vertical="center" wrapText="1"/>
    </xf>
    <xf numFmtId="0" fontId="0" fillId="0" borderId="0" xfId="0" applyBorder="1" applyAlignment="1">
      <alignment wrapText="1"/>
    </xf>
    <xf numFmtId="0" fontId="0" fillId="0" borderId="20" xfId="0" applyBorder="1" applyAlignment="1">
      <alignment wrapText="1"/>
    </xf>
    <xf numFmtId="0" fontId="6" fillId="3" borderId="2" xfId="0" applyFont="1" applyFill="1" applyBorder="1" applyAlignment="1">
      <alignment horizontal="left" vertical="center" wrapText="1"/>
    </xf>
    <xf numFmtId="49" fontId="0" fillId="0" borderId="0" xfId="0" applyNumberFormat="1"/>
    <xf numFmtId="0" fontId="15" fillId="3" borderId="2" xfId="0" applyFont="1" applyFill="1" applyBorder="1" applyAlignment="1">
      <alignment horizontal="left" vertical="center" wrapText="1"/>
    </xf>
    <xf numFmtId="0" fontId="3" fillId="0" borderId="0" xfId="0" applyFont="1"/>
    <xf numFmtId="0" fontId="15" fillId="3" borderId="2" xfId="0" applyFont="1" applyFill="1" applyBorder="1" applyAlignment="1">
      <alignment vertical="center" wrapText="1"/>
    </xf>
    <xf numFmtId="0" fontId="16" fillId="3" borderId="2" xfId="1" applyFill="1" applyBorder="1" applyAlignment="1">
      <alignment vertical="center" wrapText="1"/>
    </xf>
    <xf numFmtId="0" fontId="16" fillId="0" borderId="2" xfId="1" applyBorder="1" applyAlignment="1">
      <alignment vertical="center" wrapText="1"/>
    </xf>
    <xf numFmtId="0" fontId="17" fillId="3" borderId="2" xfId="0" applyFont="1" applyFill="1" applyBorder="1" applyAlignment="1">
      <alignment vertical="center" wrapText="1"/>
    </xf>
    <xf numFmtId="164" fontId="0" fillId="0" borderId="0" xfId="0" applyNumberFormat="1" applyBorder="1" applyAlignment="1">
      <alignment wrapText="1"/>
    </xf>
    <xf numFmtId="0" fontId="6" fillId="3" borderId="0" xfId="0" applyFont="1" applyFill="1" applyBorder="1" applyAlignment="1">
      <alignment vertical="center" wrapText="1"/>
    </xf>
    <xf numFmtId="164" fontId="2" fillId="3" borderId="2" xfId="0" applyNumberFormat="1" applyFont="1" applyFill="1" applyBorder="1" applyAlignment="1">
      <alignment wrapText="1"/>
    </xf>
    <xf numFmtId="0" fontId="2" fillId="3" borderId="2" xfId="0" applyFont="1" applyFill="1" applyBorder="1" applyAlignment="1">
      <alignment wrapText="1"/>
    </xf>
    <xf numFmtId="0" fontId="2" fillId="3" borderId="2" xfId="0" applyFont="1" applyFill="1" applyBorder="1" applyAlignment="1">
      <alignment horizontal="center" wrapText="1"/>
    </xf>
    <xf numFmtId="0" fontId="0" fillId="3" borderId="0" xfId="0" applyFill="1" applyAlignment="1">
      <alignment wrapText="1"/>
    </xf>
    <xf numFmtId="0" fontId="2" fillId="0" borderId="2" xfId="0" applyFont="1" applyFill="1" applyBorder="1" applyAlignment="1">
      <alignment wrapText="1"/>
    </xf>
    <xf numFmtId="0" fontId="2" fillId="0" borderId="2" xfId="0" applyFont="1" applyFill="1" applyBorder="1" applyAlignment="1">
      <alignment horizontal="center" wrapText="1"/>
    </xf>
    <xf numFmtId="0" fontId="0" fillId="0" borderId="0" xfId="0" applyFill="1" applyAlignment="1">
      <alignment wrapText="1"/>
    </xf>
    <xf numFmtId="0" fontId="5" fillId="0" borderId="2" xfId="0" applyFont="1" applyFill="1" applyBorder="1" applyAlignment="1">
      <alignment vertical="center" wrapText="1"/>
    </xf>
    <xf numFmtId="0" fontId="4" fillId="0" borderId="2" xfId="0" applyFont="1" applyFill="1" applyBorder="1" applyAlignment="1">
      <alignment wrapText="1"/>
    </xf>
    <xf numFmtId="0" fontId="3" fillId="0" borderId="0" xfId="0" applyFont="1" applyFill="1" applyAlignment="1">
      <alignment wrapText="1"/>
    </xf>
    <xf numFmtId="164" fontId="2" fillId="7" borderId="2" xfId="0" applyNumberFormat="1" applyFont="1" applyFill="1" applyBorder="1" applyAlignment="1">
      <alignment wrapText="1"/>
    </xf>
    <xf numFmtId="0" fontId="19" fillId="0" borderId="2" xfId="0" applyFont="1" applyFill="1" applyBorder="1" applyAlignment="1">
      <alignment vertical="center" wrapText="1"/>
    </xf>
    <xf numFmtId="0" fontId="20" fillId="0" borderId="2" xfId="0" applyFont="1" applyFill="1" applyBorder="1" applyAlignment="1">
      <alignment wrapText="1"/>
    </xf>
    <xf numFmtId="0" fontId="20" fillId="0" borderId="0" xfId="0" applyFont="1" applyFill="1" applyAlignment="1">
      <alignment wrapText="1"/>
    </xf>
    <xf numFmtId="0" fontId="21" fillId="0" borderId="2" xfId="0" applyFont="1" applyFill="1" applyBorder="1" applyAlignment="1">
      <alignment vertical="center" wrapText="1"/>
    </xf>
    <xf numFmtId="0" fontId="21" fillId="0" borderId="2" xfId="0" applyFont="1" applyFill="1" applyBorder="1" applyAlignment="1">
      <alignment horizontal="left" vertical="center" wrapText="1"/>
    </xf>
    <xf numFmtId="164" fontId="5" fillId="5" borderId="5" xfId="0" applyNumberFormat="1" applyFont="1" applyFill="1" applyBorder="1" applyAlignment="1">
      <alignment vertical="center" wrapText="1"/>
    </xf>
    <xf numFmtId="0" fontId="5" fillId="5" borderId="5" xfId="0" applyFont="1" applyFill="1" applyBorder="1" applyAlignment="1">
      <alignment vertical="center" wrapText="1"/>
    </xf>
    <xf numFmtId="0" fontId="5" fillId="5" borderId="5" xfId="0" applyFont="1" applyFill="1" applyBorder="1" applyAlignment="1">
      <alignment horizontal="left" vertical="center" wrapText="1"/>
    </xf>
    <xf numFmtId="0" fontId="2" fillId="7" borderId="2" xfId="0" applyFont="1" applyFill="1" applyBorder="1" applyAlignment="1">
      <alignment horizontal="center" wrapText="1"/>
    </xf>
    <xf numFmtId="164" fontId="1" fillId="0" borderId="2" xfId="0" applyNumberFormat="1" applyFont="1" applyFill="1" applyBorder="1" applyAlignment="1">
      <alignment vertical="center" wrapText="1"/>
    </xf>
    <xf numFmtId="0" fontId="0" fillId="0" borderId="2" xfId="0" applyFill="1" applyBorder="1" applyAlignment="1">
      <alignment wrapText="1"/>
    </xf>
    <xf numFmtId="0" fontId="1" fillId="0" borderId="2" xfId="0" applyFont="1" applyFill="1" applyBorder="1" applyAlignment="1">
      <alignment vertical="center" wrapText="1"/>
    </xf>
    <xf numFmtId="0" fontId="0" fillId="0" borderId="5" xfId="0" applyBorder="1" applyAlignment="1">
      <alignment wrapText="1"/>
    </xf>
    <xf numFmtId="0" fontId="3" fillId="0" borderId="21" xfId="0" applyFont="1" applyBorder="1" applyAlignment="1">
      <alignment wrapText="1"/>
    </xf>
    <xf numFmtId="0" fontId="24" fillId="3" borderId="2" xfId="0" applyFont="1" applyFill="1" applyBorder="1" applyAlignment="1">
      <alignment horizontal="center" vertical="center" wrapText="1"/>
    </xf>
    <xf numFmtId="0" fontId="24" fillId="4" borderId="2" xfId="0" applyFont="1" applyFill="1" applyBorder="1" applyAlignment="1">
      <alignment horizontal="center" vertical="center" wrapText="1"/>
    </xf>
    <xf numFmtId="0" fontId="23" fillId="3" borderId="0" xfId="0" applyFont="1" applyFill="1"/>
    <xf numFmtId="0" fontId="2" fillId="6" borderId="2" xfId="0" applyFont="1" applyFill="1" applyBorder="1" applyAlignment="1">
      <alignment horizontal="center" vertical="center" wrapText="1"/>
    </xf>
    <xf numFmtId="0" fontId="24" fillId="6" borderId="2" xfId="0" applyFont="1" applyFill="1" applyBorder="1" applyAlignment="1">
      <alignment horizontal="center" vertical="center" wrapText="1"/>
    </xf>
    <xf numFmtId="164" fontId="21" fillId="0" borderId="2" xfId="0" applyNumberFormat="1" applyFont="1" applyFill="1" applyBorder="1" applyAlignment="1">
      <alignment vertical="center" wrapText="1"/>
    </xf>
    <xf numFmtId="164" fontId="1" fillId="3" borderId="6" xfId="0" applyNumberFormat="1" applyFont="1" applyFill="1" applyBorder="1" applyAlignment="1">
      <alignment vertical="center" wrapText="1"/>
    </xf>
    <xf numFmtId="164" fontId="1" fillId="3" borderId="22" xfId="0" applyNumberFormat="1" applyFont="1" applyFill="1" applyBorder="1" applyAlignment="1">
      <alignment vertical="center" wrapText="1"/>
    </xf>
    <xf numFmtId="164" fontId="1" fillId="3" borderId="23" xfId="0" applyNumberFormat="1" applyFont="1" applyFill="1" applyBorder="1" applyAlignment="1">
      <alignment vertical="center" wrapText="1"/>
    </xf>
    <xf numFmtId="0" fontId="6" fillId="3" borderId="5" xfId="0" applyFont="1" applyFill="1" applyBorder="1" applyAlignment="1">
      <alignment vertical="center" wrapText="1"/>
    </xf>
    <xf numFmtId="0" fontId="1" fillId="3" borderId="8" xfId="0" applyFont="1" applyFill="1" applyBorder="1" applyAlignment="1">
      <alignment vertical="center" wrapText="1"/>
    </xf>
    <xf numFmtId="0" fontId="1" fillId="3" borderId="22" xfId="0" applyFont="1" applyFill="1" applyBorder="1" applyAlignment="1">
      <alignment vertical="center" wrapText="1"/>
    </xf>
    <xf numFmtId="0" fontId="1" fillId="3" borderId="23" xfId="0" applyFont="1" applyFill="1" applyBorder="1" applyAlignment="1">
      <alignment vertical="center" wrapText="1"/>
    </xf>
    <xf numFmtId="0" fontId="0" fillId="0" borderId="8" xfId="0" applyBorder="1"/>
    <xf numFmtId="0" fontId="0" fillId="0" borderId="22" xfId="0" applyBorder="1"/>
    <xf numFmtId="0" fontId="0" fillId="0" borderId="23" xfId="0" applyBorder="1"/>
    <xf numFmtId="0" fontId="1" fillId="0" borderId="8"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6" fillId="3" borderId="8" xfId="0" applyFont="1" applyFill="1" applyBorder="1" applyAlignment="1">
      <alignment vertical="center" wrapText="1"/>
    </xf>
    <xf numFmtId="0" fontId="1" fillId="3" borderId="5" xfId="0" applyFont="1" applyFill="1" applyBorder="1" applyAlignment="1">
      <alignment horizontal="left" vertical="center" wrapText="1"/>
    </xf>
    <xf numFmtId="0" fontId="3" fillId="0" borderId="5" xfId="0" applyFont="1" applyBorder="1"/>
    <xf numFmtId="0" fontId="6" fillId="3" borderId="8" xfId="0" applyFont="1" applyFill="1" applyBorder="1" applyAlignment="1">
      <alignment horizontal="left" vertical="center" wrapText="1"/>
    </xf>
    <xf numFmtId="0" fontId="1" fillId="6" borderId="2" xfId="0" applyFont="1" applyFill="1" applyBorder="1" applyAlignment="1">
      <alignment vertical="center" wrapText="1"/>
    </xf>
    <xf numFmtId="0" fontId="1" fillId="6" borderId="2" xfId="0" applyFont="1" applyFill="1" applyBorder="1" applyAlignment="1">
      <alignment vertical="top" wrapText="1"/>
    </xf>
    <xf numFmtId="0" fontId="1" fillId="6" borderId="2" xfId="0" applyFont="1" applyFill="1" applyBorder="1" applyAlignment="1">
      <alignment horizontal="left" vertical="center" wrapText="1"/>
    </xf>
    <xf numFmtId="0" fontId="1" fillId="6" borderId="2" xfId="0" applyFont="1" applyFill="1" applyBorder="1" applyAlignment="1">
      <alignment horizontal="left" vertical="top" wrapText="1"/>
    </xf>
    <xf numFmtId="0" fontId="6" fillId="8" borderId="2" xfId="0" applyFont="1" applyFill="1" applyBorder="1" applyAlignment="1">
      <alignment vertical="center" wrapText="1"/>
    </xf>
    <xf numFmtId="0" fontId="6" fillId="8" borderId="4" xfId="0" applyFont="1" applyFill="1" applyBorder="1" applyAlignment="1">
      <alignment vertical="center" wrapText="1"/>
    </xf>
    <xf numFmtId="0" fontId="6" fillId="6" borderId="2" xfId="0" applyFont="1" applyFill="1" applyBorder="1" applyAlignment="1">
      <alignment vertical="center" wrapText="1"/>
    </xf>
    <xf numFmtId="0" fontId="6" fillId="0" borderId="2" xfId="0" applyFont="1" applyFill="1" applyBorder="1" applyAlignment="1">
      <alignment vertical="center" wrapText="1"/>
    </xf>
    <xf numFmtId="0" fontId="6" fillId="0" borderId="4" xfId="0" applyFont="1" applyFill="1" applyBorder="1" applyAlignment="1">
      <alignment vertical="center" wrapText="1"/>
    </xf>
    <xf numFmtId="0" fontId="3" fillId="0" borderId="2" xfId="0" applyFont="1" applyFill="1" applyBorder="1" applyAlignment="1">
      <alignment wrapText="1"/>
    </xf>
    <xf numFmtId="0" fontId="6" fillId="6" borderId="4" xfId="0" applyFont="1" applyFill="1" applyBorder="1" applyAlignment="1">
      <alignment vertical="center" wrapText="1"/>
    </xf>
    <xf numFmtId="0" fontId="17" fillId="0" borderId="2" xfId="0" applyFont="1" applyBorder="1" applyAlignment="1">
      <alignment vertical="center" wrapText="1"/>
    </xf>
    <xf numFmtId="0" fontId="24" fillId="2" borderId="2" xfId="0" applyFont="1" applyFill="1" applyBorder="1" applyAlignment="1">
      <alignment horizontal="center" wrapText="1"/>
    </xf>
    <xf numFmtId="0" fontId="24" fillId="7" borderId="2" xfId="0" applyFont="1" applyFill="1" applyBorder="1" applyAlignment="1">
      <alignment horizontal="center" wrapText="1"/>
    </xf>
    <xf numFmtId="0" fontId="17" fillId="5" borderId="2" xfId="0" applyFont="1" applyFill="1" applyBorder="1" applyAlignment="1">
      <alignment vertical="center" wrapText="1"/>
    </xf>
    <xf numFmtId="0" fontId="25" fillId="0" borderId="2" xfId="0" applyFont="1" applyBorder="1" applyAlignment="1">
      <alignment vertical="center" wrapText="1"/>
    </xf>
    <xf numFmtId="0" fontId="25" fillId="0" borderId="5" xfId="0" applyFont="1" applyBorder="1" applyAlignment="1">
      <alignment vertical="center" wrapText="1"/>
    </xf>
    <xf numFmtId="0" fontId="23" fillId="0" borderId="0" xfId="0" applyFont="1" applyAlignment="1">
      <alignment wrapText="1"/>
    </xf>
    <xf numFmtId="0" fontId="17" fillId="0" borderId="5"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6"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6" xfId="0" applyFont="1" applyBorder="1" applyAlignment="1">
      <alignment horizontal="center" vertical="center" wrapText="1"/>
    </xf>
    <xf numFmtId="0" fontId="6" fillId="3" borderId="5" xfId="0" applyFont="1" applyFill="1" applyBorder="1" applyAlignment="1">
      <alignment horizontal="left" vertical="center" wrapText="1"/>
    </xf>
    <xf numFmtId="0" fontId="6" fillId="3" borderId="6" xfId="0" applyFont="1" applyFill="1" applyBorder="1" applyAlignment="1">
      <alignment horizontal="left" vertical="center" wrapText="1"/>
    </xf>
    <xf numFmtId="0" fontId="0" fillId="0" borderId="5" xfId="0" applyBorder="1" applyAlignment="1">
      <alignment horizontal="right" wrapText="1"/>
    </xf>
    <xf numFmtId="0" fontId="0" fillId="0" borderId="7" xfId="0" applyBorder="1" applyAlignment="1">
      <alignment horizontal="right" wrapText="1"/>
    </xf>
    <xf numFmtId="0" fontId="0" fillId="0" borderId="6" xfId="0" applyBorder="1" applyAlignment="1">
      <alignment horizontal="right" wrapText="1"/>
    </xf>
    <xf numFmtId="0" fontId="0" fillId="0" borderId="8" xfId="0" applyBorder="1" applyAlignment="1">
      <alignment horizontal="right" wrapText="1"/>
    </xf>
    <xf numFmtId="0" fontId="0" fillId="0" borderId="22" xfId="0" applyBorder="1" applyAlignment="1">
      <alignment horizontal="right" wrapText="1"/>
    </xf>
    <xf numFmtId="0" fontId="0" fillId="0" borderId="23" xfId="0" applyBorder="1" applyAlignment="1">
      <alignment horizontal="right" wrapText="1"/>
    </xf>
    <xf numFmtId="0" fontId="2" fillId="7" borderId="3" xfId="0" applyFont="1" applyFill="1" applyBorder="1" applyAlignment="1">
      <alignment horizontal="center" wrapText="1"/>
    </xf>
    <xf numFmtId="0" fontId="0" fillId="0" borderId="4" xfId="0" applyBorder="1" applyAlignment="1">
      <alignment horizontal="center" wrapText="1"/>
    </xf>
    <xf numFmtId="0" fontId="2" fillId="7" borderId="10" xfId="0" applyFont="1" applyFill="1" applyBorder="1" applyAlignment="1">
      <alignment horizontal="center" wrapText="1"/>
    </xf>
    <xf numFmtId="0" fontId="2" fillId="7" borderId="4" xfId="0" applyFont="1" applyFill="1" applyBorder="1" applyAlignment="1">
      <alignment horizontal="center" wrapText="1"/>
    </xf>
  </cellXfs>
  <cellStyles count="2">
    <cellStyle name="Hyperlink" xfId="1" builtinId="8"/>
    <cellStyle name="Normal" xfId="0" builtinId="0"/>
  </cellStyles>
  <dxfs count="625">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9</xdr:row>
          <xdr:rowOff>57150</xdr:rowOff>
        </xdr:from>
        <xdr:to>
          <xdr:col>0</xdr:col>
          <xdr:colOff>581025</xdr:colOff>
          <xdr:row>10</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581025</xdr:colOff>
          <xdr:row>2</xdr:row>
          <xdr:rowOff>171450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19050</xdr:rowOff>
        </xdr:from>
        <xdr:to>
          <xdr:col>0</xdr:col>
          <xdr:colOff>581025</xdr:colOff>
          <xdr:row>3</xdr:row>
          <xdr:rowOff>180975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28575</xdr:rowOff>
        </xdr:from>
        <xdr:to>
          <xdr:col>0</xdr:col>
          <xdr:colOff>581025</xdr:colOff>
          <xdr:row>5</xdr:row>
          <xdr:rowOff>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xdr:row>
          <xdr:rowOff>38100</xdr:rowOff>
        </xdr:from>
        <xdr:to>
          <xdr:col>0</xdr:col>
          <xdr:colOff>581025</xdr:colOff>
          <xdr:row>6</xdr:row>
          <xdr:rowOff>9525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38100</xdr:rowOff>
        </xdr:from>
        <xdr:to>
          <xdr:col>0</xdr:col>
          <xdr:colOff>581025</xdr:colOff>
          <xdr:row>7</xdr:row>
          <xdr:rowOff>9525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xdr:row>
          <xdr:rowOff>38100</xdr:rowOff>
        </xdr:from>
        <xdr:to>
          <xdr:col>0</xdr:col>
          <xdr:colOff>581025</xdr:colOff>
          <xdr:row>8</xdr:row>
          <xdr:rowOff>9525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38100</xdr:rowOff>
        </xdr:from>
        <xdr:to>
          <xdr:col>0</xdr:col>
          <xdr:colOff>581025</xdr:colOff>
          <xdr:row>9</xdr:row>
          <xdr:rowOff>9525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57150</xdr:colOff>
          <xdr:row>0</xdr:row>
          <xdr:rowOff>38100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2114550</xdr:colOff>
          <xdr:row>0</xdr:row>
          <xdr:rowOff>57150</xdr:rowOff>
        </xdr:from>
        <xdr:to>
          <xdr:col>2</xdr:col>
          <xdr:colOff>2924175</xdr:colOff>
          <xdr:row>0</xdr:row>
          <xdr:rowOff>342900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Button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1628775</xdr:colOff>
          <xdr:row>2</xdr:row>
          <xdr:rowOff>9525</xdr:rowOff>
        </xdr:from>
        <xdr:to>
          <xdr:col>2</xdr:col>
          <xdr:colOff>2905125</xdr:colOff>
          <xdr:row>3</xdr:row>
          <xdr:rowOff>0</xdr:rowOff>
        </xdr:to>
        <xdr:sp macro="" textlink="">
          <xdr:nvSpPr>
            <xdr:cNvPr id="5126" name="Object 6" hidden="1">
              <a:extLst>
                <a:ext uri="{63B3BB69-23CF-44E3-9099-C40C66FF867C}">
                  <a14:compatExt spid="_x0000_s5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19050</xdr:rowOff>
        </xdr:from>
        <xdr:to>
          <xdr:col>0</xdr:col>
          <xdr:colOff>542925</xdr:colOff>
          <xdr:row>0</xdr:row>
          <xdr:rowOff>142875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11.xml"/><Relationship Id="rId2" Type="http://schemas.openxmlformats.org/officeDocument/2006/relationships/printerSettings" Target="../printerSettings/printerSettings3.bin"/><Relationship Id="rId1" Type="http://schemas.openxmlformats.org/officeDocument/2006/relationships/hyperlink" Target="http://ftp.coriscapital.co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H14"/>
  <sheetViews>
    <sheetView zoomScaleNormal="100" workbookViewId="0">
      <selection activeCell="C19" sqref="C19"/>
    </sheetView>
  </sheetViews>
  <sheetFormatPr defaultRowHeight="15" x14ac:dyDescent="0.25"/>
  <cols>
    <col min="1" max="1" width="9.140625" style="3"/>
    <col min="2" max="2" width="32.7109375" style="3" customWidth="1"/>
    <col min="3" max="8" width="15" style="3" customWidth="1"/>
    <col min="9" max="16384" width="9.140625" style="3"/>
  </cols>
  <sheetData>
    <row r="2" spans="2:8" x14ac:dyDescent="0.25">
      <c r="B2" s="13"/>
      <c r="C2" s="13" t="s">
        <v>5</v>
      </c>
      <c r="D2" s="13" t="s">
        <v>6</v>
      </c>
      <c r="E2" s="13" t="s">
        <v>9</v>
      </c>
      <c r="F2" s="13" t="s">
        <v>7</v>
      </c>
      <c r="G2" s="13" t="s">
        <v>8</v>
      </c>
      <c r="H2" s="13" t="s">
        <v>10</v>
      </c>
    </row>
    <row r="3" spans="2:8" x14ac:dyDescent="0.25">
      <c r="B3" s="13" t="s">
        <v>15</v>
      </c>
      <c r="C3" s="14">
        <f>'Test Case'!G838</f>
        <v>0</v>
      </c>
      <c r="D3" s="14">
        <f>'Test Case'!H838</f>
        <v>0</v>
      </c>
      <c r="E3" s="14">
        <f>'Test Case'!I838</f>
        <v>0</v>
      </c>
      <c r="F3" s="15">
        <f>'Test Case'!J838</f>
        <v>0</v>
      </c>
      <c r="G3" s="15">
        <f>'Test Case'!K838</f>
        <v>823</v>
      </c>
      <c r="H3" s="14">
        <f>SUM(C3:E3)</f>
        <v>0</v>
      </c>
    </row>
    <row r="4" spans="2:8" x14ac:dyDescent="0.25">
      <c r="B4" s="13" t="s">
        <v>1129</v>
      </c>
      <c r="C4" s="14">
        <f>'Automated Instructions'!G74</f>
        <v>0</v>
      </c>
      <c r="D4" s="14">
        <f>'Automated Instructions'!H74</f>
        <v>0</v>
      </c>
      <c r="E4" s="14">
        <f>'Automated Instructions'!I74</f>
        <v>0</v>
      </c>
      <c r="F4" s="15">
        <f>'Automated Instructions'!J74</f>
        <v>66</v>
      </c>
      <c r="G4" s="15">
        <f>'Automated Instructions'!K74</f>
        <v>0</v>
      </c>
      <c r="H4" s="14">
        <f>SUM(C4:E4)</f>
        <v>0</v>
      </c>
    </row>
    <row r="5" spans="2:8" x14ac:dyDescent="0.25">
      <c r="B5" s="127" t="s">
        <v>16</v>
      </c>
      <c r="C5" s="127">
        <f>+Internal!G108</f>
        <v>89</v>
      </c>
      <c r="D5" s="14">
        <f>+Internal!H108</f>
        <v>0</v>
      </c>
      <c r="E5" s="14">
        <f>+Internal!I108</f>
        <v>0</v>
      </c>
      <c r="F5" s="15">
        <f>+Internal!J108</f>
        <v>6</v>
      </c>
      <c r="G5" s="15">
        <f>+Internal!K108</f>
        <v>0</v>
      </c>
      <c r="H5" s="14">
        <f>SUM(C5:E5)</f>
        <v>89</v>
      </c>
    </row>
    <row r="6" spans="2:8" x14ac:dyDescent="0.25">
      <c r="B6" s="127" t="s">
        <v>17</v>
      </c>
      <c r="C6" s="127">
        <f>+External!G61</f>
        <v>53</v>
      </c>
      <c r="D6" s="14">
        <f>+External!H61</f>
        <v>0</v>
      </c>
      <c r="E6" s="14">
        <f>+External!I61</f>
        <v>0</v>
      </c>
      <c r="F6" s="15">
        <f>+External!J61</f>
        <v>0</v>
      </c>
      <c r="G6" s="15">
        <f>+External!K61</f>
        <v>0</v>
      </c>
      <c r="H6" s="14">
        <f>SUM(C6:E6)</f>
        <v>53</v>
      </c>
    </row>
    <row r="7" spans="2:8" s="126" customFormat="1" x14ac:dyDescent="0.25">
      <c r="B7" s="128" t="s">
        <v>1093</v>
      </c>
      <c r="C7" s="128">
        <f>'External - Recurring'!G61</f>
        <v>50</v>
      </c>
      <c r="D7" s="124">
        <f>'External - Recurring'!H61</f>
        <v>0</v>
      </c>
      <c r="E7" s="124">
        <f>'External - Recurring'!I61</f>
        <v>0</v>
      </c>
      <c r="F7" s="125">
        <f>'External - Recurring'!J61</f>
        <v>4</v>
      </c>
      <c r="G7" s="125">
        <f>'External - Recurring'!K61</f>
        <v>0</v>
      </c>
      <c r="H7" s="14">
        <f t="shared" ref="H7:H9" si="0">SUM(C7:E7)</f>
        <v>50</v>
      </c>
    </row>
    <row r="8" spans="2:8" x14ac:dyDescent="0.25">
      <c r="B8" s="128" t="s">
        <v>956</v>
      </c>
      <c r="C8" s="128">
        <f>'Investment Reversal'!G139</f>
        <v>0</v>
      </c>
      <c r="D8" s="124">
        <f>'Investment Reversal'!H139</f>
        <v>0</v>
      </c>
      <c r="E8" s="124">
        <f>'Investment Reversal'!I139</f>
        <v>0</v>
      </c>
      <c r="F8" s="125">
        <f>'Investment Reversal'!J139</f>
        <v>120</v>
      </c>
      <c r="G8" s="125">
        <f>'Investment Reversal'!K139</f>
        <v>0</v>
      </c>
      <c r="H8" s="14">
        <f t="shared" si="0"/>
        <v>0</v>
      </c>
    </row>
    <row r="9" spans="2:8" x14ac:dyDescent="0.25">
      <c r="B9" s="128" t="s">
        <v>1094</v>
      </c>
      <c r="C9" s="128">
        <f>'Alter Investment'!G232</f>
        <v>209</v>
      </c>
      <c r="D9" s="124">
        <f>'Alter Investment'!H232</f>
        <v>0</v>
      </c>
      <c r="E9" s="124">
        <f>'Alter Investment'!I232</f>
        <v>0</v>
      </c>
      <c r="F9" s="125">
        <f>'Alter Investment'!J232</f>
        <v>4</v>
      </c>
      <c r="G9" s="125">
        <f>'Alter Investment'!K232</f>
        <v>0</v>
      </c>
      <c r="H9" s="14">
        <f t="shared" si="0"/>
        <v>209</v>
      </c>
    </row>
    <row r="14" spans="2:8" x14ac:dyDescent="0.25">
      <c r="B14" s="3" t="s">
        <v>744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R">
                <anchor moveWithCells="1">
                  <from>
                    <xdr:col>0</xdr:col>
                    <xdr:colOff>38100</xdr:colOff>
                    <xdr:row>9</xdr:row>
                    <xdr:rowOff>57150</xdr:rowOff>
                  </from>
                  <to>
                    <xdr:col>0</xdr:col>
                    <xdr:colOff>581025</xdr:colOff>
                    <xdr:row>10</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from>
                    <xdr:col>0</xdr:col>
                    <xdr:colOff>38100</xdr:colOff>
                    <xdr:row>2</xdr:row>
                    <xdr:rowOff>9525</xdr:rowOff>
                  </from>
                  <to>
                    <xdr:col>0</xdr:col>
                    <xdr:colOff>581025</xdr:colOff>
                    <xdr:row>2</xdr:row>
                    <xdr:rowOff>171450</xdr:rowOff>
                  </to>
                </anchor>
              </controlPr>
            </control>
          </mc:Choice>
        </mc:AlternateContent>
        <mc:AlternateContent xmlns:mc="http://schemas.openxmlformats.org/markup-compatibility/2006">
          <mc:Choice Requires="x14">
            <control shapeId="3075" r:id="rId6" name="Button 3">
              <controlPr defaultSize="0" print="0" autoFill="0" autoPict="0" macro="[0]!Button1_Click">
                <anchor moveWithCells="1">
                  <from>
                    <xdr:col>0</xdr:col>
                    <xdr:colOff>38100</xdr:colOff>
                    <xdr:row>3</xdr:row>
                    <xdr:rowOff>19050</xdr:rowOff>
                  </from>
                  <to>
                    <xdr:col>0</xdr:col>
                    <xdr:colOff>581025</xdr:colOff>
                    <xdr:row>3</xdr:row>
                    <xdr:rowOff>180975</xdr:rowOff>
                  </to>
                </anchor>
              </controlPr>
            </control>
          </mc:Choice>
        </mc:AlternateContent>
        <mc:AlternateContent xmlns:mc="http://schemas.openxmlformats.org/markup-compatibility/2006">
          <mc:Choice Requires="x14">
            <control shapeId="3076" r:id="rId7" name="Button 4">
              <controlPr defaultSize="0" print="0" autoFill="0" autoPict="0" macro="[0]!Button4_Click">
                <anchor moveWithCells="1">
                  <from>
                    <xdr:col>0</xdr:col>
                    <xdr:colOff>38100</xdr:colOff>
                    <xdr:row>4</xdr:row>
                    <xdr:rowOff>28575</xdr:rowOff>
                  </from>
                  <to>
                    <xdr:col>0</xdr:col>
                    <xdr:colOff>581025</xdr:colOff>
                    <xdr:row>5</xdr:row>
                    <xdr:rowOff>0</xdr:rowOff>
                  </to>
                </anchor>
              </controlPr>
            </control>
          </mc:Choice>
        </mc:AlternateContent>
        <mc:AlternateContent xmlns:mc="http://schemas.openxmlformats.org/markup-compatibility/2006">
          <mc:Choice Requires="x14">
            <control shapeId="3077" r:id="rId8" name="Button 5">
              <controlPr defaultSize="0" print="0" autoFill="0" autoPict="0" macro="[0]!Button3_Click">
                <anchor moveWithCells="1">
                  <from>
                    <xdr:col>0</xdr:col>
                    <xdr:colOff>38100</xdr:colOff>
                    <xdr:row>5</xdr:row>
                    <xdr:rowOff>38100</xdr:rowOff>
                  </from>
                  <to>
                    <xdr:col>0</xdr:col>
                    <xdr:colOff>581025</xdr:colOff>
                    <xdr:row>6</xdr:row>
                    <xdr:rowOff>9525</xdr:rowOff>
                  </to>
                </anchor>
              </controlPr>
            </control>
          </mc:Choice>
        </mc:AlternateContent>
        <mc:AlternateContent xmlns:mc="http://schemas.openxmlformats.org/markup-compatibility/2006">
          <mc:Choice Requires="x14">
            <control shapeId="3079" r:id="rId9" name="Button 7">
              <controlPr defaultSize="0" print="0" autoFill="0" autoPict="0" macro="[0]!Button8_Click">
                <anchor moveWithCells="1">
                  <from>
                    <xdr:col>0</xdr:col>
                    <xdr:colOff>38100</xdr:colOff>
                    <xdr:row>6</xdr:row>
                    <xdr:rowOff>38100</xdr:rowOff>
                  </from>
                  <to>
                    <xdr:col>0</xdr:col>
                    <xdr:colOff>581025</xdr:colOff>
                    <xdr:row>7</xdr:row>
                    <xdr:rowOff>9525</xdr:rowOff>
                  </to>
                </anchor>
              </controlPr>
            </control>
          </mc:Choice>
        </mc:AlternateContent>
        <mc:AlternateContent xmlns:mc="http://schemas.openxmlformats.org/markup-compatibility/2006">
          <mc:Choice Requires="x14">
            <control shapeId="3080" r:id="rId10" name="Button 8">
              <controlPr defaultSize="0" print="0" autoFill="0" autoPict="0" macro="[0]!Button6_Click">
                <anchor moveWithCells="1">
                  <from>
                    <xdr:col>0</xdr:col>
                    <xdr:colOff>38100</xdr:colOff>
                    <xdr:row>7</xdr:row>
                    <xdr:rowOff>38100</xdr:rowOff>
                  </from>
                  <to>
                    <xdr:col>0</xdr:col>
                    <xdr:colOff>581025</xdr:colOff>
                    <xdr:row>8</xdr:row>
                    <xdr:rowOff>9525</xdr:rowOff>
                  </to>
                </anchor>
              </controlPr>
            </control>
          </mc:Choice>
        </mc:AlternateContent>
        <mc:AlternateContent xmlns:mc="http://schemas.openxmlformats.org/markup-compatibility/2006">
          <mc:Choice Requires="x14">
            <control shapeId="3081" r:id="rId11" name="Button 9">
              <controlPr defaultSize="0" print="0" autoFill="0" autoPict="0" macro="[0]!Button7_Click">
                <anchor moveWithCells="1">
                  <from>
                    <xdr:col>0</xdr:col>
                    <xdr:colOff>38100</xdr:colOff>
                    <xdr:row>8</xdr:row>
                    <xdr:rowOff>38100</xdr:rowOff>
                  </from>
                  <to>
                    <xdr:col>0</xdr:col>
                    <xdr:colOff>581025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839"/>
  <sheetViews>
    <sheetView topLeftCell="B1" zoomScale="85" zoomScaleNormal="85" workbookViewId="0">
      <pane ySplit="1" topLeftCell="A483" activePane="bottomLeft" state="frozen"/>
      <selection activeCell="C11" sqref="C11"/>
      <selection pane="bottomLeft" activeCell="D299" sqref="D299:D302"/>
    </sheetView>
  </sheetViews>
  <sheetFormatPr defaultRowHeight="15" outlineLevelRow="1" x14ac:dyDescent="0.25"/>
  <cols>
    <col min="1" max="1" width="11.28515625" style="4" bestFit="1" customWidth="1"/>
    <col min="2" max="2" width="48.5703125" style="1" customWidth="1"/>
    <col min="3" max="3" width="67.7109375" style="1" customWidth="1"/>
    <col min="4" max="4" width="27.5703125" style="1" customWidth="1"/>
    <col min="5" max="5" width="20.42578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68" t="s">
        <v>11</v>
      </c>
      <c r="C1" s="68" t="s">
        <v>2</v>
      </c>
      <c r="D1" s="69" t="s">
        <v>4</v>
      </c>
      <c r="E1" s="12" t="s">
        <v>3</v>
      </c>
      <c r="F1" s="11" t="s">
        <v>0</v>
      </c>
      <c r="G1" s="12" t="s">
        <v>5</v>
      </c>
      <c r="H1" s="12" t="s">
        <v>6</v>
      </c>
      <c r="I1" s="12"/>
      <c r="J1" s="12" t="s">
        <v>7</v>
      </c>
      <c r="K1" s="12" t="s">
        <v>8</v>
      </c>
      <c r="L1" s="12" t="s">
        <v>13</v>
      </c>
    </row>
    <row r="2" spans="1:12" s="20" customFormat="1" x14ac:dyDescent="0.25">
      <c r="A2" s="16">
        <v>1</v>
      </c>
      <c r="B2" s="17" t="s">
        <v>18</v>
      </c>
      <c r="C2" s="41"/>
      <c r="D2" s="17"/>
      <c r="E2" s="17"/>
      <c r="F2" s="19"/>
      <c r="G2" s="19"/>
      <c r="H2" s="19"/>
      <c r="I2" s="19"/>
      <c r="J2" s="19"/>
      <c r="K2" s="19"/>
      <c r="L2" s="17"/>
    </row>
    <row r="3" spans="1:12" s="20" customFormat="1" x14ac:dyDescent="0.25">
      <c r="A3" s="16">
        <v>1</v>
      </c>
      <c r="B3" s="17" t="s">
        <v>19</v>
      </c>
      <c r="C3" s="18"/>
      <c r="D3" s="17"/>
      <c r="E3" s="17"/>
      <c r="F3" s="19"/>
      <c r="G3" s="19"/>
      <c r="H3" s="19"/>
      <c r="I3" s="19"/>
      <c r="J3" s="19"/>
      <c r="K3" s="19"/>
      <c r="L3" s="17"/>
    </row>
    <row r="4" spans="1:12" outlineLevel="1" x14ac:dyDescent="0.25">
      <c r="A4" s="22">
        <f t="shared" ref="A4:A73" si="0">A3+0.0001</f>
        <v>1.0001</v>
      </c>
      <c r="B4" s="26" t="s">
        <v>20</v>
      </c>
      <c r="C4" s="23" t="s">
        <v>21</v>
      </c>
      <c r="D4" s="165" t="s">
        <v>1180</v>
      </c>
      <c r="E4" s="6"/>
      <c r="F4" s="8" t="s">
        <v>8</v>
      </c>
      <c r="G4" s="8">
        <f t="shared" ref="G4:K19" si="1">IF($F4=G$1,1,0)</f>
        <v>0</v>
      </c>
      <c r="H4" s="8">
        <f t="shared" si="1"/>
        <v>0</v>
      </c>
      <c r="I4" s="8">
        <f t="shared" si="1"/>
        <v>0</v>
      </c>
      <c r="J4" s="8">
        <f t="shared" si="1"/>
        <v>0</v>
      </c>
      <c r="K4" s="8">
        <f t="shared" si="1"/>
        <v>1</v>
      </c>
      <c r="L4" s="7"/>
    </row>
    <row r="5" spans="1:12" outlineLevel="1" x14ac:dyDescent="0.25">
      <c r="A5" s="22">
        <f t="shared" si="0"/>
        <v>1.0002</v>
      </c>
      <c r="B5" s="31" t="s">
        <v>22</v>
      </c>
      <c r="C5" s="23"/>
      <c r="D5" s="166"/>
      <c r="E5" s="6"/>
      <c r="F5" s="8" t="s">
        <v>8</v>
      </c>
      <c r="G5" s="8">
        <f t="shared" si="1"/>
        <v>0</v>
      </c>
      <c r="H5" s="8">
        <f t="shared" si="1"/>
        <v>0</v>
      </c>
      <c r="I5" s="8">
        <f t="shared" si="1"/>
        <v>0</v>
      </c>
      <c r="J5" s="8">
        <f t="shared" si="1"/>
        <v>0</v>
      </c>
      <c r="K5" s="8">
        <f t="shared" si="1"/>
        <v>1</v>
      </c>
      <c r="L5" s="7"/>
    </row>
    <row r="6" spans="1:12" outlineLevel="1" x14ac:dyDescent="0.25">
      <c r="A6" s="22">
        <f t="shared" si="0"/>
        <v>1.0003</v>
      </c>
      <c r="B6" s="31" t="s">
        <v>23</v>
      </c>
      <c r="C6" s="24"/>
      <c r="D6" s="166"/>
      <c r="E6" s="7"/>
      <c r="F6" s="8" t="s">
        <v>8</v>
      </c>
      <c r="G6" s="8">
        <f t="shared" si="1"/>
        <v>0</v>
      </c>
      <c r="H6" s="8">
        <f t="shared" si="1"/>
        <v>0</v>
      </c>
      <c r="I6" s="8">
        <f t="shared" si="1"/>
        <v>0</v>
      </c>
      <c r="J6" s="8">
        <f t="shared" si="1"/>
        <v>0</v>
      </c>
      <c r="K6" s="8">
        <f t="shared" si="1"/>
        <v>1</v>
      </c>
      <c r="L6" s="7"/>
    </row>
    <row r="7" spans="1:12" outlineLevel="1" x14ac:dyDescent="0.25">
      <c r="A7" s="22">
        <f t="shared" si="0"/>
        <v>1.0004</v>
      </c>
      <c r="B7" s="32" t="s">
        <v>956</v>
      </c>
      <c r="C7" s="24"/>
      <c r="D7" s="167"/>
      <c r="E7" s="7"/>
      <c r="F7" s="8" t="s">
        <v>8</v>
      </c>
      <c r="G7" s="8">
        <f t="shared" si="1"/>
        <v>0</v>
      </c>
      <c r="H7" s="8">
        <f t="shared" si="1"/>
        <v>0</v>
      </c>
      <c r="I7" s="8">
        <f t="shared" si="1"/>
        <v>0</v>
      </c>
      <c r="J7" s="8">
        <f t="shared" si="1"/>
        <v>0</v>
      </c>
      <c r="K7" s="8">
        <f t="shared" si="1"/>
        <v>1</v>
      </c>
      <c r="L7" s="7"/>
    </row>
    <row r="8" spans="1:12" outlineLevel="1" x14ac:dyDescent="0.25">
      <c r="A8" s="5">
        <f t="shared" si="0"/>
        <v>1.0004999999999999</v>
      </c>
      <c r="B8" s="26" t="s">
        <v>20</v>
      </c>
      <c r="C8" s="6"/>
      <c r="D8" s="165" t="s">
        <v>1180</v>
      </c>
      <c r="E8" s="7"/>
      <c r="F8" s="8" t="s">
        <v>8</v>
      </c>
      <c r="G8" s="8">
        <f t="shared" si="1"/>
        <v>0</v>
      </c>
      <c r="H8" s="8">
        <f t="shared" si="1"/>
        <v>0</v>
      </c>
      <c r="I8" s="8">
        <f t="shared" si="1"/>
        <v>0</v>
      </c>
      <c r="J8" s="8">
        <f t="shared" si="1"/>
        <v>0</v>
      </c>
      <c r="K8" s="8">
        <f t="shared" si="1"/>
        <v>1</v>
      </c>
      <c r="L8" s="7"/>
    </row>
    <row r="9" spans="1:12" outlineLevel="1" x14ac:dyDescent="0.25">
      <c r="A9" s="5">
        <f t="shared" si="0"/>
        <v>1.0005999999999999</v>
      </c>
      <c r="B9" s="31" t="s">
        <v>22</v>
      </c>
      <c r="C9" s="9"/>
      <c r="D9" s="166"/>
      <c r="E9" s="6"/>
      <c r="F9" s="8" t="s">
        <v>8</v>
      </c>
      <c r="G9" s="8">
        <f t="shared" si="1"/>
        <v>0</v>
      </c>
      <c r="H9" s="8">
        <f t="shared" si="1"/>
        <v>0</v>
      </c>
      <c r="I9" s="8">
        <f t="shared" si="1"/>
        <v>0</v>
      </c>
      <c r="J9" s="8">
        <f t="shared" si="1"/>
        <v>0</v>
      </c>
      <c r="K9" s="8">
        <f t="shared" si="1"/>
        <v>1</v>
      </c>
      <c r="L9" s="7"/>
    </row>
    <row r="10" spans="1:12" outlineLevel="1" x14ac:dyDescent="0.25">
      <c r="A10" s="5">
        <f t="shared" si="0"/>
        <v>1.0006999999999999</v>
      </c>
      <c r="B10" s="31" t="s">
        <v>25</v>
      </c>
      <c r="C10" s="9"/>
      <c r="D10" s="166"/>
      <c r="E10" s="6"/>
      <c r="F10" s="8" t="s">
        <v>8</v>
      </c>
      <c r="G10" s="8">
        <f t="shared" si="1"/>
        <v>0</v>
      </c>
      <c r="H10" s="8">
        <f t="shared" si="1"/>
        <v>0</v>
      </c>
      <c r="I10" s="8">
        <f t="shared" si="1"/>
        <v>0</v>
      </c>
      <c r="J10" s="8">
        <f t="shared" si="1"/>
        <v>0</v>
      </c>
      <c r="K10" s="8">
        <f t="shared" si="1"/>
        <v>1</v>
      </c>
      <c r="L10" s="7"/>
    </row>
    <row r="11" spans="1:12" outlineLevel="1" x14ac:dyDescent="0.25">
      <c r="A11" s="5">
        <f t="shared" si="0"/>
        <v>1.0007999999999999</v>
      </c>
      <c r="B11" s="32" t="s">
        <v>24</v>
      </c>
      <c r="C11" s="6"/>
      <c r="D11" s="167"/>
      <c r="E11" s="7"/>
      <c r="F11" s="8" t="s">
        <v>8</v>
      </c>
      <c r="G11" s="8">
        <f t="shared" si="1"/>
        <v>0</v>
      </c>
      <c r="H11" s="8">
        <f t="shared" si="1"/>
        <v>0</v>
      </c>
      <c r="I11" s="8">
        <f t="shared" si="1"/>
        <v>0</v>
      </c>
      <c r="J11" s="8">
        <f t="shared" si="1"/>
        <v>0</v>
      </c>
      <c r="K11" s="8">
        <f t="shared" si="1"/>
        <v>1</v>
      </c>
      <c r="L11" s="7"/>
    </row>
    <row r="12" spans="1:12" outlineLevel="1" x14ac:dyDescent="0.25">
      <c r="A12" s="5">
        <f t="shared" si="0"/>
        <v>1.0008999999999999</v>
      </c>
      <c r="B12" s="26" t="s">
        <v>20</v>
      </c>
      <c r="C12" s="6" t="s">
        <v>21</v>
      </c>
      <c r="D12" s="165" t="s">
        <v>1180</v>
      </c>
      <c r="E12" s="7"/>
      <c r="F12" s="8" t="s">
        <v>8</v>
      </c>
      <c r="G12" s="8">
        <f t="shared" si="1"/>
        <v>0</v>
      </c>
      <c r="H12" s="8">
        <f t="shared" si="1"/>
        <v>0</v>
      </c>
      <c r="I12" s="8">
        <f t="shared" si="1"/>
        <v>0</v>
      </c>
      <c r="J12" s="8">
        <f t="shared" si="1"/>
        <v>0</v>
      </c>
      <c r="K12" s="8">
        <f t="shared" si="1"/>
        <v>1</v>
      </c>
      <c r="L12" s="7"/>
    </row>
    <row r="13" spans="1:12" outlineLevel="1" x14ac:dyDescent="0.25">
      <c r="A13" s="5">
        <f t="shared" si="0"/>
        <v>1.0009999999999999</v>
      </c>
      <c r="B13" s="31" t="s">
        <v>22</v>
      </c>
      <c r="C13" s="6"/>
      <c r="D13" s="166"/>
      <c r="E13" s="7"/>
      <c r="F13" s="8" t="s">
        <v>8</v>
      </c>
      <c r="G13" s="8">
        <f t="shared" si="1"/>
        <v>0</v>
      </c>
      <c r="H13" s="8">
        <f t="shared" si="1"/>
        <v>0</v>
      </c>
      <c r="I13" s="8">
        <f t="shared" si="1"/>
        <v>0</v>
      </c>
      <c r="J13" s="8">
        <f t="shared" si="1"/>
        <v>0</v>
      </c>
      <c r="K13" s="8">
        <f t="shared" si="1"/>
        <v>1</v>
      </c>
      <c r="L13" s="7"/>
    </row>
    <row r="14" spans="1:12" outlineLevel="1" x14ac:dyDescent="0.25">
      <c r="A14" s="5">
        <f t="shared" si="0"/>
        <v>1.0010999999999999</v>
      </c>
      <c r="B14" s="31" t="s">
        <v>26</v>
      </c>
      <c r="C14" s="9"/>
      <c r="D14" s="166"/>
      <c r="E14" s="6"/>
      <c r="F14" s="8" t="s">
        <v>8</v>
      </c>
      <c r="G14" s="8">
        <f t="shared" si="1"/>
        <v>0</v>
      </c>
      <c r="H14" s="8">
        <f t="shared" si="1"/>
        <v>0</v>
      </c>
      <c r="I14" s="8">
        <f t="shared" si="1"/>
        <v>0</v>
      </c>
      <c r="J14" s="8">
        <f t="shared" si="1"/>
        <v>0</v>
      </c>
      <c r="K14" s="8">
        <f t="shared" si="1"/>
        <v>1</v>
      </c>
      <c r="L14" s="7"/>
    </row>
    <row r="15" spans="1:12" outlineLevel="1" x14ac:dyDescent="0.25">
      <c r="A15" s="5">
        <f t="shared" si="0"/>
        <v>1.0011999999999999</v>
      </c>
      <c r="B15" s="32" t="s">
        <v>24</v>
      </c>
      <c r="C15" s="9"/>
      <c r="D15" s="167"/>
      <c r="E15" s="6"/>
      <c r="F15" s="8" t="s">
        <v>8</v>
      </c>
      <c r="G15" s="8">
        <f t="shared" si="1"/>
        <v>0</v>
      </c>
      <c r="H15" s="8">
        <f t="shared" si="1"/>
        <v>0</v>
      </c>
      <c r="I15" s="8">
        <f t="shared" si="1"/>
        <v>0</v>
      </c>
      <c r="J15" s="8">
        <f t="shared" si="1"/>
        <v>0</v>
      </c>
      <c r="K15" s="8">
        <f t="shared" si="1"/>
        <v>1</v>
      </c>
      <c r="L15" s="7"/>
    </row>
    <row r="16" spans="1:12" outlineLevel="1" x14ac:dyDescent="0.25">
      <c r="A16" s="5">
        <f t="shared" si="0"/>
        <v>1.0012999999999999</v>
      </c>
      <c r="B16" s="26" t="s">
        <v>20</v>
      </c>
      <c r="C16" s="6" t="s">
        <v>21</v>
      </c>
      <c r="D16" s="165" t="s">
        <v>1180</v>
      </c>
      <c r="E16" s="7"/>
      <c r="F16" s="8" t="s">
        <v>8</v>
      </c>
      <c r="G16" s="8">
        <f t="shared" si="1"/>
        <v>0</v>
      </c>
      <c r="H16" s="8">
        <f t="shared" si="1"/>
        <v>0</v>
      </c>
      <c r="I16" s="8">
        <f t="shared" si="1"/>
        <v>0</v>
      </c>
      <c r="J16" s="8">
        <f t="shared" si="1"/>
        <v>0</v>
      </c>
      <c r="K16" s="8">
        <f t="shared" si="1"/>
        <v>1</v>
      </c>
      <c r="L16" s="7"/>
    </row>
    <row r="17" spans="1:12" outlineLevel="1" x14ac:dyDescent="0.25">
      <c r="A17" s="5">
        <f t="shared" si="0"/>
        <v>1.0013999999999998</v>
      </c>
      <c r="B17" s="31" t="s">
        <v>22</v>
      </c>
      <c r="C17" s="6"/>
      <c r="D17" s="166"/>
      <c r="E17" s="7"/>
      <c r="F17" s="8" t="s">
        <v>8</v>
      </c>
      <c r="G17" s="8">
        <f t="shared" si="1"/>
        <v>0</v>
      </c>
      <c r="H17" s="8">
        <f t="shared" si="1"/>
        <v>0</v>
      </c>
      <c r="I17" s="8">
        <f t="shared" si="1"/>
        <v>0</v>
      </c>
      <c r="J17" s="8">
        <f t="shared" si="1"/>
        <v>0</v>
      </c>
      <c r="K17" s="8">
        <f t="shared" si="1"/>
        <v>1</v>
      </c>
      <c r="L17" s="7"/>
    </row>
    <row r="18" spans="1:12" outlineLevel="1" x14ac:dyDescent="0.25">
      <c r="A18" s="5">
        <f t="shared" si="0"/>
        <v>1.0014999999999998</v>
      </c>
      <c r="B18" s="31" t="s">
        <v>27</v>
      </c>
      <c r="C18" s="6"/>
      <c r="D18" s="166"/>
      <c r="E18" s="7"/>
      <c r="F18" s="8" t="s">
        <v>8</v>
      </c>
      <c r="G18" s="8">
        <f t="shared" si="1"/>
        <v>0</v>
      </c>
      <c r="H18" s="8">
        <f t="shared" si="1"/>
        <v>0</v>
      </c>
      <c r="I18" s="8">
        <f t="shared" si="1"/>
        <v>0</v>
      </c>
      <c r="J18" s="8">
        <f t="shared" si="1"/>
        <v>0</v>
      </c>
      <c r="K18" s="8">
        <f t="shared" si="1"/>
        <v>1</v>
      </c>
      <c r="L18" s="7"/>
    </row>
    <row r="19" spans="1:12" outlineLevel="1" x14ac:dyDescent="0.25">
      <c r="A19" s="5">
        <f t="shared" si="0"/>
        <v>1.0015999999999998</v>
      </c>
      <c r="B19" s="32" t="s">
        <v>24</v>
      </c>
      <c r="C19" s="9"/>
      <c r="D19" s="167"/>
      <c r="E19" s="6"/>
      <c r="F19" s="8" t="s">
        <v>8</v>
      </c>
      <c r="G19" s="8">
        <f t="shared" si="1"/>
        <v>0</v>
      </c>
      <c r="H19" s="8">
        <f t="shared" si="1"/>
        <v>0</v>
      </c>
      <c r="I19" s="8">
        <f t="shared" si="1"/>
        <v>0</v>
      </c>
      <c r="J19" s="8">
        <f t="shared" si="1"/>
        <v>0</v>
      </c>
      <c r="K19" s="8">
        <f t="shared" si="1"/>
        <v>1</v>
      </c>
      <c r="L19" s="7"/>
    </row>
    <row r="20" spans="1:12" outlineLevel="1" x14ac:dyDescent="0.25">
      <c r="A20" s="5">
        <f t="shared" si="0"/>
        <v>1.0016999999999998</v>
      </c>
      <c r="B20" s="26" t="s">
        <v>20</v>
      </c>
      <c r="C20" s="9" t="s">
        <v>21</v>
      </c>
      <c r="D20" s="165" t="s">
        <v>1180</v>
      </c>
      <c r="E20" s="6"/>
      <c r="F20" s="8" t="s">
        <v>8</v>
      </c>
      <c r="G20" s="8">
        <f t="shared" ref="G20:K23" si="2">IF($F20=G$1,1,0)</f>
        <v>0</v>
      </c>
      <c r="H20" s="8">
        <f t="shared" si="2"/>
        <v>0</v>
      </c>
      <c r="I20" s="8">
        <f t="shared" si="2"/>
        <v>0</v>
      </c>
      <c r="J20" s="8">
        <f t="shared" si="2"/>
        <v>0</v>
      </c>
      <c r="K20" s="8">
        <f t="shared" si="2"/>
        <v>1</v>
      </c>
      <c r="L20" s="7"/>
    </row>
    <row r="21" spans="1:12" outlineLevel="1" x14ac:dyDescent="0.25">
      <c r="A21" s="5">
        <f t="shared" si="0"/>
        <v>1.0017999999999998</v>
      </c>
      <c r="B21" s="31" t="s">
        <v>22</v>
      </c>
      <c r="C21" s="6"/>
      <c r="D21" s="166"/>
      <c r="E21" s="7"/>
      <c r="F21" s="8" t="s">
        <v>8</v>
      </c>
      <c r="G21" s="8">
        <f t="shared" si="2"/>
        <v>0</v>
      </c>
      <c r="H21" s="8">
        <f t="shared" si="2"/>
        <v>0</v>
      </c>
      <c r="I21" s="8">
        <f t="shared" si="2"/>
        <v>0</v>
      </c>
      <c r="J21" s="8">
        <f t="shared" si="2"/>
        <v>0</v>
      </c>
      <c r="K21" s="8">
        <f t="shared" si="2"/>
        <v>1</v>
      </c>
      <c r="L21" s="7"/>
    </row>
    <row r="22" spans="1:12" outlineLevel="1" x14ac:dyDescent="0.25">
      <c r="A22" s="5">
        <f t="shared" si="0"/>
        <v>1.0018999999999998</v>
      </c>
      <c r="B22" s="31" t="s">
        <v>28</v>
      </c>
      <c r="C22" s="6"/>
      <c r="D22" s="166"/>
      <c r="E22" s="7"/>
      <c r="F22" s="8" t="s">
        <v>8</v>
      </c>
      <c r="G22" s="8">
        <f t="shared" si="2"/>
        <v>0</v>
      </c>
      <c r="H22" s="8">
        <f t="shared" si="2"/>
        <v>0</v>
      </c>
      <c r="I22" s="8">
        <f t="shared" si="2"/>
        <v>0</v>
      </c>
      <c r="J22" s="8">
        <f t="shared" si="2"/>
        <v>0</v>
      </c>
      <c r="K22" s="8">
        <f t="shared" si="2"/>
        <v>1</v>
      </c>
      <c r="L22" s="7"/>
    </row>
    <row r="23" spans="1:12" outlineLevel="1" x14ac:dyDescent="0.25">
      <c r="A23" s="45">
        <f t="shared" si="0"/>
        <v>1.0019999999999998</v>
      </c>
      <c r="B23" s="31" t="s">
        <v>24</v>
      </c>
      <c r="C23" s="26"/>
      <c r="D23" s="167"/>
      <c r="E23" s="30"/>
      <c r="F23" s="8" t="s">
        <v>8</v>
      </c>
      <c r="G23" s="8">
        <f t="shared" si="2"/>
        <v>0</v>
      </c>
      <c r="H23" s="8">
        <f t="shared" si="2"/>
        <v>0</v>
      </c>
      <c r="I23" s="8">
        <f t="shared" si="2"/>
        <v>0</v>
      </c>
      <c r="J23" s="8">
        <f t="shared" si="2"/>
        <v>0</v>
      </c>
      <c r="K23" s="8">
        <f t="shared" si="2"/>
        <v>1</v>
      </c>
      <c r="L23" s="30"/>
    </row>
    <row r="24" spans="1:12" outlineLevel="1" x14ac:dyDescent="0.25">
      <c r="A24" s="22"/>
      <c r="B24" s="37"/>
      <c r="C24" s="35"/>
      <c r="D24" s="35"/>
      <c r="E24" s="35"/>
      <c r="F24" s="44"/>
      <c r="G24" s="44"/>
      <c r="H24" s="44"/>
      <c r="I24" s="44"/>
      <c r="J24" s="44"/>
      <c r="K24" s="44"/>
      <c r="L24" s="24"/>
    </row>
    <row r="25" spans="1:12" s="20" customFormat="1" x14ac:dyDescent="0.25">
      <c r="A25" s="40">
        <v>2</v>
      </c>
      <c r="B25" s="17" t="s">
        <v>460</v>
      </c>
      <c r="C25" s="41"/>
      <c r="D25" s="42"/>
      <c r="E25" s="42"/>
      <c r="F25" s="43"/>
      <c r="G25" s="43"/>
      <c r="H25" s="43"/>
      <c r="I25" s="43"/>
      <c r="J25" s="43"/>
      <c r="K25" s="43"/>
      <c r="L25" s="42"/>
    </row>
    <row r="26" spans="1:12" ht="25.5" outlineLevel="1" x14ac:dyDescent="0.25">
      <c r="A26" s="22">
        <f t="shared" si="0"/>
        <v>2.0001000000000002</v>
      </c>
      <c r="B26" s="26" t="s">
        <v>30</v>
      </c>
      <c r="C26" s="23" t="s">
        <v>31</v>
      </c>
      <c r="D26" s="158" t="s">
        <v>1181</v>
      </c>
      <c r="E26" s="6"/>
      <c r="F26" s="8" t="s">
        <v>8</v>
      </c>
      <c r="G26" s="8">
        <f t="shared" ref="G26:K41" si="3">IF($F26=G$1,1,0)</f>
        <v>0</v>
      </c>
      <c r="H26" s="8">
        <f t="shared" si="3"/>
        <v>0</v>
      </c>
      <c r="I26" s="8">
        <f t="shared" si="3"/>
        <v>0</v>
      </c>
      <c r="J26" s="8">
        <f t="shared" si="3"/>
        <v>0</v>
      </c>
      <c r="K26" s="8">
        <f t="shared" si="3"/>
        <v>1</v>
      </c>
      <c r="L26" s="7"/>
    </row>
    <row r="27" spans="1:12" outlineLevel="1" x14ac:dyDescent="0.25">
      <c r="A27" s="22">
        <f t="shared" si="0"/>
        <v>2.0002000000000004</v>
      </c>
      <c r="B27" s="27" t="s">
        <v>32</v>
      </c>
      <c r="C27" s="23" t="s">
        <v>33</v>
      </c>
      <c r="D27" s="158" t="s">
        <v>1182</v>
      </c>
      <c r="E27" s="6"/>
      <c r="F27" s="8" t="s">
        <v>8</v>
      </c>
      <c r="G27" s="8">
        <f t="shared" si="3"/>
        <v>0</v>
      </c>
      <c r="H27" s="8">
        <f t="shared" si="3"/>
        <v>0</v>
      </c>
      <c r="I27" s="8">
        <f t="shared" si="3"/>
        <v>0</v>
      </c>
      <c r="J27" s="8">
        <f t="shared" si="3"/>
        <v>0</v>
      </c>
      <c r="K27" s="8">
        <f t="shared" si="3"/>
        <v>1</v>
      </c>
      <c r="L27" s="7"/>
    </row>
    <row r="28" spans="1:12" outlineLevel="1" x14ac:dyDescent="0.25">
      <c r="A28" s="22">
        <f t="shared" si="0"/>
        <v>2.0003000000000006</v>
      </c>
      <c r="B28" s="29" t="s">
        <v>44</v>
      </c>
      <c r="C28" s="23"/>
      <c r="D28" s="7"/>
      <c r="E28" s="6"/>
      <c r="F28" s="8" t="s">
        <v>8</v>
      </c>
      <c r="G28" s="8">
        <f t="shared" si="3"/>
        <v>0</v>
      </c>
      <c r="H28" s="8">
        <f t="shared" si="3"/>
        <v>0</v>
      </c>
      <c r="I28" s="8">
        <f t="shared" si="3"/>
        <v>0</v>
      </c>
      <c r="J28" s="8">
        <f t="shared" si="3"/>
        <v>0</v>
      </c>
      <c r="K28" s="8">
        <f t="shared" si="3"/>
        <v>1</v>
      </c>
      <c r="L28" s="7"/>
    </row>
    <row r="29" spans="1:12" outlineLevel="1" x14ac:dyDescent="0.25">
      <c r="A29" s="22">
        <f t="shared" si="0"/>
        <v>2.0004000000000008</v>
      </c>
      <c r="B29" s="26" t="s">
        <v>34</v>
      </c>
      <c r="C29" s="9" t="s">
        <v>35</v>
      </c>
      <c r="D29" s="7"/>
      <c r="E29" s="6"/>
      <c r="F29" s="8" t="s">
        <v>8</v>
      </c>
      <c r="G29" s="8">
        <f t="shared" si="3"/>
        <v>0</v>
      </c>
      <c r="H29" s="8">
        <f t="shared" si="3"/>
        <v>0</v>
      </c>
      <c r="I29" s="8">
        <f t="shared" si="3"/>
        <v>0</v>
      </c>
      <c r="J29" s="8">
        <f t="shared" si="3"/>
        <v>0</v>
      </c>
      <c r="K29" s="8">
        <f t="shared" si="3"/>
        <v>1</v>
      </c>
      <c r="L29" s="7" t="s">
        <v>12</v>
      </c>
    </row>
    <row r="30" spans="1:12" outlineLevel="1" x14ac:dyDescent="0.25">
      <c r="A30" s="22">
        <f t="shared" si="0"/>
        <v>2.0005000000000011</v>
      </c>
      <c r="B30" s="27" t="s">
        <v>32</v>
      </c>
      <c r="C30" s="6"/>
      <c r="D30" s="21"/>
      <c r="E30" s="6"/>
      <c r="F30" s="8" t="s">
        <v>8</v>
      </c>
      <c r="G30" s="8">
        <f t="shared" si="3"/>
        <v>0</v>
      </c>
      <c r="H30" s="8">
        <f t="shared" si="3"/>
        <v>0</v>
      </c>
      <c r="I30" s="8">
        <f t="shared" si="3"/>
        <v>0</v>
      </c>
      <c r="J30" s="8">
        <f t="shared" si="3"/>
        <v>0</v>
      </c>
      <c r="K30" s="8">
        <f t="shared" si="3"/>
        <v>1</v>
      </c>
      <c r="L30" s="7" t="s">
        <v>14</v>
      </c>
    </row>
    <row r="31" spans="1:12" outlineLevel="1" x14ac:dyDescent="0.25">
      <c r="A31" s="22">
        <f t="shared" si="0"/>
        <v>2.0006000000000013</v>
      </c>
      <c r="B31" s="27" t="s">
        <v>44</v>
      </c>
      <c r="C31" s="6"/>
      <c r="D31" s="7"/>
      <c r="E31" s="7"/>
      <c r="F31" s="8" t="s">
        <v>8</v>
      </c>
      <c r="G31" s="8">
        <f t="shared" si="3"/>
        <v>0</v>
      </c>
      <c r="H31" s="8">
        <f t="shared" si="3"/>
        <v>0</v>
      </c>
      <c r="I31" s="8">
        <f t="shared" si="3"/>
        <v>0</v>
      </c>
      <c r="J31" s="8">
        <f t="shared" si="3"/>
        <v>0</v>
      </c>
      <c r="K31" s="8">
        <f t="shared" si="3"/>
        <v>1</v>
      </c>
      <c r="L31" s="7"/>
    </row>
    <row r="32" spans="1:12" outlineLevel="1" x14ac:dyDescent="0.25">
      <c r="A32" s="22">
        <f t="shared" si="0"/>
        <v>2.0007000000000015</v>
      </c>
      <c r="B32" s="26" t="s">
        <v>745</v>
      </c>
      <c r="C32" s="24" t="s">
        <v>37</v>
      </c>
      <c r="D32" s="7"/>
      <c r="E32" s="7"/>
      <c r="F32" s="8" t="s">
        <v>8</v>
      </c>
      <c r="G32" s="8">
        <f t="shared" si="3"/>
        <v>0</v>
      </c>
      <c r="H32" s="8">
        <f t="shared" si="3"/>
        <v>0</v>
      </c>
      <c r="I32" s="8">
        <f t="shared" si="3"/>
        <v>0</v>
      </c>
      <c r="J32" s="8">
        <f t="shared" si="3"/>
        <v>0</v>
      </c>
      <c r="K32" s="8">
        <f t="shared" si="3"/>
        <v>1</v>
      </c>
      <c r="L32" s="7"/>
    </row>
    <row r="33" spans="1:12" ht="51" outlineLevel="1" x14ac:dyDescent="0.25">
      <c r="A33" s="22">
        <f t="shared" si="0"/>
        <v>2.0008000000000017</v>
      </c>
      <c r="B33" s="27" t="s">
        <v>45</v>
      </c>
      <c r="C33" s="24" t="s">
        <v>38</v>
      </c>
      <c r="D33" s="7"/>
      <c r="E33" s="7"/>
      <c r="F33" s="8" t="s">
        <v>8</v>
      </c>
      <c r="G33" s="8">
        <f t="shared" si="3"/>
        <v>0</v>
      </c>
      <c r="H33" s="8">
        <f t="shared" si="3"/>
        <v>0</v>
      </c>
      <c r="I33" s="8">
        <f t="shared" si="3"/>
        <v>0</v>
      </c>
      <c r="J33" s="8">
        <f t="shared" si="3"/>
        <v>0</v>
      </c>
      <c r="K33" s="8">
        <f t="shared" si="3"/>
        <v>1</v>
      </c>
      <c r="L33" s="7"/>
    </row>
    <row r="34" spans="1:12" outlineLevel="1" x14ac:dyDescent="0.25">
      <c r="A34" s="22">
        <f t="shared" si="0"/>
        <v>2.0009000000000019</v>
      </c>
      <c r="B34" s="27" t="s">
        <v>46</v>
      </c>
      <c r="C34" s="24"/>
      <c r="D34" s="7"/>
      <c r="E34" s="7"/>
      <c r="F34" s="8" t="s">
        <v>8</v>
      </c>
      <c r="G34" s="8">
        <f t="shared" si="3"/>
        <v>0</v>
      </c>
      <c r="H34" s="8">
        <f t="shared" si="3"/>
        <v>0</v>
      </c>
      <c r="I34" s="8">
        <f t="shared" si="3"/>
        <v>0</v>
      </c>
      <c r="J34" s="8">
        <f t="shared" si="3"/>
        <v>0</v>
      </c>
      <c r="K34" s="8">
        <f t="shared" si="3"/>
        <v>1</v>
      </c>
      <c r="L34" s="7"/>
    </row>
    <row r="35" spans="1:12" outlineLevel="1" x14ac:dyDescent="0.25">
      <c r="A35" s="22">
        <f t="shared" si="0"/>
        <v>2.0010000000000021</v>
      </c>
      <c r="B35" s="27" t="s">
        <v>47</v>
      </c>
      <c r="C35" s="24" t="s">
        <v>39</v>
      </c>
      <c r="D35" s="7"/>
      <c r="E35" s="7"/>
      <c r="F35" s="8" t="s">
        <v>8</v>
      </c>
      <c r="G35" s="8">
        <f t="shared" si="3"/>
        <v>0</v>
      </c>
      <c r="H35" s="8">
        <f t="shared" si="3"/>
        <v>0</v>
      </c>
      <c r="I35" s="8">
        <f t="shared" si="3"/>
        <v>0</v>
      </c>
      <c r="J35" s="8">
        <f t="shared" si="3"/>
        <v>0</v>
      </c>
      <c r="K35" s="8">
        <f t="shared" si="3"/>
        <v>1</v>
      </c>
      <c r="L35" s="7"/>
    </row>
    <row r="36" spans="1:12" ht="38.25" outlineLevel="1" x14ac:dyDescent="0.25">
      <c r="A36" s="22">
        <f t="shared" si="0"/>
        <v>2.0011000000000023</v>
      </c>
      <c r="B36" s="27" t="s">
        <v>48</v>
      </c>
      <c r="C36" s="24" t="s">
        <v>40</v>
      </c>
      <c r="D36" s="7"/>
      <c r="E36" s="7"/>
      <c r="F36" s="8" t="s">
        <v>8</v>
      </c>
      <c r="G36" s="8">
        <f t="shared" si="3"/>
        <v>0</v>
      </c>
      <c r="H36" s="8">
        <f t="shared" si="3"/>
        <v>0</v>
      </c>
      <c r="I36" s="8">
        <f t="shared" si="3"/>
        <v>0</v>
      </c>
      <c r="J36" s="8">
        <f t="shared" si="3"/>
        <v>0</v>
      </c>
      <c r="K36" s="8">
        <f t="shared" si="3"/>
        <v>1</v>
      </c>
      <c r="L36" s="7"/>
    </row>
    <row r="37" spans="1:12" outlineLevel="1" x14ac:dyDescent="0.25">
      <c r="A37" s="22">
        <f t="shared" si="0"/>
        <v>2.0012000000000025</v>
      </c>
      <c r="B37" s="27" t="s">
        <v>49</v>
      </c>
      <c r="C37" s="24"/>
      <c r="D37" s="7"/>
      <c r="E37" s="7"/>
      <c r="F37" s="8" t="s">
        <v>8</v>
      </c>
      <c r="G37" s="8">
        <f t="shared" si="3"/>
        <v>0</v>
      </c>
      <c r="H37" s="8">
        <f t="shared" si="3"/>
        <v>0</v>
      </c>
      <c r="I37" s="8">
        <f t="shared" si="3"/>
        <v>0</v>
      </c>
      <c r="J37" s="8">
        <f t="shared" si="3"/>
        <v>0</v>
      </c>
      <c r="K37" s="8">
        <f t="shared" si="3"/>
        <v>1</v>
      </c>
      <c r="L37" s="7"/>
    </row>
    <row r="38" spans="1:12" outlineLevel="1" x14ac:dyDescent="0.25">
      <c r="A38" s="22">
        <f t="shared" si="0"/>
        <v>2.0013000000000027</v>
      </c>
      <c r="B38" s="70" t="s">
        <v>50</v>
      </c>
      <c r="C38" s="24"/>
      <c r="D38" s="71" t="s">
        <v>7</v>
      </c>
      <c r="E38" s="7"/>
      <c r="F38" s="8" t="s">
        <v>8</v>
      </c>
      <c r="G38" s="8">
        <f t="shared" si="3"/>
        <v>0</v>
      </c>
      <c r="H38" s="8">
        <f t="shared" si="3"/>
        <v>0</v>
      </c>
      <c r="I38" s="8">
        <f t="shared" si="3"/>
        <v>0</v>
      </c>
      <c r="J38" s="8">
        <f t="shared" si="3"/>
        <v>0</v>
      </c>
      <c r="K38" s="8">
        <f t="shared" si="3"/>
        <v>1</v>
      </c>
      <c r="L38" s="7"/>
    </row>
    <row r="39" spans="1:12" outlineLevel="1" x14ac:dyDescent="0.25">
      <c r="A39" s="22">
        <f t="shared" si="0"/>
        <v>2.001400000000003</v>
      </c>
      <c r="B39" s="26" t="s">
        <v>20</v>
      </c>
      <c r="C39" s="24" t="s">
        <v>41</v>
      </c>
      <c r="D39" s="165" t="s">
        <v>1180</v>
      </c>
      <c r="E39" s="7"/>
      <c r="F39" s="8" t="s">
        <v>8</v>
      </c>
      <c r="G39" s="8">
        <f t="shared" si="3"/>
        <v>0</v>
      </c>
      <c r="H39" s="8">
        <f t="shared" si="3"/>
        <v>0</v>
      </c>
      <c r="I39" s="8">
        <f t="shared" si="3"/>
        <v>0</v>
      </c>
      <c r="J39" s="8">
        <f t="shared" si="3"/>
        <v>0</v>
      </c>
      <c r="K39" s="8">
        <f t="shared" si="3"/>
        <v>1</v>
      </c>
      <c r="L39" s="7"/>
    </row>
    <row r="40" spans="1:12" outlineLevel="1" x14ac:dyDescent="0.25">
      <c r="A40" s="22">
        <f t="shared" si="0"/>
        <v>2.0015000000000032</v>
      </c>
      <c r="B40" s="31" t="s">
        <v>22</v>
      </c>
      <c r="C40" s="24"/>
      <c r="D40" s="166"/>
      <c r="E40" s="7"/>
      <c r="F40" s="8" t="s">
        <v>8</v>
      </c>
      <c r="G40" s="8">
        <f t="shared" si="3"/>
        <v>0</v>
      </c>
      <c r="H40" s="8">
        <f t="shared" si="3"/>
        <v>0</v>
      </c>
      <c r="I40" s="8">
        <f t="shared" si="3"/>
        <v>0</v>
      </c>
      <c r="J40" s="8">
        <f t="shared" si="3"/>
        <v>0</v>
      </c>
      <c r="K40" s="8">
        <f t="shared" si="3"/>
        <v>1</v>
      </c>
      <c r="L40" s="7"/>
    </row>
    <row r="41" spans="1:12" outlineLevel="1" x14ac:dyDescent="0.25">
      <c r="A41" s="22">
        <f t="shared" si="0"/>
        <v>2.0016000000000034</v>
      </c>
      <c r="B41" s="31" t="s">
        <v>42</v>
      </c>
      <c r="C41" s="24"/>
      <c r="D41" s="166"/>
      <c r="E41" s="7"/>
      <c r="F41" s="8" t="s">
        <v>8</v>
      </c>
      <c r="G41" s="8">
        <f t="shared" si="3"/>
        <v>0</v>
      </c>
      <c r="H41" s="8">
        <f t="shared" si="3"/>
        <v>0</v>
      </c>
      <c r="I41" s="8">
        <f t="shared" si="3"/>
        <v>0</v>
      </c>
      <c r="J41" s="8">
        <f t="shared" si="3"/>
        <v>0</v>
      </c>
      <c r="K41" s="8">
        <f t="shared" si="3"/>
        <v>1</v>
      </c>
      <c r="L41" s="7"/>
    </row>
    <row r="42" spans="1:12" outlineLevel="1" x14ac:dyDescent="0.25">
      <c r="A42" s="22">
        <f t="shared" si="0"/>
        <v>2.0017000000000036</v>
      </c>
      <c r="B42" s="31" t="s">
        <v>43</v>
      </c>
      <c r="C42" s="24"/>
      <c r="D42" s="166"/>
      <c r="E42" s="7"/>
      <c r="F42" s="8" t="s">
        <v>8</v>
      </c>
      <c r="G42" s="8">
        <f t="shared" ref="G42:K92" si="4">IF($F42=G$1,1,0)</f>
        <v>0</v>
      </c>
      <c r="H42" s="8">
        <f t="shared" si="4"/>
        <v>0</v>
      </c>
      <c r="I42" s="8">
        <f t="shared" si="4"/>
        <v>0</v>
      </c>
      <c r="J42" s="8">
        <f t="shared" si="4"/>
        <v>0</v>
      </c>
      <c r="K42" s="8">
        <f t="shared" si="4"/>
        <v>1</v>
      </c>
      <c r="L42" s="7"/>
    </row>
    <row r="43" spans="1:12" outlineLevel="1" x14ac:dyDescent="0.25">
      <c r="A43" s="22">
        <f t="shared" si="0"/>
        <v>2.0018000000000038</v>
      </c>
      <c r="B43" s="32" t="s">
        <v>24</v>
      </c>
      <c r="C43" s="24"/>
      <c r="D43" s="167"/>
      <c r="E43" s="7"/>
      <c r="F43" s="8" t="s">
        <v>8</v>
      </c>
      <c r="G43" s="8">
        <f t="shared" si="4"/>
        <v>0</v>
      </c>
      <c r="H43" s="8">
        <f t="shared" si="4"/>
        <v>0</v>
      </c>
      <c r="I43" s="8">
        <f t="shared" si="4"/>
        <v>0</v>
      </c>
      <c r="J43" s="8">
        <f t="shared" si="4"/>
        <v>0</v>
      </c>
      <c r="K43" s="8">
        <f t="shared" si="4"/>
        <v>1</v>
      </c>
      <c r="L43" s="7"/>
    </row>
    <row r="44" spans="1:12" ht="25.5" outlineLevel="1" x14ac:dyDescent="0.25">
      <c r="A44" s="22">
        <f t="shared" si="0"/>
        <v>2.001900000000004</v>
      </c>
      <c r="B44" s="27" t="s">
        <v>51</v>
      </c>
      <c r="C44" s="6" t="s">
        <v>52</v>
      </c>
      <c r="D44" s="7"/>
      <c r="E44" s="7"/>
      <c r="F44" s="8" t="s">
        <v>8</v>
      </c>
      <c r="G44" s="8">
        <f t="shared" si="4"/>
        <v>0</v>
      </c>
      <c r="H44" s="8">
        <f t="shared" si="4"/>
        <v>0</v>
      </c>
      <c r="I44" s="8">
        <f t="shared" si="4"/>
        <v>0</v>
      </c>
      <c r="J44" s="8">
        <f t="shared" si="4"/>
        <v>0</v>
      </c>
      <c r="K44" s="8">
        <f t="shared" si="4"/>
        <v>1</v>
      </c>
      <c r="L44" s="7"/>
    </row>
    <row r="45" spans="1:12" ht="25.5" outlineLevel="1" x14ac:dyDescent="0.25">
      <c r="A45" s="22">
        <f t="shared" si="0"/>
        <v>2.0020000000000042</v>
      </c>
      <c r="B45" s="26" t="s">
        <v>53</v>
      </c>
      <c r="C45" s="24" t="s">
        <v>54</v>
      </c>
      <c r="D45" s="7"/>
      <c r="E45" s="7"/>
      <c r="F45" s="8" t="s">
        <v>8</v>
      </c>
      <c r="G45" s="8">
        <f t="shared" si="4"/>
        <v>0</v>
      </c>
      <c r="H45" s="8">
        <f t="shared" si="4"/>
        <v>0</v>
      </c>
      <c r="I45" s="8">
        <f t="shared" si="4"/>
        <v>0</v>
      </c>
      <c r="J45" s="8">
        <f t="shared" si="4"/>
        <v>0</v>
      </c>
      <c r="K45" s="8">
        <f t="shared" si="4"/>
        <v>1</v>
      </c>
      <c r="L45" s="7"/>
    </row>
    <row r="46" spans="1:12" outlineLevel="1" x14ac:dyDescent="0.25">
      <c r="A46" s="22">
        <f t="shared" si="0"/>
        <v>2.0021000000000044</v>
      </c>
      <c r="B46" s="29"/>
      <c r="C46" s="24" t="s">
        <v>55</v>
      </c>
      <c r="D46" s="7"/>
      <c r="E46" s="7"/>
      <c r="F46" s="8" t="s">
        <v>8</v>
      </c>
      <c r="G46" s="8">
        <f t="shared" si="4"/>
        <v>0</v>
      </c>
      <c r="H46" s="8">
        <f t="shared" si="4"/>
        <v>0</v>
      </c>
      <c r="I46" s="8">
        <f t="shared" si="4"/>
        <v>0</v>
      </c>
      <c r="J46" s="8">
        <f t="shared" si="4"/>
        <v>0</v>
      </c>
      <c r="K46" s="8">
        <f t="shared" si="4"/>
        <v>1</v>
      </c>
      <c r="L46" s="7"/>
    </row>
    <row r="47" spans="1:12" ht="38.25" outlineLevel="1" x14ac:dyDescent="0.25">
      <c r="A47" s="22">
        <f t="shared" si="0"/>
        <v>2.0022000000000046</v>
      </c>
      <c r="B47" s="28" t="s">
        <v>56</v>
      </c>
      <c r="C47" s="6" t="s">
        <v>57</v>
      </c>
      <c r="D47" s="7"/>
      <c r="E47" s="7"/>
      <c r="F47" s="8" t="s">
        <v>8</v>
      </c>
      <c r="G47" s="8">
        <f t="shared" si="4"/>
        <v>0</v>
      </c>
      <c r="H47" s="8">
        <f t="shared" si="4"/>
        <v>0</v>
      </c>
      <c r="I47" s="8">
        <f t="shared" si="4"/>
        <v>0</v>
      </c>
      <c r="J47" s="8">
        <f t="shared" si="4"/>
        <v>0</v>
      </c>
      <c r="K47" s="8">
        <f t="shared" si="4"/>
        <v>1</v>
      </c>
      <c r="L47" s="7"/>
    </row>
    <row r="48" spans="1:12" ht="25.5" outlineLevel="1" x14ac:dyDescent="0.25">
      <c r="A48" s="22">
        <f t="shared" si="0"/>
        <v>2.0023000000000049</v>
      </c>
      <c r="B48" s="26" t="s">
        <v>58</v>
      </c>
      <c r="C48" s="24" t="s">
        <v>59</v>
      </c>
      <c r="D48" s="7"/>
      <c r="E48" s="7"/>
      <c r="F48" s="8" t="s">
        <v>8</v>
      </c>
      <c r="G48" s="8">
        <f t="shared" si="4"/>
        <v>0</v>
      </c>
      <c r="H48" s="8">
        <f t="shared" si="4"/>
        <v>0</v>
      </c>
      <c r="I48" s="8">
        <f t="shared" si="4"/>
        <v>0</v>
      </c>
      <c r="J48" s="8">
        <f t="shared" si="4"/>
        <v>0</v>
      </c>
      <c r="K48" s="8">
        <f t="shared" si="4"/>
        <v>1</v>
      </c>
      <c r="L48" s="7"/>
    </row>
    <row r="49" spans="1:12" outlineLevel="1" x14ac:dyDescent="0.25">
      <c r="A49" s="22">
        <f t="shared" si="0"/>
        <v>2.0024000000000051</v>
      </c>
      <c r="B49" s="27" t="s">
        <v>60</v>
      </c>
      <c r="C49" s="24"/>
      <c r="D49" s="7"/>
      <c r="E49" s="7"/>
      <c r="F49" s="8" t="s">
        <v>8</v>
      </c>
      <c r="G49" s="8">
        <f t="shared" si="4"/>
        <v>0</v>
      </c>
      <c r="H49" s="8">
        <f t="shared" si="4"/>
        <v>0</v>
      </c>
      <c r="I49" s="8">
        <f t="shared" si="4"/>
        <v>0</v>
      </c>
      <c r="J49" s="8">
        <f t="shared" si="4"/>
        <v>0</v>
      </c>
      <c r="K49" s="8">
        <f t="shared" si="4"/>
        <v>1</v>
      </c>
      <c r="L49" s="7"/>
    </row>
    <row r="50" spans="1:12" outlineLevel="1" x14ac:dyDescent="0.25">
      <c r="A50" s="22">
        <f t="shared" si="0"/>
        <v>2.0025000000000053</v>
      </c>
      <c r="B50" s="27" t="s">
        <v>61</v>
      </c>
      <c r="C50" s="24"/>
      <c r="D50" s="7"/>
      <c r="E50" s="7"/>
      <c r="F50" s="8" t="s">
        <v>8</v>
      </c>
      <c r="G50" s="8">
        <f t="shared" si="4"/>
        <v>0</v>
      </c>
      <c r="H50" s="8">
        <f t="shared" si="4"/>
        <v>0</v>
      </c>
      <c r="I50" s="8">
        <f t="shared" si="4"/>
        <v>0</v>
      </c>
      <c r="J50" s="8">
        <f t="shared" si="4"/>
        <v>0</v>
      </c>
      <c r="K50" s="8">
        <f t="shared" si="4"/>
        <v>1</v>
      </c>
      <c r="L50" s="7"/>
    </row>
    <row r="51" spans="1:12" outlineLevel="1" x14ac:dyDescent="0.25">
      <c r="A51" s="22">
        <f t="shared" si="0"/>
        <v>2.0026000000000055</v>
      </c>
      <c r="B51" s="27" t="s">
        <v>62</v>
      </c>
      <c r="C51" s="24"/>
      <c r="D51" s="7"/>
      <c r="E51" s="7"/>
      <c r="F51" s="8" t="s">
        <v>8</v>
      </c>
      <c r="G51" s="8">
        <f t="shared" si="4"/>
        <v>0</v>
      </c>
      <c r="H51" s="8">
        <f t="shared" si="4"/>
        <v>0</v>
      </c>
      <c r="I51" s="8">
        <f t="shared" si="4"/>
        <v>0</v>
      </c>
      <c r="J51" s="8">
        <f t="shared" si="4"/>
        <v>0</v>
      </c>
      <c r="K51" s="8">
        <f t="shared" si="4"/>
        <v>1</v>
      </c>
      <c r="L51" s="7"/>
    </row>
    <row r="52" spans="1:12" outlineLevel="1" x14ac:dyDescent="0.25">
      <c r="A52" s="22">
        <f t="shared" si="0"/>
        <v>2.0027000000000057</v>
      </c>
      <c r="B52" s="27" t="s">
        <v>63</v>
      </c>
      <c r="C52" s="23"/>
      <c r="D52" s="7"/>
      <c r="E52" s="7"/>
      <c r="F52" s="8" t="s">
        <v>8</v>
      </c>
      <c r="G52" s="8">
        <f t="shared" si="4"/>
        <v>0</v>
      </c>
      <c r="H52" s="8">
        <f t="shared" si="4"/>
        <v>0</v>
      </c>
      <c r="I52" s="8">
        <f t="shared" si="4"/>
        <v>0</v>
      </c>
      <c r="J52" s="8">
        <f t="shared" si="4"/>
        <v>0</v>
      </c>
      <c r="K52" s="8">
        <f t="shared" si="4"/>
        <v>1</v>
      </c>
      <c r="L52" s="7"/>
    </row>
    <row r="53" spans="1:12" outlineLevel="1" x14ac:dyDescent="0.25">
      <c r="A53" s="22">
        <f t="shared" si="0"/>
        <v>2.0028000000000059</v>
      </c>
      <c r="B53" s="27" t="s">
        <v>64</v>
      </c>
      <c r="C53" s="24"/>
      <c r="D53" s="7"/>
      <c r="E53" s="7"/>
      <c r="F53" s="8" t="s">
        <v>8</v>
      </c>
      <c r="G53" s="8">
        <f t="shared" si="4"/>
        <v>0</v>
      </c>
      <c r="H53" s="8">
        <f t="shared" si="4"/>
        <v>0</v>
      </c>
      <c r="I53" s="8">
        <f t="shared" si="4"/>
        <v>0</v>
      </c>
      <c r="J53" s="8">
        <f t="shared" si="4"/>
        <v>0</v>
      </c>
      <c r="K53" s="8">
        <f t="shared" si="4"/>
        <v>1</v>
      </c>
      <c r="L53" s="7"/>
    </row>
    <row r="54" spans="1:12" outlineLevel="1" x14ac:dyDescent="0.25">
      <c r="A54" s="22">
        <f t="shared" si="0"/>
        <v>2.0029000000000061</v>
      </c>
      <c r="B54" s="27" t="s">
        <v>65</v>
      </c>
      <c r="C54" s="24"/>
      <c r="D54" s="7"/>
      <c r="E54" s="7"/>
      <c r="F54" s="8" t="s">
        <v>8</v>
      </c>
      <c r="G54" s="8">
        <f t="shared" si="4"/>
        <v>0</v>
      </c>
      <c r="H54" s="8">
        <f t="shared" si="4"/>
        <v>0</v>
      </c>
      <c r="I54" s="8">
        <f t="shared" si="4"/>
        <v>0</v>
      </c>
      <c r="J54" s="8">
        <f t="shared" si="4"/>
        <v>0</v>
      </c>
      <c r="K54" s="8">
        <f t="shared" si="4"/>
        <v>1</v>
      </c>
      <c r="L54" s="7"/>
    </row>
    <row r="55" spans="1:12" outlineLevel="1" x14ac:dyDescent="0.25">
      <c r="A55" s="22">
        <f t="shared" si="0"/>
        <v>2.0030000000000063</v>
      </c>
      <c r="B55" s="27" t="s">
        <v>66</v>
      </c>
      <c r="C55" s="24"/>
      <c r="D55" s="7"/>
      <c r="E55" s="7"/>
      <c r="F55" s="8" t="s">
        <v>8</v>
      </c>
      <c r="G55" s="8">
        <f t="shared" si="4"/>
        <v>0</v>
      </c>
      <c r="H55" s="8">
        <f t="shared" si="4"/>
        <v>0</v>
      </c>
      <c r="I55" s="8">
        <f t="shared" si="4"/>
        <v>0</v>
      </c>
      <c r="J55" s="8">
        <f t="shared" si="4"/>
        <v>0</v>
      </c>
      <c r="K55" s="8">
        <f t="shared" si="4"/>
        <v>1</v>
      </c>
      <c r="L55" s="7"/>
    </row>
    <row r="56" spans="1:12" ht="25.5" outlineLevel="1" x14ac:dyDescent="0.25">
      <c r="A56" s="22">
        <f t="shared" si="0"/>
        <v>2.0031000000000065</v>
      </c>
      <c r="B56" s="26" t="s">
        <v>67</v>
      </c>
      <c r="C56" s="24" t="s">
        <v>68</v>
      </c>
      <c r="D56" s="7"/>
      <c r="E56" s="7"/>
      <c r="F56" s="8" t="s">
        <v>8</v>
      </c>
      <c r="G56" s="8">
        <f t="shared" si="4"/>
        <v>0</v>
      </c>
      <c r="H56" s="8">
        <f t="shared" si="4"/>
        <v>0</v>
      </c>
      <c r="I56" s="8">
        <f t="shared" si="4"/>
        <v>0</v>
      </c>
      <c r="J56" s="8">
        <f t="shared" si="4"/>
        <v>0</v>
      </c>
      <c r="K56" s="8">
        <f t="shared" si="4"/>
        <v>1</v>
      </c>
      <c r="L56" s="7"/>
    </row>
    <row r="57" spans="1:12" outlineLevel="1" x14ac:dyDescent="0.25">
      <c r="A57" s="22">
        <f t="shared" si="0"/>
        <v>2.0032000000000068</v>
      </c>
      <c r="B57" s="27" t="s">
        <v>69</v>
      </c>
      <c r="C57" s="24" t="s">
        <v>69</v>
      </c>
      <c r="D57" s="7"/>
      <c r="E57" s="7"/>
      <c r="F57" s="8" t="s">
        <v>8</v>
      </c>
      <c r="G57" s="8">
        <f t="shared" si="4"/>
        <v>0</v>
      </c>
      <c r="H57" s="8">
        <f t="shared" si="4"/>
        <v>0</v>
      </c>
      <c r="I57" s="8">
        <f t="shared" si="4"/>
        <v>0</v>
      </c>
      <c r="J57" s="8">
        <f t="shared" si="4"/>
        <v>0</v>
      </c>
      <c r="K57" s="8">
        <f t="shared" si="4"/>
        <v>1</v>
      </c>
      <c r="L57" s="7"/>
    </row>
    <row r="58" spans="1:12" outlineLevel="1" x14ac:dyDescent="0.25">
      <c r="A58" s="22">
        <f t="shared" si="0"/>
        <v>2.003300000000007</v>
      </c>
      <c r="B58" s="27"/>
      <c r="C58" s="24" t="s">
        <v>70</v>
      </c>
      <c r="D58" s="7"/>
      <c r="E58" s="7"/>
      <c r="F58" s="8" t="s">
        <v>8</v>
      </c>
      <c r="G58" s="8">
        <f t="shared" si="4"/>
        <v>0</v>
      </c>
      <c r="H58" s="8">
        <f t="shared" si="4"/>
        <v>0</v>
      </c>
      <c r="I58" s="8">
        <f t="shared" si="4"/>
        <v>0</v>
      </c>
      <c r="J58" s="8">
        <f t="shared" si="4"/>
        <v>0</v>
      </c>
      <c r="K58" s="8">
        <f t="shared" si="4"/>
        <v>1</v>
      </c>
      <c r="L58" s="7"/>
    </row>
    <row r="59" spans="1:12" outlineLevel="1" x14ac:dyDescent="0.25">
      <c r="A59" s="22">
        <f t="shared" si="0"/>
        <v>2.0034000000000072</v>
      </c>
      <c r="B59" s="27"/>
      <c r="C59" s="24" t="s">
        <v>71</v>
      </c>
      <c r="D59" s="7"/>
      <c r="E59" s="7"/>
      <c r="F59" s="8" t="s">
        <v>8</v>
      </c>
      <c r="G59" s="8">
        <f t="shared" si="4"/>
        <v>0</v>
      </c>
      <c r="H59" s="8">
        <f t="shared" si="4"/>
        <v>0</v>
      </c>
      <c r="I59" s="8">
        <f t="shared" si="4"/>
        <v>0</v>
      </c>
      <c r="J59" s="8">
        <f t="shared" si="4"/>
        <v>0</v>
      </c>
      <c r="K59" s="8">
        <f t="shared" si="4"/>
        <v>1</v>
      </c>
      <c r="L59" s="7"/>
    </row>
    <row r="60" spans="1:12" outlineLevel="1" x14ac:dyDescent="0.25">
      <c r="A60" s="22">
        <f t="shared" si="0"/>
        <v>2.0035000000000074</v>
      </c>
      <c r="B60" s="26" t="s">
        <v>72</v>
      </c>
      <c r="C60" s="24" t="s">
        <v>73</v>
      </c>
      <c r="D60" s="7"/>
      <c r="E60" s="7"/>
      <c r="F60" s="8" t="s">
        <v>8</v>
      </c>
      <c r="G60" s="8">
        <f t="shared" si="4"/>
        <v>0</v>
      </c>
      <c r="H60" s="8">
        <f t="shared" si="4"/>
        <v>0</v>
      </c>
      <c r="I60" s="8">
        <f t="shared" si="4"/>
        <v>0</v>
      </c>
      <c r="J60" s="8">
        <f t="shared" si="4"/>
        <v>0</v>
      </c>
      <c r="K60" s="8">
        <f t="shared" si="4"/>
        <v>1</v>
      </c>
      <c r="L60" s="7"/>
    </row>
    <row r="61" spans="1:12" ht="38.25" outlineLevel="1" x14ac:dyDescent="0.25">
      <c r="A61" s="22">
        <f t="shared" si="0"/>
        <v>2.0036000000000076</v>
      </c>
      <c r="B61" s="27"/>
      <c r="C61" s="24" t="s">
        <v>74</v>
      </c>
      <c r="D61" s="7"/>
      <c r="E61" s="7"/>
      <c r="F61" s="8" t="s">
        <v>8</v>
      </c>
      <c r="G61" s="8">
        <f t="shared" si="4"/>
        <v>0</v>
      </c>
      <c r="H61" s="8">
        <f t="shared" si="4"/>
        <v>0</v>
      </c>
      <c r="I61" s="8">
        <f t="shared" si="4"/>
        <v>0</v>
      </c>
      <c r="J61" s="8">
        <f t="shared" si="4"/>
        <v>0</v>
      </c>
      <c r="K61" s="8">
        <f t="shared" si="4"/>
        <v>1</v>
      </c>
      <c r="L61" s="7"/>
    </row>
    <row r="62" spans="1:12" ht="25.5" outlineLevel="1" x14ac:dyDescent="0.25">
      <c r="A62" s="22">
        <f t="shared" si="0"/>
        <v>2.0037000000000078</v>
      </c>
      <c r="B62" s="27"/>
      <c r="C62" s="24" t="s">
        <v>75</v>
      </c>
      <c r="D62" s="7"/>
      <c r="E62" s="7"/>
      <c r="F62" s="8" t="s">
        <v>8</v>
      </c>
      <c r="G62" s="8">
        <f t="shared" si="4"/>
        <v>0</v>
      </c>
      <c r="H62" s="8">
        <f t="shared" si="4"/>
        <v>0</v>
      </c>
      <c r="I62" s="8">
        <f t="shared" si="4"/>
        <v>0</v>
      </c>
      <c r="J62" s="8">
        <f t="shared" si="4"/>
        <v>0</v>
      </c>
      <c r="K62" s="8">
        <f t="shared" si="4"/>
        <v>1</v>
      </c>
      <c r="L62" s="7"/>
    </row>
    <row r="63" spans="1:12" ht="25.5" outlineLevel="1" x14ac:dyDescent="0.25">
      <c r="A63" s="22">
        <f t="shared" si="0"/>
        <v>2.003800000000008</v>
      </c>
      <c r="B63" s="27"/>
      <c r="C63" s="24" t="s">
        <v>76</v>
      </c>
      <c r="D63" s="7"/>
      <c r="E63" s="7"/>
      <c r="F63" s="8" t="s">
        <v>8</v>
      </c>
      <c r="G63" s="8">
        <f t="shared" si="4"/>
        <v>0</v>
      </c>
      <c r="H63" s="8">
        <f t="shared" si="4"/>
        <v>0</v>
      </c>
      <c r="I63" s="8">
        <f t="shared" si="4"/>
        <v>0</v>
      </c>
      <c r="J63" s="8">
        <f t="shared" si="4"/>
        <v>0</v>
      </c>
      <c r="K63" s="8">
        <f t="shared" si="4"/>
        <v>1</v>
      </c>
      <c r="L63" s="7"/>
    </row>
    <row r="64" spans="1:12" outlineLevel="1" x14ac:dyDescent="0.25">
      <c r="A64" s="22">
        <f t="shared" si="0"/>
        <v>2.0039000000000082</v>
      </c>
      <c r="B64" s="26" t="s">
        <v>77</v>
      </c>
      <c r="C64" s="24" t="s">
        <v>78</v>
      </c>
      <c r="D64" s="7"/>
      <c r="E64" s="7"/>
      <c r="F64" s="8" t="s">
        <v>8</v>
      </c>
      <c r="G64" s="8">
        <f t="shared" si="4"/>
        <v>0</v>
      </c>
      <c r="H64" s="8">
        <f t="shared" si="4"/>
        <v>0</v>
      </c>
      <c r="I64" s="8">
        <f t="shared" si="4"/>
        <v>0</v>
      </c>
      <c r="J64" s="8">
        <f t="shared" si="4"/>
        <v>0</v>
      </c>
      <c r="K64" s="8">
        <f t="shared" si="4"/>
        <v>1</v>
      </c>
      <c r="L64" s="7"/>
    </row>
    <row r="65" spans="1:12" ht="25.5" outlineLevel="1" x14ac:dyDescent="0.25">
      <c r="A65" s="22">
        <f t="shared" si="0"/>
        <v>2.0040000000000084</v>
      </c>
      <c r="B65" s="27"/>
      <c r="C65" s="24" t="s">
        <v>79</v>
      </c>
      <c r="D65" s="7"/>
      <c r="E65" s="7"/>
      <c r="F65" s="8" t="s">
        <v>8</v>
      </c>
      <c r="G65" s="8">
        <f t="shared" si="4"/>
        <v>0</v>
      </c>
      <c r="H65" s="8">
        <f t="shared" si="4"/>
        <v>0</v>
      </c>
      <c r="I65" s="8">
        <f t="shared" si="4"/>
        <v>0</v>
      </c>
      <c r="J65" s="8">
        <f t="shared" si="4"/>
        <v>0</v>
      </c>
      <c r="K65" s="8">
        <f t="shared" si="4"/>
        <v>1</v>
      </c>
      <c r="L65" s="7"/>
    </row>
    <row r="66" spans="1:12" outlineLevel="1" x14ac:dyDescent="0.25">
      <c r="A66" s="22">
        <f t="shared" si="0"/>
        <v>2.0041000000000087</v>
      </c>
      <c r="B66" s="27"/>
      <c r="C66" s="24" t="s">
        <v>80</v>
      </c>
      <c r="D66" s="7"/>
      <c r="E66" s="7"/>
      <c r="F66" s="8" t="s">
        <v>8</v>
      </c>
      <c r="G66" s="8">
        <f t="shared" si="4"/>
        <v>0</v>
      </c>
      <c r="H66" s="8">
        <f t="shared" si="4"/>
        <v>0</v>
      </c>
      <c r="I66" s="8">
        <f t="shared" si="4"/>
        <v>0</v>
      </c>
      <c r="J66" s="8">
        <f t="shared" si="4"/>
        <v>0</v>
      </c>
      <c r="K66" s="8">
        <f t="shared" si="4"/>
        <v>1</v>
      </c>
      <c r="L66" s="7"/>
    </row>
    <row r="67" spans="1:12" ht="25.5" outlineLevel="1" x14ac:dyDescent="0.25">
      <c r="A67" s="22">
        <f t="shared" si="0"/>
        <v>2.0042000000000089</v>
      </c>
      <c r="B67" s="26" t="s">
        <v>81</v>
      </c>
      <c r="C67" s="24" t="s">
        <v>82</v>
      </c>
      <c r="D67" s="7"/>
      <c r="E67" s="7"/>
      <c r="F67" s="8" t="s">
        <v>8</v>
      </c>
      <c r="G67" s="8">
        <f t="shared" si="4"/>
        <v>0</v>
      </c>
      <c r="H67" s="8">
        <f t="shared" si="4"/>
        <v>0</v>
      </c>
      <c r="I67" s="8">
        <f t="shared" si="4"/>
        <v>0</v>
      </c>
      <c r="J67" s="8">
        <f t="shared" si="4"/>
        <v>0</v>
      </c>
      <c r="K67" s="8">
        <f t="shared" si="4"/>
        <v>1</v>
      </c>
      <c r="L67" s="7"/>
    </row>
    <row r="68" spans="1:12" ht="25.5" outlineLevel="1" x14ac:dyDescent="0.25">
      <c r="A68" s="22">
        <f t="shared" si="0"/>
        <v>2.0043000000000091</v>
      </c>
      <c r="B68" s="27"/>
      <c r="C68" s="24" t="s">
        <v>83</v>
      </c>
      <c r="D68" s="7"/>
      <c r="E68" s="7"/>
      <c r="F68" s="8" t="s">
        <v>8</v>
      </c>
      <c r="G68" s="8">
        <f t="shared" si="4"/>
        <v>0</v>
      </c>
      <c r="H68" s="8">
        <f t="shared" si="4"/>
        <v>0</v>
      </c>
      <c r="I68" s="8">
        <f t="shared" si="4"/>
        <v>0</v>
      </c>
      <c r="J68" s="8">
        <f t="shared" si="4"/>
        <v>0</v>
      </c>
      <c r="K68" s="8">
        <f t="shared" si="4"/>
        <v>1</v>
      </c>
      <c r="L68" s="7"/>
    </row>
    <row r="69" spans="1:12" ht="38.25" outlineLevel="1" x14ac:dyDescent="0.25">
      <c r="A69" s="22">
        <f t="shared" si="0"/>
        <v>2.0044000000000093</v>
      </c>
      <c r="B69" s="26" t="s">
        <v>84</v>
      </c>
      <c r="C69" s="24" t="s">
        <v>85</v>
      </c>
      <c r="D69" s="7"/>
      <c r="E69" s="7"/>
      <c r="F69" s="8" t="s">
        <v>8</v>
      </c>
      <c r="G69" s="8">
        <f t="shared" si="4"/>
        <v>0</v>
      </c>
      <c r="H69" s="8">
        <f t="shared" si="4"/>
        <v>0</v>
      </c>
      <c r="I69" s="8">
        <f t="shared" si="4"/>
        <v>0</v>
      </c>
      <c r="J69" s="8">
        <f t="shared" si="4"/>
        <v>0</v>
      </c>
      <c r="K69" s="8">
        <f t="shared" si="4"/>
        <v>1</v>
      </c>
      <c r="L69" s="7"/>
    </row>
    <row r="70" spans="1:12" ht="25.5" outlineLevel="1" x14ac:dyDescent="0.25">
      <c r="A70" s="22">
        <f t="shared" si="0"/>
        <v>2.0045000000000095</v>
      </c>
      <c r="B70" s="27"/>
      <c r="C70" s="24" t="s">
        <v>86</v>
      </c>
      <c r="D70" s="7" t="s">
        <v>746</v>
      </c>
      <c r="E70" s="7"/>
      <c r="F70" s="8" t="s">
        <v>8</v>
      </c>
      <c r="G70" s="8">
        <f t="shared" si="4"/>
        <v>0</v>
      </c>
      <c r="H70" s="8">
        <f t="shared" si="4"/>
        <v>0</v>
      </c>
      <c r="I70" s="8">
        <f t="shared" si="4"/>
        <v>0</v>
      </c>
      <c r="J70" s="8">
        <f t="shared" si="4"/>
        <v>0</v>
      </c>
      <c r="K70" s="8">
        <f t="shared" si="4"/>
        <v>1</v>
      </c>
      <c r="L70" s="7"/>
    </row>
    <row r="71" spans="1:12" ht="25.5" outlineLevel="1" x14ac:dyDescent="0.25">
      <c r="A71" s="22">
        <f t="shared" si="0"/>
        <v>2.0046000000000097</v>
      </c>
      <c r="B71" s="27"/>
      <c r="C71" s="24" t="s">
        <v>87</v>
      </c>
      <c r="D71" s="7"/>
      <c r="E71" s="7"/>
      <c r="F71" s="8" t="s">
        <v>8</v>
      </c>
      <c r="G71" s="8">
        <f t="shared" si="4"/>
        <v>0</v>
      </c>
      <c r="H71" s="8">
        <f t="shared" si="4"/>
        <v>0</v>
      </c>
      <c r="I71" s="8">
        <f t="shared" si="4"/>
        <v>0</v>
      </c>
      <c r="J71" s="8">
        <f t="shared" si="4"/>
        <v>0</v>
      </c>
      <c r="K71" s="8">
        <f t="shared" si="4"/>
        <v>1</v>
      </c>
      <c r="L71" s="7"/>
    </row>
    <row r="72" spans="1:12" outlineLevel="1" x14ac:dyDescent="0.25">
      <c r="A72" s="22">
        <f t="shared" si="0"/>
        <v>2.0047000000000099</v>
      </c>
      <c r="B72" s="26" t="s">
        <v>20</v>
      </c>
      <c r="C72" s="24" t="s">
        <v>88</v>
      </c>
      <c r="D72" s="165" t="s">
        <v>1180</v>
      </c>
      <c r="E72" s="7"/>
      <c r="F72" s="8" t="s">
        <v>8</v>
      </c>
      <c r="G72" s="8">
        <f t="shared" si="4"/>
        <v>0</v>
      </c>
      <c r="H72" s="8">
        <f t="shared" si="4"/>
        <v>0</v>
      </c>
      <c r="I72" s="8">
        <f t="shared" si="4"/>
        <v>0</v>
      </c>
      <c r="J72" s="8">
        <f t="shared" si="4"/>
        <v>0</v>
      </c>
      <c r="K72" s="8">
        <f t="shared" si="4"/>
        <v>1</v>
      </c>
      <c r="L72" s="7"/>
    </row>
    <row r="73" spans="1:12" outlineLevel="1" x14ac:dyDescent="0.25">
      <c r="A73" s="22">
        <f t="shared" si="0"/>
        <v>2.0048000000000101</v>
      </c>
      <c r="B73" s="31" t="s">
        <v>22</v>
      </c>
      <c r="C73" s="24"/>
      <c r="D73" s="166"/>
      <c r="E73" s="7"/>
      <c r="F73" s="8" t="s">
        <v>8</v>
      </c>
      <c r="G73" s="8">
        <f t="shared" si="4"/>
        <v>0</v>
      </c>
      <c r="H73" s="8">
        <f t="shared" si="4"/>
        <v>0</v>
      </c>
      <c r="I73" s="8">
        <f t="shared" si="4"/>
        <v>0</v>
      </c>
      <c r="J73" s="8">
        <f t="shared" si="4"/>
        <v>0</v>
      </c>
      <c r="K73" s="8">
        <f t="shared" si="4"/>
        <v>1</v>
      </c>
      <c r="L73" s="7"/>
    </row>
    <row r="74" spans="1:12" outlineLevel="1" x14ac:dyDescent="0.25">
      <c r="A74" s="22">
        <f t="shared" ref="A74:A141" si="5">A73+0.0001</f>
        <v>2.0049000000000103</v>
      </c>
      <c r="B74" s="31" t="s">
        <v>89</v>
      </c>
      <c r="C74" s="24"/>
      <c r="D74" s="166"/>
      <c r="E74" s="7"/>
      <c r="F74" s="8" t="s">
        <v>8</v>
      </c>
      <c r="G74" s="8">
        <f t="shared" si="4"/>
        <v>0</v>
      </c>
      <c r="H74" s="8">
        <f t="shared" si="4"/>
        <v>0</v>
      </c>
      <c r="I74" s="8">
        <f t="shared" si="4"/>
        <v>0</v>
      </c>
      <c r="J74" s="8">
        <f t="shared" si="4"/>
        <v>0</v>
      </c>
      <c r="K74" s="8">
        <f t="shared" si="4"/>
        <v>1</v>
      </c>
      <c r="L74" s="7"/>
    </row>
    <row r="75" spans="1:12" outlineLevel="1" x14ac:dyDescent="0.25">
      <c r="A75" s="22">
        <f t="shared" si="5"/>
        <v>2.0050000000000106</v>
      </c>
      <c r="B75" s="31" t="s">
        <v>90</v>
      </c>
      <c r="C75" s="24"/>
      <c r="D75" s="166"/>
      <c r="E75" s="7"/>
      <c r="F75" s="8" t="s">
        <v>8</v>
      </c>
      <c r="G75" s="8">
        <f t="shared" si="4"/>
        <v>0</v>
      </c>
      <c r="H75" s="8">
        <f t="shared" si="4"/>
        <v>0</v>
      </c>
      <c r="I75" s="8">
        <f t="shared" si="4"/>
        <v>0</v>
      </c>
      <c r="J75" s="8">
        <f t="shared" si="4"/>
        <v>0</v>
      </c>
      <c r="K75" s="8">
        <f t="shared" si="4"/>
        <v>1</v>
      </c>
      <c r="L75" s="7"/>
    </row>
    <row r="76" spans="1:12" outlineLevel="1" x14ac:dyDescent="0.25">
      <c r="A76" s="22">
        <f t="shared" si="5"/>
        <v>2.0051000000000108</v>
      </c>
      <c r="B76" s="32" t="s">
        <v>24</v>
      </c>
      <c r="C76" s="24"/>
      <c r="D76" s="167"/>
      <c r="E76" s="7"/>
      <c r="F76" s="8" t="s">
        <v>8</v>
      </c>
      <c r="G76" s="8">
        <f t="shared" si="4"/>
        <v>0</v>
      </c>
      <c r="H76" s="8">
        <f t="shared" si="4"/>
        <v>0</v>
      </c>
      <c r="I76" s="8">
        <f t="shared" si="4"/>
        <v>0</v>
      </c>
      <c r="J76" s="8">
        <f t="shared" si="4"/>
        <v>0</v>
      </c>
      <c r="K76" s="8">
        <f t="shared" si="4"/>
        <v>1</v>
      </c>
      <c r="L76" s="7"/>
    </row>
    <row r="77" spans="1:12" ht="25.5" outlineLevel="1" x14ac:dyDescent="0.25">
      <c r="A77" s="22">
        <f t="shared" si="5"/>
        <v>2.005200000000011</v>
      </c>
      <c r="B77" s="25" t="s">
        <v>91</v>
      </c>
      <c r="C77" s="6" t="s">
        <v>92</v>
      </c>
      <c r="D77" s="7"/>
      <c r="E77" s="7"/>
      <c r="F77" s="8" t="s">
        <v>8</v>
      </c>
      <c r="G77" s="8">
        <f t="shared" si="4"/>
        <v>0</v>
      </c>
      <c r="H77" s="8">
        <f t="shared" si="4"/>
        <v>0</v>
      </c>
      <c r="I77" s="8">
        <f t="shared" si="4"/>
        <v>0</v>
      </c>
      <c r="J77" s="8">
        <f t="shared" si="4"/>
        <v>0</v>
      </c>
      <c r="K77" s="8">
        <f t="shared" si="4"/>
        <v>1</v>
      </c>
      <c r="L77" s="7"/>
    </row>
    <row r="78" spans="1:12" ht="25.5" outlineLevel="1" x14ac:dyDescent="0.25">
      <c r="A78" s="22">
        <f t="shared" si="5"/>
        <v>2.0053000000000112</v>
      </c>
      <c r="B78" s="28"/>
      <c r="C78" s="6" t="s">
        <v>93</v>
      </c>
      <c r="D78" s="7"/>
      <c r="E78" s="7"/>
      <c r="F78" s="8" t="s">
        <v>8</v>
      </c>
      <c r="G78" s="8">
        <f t="shared" si="4"/>
        <v>0</v>
      </c>
      <c r="H78" s="8">
        <f t="shared" si="4"/>
        <v>0</v>
      </c>
      <c r="I78" s="8">
        <f t="shared" si="4"/>
        <v>0</v>
      </c>
      <c r="J78" s="8">
        <f t="shared" si="4"/>
        <v>0</v>
      </c>
      <c r="K78" s="8">
        <f t="shared" si="4"/>
        <v>1</v>
      </c>
      <c r="L78" s="7"/>
    </row>
    <row r="79" spans="1:12" outlineLevel="1" x14ac:dyDescent="0.25">
      <c r="A79" s="22">
        <f t="shared" si="5"/>
        <v>2.0054000000000114</v>
      </c>
      <c r="B79" s="26" t="s">
        <v>94</v>
      </c>
      <c r="C79" s="24" t="s">
        <v>95</v>
      </c>
      <c r="D79" s="7"/>
      <c r="E79" s="7"/>
      <c r="F79" s="8" t="s">
        <v>8</v>
      </c>
      <c r="G79" s="8">
        <f t="shared" si="4"/>
        <v>0</v>
      </c>
      <c r="H79" s="8">
        <f t="shared" si="4"/>
        <v>0</v>
      </c>
      <c r="I79" s="8">
        <f t="shared" si="4"/>
        <v>0</v>
      </c>
      <c r="J79" s="8">
        <f t="shared" si="4"/>
        <v>0</v>
      </c>
      <c r="K79" s="8">
        <f t="shared" si="4"/>
        <v>1</v>
      </c>
      <c r="L79" s="7"/>
    </row>
    <row r="80" spans="1:12" outlineLevel="1" x14ac:dyDescent="0.25">
      <c r="A80" s="22">
        <f t="shared" si="5"/>
        <v>2.0055000000000116</v>
      </c>
      <c r="B80" s="27"/>
      <c r="C80" s="24" t="s">
        <v>29</v>
      </c>
      <c r="D80" s="7"/>
      <c r="E80" s="7"/>
      <c r="F80" s="8" t="s">
        <v>8</v>
      </c>
      <c r="G80" s="8">
        <f t="shared" si="4"/>
        <v>0</v>
      </c>
      <c r="H80" s="8">
        <f t="shared" si="4"/>
        <v>0</v>
      </c>
      <c r="I80" s="8">
        <f t="shared" si="4"/>
        <v>0</v>
      </c>
      <c r="J80" s="8">
        <f t="shared" si="4"/>
        <v>0</v>
      </c>
      <c r="K80" s="8">
        <f t="shared" si="4"/>
        <v>1</v>
      </c>
      <c r="L80" s="7"/>
    </row>
    <row r="81" spans="1:12" outlineLevel="1" x14ac:dyDescent="0.25">
      <c r="A81" s="22">
        <f t="shared" si="5"/>
        <v>2.0056000000000118</v>
      </c>
      <c r="B81" s="27"/>
      <c r="C81" s="24" t="s">
        <v>96</v>
      </c>
      <c r="D81" s="7" t="s">
        <v>747</v>
      </c>
      <c r="E81" s="7"/>
      <c r="F81" s="8" t="s">
        <v>8</v>
      </c>
      <c r="G81" s="8">
        <f t="shared" si="4"/>
        <v>0</v>
      </c>
      <c r="H81" s="8">
        <f t="shared" si="4"/>
        <v>0</v>
      </c>
      <c r="I81" s="8">
        <f t="shared" si="4"/>
        <v>0</v>
      </c>
      <c r="J81" s="8">
        <f t="shared" si="4"/>
        <v>0</v>
      </c>
      <c r="K81" s="8">
        <f t="shared" si="4"/>
        <v>1</v>
      </c>
      <c r="L81" s="7"/>
    </row>
    <row r="82" spans="1:12" outlineLevel="1" x14ac:dyDescent="0.25">
      <c r="A82" s="22">
        <f t="shared" si="5"/>
        <v>2.005700000000012</v>
      </c>
      <c r="B82" s="27"/>
      <c r="C82" s="24" t="s">
        <v>97</v>
      </c>
      <c r="D82" s="7" t="s">
        <v>747</v>
      </c>
      <c r="E82" s="7"/>
      <c r="F82" s="8" t="s">
        <v>8</v>
      </c>
      <c r="G82" s="8">
        <f t="shared" si="4"/>
        <v>0</v>
      </c>
      <c r="H82" s="8">
        <f t="shared" si="4"/>
        <v>0</v>
      </c>
      <c r="I82" s="8">
        <f t="shared" si="4"/>
        <v>0</v>
      </c>
      <c r="J82" s="8">
        <f t="shared" si="4"/>
        <v>0</v>
      </c>
      <c r="K82" s="8">
        <f t="shared" si="4"/>
        <v>1</v>
      </c>
      <c r="L82" s="7"/>
    </row>
    <row r="83" spans="1:12" outlineLevel="1" x14ac:dyDescent="0.25">
      <c r="A83" s="22">
        <f t="shared" si="5"/>
        <v>2.0058000000000122</v>
      </c>
      <c r="B83" s="27"/>
      <c r="C83" s="24" t="s">
        <v>98</v>
      </c>
      <c r="D83" s="7"/>
      <c r="E83" s="7"/>
      <c r="F83" s="8" t="s">
        <v>8</v>
      </c>
      <c r="G83" s="8">
        <f t="shared" si="4"/>
        <v>0</v>
      </c>
      <c r="H83" s="8">
        <f t="shared" si="4"/>
        <v>0</v>
      </c>
      <c r="I83" s="8">
        <f t="shared" si="4"/>
        <v>0</v>
      </c>
      <c r="J83" s="8">
        <f t="shared" si="4"/>
        <v>0</v>
      </c>
      <c r="K83" s="8">
        <f t="shared" si="4"/>
        <v>1</v>
      </c>
      <c r="L83" s="7"/>
    </row>
    <row r="84" spans="1:12" outlineLevel="1" x14ac:dyDescent="0.25">
      <c r="A84" s="22">
        <f t="shared" si="5"/>
        <v>2.0059000000000125</v>
      </c>
      <c r="B84" s="26" t="s">
        <v>99</v>
      </c>
      <c r="C84" s="24" t="s">
        <v>100</v>
      </c>
      <c r="D84" s="165" t="s">
        <v>1180</v>
      </c>
      <c r="E84" s="7"/>
      <c r="F84" s="8" t="s">
        <v>8</v>
      </c>
      <c r="G84" s="8">
        <f t="shared" si="4"/>
        <v>0</v>
      </c>
      <c r="H84" s="8">
        <f t="shared" si="4"/>
        <v>0</v>
      </c>
      <c r="I84" s="8">
        <f t="shared" si="4"/>
        <v>0</v>
      </c>
      <c r="J84" s="8">
        <f t="shared" si="4"/>
        <v>0</v>
      </c>
      <c r="K84" s="8">
        <f t="shared" si="4"/>
        <v>1</v>
      </c>
      <c r="L84" s="7"/>
    </row>
    <row r="85" spans="1:12" outlineLevel="1" x14ac:dyDescent="0.25">
      <c r="A85" s="22">
        <f t="shared" si="5"/>
        <v>2.0060000000000127</v>
      </c>
      <c r="B85" s="31" t="s">
        <v>22</v>
      </c>
      <c r="C85" s="24"/>
      <c r="D85" s="166"/>
      <c r="E85" s="7"/>
      <c r="F85" s="8" t="s">
        <v>8</v>
      </c>
      <c r="G85" s="8">
        <f t="shared" si="4"/>
        <v>0</v>
      </c>
      <c r="H85" s="8">
        <f t="shared" si="4"/>
        <v>0</v>
      </c>
      <c r="I85" s="8">
        <f t="shared" si="4"/>
        <v>0</v>
      </c>
      <c r="J85" s="8">
        <f t="shared" si="4"/>
        <v>0</v>
      </c>
      <c r="K85" s="8">
        <f t="shared" si="4"/>
        <v>1</v>
      </c>
      <c r="L85" s="7"/>
    </row>
    <row r="86" spans="1:12" outlineLevel="1" x14ac:dyDescent="0.25">
      <c r="A86" s="22">
        <f t="shared" si="5"/>
        <v>2.0061000000000129</v>
      </c>
      <c r="B86" s="31" t="s">
        <v>89</v>
      </c>
      <c r="C86" s="24"/>
      <c r="D86" s="166"/>
      <c r="E86" s="7"/>
      <c r="F86" s="8" t="s">
        <v>8</v>
      </c>
      <c r="G86" s="8">
        <f t="shared" si="4"/>
        <v>0</v>
      </c>
      <c r="H86" s="8">
        <f t="shared" si="4"/>
        <v>0</v>
      </c>
      <c r="I86" s="8">
        <f t="shared" si="4"/>
        <v>0</v>
      </c>
      <c r="J86" s="8">
        <f t="shared" si="4"/>
        <v>0</v>
      </c>
      <c r="K86" s="8">
        <f t="shared" si="4"/>
        <v>1</v>
      </c>
      <c r="L86" s="7"/>
    </row>
    <row r="87" spans="1:12" outlineLevel="1" x14ac:dyDescent="0.25">
      <c r="A87" s="22">
        <f t="shared" si="5"/>
        <v>2.0062000000000131</v>
      </c>
      <c r="B87" s="31" t="s">
        <v>101</v>
      </c>
      <c r="C87" s="24"/>
      <c r="D87" s="166"/>
      <c r="E87" s="7"/>
      <c r="F87" s="8" t="s">
        <v>8</v>
      </c>
      <c r="G87" s="8">
        <f t="shared" si="4"/>
        <v>0</v>
      </c>
      <c r="H87" s="8">
        <f t="shared" si="4"/>
        <v>0</v>
      </c>
      <c r="I87" s="8">
        <f t="shared" si="4"/>
        <v>0</v>
      </c>
      <c r="J87" s="8">
        <f t="shared" si="4"/>
        <v>0</v>
      </c>
      <c r="K87" s="8">
        <f t="shared" si="4"/>
        <v>1</v>
      </c>
      <c r="L87" s="7"/>
    </row>
    <row r="88" spans="1:12" outlineLevel="1" x14ac:dyDescent="0.25">
      <c r="A88" s="22">
        <f t="shared" si="5"/>
        <v>2.0063000000000133</v>
      </c>
      <c r="B88" s="31" t="s">
        <v>24</v>
      </c>
      <c r="C88" s="24"/>
      <c r="D88" s="167"/>
      <c r="E88" s="7"/>
      <c r="F88" s="8" t="s">
        <v>8</v>
      </c>
      <c r="G88" s="8">
        <f t="shared" si="4"/>
        <v>0</v>
      </c>
      <c r="H88" s="8">
        <f t="shared" si="4"/>
        <v>0</v>
      </c>
      <c r="I88" s="8">
        <f t="shared" si="4"/>
        <v>0</v>
      </c>
      <c r="J88" s="8">
        <f t="shared" si="4"/>
        <v>0</v>
      </c>
      <c r="K88" s="8">
        <f t="shared" si="4"/>
        <v>1</v>
      </c>
      <c r="L88" s="7"/>
    </row>
    <row r="89" spans="1:12" outlineLevel="1" x14ac:dyDescent="0.25">
      <c r="A89" s="22">
        <f t="shared" si="5"/>
        <v>2.0064000000000135</v>
      </c>
      <c r="B89" s="26" t="s">
        <v>102</v>
      </c>
      <c r="C89" s="24" t="s">
        <v>103</v>
      </c>
      <c r="D89" s="7"/>
      <c r="E89" s="7"/>
      <c r="F89" s="8" t="s">
        <v>8</v>
      </c>
      <c r="G89" s="8">
        <f t="shared" si="4"/>
        <v>0</v>
      </c>
      <c r="H89" s="8">
        <f t="shared" si="4"/>
        <v>0</v>
      </c>
      <c r="I89" s="8">
        <f t="shared" si="4"/>
        <v>0</v>
      </c>
      <c r="J89" s="8">
        <f t="shared" si="4"/>
        <v>0</v>
      </c>
      <c r="K89" s="8">
        <f t="shared" si="4"/>
        <v>1</v>
      </c>
      <c r="L89" s="7"/>
    </row>
    <row r="90" spans="1:12" outlineLevel="1" x14ac:dyDescent="0.25">
      <c r="A90" s="22">
        <f t="shared" si="5"/>
        <v>2.0065000000000137</v>
      </c>
      <c r="B90" s="29" t="s">
        <v>104</v>
      </c>
      <c r="C90" s="24"/>
      <c r="D90" s="7"/>
      <c r="E90" s="7"/>
      <c r="F90" s="8" t="s">
        <v>8</v>
      </c>
      <c r="G90" s="8">
        <f t="shared" si="4"/>
        <v>0</v>
      </c>
      <c r="H90" s="8">
        <f t="shared" si="4"/>
        <v>0</v>
      </c>
      <c r="I90" s="8">
        <f t="shared" si="4"/>
        <v>0</v>
      </c>
      <c r="J90" s="8">
        <f t="shared" si="4"/>
        <v>0</v>
      </c>
      <c r="K90" s="8">
        <f t="shared" si="4"/>
        <v>1</v>
      </c>
      <c r="L90" s="7"/>
    </row>
    <row r="91" spans="1:12" outlineLevel="1" x14ac:dyDescent="0.25">
      <c r="A91" s="22">
        <f t="shared" si="5"/>
        <v>2.0066000000000139</v>
      </c>
      <c r="B91" s="26" t="s">
        <v>105</v>
      </c>
      <c r="C91" s="6" t="s">
        <v>106</v>
      </c>
      <c r="D91" s="7"/>
      <c r="E91" s="7"/>
      <c r="F91" s="8" t="s">
        <v>8</v>
      </c>
      <c r="G91" s="8">
        <f t="shared" si="4"/>
        <v>0</v>
      </c>
      <c r="H91" s="8">
        <f t="shared" si="4"/>
        <v>0</v>
      </c>
      <c r="I91" s="8">
        <f t="shared" si="4"/>
        <v>0</v>
      </c>
      <c r="J91" s="8">
        <f t="shared" si="4"/>
        <v>0</v>
      </c>
      <c r="K91" s="8">
        <f t="shared" si="4"/>
        <v>1</v>
      </c>
      <c r="L91" s="7"/>
    </row>
    <row r="92" spans="1:12" ht="25.5" outlineLevel="1" x14ac:dyDescent="0.25">
      <c r="A92" s="22">
        <f t="shared" si="5"/>
        <v>2.0067000000000141</v>
      </c>
      <c r="B92" s="27"/>
      <c r="C92" s="6" t="s">
        <v>107</v>
      </c>
      <c r="D92" s="7"/>
      <c r="E92" s="7"/>
      <c r="F92" s="8" t="s">
        <v>8</v>
      </c>
      <c r="G92" s="8">
        <f t="shared" si="4"/>
        <v>0</v>
      </c>
      <c r="H92" s="8">
        <f t="shared" si="4"/>
        <v>0</v>
      </c>
      <c r="I92" s="8">
        <f t="shared" si="4"/>
        <v>0</v>
      </c>
      <c r="J92" s="8">
        <f t="shared" si="4"/>
        <v>0</v>
      </c>
      <c r="K92" s="8">
        <f t="shared" si="4"/>
        <v>1</v>
      </c>
      <c r="L92" s="7"/>
    </row>
    <row r="93" spans="1:12" outlineLevel="1" x14ac:dyDescent="0.25">
      <c r="A93" s="22">
        <f t="shared" si="5"/>
        <v>2.0068000000000144</v>
      </c>
      <c r="B93" s="26" t="s">
        <v>108</v>
      </c>
      <c r="C93" s="24" t="s">
        <v>109</v>
      </c>
      <c r="D93" s="7"/>
      <c r="E93" s="7"/>
      <c r="F93" s="8" t="s">
        <v>8</v>
      </c>
      <c r="G93" s="8">
        <f t="shared" ref="G93:K143" si="6">IF($F93=G$1,1,0)</f>
        <v>0</v>
      </c>
      <c r="H93" s="8">
        <f t="shared" si="6"/>
        <v>0</v>
      </c>
      <c r="I93" s="8">
        <f t="shared" si="6"/>
        <v>0</v>
      </c>
      <c r="J93" s="8">
        <f t="shared" si="6"/>
        <v>0</v>
      </c>
      <c r="K93" s="8">
        <f t="shared" si="6"/>
        <v>1</v>
      </c>
      <c r="L93" s="7"/>
    </row>
    <row r="94" spans="1:12" outlineLevel="1" x14ac:dyDescent="0.25">
      <c r="A94" s="22">
        <f t="shared" si="5"/>
        <v>2.0069000000000146</v>
      </c>
      <c r="B94" s="27" t="s">
        <v>110</v>
      </c>
      <c r="C94" s="24" t="s">
        <v>111</v>
      </c>
      <c r="D94" s="7"/>
      <c r="E94" s="7"/>
      <c r="F94" s="8" t="s">
        <v>8</v>
      </c>
      <c r="G94" s="8">
        <f t="shared" si="6"/>
        <v>0</v>
      </c>
      <c r="H94" s="8">
        <f t="shared" si="6"/>
        <v>0</v>
      </c>
      <c r="I94" s="8">
        <f t="shared" si="6"/>
        <v>0</v>
      </c>
      <c r="J94" s="8">
        <f t="shared" si="6"/>
        <v>0</v>
      </c>
      <c r="K94" s="8">
        <f t="shared" si="6"/>
        <v>1</v>
      </c>
      <c r="L94" s="7"/>
    </row>
    <row r="95" spans="1:12" outlineLevel="1" x14ac:dyDescent="0.25">
      <c r="A95" s="22">
        <f t="shared" si="5"/>
        <v>2.0070000000000148</v>
      </c>
      <c r="B95" s="27" t="s">
        <v>112</v>
      </c>
      <c r="C95" s="24" t="s">
        <v>113</v>
      </c>
      <c r="D95" s="7"/>
      <c r="E95" s="7"/>
      <c r="F95" s="8" t="s">
        <v>8</v>
      </c>
      <c r="G95" s="8">
        <f t="shared" si="6"/>
        <v>0</v>
      </c>
      <c r="H95" s="8">
        <f t="shared" si="6"/>
        <v>0</v>
      </c>
      <c r="I95" s="8">
        <f t="shared" si="6"/>
        <v>0</v>
      </c>
      <c r="J95" s="8">
        <f t="shared" si="6"/>
        <v>0</v>
      </c>
      <c r="K95" s="8">
        <f t="shared" si="6"/>
        <v>1</v>
      </c>
      <c r="L95" s="7"/>
    </row>
    <row r="96" spans="1:12" ht="25.5" outlineLevel="1" x14ac:dyDescent="0.25">
      <c r="A96" s="22">
        <f t="shared" si="5"/>
        <v>2.007100000000015</v>
      </c>
      <c r="B96" s="27" t="s">
        <v>114</v>
      </c>
      <c r="C96" s="24" t="s">
        <v>115</v>
      </c>
      <c r="D96" s="7"/>
      <c r="E96" s="7"/>
      <c r="F96" s="8" t="s">
        <v>8</v>
      </c>
      <c r="G96" s="8">
        <f t="shared" si="6"/>
        <v>0</v>
      </c>
      <c r="H96" s="8">
        <f t="shared" si="6"/>
        <v>0</v>
      </c>
      <c r="I96" s="8">
        <f t="shared" si="6"/>
        <v>0</v>
      </c>
      <c r="J96" s="8">
        <f t="shared" si="6"/>
        <v>0</v>
      </c>
      <c r="K96" s="8">
        <f t="shared" si="6"/>
        <v>1</v>
      </c>
      <c r="L96" s="7"/>
    </row>
    <row r="97" spans="1:12" outlineLevel="1" x14ac:dyDescent="0.25">
      <c r="A97" s="22">
        <f t="shared" si="5"/>
        <v>2.0072000000000152</v>
      </c>
      <c r="B97" s="26" t="s">
        <v>116</v>
      </c>
      <c r="C97" s="24" t="s">
        <v>117</v>
      </c>
      <c r="D97" s="165" t="s">
        <v>1180</v>
      </c>
      <c r="E97" s="7"/>
      <c r="F97" s="8" t="s">
        <v>8</v>
      </c>
      <c r="G97" s="8">
        <f t="shared" si="6"/>
        <v>0</v>
      </c>
      <c r="H97" s="8">
        <f t="shared" si="6"/>
        <v>0</v>
      </c>
      <c r="I97" s="8">
        <f t="shared" si="6"/>
        <v>0</v>
      </c>
      <c r="J97" s="8">
        <f t="shared" si="6"/>
        <v>0</v>
      </c>
      <c r="K97" s="8">
        <f t="shared" si="6"/>
        <v>1</v>
      </c>
      <c r="L97" s="7"/>
    </row>
    <row r="98" spans="1:12" outlineLevel="1" x14ac:dyDescent="0.25">
      <c r="A98" s="22">
        <f t="shared" si="5"/>
        <v>2.0073000000000154</v>
      </c>
      <c r="B98" s="31" t="s">
        <v>22</v>
      </c>
      <c r="C98" s="24"/>
      <c r="D98" s="166"/>
      <c r="E98" s="7"/>
      <c r="F98" s="8" t="s">
        <v>8</v>
      </c>
      <c r="G98" s="8">
        <f t="shared" si="6"/>
        <v>0</v>
      </c>
      <c r="H98" s="8">
        <f t="shared" si="6"/>
        <v>0</v>
      </c>
      <c r="I98" s="8">
        <f t="shared" si="6"/>
        <v>0</v>
      </c>
      <c r="J98" s="8">
        <f t="shared" si="6"/>
        <v>0</v>
      </c>
      <c r="K98" s="8">
        <f t="shared" si="6"/>
        <v>1</v>
      </c>
      <c r="L98" s="7"/>
    </row>
    <row r="99" spans="1:12" outlineLevel="1" x14ac:dyDescent="0.25">
      <c r="A99" s="22">
        <f t="shared" si="5"/>
        <v>2.0074000000000156</v>
      </c>
      <c r="B99" s="31" t="s">
        <v>25</v>
      </c>
      <c r="C99" s="24"/>
      <c r="D99" s="166"/>
      <c r="E99" s="7"/>
      <c r="F99" s="8" t="s">
        <v>8</v>
      </c>
      <c r="G99" s="8">
        <f t="shared" si="6"/>
        <v>0</v>
      </c>
      <c r="H99" s="8">
        <f t="shared" si="6"/>
        <v>0</v>
      </c>
      <c r="I99" s="8">
        <f t="shared" si="6"/>
        <v>0</v>
      </c>
      <c r="J99" s="8">
        <f t="shared" si="6"/>
        <v>0</v>
      </c>
      <c r="K99" s="8">
        <f t="shared" si="6"/>
        <v>1</v>
      </c>
      <c r="L99" s="7"/>
    </row>
    <row r="100" spans="1:12" outlineLevel="1" x14ac:dyDescent="0.25">
      <c r="A100" s="22">
        <f t="shared" si="5"/>
        <v>2.0075000000000158</v>
      </c>
      <c r="B100" s="31" t="s">
        <v>118</v>
      </c>
      <c r="C100" s="24"/>
      <c r="D100" s="166"/>
      <c r="E100" s="7"/>
      <c r="F100" s="8" t="s">
        <v>8</v>
      </c>
      <c r="G100" s="8">
        <f t="shared" si="6"/>
        <v>0</v>
      </c>
      <c r="H100" s="8">
        <f t="shared" si="6"/>
        <v>0</v>
      </c>
      <c r="I100" s="8">
        <f t="shared" si="6"/>
        <v>0</v>
      </c>
      <c r="J100" s="8">
        <f t="shared" si="6"/>
        <v>0</v>
      </c>
      <c r="K100" s="8">
        <f t="shared" si="6"/>
        <v>1</v>
      </c>
      <c r="L100" s="7"/>
    </row>
    <row r="101" spans="1:12" outlineLevel="1" x14ac:dyDescent="0.25">
      <c r="A101" s="22">
        <f t="shared" si="5"/>
        <v>2.007600000000016</v>
      </c>
      <c r="B101" s="31" t="s">
        <v>24</v>
      </c>
      <c r="C101" s="24"/>
      <c r="D101" s="166"/>
      <c r="E101" s="7"/>
      <c r="F101" s="8" t="s">
        <v>8</v>
      </c>
      <c r="G101" s="8">
        <f t="shared" si="6"/>
        <v>0</v>
      </c>
      <c r="H101" s="8">
        <f t="shared" si="6"/>
        <v>0</v>
      </c>
      <c r="I101" s="8">
        <f t="shared" si="6"/>
        <v>0</v>
      </c>
      <c r="J101" s="8">
        <f t="shared" si="6"/>
        <v>0</v>
      </c>
      <c r="K101" s="8">
        <f t="shared" si="6"/>
        <v>1</v>
      </c>
      <c r="L101" s="7"/>
    </row>
    <row r="102" spans="1:12" outlineLevel="1" x14ac:dyDescent="0.25">
      <c r="A102" s="22">
        <f t="shared" si="5"/>
        <v>2.0077000000000162</v>
      </c>
      <c r="B102" s="33" t="s">
        <v>119</v>
      </c>
      <c r="C102" s="24"/>
      <c r="D102" s="166"/>
      <c r="E102" s="7"/>
      <c r="F102" s="8" t="s">
        <v>8</v>
      </c>
      <c r="G102" s="8">
        <f t="shared" si="6"/>
        <v>0</v>
      </c>
      <c r="H102" s="8">
        <f t="shared" si="6"/>
        <v>0</v>
      </c>
      <c r="I102" s="8">
        <f t="shared" si="6"/>
        <v>0</v>
      </c>
      <c r="J102" s="8">
        <f t="shared" si="6"/>
        <v>0</v>
      </c>
      <c r="K102" s="8">
        <f t="shared" si="6"/>
        <v>1</v>
      </c>
      <c r="L102" s="7"/>
    </row>
    <row r="103" spans="1:12" outlineLevel="1" x14ac:dyDescent="0.25">
      <c r="A103" s="22">
        <f t="shared" si="5"/>
        <v>2.0078000000000165</v>
      </c>
      <c r="B103" s="31" t="s">
        <v>22</v>
      </c>
      <c r="C103" s="24"/>
      <c r="D103" s="166"/>
      <c r="E103" s="7"/>
      <c r="F103" s="8" t="s">
        <v>8</v>
      </c>
      <c r="G103" s="8">
        <f t="shared" si="6"/>
        <v>0</v>
      </c>
      <c r="H103" s="8">
        <f t="shared" si="6"/>
        <v>0</v>
      </c>
      <c r="I103" s="8">
        <f t="shared" si="6"/>
        <v>0</v>
      </c>
      <c r="J103" s="8">
        <f t="shared" si="6"/>
        <v>0</v>
      </c>
      <c r="K103" s="8">
        <f t="shared" si="6"/>
        <v>1</v>
      </c>
      <c r="L103" s="7"/>
    </row>
    <row r="104" spans="1:12" outlineLevel="1" x14ac:dyDescent="0.25">
      <c r="A104" s="22">
        <f t="shared" si="5"/>
        <v>2.0079000000000167</v>
      </c>
      <c r="B104" s="31" t="s">
        <v>25</v>
      </c>
      <c r="C104" s="24"/>
      <c r="D104" s="166"/>
      <c r="E104" s="7"/>
      <c r="F104" s="8" t="s">
        <v>8</v>
      </c>
      <c r="G104" s="8">
        <f t="shared" si="6"/>
        <v>0</v>
      </c>
      <c r="H104" s="8">
        <f t="shared" si="6"/>
        <v>0</v>
      </c>
      <c r="I104" s="8">
        <f t="shared" si="6"/>
        <v>0</v>
      </c>
      <c r="J104" s="8">
        <f t="shared" si="6"/>
        <v>0</v>
      </c>
      <c r="K104" s="8">
        <f t="shared" si="6"/>
        <v>1</v>
      </c>
      <c r="L104" s="7"/>
    </row>
    <row r="105" spans="1:12" outlineLevel="1" x14ac:dyDescent="0.25">
      <c r="A105" s="22">
        <f t="shared" si="5"/>
        <v>2.0080000000000169</v>
      </c>
      <c r="B105" s="31" t="s">
        <v>120</v>
      </c>
      <c r="C105" s="24"/>
      <c r="D105" s="167"/>
      <c r="E105" s="7"/>
      <c r="F105" s="8" t="s">
        <v>8</v>
      </c>
      <c r="G105" s="8">
        <f t="shared" si="6"/>
        <v>0</v>
      </c>
      <c r="H105" s="8">
        <f t="shared" si="6"/>
        <v>0</v>
      </c>
      <c r="I105" s="8">
        <f t="shared" si="6"/>
        <v>0</v>
      </c>
      <c r="J105" s="8">
        <f t="shared" si="6"/>
        <v>0</v>
      </c>
      <c r="K105" s="8">
        <f t="shared" si="6"/>
        <v>1</v>
      </c>
      <c r="L105" s="7"/>
    </row>
    <row r="106" spans="1:12" outlineLevel="1" x14ac:dyDescent="0.25">
      <c r="A106" s="22">
        <f t="shared" si="5"/>
        <v>2.0081000000000171</v>
      </c>
      <c r="B106" s="32" t="s">
        <v>24</v>
      </c>
      <c r="C106" s="24"/>
      <c r="D106" s="7"/>
      <c r="E106" s="7"/>
      <c r="F106" s="8" t="s">
        <v>8</v>
      </c>
      <c r="G106" s="8">
        <f t="shared" si="6"/>
        <v>0</v>
      </c>
      <c r="H106" s="8">
        <f t="shared" si="6"/>
        <v>0</v>
      </c>
      <c r="I106" s="8">
        <f t="shared" si="6"/>
        <v>0</v>
      </c>
      <c r="J106" s="8">
        <f t="shared" si="6"/>
        <v>0</v>
      </c>
      <c r="K106" s="8">
        <f t="shared" si="6"/>
        <v>1</v>
      </c>
      <c r="L106" s="7"/>
    </row>
    <row r="107" spans="1:12" ht="25.5" outlineLevel="1" x14ac:dyDescent="0.25">
      <c r="A107" s="22">
        <f t="shared" si="5"/>
        <v>2.0082000000000173</v>
      </c>
      <c r="B107" s="28" t="s">
        <v>29</v>
      </c>
      <c r="C107" s="6" t="s">
        <v>121</v>
      </c>
      <c r="D107" s="7"/>
      <c r="E107" s="7"/>
      <c r="F107" s="8" t="s">
        <v>8</v>
      </c>
      <c r="G107" s="8">
        <f t="shared" si="6"/>
        <v>0</v>
      </c>
      <c r="H107" s="8">
        <f t="shared" si="6"/>
        <v>0</v>
      </c>
      <c r="I107" s="8">
        <f t="shared" si="6"/>
        <v>0</v>
      </c>
      <c r="J107" s="8">
        <f t="shared" si="6"/>
        <v>0</v>
      </c>
      <c r="K107" s="8">
        <f t="shared" si="6"/>
        <v>1</v>
      </c>
      <c r="L107" s="7"/>
    </row>
    <row r="108" spans="1:12" outlineLevel="1" x14ac:dyDescent="0.25">
      <c r="A108" s="22">
        <f t="shared" si="5"/>
        <v>2.0083000000000175</v>
      </c>
      <c r="B108" s="26" t="s">
        <v>116</v>
      </c>
      <c r="C108" s="24" t="s">
        <v>122</v>
      </c>
      <c r="D108" s="165" t="s">
        <v>1180</v>
      </c>
      <c r="E108" s="7"/>
      <c r="F108" s="8" t="s">
        <v>8</v>
      </c>
      <c r="G108" s="8">
        <f t="shared" si="6"/>
        <v>0</v>
      </c>
      <c r="H108" s="8">
        <f t="shared" si="6"/>
        <v>0</v>
      </c>
      <c r="I108" s="8">
        <f t="shared" si="6"/>
        <v>0</v>
      </c>
      <c r="J108" s="8">
        <f t="shared" si="6"/>
        <v>0</v>
      </c>
      <c r="K108" s="8">
        <f t="shared" si="6"/>
        <v>1</v>
      </c>
      <c r="L108" s="7"/>
    </row>
    <row r="109" spans="1:12" outlineLevel="1" x14ac:dyDescent="0.25">
      <c r="A109" s="22">
        <f t="shared" si="5"/>
        <v>2.0084000000000177</v>
      </c>
      <c r="B109" s="31" t="s">
        <v>22</v>
      </c>
      <c r="C109" s="24"/>
      <c r="D109" s="166"/>
      <c r="E109" s="7"/>
      <c r="F109" s="8" t="s">
        <v>8</v>
      </c>
      <c r="G109" s="8">
        <f t="shared" si="6"/>
        <v>0</v>
      </c>
      <c r="H109" s="8">
        <f t="shared" si="6"/>
        <v>0</v>
      </c>
      <c r="I109" s="8">
        <f t="shared" si="6"/>
        <v>0</v>
      </c>
      <c r="J109" s="8">
        <f t="shared" si="6"/>
        <v>0</v>
      </c>
      <c r="K109" s="8">
        <f t="shared" si="6"/>
        <v>1</v>
      </c>
      <c r="L109" s="7"/>
    </row>
    <row r="110" spans="1:12" outlineLevel="1" x14ac:dyDescent="0.25">
      <c r="A110" s="22">
        <f t="shared" si="5"/>
        <v>2.0085000000000179</v>
      </c>
      <c r="B110" s="31" t="s">
        <v>89</v>
      </c>
      <c r="C110" s="24"/>
      <c r="D110" s="166"/>
      <c r="E110" s="7"/>
      <c r="F110" s="8" t="s">
        <v>8</v>
      </c>
      <c r="G110" s="8">
        <f t="shared" si="6"/>
        <v>0</v>
      </c>
      <c r="H110" s="8">
        <f t="shared" si="6"/>
        <v>0</v>
      </c>
      <c r="I110" s="8">
        <f t="shared" si="6"/>
        <v>0</v>
      </c>
      <c r="J110" s="8">
        <f t="shared" si="6"/>
        <v>0</v>
      </c>
      <c r="K110" s="8">
        <f t="shared" si="6"/>
        <v>1</v>
      </c>
      <c r="L110" s="7"/>
    </row>
    <row r="111" spans="1:12" outlineLevel="1" x14ac:dyDescent="0.25">
      <c r="A111" s="22">
        <f t="shared" si="5"/>
        <v>2.0086000000000181</v>
      </c>
      <c r="B111" s="31" t="s">
        <v>123</v>
      </c>
      <c r="C111" s="24"/>
      <c r="D111" s="166"/>
      <c r="E111" s="7"/>
      <c r="F111" s="8" t="s">
        <v>8</v>
      </c>
      <c r="G111" s="8">
        <f t="shared" si="6"/>
        <v>0</v>
      </c>
      <c r="H111" s="8">
        <f t="shared" si="6"/>
        <v>0</v>
      </c>
      <c r="I111" s="8">
        <f t="shared" si="6"/>
        <v>0</v>
      </c>
      <c r="J111" s="8">
        <f t="shared" si="6"/>
        <v>0</v>
      </c>
      <c r="K111" s="8">
        <f t="shared" si="6"/>
        <v>1</v>
      </c>
      <c r="L111" s="7"/>
    </row>
    <row r="112" spans="1:12" outlineLevel="1" x14ac:dyDescent="0.25">
      <c r="A112" s="22">
        <f t="shared" si="5"/>
        <v>2.0087000000000184</v>
      </c>
      <c r="B112" s="31" t="s">
        <v>124</v>
      </c>
      <c r="C112" s="24"/>
      <c r="D112" s="166"/>
      <c r="E112" s="7"/>
      <c r="F112" s="8" t="s">
        <v>8</v>
      </c>
      <c r="G112" s="8">
        <f t="shared" si="6"/>
        <v>0</v>
      </c>
      <c r="H112" s="8">
        <f t="shared" si="6"/>
        <v>0</v>
      </c>
      <c r="I112" s="8">
        <f t="shared" si="6"/>
        <v>0</v>
      </c>
      <c r="J112" s="8">
        <f t="shared" si="6"/>
        <v>0</v>
      </c>
      <c r="K112" s="8">
        <f t="shared" si="6"/>
        <v>1</v>
      </c>
      <c r="L112" s="7"/>
    </row>
    <row r="113" spans="1:12" outlineLevel="1" x14ac:dyDescent="0.25">
      <c r="A113" s="22">
        <f t="shared" si="5"/>
        <v>2.0088000000000186</v>
      </c>
      <c r="B113" s="31" t="s">
        <v>24</v>
      </c>
      <c r="C113" s="24"/>
      <c r="D113" s="167"/>
      <c r="E113" s="7"/>
      <c r="F113" s="8" t="s">
        <v>8</v>
      </c>
      <c r="G113" s="8">
        <f t="shared" si="6"/>
        <v>0</v>
      </c>
      <c r="H113" s="8">
        <f t="shared" si="6"/>
        <v>0</v>
      </c>
      <c r="I113" s="8">
        <f t="shared" si="6"/>
        <v>0</v>
      </c>
      <c r="J113" s="8">
        <f t="shared" si="6"/>
        <v>0</v>
      </c>
      <c r="K113" s="8">
        <f t="shared" si="6"/>
        <v>1</v>
      </c>
      <c r="L113" s="7"/>
    </row>
    <row r="114" spans="1:12" outlineLevel="1" x14ac:dyDescent="0.25">
      <c r="A114" s="22">
        <f t="shared" si="5"/>
        <v>2.0089000000000188</v>
      </c>
      <c r="B114" s="26" t="s">
        <v>125</v>
      </c>
      <c r="C114" s="24" t="s">
        <v>126</v>
      </c>
      <c r="D114" s="7"/>
      <c r="E114" s="7"/>
      <c r="F114" s="8" t="s">
        <v>8</v>
      </c>
      <c r="G114" s="8">
        <f t="shared" si="6"/>
        <v>0</v>
      </c>
      <c r="H114" s="8">
        <f t="shared" si="6"/>
        <v>0</v>
      </c>
      <c r="I114" s="8">
        <f t="shared" si="6"/>
        <v>0</v>
      </c>
      <c r="J114" s="8">
        <f t="shared" si="6"/>
        <v>0</v>
      </c>
      <c r="K114" s="8">
        <f t="shared" si="6"/>
        <v>1</v>
      </c>
      <c r="L114" s="7"/>
    </row>
    <row r="115" spans="1:12" outlineLevel="1" x14ac:dyDescent="0.25">
      <c r="A115" s="22">
        <f t="shared" si="5"/>
        <v>2.009000000000019</v>
      </c>
      <c r="B115" s="27"/>
      <c r="C115" s="24" t="s">
        <v>127</v>
      </c>
      <c r="D115" s="7"/>
      <c r="E115" s="7"/>
      <c r="F115" s="8" t="s">
        <v>8</v>
      </c>
      <c r="G115" s="8">
        <f t="shared" si="6"/>
        <v>0</v>
      </c>
      <c r="H115" s="8">
        <f t="shared" si="6"/>
        <v>0</v>
      </c>
      <c r="I115" s="8">
        <f t="shared" si="6"/>
        <v>0</v>
      </c>
      <c r="J115" s="8">
        <f t="shared" si="6"/>
        <v>0</v>
      </c>
      <c r="K115" s="8">
        <f t="shared" si="6"/>
        <v>1</v>
      </c>
      <c r="L115" s="7"/>
    </row>
    <row r="116" spans="1:12" outlineLevel="1" x14ac:dyDescent="0.25">
      <c r="A116" s="22">
        <f t="shared" si="5"/>
        <v>2.0091000000000192</v>
      </c>
      <c r="B116" s="29"/>
      <c r="C116" s="24" t="s">
        <v>128</v>
      </c>
      <c r="D116" s="7"/>
      <c r="E116" s="7"/>
      <c r="F116" s="8" t="s">
        <v>8</v>
      </c>
      <c r="G116" s="8">
        <f t="shared" si="6"/>
        <v>0</v>
      </c>
      <c r="H116" s="8">
        <f t="shared" si="6"/>
        <v>0</v>
      </c>
      <c r="I116" s="8">
        <f t="shared" si="6"/>
        <v>0</v>
      </c>
      <c r="J116" s="8">
        <f t="shared" si="6"/>
        <v>0</v>
      </c>
      <c r="K116" s="8">
        <f t="shared" si="6"/>
        <v>1</v>
      </c>
      <c r="L116" s="7"/>
    </row>
    <row r="117" spans="1:12" outlineLevel="1" x14ac:dyDescent="0.25">
      <c r="A117" s="22">
        <f t="shared" si="5"/>
        <v>2.0092000000000194</v>
      </c>
      <c r="B117" s="28" t="s">
        <v>129</v>
      </c>
      <c r="C117" s="6" t="s">
        <v>130</v>
      </c>
      <c r="D117" s="7"/>
      <c r="E117" s="7"/>
      <c r="F117" s="8" t="s">
        <v>8</v>
      </c>
      <c r="G117" s="8">
        <f t="shared" si="6"/>
        <v>0</v>
      </c>
      <c r="H117" s="8">
        <f t="shared" si="6"/>
        <v>0</v>
      </c>
      <c r="I117" s="8">
        <f t="shared" si="6"/>
        <v>0</v>
      </c>
      <c r="J117" s="8">
        <f t="shared" si="6"/>
        <v>0</v>
      </c>
      <c r="K117" s="8">
        <f t="shared" si="6"/>
        <v>1</v>
      </c>
      <c r="L117" s="7"/>
    </row>
    <row r="118" spans="1:12" ht="25.5" outlineLevel="1" x14ac:dyDescent="0.25">
      <c r="A118" s="22">
        <f t="shared" si="5"/>
        <v>2.0093000000000196</v>
      </c>
      <c r="B118" s="26" t="s">
        <v>131</v>
      </c>
      <c r="C118" s="24" t="s">
        <v>181</v>
      </c>
      <c r="D118" s="7"/>
      <c r="E118" s="7"/>
      <c r="F118" s="8" t="s">
        <v>8</v>
      </c>
      <c r="G118" s="8">
        <f t="shared" si="6"/>
        <v>0</v>
      </c>
      <c r="H118" s="8">
        <f t="shared" si="6"/>
        <v>0</v>
      </c>
      <c r="I118" s="8">
        <f t="shared" si="6"/>
        <v>0</v>
      </c>
      <c r="J118" s="8">
        <f t="shared" si="6"/>
        <v>0</v>
      </c>
      <c r="K118" s="8">
        <f t="shared" si="6"/>
        <v>1</v>
      </c>
      <c r="L118" s="7"/>
    </row>
    <row r="119" spans="1:12" outlineLevel="1" x14ac:dyDescent="0.25">
      <c r="A119" s="22">
        <f t="shared" si="5"/>
        <v>2.0094000000000198</v>
      </c>
      <c r="B119" s="27"/>
      <c r="C119" s="24" t="s">
        <v>182</v>
      </c>
      <c r="D119" s="7"/>
      <c r="E119" s="7"/>
      <c r="F119" s="8" t="s">
        <v>8</v>
      </c>
      <c r="G119" s="8">
        <f t="shared" si="6"/>
        <v>0</v>
      </c>
      <c r="H119" s="8">
        <f t="shared" si="6"/>
        <v>0</v>
      </c>
      <c r="I119" s="8">
        <f t="shared" si="6"/>
        <v>0</v>
      </c>
      <c r="J119" s="8">
        <f t="shared" si="6"/>
        <v>0</v>
      </c>
      <c r="K119" s="8">
        <f t="shared" si="6"/>
        <v>1</v>
      </c>
      <c r="L119" s="7"/>
    </row>
    <row r="120" spans="1:12" outlineLevel="1" x14ac:dyDescent="0.25">
      <c r="A120" s="22">
        <f t="shared" si="5"/>
        <v>2.00950000000002</v>
      </c>
      <c r="B120" s="27"/>
      <c r="C120" s="24" t="s">
        <v>183</v>
      </c>
      <c r="D120" s="7"/>
      <c r="E120" s="7"/>
      <c r="F120" s="8" t="s">
        <v>8</v>
      </c>
      <c r="G120" s="8">
        <f t="shared" si="6"/>
        <v>0</v>
      </c>
      <c r="H120" s="8">
        <f t="shared" si="6"/>
        <v>0</v>
      </c>
      <c r="I120" s="8">
        <f t="shared" si="6"/>
        <v>0</v>
      </c>
      <c r="J120" s="8">
        <f t="shared" si="6"/>
        <v>0</v>
      </c>
      <c r="K120" s="8">
        <f t="shared" si="6"/>
        <v>1</v>
      </c>
      <c r="L120" s="7"/>
    </row>
    <row r="121" spans="1:12" outlineLevel="1" x14ac:dyDescent="0.25">
      <c r="A121" s="22">
        <f t="shared" si="5"/>
        <v>2.0096000000000203</v>
      </c>
      <c r="B121" s="27"/>
      <c r="C121" s="24" t="s">
        <v>184</v>
      </c>
      <c r="D121" s="7"/>
      <c r="E121" s="7"/>
      <c r="F121" s="8" t="s">
        <v>8</v>
      </c>
      <c r="G121" s="8">
        <f t="shared" si="6"/>
        <v>0</v>
      </c>
      <c r="H121" s="8">
        <f t="shared" si="6"/>
        <v>0</v>
      </c>
      <c r="I121" s="8">
        <f t="shared" si="6"/>
        <v>0</v>
      </c>
      <c r="J121" s="8">
        <f t="shared" si="6"/>
        <v>0</v>
      </c>
      <c r="K121" s="8">
        <f t="shared" si="6"/>
        <v>1</v>
      </c>
      <c r="L121" s="7"/>
    </row>
    <row r="122" spans="1:12" outlineLevel="1" x14ac:dyDescent="0.25">
      <c r="A122" s="22">
        <f t="shared" si="5"/>
        <v>2.0097000000000205</v>
      </c>
      <c r="B122" s="27"/>
      <c r="C122" s="24" t="s">
        <v>748</v>
      </c>
      <c r="D122" s="7"/>
      <c r="E122" s="7"/>
      <c r="F122" s="8" t="s">
        <v>8</v>
      </c>
      <c r="G122" s="8">
        <f t="shared" si="6"/>
        <v>0</v>
      </c>
      <c r="H122" s="8">
        <f t="shared" si="6"/>
        <v>0</v>
      </c>
      <c r="I122" s="8">
        <f t="shared" si="6"/>
        <v>0</v>
      </c>
      <c r="J122" s="8">
        <f t="shared" si="6"/>
        <v>0</v>
      </c>
      <c r="K122" s="8">
        <f t="shared" si="6"/>
        <v>1</v>
      </c>
      <c r="L122" s="7"/>
    </row>
    <row r="123" spans="1:12" outlineLevel="1" x14ac:dyDescent="0.25">
      <c r="A123" s="22">
        <f t="shared" si="5"/>
        <v>2.0098000000000207</v>
      </c>
      <c r="B123" s="27"/>
      <c r="C123" s="24" t="s">
        <v>186</v>
      </c>
      <c r="D123" s="7"/>
      <c r="E123" s="7"/>
      <c r="F123" s="8" t="s">
        <v>8</v>
      </c>
      <c r="G123" s="8">
        <f t="shared" si="6"/>
        <v>0</v>
      </c>
      <c r="H123" s="8">
        <f t="shared" si="6"/>
        <v>0</v>
      </c>
      <c r="I123" s="8">
        <f t="shared" si="6"/>
        <v>0</v>
      </c>
      <c r="J123" s="8">
        <f t="shared" si="6"/>
        <v>0</v>
      </c>
      <c r="K123" s="8">
        <f t="shared" si="6"/>
        <v>1</v>
      </c>
      <c r="L123" s="7"/>
    </row>
    <row r="124" spans="1:12" outlineLevel="1" x14ac:dyDescent="0.25">
      <c r="A124" s="22">
        <f>A123+0.0001</f>
        <v>2.0099000000000209</v>
      </c>
      <c r="B124" s="27"/>
      <c r="C124" s="24" t="s">
        <v>187</v>
      </c>
      <c r="D124" s="7"/>
      <c r="E124" s="7"/>
      <c r="F124" s="8" t="s">
        <v>8</v>
      </c>
      <c r="G124" s="8">
        <f t="shared" si="6"/>
        <v>0</v>
      </c>
      <c r="H124" s="8">
        <f t="shared" si="6"/>
        <v>0</v>
      </c>
      <c r="I124" s="8">
        <f t="shared" si="6"/>
        <v>0</v>
      </c>
      <c r="J124" s="8">
        <f t="shared" si="6"/>
        <v>0</v>
      </c>
      <c r="K124" s="8">
        <f t="shared" si="6"/>
        <v>1</v>
      </c>
      <c r="L124" s="7"/>
    </row>
    <row r="125" spans="1:12" outlineLevel="1" x14ac:dyDescent="0.25">
      <c r="A125" s="22"/>
      <c r="B125" s="27"/>
      <c r="C125" s="24" t="s">
        <v>749</v>
      </c>
      <c r="D125" s="7"/>
      <c r="E125" s="7"/>
      <c r="F125" s="8" t="s">
        <v>8</v>
      </c>
      <c r="G125" s="8">
        <f t="shared" si="6"/>
        <v>0</v>
      </c>
      <c r="H125" s="8">
        <f t="shared" si="6"/>
        <v>0</v>
      </c>
      <c r="I125" s="8">
        <f t="shared" si="6"/>
        <v>0</v>
      </c>
      <c r="J125" s="8">
        <f t="shared" si="6"/>
        <v>0</v>
      </c>
      <c r="K125" s="8">
        <f t="shared" si="6"/>
        <v>1</v>
      </c>
      <c r="L125" s="7"/>
    </row>
    <row r="126" spans="1:12" outlineLevel="1" x14ac:dyDescent="0.25">
      <c r="A126" s="22"/>
      <c r="B126" s="27"/>
      <c r="C126" s="24" t="s">
        <v>750</v>
      </c>
      <c r="D126" s="7"/>
      <c r="E126" s="7"/>
      <c r="F126" s="8" t="s">
        <v>8</v>
      </c>
      <c r="G126" s="8">
        <f t="shared" si="6"/>
        <v>0</v>
      </c>
      <c r="H126" s="8">
        <f t="shared" si="6"/>
        <v>0</v>
      </c>
      <c r="I126" s="8">
        <f t="shared" si="6"/>
        <v>0</v>
      </c>
      <c r="J126" s="8">
        <f t="shared" si="6"/>
        <v>0</v>
      </c>
      <c r="K126" s="8">
        <f t="shared" si="6"/>
        <v>1</v>
      </c>
      <c r="L126" s="7"/>
    </row>
    <row r="127" spans="1:12" outlineLevel="1" x14ac:dyDescent="0.25">
      <c r="A127" s="22"/>
      <c r="B127" s="27"/>
      <c r="C127" s="24"/>
      <c r="D127" s="7"/>
      <c r="E127" s="7"/>
      <c r="F127" s="8" t="s">
        <v>8</v>
      </c>
      <c r="G127" s="8"/>
      <c r="H127" s="8"/>
      <c r="I127" s="8"/>
      <c r="J127" s="8"/>
      <c r="K127" s="8"/>
      <c r="L127" s="7"/>
    </row>
    <row r="128" spans="1:12" outlineLevel="1" x14ac:dyDescent="0.25">
      <c r="A128" s="22"/>
      <c r="B128" s="27"/>
      <c r="C128" s="24"/>
      <c r="D128" s="7"/>
      <c r="E128" s="7"/>
      <c r="F128" s="8" t="s">
        <v>8</v>
      </c>
      <c r="G128" s="8"/>
      <c r="H128" s="8"/>
      <c r="I128" s="8"/>
      <c r="J128" s="8"/>
      <c r="K128" s="8"/>
      <c r="L128" s="7"/>
    </row>
    <row r="129" spans="1:12" outlineLevel="1" x14ac:dyDescent="0.25">
      <c r="A129" s="22">
        <f>A124+0.0001</f>
        <v>2.0100000000000211</v>
      </c>
      <c r="B129" s="26" t="s">
        <v>136</v>
      </c>
      <c r="C129" s="24" t="s">
        <v>188</v>
      </c>
      <c r="D129" s="7"/>
      <c r="E129" s="7"/>
      <c r="F129" s="8" t="s">
        <v>8</v>
      </c>
      <c r="G129" s="8">
        <f t="shared" si="6"/>
        <v>0</v>
      </c>
      <c r="H129" s="8">
        <f t="shared" si="6"/>
        <v>0</v>
      </c>
      <c r="I129" s="8">
        <f t="shared" si="6"/>
        <v>0</v>
      </c>
      <c r="J129" s="8">
        <f t="shared" si="6"/>
        <v>0</v>
      </c>
      <c r="K129" s="8">
        <f t="shared" si="6"/>
        <v>1</v>
      </c>
      <c r="L129" s="7"/>
    </row>
    <row r="130" spans="1:12" outlineLevel="1" x14ac:dyDescent="0.25">
      <c r="A130" s="22">
        <f t="shared" si="5"/>
        <v>2.0101000000000213</v>
      </c>
      <c r="B130" s="27"/>
      <c r="C130" s="24" t="s">
        <v>189</v>
      </c>
      <c r="D130" s="7"/>
      <c r="E130" s="7"/>
      <c r="F130" s="8" t="s">
        <v>8</v>
      </c>
      <c r="G130" s="8">
        <f t="shared" si="6"/>
        <v>0</v>
      </c>
      <c r="H130" s="8">
        <f t="shared" si="6"/>
        <v>0</v>
      </c>
      <c r="I130" s="8">
        <f t="shared" si="6"/>
        <v>0</v>
      </c>
      <c r="J130" s="8">
        <f t="shared" si="6"/>
        <v>0</v>
      </c>
      <c r="K130" s="8">
        <f t="shared" si="6"/>
        <v>1</v>
      </c>
      <c r="L130" s="7"/>
    </row>
    <row r="131" spans="1:12" outlineLevel="1" x14ac:dyDescent="0.25">
      <c r="A131" s="22">
        <f t="shared" si="5"/>
        <v>2.0102000000000215</v>
      </c>
      <c r="B131" s="27"/>
      <c r="C131" s="24" t="s">
        <v>190</v>
      </c>
      <c r="D131" s="7"/>
      <c r="E131" s="7"/>
      <c r="F131" s="8" t="s">
        <v>8</v>
      </c>
      <c r="G131" s="8">
        <f t="shared" si="6"/>
        <v>0</v>
      </c>
      <c r="H131" s="8">
        <f t="shared" si="6"/>
        <v>0</v>
      </c>
      <c r="I131" s="8">
        <f t="shared" si="6"/>
        <v>0</v>
      </c>
      <c r="J131" s="8">
        <f t="shared" si="6"/>
        <v>0</v>
      </c>
      <c r="K131" s="8">
        <f t="shared" si="6"/>
        <v>1</v>
      </c>
      <c r="L131" s="7"/>
    </row>
    <row r="132" spans="1:12" ht="25.5" outlineLevel="1" x14ac:dyDescent="0.25">
      <c r="A132" s="22">
        <f t="shared" si="5"/>
        <v>2.0103000000000217</v>
      </c>
      <c r="B132" s="27"/>
      <c r="C132" s="24" t="s">
        <v>191</v>
      </c>
      <c r="D132" s="7"/>
      <c r="E132" s="7"/>
      <c r="F132" s="8" t="s">
        <v>8</v>
      </c>
      <c r="G132" s="8">
        <f t="shared" si="6"/>
        <v>0</v>
      </c>
      <c r="H132" s="8">
        <f t="shared" si="6"/>
        <v>0</v>
      </c>
      <c r="I132" s="8">
        <f t="shared" si="6"/>
        <v>0</v>
      </c>
      <c r="J132" s="8">
        <f t="shared" si="6"/>
        <v>0</v>
      </c>
      <c r="K132" s="8">
        <f t="shared" si="6"/>
        <v>1</v>
      </c>
      <c r="L132" s="7"/>
    </row>
    <row r="133" spans="1:12" outlineLevel="1" x14ac:dyDescent="0.25">
      <c r="A133" s="22">
        <f t="shared" si="5"/>
        <v>2.0104000000000219</v>
      </c>
      <c r="B133" s="26" t="s">
        <v>141</v>
      </c>
      <c r="C133" s="24" t="s">
        <v>192</v>
      </c>
      <c r="D133" s="7"/>
      <c r="E133" s="7"/>
      <c r="F133" s="8" t="s">
        <v>8</v>
      </c>
      <c r="G133" s="8">
        <f t="shared" si="6"/>
        <v>0</v>
      </c>
      <c r="H133" s="8">
        <f t="shared" si="6"/>
        <v>0</v>
      </c>
      <c r="I133" s="8">
        <f t="shared" si="6"/>
        <v>0</v>
      </c>
      <c r="J133" s="8">
        <f t="shared" si="6"/>
        <v>0</v>
      </c>
      <c r="K133" s="8">
        <f t="shared" si="6"/>
        <v>1</v>
      </c>
      <c r="L133" s="7"/>
    </row>
    <row r="134" spans="1:12" outlineLevel="1" x14ac:dyDescent="0.25">
      <c r="A134" s="22">
        <f t="shared" si="5"/>
        <v>2.0105000000000222</v>
      </c>
      <c r="B134" s="26" t="s">
        <v>143</v>
      </c>
      <c r="C134" s="24" t="s">
        <v>31</v>
      </c>
      <c r="D134" s="7"/>
      <c r="E134" s="7"/>
      <c r="F134" s="8" t="s">
        <v>8</v>
      </c>
      <c r="G134" s="8">
        <f t="shared" si="6"/>
        <v>0</v>
      </c>
      <c r="H134" s="8">
        <f t="shared" si="6"/>
        <v>0</v>
      </c>
      <c r="I134" s="8">
        <f t="shared" si="6"/>
        <v>0</v>
      </c>
      <c r="J134" s="8">
        <f t="shared" si="6"/>
        <v>0</v>
      </c>
      <c r="K134" s="8">
        <f t="shared" si="6"/>
        <v>1</v>
      </c>
      <c r="L134" s="7"/>
    </row>
    <row r="135" spans="1:12" outlineLevel="1" x14ac:dyDescent="0.25">
      <c r="A135" s="22">
        <f t="shared" si="5"/>
        <v>2.0106000000000224</v>
      </c>
      <c r="B135" s="27"/>
      <c r="C135" s="24" t="s">
        <v>144</v>
      </c>
      <c r="D135" s="7"/>
      <c r="E135" s="7"/>
      <c r="F135" s="8" t="s">
        <v>8</v>
      </c>
      <c r="G135" s="8">
        <f t="shared" si="6"/>
        <v>0</v>
      </c>
      <c r="H135" s="8">
        <f t="shared" si="6"/>
        <v>0</v>
      </c>
      <c r="I135" s="8">
        <f t="shared" si="6"/>
        <v>0</v>
      </c>
      <c r="J135" s="8">
        <f t="shared" si="6"/>
        <v>0</v>
      </c>
      <c r="K135" s="8">
        <f t="shared" si="6"/>
        <v>1</v>
      </c>
      <c r="L135" s="7"/>
    </row>
    <row r="136" spans="1:12" outlineLevel="1" x14ac:dyDescent="0.25">
      <c r="A136" s="22">
        <f t="shared" si="5"/>
        <v>2.0107000000000226</v>
      </c>
      <c r="B136" s="26" t="s">
        <v>145</v>
      </c>
      <c r="C136" s="24" t="s">
        <v>146</v>
      </c>
      <c r="D136" s="7"/>
      <c r="E136" s="7"/>
      <c r="F136" s="8" t="s">
        <v>8</v>
      </c>
      <c r="G136" s="8">
        <f t="shared" si="6"/>
        <v>0</v>
      </c>
      <c r="H136" s="8">
        <f t="shared" si="6"/>
        <v>0</v>
      </c>
      <c r="I136" s="8">
        <f t="shared" si="6"/>
        <v>0</v>
      </c>
      <c r="J136" s="8">
        <f t="shared" si="6"/>
        <v>0</v>
      </c>
      <c r="K136" s="8">
        <f t="shared" si="6"/>
        <v>1</v>
      </c>
      <c r="L136" s="7"/>
    </row>
    <row r="137" spans="1:12" outlineLevel="1" x14ac:dyDescent="0.25">
      <c r="A137" s="22">
        <f t="shared" si="5"/>
        <v>2.0108000000000228</v>
      </c>
      <c r="B137" s="27"/>
      <c r="C137" s="24" t="s">
        <v>147</v>
      </c>
      <c r="D137" s="7"/>
      <c r="E137" s="7"/>
      <c r="F137" s="8" t="s">
        <v>8</v>
      </c>
      <c r="G137" s="8">
        <f t="shared" si="6"/>
        <v>0</v>
      </c>
      <c r="H137" s="8">
        <f t="shared" si="6"/>
        <v>0</v>
      </c>
      <c r="I137" s="8">
        <f t="shared" si="6"/>
        <v>0</v>
      </c>
      <c r="J137" s="8">
        <f t="shared" si="6"/>
        <v>0</v>
      </c>
      <c r="K137" s="8">
        <f t="shared" si="6"/>
        <v>1</v>
      </c>
      <c r="L137" s="7"/>
    </row>
    <row r="138" spans="1:12" outlineLevel="1" x14ac:dyDescent="0.25">
      <c r="A138" s="22">
        <f t="shared" si="5"/>
        <v>2.010900000000023</v>
      </c>
      <c r="B138" s="26" t="s">
        <v>116</v>
      </c>
      <c r="C138" s="24" t="s">
        <v>148</v>
      </c>
      <c r="D138" s="165" t="s">
        <v>1180</v>
      </c>
      <c r="E138" s="7"/>
      <c r="F138" s="8" t="s">
        <v>8</v>
      </c>
      <c r="G138" s="8">
        <f t="shared" si="6"/>
        <v>0</v>
      </c>
      <c r="H138" s="8">
        <f t="shared" si="6"/>
        <v>0</v>
      </c>
      <c r="I138" s="8">
        <f t="shared" si="6"/>
        <v>0</v>
      </c>
      <c r="J138" s="8">
        <f t="shared" si="6"/>
        <v>0</v>
      </c>
      <c r="K138" s="8">
        <f t="shared" si="6"/>
        <v>1</v>
      </c>
      <c r="L138" s="7"/>
    </row>
    <row r="139" spans="1:12" outlineLevel="1" x14ac:dyDescent="0.25">
      <c r="A139" s="22">
        <f t="shared" si="5"/>
        <v>2.0110000000000232</v>
      </c>
      <c r="B139" s="31" t="s">
        <v>22</v>
      </c>
      <c r="C139" s="24"/>
      <c r="D139" s="166"/>
      <c r="E139" s="7"/>
      <c r="F139" s="8" t="s">
        <v>8</v>
      </c>
      <c r="G139" s="8">
        <f t="shared" si="6"/>
        <v>0</v>
      </c>
      <c r="H139" s="8">
        <f t="shared" si="6"/>
        <v>0</v>
      </c>
      <c r="I139" s="8">
        <f t="shared" si="6"/>
        <v>0</v>
      </c>
      <c r="J139" s="8">
        <f t="shared" si="6"/>
        <v>0</v>
      </c>
      <c r="K139" s="8">
        <f t="shared" si="6"/>
        <v>1</v>
      </c>
      <c r="L139" s="7"/>
    </row>
    <row r="140" spans="1:12" outlineLevel="1" x14ac:dyDescent="0.25">
      <c r="A140" s="22">
        <f t="shared" si="5"/>
        <v>2.0111000000000234</v>
      </c>
      <c r="B140" s="31" t="s">
        <v>25</v>
      </c>
      <c r="C140" s="24"/>
      <c r="D140" s="166"/>
      <c r="E140" s="7"/>
      <c r="F140" s="8" t="s">
        <v>8</v>
      </c>
      <c r="G140" s="8">
        <f t="shared" si="6"/>
        <v>0</v>
      </c>
      <c r="H140" s="8">
        <f t="shared" si="6"/>
        <v>0</v>
      </c>
      <c r="I140" s="8">
        <f t="shared" si="6"/>
        <v>0</v>
      </c>
      <c r="J140" s="8">
        <f t="shared" si="6"/>
        <v>0</v>
      </c>
      <c r="K140" s="8">
        <f t="shared" si="6"/>
        <v>1</v>
      </c>
      <c r="L140" s="7"/>
    </row>
    <row r="141" spans="1:12" outlineLevel="1" x14ac:dyDescent="0.25">
      <c r="A141" s="22">
        <f t="shared" si="5"/>
        <v>2.0112000000000236</v>
      </c>
      <c r="B141" s="31" t="s">
        <v>149</v>
      </c>
      <c r="C141" s="24"/>
      <c r="D141" s="166"/>
      <c r="E141" s="7"/>
      <c r="F141" s="8" t="s">
        <v>8</v>
      </c>
      <c r="G141" s="8">
        <f t="shared" si="6"/>
        <v>0</v>
      </c>
      <c r="H141" s="8">
        <f t="shared" si="6"/>
        <v>0</v>
      </c>
      <c r="I141" s="8">
        <f t="shared" si="6"/>
        <v>0</v>
      </c>
      <c r="J141" s="8">
        <f t="shared" si="6"/>
        <v>0</v>
      </c>
      <c r="K141" s="8">
        <f t="shared" si="6"/>
        <v>1</v>
      </c>
      <c r="L141" s="7"/>
    </row>
    <row r="142" spans="1:12" outlineLevel="1" x14ac:dyDescent="0.25">
      <c r="A142" s="22">
        <f t="shared" ref="A142:A205" si="7">A141+0.0001</f>
        <v>2.0113000000000238</v>
      </c>
      <c r="B142" s="31" t="s">
        <v>150</v>
      </c>
      <c r="C142" s="24"/>
      <c r="D142" s="166"/>
      <c r="E142" s="7"/>
      <c r="F142" s="8" t="s">
        <v>8</v>
      </c>
      <c r="G142" s="8">
        <f t="shared" si="6"/>
        <v>0</v>
      </c>
      <c r="H142" s="8">
        <f t="shared" si="6"/>
        <v>0</v>
      </c>
      <c r="I142" s="8">
        <f t="shared" si="6"/>
        <v>0</v>
      </c>
      <c r="J142" s="8">
        <f t="shared" si="6"/>
        <v>0</v>
      </c>
      <c r="K142" s="8">
        <f t="shared" si="6"/>
        <v>1</v>
      </c>
      <c r="L142" s="7"/>
    </row>
    <row r="143" spans="1:12" outlineLevel="1" x14ac:dyDescent="0.25">
      <c r="A143" s="22">
        <f t="shared" si="7"/>
        <v>2.0114000000000241</v>
      </c>
      <c r="B143" s="33" t="s">
        <v>119</v>
      </c>
      <c r="C143" s="24"/>
      <c r="D143" s="166"/>
      <c r="E143" s="7"/>
      <c r="F143" s="8" t="s">
        <v>8</v>
      </c>
      <c r="G143" s="8">
        <f t="shared" si="6"/>
        <v>0</v>
      </c>
      <c r="H143" s="8">
        <f t="shared" si="6"/>
        <v>0</v>
      </c>
      <c r="I143" s="8">
        <f t="shared" si="6"/>
        <v>0</v>
      </c>
      <c r="J143" s="8">
        <f t="shared" si="6"/>
        <v>0</v>
      </c>
      <c r="K143" s="8">
        <f t="shared" si="6"/>
        <v>1</v>
      </c>
      <c r="L143" s="7"/>
    </row>
    <row r="144" spans="1:12" outlineLevel="1" x14ac:dyDescent="0.25">
      <c r="A144" s="22">
        <f t="shared" si="7"/>
        <v>2.0115000000000243</v>
      </c>
      <c r="B144" s="31" t="s">
        <v>22</v>
      </c>
      <c r="C144" s="24"/>
      <c r="D144" s="166"/>
      <c r="E144" s="7"/>
      <c r="F144" s="8" t="s">
        <v>8</v>
      </c>
      <c r="G144" s="8">
        <f t="shared" ref="G144:K194" si="8">IF($F144=G$1,1,0)</f>
        <v>0</v>
      </c>
      <c r="H144" s="8">
        <f t="shared" si="8"/>
        <v>0</v>
      </c>
      <c r="I144" s="8">
        <f t="shared" si="8"/>
        <v>0</v>
      </c>
      <c r="J144" s="8">
        <f t="shared" si="8"/>
        <v>0</v>
      </c>
      <c r="K144" s="8">
        <f t="shared" si="8"/>
        <v>1</v>
      </c>
      <c r="L144" s="7"/>
    </row>
    <row r="145" spans="1:12" outlineLevel="1" x14ac:dyDescent="0.25">
      <c r="A145" s="22">
        <f t="shared" si="7"/>
        <v>2.0116000000000245</v>
      </c>
      <c r="B145" s="31" t="s">
        <v>25</v>
      </c>
      <c r="C145" s="24"/>
      <c r="D145" s="166"/>
      <c r="E145" s="7"/>
      <c r="F145" s="8" t="s">
        <v>8</v>
      </c>
      <c r="G145" s="8">
        <f t="shared" si="8"/>
        <v>0</v>
      </c>
      <c r="H145" s="8">
        <f t="shared" si="8"/>
        <v>0</v>
      </c>
      <c r="I145" s="8">
        <f t="shared" si="8"/>
        <v>0</v>
      </c>
      <c r="J145" s="8">
        <f t="shared" si="8"/>
        <v>0</v>
      </c>
      <c r="K145" s="8">
        <f t="shared" si="8"/>
        <v>1</v>
      </c>
      <c r="L145" s="7"/>
    </row>
    <row r="146" spans="1:12" outlineLevel="1" x14ac:dyDescent="0.25">
      <c r="A146" s="22">
        <f t="shared" si="7"/>
        <v>2.0117000000000247</v>
      </c>
      <c r="B146" s="31" t="s">
        <v>151</v>
      </c>
      <c r="C146" s="24"/>
      <c r="D146" s="166"/>
      <c r="E146" s="7"/>
      <c r="F146" s="8" t="s">
        <v>8</v>
      </c>
      <c r="G146" s="8">
        <f t="shared" si="8"/>
        <v>0</v>
      </c>
      <c r="H146" s="8">
        <f t="shared" si="8"/>
        <v>0</v>
      </c>
      <c r="I146" s="8">
        <f t="shared" si="8"/>
        <v>0</v>
      </c>
      <c r="J146" s="8">
        <f t="shared" si="8"/>
        <v>0</v>
      </c>
      <c r="K146" s="8">
        <f t="shared" si="8"/>
        <v>1</v>
      </c>
      <c r="L146" s="7"/>
    </row>
    <row r="147" spans="1:12" outlineLevel="1" x14ac:dyDescent="0.25">
      <c r="A147" s="22">
        <f t="shared" si="7"/>
        <v>2.0118000000000249</v>
      </c>
      <c r="B147" s="31" t="s">
        <v>24</v>
      </c>
      <c r="C147" s="24"/>
      <c r="D147" s="167"/>
      <c r="E147" s="7"/>
      <c r="F147" s="8" t="s">
        <v>8</v>
      </c>
      <c r="G147" s="8">
        <f t="shared" si="8"/>
        <v>0</v>
      </c>
      <c r="H147" s="8">
        <f t="shared" si="8"/>
        <v>0</v>
      </c>
      <c r="I147" s="8">
        <f t="shared" si="8"/>
        <v>0</v>
      </c>
      <c r="J147" s="8">
        <f t="shared" si="8"/>
        <v>0</v>
      </c>
      <c r="K147" s="8">
        <f t="shared" si="8"/>
        <v>1</v>
      </c>
      <c r="L147" s="7"/>
    </row>
    <row r="148" spans="1:12" ht="38.25" outlineLevel="1" x14ac:dyDescent="0.25">
      <c r="A148" s="22">
        <f t="shared" si="7"/>
        <v>2.0119000000000251</v>
      </c>
      <c r="B148" s="26" t="s">
        <v>152</v>
      </c>
      <c r="C148" s="23" t="s">
        <v>158</v>
      </c>
      <c r="D148" s="7"/>
      <c r="E148" s="7"/>
      <c r="F148" s="8" t="s">
        <v>8</v>
      </c>
      <c r="G148" s="8">
        <f t="shared" si="8"/>
        <v>0</v>
      </c>
      <c r="H148" s="8">
        <f t="shared" si="8"/>
        <v>0</v>
      </c>
      <c r="I148" s="8">
        <f t="shared" si="8"/>
        <v>0</v>
      </c>
      <c r="J148" s="8">
        <f t="shared" si="8"/>
        <v>0</v>
      </c>
      <c r="K148" s="8">
        <f t="shared" si="8"/>
        <v>1</v>
      </c>
      <c r="L148" s="7"/>
    </row>
    <row r="149" spans="1:12" outlineLevel="1" x14ac:dyDescent="0.25">
      <c r="A149" s="22">
        <f t="shared" si="7"/>
        <v>2.0120000000000253</v>
      </c>
      <c r="B149" s="27"/>
      <c r="C149" s="23" t="s">
        <v>159</v>
      </c>
      <c r="D149" s="7"/>
      <c r="E149" s="7"/>
      <c r="F149" s="8" t="s">
        <v>8</v>
      </c>
      <c r="G149" s="8">
        <f t="shared" si="8"/>
        <v>0</v>
      </c>
      <c r="H149" s="8">
        <f t="shared" si="8"/>
        <v>0</v>
      </c>
      <c r="I149" s="8">
        <f t="shared" si="8"/>
        <v>0</v>
      </c>
      <c r="J149" s="8">
        <f t="shared" si="8"/>
        <v>0</v>
      </c>
      <c r="K149" s="8">
        <f t="shared" si="8"/>
        <v>1</v>
      </c>
      <c r="L149" s="7"/>
    </row>
    <row r="150" spans="1:12" outlineLevel="1" x14ac:dyDescent="0.25">
      <c r="A150" s="22">
        <f t="shared" si="7"/>
        <v>2.0121000000000255</v>
      </c>
      <c r="B150" s="27"/>
      <c r="C150" s="23" t="s">
        <v>160</v>
      </c>
      <c r="D150" s="7"/>
      <c r="E150" s="7"/>
      <c r="F150" s="8" t="s">
        <v>8</v>
      </c>
      <c r="G150" s="8">
        <f t="shared" si="8"/>
        <v>0</v>
      </c>
      <c r="H150" s="8">
        <f t="shared" si="8"/>
        <v>0</v>
      </c>
      <c r="I150" s="8">
        <f t="shared" si="8"/>
        <v>0</v>
      </c>
      <c r="J150" s="8">
        <f t="shared" si="8"/>
        <v>0</v>
      </c>
      <c r="K150" s="8">
        <f t="shared" si="8"/>
        <v>1</v>
      </c>
      <c r="L150" s="7"/>
    </row>
    <row r="151" spans="1:12" outlineLevel="1" x14ac:dyDescent="0.25">
      <c r="A151" s="22">
        <f t="shared" si="7"/>
        <v>2.0122000000000257</v>
      </c>
      <c r="B151" s="27"/>
      <c r="C151" s="23" t="s">
        <v>161</v>
      </c>
      <c r="D151" s="7"/>
      <c r="E151" s="7"/>
      <c r="F151" s="8" t="s">
        <v>8</v>
      </c>
      <c r="G151" s="8">
        <f t="shared" si="8"/>
        <v>0</v>
      </c>
      <c r="H151" s="8">
        <f t="shared" si="8"/>
        <v>0</v>
      </c>
      <c r="I151" s="8">
        <f t="shared" si="8"/>
        <v>0</v>
      </c>
      <c r="J151" s="8">
        <f t="shared" si="8"/>
        <v>0</v>
      </c>
      <c r="K151" s="8">
        <f t="shared" si="8"/>
        <v>1</v>
      </c>
      <c r="L151" s="7"/>
    </row>
    <row r="152" spans="1:12" outlineLevel="1" x14ac:dyDescent="0.25">
      <c r="A152" s="22">
        <f t="shared" si="7"/>
        <v>2.012300000000026</v>
      </c>
      <c r="B152" s="27"/>
      <c r="C152" s="23" t="s">
        <v>162</v>
      </c>
      <c r="D152" s="7"/>
      <c r="E152" s="7"/>
      <c r="F152" s="8" t="s">
        <v>8</v>
      </c>
      <c r="G152" s="8">
        <f t="shared" si="8"/>
        <v>0</v>
      </c>
      <c r="H152" s="8">
        <f t="shared" si="8"/>
        <v>0</v>
      </c>
      <c r="I152" s="8">
        <f t="shared" si="8"/>
        <v>0</v>
      </c>
      <c r="J152" s="8">
        <f t="shared" si="8"/>
        <v>0</v>
      </c>
      <c r="K152" s="8">
        <f t="shared" si="8"/>
        <v>1</v>
      </c>
      <c r="L152" s="7"/>
    </row>
    <row r="153" spans="1:12" outlineLevel="1" x14ac:dyDescent="0.25">
      <c r="A153" s="22">
        <f t="shared" si="7"/>
        <v>2.0124000000000262</v>
      </c>
      <c r="B153" s="27"/>
      <c r="C153" s="23" t="s">
        <v>163</v>
      </c>
      <c r="D153" s="7"/>
      <c r="E153" s="7"/>
      <c r="F153" s="8" t="s">
        <v>8</v>
      </c>
      <c r="G153" s="8">
        <f t="shared" si="8"/>
        <v>0</v>
      </c>
      <c r="H153" s="8">
        <f t="shared" si="8"/>
        <v>0</v>
      </c>
      <c r="I153" s="8">
        <f t="shared" si="8"/>
        <v>0</v>
      </c>
      <c r="J153" s="8">
        <f t="shared" si="8"/>
        <v>0</v>
      </c>
      <c r="K153" s="8">
        <f t="shared" si="8"/>
        <v>1</v>
      </c>
      <c r="L153" s="7"/>
    </row>
    <row r="154" spans="1:12" outlineLevel="1" x14ac:dyDescent="0.25">
      <c r="A154" s="22">
        <f t="shared" si="7"/>
        <v>2.0125000000000264</v>
      </c>
      <c r="B154" s="27"/>
      <c r="C154" s="23" t="s">
        <v>164</v>
      </c>
      <c r="D154" s="7"/>
      <c r="E154" s="7"/>
      <c r="F154" s="8" t="s">
        <v>8</v>
      </c>
      <c r="G154" s="8">
        <f t="shared" si="8"/>
        <v>0</v>
      </c>
      <c r="H154" s="8">
        <f t="shared" si="8"/>
        <v>0</v>
      </c>
      <c r="I154" s="8">
        <f t="shared" si="8"/>
        <v>0</v>
      </c>
      <c r="J154" s="8">
        <f t="shared" si="8"/>
        <v>0</v>
      </c>
      <c r="K154" s="8">
        <f t="shared" si="8"/>
        <v>1</v>
      </c>
      <c r="L154" s="7"/>
    </row>
    <row r="155" spans="1:12" ht="25.5" outlineLevel="1" x14ac:dyDescent="0.25">
      <c r="A155" s="22">
        <f t="shared" si="7"/>
        <v>2.0126000000000266</v>
      </c>
      <c r="B155" s="27"/>
      <c r="C155" s="23" t="s">
        <v>165</v>
      </c>
      <c r="D155" s="7"/>
      <c r="E155" s="7"/>
      <c r="F155" s="8" t="s">
        <v>8</v>
      </c>
      <c r="G155" s="8">
        <f t="shared" si="8"/>
        <v>0</v>
      </c>
      <c r="H155" s="8">
        <f t="shared" si="8"/>
        <v>0</v>
      </c>
      <c r="I155" s="8">
        <f t="shared" si="8"/>
        <v>0</v>
      </c>
      <c r="J155" s="8">
        <f t="shared" si="8"/>
        <v>0</v>
      </c>
      <c r="K155" s="8">
        <f t="shared" si="8"/>
        <v>1</v>
      </c>
      <c r="L155" s="7"/>
    </row>
    <row r="156" spans="1:12" outlineLevel="1" x14ac:dyDescent="0.25">
      <c r="A156" s="22">
        <f t="shared" si="7"/>
        <v>2.0127000000000268</v>
      </c>
      <c r="B156" s="27"/>
      <c r="C156" s="23" t="s">
        <v>166</v>
      </c>
      <c r="D156" s="7"/>
      <c r="E156" s="7"/>
      <c r="F156" s="8" t="s">
        <v>8</v>
      </c>
      <c r="G156" s="8">
        <f t="shared" si="8"/>
        <v>0</v>
      </c>
      <c r="H156" s="8">
        <f t="shared" si="8"/>
        <v>0</v>
      </c>
      <c r="I156" s="8">
        <f t="shared" si="8"/>
        <v>0</v>
      </c>
      <c r="J156" s="8">
        <f t="shared" si="8"/>
        <v>0</v>
      </c>
      <c r="K156" s="8">
        <f t="shared" si="8"/>
        <v>1</v>
      </c>
      <c r="L156" s="7"/>
    </row>
    <row r="157" spans="1:12" ht="25.5" outlineLevel="1" x14ac:dyDescent="0.25">
      <c r="A157" s="22">
        <f t="shared" si="7"/>
        <v>2.012800000000027</v>
      </c>
      <c r="B157" s="26" t="s">
        <v>173</v>
      </c>
      <c r="C157" s="24" t="s">
        <v>31</v>
      </c>
      <c r="D157" s="7"/>
      <c r="E157" s="7"/>
      <c r="F157" s="8" t="s">
        <v>8</v>
      </c>
      <c r="G157" s="8">
        <f t="shared" si="8"/>
        <v>0</v>
      </c>
      <c r="H157" s="8">
        <f t="shared" si="8"/>
        <v>0</v>
      </c>
      <c r="I157" s="8">
        <f t="shared" si="8"/>
        <v>0</v>
      </c>
      <c r="J157" s="8">
        <f t="shared" si="8"/>
        <v>0</v>
      </c>
      <c r="K157" s="8">
        <f t="shared" si="8"/>
        <v>1</v>
      </c>
      <c r="L157" s="7"/>
    </row>
    <row r="158" spans="1:12" outlineLevel="1" x14ac:dyDescent="0.25">
      <c r="A158" s="22">
        <f t="shared" si="7"/>
        <v>2.0129000000000272</v>
      </c>
      <c r="B158" s="27"/>
      <c r="C158" s="24" t="s">
        <v>167</v>
      </c>
      <c r="D158" s="7"/>
      <c r="E158" s="7"/>
      <c r="F158" s="8" t="s">
        <v>8</v>
      </c>
      <c r="G158" s="8">
        <f t="shared" si="8"/>
        <v>0</v>
      </c>
      <c r="H158" s="8">
        <f t="shared" si="8"/>
        <v>0</v>
      </c>
      <c r="I158" s="8">
        <f t="shared" si="8"/>
        <v>0</v>
      </c>
      <c r="J158" s="8">
        <f t="shared" si="8"/>
        <v>0</v>
      </c>
      <c r="K158" s="8">
        <f t="shared" si="8"/>
        <v>1</v>
      </c>
      <c r="L158" s="7"/>
    </row>
    <row r="159" spans="1:12" ht="25.5" outlineLevel="1" x14ac:dyDescent="0.25">
      <c r="A159" s="22">
        <f t="shared" si="7"/>
        <v>2.0130000000000274</v>
      </c>
      <c r="B159" s="26" t="s">
        <v>174</v>
      </c>
      <c r="C159" s="24" t="s">
        <v>168</v>
      </c>
      <c r="D159" s="7"/>
      <c r="E159" s="7"/>
      <c r="F159" s="8" t="s">
        <v>8</v>
      </c>
      <c r="G159" s="8">
        <f t="shared" si="8"/>
        <v>0</v>
      </c>
      <c r="H159" s="8">
        <f t="shared" si="8"/>
        <v>0</v>
      </c>
      <c r="I159" s="8">
        <f t="shared" si="8"/>
        <v>0</v>
      </c>
      <c r="J159" s="8">
        <f t="shared" si="8"/>
        <v>0</v>
      </c>
      <c r="K159" s="8">
        <f t="shared" si="8"/>
        <v>1</v>
      </c>
      <c r="L159" s="7"/>
    </row>
    <row r="160" spans="1:12" ht="25.5" outlineLevel="1" x14ac:dyDescent="0.25">
      <c r="A160" s="22">
        <f t="shared" si="7"/>
        <v>2.0131000000000276</v>
      </c>
      <c r="B160" s="27" t="s">
        <v>169</v>
      </c>
      <c r="C160" s="24" t="s">
        <v>170</v>
      </c>
      <c r="D160" s="7"/>
      <c r="E160" s="7"/>
      <c r="F160" s="8" t="s">
        <v>8</v>
      </c>
      <c r="G160" s="8">
        <f t="shared" si="8"/>
        <v>0</v>
      </c>
      <c r="H160" s="8">
        <f t="shared" si="8"/>
        <v>0</v>
      </c>
      <c r="I160" s="8">
        <f t="shared" si="8"/>
        <v>0</v>
      </c>
      <c r="J160" s="8">
        <f t="shared" si="8"/>
        <v>0</v>
      </c>
      <c r="K160" s="8">
        <f t="shared" si="8"/>
        <v>1</v>
      </c>
      <c r="L160" s="7"/>
    </row>
    <row r="161" spans="1:12" outlineLevel="1" x14ac:dyDescent="0.25">
      <c r="A161" s="22">
        <f t="shared" si="7"/>
        <v>2.0132000000000279</v>
      </c>
      <c r="B161" s="26" t="s">
        <v>116</v>
      </c>
      <c r="C161" s="24" t="s">
        <v>171</v>
      </c>
      <c r="D161" s="165" t="s">
        <v>1180</v>
      </c>
      <c r="E161" s="7"/>
      <c r="F161" s="8" t="s">
        <v>8</v>
      </c>
      <c r="G161" s="8">
        <f t="shared" si="8"/>
        <v>0</v>
      </c>
      <c r="H161" s="8">
        <f t="shared" si="8"/>
        <v>0</v>
      </c>
      <c r="I161" s="8">
        <f t="shared" si="8"/>
        <v>0</v>
      </c>
      <c r="J161" s="8">
        <f t="shared" si="8"/>
        <v>0</v>
      </c>
      <c r="K161" s="8">
        <f t="shared" si="8"/>
        <v>1</v>
      </c>
      <c r="L161" s="7"/>
    </row>
    <row r="162" spans="1:12" outlineLevel="1" x14ac:dyDescent="0.25">
      <c r="A162" s="22">
        <f t="shared" si="7"/>
        <v>2.0133000000000281</v>
      </c>
      <c r="B162" s="31" t="s">
        <v>22</v>
      </c>
      <c r="C162" s="24"/>
      <c r="D162" s="166"/>
      <c r="E162" s="7"/>
      <c r="F162" s="8" t="s">
        <v>8</v>
      </c>
      <c r="G162" s="8">
        <f t="shared" si="8"/>
        <v>0</v>
      </c>
      <c r="H162" s="8">
        <f t="shared" si="8"/>
        <v>0</v>
      </c>
      <c r="I162" s="8">
        <f t="shared" si="8"/>
        <v>0</v>
      </c>
      <c r="J162" s="8">
        <f t="shared" si="8"/>
        <v>0</v>
      </c>
      <c r="K162" s="8">
        <f t="shared" si="8"/>
        <v>1</v>
      </c>
      <c r="L162" s="7"/>
    </row>
    <row r="163" spans="1:12" outlineLevel="1" x14ac:dyDescent="0.25">
      <c r="A163" s="22">
        <f t="shared" si="7"/>
        <v>2.0134000000000283</v>
      </c>
      <c r="B163" s="31" t="s">
        <v>25</v>
      </c>
      <c r="C163" s="24"/>
      <c r="D163" s="166"/>
      <c r="E163" s="7"/>
      <c r="F163" s="8" t="s">
        <v>8</v>
      </c>
      <c r="G163" s="8">
        <f t="shared" si="8"/>
        <v>0</v>
      </c>
      <c r="H163" s="8">
        <f t="shared" si="8"/>
        <v>0</v>
      </c>
      <c r="I163" s="8">
        <f t="shared" si="8"/>
        <v>0</v>
      </c>
      <c r="J163" s="8">
        <f t="shared" si="8"/>
        <v>0</v>
      </c>
      <c r="K163" s="8">
        <f t="shared" si="8"/>
        <v>1</v>
      </c>
      <c r="L163" s="7"/>
    </row>
    <row r="164" spans="1:12" outlineLevel="1" x14ac:dyDescent="0.25">
      <c r="A164" s="22">
        <f t="shared" si="7"/>
        <v>2.0135000000000285</v>
      </c>
      <c r="B164" s="31" t="s">
        <v>172</v>
      </c>
      <c r="C164" s="24"/>
      <c r="D164" s="166"/>
      <c r="E164" s="7"/>
      <c r="F164" s="8" t="s">
        <v>8</v>
      </c>
      <c r="G164" s="8">
        <f t="shared" si="8"/>
        <v>0</v>
      </c>
      <c r="H164" s="8">
        <f t="shared" si="8"/>
        <v>0</v>
      </c>
      <c r="I164" s="8">
        <f t="shared" si="8"/>
        <v>0</v>
      </c>
      <c r="J164" s="8">
        <f t="shared" si="8"/>
        <v>0</v>
      </c>
      <c r="K164" s="8">
        <f t="shared" si="8"/>
        <v>1</v>
      </c>
      <c r="L164" s="7"/>
    </row>
    <row r="165" spans="1:12" outlineLevel="1" x14ac:dyDescent="0.25">
      <c r="A165" s="22">
        <f t="shared" si="7"/>
        <v>2.0136000000000287</v>
      </c>
      <c r="B165" s="31" t="s">
        <v>24</v>
      </c>
      <c r="C165" s="24"/>
      <c r="D165" s="167"/>
      <c r="E165" s="7"/>
      <c r="F165" s="8" t="s">
        <v>8</v>
      </c>
      <c r="G165" s="8">
        <f t="shared" si="8"/>
        <v>0</v>
      </c>
      <c r="H165" s="8">
        <f t="shared" si="8"/>
        <v>0</v>
      </c>
      <c r="I165" s="8">
        <f t="shared" si="8"/>
        <v>0</v>
      </c>
      <c r="J165" s="8">
        <f t="shared" si="8"/>
        <v>0</v>
      </c>
      <c r="K165" s="8">
        <f t="shared" si="8"/>
        <v>1</v>
      </c>
      <c r="L165" s="7"/>
    </row>
    <row r="166" spans="1:12" ht="25.5" outlineLevel="1" x14ac:dyDescent="0.25">
      <c r="A166" s="22">
        <f t="shared" si="7"/>
        <v>2.0137000000000289</v>
      </c>
      <c r="B166" s="26" t="s">
        <v>175</v>
      </c>
      <c r="C166" s="24" t="s">
        <v>177</v>
      </c>
      <c r="D166" s="7"/>
      <c r="E166" s="7"/>
      <c r="F166" s="8" t="s">
        <v>8</v>
      </c>
      <c r="G166" s="8">
        <f t="shared" si="8"/>
        <v>0</v>
      </c>
      <c r="H166" s="8">
        <f t="shared" si="8"/>
        <v>0</v>
      </c>
      <c r="I166" s="8">
        <f t="shared" si="8"/>
        <v>0</v>
      </c>
      <c r="J166" s="8">
        <f t="shared" si="8"/>
        <v>0</v>
      </c>
      <c r="K166" s="8">
        <f t="shared" si="8"/>
        <v>1</v>
      </c>
      <c r="L166" s="7"/>
    </row>
    <row r="167" spans="1:12" outlineLevel="1" x14ac:dyDescent="0.25">
      <c r="A167" s="22">
        <f t="shared" si="7"/>
        <v>2.0138000000000291</v>
      </c>
      <c r="B167" s="27"/>
      <c r="C167" s="24" t="s">
        <v>178</v>
      </c>
      <c r="D167" s="7"/>
      <c r="E167" s="7"/>
      <c r="F167" s="8" t="s">
        <v>8</v>
      </c>
      <c r="G167" s="8">
        <f t="shared" si="8"/>
        <v>0</v>
      </c>
      <c r="H167" s="8">
        <f t="shared" si="8"/>
        <v>0</v>
      </c>
      <c r="I167" s="8">
        <f t="shared" si="8"/>
        <v>0</v>
      </c>
      <c r="J167" s="8">
        <f t="shared" si="8"/>
        <v>0</v>
      </c>
      <c r="K167" s="8">
        <f t="shared" si="8"/>
        <v>1</v>
      </c>
      <c r="L167" s="7"/>
    </row>
    <row r="168" spans="1:12" outlineLevel="1" x14ac:dyDescent="0.25">
      <c r="A168" s="22">
        <f t="shared" si="7"/>
        <v>2.0139000000000293</v>
      </c>
      <c r="B168" s="27"/>
      <c r="C168" s="24" t="s">
        <v>179</v>
      </c>
      <c r="D168" s="7"/>
      <c r="E168" s="7"/>
      <c r="F168" s="8" t="s">
        <v>8</v>
      </c>
      <c r="G168" s="8">
        <f t="shared" si="8"/>
        <v>0</v>
      </c>
      <c r="H168" s="8">
        <f t="shared" si="8"/>
        <v>0</v>
      </c>
      <c r="I168" s="8">
        <f t="shared" si="8"/>
        <v>0</v>
      </c>
      <c r="J168" s="8">
        <f t="shared" si="8"/>
        <v>0</v>
      </c>
      <c r="K168" s="8">
        <f t="shared" si="8"/>
        <v>1</v>
      </c>
      <c r="L168" s="7"/>
    </row>
    <row r="169" spans="1:12" outlineLevel="1" x14ac:dyDescent="0.25">
      <c r="A169" s="22">
        <f t="shared" si="7"/>
        <v>2.0140000000000295</v>
      </c>
      <c r="B169" s="27"/>
      <c r="C169" s="24" t="s">
        <v>180</v>
      </c>
      <c r="D169" s="7"/>
      <c r="E169" s="7"/>
      <c r="F169" s="8" t="s">
        <v>8</v>
      </c>
      <c r="G169" s="8">
        <f t="shared" si="8"/>
        <v>0</v>
      </c>
      <c r="H169" s="8">
        <f t="shared" si="8"/>
        <v>0</v>
      </c>
      <c r="I169" s="8">
        <f t="shared" si="8"/>
        <v>0</v>
      </c>
      <c r="J169" s="8">
        <f t="shared" si="8"/>
        <v>0</v>
      </c>
      <c r="K169" s="8">
        <f t="shared" si="8"/>
        <v>1</v>
      </c>
      <c r="L169" s="7"/>
    </row>
    <row r="170" spans="1:12" outlineLevel="1" x14ac:dyDescent="0.25">
      <c r="A170" s="22">
        <f t="shared" si="7"/>
        <v>2.0141000000000298</v>
      </c>
      <c r="B170" s="27"/>
      <c r="C170" s="24" t="s">
        <v>164</v>
      </c>
      <c r="D170" s="7"/>
      <c r="E170" s="7"/>
      <c r="F170" s="8" t="s">
        <v>8</v>
      </c>
      <c r="G170" s="8">
        <f t="shared" si="8"/>
        <v>0</v>
      </c>
      <c r="H170" s="8">
        <f t="shared" si="8"/>
        <v>0</v>
      </c>
      <c r="I170" s="8">
        <f t="shared" si="8"/>
        <v>0</v>
      </c>
      <c r="J170" s="8">
        <f t="shared" si="8"/>
        <v>0</v>
      </c>
      <c r="K170" s="8">
        <f t="shared" si="8"/>
        <v>1</v>
      </c>
      <c r="L170" s="7"/>
    </row>
    <row r="171" spans="1:12" ht="25.5" outlineLevel="1" x14ac:dyDescent="0.25">
      <c r="A171" s="22">
        <f t="shared" si="7"/>
        <v>2.01420000000003</v>
      </c>
      <c r="B171" s="27"/>
      <c r="C171" s="24" t="s">
        <v>165</v>
      </c>
      <c r="D171" s="7"/>
      <c r="E171" s="7"/>
      <c r="F171" s="8" t="s">
        <v>8</v>
      </c>
      <c r="G171" s="8">
        <f t="shared" si="8"/>
        <v>0</v>
      </c>
      <c r="H171" s="8">
        <f t="shared" si="8"/>
        <v>0</v>
      </c>
      <c r="I171" s="8">
        <f t="shared" si="8"/>
        <v>0</v>
      </c>
      <c r="J171" s="8">
        <f t="shared" si="8"/>
        <v>0</v>
      </c>
      <c r="K171" s="8">
        <f t="shared" si="8"/>
        <v>1</v>
      </c>
      <c r="L171" s="7"/>
    </row>
    <row r="172" spans="1:12" outlineLevel="1" x14ac:dyDescent="0.25">
      <c r="A172" s="22">
        <f t="shared" si="7"/>
        <v>2.0143000000000302</v>
      </c>
      <c r="B172" s="27"/>
      <c r="C172" s="24" t="s">
        <v>166</v>
      </c>
      <c r="D172" s="7"/>
      <c r="E172" s="7"/>
      <c r="F172" s="8" t="s">
        <v>8</v>
      </c>
      <c r="G172" s="8">
        <f t="shared" si="8"/>
        <v>0</v>
      </c>
      <c r="H172" s="8">
        <f t="shared" si="8"/>
        <v>0</v>
      </c>
      <c r="I172" s="8">
        <f t="shared" si="8"/>
        <v>0</v>
      </c>
      <c r="J172" s="8">
        <f t="shared" si="8"/>
        <v>0</v>
      </c>
      <c r="K172" s="8">
        <f t="shared" si="8"/>
        <v>1</v>
      </c>
      <c r="L172" s="7"/>
    </row>
    <row r="173" spans="1:12" outlineLevel="1" x14ac:dyDescent="0.25">
      <c r="A173" s="22">
        <f t="shared" si="7"/>
        <v>2.0144000000000304</v>
      </c>
      <c r="B173" s="38" t="s">
        <v>22</v>
      </c>
      <c r="C173" s="24" t="s">
        <v>193</v>
      </c>
      <c r="D173" s="165" t="s">
        <v>1180</v>
      </c>
      <c r="E173" s="7"/>
      <c r="F173" s="8" t="s">
        <v>8</v>
      </c>
      <c r="G173" s="8">
        <f t="shared" si="8"/>
        <v>0</v>
      </c>
      <c r="H173" s="8">
        <f t="shared" si="8"/>
        <v>0</v>
      </c>
      <c r="I173" s="8">
        <f t="shared" si="8"/>
        <v>0</v>
      </c>
      <c r="J173" s="8">
        <f t="shared" si="8"/>
        <v>0</v>
      </c>
      <c r="K173" s="8">
        <f t="shared" si="8"/>
        <v>1</v>
      </c>
      <c r="L173" s="7"/>
    </row>
    <row r="174" spans="1:12" outlineLevel="1" x14ac:dyDescent="0.25">
      <c r="A174" s="22">
        <f t="shared" si="7"/>
        <v>2.0145000000000306</v>
      </c>
      <c r="B174" s="31" t="s">
        <v>25</v>
      </c>
      <c r="C174" s="24"/>
      <c r="D174" s="166"/>
      <c r="E174" s="7"/>
      <c r="F174" s="8" t="s">
        <v>8</v>
      </c>
      <c r="G174" s="8">
        <f t="shared" si="8"/>
        <v>0</v>
      </c>
      <c r="H174" s="8">
        <f t="shared" si="8"/>
        <v>0</v>
      </c>
      <c r="I174" s="8">
        <f t="shared" si="8"/>
        <v>0</v>
      </c>
      <c r="J174" s="8">
        <f t="shared" si="8"/>
        <v>0</v>
      </c>
      <c r="K174" s="8">
        <f t="shared" si="8"/>
        <v>1</v>
      </c>
      <c r="L174" s="7"/>
    </row>
    <row r="175" spans="1:12" outlineLevel="1" x14ac:dyDescent="0.25">
      <c r="A175" s="22">
        <f t="shared" si="7"/>
        <v>2.0146000000000308</v>
      </c>
      <c r="B175" s="31" t="s">
        <v>194</v>
      </c>
      <c r="C175" s="24"/>
      <c r="D175" s="166"/>
      <c r="E175" s="7"/>
      <c r="F175" s="8" t="s">
        <v>8</v>
      </c>
      <c r="G175" s="8">
        <f t="shared" si="8"/>
        <v>0</v>
      </c>
      <c r="H175" s="8">
        <f t="shared" si="8"/>
        <v>0</v>
      </c>
      <c r="I175" s="8">
        <f t="shared" si="8"/>
        <v>0</v>
      </c>
      <c r="J175" s="8">
        <f t="shared" si="8"/>
        <v>0</v>
      </c>
      <c r="K175" s="8">
        <f t="shared" si="8"/>
        <v>1</v>
      </c>
      <c r="L175" s="7"/>
    </row>
    <row r="176" spans="1:12" outlineLevel="1" x14ac:dyDescent="0.25">
      <c r="A176" s="22">
        <f t="shared" si="7"/>
        <v>2.014700000000031</v>
      </c>
      <c r="B176" s="31" t="s">
        <v>24</v>
      </c>
      <c r="C176" s="24"/>
      <c r="D176" s="167"/>
      <c r="E176" s="7"/>
      <c r="F176" s="8" t="s">
        <v>8</v>
      </c>
      <c r="G176" s="8">
        <f t="shared" si="8"/>
        <v>0</v>
      </c>
      <c r="H176" s="8">
        <f t="shared" si="8"/>
        <v>0</v>
      </c>
      <c r="I176" s="8">
        <f t="shared" si="8"/>
        <v>0</v>
      </c>
      <c r="J176" s="8">
        <f t="shared" si="8"/>
        <v>0</v>
      </c>
      <c r="K176" s="8">
        <f t="shared" si="8"/>
        <v>1</v>
      </c>
      <c r="L176" s="7"/>
    </row>
    <row r="177" spans="1:12" ht="25.5" outlineLevel="1" x14ac:dyDescent="0.25">
      <c r="A177" s="22">
        <f t="shared" si="7"/>
        <v>2.0148000000000312</v>
      </c>
      <c r="B177" s="26" t="s">
        <v>195</v>
      </c>
      <c r="C177" s="24" t="s">
        <v>196</v>
      </c>
      <c r="D177" s="7"/>
      <c r="E177" s="7"/>
      <c r="F177" s="8" t="s">
        <v>8</v>
      </c>
      <c r="G177" s="8">
        <f t="shared" si="8"/>
        <v>0</v>
      </c>
      <c r="H177" s="8">
        <f t="shared" si="8"/>
        <v>0</v>
      </c>
      <c r="I177" s="8">
        <f t="shared" si="8"/>
        <v>0</v>
      </c>
      <c r="J177" s="8">
        <f t="shared" si="8"/>
        <v>0</v>
      </c>
      <c r="K177" s="8">
        <f t="shared" si="8"/>
        <v>1</v>
      </c>
      <c r="L177" s="7"/>
    </row>
    <row r="178" spans="1:12" outlineLevel="1" x14ac:dyDescent="0.25">
      <c r="A178" s="22">
        <f t="shared" si="7"/>
        <v>2.0149000000000314</v>
      </c>
      <c r="B178" s="27"/>
      <c r="C178" s="24" t="s">
        <v>178</v>
      </c>
      <c r="D178" s="7"/>
      <c r="E178" s="7"/>
      <c r="F178" s="8" t="s">
        <v>8</v>
      </c>
      <c r="G178" s="8">
        <f t="shared" si="8"/>
        <v>0</v>
      </c>
      <c r="H178" s="8">
        <f t="shared" si="8"/>
        <v>0</v>
      </c>
      <c r="I178" s="8">
        <f t="shared" si="8"/>
        <v>0</v>
      </c>
      <c r="J178" s="8">
        <f t="shared" si="8"/>
        <v>0</v>
      </c>
      <c r="K178" s="8">
        <f t="shared" si="8"/>
        <v>1</v>
      </c>
      <c r="L178" s="7"/>
    </row>
    <row r="179" spans="1:12" outlineLevel="1" x14ac:dyDescent="0.25">
      <c r="A179" s="22">
        <f t="shared" si="7"/>
        <v>2.0150000000000317</v>
      </c>
      <c r="B179" s="27"/>
      <c r="C179" s="24" t="s">
        <v>197</v>
      </c>
      <c r="D179" s="7"/>
      <c r="E179" s="7"/>
      <c r="F179" s="8" t="s">
        <v>8</v>
      </c>
      <c r="G179" s="8">
        <f t="shared" si="8"/>
        <v>0</v>
      </c>
      <c r="H179" s="8">
        <f t="shared" si="8"/>
        <v>0</v>
      </c>
      <c r="I179" s="8">
        <f t="shared" si="8"/>
        <v>0</v>
      </c>
      <c r="J179" s="8">
        <f t="shared" si="8"/>
        <v>0</v>
      </c>
      <c r="K179" s="8">
        <f t="shared" si="8"/>
        <v>1</v>
      </c>
      <c r="L179" s="7"/>
    </row>
    <row r="180" spans="1:12" outlineLevel="1" x14ac:dyDescent="0.25">
      <c r="A180" s="22">
        <f t="shared" si="7"/>
        <v>2.0151000000000319</v>
      </c>
      <c r="B180" s="27"/>
      <c r="C180" s="24" t="s">
        <v>198</v>
      </c>
      <c r="D180" s="7"/>
      <c r="E180" s="7"/>
      <c r="F180" s="8" t="s">
        <v>8</v>
      </c>
      <c r="G180" s="8">
        <f t="shared" si="8"/>
        <v>0</v>
      </c>
      <c r="H180" s="8">
        <f t="shared" si="8"/>
        <v>0</v>
      </c>
      <c r="I180" s="8">
        <f t="shared" si="8"/>
        <v>0</v>
      </c>
      <c r="J180" s="8">
        <f t="shared" si="8"/>
        <v>0</v>
      </c>
      <c r="K180" s="8">
        <f t="shared" si="8"/>
        <v>1</v>
      </c>
      <c r="L180" s="7"/>
    </row>
    <row r="181" spans="1:12" outlineLevel="1" x14ac:dyDescent="0.25">
      <c r="A181" s="22">
        <f t="shared" si="7"/>
        <v>2.0152000000000321</v>
      </c>
      <c r="B181" s="27"/>
      <c r="C181" s="24" t="s">
        <v>164</v>
      </c>
      <c r="D181" s="7"/>
      <c r="E181" s="7"/>
      <c r="F181" s="8" t="s">
        <v>8</v>
      </c>
      <c r="G181" s="8">
        <f t="shared" si="8"/>
        <v>0</v>
      </c>
      <c r="H181" s="8">
        <f t="shared" si="8"/>
        <v>0</v>
      </c>
      <c r="I181" s="8">
        <f t="shared" si="8"/>
        <v>0</v>
      </c>
      <c r="J181" s="8">
        <f t="shared" si="8"/>
        <v>0</v>
      </c>
      <c r="K181" s="8">
        <f t="shared" si="8"/>
        <v>1</v>
      </c>
      <c r="L181" s="7"/>
    </row>
    <row r="182" spans="1:12" ht="25.5" outlineLevel="1" x14ac:dyDescent="0.25">
      <c r="A182" s="22">
        <f t="shared" si="7"/>
        <v>2.0153000000000323</v>
      </c>
      <c r="B182" s="27"/>
      <c r="C182" s="24" t="s">
        <v>165</v>
      </c>
      <c r="D182" s="7"/>
      <c r="E182" s="7"/>
      <c r="F182" s="8" t="s">
        <v>8</v>
      </c>
      <c r="G182" s="8">
        <f t="shared" si="8"/>
        <v>0</v>
      </c>
      <c r="H182" s="8">
        <f t="shared" si="8"/>
        <v>0</v>
      </c>
      <c r="I182" s="8">
        <f t="shared" si="8"/>
        <v>0</v>
      </c>
      <c r="J182" s="8">
        <f t="shared" si="8"/>
        <v>0</v>
      </c>
      <c r="K182" s="8">
        <f t="shared" si="8"/>
        <v>1</v>
      </c>
      <c r="L182" s="7"/>
    </row>
    <row r="183" spans="1:12" outlineLevel="1" x14ac:dyDescent="0.25">
      <c r="A183" s="22">
        <f t="shared" si="7"/>
        <v>2.0154000000000325</v>
      </c>
      <c r="B183" s="27"/>
      <c r="C183" s="24" t="s">
        <v>166</v>
      </c>
      <c r="D183" s="7"/>
      <c r="E183" s="7"/>
      <c r="F183" s="8" t="s">
        <v>8</v>
      </c>
      <c r="G183" s="8">
        <f t="shared" si="8"/>
        <v>0</v>
      </c>
      <c r="H183" s="8">
        <f t="shared" si="8"/>
        <v>0</v>
      </c>
      <c r="I183" s="8">
        <f t="shared" si="8"/>
        <v>0</v>
      </c>
      <c r="J183" s="8">
        <f t="shared" si="8"/>
        <v>0</v>
      </c>
      <c r="K183" s="8">
        <f t="shared" si="8"/>
        <v>1</v>
      </c>
      <c r="L183" s="7"/>
    </row>
    <row r="184" spans="1:12" ht="25.5" outlineLevel="1" x14ac:dyDescent="0.25">
      <c r="A184" s="22">
        <f t="shared" si="7"/>
        <v>2.0155000000000327</v>
      </c>
      <c r="B184" s="26" t="s">
        <v>199</v>
      </c>
      <c r="C184" s="24" t="s">
        <v>31</v>
      </c>
      <c r="D184" s="7"/>
      <c r="E184" s="7"/>
      <c r="F184" s="8" t="s">
        <v>8</v>
      </c>
      <c r="G184" s="8">
        <f t="shared" si="8"/>
        <v>0</v>
      </c>
      <c r="H184" s="8">
        <f t="shared" si="8"/>
        <v>0</v>
      </c>
      <c r="I184" s="8">
        <f t="shared" si="8"/>
        <v>0</v>
      </c>
      <c r="J184" s="8">
        <f t="shared" si="8"/>
        <v>0</v>
      </c>
      <c r="K184" s="8">
        <f t="shared" si="8"/>
        <v>1</v>
      </c>
      <c r="L184" s="7"/>
    </row>
    <row r="185" spans="1:12" ht="25.5" outlineLevel="1" x14ac:dyDescent="0.25">
      <c r="A185" s="22">
        <f t="shared" si="7"/>
        <v>2.0156000000000329</v>
      </c>
      <c r="B185" s="27" t="s">
        <v>200</v>
      </c>
      <c r="C185" s="24" t="s">
        <v>201</v>
      </c>
      <c r="D185" s="7"/>
      <c r="E185" s="7"/>
      <c r="F185" s="8" t="s">
        <v>8</v>
      </c>
      <c r="G185" s="8">
        <f t="shared" si="8"/>
        <v>0</v>
      </c>
      <c r="H185" s="8">
        <f t="shared" si="8"/>
        <v>0</v>
      </c>
      <c r="I185" s="8">
        <f t="shared" si="8"/>
        <v>0</v>
      </c>
      <c r="J185" s="8">
        <f t="shared" si="8"/>
        <v>0</v>
      </c>
      <c r="K185" s="8">
        <f t="shared" si="8"/>
        <v>1</v>
      </c>
      <c r="L185" s="7"/>
    </row>
    <row r="186" spans="1:12" ht="25.5" outlineLevel="1" x14ac:dyDescent="0.25">
      <c r="A186" s="22">
        <f t="shared" si="7"/>
        <v>2.0157000000000331</v>
      </c>
      <c r="B186" s="26" t="s">
        <v>202</v>
      </c>
      <c r="C186" s="24" t="s">
        <v>31</v>
      </c>
      <c r="D186" s="7"/>
      <c r="E186" s="7"/>
      <c r="F186" s="8" t="s">
        <v>8</v>
      </c>
      <c r="G186" s="8">
        <f t="shared" si="8"/>
        <v>0</v>
      </c>
      <c r="H186" s="8">
        <f t="shared" si="8"/>
        <v>0</v>
      </c>
      <c r="I186" s="8">
        <f t="shared" si="8"/>
        <v>0</v>
      </c>
      <c r="J186" s="8">
        <f t="shared" si="8"/>
        <v>0</v>
      </c>
      <c r="K186" s="8">
        <f t="shared" si="8"/>
        <v>1</v>
      </c>
      <c r="L186" s="7"/>
    </row>
    <row r="187" spans="1:12" outlineLevel="1" x14ac:dyDescent="0.25">
      <c r="A187" s="22">
        <f t="shared" si="7"/>
        <v>2.0158000000000333</v>
      </c>
      <c r="B187" s="27"/>
      <c r="C187" s="24" t="s">
        <v>203</v>
      </c>
      <c r="D187" s="7"/>
      <c r="E187" s="7"/>
      <c r="F187" s="8" t="s">
        <v>8</v>
      </c>
      <c r="G187" s="8">
        <f t="shared" si="8"/>
        <v>0</v>
      </c>
      <c r="H187" s="8">
        <f t="shared" si="8"/>
        <v>0</v>
      </c>
      <c r="I187" s="8">
        <f t="shared" si="8"/>
        <v>0</v>
      </c>
      <c r="J187" s="8">
        <f t="shared" si="8"/>
        <v>0</v>
      </c>
      <c r="K187" s="8">
        <f t="shared" si="8"/>
        <v>1</v>
      </c>
      <c r="L187" s="7"/>
    </row>
    <row r="188" spans="1:12" outlineLevel="1" x14ac:dyDescent="0.25">
      <c r="A188" s="22">
        <f t="shared" si="7"/>
        <v>2.0159000000000336</v>
      </c>
      <c r="B188" s="26" t="s">
        <v>20</v>
      </c>
      <c r="C188" s="24" t="s">
        <v>204</v>
      </c>
      <c r="D188" s="165" t="s">
        <v>1180</v>
      </c>
      <c r="E188" s="7"/>
      <c r="F188" s="8" t="s">
        <v>8</v>
      </c>
      <c r="G188" s="8">
        <f t="shared" si="8"/>
        <v>0</v>
      </c>
      <c r="H188" s="8">
        <f t="shared" si="8"/>
        <v>0</v>
      </c>
      <c r="I188" s="8">
        <f t="shared" si="8"/>
        <v>0</v>
      </c>
      <c r="J188" s="8">
        <f t="shared" si="8"/>
        <v>0</v>
      </c>
      <c r="K188" s="8">
        <f t="shared" si="8"/>
        <v>1</v>
      </c>
      <c r="L188" s="7"/>
    </row>
    <row r="189" spans="1:12" outlineLevel="1" x14ac:dyDescent="0.25">
      <c r="A189" s="22">
        <f t="shared" si="7"/>
        <v>2.0160000000000338</v>
      </c>
      <c r="B189" s="31" t="s">
        <v>22</v>
      </c>
      <c r="C189" s="24"/>
      <c r="D189" s="166"/>
      <c r="E189" s="7"/>
      <c r="F189" s="8" t="s">
        <v>8</v>
      </c>
      <c r="G189" s="8">
        <f t="shared" si="8"/>
        <v>0</v>
      </c>
      <c r="H189" s="8">
        <f t="shared" si="8"/>
        <v>0</v>
      </c>
      <c r="I189" s="8">
        <f t="shared" si="8"/>
        <v>0</v>
      </c>
      <c r="J189" s="8">
        <f t="shared" si="8"/>
        <v>0</v>
      </c>
      <c r="K189" s="8">
        <f t="shared" si="8"/>
        <v>1</v>
      </c>
      <c r="L189" s="7"/>
    </row>
    <row r="190" spans="1:12" outlineLevel="1" x14ac:dyDescent="0.25">
      <c r="A190" s="22">
        <f t="shared" si="7"/>
        <v>2.016100000000034</v>
      </c>
      <c r="B190" s="31" t="s">
        <v>28</v>
      </c>
      <c r="C190" s="24"/>
      <c r="D190" s="166"/>
      <c r="E190" s="7"/>
      <c r="F190" s="8" t="s">
        <v>8</v>
      </c>
      <c r="G190" s="8">
        <f t="shared" si="8"/>
        <v>0</v>
      </c>
      <c r="H190" s="8">
        <f t="shared" si="8"/>
        <v>0</v>
      </c>
      <c r="I190" s="8">
        <f t="shared" si="8"/>
        <v>0</v>
      </c>
      <c r="J190" s="8">
        <f t="shared" si="8"/>
        <v>0</v>
      </c>
      <c r="K190" s="8">
        <f t="shared" si="8"/>
        <v>1</v>
      </c>
      <c r="L190" s="7"/>
    </row>
    <row r="191" spans="1:12" outlineLevel="1" x14ac:dyDescent="0.25">
      <c r="A191" s="22">
        <f t="shared" si="7"/>
        <v>2.0162000000000342</v>
      </c>
      <c r="B191" s="31" t="s">
        <v>205</v>
      </c>
      <c r="C191" s="24"/>
      <c r="D191" s="166"/>
      <c r="E191" s="7"/>
      <c r="F191" s="8" t="s">
        <v>8</v>
      </c>
      <c r="G191" s="8">
        <f t="shared" si="8"/>
        <v>0</v>
      </c>
      <c r="H191" s="8">
        <f t="shared" si="8"/>
        <v>0</v>
      </c>
      <c r="I191" s="8">
        <f t="shared" si="8"/>
        <v>0</v>
      </c>
      <c r="J191" s="8">
        <f t="shared" si="8"/>
        <v>0</v>
      </c>
      <c r="K191" s="8">
        <f t="shared" si="8"/>
        <v>1</v>
      </c>
      <c r="L191" s="7"/>
    </row>
    <row r="192" spans="1:12" outlineLevel="1" x14ac:dyDescent="0.25">
      <c r="A192" s="22">
        <f t="shared" si="7"/>
        <v>2.0163000000000344</v>
      </c>
      <c r="B192" s="31" t="s">
        <v>24</v>
      </c>
      <c r="C192" s="24"/>
      <c r="D192" s="167"/>
      <c r="E192" s="7"/>
      <c r="F192" s="8" t="s">
        <v>8</v>
      </c>
      <c r="G192" s="8">
        <f t="shared" si="8"/>
        <v>0</v>
      </c>
      <c r="H192" s="8">
        <f t="shared" si="8"/>
        <v>0</v>
      </c>
      <c r="I192" s="8">
        <f t="shared" si="8"/>
        <v>0</v>
      </c>
      <c r="J192" s="8">
        <f t="shared" si="8"/>
        <v>0</v>
      </c>
      <c r="K192" s="8">
        <f t="shared" si="8"/>
        <v>1</v>
      </c>
      <c r="L192" s="7"/>
    </row>
    <row r="193" spans="1:12" ht="25.5" outlineLevel="1" x14ac:dyDescent="0.25">
      <c r="A193" s="22">
        <f t="shared" si="7"/>
        <v>2.0164000000000346</v>
      </c>
      <c r="B193" s="26" t="s">
        <v>206</v>
      </c>
      <c r="C193" s="24" t="s">
        <v>31</v>
      </c>
      <c r="D193" s="7"/>
      <c r="E193" s="7"/>
      <c r="F193" s="8" t="s">
        <v>8</v>
      </c>
      <c r="G193" s="8">
        <f t="shared" si="8"/>
        <v>0</v>
      </c>
      <c r="H193" s="8">
        <f t="shared" si="8"/>
        <v>0</v>
      </c>
      <c r="I193" s="8">
        <f t="shared" si="8"/>
        <v>0</v>
      </c>
      <c r="J193" s="8">
        <f t="shared" si="8"/>
        <v>0</v>
      </c>
      <c r="K193" s="8">
        <f t="shared" si="8"/>
        <v>1</v>
      </c>
      <c r="L193" s="7"/>
    </row>
    <row r="194" spans="1:12" outlineLevel="1" x14ac:dyDescent="0.25">
      <c r="A194" s="22">
        <f t="shared" si="7"/>
        <v>2.0165000000000348</v>
      </c>
      <c r="B194" s="27"/>
      <c r="C194" s="24" t="s">
        <v>207</v>
      </c>
      <c r="D194" s="7"/>
      <c r="E194" s="7"/>
      <c r="F194" s="8" t="s">
        <v>8</v>
      </c>
      <c r="G194" s="8">
        <f t="shared" si="8"/>
        <v>0</v>
      </c>
      <c r="H194" s="8">
        <f t="shared" si="8"/>
        <v>0</v>
      </c>
      <c r="I194" s="8">
        <f t="shared" si="8"/>
        <v>0</v>
      </c>
      <c r="J194" s="8">
        <f t="shared" si="8"/>
        <v>0</v>
      </c>
      <c r="K194" s="8">
        <f t="shared" si="8"/>
        <v>1</v>
      </c>
      <c r="L194" s="7"/>
    </row>
    <row r="195" spans="1:12" outlineLevel="1" x14ac:dyDescent="0.25">
      <c r="A195" s="22">
        <f t="shared" si="7"/>
        <v>2.016600000000035</v>
      </c>
      <c r="B195" s="26" t="s">
        <v>185</v>
      </c>
      <c r="C195" s="24" t="s">
        <v>213</v>
      </c>
      <c r="D195" s="7"/>
      <c r="E195" s="7"/>
      <c r="F195" s="8" t="s">
        <v>8</v>
      </c>
      <c r="G195" s="8">
        <f t="shared" ref="G195:K245" si="9">IF($F195=G$1,1,0)</f>
        <v>0</v>
      </c>
      <c r="H195" s="8">
        <f t="shared" si="9"/>
        <v>0</v>
      </c>
      <c r="I195" s="8">
        <f t="shared" si="9"/>
        <v>0</v>
      </c>
      <c r="J195" s="8">
        <f t="shared" si="9"/>
        <v>0</v>
      </c>
      <c r="K195" s="8">
        <f t="shared" si="9"/>
        <v>1</v>
      </c>
      <c r="L195" s="7"/>
    </row>
    <row r="196" spans="1:12" outlineLevel="1" x14ac:dyDescent="0.25">
      <c r="A196" s="22">
        <f t="shared" si="7"/>
        <v>2.0167000000000352</v>
      </c>
      <c r="B196" s="27"/>
      <c r="C196" s="24" t="s">
        <v>178</v>
      </c>
      <c r="D196" s="7"/>
      <c r="E196" s="7"/>
      <c r="F196" s="8" t="s">
        <v>8</v>
      </c>
      <c r="G196" s="8">
        <f t="shared" si="9"/>
        <v>0</v>
      </c>
      <c r="H196" s="8">
        <f t="shared" si="9"/>
        <v>0</v>
      </c>
      <c r="I196" s="8">
        <f t="shared" si="9"/>
        <v>0</v>
      </c>
      <c r="J196" s="8">
        <f t="shared" si="9"/>
        <v>0</v>
      </c>
      <c r="K196" s="8">
        <f t="shared" si="9"/>
        <v>1</v>
      </c>
      <c r="L196" s="7"/>
    </row>
    <row r="197" spans="1:12" outlineLevel="1" x14ac:dyDescent="0.25">
      <c r="A197" s="22">
        <f t="shared" si="7"/>
        <v>2.0168000000000355</v>
      </c>
      <c r="B197" s="27"/>
      <c r="C197" s="24" t="s">
        <v>214</v>
      </c>
      <c r="D197" s="7"/>
      <c r="E197" s="7"/>
      <c r="F197" s="8" t="s">
        <v>8</v>
      </c>
      <c r="G197" s="8">
        <f t="shared" si="9"/>
        <v>0</v>
      </c>
      <c r="H197" s="8">
        <f t="shared" si="9"/>
        <v>0</v>
      </c>
      <c r="I197" s="8">
        <f t="shared" si="9"/>
        <v>0</v>
      </c>
      <c r="J197" s="8">
        <f t="shared" si="9"/>
        <v>0</v>
      </c>
      <c r="K197" s="8">
        <f t="shared" si="9"/>
        <v>1</v>
      </c>
      <c r="L197" s="7"/>
    </row>
    <row r="198" spans="1:12" ht="25.5" outlineLevel="1" x14ac:dyDescent="0.25">
      <c r="A198" s="22">
        <f t="shared" si="7"/>
        <v>2.0169000000000357</v>
      </c>
      <c r="B198" s="27"/>
      <c r="C198" s="24" t="s">
        <v>217</v>
      </c>
      <c r="D198" s="7"/>
      <c r="E198" s="7"/>
      <c r="F198" s="8" t="s">
        <v>8</v>
      </c>
      <c r="G198" s="8">
        <f t="shared" si="9"/>
        <v>0</v>
      </c>
      <c r="H198" s="8">
        <f t="shared" si="9"/>
        <v>0</v>
      </c>
      <c r="I198" s="8">
        <f t="shared" si="9"/>
        <v>0</v>
      </c>
      <c r="J198" s="8">
        <f t="shared" si="9"/>
        <v>0</v>
      </c>
      <c r="K198" s="8">
        <f t="shared" si="9"/>
        <v>1</v>
      </c>
      <c r="L198" s="7"/>
    </row>
    <row r="199" spans="1:12" outlineLevel="1" x14ac:dyDescent="0.25">
      <c r="A199" s="22">
        <f t="shared" si="7"/>
        <v>2.0170000000000359</v>
      </c>
      <c r="B199" s="26" t="s">
        <v>211</v>
      </c>
      <c r="C199" s="24" t="s">
        <v>215</v>
      </c>
      <c r="D199" s="7"/>
      <c r="E199" s="7"/>
      <c r="F199" s="8" t="s">
        <v>8</v>
      </c>
      <c r="G199" s="8">
        <f t="shared" si="9"/>
        <v>0</v>
      </c>
      <c r="H199" s="8">
        <f t="shared" si="9"/>
        <v>0</v>
      </c>
      <c r="I199" s="8">
        <f t="shared" si="9"/>
        <v>0</v>
      </c>
      <c r="J199" s="8">
        <f t="shared" si="9"/>
        <v>0</v>
      </c>
      <c r="K199" s="8">
        <f t="shared" si="9"/>
        <v>1</v>
      </c>
      <c r="L199" s="7"/>
    </row>
    <row r="200" spans="1:12" outlineLevel="1" x14ac:dyDescent="0.25">
      <c r="A200" s="22">
        <f t="shared" si="7"/>
        <v>2.0171000000000361</v>
      </c>
      <c r="B200" s="27"/>
      <c r="C200" s="24" t="s">
        <v>216</v>
      </c>
      <c r="D200" s="7"/>
      <c r="E200" s="7"/>
      <c r="F200" s="8" t="s">
        <v>8</v>
      </c>
      <c r="G200" s="8">
        <f t="shared" si="9"/>
        <v>0</v>
      </c>
      <c r="H200" s="8">
        <f t="shared" si="9"/>
        <v>0</v>
      </c>
      <c r="I200" s="8">
        <f t="shared" si="9"/>
        <v>0</v>
      </c>
      <c r="J200" s="8">
        <f t="shared" si="9"/>
        <v>0</v>
      </c>
      <c r="K200" s="8">
        <f t="shared" si="9"/>
        <v>1</v>
      </c>
      <c r="L200" s="7"/>
    </row>
    <row r="201" spans="1:12" outlineLevel="1" x14ac:dyDescent="0.25">
      <c r="A201" s="22">
        <f t="shared" si="7"/>
        <v>2.0172000000000363</v>
      </c>
      <c r="B201" s="26" t="s">
        <v>212</v>
      </c>
      <c r="C201" s="24" t="s">
        <v>218</v>
      </c>
      <c r="D201" s="7"/>
      <c r="E201" s="7"/>
      <c r="F201" s="8" t="s">
        <v>8</v>
      </c>
      <c r="G201" s="8">
        <f t="shared" si="9"/>
        <v>0</v>
      </c>
      <c r="H201" s="8">
        <f t="shared" si="9"/>
        <v>0</v>
      </c>
      <c r="I201" s="8">
        <f t="shared" si="9"/>
        <v>0</v>
      </c>
      <c r="J201" s="8">
        <f t="shared" si="9"/>
        <v>0</v>
      </c>
      <c r="K201" s="8">
        <f t="shared" si="9"/>
        <v>1</v>
      </c>
      <c r="L201" s="7"/>
    </row>
    <row r="202" spans="1:12" outlineLevel="1" x14ac:dyDescent="0.25">
      <c r="A202" s="22">
        <f t="shared" si="7"/>
        <v>2.0173000000000365</v>
      </c>
      <c r="B202" s="27"/>
      <c r="C202" s="24" t="s">
        <v>219</v>
      </c>
      <c r="D202" s="7"/>
      <c r="E202" s="7"/>
      <c r="F202" s="8" t="s">
        <v>8</v>
      </c>
      <c r="G202" s="8">
        <f t="shared" si="9"/>
        <v>0</v>
      </c>
      <c r="H202" s="8">
        <f t="shared" si="9"/>
        <v>0</v>
      </c>
      <c r="I202" s="8">
        <f t="shared" si="9"/>
        <v>0</v>
      </c>
      <c r="J202" s="8">
        <f t="shared" si="9"/>
        <v>0</v>
      </c>
      <c r="K202" s="8">
        <f t="shared" si="9"/>
        <v>1</v>
      </c>
      <c r="L202" s="7"/>
    </row>
    <row r="203" spans="1:12" outlineLevel="1" x14ac:dyDescent="0.25">
      <c r="A203" s="22">
        <f t="shared" si="7"/>
        <v>2.0174000000000367</v>
      </c>
      <c r="B203" s="27"/>
      <c r="C203" s="24" t="s">
        <v>220</v>
      </c>
      <c r="D203" s="7"/>
      <c r="E203" s="7"/>
      <c r="F203" s="8" t="s">
        <v>8</v>
      </c>
      <c r="G203" s="8">
        <f t="shared" si="9"/>
        <v>0</v>
      </c>
      <c r="H203" s="8">
        <f t="shared" si="9"/>
        <v>0</v>
      </c>
      <c r="I203" s="8">
        <f t="shared" si="9"/>
        <v>0</v>
      </c>
      <c r="J203" s="8">
        <f t="shared" si="9"/>
        <v>0</v>
      </c>
      <c r="K203" s="8">
        <f t="shared" si="9"/>
        <v>1</v>
      </c>
      <c r="L203" s="7"/>
    </row>
    <row r="204" spans="1:12" outlineLevel="1" x14ac:dyDescent="0.25">
      <c r="A204" s="22">
        <f t="shared" si="7"/>
        <v>2.0175000000000369</v>
      </c>
      <c r="B204" s="27"/>
      <c r="C204" s="24" t="s">
        <v>221</v>
      </c>
      <c r="D204" s="7"/>
      <c r="E204" s="7"/>
      <c r="F204" s="8" t="s">
        <v>8</v>
      </c>
      <c r="G204" s="8">
        <f t="shared" si="9"/>
        <v>0</v>
      </c>
      <c r="H204" s="8">
        <f t="shared" si="9"/>
        <v>0</v>
      </c>
      <c r="I204" s="8">
        <f t="shared" si="9"/>
        <v>0</v>
      </c>
      <c r="J204" s="8">
        <f t="shared" si="9"/>
        <v>0</v>
      </c>
      <c r="K204" s="8">
        <f t="shared" si="9"/>
        <v>1</v>
      </c>
      <c r="L204" s="7"/>
    </row>
    <row r="205" spans="1:12" outlineLevel="1" x14ac:dyDescent="0.25">
      <c r="A205" s="22">
        <f t="shared" si="7"/>
        <v>2.0176000000000371</v>
      </c>
      <c r="B205" s="27"/>
      <c r="C205" s="24" t="s">
        <v>222</v>
      </c>
      <c r="D205" s="7"/>
      <c r="E205" s="7"/>
      <c r="F205" s="8" t="s">
        <v>8</v>
      </c>
      <c r="G205" s="8">
        <f t="shared" si="9"/>
        <v>0</v>
      </c>
      <c r="H205" s="8">
        <f t="shared" si="9"/>
        <v>0</v>
      </c>
      <c r="I205" s="8">
        <f t="shared" si="9"/>
        <v>0</v>
      </c>
      <c r="J205" s="8">
        <f t="shared" si="9"/>
        <v>0</v>
      </c>
      <c r="K205" s="8">
        <f t="shared" si="9"/>
        <v>1</v>
      </c>
      <c r="L205" s="7"/>
    </row>
    <row r="206" spans="1:12" ht="25.5" outlineLevel="1" x14ac:dyDescent="0.25">
      <c r="A206" s="22">
        <f t="shared" ref="A206:A269" si="10">A205+0.0001</f>
        <v>2.0177000000000374</v>
      </c>
      <c r="B206" s="26" t="s">
        <v>20</v>
      </c>
      <c r="C206" s="24" t="s">
        <v>223</v>
      </c>
      <c r="D206" s="168" t="s">
        <v>1180</v>
      </c>
      <c r="E206" s="7"/>
      <c r="F206" s="8" t="s">
        <v>8</v>
      </c>
      <c r="G206" s="8">
        <f t="shared" si="9"/>
        <v>0</v>
      </c>
      <c r="H206" s="8">
        <f t="shared" si="9"/>
        <v>0</v>
      </c>
      <c r="I206" s="8">
        <f t="shared" si="9"/>
        <v>0</v>
      </c>
      <c r="J206" s="8">
        <f t="shared" si="9"/>
        <v>0</v>
      </c>
      <c r="K206" s="8">
        <f t="shared" si="9"/>
        <v>1</v>
      </c>
      <c r="L206" s="7"/>
    </row>
    <row r="207" spans="1:12" outlineLevel="1" x14ac:dyDescent="0.25">
      <c r="A207" s="22">
        <f t="shared" si="10"/>
        <v>2.0178000000000376</v>
      </c>
      <c r="B207" s="31" t="s">
        <v>22</v>
      </c>
      <c r="C207" s="24"/>
      <c r="D207" s="169"/>
      <c r="E207" s="7"/>
      <c r="F207" s="8" t="s">
        <v>8</v>
      </c>
      <c r="G207" s="8">
        <f t="shared" si="9"/>
        <v>0</v>
      </c>
      <c r="H207" s="8">
        <f t="shared" si="9"/>
        <v>0</v>
      </c>
      <c r="I207" s="8">
        <f t="shared" si="9"/>
        <v>0</v>
      </c>
      <c r="J207" s="8">
        <f t="shared" si="9"/>
        <v>0</v>
      </c>
      <c r="K207" s="8">
        <f t="shared" si="9"/>
        <v>1</v>
      </c>
      <c r="L207" s="7"/>
    </row>
    <row r="208" spans="1:12" outlineLevel="1" x14ac:dyDescent="0.25">
      <c r="A208" s="22">
        <f t="shared" si="10"/>
        <v>2.0179000000000378</v>
      </c>
      <c r="B208" s="31" t="s">
        <v>224</v>
      </c>
      <c r="C208" s="24"/>
      <c r="D208" s="169"/>
      <c r="E208" s="7"/>
      <c r="F208" s="8" t="s">
        <v>8</v>
      </c>
      <c r="G208" s="8">
        <f t="shared" si="9"/>
        <v>0</v>
      </c>
      <c r="H208" s="8">
        <f t="shared" si="9"/>
        <v>0</v>
      </c>
      <c r="I208" s="8">
        <f t="shared" si="9"/>
        <v>0</v>
      </c>
      <c r="J208" s="8">
        <f t="shared" si="9"/>
        <v>0</v>
      </c>
      <c r="K208" s="8">
        <f t="shared" si="9"/>
        <v>1</v>
      </c>
      <c r="L208" s="7"/>
    </row>
    <row r="209" spans="1:12" outlineLevel="1" x14ac:dyDescent="0.25">
      <c r="A209" s="22">
        <f t="shared" si="10"/>
        <v>2.018000000000038</v>
      </c>
      <c r="B209" s="31" t="s">
        <v>24</v>
      </c>
      <c r="C209" s="24"/>
      <c r="D209" s="170"/>
      <c r="E209" s="7"/>
      <c r="F209" s="8" t="s">
        <v>8</v>
      </c>
      <c r="G209" s="8">
        <f t="shared" si="9"/>
        <v>0</v>
      </c>
      <c r="H209" s="8">
        <f t="shared" si="9"/>
        <v>0</v>
      </c>
      <c r="I209" s="8">
        <f t="shared" si="9"/>
        <v>0</v>
      </c>
      <c r="J209" s="8">
        <f t="shared" si="9"/>
        <v>0</v>
      </c>
      <c r="K209" s="8">
        <f t="shared" si="9"/>
        <v>1</v>
      </c>
      <c r="L209" s="7"/>
    </row>
    <row r="210" spans="1:12" outlineLevel="1" x14ac:dyDescent="0.25">
      <c r="A210" s="22">
        <f t="shared" si="10"/>
        <v>2.0181000000000382</v>
      </c>
      <c r="B210" s="26" t="s">
        <v>225</v>
      </c>
      <c r="C210" s="24" t="s">
        <v>31</v>
      </c>
      <c r="D210" s="7"/>
      <c r="E210" s="7"/>
      <c r="F210" s="8" t="s">
        <v>8</v>
      </c>
      <c r="G210" s="8">
        <f t="shared" si="9"/>
        <v>0</v>
      </c>
      <c r="H210" s="8">
        <f t="shared" si="9"/>
        <v>0</v>
      </c>
      <c r="I210" s="8">
        <f t="shared" si="9"/>
        <v>0</v>
      </c>
      <c r="J210" s="8">
        <f t="shared" si="9"/>
        <v>0</v>
      </c>
      <c r="K210" s="8">
        <f t="shared" si="9"/>
        <v>1</v>
      </c>
      <c r="L210" s="7"/>
    </row>
    <row r="211" spans="1:12" outlineLevel="1" x14ac:dyDescent="0.25">
      <c r="A211" s="22">
        <f t="shared" si="10"/>
        <v>2.0182000000000384</v>
      </c>
      <c r="B211" s="27"/>
      <c r="C211" s="24" t="s">
        <v>226</v>
      </c>
      <c r="D211" s="7" t="s">
        <v>751</v>
      </c>
      <c r="E211" s="7"/>
      <c r="F211" s="8" t="s">
        <v>8</v>
      </c>
      <c r="G211" s="8">
        <f t="shared" si="9"/>
        <v>0</v>
      </c>
      <c r="H211" s="8">
        <f t="shared" si="9"/>
        <v>0</v>
      </c>
      <c r="I211" s="8">
        <f t="shared" si="9"/>
        <v>0</v>
      </c>
      <c r="J211" s="8">
        <f t="shared" si="9"/>
        <v>0</v>
      </c>
      <c r="K211" s="8">
        <f t="shared" si="9"/>
        <v>1</v>
      </c>
      <c r="L211" s="7"/>
    </row>
    <row r="212" spans="1:12" outlineLevel="1" x14ac:dyDescent="0.25">
      <c r="A212" s="22">
        <f t="shared" si="10"/>
        <v>2.0183000000000386</v>
      </c>
      <c r="B212" s="26" t="s">
        <v>238</v>
      </c>
      <c r="C212" s="24" t="s">
        <v>31</v>
      </c>
      <c r="D212" s="7"/>
      <c r="E212" s="7"/>
      <c r="F212" s="8" t="s">
        <v>8</v>
      </c>
      <c r="G212" s="8">
        <f t="shared" si="9"/>
        <v>0</v>
      </c>
      <c r="H212" s="8">
        <f t="shared" si="9"/>
        <v>0</v>
      </c>
      <c r="I212" s="8">
        <f t="shared" si="9"/>
        <v>0</v>
      </c>
      <c r="J212" s="8">
        <f t="shared" si="9"/>
        <v>0</v>
      </c>
      <c r="K212" s="8">
        <f t="shared" si="9"/>
        <v>1</v>
      </c>
      <c r="L212" s="7"/>
    </row>
    <row r="213" spans="1:12" outlineLevel="1" x14ac:dyDescent="0.25">
      <c r="A213" s="22">
        <f t="shared" si="10"/>
        <v>2.0184000000000388</v>
      </c>
      <c r="B213" s="27" t="s">
        <v>239</v>
      </c>
      <c r="C213" s="24" t="s">
        <v>227</v>
      </c>
      <c r="D213" s="7"/>
      <c r="E213" s="7"/>
      <c r="F213" s="8" t="s">
        <v>8</v>
      </c>
      <c r="G213" s="8">
        <f t="shared" si="9"/>
        <v>0</v>
      </c>
      <c r="H213" s="8">
        <f t="shared" si="9"/>
        <v>0</v>
      </c>
      <c r="I213" s="8">
        <f t="shared" si="9"/>
        <v>0</v>
      </c>
      <c r="J213" s="8">
        <f t="shared" si="9"/>
        <v>0</v>
      </c>
      <c r="K213" s="8">
        <f t="shared" si="9"/>
        <v>1</v>
      </c>
      <c r="L213" s="7"/>
    </row>
    <row r="214" spans="1:12" outlineLevel="1" x14ac:dyDescent="0.25">
      <c r="A214" s="22">
        <f t="shared" si="10"/>
        <v>2.018500000000039</v>
      </c>
      <c r="B214" s="26" t="s">
        <v>228</v>
      </c>
      <c r="C214" s="24" t="s">
        <v>31</v>
      </c>
      <c r="D214" s="7"/>
      <c r="E214" s="7"/>
      <c r="F214" s="8" t="s">
        <v>8</v>
      </c>
      <c r="G214" s="8">
        <f t="shared" si="9"/>
        <v>0</v>
      </c>
      <c r="H214" s="8">
        <f t="shared" si="9"/>
        <v>0</v>
      </c>
      <c r="I214" s="8">
        <f t="shared" si="9"/>
        <v>0</v>
      </c>
      <c r="J214" s="8">
        <f t="shared" si="9"/>
        <v>0</v>
      </c>
      <c r="K214" s="8">
        <f t="shared" si="9"/>
        <v>1</v>
      </c>
      <c r="L214" s="7"/>
    </row>
    <row r="215" spans="1:12" outlineLevel="1" x14ac:dyDescent="0.25">
      <c r="A215" s="22">
        <f t="shared" si="10"/>
        <v>2.0186000000000393</v>
      </c>
      <c r="B215" s="27"/>
      <c r="C215" s="24" t="s">
        <v>229</v>
      </c>
      <c r="D215" s="7"/>
      <c r="E215" s="7"/>
      <c r="F215" s="8" t="s">
        <v>8</v>
      </c>
      <c r="G215" s="8">
        <f t="shared" si="9"/>
        <v>0</v>
      </c>
      <c r="H215" s="8">
        <f t="shared" si="9"/>
        <v>0</v>
      </c>
      <c r="I215" s="8">
        <f t="shared" si="9"/>
        <v>0</v>
      </c>
      <c r="J215" s="8">
        <f t="shared" si="9"/>
        <v>0</v>
      </c>
      <c r="K215" s="8">
        <f t="shared" si="9"/>
        <v>1</v>
      </c>
      <c r="L215" s="7"/>
    </row>
    <row r="216" spans="1:12" outlineLevel="1" x14ac:dyDescent="0.25">
      <c r="A216" s="22">
        <f t="shared" si="10"/>
        <v>2.0187000000000395</v>
      </c>
      <c r="B216" s="26" t="s">
        <v>230</v>
      </c>
      <c r="C216" s="24" t="s">
        <v>31</v>
      </c>
      <c r="D216" s="7"/>
      <c r="E216" s="7"/>
      <c r="F216" s="8" t="s">
        <v>8</v>
      </c>
      <c r="G216" s="8">
        <f t="shared" si="9"/>
        <v>0</v>
      </c>
      <c r="H216" s="8">
        <f t="shared" si="9"/>
        <v>0</v>
      </c>
      <c r="I216" s="8">
        <f t="shared" si="9"/>
        <v>0</v>
      </c>
      <c r="J216" s="8">
        <f t="shared" si="9"/>
        <v>0</v>
      </c>
      <c r="K216" s="8">
        <f t="shared" si="9"/>
        <v>1</v>
      </c>
      <c r="L216" s="7"/>
    </row>
    <row r="217" spans="1:12" outlineLevel="1" x14ac:dyDescent="0.25">
      <c r="A217" s="22">
        <f t="shared" si="10"/>
        <v>2.0188000000000397</v>
      </c>
      <c r="B217" s="27"/>
      <c r="C217" s="24" t="s">
        <v>231</v>
      </c>
      <c r="D217" s="7"/>
      <c r="E217" s="7"/>
      <c r="F217" s="8" t="s">
        <v>8</v>
      </c>
      <c r="G217" s="8">
        <f t="shared" si="9"/>
        <v>0</v>
      </c>
      <c r="H217" s="8">
        <f t="shared" si="9"/>
        <v>0</v>
      </c>
      <c r="I217" s="8">
        <f t="shared" si="9"/>
        <v>0</v>
      </c>
      <c r="J217" s="8">
        <f t="shared" si="9"/>
        <v>0</v>
      </c>
      <c r="K217" s="8">
        <f t="shared" si="9"/>
        <v>1</v>
      </c>
      <c r="L217" s="7"/>
    </row>
    <row r="218" spans="1:12" outlineLevel="1" x14ac:dyDescent="0.25">
      <c r="A218" s="22">
        <f t="shared" si="10"/>
        <v>2.0189000000000399</v>
      </c>
      <c r="B218" s="26" t="s">
        <v>232</v>
      </c>
      <c r="C218" s="24" t="s">
        <v>233</v>
      </c>
      <c r="D218" s="7"/>
      <c r="E218" s="7"/>
      <c r="F218" s="8" t="s">
        <v>8</v>
      </c>
      <c r="G218" s="8">
        <f t="shared" si="9"/>
        <v>0</v>
      </c>
      <c r="H218" s="8">
        <f t="shared" si="9"/>
        <v>0</v>
      </c>
      <c r="I218" s="8">
        <f t="shared" si="9"/>
        <v>0</v>
      </c>
      <c r="J218" s="8">
        <f t="shared" si="9"/>
        <v>0</v>
      </c>
      <c r="K218" s="8">
        <f t="shared" si="9"/>
        <v>1</v>
      </c>
      <c r="L218" s="7"/>
    </row>
    <row r="219" spans="1:12" outlineLevel="1" x14ac:dyDescent="0.25">
      <c r="A219" s="22">
        <f t="shared" si="10"/>
        <v>2.0190000000000401</v>
      </c>
      <c r="B219" s="27"/>
      <c r="C219" s="24" t="s">
        <v>234</v>
      </c>
      <c r="D219" s="7"/>
      <c r="E219" s="7"/>
      <c r="F219" s="8" t="s">
        <v>8</v>
      </c>
      <c r="G219" s="8">
        <f t="shared" si="9"/>
        <v>0</v>
      </c>
      <c r="H219" s="8">
        <f t="shared" si="9"/>
        <v>0</v>
      </c>
      <c r="I219" s="8">
        <f t="shared" si="9"/>
        <v>0</v>
      </c>
      <c r="J219" s="8">
        <f t="shared" si="9"/>
        <v>0</v>
      </c>
      <c r="K219" s="8">
        <f t="shared" si="9"/>
        <v>1</v>
      </c>
      <c r="L219" s="7"/>
    </row>
    <row r="220" spans="1:12" outlineLevel="1" x14ac:dyDescent="0.25">
      <c r="A220" s="22">
        <f t="shared" si="10"/>
        <v>2.0191000000000403</v>
      </c>
      <c r="B220" s="27"/>
      <c r="C220" s="24" t="s">
        <v>235</v>
      </c>
      <c r="D220" s="7"/>
      <c r="E220" s="7"/>
      <c r="F220" s="8" t="s">
        <v>8</v>
      </c>
      <c r="G220" s="8">
        <f t="shared" si="9"/>
        <v>0</v>
      </c>
      <c r="H220" s="8">
        <f t="shared" si="9"/>
        <v>0</v>
      </c>
      <c r="I220" s="8">
        <f t="shared" si="9"/>
        <v>0</v>
      </c>
      <c r="J220" s="8">
        <f t="shared" si="9"/>
        <v>0</v>
      </c>
      <c r="K220" s="8">
        <f t="shared" si="9"/>
        <v>1</v>
      </c>
      <c r="L220" s="7"/>
    </row>
    <row r="221" spans="1:12" outlineLevel="1" x14ac:dyDescent="0.25">
      <c r="A221" s="22">
        <f t="shared" si="10"/>
        <v>2.0192000000000405</v>
      </c>
      <c r="B221" s="26" t="s">
        <v>187</v>
      </c>
      <c r="C221" s="24" t="s">
        <v>236</v>
      </c>
      <c r="D221" s="7"/>
      <c r="E221" s="7"/>
      <c r="F221" s="8" t="s">
        <v>8</v>
      </c>
      <c r="G221" s="8">
        <f t="shared" si="9"/>
        <v>0</v>
      </c>
      <c r="H221" s="8">
        <f t="shared" si="9"/>
        <v>0</v>
      </c>
      <c r="I221" s="8">
        <f t="shared" si="9"/>
        <v>0</v>
      </c>
      <c r="J221" s="8">
        <f t="shared" si="9"/>
        <v>0</v>
      </c>
      <c r="K221" s="8">
        <f t="shared" si="9"/>
        <v>1</v>
      </c>
      <c r="L221" s="7"/>
    </row>
    <row r="222" spans="1:12" outlineLevel="1" x14ac:dyDescent="0.25">
      <c r="A222" s="22">
        <f t="shared" si="10"/>
        <v>2.0193000000000407</v>
      </c>
      <c r="B222" s="27"/>
      <c r="C222" s="24" t="s">
        <v>237</v>
      </c>
      <c r="D222" s="7"/>
      <c r="E222" s="7"/>
      <c r="F222" s="8" t="s">
        <v>8</v>
      </c>
      <c r="G222" s="8">
        <f t="shared" si="9"/>
        <v>0</v>
      </c>
      <c r="H222" s="8">
        <f t="shared" si="9"/>
        <v>0</v>
      </c>
      <c r="I222" s="8">
        <f t="shared" si="9"/>
        <v>0</v>
      </c>
      <c r="J222" s="8">
        <f t="shared" si="9"/>
        <v>0</v>
      </c>
      <c r="K222" s="8">
        <f t="shared" si="9"/>
        <v>1</v>
      </c>
      <c r="L222" s="7"/>
    </row>
    <row r="223" spans="1:12" outlineLevel="1" x14ac:dyDescent="0.25">
      <c r="A223" s="22">
        <f t="shared" si="10"/>
        <v>2.0194000000000409</v>
      </c>
      <c r="B223" s="26" t="s">
        <v>240</v>
      </c>
      <c r="C223" s="24" t="s">
        <v>241</v>
      </c>
      <c r="D223" s="7"/>
      <c r="E223" s="7"/>
      <c r="F223" s="8" t="s">
        <v>8</v>
      </c>
      <c r="G223" s="8">
        <f t="shared" si="9"/>
        <v>0</v>
      </c>
      <c r="H223" s="8">
        <f t="shared" si="9"/>
        <v>0</v>
      </c>
      <c r="I223" s="8">
        <f t="shared" si="9"/>
        <v>0</v>
      </c>
      <c r="J223" s="8">
        <f t="shared" si="9"/>
        <v>0</v>
      </c>
      <c r="K223" s="8">
        <f t="shared" si="9"/>
        <v>1</v>
      </c>
      <c r="L223" s="7"/>
    </row>
    <row r="224" spans="1:12" outlineLevel="1" x14ac:dyDescent="0.25">
      <c r="A224" s="22">
        <f t="shared" si="10"/>
        <v>2.0195000000000412</v>
      </c>
      <c r="B224" s="27"/>
      <c r="C224" s="24" t="s">
        <v>242</v>
      </c>
      <c r="D224" s="7"/>
      <c r="E224" s="7"/>
      <c r="F224" s="8" t="s">
        <v>8</v>
      </c>
      <c r="G224" s="8">
        <f t="shared" si="9"/>
        <v>0</v>
      </c>
      <c r="H224" s="8">
        <f t="shared" si="9"/>
        <v>0</v>
      </c>
      <c r="I224" s="8">
        <f t="shared" si="9"/>
        <v>0</v>
      </c>
      <c r="J224" s="8">
        <f t="shared" si="9"/>
        <v>0</v>
      </c>
      <c r="K224" s="8">
        <f t="shared" si="9"/>
        <v>1</v>
      </c>
      <c r="L224" s="7"/>
    </row>
    <row r="225" spans="1:12" outlineLevel="1" x14ac:dyDescent="0.25">
      <c r="A225" s="22">
        <f t="shared" si="10"/>
        <v>2.0196000000000414</v>
      </c>
      <c r="B225" s="27"/>
      <c r="C225" s="24" t="s">
        <v>243</v>
      </c>
      <c r="D225" s="7"/>
      <c r="E225" s="7"/>
      <c r="F225" s="8" t="s">
        <v>8</v>
      </c>
      <c r="G225" s="8">
        <f t="shared" si="9"/>
        <v>0</v>
      </c>
      <c r="H225" s="8">
        <f t="shared" si="9"/>
        <v>0</v>
      </c>
      <c r="I225" s="8">
        <f t="shared" si="9"/>
        <v>0</v>
      </c>
      <c r="J225" s="8">
        <f t="shared" si="9"/>
        <v>0</v>
      </c>
      <c r="K225" s="8">
        <f t="shared" si="9"/>
        <v>1</v>
      </c>
      <c r="L225" s="7"/>
    </row>
    <row r="226" spans="1:12" outlineLevel="1" x14ac:dyDescent="0.25">
      <c r="A226" s="22">
        <f t="shared" si="10"/>
        <v>2.0197000000000416</v>
      </c>
      <c r="B226" s="27"/>
      <c r="C226" s="24" t="s">
        <v>244</v>
      </c>
      <c r="D226" s="7"/>
      <c r="E226" s="7"/>
      <c r="F226" s="8" t="s">
        <v>8</v>
      </c>
      <c r="G226" s="8">
        <f t="shared" si="9"/>
        <v>0</v>
      </c>
      <c r="H226" s="8">
        <f t="shared" si="9"/>
        <v>0</v>
      </c>
      <c r="I226" s="8">
        <f t="shared" si="9"/>
        <v>0</v>
      </c>
      <c r="J226" s="8">
        <f t="shared" si="9"/>
        <v>0</v>
      </c>
      <c r="K226" s="8">
        <f t="shared" si="9"/>
        <v>1</v>
      </c>
      <c r="L226" s="7"/>
    </row>
    <row r="227" spans="1:12" outlineLevel="1" x14ac:dyDescent="0.25">
      <c r="A227" s="22">
        <f t="shared" si="10"/>
        <v>2.0198000000000418</v>
      </c>
      <c r="B227" s="27"/>
      <c r="C227" s="24" t="s">
        <v>245</v>
      </c>
      <c r="D227" s="7"/>
      <c r="E227" s="7"/>
      <c r="F227" s="8" t="s">
        <v>8</v>
      </c>
      <c r="G227" s="8">
        <f t="shared" si="9"/>
        <v>0</v>
      </c>
      <c r="H227" s="8">
        <f t="shared" si="9"/>
        <v>0</v>
      </c>
      <c r="I227" s="8">
        <f t="shared" si="9"/>
        <v>0</v>
      </c>
      <c r="J227" s="8">
        <f t="shared" si="9"/>
        <v>0</v>
      </c>
      <c r="K227" s="8">
        <f t="shared" si="9"/>
        <v>1</v>
      </c>
      <c r="L227" s="7"/>
    </row>
    <row r="228" spans="1:12" outlineLevel="1" x14ac:dyDescent="0.25">
      <c r="A228" s="22">
        <f t="shared" si="10"/>
        <v>2.019900000000042</v>
      </c>
      <c r="B228" s="27"/>
      <c r="C228" s="24" t="s">
        <v>246</v>
      </c>
      <c r="D228" s="7"/>
      <c r="E228" s="7"/>
      <c r="F228" s="8" t="s">
        <v>8</v>
      </c>
      <c r="G228" s="8">
        <f t="shared" si="9"/>
        <v>0</v>
      </c>
      <c r="H228" s="8">
        <f t="shared" si="9"/>
        <v>0</v>
      </c>
      <c r="I228" s="8">
        <f t="shared" si="9"/>
        <v>0</v>
      </c>
      <c r="J228" s="8">
        <f t="shared" si="9"/>
        <v>0</v>
      </c>
      <c r="K228" s="8">
        <f t="shared" si="9"/>
        <v>1</v>
      </c>
      <c r="L228" s="7"/>
    </row>
    <row r="229" spans="1:12" outlineLevel="1" x14ac:dyDescent="0.25">
      <c r="A229" s="22">
        <f t="shared" si="10"/>
        <v>2.0200000000000422</v>
      </c>
      <c r="B229" s="27"/>
      <c r="C229" s="24" t="s">
        <v>247</v>
      </c>
      <c r="D229" s="7"/>
      <c r="E229" s="7"/>
      <c r="F229" s="8" t="s">
        <v>8</v>
      </c>
      <c r="G229" s="8">
        <f t="shared" si="9"/>
        <v>0</v>
      </c>
      <c r="H229" s="8">
        <f t="shared" si="9"/>
        <v>0</v>
      </c>
      <c r="I229" s="8">
        <f t="shared" si="9"/>
        <v>0</v>
      </c>
      <c r="J229" s="8">
        <f t="shared" si="9"/>
        <v>0</v>
      </c>
      <c r="K229" s="8">
        <f t="shared" si="9"/>
        <v>1</v>
      </c>
      <c r="L229" s="7"/>
    </row>
    <row r="230" spans="1:12" outlineLevel="1" x14ac:dyDescent="0.25">
      <c r="A230" s="22">
        <f t="shared" si="10"/>
        <v>2.0201000000000424</v>
      </c>
      <c r="B230" s="26" t="s">
        <v>248</v>
      </c>
      <c r="C230" s="24" t="s">
        <v>249</v>
      </c>
      <c r="D230" s="7"/>
      <c r="E230" s="7"/>
      <c r="F230" s="8" t="s">
        <v>8</v>
      </c>
      <c r="G230" s="8">
        <f t="shared" si="9"/>
        <v>0</v>
      </c>
      <c r="H230" s="8">
        <f t="shared" si="9"/>
        <v>0</v>
      </c>
      <c r="I230" s="8">
        <f t="shared" si="9"/>
        <v>0</v>
      </c>
      <c r="J230" s="8">
        <f t="shared" si="9"/>
        <v>0</v>
      </c>
      <c r="K230" s="8">
        <f t="shared" si="9"/>
        <v>1</v>
      </c>
      <c r="L230" s="7"/>
    </row>
    <row r="231" spans="1:12" ht="25.5" outlineLevel="1" x14ac:dyDescent="0.25">
      <c r="A231" s="22">
        <f t="shared" si="10"/>
        <v>2.0202000000000426</v>
      </c>
      <c r="B231" s="27"/>
      <c r="C231" s="24" t="s">
        <v>250</v>
      </c>
      <c r="D231" s="7"/>
      <c r="E231" s="7"/>
      <c r="F231" s="8" t="s">
        <v>8</v>
      </c>
      <c r="G231" s="8">
        <f t="shared" si="9"/>
        <v>0</v>
      </c>
      <c r="H231" s="8">
        <f t="shared" si="9"/>
        <v>0</v>
      </c>
      <c r="I231" s="8">
        <f t="shared" si="9"/>
        <v>0</v>
      </c>
      <c r="J231" s="8">
        <f t="shared" si="9"/>
        <v>0</v>
      </c>
      <c r="K231" s="8">
        <f t="shared" si="9"/>
        <v>1</v>
      </c>
      <c r="L231" s="7"/>
    </row>
    <row r="232" spans="1:12" outlineLevel="1" x14ac:dyDescent="0.25">
      <c r="A232" s="22">
        <f t="shared" si="10"/>
        <v>2.0203000000000428</v>
      </c>
      <c r="B232" s="27"/>
      <c r="C232" s="24" t="s">
        <v>251</v>
      </c>
      <c r="D232" s="7"/>
      <c r="E232" s="7"/>
      <c r="F232" s="8" t="s">
        <v>8</v>
      </c>
      <c r="G232" s="8">
        <f t="shared" si="9"/>
        <v>0</v>
      </c>
      <c r="H232" s="8">
        <f t="shared" si="9"/>
        <v>0</v>
      </c>
      <c r="I232" s="8">
        <f t="shared" si="9"/>
        <v>0</v>
      </c>
      <c r="J232" s="8">
        <f t="shared" si="9"/>
        <v>0</v>
      </c>
      <c r="K232" s="8">
        <f t="shared" si="9"/>
        <v>1</v>
      </c>
      <c r="L232" s="7"/>
    </row>
    <row r="233" spans="1:12" outlineLevel="1" x14ac:dyDescent="0.25">
      <c r="A233" s="22">
        <f t="shared" si="10"/>
        <v>2.0204000000000431</v>
      </c>
      <c r="B233" s="27"/>
      <c r="C233" s="24" t="s">
        <v>252</v>
      </c>
      <c r="D233" s="7"/>
      <c r="E233" s="7"/>
      <c r="F233" s="8" t="s">
        <v>8</v>
      </c>
      <c r="G233" s="8">
        <f t="shared" si="9"/>
        <v>0</v>
      </c>
      <c r="H233" s="8">
        <f t="shared" si="9"/>
        <v>0</v>
      </c>
      <c r="I233" s="8">
        <f t="shared" si="9"/>
        <v>0</v>
      </c>
      <c r="J233" s="8">
        <f t="shared" si="9"/>
        <v>0</v>
      </c>
      <c r="K233" s="8">
        <f t="shared" si="9"/>
        <v>1</v>
      </c>
      <c r="L233" s="7"/>
    </row>
    <row r="234" spans="1:12" outlineLevel="1" x14ac:dyDescent="0.25">
      <c r="A234" s="22">
        <f t="shared" si="10"/>
        <v>2.0205000000000433</v>
      </c>
      <c r="B234" s="26" t="s">
        <v>253</v>
      </c>
      <c r="C234" s="24" t="s">
        <v>254</v>
      </c>
      <c r="D234" s="7"/>
      <c r="E234" s="7"/>
      <c r="F234" s="8" t="s">
        <v>8</v>
      </c>
      <c r="G234" s="8">
        <f t="shared" si="9"/>
        <v>0</v>
      </c>
      <c r="H234" s="8">
        <f t="shared" si="9"/>
        <v>0</v>
      </c>
      <c r="I234" s="8">
        <f t="shared" si="9"/>
        <v>0</v>
      </c>
      <c r="J234" s="8">
        <f t="shared" si="9"/>
        <v>0</v>
      </c>
      <c r="K234" s="8">
        <f t="shared" si="9"/>
        <v>1</v>
      </c>
      <c r="L234" s="7"/>
    </row>
    <row r="235" spans="1:12" outlineLevel="1" x14ac:dyDescent="0.25">
      <c r="A235" s="22">
        <f t="shared" si="10"/>
        <v>2.0206000000000435</v>
      </c>
      <c r="B235" s="27"/>
      <c r="C235" s="24" t="s">
        <v>255</v>
      </c>
      <c r="D235" s="7"/>
      <c r="E235" s="7"/>
      <c r="F235" s="8" t="s">
        <v>8</v>
      </c>
      <c r="G235" s="8">
        <f t="shared" si="9"/>
        <v>0</v>
      </c>
      <c r="H235" s="8">
        <f t="shared" si="9"/>
        <v>0</v>
      </c>
      <c r="I235" s="8">
        <f t="shared" si="9"/>
        <v>0</v>
      </c>
      <c r="J235" s="8">
        <f t="shared" si="9"/>
        <v>0</v>
      </c>
      <c r="K235" s="8">
        <f t="shared" si="9"/>
        <v>1</v>
      </c>
      <c r="L235" s="7"/>
    </row>
    <row r="236" spans="1:12" outlineLevel="1" x14ac:dyDescent="0.25">
      <c r="A236" s="22">
        <f t="shared" si="10"/>
        <v>2.0207000000000437</v>
      </c>
      <c r="B236" s="27"/>
      <c r="C236" s="24" t="s">
        <v>256</v>
      </c>
      <c r="D236" s="7"/>
      <c r="E236" s="7"/>
      <c r="F236" s="8" t="s">
        <v>8</v>
      </c>
      <c r="G236" s="8">
        <f t="shared" si="9"/>
        <v>0</v>
      </c>
      <c r="H236" s="8">
        <f t="shared" si="9"/>
        <v>0</v>
      </c>
      <c r="I236" s="8">
        <f t="shared" si="9"/>
        <v>0</v>
      </c>
      <c r="J236" s="8">
        <f t="shared" si="9"/>
        <v>0</v>
      </c>
      <c r="K236" s="8">
        <f t="shared" si="9"/>
        <v>1</v>
      </c>
      <c r="L236" s="7"/>
    </row>
    <row r="237" spans="1:12" ht="25.5" outlineLevel="1" x14ac:dyDescent="0.25">
      <c r="A237" s="22">
        <f t="shared" si="10"/>
        <v>2.0208000000000439</v>
      </c>
      <c r="B237" s="26" t="s">
        <v>257</v>
      </c>
      <c r="C237" s="24" t="s">
        <v>258</v>
      </c>
      <c r="D237" s="7" t="s">
        <v>752</v>
      </c>
      <c r="E237" s="7"/>
      <c r="F237" s="8" t="s">
        <v>8</v>
      </c>
      <c r="G237" s="8">
        <f t="shared" si="9"/>
        <v>0</v>
      </c>
      <c r="H237" s="8">
        <f t="shared" si="9"/>
        <v>0</v>
      </c>
      <c r="I237" s="8">
        <f t="shared" si="9"/>
        <v>0</v>
      </c>
      <c r="J237" s="8">
        <f t="shared" si="9"/>
        <v>0</v>
      </c>
      <c r="K237" s="8">
        <f t="shared" si="9"/>
        <v>1</v>
      </c>
      <c r="L237" s="7"/>
    </row>
    <row r="238" spans="1:12" outlineLevel="1" x14ac:dyDescent="0.25">
      <c r="A238" s="22">
        <f t="shared" si="10"/>
        <v>2.0209000000000441</v>
      </c>
      <c r="B238" s="27"/>
      <c r="C238" s="24" t="s">
        <v>259</v>
      </c>
      <c r="D238" s="7"/>
      <c r="E238" s="7"/>
      <c r="F238" s="8" t="s">
        <v>8</v>
      </c>
      <c r="G238" s="8">
        <f t="shared" si="9"/>
        <v>0</v>
      </c>
      <c r="H238" s="8">
        <f t="shared" si="9"/>
        <v>0</v>
      </c>
      <c r="I238" s="8">
        <f t="shared" si="9"/>
        <v>0</v>
      </c>
      <c r="J238" s="8">
        <f t="shared" si="9"/>
        <v>0</v>
      </c>
      <c r="K238" s="8">
        <f t="shared" si="9"/>
        <v>1</v>
      </c>
      <c r="L238" s="7"/>
    </row>
    <row r="239" spans="1:12" outlineLevel="1" x14ac:dyDescent="0.25">
      <c r="A239" s="22">
        <f t="shared" si="10"/>
        <v>2.0210000000000443</v>
      </c>
      <c r="B239" s="27"/>
      <c r="C239" s="24" t="s">
        <v>260</v>
      </c>
      <c r="D239" s="7"/>
      <c r="E239" s="7"/>
      <c r="F239" s="8" t="s">
        <v>8</v>
      </c>
      <c r="G239" s="8">
        <f t="shared" si="9"/>
        <v>0</v>
      </c>
      <c r="H239" s="8">
        <f t="shared" si="9"/>
        <v>0</v>
      </c>
      <c r="I239" s="8">
        <f t="shared" si="9"/>
        <v>0</v>
      </c>
      <c r="J239" s="8">
        <f t="shared" si="9"/>
        <v>0</v>
      </c>
      <c r="K239" s="8">
        <f t="shared" si="9"/>
        <v>1</v>
      </c>
      <c r="L239" s="7"/>
    </row>
    <row r="240" spans="1:12" outlineLevel="1" x14ac:dyDescent="0.25">
      <c r="A240" s="22">
        <f t="shared" si="10"/>
        <v>2.0211000000000445</v>
      </c>
      <c r="B240" s="27"/>
      <c r="C240" s="24" t="s">
        <v>261</v>
      </c>
      <c r="D240" s="7"/>
      <c r="E240" s="7"/>
      <c r="F240" s="8" t="s">
        <v>8</v>
      </c>
      <c r="G240" s="8">
        <f t="shared" si="9"/>
        <v>0</v>
      </c>
      <c r="H240" s="8">
        <f t="shared" si="9"/>
        <v>0</v>
      </c>
      <c r="I240" s="8">
        <f t="shared" si="9"/>
        <v>0</v>
      </c>
      <c r="J240" s="8">
        <f t="shared" si="9"/>
        <v>0</v>
      </c>
      <c r="K240" s="8">
        <f t="shared" si="9"/>
        <v>1</v>
      </c>
      <c r="L240" s="7"/>
    </row>
    <row r="241" spans="1:12" outlineLevel="1" x14ac:dyDescent="0.25">
      <c r="A241" s="22">
        <f t="shared" si="10"/>
        <v>2.0212000000000447</v>
      </c>
      <c r="B241" s="27"/>
      <c r="C241" s="24" t="s">
        <v>262</v>
      </c>
      <c r="D241" s="7"/>
      <c r="E241" s="7"/>
      <c r="F241" s="8" t="s">
        <v>8</v>
      </c>
      <c r="G241" s="8">
        <f t="shared" si="9"/>
        <v>0</v>
      </c>
      <c r="H241" s="8">
        <f t="shared" si="9"/>
        <v>0</v>
      </c>
      <c r="I241" s="8">
        <f t="shared" si="9"/>
        <v>0</v>
      </c>
      <c r="J241" s="8">
        <f t="shared" si="9"/>
        <v>0</v>
      </c>
      <c r="K241" s="8">
        <f t="shared" si="9"/>
        <v>1</v>
      </c>
      <c r="L241" s="7"/>
    </row>
    <row r="242" spans="1:12" outlineLevel="1" x14ac:dyDescent="0.25">
      <c r="A242" s="22">
        <f t="shared" si="10"/>
        <v>2.0213000000000449</v>
      </c>
      <c r="B242" s="26" t="s">
        <v>263</v>
      </c>
      <c r="C242" s="24" t="s">
        <v>31</v>
      </c>
      <c r="D242" s="7"/>
      <c r="E242" s="7"/>
      <c r="F242" s="8" t="s">
        <v>8</v>
      </c>
      <c r="G242" s="8">
        <f t="shared" si="9"/>
        <v>0</v>
      </c>
      <c r="H242" s="8">
        <f t="shared" si="9"/>
        <v>0</v>
      </c>
      <c r="I242" s="8">
        <f t="shared" si="9"/>
        <v>0</v>
      </c>
      <c r="J242" s="8">
        <f t="shared" si="9"/>
        <v>0</v>
      </c>
      <c r="K242" s="8">
        <f t="shared" si="9"/>
        <v>1</v>
      </c>
      <c r="L242" s="7"/>
    </row>
    <row r="243" spans="1:12" outlineLevel="1" x14ac:dyDescent="0.25">
      <c r="A243" s="22">
        <f t="shared" si="10"/>
        <v>2.0214000000000452</v>
      </c>
      <c r="B243" s="27"/>
      <c r="C243" s="24" t="s">
        <v>264</v>
      </c>
      <c r="D243" s="7"/>
      <c r="E243" s="7"/>
      <c r="F243" s="8" t="s">
        <v>8</v>
      </c>
      <c r="G243" s="8">
        <f t="shared" si="9"/>
        <v>0</v>
      </c>
      <c r="H243" s="8">
        <f t="shared" si="9"/>
        <v>0</v>
      </c>
      <c r="I243" s="8">
        <f t="shared" si="9"/>
        <v>0</v>
      </c>
      <c r="J243" s="8">
        <f t="shared" si="9"/>
        <v>0</v>
      </c>
      <c r="K243" s="8">
        <f t="shared" si="9"/>
        <v>1</v>
      </c>
      <c r="L243" s="7"/>
    </row>
    <row r="244" spans="1:12" outlineLevel="1" x14ac:dyDescent="0.25">
      <c r="A244" s="22">
        <f t="shared" si="10"/>
        <v>2.0215000000000454</v>
      </c>
      <c r="B244" s="26" t="s">
        <v>187</v>
      </c>
      <c r="C244" s="24" t="s">
        <v>265</v>
      </c>
      <c r="D244" s="7"/>
      <c r="E244" s="7"/>
      <c r="F244" s="8" t="s">
        <v>8</v>
      </c>
      <c r="G244" s="8">
        <f t="shared" si="9"/>
        <v>0</v>
      </c>
      <c r="H244" s="8">
        <f t="shared" si="9"/>
        <v>0</v>
      </c>
      <c r="I244" s="8">
        <f t="shared" si="9"/>
        <v>0</v>
      </c>
      <c r="J244" s="8">
        <f t="shared" si="9"/>
        <v>0</v>
      </c>
      <c r="K244" s="8">
        <f t="shared" si="9"/>
        <v>1</v>
      </c>
      <c r="L244" s="7"/>
    </row>
    <row r="245" spans="1:12" ht="25.5" outlineLevel="1" x14ac:dyDescent="0.25">
      <c r="A245" s="22">
        <f t="shared" si="10"/>
        <v>2.0216000000000456</v>
      </c>
      <c r="B245" s="27"/>
      <c r="C245" s="24" t="s">
        <v>266</v>
      </c>
      <c r="D245" s="7"/>
      <c r="E245" s="7"/>
      <c r="F245" s="8" t="s">
        <v>8</v>
      </c>
      <c r="G245" s="8">
        <f t="shared" si="9"/>
        <v>0</v>
      </c>
      <c r="H245" s="8">
        <f t="shared" si="9"/>
        <v>0</v>
      </c>
      <c r="I245" s="8">
        <f t="shared" si="9"/>
        <v>0</v>
      </c>
      <c r="J245" s="8">
        <f t="shared" si="9"/>
        <v>0</v>
      </c>
      <c r="K245" s="8">
        <f t="shared" si="9"/>
        <v>1</v>
      </c>
      <c r="L245" s="7"/>
    </row>
    <row r="246" spans="1:12" outlineLevel="1" x14ac:dyDescent="0.25">
      <c r="A246" s="22">
        <f t="shared" si="10"/>
        <v>2.0217000000000458</v>
      </c>
      <c r="B246" s="27"/>
      <c r="C246" s="24" t="s">
        <v>267</v>
      </c>
      <c r="D246" s="7"/>
      <c r="E246" s="7"/>
      <c r="F246" s="8" t="s">
        <v>8</v>
      </c>
      <c r="G246" s="8">
        <f t="shared" ref="G246:K296" si="11">IF($F246=G$1,1,0)</f>
        <v>0</v>
      </c>
      <c r="H246" s="8">
        <f t="shared" si="11"/>
        <v>0</v>
      </c>
      <c r="I246" s="8">
        <f t="shared" si="11"/>
        <v>0</v>
      </c>
      <c r="J246" s="8">
        <f t="shared" si="11"/>
        <v>0</v>
      </c>
      <c r="K246" s="8">
        <f t="shared" si="11"/>
        <v>1</v>
      </c>
      <c r="L246" s="7"/>
    </row>
    <row r="247" spans="1:12" ht="25.5" outlineLevel="1" x14ac:dyDescent="0.25">
      <c r="A247" s="22">
        <f t="shared" si="10"/>
        <v>2.021800000000046</v>
      </c>
      <c r="B247" s="27"/>
      <c r="C247" s="24" t="s">
        <v>268</v>
      </c>
      <c r="D247" s="7"/>
      <c r="E247" s="7"/>
      <c r="F247" s="8" t="s">
        <v>8</v>
      </c>
      <c r="G247" s="8">
        <f t="shared" si="11"/>
        <v>0</v>
      </c>
      <c r="H247" s="8">
        <f t="shared" si="11"/>
        <v>0</v>
      </c>
      <c r="I247" s="8">
        <f t="shared" si="11"/>
        <v>0</v>
      </c>
      <c r="J247" s="8">
        <f t="shared" si="11"/>
        <v>0</v>
      </c>
      <c r="K247" s="8">
        <f t="shared" si="11"/>
        <v>1</v>
      </c>
      <c r="L247" s="7"/>
    </row>
    <row r="248" spans="1:12" ht="38.25" outlineLevel="1" x14ac:dyDescent="0.25">
      <c r="A248" s="22">
        <f t="shared" si="10"/>
        <v>2.0219000000000462</v>
      </c>
      <c r="B248" s="27"/>
      <c r="C248" s="24" t="s">
        <v>269</v>
      </c>
      <c r="D248" s="7"/>
      <c r="E248" s="7"/>
      <c r="F248" s="8" t="s">
        <v>8</v>
      </c>
      <c r="G248" s="8">
        <f t="shared" si="11"/>
        <v>0</v>
      </c>
      <c r="H248" s="8">
        <f t="shared" si="11"/>
        <v>0</v>
      </c>
      <c r="I248" s="8">
        <f t="shared" si="11"/>
        <v>0</v>
      </c>
      <c r="J248" s="8">
        <f t="shared" si="11"/>
        <v>0</v>
      </c>
      <c r="K248" s="8">
        <f t="shared" si="11"/>
        <v>1</v>
      </c>
      <c r="L248" s="7"/>
    </row>
    <row r="249" spans="1:12" ht="25.5" outlineLevel="1" x14ac:dyDescent="0.25">
      <c r="A249" s="22">
        <f t="shared" si="10"/>
        <v>2.0220000000000464</v>
      </c>
      <c r="B249" s="26" t="s">
        <v>20</v>
      </c>
      <c r="C249" s="24" t="s">
        <v>270</v>
      </c>
      <c r="D249" s="7"/>
      <c r="E249" s="7"/>
      <c r="F249" s="8" t="s">
        <v>8</v>
      </c>
      <c r="G249" s="8">
        <f t="shared" si="11"/>
        <v>0</v>
      </c>
      <c r="H249" s="8">
        <f t="shared" si="11"/>
        <v>0</v>
      </c>
      <c r="I249" s="8">
        <f t="shared" si="11"/>
        <v>0</v>
      </c>
      <c r="J249" s="8">
        <f t="shared" si="11"/>
        <v>0</v>
      </c>
      <c r="K249" s="8">
        <f t="shared" si="11"/>
        <v>1</v>
      </c>
      <c r="L249" s="7"/>
    </row>
    <row r="250" spans="1:12" outlineLevel="1" x14ac:dyDescent="0.25">
      <c r="A250" s="22">
        <f t="shared" si="10"/>
        <v>2.0221000000000466</v>
      </c>
      <c r="B250" s="31" t="s">
        <v>22</v>
      </c>
      <c r="C250" s="24"/>
      <c r="D250" s="7"/>
      <c r="E250" s="7"/>
      <c r="F250" s="8" t="s">
        <v>8</v>
      </c>
      <c r="G250" s="8">
        <f t="shared" si="11"/>
        <v>0</v>
      </c>
      <c r="H250" s="8">
        <f t="shared" si="11"/>
        <v>0</v>
      </c>
      <c r="I250" s="8">
        <f t="shared" si="11"/>
        <v>0</v>
      </c>
      <c r="J250" s="8">
        <f t="shared" si="11"/>
        <v>0</v>
      </c>
      <c r="K250" s="8">
        <f t="shared" si="11"/>
        <v>1</v>
      </c>
      <c r="L250" s="7"/>
    </row>
    <row r="251" spans="1:12" outlineLevel="1" x14ac:dyDescent="0.25">
      <c r="A251" s="22">
        <f t="shared" si="10"/>
        <v>2.0222000000000468</v>
      </c>
      <c r="B251" s="31" t="s">
        <v>271</v>
      </c>
      <c r="C251" s="24"/>
      <c r="D251" s="7"/>
      <c r="E251" s="7"/>
      <c r="F251" s="8" t="s">
        <v>8</v>
      </c>
      <c r="G251" s="8">
        <f t="shared" si="11"/>
        <v>0</v>
      </c>
      <c r="H251" s="8">
        <f t="shared" si="11"/>
        <v>0</v>
      </c>
      <c r="I251" s="8">
        <f t="shared" si="11"/>
        <v>0</v>
      </c>
      <c r="J251" s="8">
        <f t="shared" si="11"/>
        <v>0</v>
      </c>
      <c r="K251" s="8">
        <f t="shared" si="11"/>
        <v>1</v>
      </c>
      <c r="L251" s="7"/>
    </row>
    <row r="252" spans="1:12" outlineLevel="1" x14ac:dyDescent="0.25">
      <c r="A252" s="22">
        <f t="shared" si="10"/>
        <v>2.0223000000000471</v>
      </c>
      <c r="B252" s="31" t="s">
        <v>272</v>
      </c>
      <c r="C252" s="24"/>
      <c r="D252" s="7"/>
      <c r="E252" s="7"/>
      <c r="F252" s="8" t="s">
        <v>8</v>
      </c>
      <c r="G252" s="8">
        <f t="shared" si="11"/>
        <v>0</v>
      </c>
      <c r="H252" s="8">
        <f t="shared" si="11"/>
        <v>0</v>
      </c>
      <c r="I252" s="8">
        <f t="shared" si="11"/>
        <v>0</v>
      </c>
      <c r="J252" s="8">
        <f t="shared" si="11"/>
        <v>0</v>
      </c>
      <c r="K252" s="8">
        <f t="shared" si="11"/>
        <v>1</v>
      </c>
      <c r="L252" s="7"/>
    </row>
    <row r="253" spans="1:12" outlineLevel="1" x14ac:dyDescent="0.25">
      <c r="A253" s="22">
        <f t="shared" si="10"/>
        <v>2.0224000000000473</v>
      </c>
      <c r="B253" s="31" t="s">
        <v>24</v>
      </c>
      <c r="C253" s="24"/>
      <c r="D253" s="7"/>
      <c r="E253" s="7"/>
      <c r="F253" s="8" t="s">
        <v>8</v>
      </c>
      <c r="G253" s="8">
        <f t="shared" si="11"/>
        <v>0</v>
      </c>
      <c r="H253" s="8">
        <f t="shared" si="11"/>
        <v>0</v>
      </c>
      <c r="I253" s="8">
        <f t="shared" si="11"/>
        <v>0</v>
      </c>
      <c r="J253" s="8">
        <f t="shared" si="11"/>
        <v>0</v>
      </c>
      <c r="K253" s="8">
        <f t="shared" si="11"/>
        <v>1</v>
      </c>
      <c r="L253" s="7"/>
    </row>
    <row r="254" spans="1:12" outlineLevel="1" x14ac:dyDescent="0.25">
      <c r="A254" s="22">
        <f t="shared" si="10"/>
        <v>2.0225000000000475</v>
      </c>
      <c r="B254" s="26" t="s">
        <v>273</v>
      </c>
      <c r="C254" s="24" t="s">
        <v>31</v>
      </c>
      <c r="D254" s="7"/>
      <c r="E254" s="7"/>
      <c r="F254" s="8" t="s">
        <v>8</v>
      </c>
      <c r="G254" s="8">
        <f t="shared" si="11"/>
        <v>0</v>
      </c>
      <c r="H254" s="8">
        <f t="shared" si="11"/>
        <v>0</v>
      </c>
      <c r="I254" s="8">
        <f t="shared" si="11"/>
        <v>0</v>
      </c>
      <c r="J254" s="8">
        <f t="shared" si="11"/>
        <v>0</v>
      </c>
      <c r="K254" s="8">
        <f t="shared" si="11"/>
        <v>1</v>
      </c>
      <c r="L254" s="7"/>
    </row>
    <row r="255" spans="1:12" outlineLevel="1" x14ac:dyDescent="0.25">
      <c r="A255" s="22">
        <f t="shared" si="10"/>
        <v>2.0226000000000477</v>
      </c>
      <c r="B255" s="27"/>
      <c r="C255" s="24" t="s">
        <v>274</v>
      </c>
      <c r="D255" s="7"/>
      <c r="E255" s="7"/>
      <c r="F255" s="8" t="s">
        <v>8</v>
      </c>
      <c r="G255" s="8">
        <f t="shared" si="11"/>
        <v>0</v>
      </c>
      <c r="H255" s="8">
        <f t="shared" si="11"/>
        <v>0</v>
      </c>
      <c r="I255" s="8">
        <f t="shared" si="11"/>
        <v>0</v>
      </c>
      <c r="J255" s="8">
        <f t="shared" si="11"/>
        <v>0</v>
      </c>
      <c r="K255" s="8">
        <f t="shared" si="11"/>
        <v>1</v>
      </c>
      <c r="L255" s="7"/>
    </row>
    <row r="256" spans="1:12" outlineLevel="1" x14ac:dyDescent="0.25">
      <c r="A256" s="22">
        <f t="shared" si="10"/>
        <v>2.0227000000000479</v>
      </c>
      <c r="B256" s="26" t="s">
        <v>275</v>
      </c>
      <c r="C256" s="24" t="s">
        <v>31</v>
      </c>
      <c r="D256" s="7"/>
      <c r="E256" s="7"/>
      <c r="F256" s="8" t="s">
        <v>8</v>
      </c>
      <c r="G256" s="8">
        <f t="shared" si="11"/>
        <v>0</v>
      </c>
      <c r="H256" s="8">
        <f t="shared" si="11"/>
        <v>0</v>
      </c>
      <c r="I256" s="8">
        <f t="shared" si="11"/>
        <v>0</v>
      </c>
      <c r="J256" s="8">
        <f t="shared" si="11"/>
        <v>0</v>
      </c>
      <c r="K256" s="8">
        <f t="shared" si="11"/>
        <v>1</v>
      </c>
      <c r="L256" s="7"/>
    </row>
    <row r="257" spans="1:12" outlineLevel="1" x14ac:dyDescent="0.25">
      <c r="A257" s="22">
        <f t="shared" si="10"/>
        <v>2.0228000000000481</v>
      </c>
      <c r="B257" s="27"/>
      <c r="C257" s="24" t="s">
        <v>276</v>
      </c>
      <c r="D257" s="7"/>
      <c r="E257" s="7"/>
      <c r="F257" s="8" t="s">
        <v>8</v>
      </c>
      <c r="G257" s="8">
        <f t="shared" si="11"/>
        <v>0</v>
      </c>
      <c r="H257" s="8">
        <f t="shared" si="11"/>
        <v>0</v>
      </c>
      <c r="I257" s="8">
        <f t="shared" si="11"/>
        <v>0</v>
      </c>
      <c r="J257" s="8">
        <f t="shared" si="11"/>
        <v>0</v>
      </c>
      <c r="K257" s="8">
        <f t="shared" si="11"/>
        <v>1</v>
      </c>
      <c r="L257" s="7"/>
    </row>
    <row r="258" spans="1:12" outlineLevel="1" x14ac:dyDescent="0.25">
      <c r="A258" s="22">
        <f t="shared" si="10"/>
        <v>2.0229000000000483</v>
      </c>
      <c r="B258" s="26" t="s">
        <v>277</v>
      </c>
      <c r="C258" s="24" t="s">
        <v>278</v>
      </c>
      <c r="D258" s="7"/>
      <c r="E258" s="7"/>
      <c r="F258" s="8" t="s">
        <v>8</v>
      </c>
      <c r="G258" s="8">
        <f t="shared" si="11"/>
        <v>0</v>
      </c>
      <c r="H258" s="8">
        <f t="shared" si="11"/>
        <v>0</v>
      </c>
      <c r="I258" s="8">
        <f t="shared" si="11"/>
        <v>0</v>
      </c>
      <c r="J258" s="8">
        <f t="shared" si="11"/>
        <v>0</v>
      </c>
      <c r="K258" s="8">
        <f t="shared" si="11"/>
        <v>1</v>
      </c>
      <c r="L258" s="7"/>
    </row>
    <row r="259" spans="1:12" outlineLevel="1" x14ac:dyDescent="0.25">
      <c r="A259" s="22">
        <f t="shared" si="10"/>
        <v>2.0230000000000485</v>
      </c>
      <c r="B259" s="27"/>
      <c r="C259" s="24" t="s">
        <v>279</v>
      </c>
      <c r="D259" s="7"/>
      <c r="E259" s="7"/>
      <c r="F259" s="8" t="s">
        <v>8</v>
      </c>
      <c r="G259" s="8">
        <f t="shared" si="11"/>
        <v>0</v>
      </c>
      <c r="H259" s="8">
        <f t="shared" si="11"/>
        <v>0</v>
      </c>
      <c r="I259" s="8">
        <f t="shared" si="11"/>
        <v>0</v>
      </c>
      <c r="J259" s="8">
        <f t="shared" si="11"/>
        <v>0</v>
      </c>
      <c r="K259" s="8">
        <f t="shared" si="11"/>
        <v>1</v>
      </c>
      <c r="L259" s="7"/>
    </row>
    <row r="260" spans="1:12" ht="25.5" outlineLevel="1" x14ac:dyDescent="0.25">
      <c r="A260" s="22">
        <f t="shared" si="10"/>
        <v>2.0231000000000487</v>
      </c>
      <c r="B260" s="26" t="s">
        <v>280</v>
      </c>
      <c r="C260" s="24" t="s">
        <v>281</v>
      </c>
      <c r="D260" s="7"/>
      <c r="E260" s="7"/>
      <c r="F260" s="8" t="s">
        <v>8</v>
      </c>
      <c r="G260" s="8">
        <f t="shared" si="11"/>
        <v>0</v>
      </c>
      <c r="H260" s="8">
        <f t="shared" si="11"/>
        <v>0</v>
      </c>
      <c r="I260" s="8">
        <f t="shared" si="11"/>
        <v>0</v>
      </c>
      <c r="J260" s="8">
        <f t="shared" si="11"/>
        <v>0</v>
      </c>
      <c r="K260" s="8">
        <f t="shared" si="11"/>
        <v>1</v>
      </c>
      <c r="L260" s="7"/>
    </row>
    <row r="261" spans="1:12" outlineLevel="1" x14ac:dyDescent="0.25">
      <c r="A261" s="22">
        <f t="shared" si="10"/>
        <v>2.023200000000049</v>
      </c>
      <c r="B261" s="27"/>
      <c r="C261" s="24" t="s">
        <v>282</v>
      </c>
      <c r="D261" s="7"/>
      <c r="E261" s="7"/>
      <c r="F261" s="8" t="s">
        <v>8</v>
      </c>
      <c r="G261" s="8">
        <f t="shared" si="11"/>
        <v>0</v>
      </c>
      <c r="H261" s="8">
        <f t="shared" si="11"/>
        <v>0</v>
      </c>
      <c r="I261" s="8">
        <f t="shared" si="11"/>
        <v>0</v>
      </c>
      <c r="J261" s="8">
        <f t="shared" si="11"/>
        <v>0</v>
      </c>
      <c r="K261" s="8">
        <f t="shared" si="11"/>
        <v>1</v>
      </c>
      <c r="L261" s="7"/>
    </row>
    <row r="262" spans="1:12" outlineLevel="1" x14ac:dyDescent="0.25">
      <c r="A262" s="22">
        <f t="shared" si="10"/>
        <v>2.0233000000000492</v>
      </c>
      <c r="B262" s="27"/>
      <c r="C262" s="24" t="s">
        <v>283</v>
      </c>
      <c r="D262" s="7"/>
      <c r="E262" s="7"/>
      <c r="F262" s="8" t="s">
        <v>8</v>
      </c>
      <c r="G262" s="8">
        <f t="shared" si="11"/>
        <v>0</v>
      </c>
      <c r="H262" s="8">
        <f t="shared" si="11"/>
        <v>0</v>
      </c>
      <c r="I262" s="8">
        <f t="shared" si="11"/>
        <v>0</v>
      </c>
      <c r="J262" s="8">
        <f t="shared" si="11"/>
        <v>0</v>
      </c>
      <c r="K262" s="8">
        <f t="shared" si="11"/>
        <v>1</v>
      </c>
      <c r="L262" s="7"/>
    </row>
    <row r="263" spans="1:12" outlineLevel="1" x14ac:dyDescent="0.25">
      <c r="A263" s="22">
        <f t="shared" si="10"/>
        <v>2.0234000000000494</v>
      </c>
      <c r="B263" s="27"/>
      <c r="C263" s="24" t="s">
        <v>284</v>
      </c>
      <c r="D263" s="7"/>
      <c r="E263" s="7"/>
      <c r="F263" s="8" t="s">
        <v>8</v>
      </c>
      <c r="G263" s="8">
        <f t="shared" si="11"/>
        <v>0</v>
      </c>
      <c r="H263" s="8">
        <f t="shared" si="11"/>
        <v>0</v>
      </c>
      <c r="I263" s="8">
        <f t="shared" si="11"/>
        <v>0</v>
      </c>
      <c r="J263" s="8">
        <f t="shared" si="11"/>
        <v>0</v>
      </c>
      <c r="K263" s="8">
        <f t="shared" si="11"/>
        <v>1</v>
      </c>
      <c r="L263" s="7"/>
    </row>
    <row r="264" spans="1:12" outlineLevel="1" x14ac:dyDescent="0.25">
      <c r="A264" s="22">
        <f t="shared" si="10"/>
        <v>2.0235000000000496</v>
      </c>
      <c r="B264" s="27"/>
      <c r="C264" s="24" t="s">
        <v>285</v>
      </c>
      <c r="D264" s="7"/>
      <c r="E264" s="7"/>
      <c r="F264" s="8" t="s">
        <v>8</v>
      </c>
      <c r="G264" s="8">
        <f t="shared" si="11"/>
        <v>0</v>
      </c>
      <c r="H264" s="8">
        <f t="shared" si="11"/>
        <v>0</v>
      </c>
      <c r="I264" s="8">
        <f t="shared" si="11"/>
        <v>0</v>
      </c>
      <c r="J264" s="8">
        <f t="shared" si="11"/>
        <v>0</v>
      </c>
      <c r="K264" s="8">
        <f t="shared" si="11"/>
        <v>1</v>
      </c>
      <c r="L264" s="7"/>
    </row>
    <row r="265" spans="1:12" outlineLevel="1" x14ac:dyDescent="0.25">
      <c r="A265" s="22">
        <f t="shared" si="10"/>
        <v>2.0236000000000498</v>
      </c>
      <c r="B265" s="27"/>
      <c r="C265" s="24" t="s">
        <v>286</v>
      </c>
      <c r="D265" s="7"/>
      <c r="E265" s="7"/>
      <c r="F265" s="8" t="s">
        <v>8</v>
      </c>
      <c r="G265" s="8">
        <f t="shared" si="11"/>
        <v>0</v>
      </c>
      <c r="H265" s="8">
        <f t="shared" si="11"/>
        <v>0</v>
      </c>
      <c r="I265" s="8">
        <f t="shared" si="11"/>
        <v>0</v>
      </c>
      <c r="J265" s="8">
        <f t="shared" si="11"/>
        <v>0</v>
      </c>
      <c r="K265" s="8">
        <f t="shared" si="11"/>
        <v>1</v>
      </c>
      <c r="L265" s="7"/>
    </row>
    <row r="266" spans="1:12" outlineLevel="1" x14ac:dyDescent="0.25">
      <c r="A266" s="22">
        <f t="shared" si="10"/>
        <v>2.02370000000005</v>
      </c>
      <c r="B266" s="29"/>
      <c r="C266" s="24" t="s">
        <v>287</v>
      </c>
      <c r="D266" s="7"/>
      <c r="E266" s="7"/>
      <c r="F266" s="8" t="s">
        <v>8</v>
      </c>
      <c r="G266" s="8">
        <f t="shared" si="11"/>
        <v>0</v>
      </c>
      <c r="H266" s="8">
        <f t="shared" si="11"/>
        <v>0</v>
      </c>
      <c r="I266" s="8">
        <f t="shared" si="11"/>
        <v>0</v>
      </c>
      <c r="J266" s="8">
        <f t="shared" si="11"/>
        <v>0</v>
      </c>
      <c r="K266" s="8">
        <f t="shared" si="11"/>
        <v>1</v>
      </c>
      <c r="L266" s="7"/>
    </row>
    <row r="267" spans="1:12" ht="25.5" outlineLevel="1" x14ac:dyDescent="0.25">
      <c r="A267" s="22">
        <f t="shared" si="10"/>
        <v>2.0238000000000502</v>
      </c>
      <c r="B267" s="25" t="s">
        <v>288</v>
      </c>
      <c r="C267" s="6" t="s">
        <v>289</v>
      </c>
      <c r="D267" s="7"/>
      <c r="E267" s="7"/>
      <c r="F267" s="8" t="s">
        <v>8</v>
      </c>
      <c r="G267" s="8">
        <f t="shared" si="11"/>
        <v>0</v>
      </c>
      <c r="H267" s="8">
        <f t="shared" si="11"/>
        <v>0</v>
      </c>
      <c r="I267" s="8">
        <f t="shared" si="11"/>
        <v>0</v>
      </c>
      <c r="J267" s="8">
        <f t="shared" si="11"/>
        <v>0</v>
      </c>
      <c r="K267" s="8">
        <f t="shared" si="11"/>
        <v>1</v>
      </c>
      <c r="L267" s="7"/>
    </row>
    <row r="268" spans="1:12" ht="25.5" outlineLevel="1" x14ac:dyDescent="0.25">
      <c r="A268" s="22">
        <f t="shared" si="10"/>
        <v>2.0239000000000504</v>
      </c>
      <c r="B268" s="28" t="s">
        <v>290</v>
      </c>
      <c r="C268" s="6" t="s">
        <v>291</v>
      </c>
      <c r="D268" s="7"/>
      <c r="E268" s="7"/>
      <c r="F268" s="8" t="s">
        <v>8</v>
      </c>
      <c r="G268" s="8">
        <f t="shared" si="11"/>
        <v>0</v>
      </c>
      <c r="H268" s="8">
        <f t="shared" si="11"/>
        <v>0</v>
      </c>
      <c r="I268" s="8">
        <f t="shared" si="11"/>
        <v>0</v>
      </c>
      <c r="J268" s="8">
        <f t="shared" si="11"/>
        <v>0</v>
      </c>
      <c r="K268" s="8">
        <f t="shared" si="11"/>
        <v>1</v>
      </c>
      <c r="L268" s="7"/>
    </row>
    <row r="269" spans="1:12" outlineLevel="1" x14ac:dyDescent="0.25">
      <c r="A269" s="22">
        <f t="shared" si="10"/>
        <v>2.0240000000000506</v>
      </c>
      <c r="B269" s="26" t="s">
        <v>292</v>
      </c>
      <c r="C269" s="24" t="s">
        <v>293</v>
      </c>
      <c r="D269" s="7"/>
      <c r="E269" s="7"/>
      <c r="F269" s="8" t="s">
        <v>8</v>
      </c>
      <c r="G269" s="8">
        <f t="shared" si="11"/>
        <v>0</v>
      </c>
      <c r="H269" s="8">
        <f t="shared" si="11"/>
        <v>0</v>
      </c>
      <c r="I269" s="8">
        <f t="shared" si="11"/>
        <v>0</v>
      </c>
      <c r="J269" s="8">
        <f t="shared" si="11"/>
        <v>0</v>
      </c>
      <c r="K269" s="8">
        <f t="shared" si="11"/>
        <v>1</v>
      </c>
      <c r="L269" s="7"/>
    </row>
    <row r="270" spans="1:12" outlineLevel="1" x14ac:dyDescent="0.25">
      <c r="A270" s="22">
        <f t="shared" ref="A270:A333" si="12">A269+0.0001</f>
        <v>2.0241000000000509</v>
      </c>
      <c r="B270" s="27"/>
      <c r="C270" s="24" t="s">
        <v>294</v>
      </c>
      <c r="D270" s="7"/>
      <c r="E270" s="7"/>
      <c r="F270" s="8" t="s">
        <v>8</v>
      </c>
      <c r="G270" s="8">
        <f t="shared" si="11"/>
        <v>0</v>
      </c>
      <c r="H270" s="8">
        <f t="shared" si="11"/>
        <v>0</v>
      </c>
      <c r="I270" s="8">
        <f t="shared" si="11"/>
        <v>0</v>
      </c>
      <c r="J270" s="8">
        <f t="shared" si="11"/>
        <v>0</v>
      </c>
      <c r="K270" s="8">
        <f t="shared" si="11"/>
        <v>1</v>
      </c>
      <c r="L270" s="7"/>
    </row>
    <row r="271" spans="1:12" outlineLevel="1" x14ac:dyDescent="0.25">
      <c r="A271" s="22">
        <f t="shared" si="12"/>
        <v>2.0242000000000511</v>
      </c>
      <c r="B271" s="26" t="s">
        <v>295</v>
      </c>
      <c r="C271" s="24" t="s">
        <v>296</v>
      </c>
      <c r="D271" s="7"/>
      <c r="E271" s="7"/>
      <c r="F271" s="8" t="s">
        <v>8</v>
      </c>
      <c r="G271" s="8">
        <f t="shared" si="11"/>
        <v>0</v>
      </c>
      <c r="H271" s="8">
        <f t="shared" si="11"/>
        <v>0</v>
      </c>
      <c r="I271" s="8">
        <f t="shared" si="11"/>
        <v>0</v>
      </c>
      <c r="J271" s="8">
        <f t="shared" si="11"/>
        <v>0</v>
      </c>
      <c r="K271" s="8">
        <f t="shared" si="11"/>
        <v>1</v>
      </c>
      <c r="L271" s="7"/>
    </row>
    <row r="272" spans="1:12" outlineLevel="1" x14ac:dyDescent="0.25">
      <c r="A272" s="22">
        <f t="shared" si="12"/>
        <v>2.0243000000000513</v>
      </c>
      <c r="B272" s="27"/>
      <c r="C272" s="24" t="s">
        <v>297</v>
      </c>
      <c r="D272" s="7" t="s">
        <v>753</v>
      </c>
      <c r="E272" s="7"/>
      <c r="F272" s="8" t="s">
        <v>8</v>
      </c>
      <c r="G272" s="8">
        <f t="shared" si="11"/>
        <v>0</v>
      </c>
      <c r="H272" s="8">
        <f t="shared" si="11"/>
        <v>0</v>
      </c>
      <c r="I272" s="8">
        <f t="shared" si="11"/>
        <v>0</v>
      </c>
      <c r="J272" s="8">
        <f t="shared" si="11"/>
        <v>0</v>
      </c>
      <c r="K272" s="8">
        <f t="shared" si="11"/>
        <v>1</v>
      </c>
      <c r="L272" s="7"/>
    </row>
    <row r="273" spans="1:12" outlineLevel="1" x14ac:dyDescent="0.25">
      <c r="A273" s="22">
        <f t="shared" si="12"/>
        <v>2.0244000000000515</v>
      </c>
      <c r="B273" s="27"/>
      <c r="C273" s="24" t="s">
        <v>298</v>
      </c>
      <c r="D273" s="7"/>
      <c r="E273" s="7"/>
      <c r="F273" s="8" t="s">
        <v>8</v>
      </c>
      <c r="G273" s="8">
        <f t="shared" si="11"/>
        <v>0</v>
      </c>
      <c r="H273" s="8">
        <f t="shared" si="11"/>
        <v>0</v>
      </c>
      <c r="I273" s="8">
        <f t="shared" si="11"/>
        <v>0</v>
      </c>
      <c r="J273" s="8">
        <f t="shared" si="11"/>
        <v>0</v>
      </c>
      <c r="K273" s="8">
        <f t="shared" si="11"/>
        <v>1</v>
      </c>
      <c r="L273" s="7"/>
    </row>
    <row r="274" spans="1:12" outlineLevel="1" x14ac:dyDescent="0.25">
      <c r="A274" s="22">
        <f t="shared" si="12"/>
        <v>2.0245000000000517</v>
      </c>
      <c r="B274" s="26" t="s">
        <v>299</v>
      </c>
      <c r="C274" s="24" t="s">
        <v>300</v>
      </c>
      <c r="D274" s="7"/>
      <c r="E274" s="7"/>
      <c r="F274" s="8" t="s">
        <v>8</v>
      </c>
      <c r="G274" s="8">
        <f t="shared" si="11"/>
        <v>0</v>
      </c>
      <c r="H274" s="8">
        <f t="shared" si="11"/>
        <v>0</v>
      </c>
      <c r="I274" s="8">
        <f t="shared" si="11"/>
        <v>0</v>
      </c>
      <c r="J274" s="8">
        <f t="shared" si="11"/>
        <v>0</v>
      </c>
      <c r="K274" s="8">
        <f t="shared" si="11"/>
        <v>1</v>
      </c>
      <c r="L274" s="7"/>
    </row>
    <row r="275" spans="1:12" outlineLevel="1" x14ac:dyDescent="0.25">
      <c r="A275" s="22">
        <f t="shared" si="12"/>
        <v>2.0246000000000519</v>
      </c>
      <c r="B275" s="27"/>
      <c r="C275" s="24" t="s">
        <v>301</v>
      </c>
      <c r="D275" s="7"/>
      <c r="E275" s="7"/>
      <c r="F275" s="8" t="s">
        <v>8</v>
      </c>
      <c r="G275" s="8">
        <f t="shared" si="11"/>
        <v>0</v>
      </c>
      <c r="H275" s="8">
        <f t="shared" si="11"/>
        <v>0</v>
      </c>
      <c r="I275" s="8">
        <f t="shared" si="11"/>
        <v>0</v>
      </c>
      <c r="J275" s="8">
        <f t="shared" si="11"/>
        <v>0</v>
      </c>
      <c r="K275" s="8">
        <f t="shared" si="11"/>
        <v>1</v>
      </c>
      <c r="L275" s="7"/>
    </row>
    <row r="276" spans="1:12" outlineLevel="1" x14ac:dyDescent="0.25">
      <c r="A276" s="22">
        <f t="shared" si="12"/>
        <v>2.0247000000000521</v>
      </c>
      <c r="B276" s="27"/>
      <c r="C276" s="24" t="s">
        <v>754</v>
      </c>
      <c r="D276" s="7"/>
      <c r="E276" s="7"/>
      <c r="F276" s="8" t="s">
        <v>8</v>
      </c>
      <c r="G276" s="8">
        <f t="shared" si="11"/>
        <v>0</v>
      </c>
      <c r="H276" s="8">
        <f t="shared" si="11"/>
        <v>0</v>
      </c>
      <c r="I276" s="8">
        <f t="shared" si="11"/>
        <v>0</v>
      </c>
      <c r="J276" s="8">
        <f t="shared" si="11"/>
        <v>0</v>
      </c>
      <c r="K276" s="8">
        <f t="shared" si="11"/>
        <v>1</v>
      </c>
      <c r="L276" s="7"/>
    </row>
    <row r="277" spans="1:12" outlineLevel="1" x14ac:dyDescent="0.25">
      <c r="A277" s="22">
        <f t="shared" si="12"/>
        <v>2.0248000000000523</v>
      </c>
      <c r="B277" s="26" t="s">
        <v>303</v>
      </c>
      <c r="C277" s="24" t="s">
        <v>293</v>
      </c>
      <c r="D277" s="7"/>
      <c r="E277" s="7"/>
      <c r="F277" s="8" t="s">
        <v>8</v>
      </c>
      <c r="G277" s="8">
        <f t="shared" si="11"/>
        <v>0</v>
      </c>
      <c r="H277" s="8">
        <f t="shared" si="11"/>
        <v>0</v>
      </c>
      <c r="I277" s="8">
        <f t="shared" si="11"/>
        <v>0</v>
      </c>
      <c r="J277" s="8">
        <f t="shared" si="11"/>
        <v>0</v>
      </c>
      <c r="K277" s="8">
        <f t="shared" si="11"/>
        <v>1</v>
      </c>
      <c r="L277" s="7"/>
    </row>
    <row r="278" spans="1:12" outlineLevel="1" x14ac:dyDescent="0.25">
      <c r="A278" s="22">
        <f t="shared" si="12"/>
        <v>2.0249000000000525</v>
      </c>
      <c r="B278" s="27"/>
      <c r="C278" s="24" t="s">
        <v>254</v>
      </c>
      <c r="D278" s="7"/>
      <c r="E278" s="7"/>
      <c r="F278" s="8" t="s">
        <v>8</v>
      </c>
      <c r="G278" s="8">
        <f t="shared" si="11"/>
        <v>0</v>
      </c>
      <c r="H278" s="8">
        <f t="shared" si="11"/>
        <v>0</v>
      </c>
      <c r="I278" s="8">
        <f t="shared" si="11"/>
        <v>0</v>
      </c>
      <c r="J278" s="8">
        <f t="shared" si="11"/>
        <v>0</v>
      </c>
      <c r="K278" s="8">
        <f t="shared" si="11"/>
        <v>1</v>
      </c>
      <c r="L278" s="7"/>
    </row>
    <row r="279" spans="1:12" outlineLevel="1" x14ac:dyDescent="0.25">
      <c r="A279" s="22">
        <f t="shared" si="12"/>
        <v>2.0250000000000528</v>
      </c>
      <c r="B279" s="27"/>
      <c r="C279" s="24" t="s">
        <v>304</v>
      </c>
      <c r="D279" s="7"/>
      <c r="E279" s="7"/>
      <c r="F279" s="8" t="s">
        <v>8</v>
      </c>
      <c r="G279" s="8">
        <f t="shared" si="11"/>
        <v>0</v>
      </c>
      <c r="H279" s="8">
        <f t="shared" si="11"/>
        <v>0</v>
      </c>
      <c r="I279" s="8">
        <f t="shared" si="11"/>
        <v>0</v>
      </c>
      <c r="J279" s="8">
        <f t="shared" si="11"/>
        <v>0</v>
      </c>
      <c r="K279" s="8">
        <f t="shared" si="11"/>
        <v>1</v>
      </c>
      <c r="L279" s="7"/>
    </row>
    <row r="280" spans="1:12" outlineLevel="1" x14ac:dyDescent="0.25">
      <c r="A280" s="22">
        <f t="shared" si="12"/>
        <v>2.025100000000053</v>
      </c>
      <c r="B280" s="27"/>
      <c r="C280" s="24" t="s">
        <v>305</v>
      </c>
      <c r="D280" s="7"/>
      <c r="E280" s="7"/>
      <c r="F280" s="8" t="s">
        <v>8</v>
      </c>
      <c r="G280" s="8">
        <f t="shared" si="11"/>
        <v>0</v>
      </c>
      <c r="H280" s="8">
        <f t="shared" si="11"/>
        <v>0</v>
      </c>
      <c r="I280" s="8">
        <f t="shared" si="11"/>
        <v>0</v>
      </c>
      <c r="J280" s="8">
        <f t="shared" si="11"/>
        <v>0</v>
      </c>
      <c r="K280" s="8">
        <f t="shared" si="11"/>
        <v>1</v>
      </c>
      <c r="L280" s="7"/>
    </row>
    <row r="281" spans="1:12" ht="25.5" outlineLevel="1" x14ac:dyDescent="0.25">
      <c r="A281" s="22">
        <f t="shared" si="12"/>
        <v>2.0252000000000532</v>
      </c>
      <c r="B281" s="26" t="s">
        <v>306</v>
      </c>
      <c r="C281" s="24" t="s">
        <v>307</v>
      </c>
      <c r="D281" s="7"/>
      <c r="E281" s="7"/>
      <c r="F281" s="8" t="s">
        <v>8</v>
      </c>
      <c r="G281" s="8">
        <f t="shared" si="11"/>
        <v>0</v>
      </c>
      <c r="H281" s="8">
        <f t="shared" si="11"/>
        <v>0</v>
      </c>
      <c r="I281" s="8">
        <f t="shared" si="11"/>
        <v>0</v>
      </c>
      <c r="J281" s="8">
        <f t="shared" si="11"/>
        <v>0</v>
      </c>
      <c r="K281" s="8">
        <f t="shared" si="11"/>
        <v>1</v>
      </c>
      <c r="L281" s="7"/>
    </row>
    <row r="282" spans="1:12" outlineLevel="1" x14ac:dyDescent="0.25">
      <c r="A282" s="22">
        <f t="shared" si="12"/>
        <v>2.0253000000000534</v>
      </c>
      <c r="B282" s="27"/>
      <c r="C282" s="24" t="s">
        <v>308</v>
      </c>
      <c r="D282" s="7"/>
      <c r="E282" s="7"/>
      <c r="F282" s="8" t="s">
        <v>8</v>
      </c>
      <c r="G282" s="8">
        <f t="shared" si="11"/>
        <v>0</v>
      </c>
      <c r="H282" s="8">
        <f t="shared" si="11"/>
        <v>0</v>
      </c>
      <c r="I282" s="8">
        <f t="shared" si="11"/>
        <v>0</v>
      </c>
      <c r="J282" s="8">
        <f t="shared" si="11"/>
        <v>0</v>
      </c>
      <c r="K282" s="8">
        <f t="shared" si="11"/>
        <v>1</v>
      </c>
      <c r="L282" s="7"/>
    </row>
    <row r="283" spans="1:12" outlineLevel="1" x14ac:dyDescent="0.25">
      <c r="A283" s="22">
        <f t="shared" si="12"/>
        <v>2.0254000000000536</v>
      </c>
      <c r="B283" s="27"/>
      <c r="C283" s="24" t="s">
        <v>309</v>
      </c>
      <c r="D283" s="7"/>
      <c r="E283" s="7"/>
      <c r="F283" s="8" t="s">
        <v>8</v>
      </c>
      <c r="G283" s="8">
        <f t="shared" si="11"/>
        <v>0</v>
      </c>
      <c r="H283" s="8">
        <f t="shared" si="11"/>
        <v>0</v>
      </c>
      <c r="I283" s="8">
        <f t="shared" si="11"/>
        <v>0</v>
      </c>
      <c r="J283" s="8">
        <f t="shared" si="11"/>
        <v>0</v>
      </c>
      <c r="K283" s="8">
        <f t="shared" si="11"/>
        <v>1</v>
      </c>
      <c r="L283" s="7"/>
    </row>
    <row r="284" spans="1:12" outlineLevel="1" x14ac:dyDescent="0.25">
      <c r="A284" s="22">
        <f t="shared" si="12"/>
        <v>2.0255000000000538</v>
      </c>
      <c r="B284" s="27"/>
      <c r="C284" s="24" t="s">
        <v>310</v>
      </c>
      <c r="D284" s="7"/>
      <c r="E284" s="7"/>
      <c r="F284" s="8" t="s">
        <v>8</v>
      </c>
      <c r="G284" s="8">
        <f t="shared" si="11"/>
        <v>0</v>
      </c>
      <c r="H284" s="8">
        <f t="shared" si="11"/>
        <v>0</v>
      </c>
      <c r="I284" s="8">
        <f t="shared" si="11"/>
        <v>0</v>
      </c>
      <c r="J284" s="8">
        <f t="shared" si="11"/>
        <v>0</v>
      </c>
      <c r="K284" s="8">
        <f t="shared" si="11"/>
        <v>1</v>
      </c>
      <c r="L284" s="7"/>
    </row>
    <row r="285" spans="1:12" outlineLevel="1" x14ac:dyDescent="0.25">
      <c r="A285" s="22">
        <f t="shared" si="12"/>
        <v>2.025600000000054</v>
      </c>
      <c r="B285" s="27"/>
      <c r="C285" s="24" t="s">
        <v>311</v>
      </c>
      <c r="D285" s="7"/>
      <c r="E285" s="7"/>
      <c r="F285" s="8" t="s">
        <v>8</v>
      </c>
      <c r="G285" s="8">
        <f t="shared" si="11"/>
        <v>0</v>
      </c>
      <c r="H285" s="8">
        <f t="shared" si="11"/>
        <v>0</v>
      </c>
      <c r="I285" s="8">
        <f t="shared" si="11"/>
        <v>0</v>
      </c>
      <c r="J285" s="8">
        <f t="shared" si="11"/>
        <v>0</v>
      </c>
      <c r="K285" s="8">
        <f t="shared" si="11"/>
        <v>1</v>
      </c>
      <c r="L285" s="7"/>
    </row>
    <row r="286" spans="1:12" ht="76.5" outlineLevel="1" x14ac:dyDescent="0.25">
      <c r="A286" s="22">
        <f t="shared" si="12"/>
        <v>2.0257000000000542</v>
      </c>
      <c r="B286" s="27"/>
      <c r="C286" s="24" t="s">
        <v>312</v>
      </c>
      <c r="D286" s="7"/>
      <c r="E286" s="7"/>
      <c r="F286" s="8" t="s">
        <v>8</v>
      </c>
      <c r="G286" s="8">
        <f t="shared" si="11"/>
        <v>0</v>
      </c>
      <c r="H286" s="8">
        <f t="shared" si="11"/>
        <v>0</v>
      </c>
      <c r="I286" s="8">
        <f t="shared" si="11"/>
        <v>0</v>
      </c>
      <c r="J286" s="8">
        <f t="shared" si="11"/>
        <v>0</v>
      </c>
      <c r="K286" s="8">
        <f t="shared" si="11"/>
        <v>1</v>
      </c>
      <c r="L286" s="7"/>
    </row>
    <row r="287" spans="1:12" outlineLevel="1" x14ac:dyDescent="0.25">
      <c r="A287" s="22">
        <f t="shared" si="12"/>
        <v>2.0258000000000544</v>
      </c>
      <c r="B287" s="26" t="s">
        <v>313</v>
      </c>
      <c r="C287" s="24" t="s">
        <v>314</v>
      </c>
      <c r="D287" s="7"/>
      <c r="E287" s="7"/>
      <c r="F287" s="8" t="s">
        <v>8</v>
      </c>
      <c r="G287" s="8">
        <f t="shared" si="11"/>
        <v>0</v>
      </c>
      <c r="H287" s="8">
        <f t="shared" si="11"/>
        <v>0</v>
      </c>
      <c r="I287" s="8">
        <f t="shared" si="11"/>
        <v>0</v>
      </c>
      <c r="J287" s="8">
        <f t="shared" si="11"/>
        <v>0</v>
      </c>
      <c r="K287" s="8">
        <f t="shared" si="11"/>
        <v>1</v>
      </c>
      <c r="L287" s="7"/>
    </row>
    <row r="288" spans="1:12" outlineLevel="1" x14ac:dyDescent="0.25">
      <c r="A288" s="22">
        <f t="shared" si="12"/>
        <v>2.0259000000000547</v>
      </c>
      <c r="B288" s="27"/>
      <c r="C288" s="24" t="s">
        <v>315</v>
      </c>
      <c r="D288" s="7"/>
      <c r="E288" s="7"/>
      <c r="F288" s="8" t="s">
        <v>8</v>
      </c>
      <c r="G288" s="8">
        <f t="shared" si="11"/>
        <v>0</v>
      </c>
      <c r="H288" s="8">
        <f t="shared" si="11"/>
        <v>0</v>
      </c>
      <c r="I288" s="8">
        <f t="shared" si="11"/>
        <v>0</v>
      </c>
      <c r="J288" s="8">
        <f t="shared" si="11"/>
        <v>0</v>
      </c>
      <c r="K288" s="8">
        <f t="shared" si="11"/>
        <v>1</v>
      </c>
      <c r="L288" s="7"/>
    </row>
    <row r="289" spans="1:12" outlineLevel="1" x14ac:dyDescent="0.25">
      <c r="A289" s="22">
        <f t="shared" si="12"/>
        <v>2.0260000000000549</v>
      </c>
      <c r="B289" s="27"/>
      <c r="C289" s="24" t="s">
        <v>316</v>
      </c>
      <c r="D289" s="7"/>
      <c r="E289" s="7"/>
      <c r="F289" s="8" t="s">
        <v>8</v>
      </c>
      <c r="G289" s="8">
        <f t="shared" si="11"/>
        <v>0</v>
      </c>
      <c r="H289" s="8">
        <f t="shared" si="11"/>
        <v>0</v>
      </c>
      <c r="I289" s="8">
        <f t="shared" si="11"/>
        <v>0</v>
      </c>
      <c r="J289" s="8">
        <f t="shared" si="11"/>
        <v>0</v>
      </c>
      <c r="K289" s="8">
        <f t="shared" si="11"/>
        <v>1</v>
      </c>
      <c r="L289" s="7"/>
    </row>
    <row r="290" spans="1:12" ht="25.5" outlineLevel="1" x14ac:dyDescent="0.25">
      <c r="A290" s="22">
        <f t="shared" si="12"/>
        <v>2.0261000000000551</v>
      </c>
      <c r="B290" s="27"/>
      <c r="C290" s="24" t="s">
        <v>317</v>
      </c>
      <c r="D290" s="7"/>
      <c r="E290" s="7"/>
      <c r="F290" s="8" t="s">
        <v>8</v>
      </c>
      <c r="G290" s="8">
        <f t="shared" si="11"/>
        <v>0</v>
      </c>
      <c r="H290" s="8">
        <f t="shared" si="11"/>
        <v>0</v>
      </c>
      <c r="I290" s="8">
        <f t="shared" si="11"/>
        <v>0</v>
      </c>
      <c r="J290" s="8">
        <f t="shared" si="11"/>
        <v>0</v>
      </c>
      <c r="K290" s="8">
        <f t="shared" si="11"/>
        <v>1</v>
      </c>
      <c r="L290" s="7"/>
    </row>
    <row r="291" spans="1:12" ht="25.5" outlineLevel="1" x14ac:dyDescent="0.25">
      <c r="A291" s="22">
        <f t="shared" si="12"/>
        <v>2.0262000000000553</v>
      </c>
      <c r="B291" s="26" t="s">
        <v>318</v>
      </c>
      <c r="C291" s="24" t="s">
        <v>31</v>
      </c>
      <c r="D291" s="7"/>
      <c r="E291" s="7"/>
      <c r="F291" s="8" t="s">
        <v>8</v>
      </c>
      <c r="G291" s="8">
        <f t="shared" si="11"/>
        <v>0</v>
      </c>
      <c r="H291" s="8">
        <f t="shared" si="11"/>
        <v>0</v>
      </c>
      <c r="I291" s="8">
        <f t="shared" si="11"/>
        <v>0</v>
      </c>
      <c r="J291" s="8">
        <f t="shared" si="11"/>
        <v>0</v>
      </c>
      <c r="K291" s="8">
        <f t="shared" si="11"/>
        <v>1</v>
      </c>
      <c r="L291" s="7"/>
    </row>
    <row r="292" spans="1:12" outlineLevel="1" x14ac:dyDescent="0.25">
      <c r="A292" s="22">
        <f t="shared" si="12"/>
        <v>2.0263000000000555</v>
      </c>
      <c r="B292" s="27"/>
      <c r="C292" s="24" t="s">
        <v>319</v>
      </c>
      <c r="D292" s="7"/>
      <c r="E292" s="7"/>
      <c r="F292" s="8" t="s">
        <v>8</v>
      </c>
      <c r="G292" s="8">
        <f t="shared" si="11"/>
        <v>0</v>
      </c>
      <c r="H292" s="8">
        <f t="shared" si="11"/>
        <v>0</v>
      </c>
      <c r="I292" s="8">
        <f t="shared" si="11"/>
        <v>0</v>
      </c>
      <c r="J292" s="8">
        <f t="shared" si="11"/>
        <v>0</v>
      </c>
      <c r="K292" s="8">
        <f t="shared" si="11"/>
        <v>1</v>
      </c>
      <c r="L292" s="7"/>
    </row>
    <row r="293" spans="1:12" outlineLevel="1" x14ac:dyDescent="0.25">
      <c r="A293" s="22">
        <f t="shared" si="12"/>
        <v>2.0264000000000557</v>
      </c>
      <c r="B293" s="26" t="s">
        <v>320</v>
      </c>
      <c r="C293" s="24" t="s">
        <v>31</v>
      </c>
      <c r="D293" s="7"/>
      <c r="E293" s="7"/>
      <c r="F293" s="8" t="s">
        <v>8</v>
      </c>
      <c r="G293" s="8">
        <f t="shared" si="11"/>
        <v>0</v>
      </c>
      <c r="H293" s="8">
        <f t="shared" si="11"/>
        <v>0</v>
      </c>
      <c r="I293" s="8">
        <f t="shared" si="11"/>
        <v>0</v>
      </c>
      <c r="J293" s="8">
        <f t="shared" si="11"/>
        <v>0</v>
      </c>
      <c r="K293" s="8">
        <f t="shared" si="11"/>
        <v>1</v>
      </c>
      <c r="L293" s="7"/>
    </row>
    <row r="294" spans="1:12" outlineLevel="1" x14ac:dyDescent="0.25">
      <c r="A294" s="22">
        <f t="shared" si="12"/>
        <v>2.0265000000000559</v>
      </c>
      <c r="B294" s="27"/>
      <c r="C294" s="24" t="s">
        <v>321</v>
      </c>
      <c r="D294" s="7"/>
      <c r="E294" s="7"/>
      <c r="F294" s="8" t="s">
        <v>8</v>
      </c>
      <c r="G294" s="8">
        <f t="shared" si="11"/>
        <v>0</v>
      </c>
      <c r="H294" s="8">
        <f t="shared" si="11"/>
        <v>0</v>
      </c>
      <c r="I294" s="8">
        <f t="shared" si="11"/>
        <v>0</v>
      </c>
      <c r="J294" s="8">
        <f t="shared" si="11"/>
        <v>0</v>
      </c>
      <c r="K294" s="8">
        <f t="shared" si="11"/>
        <v>1</v>
      </c>
      <c r="L294" s="7"/>
    </row>
    <row r="295" spans="1:12" ht="25.5" outlineLevel="1" x14ac:dyDescent="0.25">
      <c r="A295" s="22">
        <f t="shared" si="12"/>
        <v>2.0266000000000561</v>
      </c>
      <c r="B295" s="26" t="s">
        <v>322</v>
      </c>
      <c r="C295" s="24" t="s">
        <v>31</v>
      </c>
      <c r="D295" s="7"/>
      <c r="E295" s="7"/>
      <c r="F295" s="8" t="s">
        <v>8</v>
      </c>
      <c r="G295" s="8">
        <f t="shared" si="11"/>
        <v>0</v>
      </c>
      <c r="H295" s="8">
        <f t="shared" si="11"/>
        <v>0</v>
      </c>
      <c r="I295" s="8">
        <f t="shared" si="11"/>
        <v>0</v>
      </c>
      <c r="J295" s="8">
        <f t="shared" si="11"/>
        <v>0</v>
      </c>
      <c r="K295" s="8">
        <f t="shared" si="11"/>
        <v>1</v>
      </c>
      <c r="L295" s="7"/>
    </row>
    <row r="296" spans="1:12" outlineLevel="1" x14ac:dyDescent="0.25">
      <c r="A296" s="22">
        <f t="shared" si="12"/>
        <v>2.0267000000000563</v>
      </c>
      <c r="B296" s="27"/>
      <c r="C296" s="24" t="s">
        <v>323</v>
      </c>
      <c r="D296" s="7"/>
      <c r="E296" s="7"/>
      <c r="F296" s="8" t="s">
        <v>8</v>
      </c>
      <c r="G296" s="8">
        <f t="shared" si="11"/>
        <v>0</v>
      </c>
      <c r="H296" s="8">
        <f t="shared" si="11"/>
        <v>0</v>
      </c>
      <c r="I296" s="8">
        <f t="shared" si="11"/>
        <v>0</v>
      </c>
      <c r="J296" s="8">
        <f t="shared" si="11"/>
        <v>0</v>
      </c>
      <c r="K296" s="8">
        <f t="shared" si="11"/>
        <v>1</v>
      </c>
      <c r="L296" s="7"/>
    </row>
    <row r="297" spans="1:12" ht="25.5" outlineLevel="1" x14ac:dyDescent="0.25">
      <c r="A297" s="22">
        <f t="shared" si="12"/>
        <v>2.0268000000000566</v>
      </c>
      <c r="B297" s="26" t="s">
        <v>324</v>
      </c>
      <c r="C297" s="24" t="s">
        <v>31</v>
      </c>
      <c r="D297" s="7"/>
      <c r="E297" s="7"/>
      <c r="F297" s="8" t="s">
        <v>8</v>
      </c>
      <c r="G297" s="8">
        <f t="shared" ref="G297:K347" si="13">IF($F297=G$1,1,0)</f>
        <v>0</v>
      </c>
      <c r="H297" s="8">
        <f t="shared" si="13"/>
        <v>0</v>
      </c>
      <c r="I297" s="8">
        <f t="shared" si="13"/>
        <v>0</v>
      </c>
      <c r="J297" s="8">
        <f t="shared" si="13"/>
        <v>0</v>
      </c>
      <c r="K297" s="8">
        <f t="shared" si="13"/>
        <v>1</v>
      </c>
      <c r="L297" s="7"/>
    </row>
    <row r="298" spans="1:12" outlineLevel="1" x14ac:dyDescent="0.25">
      <c r="A298" s="22">
        <f t="shared" si="12"/>
        <v>2.0269000000000568</v>
      </c>
      <c r="B298" s="27"/>
      <c r="C298" s="24" t="s">
        <v>325</v>
      </c>
      <c r="D298" s="7"/>
      <c r="E298" s="7"/>
      <c r="F298" s="8" t="s">
        <v>8</v>
      </c>
      <c r="G298" s="8">
        <f t="shared" si="13"/>
        <v>0</v>
      </c>
      <c r="H298" s="8">
        <f t="shared" si="13"/>
        <v>0</v>
      </c>
      <c r="I298" s="8">
        <f t="shared" si="13"/>
        <v>0</v>
      </c>
      <c r="J298" s="8">
        <f t="shared" si="13"/>
        <v>0</v>
      </c>
      <c r="K298" s="8">
        <f t="shared" si="13"/>
        <v>1</v>
      </c>
      <c r="L298" s="7"/>
    </row>
    <row r="299" spans="1:12" outlineLevel="1" x14ac:dyDescent="0.25">
      <c r="A299" s="22">
        <f t="shared" si="12"/>
        <v>2.027000000000057</v>
      </c>
      <c r="B299" s="26" t="s">
        <v>20</v>
      </c>
      <c r="C299" s="24" t="s">
        <v>326</v>
      </c>
      <c r="D299" s="165" t="s">
        <v>1180</v>
      </c>
      <c r="E299" s="7"/>
      <c r="F299" s="8" t="s">
        <v>8</v>
      </c>
      <c r="G299" s="8">
        <f t="shared" si="13"/>
        <v>0</v>
      </c>
      <c r="H299" s="8">
        <f t="shared" si="13"/>
        <v>0</v>
      </c>
      <c r="I299" s="8">
        <f t="shared" si="13"/>
        <v>0</v>
      </c>
      <c r="J299" s="8">
        <f t="shared" si="13"/>
        <v>0</v>
      </c>
      <c r="K299" s="8">
        <f t="shared" si="13"/>
        <v>1</v>
      </c>
      <c r="L299" s="7"/>
    </row>
    <row r="300" spans="1:12" outlineLevel="1" x14ac:dyDescent="0.25">
      <c r="A300" s="22">
        <f t="shared" si="12"/>
        <v>2.0271000000000572</v>
      </c>
      <c r="B300" s="31" t="s">
        <v>22</v>
      </c>
      <c r="C300" s="24"/>
      <c r="D300" s="166"/>
      <c r="E300" s="7"/>
      <c r="F300" s="8" t="s">
        <v>8</v>
      </c>
      <c r="G300" s="8">
        <f t="shared" si="13"/>
        <v>0</v>
      </c>
      <c r="H300" s="8">
        <f t="shared" si="13"/>
        <v>0</v>
      </c>
      <c r="I300" s="8">
        <f t="shared" si="13"/>
        <v>0</v>
      </c>
      <c r="J300" s="8">
        <f t="shared" si="13"/>
        <v>0</v>
      </c>
      <c r="K300" s="8">
        <f t="shared" si="13"/>
        <v>1</v>
      </c>
      <c r="L300" s="7"/>
    </row>
    <row r="301" spans="1:12" outlineLevel="1" x14ac:dyDescent="0.25">
      <c r="A301" s="22">
        <f t="shared" si="12"/>
        <v>2.0272000000000574</v>
      </c>
      <c r="B301" s="31" t="s">
        <v>28</v>
      </c>
      <c r="C301" s="24"/>
      <c r="D301" s="166"/>
      <c r="E301" s="7"/>
      <c r="F301" s="8" t="s">
        <v>8</v>
      </c>
      <c r="G301" s="8">
        <f t="shared" si="13"/>
        <v>0</v>
      </c>
      <c r="H301" s="8">
        <f t="shared" si="13"/>
        <v>0</v>
      </c>
      <c r="I301" s="8">
        <f t="shared" si="13"/>
        <v>0</v>
      </c>
      <c r="J301" s="8">
        <f t="shared" si="13"/>
        <v>0</v>
      </c>
      <c r="K301" s="8">
        <f t="shared" si="13"/>
        <v>1</v>
      </c>
      <c r="L301" s="7"/>
    </row>
    <row r="302" spans="1:12" outlineLevel="1" x14ac:dyDescent="0.25">
      <c r="A302" s="22">
        <f t="shared" si="12"/>
        <v>2.0273000000000576</v>
      </c>
      <c r="B302" s="31" t="s">
        <v>24</v>
      </c>
      <c r="C302" s="24"/>
      <c r="D302" s="167"/>
      <c r="E302" s="7"/>
      <c r="F302" s="8" t="s">
        <v>8</v>
      </c>
      <c r="G302" s="8">
        <f t="shared" si="13"/>
        <v>0</v>
      </c>
      <c r="H302" s="8">
        <f t="shared" si="13"/>
        <v>0</v>
      </c>
      <c r="I302" s="8">
        <f t="shared" si="13"/>
        <v>0</v>
      </c>
      <c r="J302" s="8">
        <f t="shared" si="13"/>
        <v>0</v>
      </c>
      <c r="K302" s="8">
        <f t="shared" si="13"/>
        <v>1</v>
      </c>
      <c r="L302" s="7"/>
    </row>
    <row r="303" spans="1:12" outlineLevel="1" x14ac:dyDescent="0.25">
      <c r="A303" s="22">
        <f t="shared" si="12"/>
        <v>2.0274000000000578</v>
      </c>
      <c r="B303" s="26" t="s">
        <v>327</v>
      </c>
      <c r="C303" s="24" t="s">
        <v>328</v>
      </c>
      <c r="D303" s="7"/>
      <c r="E303" s="7"/>
      <c r="F303" s="8" t="s">
        <v>8</v>
      </c>
      <c r="G303" s="8">
        <f t="shared" si="13"/>
        <v>0</v>
      </c>
      <c r="H303" s="8">
        <f t="shared" si="13"/>
        <v>0</v>
      </c>
      <c r="I303" s="8">
        <f t="shared" si="13"/>
        <v>0</v>
      </c>
      <c r="J303" s="8">
        <f t="shared" si="13"/>
        <v>0</v>
      </c>
      <c r="K303" s="8">
        <f t="shared" si="13"/>
        <v>1</v>
      </c>
      <c r="L303" s="7"/>
    </row>
    <row r="304" spans="1:12" ht="25.5" outlineLevel="1" x14ac:dyDescent="0.25">
      <c r="A304" s="22">
        <f t="shared" si="12"/>
        <v>2.027500000000058</v>
      </c>
      <c r="B304" s="27"/>
      <c r="C304" s="24" t="s">
        <v>329</v>
      </c>
      <c r="D304" s="7"/>
      <c r="E304" s="7"/>
      <c r="F304" s="8" t="s">
        <v>8</v>
      </c>
      <c r="G304" s="8">
        <f t="shared" si="13"/>
        <v>0</v>
      </c>
      <c r="H304" s="8">
        <f t="shared" si="13"/>
        <v>0</v>
      </c>
      <c r="I304" s="8">
        <f t="shared" si="13"/>
        <v>0</v>
      </c>
      <c r="J304" s="8">
        <f t="shared" si="13"/>
        <v>0</v>
      </c>
      <c r="K304" s="8">
        <f t="shared" si="13"/>
        <v>1</v>
      </c>
      <c r="L304" s="7"/>
    </row>
    <row r="305" spans="1:12" outlineLevel="1" x14ac:dyDescent="0.25">
      <c r="A305" s="22">
        <f t="shared" si="12"/>
        <v>2.0276000000000582</v>
      </c>
      <c r="B305" s="27"/>
      <c r="C305" s="24" t="s">
        <v>330</v>
      </c>
      <c r="D305" s="7"/>
      <c r="E305" s="7"/>
      <c r="F305" s="8" t="s">
        <v>8</v>
      </c>
      <c r="G305" s="8">
        <f t="shared" si="13"/>
        <v>0</v>
      </c>
      <c r="H305" s="8">
        <f t="shared" si="13"/>
        <v>0</v>
      </c>
      <c r="I305" s="8">
        <f t="shared" si="13"/>
        <v>0</v>
      </c>
      <c r="J305" s="8">
        <f t="shared" si="13"/>
        <v>0</v>
      </c>
      <c r="K305" s="8">
        <f t="shared" si="13"/>
        <v>1</v>
      </c>
      <c r="L305" s="7"/>
    </row>
    <row r="306" spans="1:12" outlineLevel="1" x14ac:dyDescent="0.25">
      <c r="A306" s="22">
        <f t="shared" si="12"/>
        <v>2.0277000000000585</v>
      </c>
      <c r="B306" s="27"/>
      <c r="C306" s="24" t="s">
        <v>331</v>
      </c>
      <c r="D306" s="7"/>
      <c r="E306" s="7"/>
      <c r="F306" s="8" t="s">
        <v>8</v>
      </c>
      <c r="G306" s="8">
        <f t="shared" si="13"/>
        <v>0</v>
      </c>
      <c r="H306" s="8">
        <f t="shared" si="13"/>
        <v>0</v>
      </c>
      <c r="I306" s="8">
        <f t="shared" si="13"/>
        <v>0</v>
      </c>
      <c r="J306" s="8">
        <f t="shared" si="13"/>
        <v>0</v>
      </c>
      <c r="K306" s="8">
        <f t="shared" si="13"/>
        <v>1</v>
      </c>
      <c r="L306" s="7"/>
    </row>
    <row r="307" spans="1:12" outlineLevel="1" x14ac:dyDescent="0.25">
      <c r="A307" s="22">
        <f t="shared" si="12"/>
        <v>2.0278000000000587</v>
      </c>
      <c r="B307" s="27"/>
      <c r="C307" s="24" t="s">
        <v>332</v>
      </c>
      <c r="D307" s="7"/>
      <c r="E307" s="7"/>
      <c r="F307" s="8" t="s">
        <v>8</v>
      </c>
      <c r="G307" s="8">
        <f t="shared" si="13"/>
        <v>0</v>
      </c>
      <c r="H307" s="8">
        <f t="shared" si="13"/>
        <v>0</v>
      </c>
      <c r="I307" s="8">
        <f t="shared" si="13"/>
        <v>0</v>
      </c>
      <c r="J307" s="8">
        <f t="shared" si="13"/>
        <v>0</v>
      </c>
      <c r="K307" s="8">
        <f t="shared" si="13"/>
        <v>1</v>
      </c>
      <c r="L307" s="7"/>
    </row>
    <row r="308" spans="1:12" outlineLevel="1" x14ac:dyDescent="0.25">
      <c r="A308" s="22">
        <f t="shared" si="12"/>
        <v>2.0279000000000589</v>
      </c>
      <c r="B308" s="27"/>
      <c r="C308" s="24" t="s">
        <v>333</v>
      </c>
      <c r="D308" s="7"/>
      <c r="E308" s="7"/>
      <c r="F308" s="8" t="s">
        <v>8</v>
      </c>
      <c r="G308" s="8">
        <f t="shared" si="13"/>
        <v>0</v>
      </c>
      <c r="H308" s="8">
        <f t="shared" si="13"/>
        <v>0</v>
      </c>
      <c r="I308" s="8">
        <f t="shared" si="13"/>
        <v>0</v>
      </c>
      <c r="J308" s="8">
        <f t="shared" si="13"/>
        <v>0</v>
      </c>
      <c r="K308" s="8">
        <f t="shared" si="13"/>
        <v>1</v>
      </c>
      <c r="L308" s="7"/>
    </row>
    <row r="309" spans="1:12" outlineLevel="1" x14ac:dyDescent="0.25">
      <c r="A309" s="22">
        <f t="shared" si="12"/>
        <v>2.0280000000000591</v>
      </c>
      <c r="B309" s="27"/>
      <c r="C309" s="24" t="s">
        <v>334</v>
      </c>
      <c r="D309" s="7"/>
      <c r="E309" s="7"/>
      <c r="F309" s="8" t="s">
        <v>8</v>
      </c>
      <c r="G309" s="8">
        <f t="shared" si="13"/>
        <v>0</v>
      </c>
      <c r="H309" s="8">
        <f t="shared" si="13"/>
        <v>0</v>
      </c>
      <c r="I309" s="8">
        <f t="shared" si="13"/>
        <v>0</v>
      </c>
      <c r="J309" s="8">
        <f t="shared" si="13"/>
        <v>0</v>
      </c>
      <c r="K309" s="8">
        <f t="shared" si="13"/>
        <v>1</v>
      </c>
      <c r="L309" s="7"/>
    </row>
    <row r="310" spans="1:12" outlineLevel="1" x14ac:dyDescent="0.25">
      <c r="A310" s="22">
        <f t="shared" si="12"/>
        <v>2.0281000000000593</v>
      </c>
      <c r="B310" s="26" t="s">
        <v>187</v>
      </c>
      <c r="C310" s="24" t="s">
        <v>328</v>
      </c>
      <c r="D310" s="7"/>
      <c r="E310" s="7"/>
      <c r="F310" s="8" t="s">
        <v>8</v>
      </c>
      <c r="G310" s="8">
        <f t="shared" si="13"/>
        <v>0</v>
      </c>
      <c r="H310" s="8">
        <f t="shared" si="13"/>
        <v>0</v>
      </c>
      <c r="I310" s="8">
        <f t="shared" si="13"/>
        <v>0</v>
      </c>
      <c r="J310" s="8">
        <f t="shared" si="13"/>
        <v>0</v>
      </c>
      <c r="K310" s="8">
        <f t="shared" si="13"/>
        <v>1</v>
      </c>
      <c r="L310" s="7"/>
    </row>
    <row r="311" spans="1:12" ht="38.25" outlineLevel="1" x14ac:dyDescent="0.25">
      <c r="A311" s="22">
        <f t="shared" si="12"/>
        <v>2.0282000000000595</v>
      </c>
      <c r="B311" s="27"/>
      <c r="C311" s="24" t="s">
        <v>335</v>
      </c>
      <c r="D311" s="7"/>
      <c r="E311" s="7"/>
      <c r="F311" s="8" t="s">
        <v>8</v>
      </c>
      <c r="G311" s="8">
        <f t="shared" si="13"/>
        <v>0</v>
      </c>
      <c r="H311" s="8">
        <f t="shared" si="13"/>
        <v>0</v>
      </c>
      <c r="I311" s="8">
        <f t="shared" si="13"/>
        <v>0</v>
      </c>
      <c r="J311" s="8">
        <f t="shared" si="13"/>
        <v>0</v>
      </c>
      <c r="K311" s="8">
        <f t="shared" si="13"/>
        <v>1</v>
      </c>
      <c r="L311" s="7"/>
    </row>
    <row r="312" spans="1:12" ht="25.5" outlineLevel="1" x14ac:dyDescent="0.25">
      <c r="A312" s="22">
        <f t="shared" si="12"/>
        <v>2.0283000000000597</v>
      </c>
      <c r="B312" s="27"/>
      <c r="C312" s="24" t="s">
        <v>336</v>
      </c>
      <c r="D312" s="7"/>
      <c r="E312" s="7"/>
      <c r="F312" s="8" t="s">
        <v>8</v>
      </c>
      <c r="G312" s="8">
        <f t="shared" si="13"/>
        <v>0</v>
      </c>
      <c r="H312" s="8">
        <f t="shared" si="13"/>
        <v>0</v>
      </c>
      <c r="I312" s="8">
        <f t="shared" si="13"/>
        <v>0</v>
      </c>
      <c r="J312" s="8">
        <f t="shared" si="13"/>
        <v>0</v>
      </c>
      <c r="K312" s="8">
        <f t="shared" si="13"/>
        <v>1</v>
      </c>
      <c r="L312" s="7"/>
    </row>
    <row r="313" spans="1:12" ht="38.25" outlineLevel="1" x14ac:dyDescent="0.25">
      <c r="A313" s="22">
        <f t="shared" si="12"/>
        <v>2.0284000000000599</v>
      </c>
      <c r="B313" s="27"/>
      <c r="C313" s="24" t="s">
        <v>337</v>
      </c>
      <c r="D313" s="7"/>
      <c r="E313" s="7"/>
      <c r="F313" s="8" t="s">
        <v>8</v>
      </c>
      <c r="G313" s="8">
        <f t="shared" si="13"/>
        <v>0</v>
      </c>
      <c r="H313" s="8">
        <f t="shared" si="13"/>
        <v>0</v>
      </c>
      <c r="I313" s="8">
        <f t="shared" si="13"/>
        <v>0</v>
      </c>
      <c r="J313" s="8">
        <f t="shared" si="13"/>
        <v>0</v>
      </c>
      <c r="K313" s="8">
        <f t="shared" si="13"/>
        <v>1</v>
      </c>
      <c r="L313" s="7"/>
    </row>
    <row r="314" spans="1:12" outlineLevel="1" x14ac:dyDescent="0.25">
      <c r="A314" s="22">
        <f t="shared" si="12"/>
        <v>2.0285000000000601</v>
      </c>
      <c r="B314" s="26" t="s">
        <v>338</v>
      </c>
      <c r="C314" s="24" t="s">
        <v>249</v>
      </c>
      <c r="D314" s="7"/>
      <c r="E314" s="7"/>
      <c r="F314" s="8" t="s">
        <v>8</v>
      </c>
      <c r="G314" s="8">
        <f t="shared" si="13"/>
        <v>0</v>
      </c>
      <c r="H314" s="8">
        <f t="shared" si="13"/>
        <v>0</v>
      </c>
      <c r="I314" s="8">
        <f t="shared" si="13"/>
        <v>0</v>
      </c>
      <c r="J314" s="8">
        <f t="shared" si="13"/>
        <v>0</v>
      </c>
      <c r="K314" s="8">
        <f t="shared" si="13"/>
        <v>1</v>
      </c>
      <c r="L314" s="7"/>
    </row>
    <row r="315" spans="1:12" outlineLevel="1" x14ac:dyDescent="0.25">
      <c r="A315" s="22">
        <f t="shared" si="12"/>
        <v>2.0286000000000604</v>
      </c>
      <c r="B315" s="27"/>
      <c r="C315" s="24" t="s">
        <v>339</v>
      </c>
      <c r="D315" s="7"/>
      <c r="E315" s="7"/>
      <c r="F315" s="8" t="s">
        <v>8</v>
      </c>
      <c r="G315" s="8">
        <f t="shared" si="13"/>
        <v>0</v>
      </c>
      <c r="H315" s="8">
        <f t="shared" si="13"/>
        <v>0</v>
      </c>
      <c r="I315" s="8">
        <f t="shared" si="13"/>
        <v>0</v>
      </c>
      <c r="J315" s="8">
        <f t="shared" si="13"/>
        <v>0</v>
      </c>
      <c r="K315" s="8">
        <f t="shared" si="13"/>
        <v>1</v>
      </c>
      <c r="L315" s="7"/>
    </row>
    <row r="316" spans="1:12" outlineLevel="1" x14ac:dyDescent="0.25">
      <c r="A316" s="22">
        <f t="shared" si="12"/>
        <v>2.0287000000000606</v>
      </c>
      <c r="B316" s="27"/>
      <c r="C316" s="24" t="s">
        <v>340</v>
      </c>
      <c r="D316" s="7"/>
      <c r="E316" s="7"/>
      <c r="F316" s="8" t="s">
        <v>8</v>
      </c>
      <c r="G316" s="8">
        <f t="shared" si="13"/>
        <v>0</v>
      </c>
      <c r="H316" s="8">
        <f t="shared" si="13"/>
        <v>0</v>
      </c>
      <c r="I316" s="8">
        <f t="shared" si="13"/>
        <v>0</v>
      </c>
      <c r="J316" s="8">
        <f t="shared" si="13"/>
        <v>0</v>
      </c>
      <c r="K316" s="8">
        <f t="shared" si="13"/>
        <v>1</v>
      </c>
      <c r="L316" s="7"/>
    </row>
    <row r="317" spans="1:12" ht="25.5" outlineLevel="1" x14ac:dyDescent="0.25">
      <c r="A317" s="22">
        <f t="shared" si="12"/>
        <v>2.0288000000000608</v>
      </c>
      <c r="B317" s="26" t="s">
        <v>341</v>
      </c>
      <c r="C317" s="24" t="s">
        <v>31</v>
      </c>
      <c r="D317" s="7"/>
      <c r="E317" s="7"/>
      <c r="F317" s="8" t="s">
        <v>8</v>
      </c>
      <c r="G317" s="8">
        <f t="shared" si="13"/>
        <v>0</v>
      </c>
      <c r="H317" s="8">
        <f t="shared" si="13"/>
        <v>0</v>
      </c>
      <c r="I317" s="8">
        <f t="shared" si="13"/>
        <v>0</v>
      </c>
      <c r="J317" s="8">
        <f t="shared" si="13"/>
        <v>0</v>
      </c>
      <c r="K317" s="8">
        <f t="shared" si="13"/>
        <v>1</v>
      </c>
      <c r="L317" s="7"/>
    </row>
    <row r="318" spans="1:12" outlineLevel="1" x14ac:dyDescent="0.25">
      <c r="A318" s="22">
        <f t="shared" si="12"/>
        <v>2.028900000000061</v>
      </c>
      <c r="B318" s="27"/>
      <c r="C318" s="24" t="s">
        <v>342</v>
      </c>
      <c r="D318" s="7"/>
      <c r="E318" s="7"/>
      <c r="F318" s="8" t="s">
        <v>8</v>
      </c>
      <c r="G318" s="8">
        <f t="shared" si="13"/>
        <v>0</v>
      </c>
      <c r="H318" s="8">
        <f t="shared" si="13"/>
        <v>0</v>
      </c>
      <c r="I318" s="8">
        <f t="shared" si="13"/>
        <v>0</v>
      </c>
      <c r="J318" s="8">
        <f t="shared" si="13"/>
        <v>0</v>
      </c>
      <c r="K318" s="8">
        <f t="shared" si="13"/>
        <v>1</v>
      </c>
      <c r="L318" s="7"/>
    </row>
    <row r="319" spans="1:12" ht="25.5" outlineLevel="1" x14ac:dyDescent="0.25">
      <c r="A319" s="22">
        <f t="shared" si="12"/>
        <v>2.0290000000000612</v>
      </c>
      <c r="B319" s="26" t="s">
        <v>343</v>
      </c>
      <c r="C319" s="24" t="s">
        <v>344</v>
      </c>
      <c r="D319" s="7"/>
      <c r="E319" s="7"/>
      <c r="F319" s="8" t="s">
        <v>8</v>
      </c>
      <c r="G319" s="8">
        <f t="shared" si="13"/>
        <v>0</v>
      </c>
      <c r="H319" s="8">
        <f t="shared" si="13"/>
        <v>0</v>
      </c>
      <c r="I319" s="8">
        <f t="shared" si="13"/>
        <v>0</v>
      </c>
      <c r="J319" s="8">
        <f t="shared" si="13"/>
        <v>0</v>
      </c>
      <c r="K319" s="8">
        <f t="shared" si="13"/>
        <v>1</v>
      </c>
      <c r="L319" s="7"/>
    </row>
    <row r="320" spans="1:12" outlineLevel="1" x14ac:dyDescent="0.25">
      <c r="A320" s="22">
        <f t="shared" si="12"/>
        <v>2.0291000000000614</v>
      </c>
      <c r="B320" s="27"/>
      <c r="C320" s="24" t="s">
        <v>345</v>
      </c>
      <c r="D320" s="7"/>
      <c r="E320" s="7"/>
      <c r="F320" s="8" t="s">
        <v>8</v>
      </c>
      <c r="G320" s="8">
        <f t="shared" si="13"/>
        <v>0</v>
      </c>
      <c r="H320" s="8">
        <f t="shared" si="13"/>
        <v>0</v>
      </c>
      <c r="I320" s="8">
        <f t="shared" si="13"/>
        <v>0</v>
      </c>
      <c r="J320" s="8">
        <f t="shared" si="13"/>
        <v>0</v>
      </c>
      <c r="K320" s="8">
        <f t="shared" si="13"/>
        <v>1</v>
      </c>
      <c r="L320" s="7"/>
    </row>
    <row r="321" spans="1:12" outlineLevel="1" x14ac:dyDescent="0.25">
      <c r="A321" s="22">
        <f t="shared" si="12"/>
        <v>2.0292000000000616</v>
      </c>
      <c r="B321" s="26" t="s">
        <v>346</v>
      </c>
      <c r="C321" s="24" t="s">
        <v>249</v>
      </c>
      <c r="D321" s="7"/>
      <c r="E321" s="7"/>
      <c r="F321" s="8" t="s">
        <v>8</v>
      </c>
      <c r="G321" s="8">
        <f t="shared" si="13"/>
        <v>0</v>
      </c>
      <c r="H321" s="8">
        <f t="shared" si="13"/>
        <v>0</v>
      </c>
      <c r="I321" s="8">
        <f t="shared" si="13"/>
        <v>0</v>
      </c>
      <c r="J321" s="8">
        <f t="shared" si="13"/>
        <v>0</v>
      </c>
      <c r="K321" s="8">
        <f t="shared" si="13"/>
        <v>1</v>
      </c>
      <c r="L321" s="7"/>
    </row>
    <row r="322" spans="1:12" outlineLevel="1" x14ac:dyDescent="0.25">
      <c r="A322" s="22">
        <f t="shared" si="12"/>
        <v>2.0293000000000618</v>
      </c>
      <c r="B322" s="27"/>
      <c r="C322" s="24" t="s">
        <v>339</v>
      </c>
      <c r="D322" s="7"/>
      <c r="E322" s="7"/>
      <c r="F322" s="8" t="s">
        <v>8</v>
      </c>
      <c r="G322" s="8">
        <f t="shared" si="13"/>
        <v>0</v>
      </c>
      <c r="H322" s="8">
        <f t="shared" si="13"/>
        <v>0</v>
      </c>
      <c r="I322" s="8">
        <f t="shared" si="13"/>
        <v>0</v>
      </c>
      <c r="J322" s="8">
        <f t="shared" si="13"/>
        <v>0</v>
      </c>
      <c r="K322" s="8">
        <f t="shared" si="13"/>
        <v>1</v>
      </c>
      <c r="L322" s="7"/>
    </row>
    <row r="323" spans="1:12" outlineLevel="1" x14ac:dyDescent="0.25">
      <c r="A323" s="22">
        <f t="shared" si="12"/>
        <v>2.029400000000062</v>
      </c>
      <c r="B323" s="27"/>
      <c r="C323" s="24" t="s">
        <v>209</v>
      </c>
      <c r="D323" s="7"/>
      <c r="E323" s="7"/>
      <c r="F323" s="8" t="s">
        <v>8</v>
      </c>
      <c r="G323" s="8">
        <f t="shared" si="13"/>
        <v>0</v>
      </c>
      <c r="H323" s="8">
        <f t="shared" si="13"/>
        <v>0</v>
      </c>
      <c r="I323" s="8">
        <f t="shared" si="13"/>
        <v>0</v>
      </c>
      <c r="J323" s="8">
        <f t="shared" si="13"/>
        <v>0</v>
      </c>
      <c r="K323" s="8">
        <f t="shared" si="13"/>
        <v>1</v>
      </c>
      <c r="L323" s="7"/>
    </row>
    <row r="324" spans="1:12" outlineLevel="1" x14ac:dyDescent="0.25">
      <c r="A324" s="22">
        <f t="shared" si="12"/>
        <v>2.0295000000000623</v>
      </c>
      <c r="B324" s="27"/>
      <c r="C324" s="24" t="s">
        <v>347</v>
      </c>
      <c r="D324" s="7"/>
      <c r="E324" s="7"/>
      <c r="F324" s="8" t="s">
        <v>8</v>
      </c>
      <c r="G324" s="8">
        <f t="shared" si="13"/>
        <v>0</v>
      </c>
      <c r="H324" s="8">
        <f t="shared" si="13"/>
        <v>0</v>
      </c>
      <c r="I324" s="8">
        <f t="shared" si="13"/>
        <v>0</v>
      </c>
      <c r="J324" s="8">
        <f t="shared" si="13"/>
        <v>0</v>
      </c>
      <c r="K324" s="8">
        <f t="shared" si="13"/>
        <v>1</v>
      </c>
      <c r="L324" s="7"/>
    </row>
    <row r="325" spans="1:12" outlineLevel="1" x14ac:dyDescent="0.25">
      <c r="A325" s="22">
        <f t="shared" si="12"/>
        <v>2.0296000000000625</v>
      </c>
      <c r="B325" s="27"/>
      <c r="C325" s="24" t="s">
        <v>348</v>
      </c>
      <c r="D325" s="7"/>
      <c r="E325" s="7"/>
      <c r="F325" s="8" t="s">
        <v>8</v>
      </c>
      <c r="G325" s="8">
        <f t="shared" si="13"/>
        <v>0</v>
      </c>
      <c r="H325" s="8">
        <f t="shared" si="13"/>
        <v>0</v>
      </c>
      <c r="I325" s="8">
        <f t="shared" si="13"/>
        <v>0</v>
      </c>
      <c r="J325" s="8">
        <f t="shared" si="13"/>
        <v>0</v>
      </c>
      <c r="K325" s="8">
        <f t="shared" si="13"/>
        <v>1</v>
      </c>
      <c r="L325" s="7"/>
    </row>
    <row r="326" spans="1:12" ht="25.5" outlineLevel="1" x14ac:dyDescent="0.25">
      <c r="A326" s="22">
        <f t="shared" si="12"/>
        <v>2.0297000000000627</v>
      </c>
      <c r="B326" s="27"/>
      <c r="C326" s="24" t="s">
        <v>349</v>
      </c>
      <c r="D326" s="7"/>
      <c r="E326" s="7"/>
      <c r="F326" s="8" t="s">
        <v>8</v>
      </c>
      <c r="G326" s="8">
        <f t="shared" si="13"/>
        <v>0</v>
      </c>
      <c r="H326" s="8">
        <f t="shared" si="13"/>
        <v>0</v>
      </c>
      <c r="I326" s="8">
        <f t="shared" si="13"/>
        <v>0</v>
      </c>
      <c r="J326" s="8">
        <f t="shared" si="13"/>
        <v>0</v>
      </c>
      <c r="K326" s="8">
        <f t="shared" si="13"/>
        <v>1</v>
      </c>
      <c r="L326" s="7"/>
    </row>
    <row r="327" spans="1:12" outlineLevel="1" x14ac:dyDescent="0.25">
      <c r="A327" s="22">
        <f t="shared" si="12"/>
        <v>2.0298000000000629</v>
      </c>
      <c r="B327" s="27"/>
      <c r="C327" s="24" t="s">
        <v>350</v>
      </c>
      <c r="D327" s="7"/>
      <c r="E327" s="7"/>
      <c r="F327" s="8" t="s">
        <v>8</v>
      </c>
      <c r="G327" s="8">
        <f t="shared" si="13"/>
        <v>0</v>
      </c>
      <c r="H327" s="8">
        <f t="shared" si="13"/>
        <v>0</v>
      </c>
      <c r="I327" s="8">
        <f t="shared" si="13"/>
        <v>0</v>
      </c>
      <c r="J327" s="8">
        <f t="shared" si="13"/>
        <v>0</v>
      </c>
      <c r="K327" s="8">
        <f t="shared" si="13"/>
        <v>1</v>
      </c>
      <c r="L327" s="7"/>
    </row>
    <row r="328" spans="1:12" outlineLevel="1" x14ac:dyDescent="0.25">
      <c r="A328" s="22">
        <f t="shared" si="12"/>
        <v>2.0299000000000631</v>
      </c>
      <c r="B328" s="26" t="s">
        <v>351</v>
      </c>
      <c r="C328" s="24" t="s">
        <v>31</v>
      </c>
      <c r="D328" s="7"/>
      <c r="E328" s="7"/>
      <c r="F328" s="8" t="s">
        <v>8</v>
      </c>
      <c r="G328" s="8">
        <f t="shared" si="13"/>
        <v>0</v>
      </c>
      <c r="H328" s="8">
        <f t="shared" si="13"/>
        <v>0</v>
      </c>
      <c r="I328" s="8">
        <f t="shared" si="13"/>
        <v>0</v>
      </c>
      <c r="J328" s="8">
        <f t="shared" si="13"/>
        <v>0</v>
      </c>
      <c r="K328" s="8">
        <f t="shared" si="13"/>
        <v>1</v>
      </c>
      <c r="L328" s="7"/>
    </row>
    <row r="329" spans="1:12" outlineLevel="1" x14ac:dyDescent="0.25">
      <c r="A329" s="22">
        <f t="shared" si="12"/>
        <v>2.0300000000000633</v>
      </c>
      <c r="B329" s="27"/>
      <c r="C329" s="24" t="s">
        <v>352</v>
      </c>
      <c r="D329" s="7"/>
      <c r="E329" s="7"/>
      <c r="F329" s="8" t="s">
        <v>8</v>
      </c>
      <c r="G329" s="8">
        <f t="shared" si="13"/>
        <v>0</v>
      </c>
      <c r="H329" s="8">
        <f t="shared" si="13"/>
        <v>0</v>
      </c>
      <c r="I329" s="8">
        <f t="shared" si="13"/>
        <v>0</v>
      </c>
      <c r="J329" s="8">
        <f t="shared" si="13"/>
        <v>0</v>
      </c>
      <c r="K329" s="8">
        <f t="shared" si="13"/>
        <v>1</v>
      </c>
      <c r="L329" s="7"/>
    </row>
    <row r="330" spans="1:12" outlineLevel="1" x14ac:dyDescent="0.25">
      <c r="A330" s="22">
        <f t="shared" si="12"/>
        <v>2.0301000000000635</v>
      </c>
      <c r="B330" s="26" t="s">
        <v>353</v>
      </c>
      <c r="C330" s="24" t="s">
        <v>31</v>
      </c>
      <c r="D330" s="7"/>
      <c r="E330" s="7"/>
      <c r="F330" s="8" t="s">
        <v>8</v>
      </c>
      <c r="G330" s="8">
        <f t="shared" si="13"/>
        <v>0</v>
      </c>
      <c r="H330" s="8">
        <f t="shared" si="13"/>
        <v>0</v>
      </c>
      <c r="I330" s="8">
        <f t="shared" si="13"/>
        <v>0</v>
      </c>
      <c r="J330" s="8">
        <f t="shared" si="13"/>
        <v>0</v>
      </c>
      <c r="K330" s="8">
        <f t="shared" si="13"/>
        <v>1</v>
      </c>
      <c r="L330" s="7"/>
    </row>
    <row r="331" spans="1:12" outlineLevel="1" x14ac:dyDescent="0.25">
      <c r="A331" s="22">
        <f t="shared" si="12"/>
        <v>2.0302000000000637</v>
      </c>
      <c r="B331" s="27"/>
      <c r="C331" s="24" t="s">
        <v>354</v>
      </c>
      <c r="D331" s="7"/>
      <c r="E331" s="7"/>
      <c r="F331" s="8" t="s">
        <v>8</v>
      </c>
      <c r="G331" s="8">
        <f t="shared" si="13"/>
        <v>0</v>
      </c>
      <c r="H331" s="8">
        <f t="shared" si="13"/>
        <v>0</v>
      </c>
      <c r="I331" s="8">
        <f t="shared" si="13"/>
        <v>0</v>
      </c>
      <c r="J331" s="8">
        <f t="shared" si="13"/>
        <v>0</v>
      </c>
      <c r="K331" s="8">
        <f t="shared" si="13"/>
        <v>1</v>
      </c>
      <c r="L331" s="7"/>
    </row>
    <row r="332" spans="1:12" outlineLevel="1" x14ac:dyDescent="0.25">
      <c r="A332" s="22">
        <f t="shared" si="12"/>
        <v>2.0303000000000639</v>
      </c>
      <c r="B332" s="26" t="s">
        <v>355</v>
      </c>
      <c r="C332" s="24" t="s">
        <v>356</v>
      </c>
      <c r="D332" s="7"/>
      <c r="E332" s="7"/>
      <c r="F332" s="8" t="s">
        <v>8</v>
      </c>
      <c r="G332" s="8">
        <f t="shared" si="13"/>
        <v>0</v>
      </c>
      <c r="H332" s="8">
        <f t="shared" si="13"/>
        <v>0</v>
      </c>
      <c r="I332" s="8">
        <f t="shared" si="13"/>
        <v>0</v>
      </c>
      <c r="J332" s="8">
        <f t="shared" si="13"/>
        <v>0</v>
      </c>
      <c r="K332" s="8">
        <f t="shared" si="13"/>
        <v>1</v>
      </c>
      <c r="L332" s="7"/>
    </row>
    <row r="333" spans="1:12" outlineLevel="1" x14ac:dyDescent="0.25">
      <c r="A333" s="22">
        <f t="shared" si="12"/>
        <v>2.0304000000000642</v>
      </c>
      <c r="B333" s="29"/>
      <c r="C333" s="24" t="s">
        <v>357</v>
      </c>
      <c r="D333" s="7"/>
      <c r="E333" s="7"/>
      <c r="F333" s="8" t="s">
        <v>8</v>
      </c>
      <c r="G333" s="8">
        <f t="shared" si="13"/>
        <v>0</v>
      </c>
      <c r="H333" s="8">
        <f t="shared" si="13"/>
        <v>0</v>
      </c>
      <c r="I333" s="8">
        <f t="shared" si="13"/>
        <v>0</v>
      </c>
      <c r="J333" s="8">
        <f t="shared" si="13"/>
        <v>0</v>
      </c>
      <c r="K333" s="8">
        <f t="shared" si="13"/>
        <v>1</v>
      </c>
      <c r="L333" s="7"/>
    </row>
    <row r="334" spans="1:12" outlineLevel="1" x14ac:dyDescent="0.25">
      <c r="A334" s="22">
        <f t="shared" ref="A334:A397" si="14">A333+0.0001</f>
        <v>2.0305000000000644</v>
      </c>
      <c r="B334" s="28" t="s">
        <v>358</v>
      </c>
      <c r="C334" s="6" t="s">
        <v>359</v>
      </c>
      <c r="D334" s="7"/>
      <c r="E334" s="7"/>
      <c r="F334" s="8" t="s">
        <v>8</v>
      </c>
      <c r="G334" s="8">
        <f t="shared" si="13"/>
        <v>0</v>
      </c>
      <c r="H334" s="8">
        <f t="shared" si="13"/>
        <v>0</v>
      </c>
      <c r="I334" s="8">
        <f t="shared" si="13"/>
        <v>0</v>
      </c>
      <c r="J334" s="8">
        <f t="shared" si="13"/>
        <v>0</v>
      </c>
      <c r="K334" s="8">
        <f t="shared" si="13"/>
        <v>1</v>
      </c>
      <c r="L334" s="7"/>
    </row>
    <row r="335" spans="1:12" ht="38.25" outlineLevel="1" x14ac:dyDescent="0.25">
      <c r="A335" s="22">
        <f t="shared" si="14"/>
        <v>2.0306000000000646</v>
      </c>
      <c r="B335" s="26" t="s">
        <v>360</v>
      </c>
      <c r="C335" s="24" t="s">
        <v>361</v>
      </c>
      <c r="D335" s="7"/>
      <c r="E335" s="7"/>
      <c r="F335" s="8" t="s">
        <v>8</v>
      </c>
      <c r="G335" s="8">
        <f t="shared" si="13"/>
        <v>0</v>
      </c>
      <c r="H335" s="8">
        <f t="shared" si="13"/>
        <v>0</v>
      </c>
      <c r="I335" s="8">
        <f t="shared" si="13"/>
        <v>0</v>
      </c>
      <c r="J335" s="8">
        <f t="shared" si="13"/>
        <v>0</v>
      </c>
      <c r="K335" s="8">
        <f t="shared" si="13"/>
        <v>1</v>
      </c>
      <c r="L335" s="7"/>
    </row>
    <row r="336" spans="1:12" outlineLevel="1" x14ac:dyDescent="0.25">
      <c r="A336" s="22">
        <f t="shared" si="14"/>
        <v>2.0307000000000648</v>
      </c>
      <c r="B336" s="27"/>
      <c r="C336" s="24" t="s">
        <v>362</v>
      </c>
      <c r="D336" s="7"/>
      <c r="E336" s="7"/>
      <c r="F336" s="8" t="s">
        <v>8</v>
      </c>
      <c r="G336" s="8">
        <f t="shared" si="13"/>
        <v>0</v>
      </c>
      <c r="H336" s="8">
        <f t="shared" si="13"/>
        <v>0</v>
      </c>
      <c r="I336" s="8">
        <f t="shared" si="13"/>
        <v>0</v>
      </c>
      <c r="J336" s="8">
        <f t="shared" si="13"/>
        <v>0</v>
      </c>
      <c r="K336" s="8">
        <f t="shared" si="13"/>
        <v>1</v>
      </c>
      <c r="L336" s="7"/>
    </row>
    <row r="337" spans="1:12" outlineLevel="1" x14ac:dyDescent="0.25">
      <c r="A337" s="22">
        <f t="shared" si="14"/>
        <v>2.030800000000065</v>
      </c>
      <c r="B337" s="27"/>
      <c r="C337" s="24" t="s">
        <v>363</v>
      </c>
      <c r="D337" s="7"/>
      <c r="E337" s="7"/>
      <c r="F337" s="8" t="s">
        <v>8</v>
      </c>
      <c r="G337" s="8">
        <f t="shared" si="13"/>
        <v>0</v>
      </c>
      <c r="H337" s="8">
        <f t="shared" si="13"/>
        <v>0</v>
      </c>
      <c r="I337" s="8">
        <f t="shared" si="13"/>
        <v>0</v>
      </c>
      <c r="J337" s="8">
        <f t="shared" si="13"/>
        <v>0</v>
      </c>
      <c r="K337" s="8">
        <f t="shared" si="13"/>
        <v>1</v>
      </c>
      <c r="L337" s="7"/>
    </row>
    <row r="338" spans="1:12" outlineLevel="1" x14ac:dyDescent="0.25">
      <c r="A338" s="22">
        <f t="shared" si="14"/>
        <v>2.0309000000000652</v>
      </c>
      <c r="B338" s="27"/>
      <c r="C338" s="24" t="s">
        <v>364</v>
      </c>
      <c r="D338" s="7"/>
      <c r="E338" s="7"/>
      <c r="F338" s="8" t="s">
        <v>8</v>
      </c>
      <c r="G338" s="8">
        <f t="shared" si="13"/>
        <v>0</v>
      </c>
      <c r="H338" s="8">
        <f t="shared" si="13"/>
        <v>0</v>
      </c>
      <c r="I338" s="8">
        <f t="shared" si="13"/>
        <v>0</v>
      </c>
      <c r="J338" s="8">
        <f t="shared" si="13"/>
        <v>0</v>
      </c>
      <c r="K338" s="8">
        <f t="shared" si="13"/>
        <v>1</v>
      </c>
      <c r="L338" s="7"/>
    </row>
    <row r="339" spans="1:12" outlineLevel="1" x14ac:dyDescent="0.25">
      <c r="A339" s="22">
        <f t="shared" si="14"/>
        <v>2.0310000000000654</v>
      </c>
      <c r="B339" s="27"/>
      <c r="C339" s="24" t="s">
        <v>365</v>
      </c>
      <c r="D339" s="7"/>
      <c r="E339" s="7"/>
      <c r="F339" s="8" t="s">
        <v>8</v>
      </c>
      <c r="G339" s="8">
        <f t="shared" si="13"/>
        <v>0</v>
      </c>
      <c r="H339" s="8">
        <f t="shared" si="13"/>
        <v>0</v>
      </c>
      <c r="I339" s="8">
        <f t="shared" si="13"/>
        <v>0</v>
      </c>
      <c r="J339" s="8">
        <f t="shared" si="13"/>
        <v>0</v>
      </c>
      <c r="K339" s="8">
        <f t="shared" si="13"/>
        <v>1</v>
      </c>
      <c r="L339" s="7"/>
    </row>
    <row r="340" spans="1:12" outlineLevel="1" x14ac:dyDescent="0.25">
      <c r="A340" s="22">
        <f t="shared" si="14"/>
        <v>2.0311000000000656</v>
      </c>
      <c r="B340" s="27"/>
      <c r="C340" s="24" t="s">
        <v>366</v>
      </c>
      <c r="D340" s="7"/>
      <c r="E340" s="7"/>
      <c r="F340" s="8" t="s">
        <v>8</v>
      </c>
      <c r="G340" s="8">
        <f t="shared" si="13"/>
        <v>0</v>
      </c>
      <c r="H340" s="8">
        <f t="shared" si="13"/>
        <v>0</v>
      </c>
      <c r="I340" s="8">
        <f t="shared" si="13"/>
        <v>0</v>
      </c>
      <c r="J340" s="8">
        <f t="shared" si="13"/>
        <v>0</v>
      </c>
      <c r="K340" s="8">
        <f t="shared" si="13"/>
        <v>1</v>
      </c>
      <c r="L340" s="7"/>
    </row>
    <row r="341" spans="1:12" outlineLevel="1" x14ac:dyDescent="0.25">
      <c r="A341" s="22">
        <f t="shared" si="14"/>
        <v>2.0312000000000658</v>
      </c>
      <c r="B341" s="27"/>
      <c r="C341" s="24" t="s">
        <v>367</v>
      </c>
      <c r="D341" s="7"/>
      <c r="E341" s="7"/>
      <c r="F341" s="8" t="s">
        <v>8</v>
      </c>
      <c r="G341" s="8">
        <f t="shared" si="13"/>
        <v>0</v>
      </c>
      <c r="H341" s="8">
        <f t="shared" si="13"/>
        <v>0</v>
      </c>
      <c r="I341" s="8">
        <f t="shared" si="13"/>
        <v>0</v>
      </c>
      <c r="J341" s="8">
        <f t="shared" si="13"/>
        <v>0</v>
      </c>
      <c r="K341" s="8">
        <f t="shared" si="13"/>
        <v>1</v>
      </c>
      <c r="L341" s="7"/>
    </row>
    <row r="342" spans="1:12" outlineLevel="1" x14ac:dyDescent="0.25">
      <c r="A342" s="22">
        <f t="shared" si="14"/>
        <v>2.0313000000000661</v>
      </c>
      <c r="B342" s="27"/>
      <c r="C342" s="24" t="s">
        <v>368</v>
      </c>
      <c r="D342" s="7"/>
      <c r="E342" s="7"/>
      <c r="F342" s="8" t="s">
        <v>8</v>
      </c>
      <c r="G342" s="8">
        <f t="shared" si="13"/>
        <v>0</v>
      </c>
      <c r="H342" s="8">
        <f t="shared" si="13"/>
        <v>0</v>
      </c>
      <c r="I342" s="8">
        <f t="shared" si="13"/>
        <v>0</v>
      </c>
      <c r="J342" s="8">
        <f t="shared" si="13"/>
        <v>0</v>
      </c>
      <c r="K342" s="8">
        <f t="shared" si="13"/>
        <v>1</v>
      </c>
      <c r="L342" s="7"/>
    </row>
    <row r="343" spans="1:12" outlineLevel="1" x14ac:dyDescent="0.25">
      <c r="A343" s="22">
        <f t="shared" si="14"/>
        <v>2.0314000000000663</v>
      </c>
      <c r="B343" s="27"/>
      <c r="C343" s="24" t="s">
        <v>369</v>
      </c>
      <c r="D343" s="7"/>
      <c r="E343" s="7"/>
      <c r="F343" s="8" t="s">
        <v>8</v>
      </c>
      <c r="G343" s="8">
        <f t="shared" si="13"/>
        <v>0</v>
      </c>
      <c r="H343" s="8">
        <f t="shared" si="13"/>
        <v>0</v>
      </c>
      <c r="I343" s="8">
        <f t="shared" si="13"/>
        <v>0</v>
      </c>
      <c r="J343" s="8">
        <f t="shared" si="13"/>
        <v>0</v>
      </c>
      <c r="K343" s="8">
        <f t="shared" si="13"/>
        <v>1</v>
      </c>
      <c r="L343" s="7"/>
    </row>
    <row r="344" spans="1:12" ht="25.5" outlineLevel="1" x14ac:dyDescent="0.25">
      <c r="A344" s="22">
        <f t="shared" si="14"/>
        <v>2.0315000000000665</v>
      </c>
      <c r="B344" s="27"/>
      <c r="C344" s="24" t="s">
        <v>370</v>
      </c>
      <c r="D344" s="7"/>
      <c r="E344" s="7"/>
      <c r="F344" s="8" t="s">
        <v>8</v>
      </c>
      <c r="G344" s="8">
        <f t="shared" si="13"/>
        <v>0</v>
      </c>
      <c r="H344" s="8">
        <f t="shared" si="13"/>
        <v>0</v>
      </c>
      <c r="I344" s="8">
        <f t="shared" si="13"/>
        <v>0</v>
      </c>
      <c r="J344" s="8">
        <f t="shared" si="13"/>
        <v>0</v>
      </c>
      <c r="K344" s="8">
        <f t="shared" si="13"/>
        <v>1</v>
      </c>
      <c r="L344" s="7"/>
    </row>
    <row r="345" spans="1:12" outlineLevel="1" x14ac:dyDescent="0.25">
      <c r="A345" s="22">
        <f t="shared" si="14"/>
        <v>2.0316000000000667</v>
      </c>
      <c r="B345" s="26" t="s">
        <v>371</v>
      </c>
      <c r="C345" s="24" t="s">
        <v>372</v>
      </c>
      <c r="D345" s="7"/>
      <c r="E345" s="7"/>
      <c r="F345" s="8" t="s">
        <v>8</v>
      </c>
      <c r="G345" s="8">
        <f t="shared" si="13"/>
        <v>0</v>
      </c>
      <c r="H345" s="8">
        <f t="shared" si="13"/>
        <v>0</v>
      </c>
      <c r="I345" s="8">
        <f t="shared" si="13"/>
        <v>0</v>
      </c>
      <c r="J345" s="8">
        <f t="shared" si="13"/>
        <v>0</v>
      </c>
      <c r="K345" s="8">
        <f t="shared" si="13"/>
        <v>1</v>
      </c>
      <c r="L345" s="7"/>
    </row>
    <row r="346" spans="1:12" outlineLevel="1" x14ac:dyDescent="0.25">
      <c r="A346" s="22">
        <f t="shared" si="14"/>
        <v>2.0317000000000669</v>
      </c>
      <c r="B346" s="27"/>
      <c r="C346" s="24" t="s">
        <v>365</v>
      </c>
      <c r="D346" s="7"/>
      <c r="E346" s="7"/>
      <c r="F346" s="8" t="s">
        <v>8</v>
      </c>
      <c r="G346" s="8">
        <f t="shared" si="13"/>
        <v>0</v>
      </c>
      <c r="H346" s="8">
        <f t="shared" si="13"/>
        <v>0</v>
      </c>
      <c r="I346" s="8">
        <f t="shared" si="13"/>
        <v>0</v>
      </c>
      <c r="J346" s="8">
        <f t="shared" si="13"/>
        <v>0</v>
      </c>
      <c r="K346" s="8">
        <f t="shared" si="13"/>
        <v>1</v>
      </c>
      <c r="L346" s="7"/>
    </row>
    <row r="347" spans="1:12" outlineLevel="1" x14ac:dyDescent="0.25">
      <c r="A347" s="22">
        <f t="shared" si="14"/>
        <v>2.0318000000000671</v>
      </c>
      <c r="B347" s="27"/>
      <c r="C347" s="24" t="s">
        <v>366</v>
      </c>
      <c r="D347" s="7"/>
      <c r="E347" s="7"/>
      <c r="F347" s="8" t="s">
        <v>8</v>
      </c>
      <c r="G347" s="8">
        <f t="shared" si="13"/>
        <v>0</v>
      </c>
      <c r="H347" s="8">
        <f t="shared" si="13"/>
        <v>0</v>
      </c>
      <c r="I347" s="8">
        <f t="shared" si="13"/>
        <v>0</v>
      </c>
      <c r="J347" s="8">
        <f t="shared" si="13"/>
        <v>0</v>
      </c>
      <c r="K347" s="8">
        <f t="shared" si="13"/>
        <v>1</v>
      </c>
      <c r="L347" s="7"/>
    </row>
    <row r="348" spans="1:12" outlineLevel="1" x14ac:dyDescent="0.25">
      <c r="A348" s="22">
        <f t="shared" si="14"/>
        <v>2.0319000000000673</v>
      </c>
      <c r="B348" s="27"/>
      <c r="C348" s="24" t="s">
        <v>367</v>
      </c>
      <c r="D348" s="7"/>
      <c r="E348" s="7"/>
      <c r="F348" s="8" t="s">
        <v>8</v>
      </c>
      <c r="G348" s="8">
        <f t="shared" ref="G348:K398" si="15">IF($F348=G$1,1,0)</f>
        <v>0</v>
      </c>
      <c r="H348" s="8">
        <f t="shared" si="15"/>
        <v>0</v>
      </c>
      <c r="I348" s="8">
        <f t="shared" si="15"/>
        <v>0</v>
      </c>
      <c r="J348" s="8">
        <f t="shared" si="15"/>
        <v>0</v>
      </c>
      <c r="K348" s="8">
        <f t="shared" si="15"/>
        <v>1</v>
      </c>
      <c r="L348" s="7"/>
    </row>
    <row r="349" spans="1:12" outlineLevel="1" x14ac:dyDescent="0.25">
      <c r="A349" s="22">
        <f t="shared" si="14"/>
        <v>2.0320000000000675</v>
      </c>
      <c r="B349" s="27"/>
      <c r="C349" s="24" t="s">
        <v>373</v>
      </c>
      <c r="D349" s="7"/>
      <c r="E349" s="7"/>
      <c r="F349" s="8" t="s">
        <v>8</v>
      </c>
      <c r="G349" s="8">
        <f t="shared" si="15"/>
        <v>0</v>
      </c>
      <c r="H349" s="8">
        <f t="shared" si="15"/>
        <v>0</v>
      </c>
      <c r="I349" s="8">
        <f t="shared" si="15"/>
        <v>0</v>
      </c>
      <c r="J349" s="8">
        <f t="shared" si="15"/>
        <v>0</v>
      </c>
      <c r="K349" s="8">
        <f t="shared" si="15"/>
        <v>1</v>
      </c>
      <c r="L349" s="7"/>
    </row>
    <row r="350" spans="1:12" outlineLevel="1" x14ac:dyDescent="0.25">
      <c r="A350" s="22">
        <f t="shared" si="14"/>
        <v>2.0321000000000677</v>
      </c>
      <c r="B350" s="27"/>
      <c r="C350" s="24" t="s">
        <v>374</v>
      </c>
      <c r="D350" s="7"/>
      <c r="E350" s="7"/>
      <c r="F350" s="8" t="s">
        <v>8</v>
      </c>
      <c r="G350" s="8">
        <f t="shared" si="15"/>
        <v>0</v>
      </c>
      <c r="H350" s="8">
        <f t="shared" si="15"/>
        <v>0</v>
      </c>
      <c r="I350" s="8">
        <f t="shared" si="15"/>
        <v>0</v>
      </c>
      <c r="J350" s="8">
        <f t="shared" si="15"/>
        <v>0</v>
      </c>
      <c r="K350" s="8">
        <f t="shared" si="15"/>
        <v>1</v>
      </c>
      <c r="L350" s="7"/>
    </row>
    <row r="351" spans="1:12" outlineLevel="1" x14ac:dyDescent="0.25">
      <c r="A351" s="22">
        <f t="shared" si="14"/>
        <v>2.032200000000068</v>
      </c>
      <c r="B351" s="26" t="s">
        <v>375</v>
      </c>
      <c r="C351" s="24" t="s">
        <v>376</v>
      </c>
      <c r="D351" s="7"/>
      <c r="E351" s="7"/>
      <c r="F351" s="8" t="s">
        <v>8</v>
      </c>
      <c r="G351" s="8">
        <f t="shared" si="15"/>
        <v>0</v>
      </c>
      <c r="H351" s="8">
        <f t="shared" si="15"/>
        <v>0</v>
      </c>
      <c r="I351" s="8">
        <f t="shared" si="15"/>
        <v>0</v>
      </c>
      <c r="J351" s="8">
        <f t="shared" si="15"/>
        <v>0</v>
      </c>
      <c r="K351" s="8">
        <f t="shared" si="15"/>
        <v>1</v>
      </c>
      <c r="L351" s="7"/>
    </row>
    <row r="352" spans="1:12" outlineLevel="1" x14ac:dyDescent="0.25">
      <c r="A352" s="22">
        <f t="shared" si="14"/>
        <v>2.0323000000000682</v>
      </c>
      <c r="B352" s="27"/>
      <c r="C352" s="24" t="s">
        <v>377</v>
      </c>
      <c r="D352" s="7"/>
      <c r="E352" s="7"/>
      <c r="F352" s="8" t="s">
        <v>8</v>
      </c>
      <c r="G352" s="8">
        <f t="shared" si="15"/>
        <v>0</v>
      </c>
      <c r="H352" s="8">
        <f t="shared" si="15"/>
        <v>0</v>
      </c>
      <c r="I352" s="8">
        <f t="shared" si="15"/>
        <v>0</v>
      </c>
      <c r="J352" s="8">
        <f t="shared" si="15"/>
        <v>0</v>
      </c>
      <c r="K352" s="8">
        <f t="shared" si="15"/>
        <v>1</v>
      </c>
      <c r="L352" s="7"/>
    </row>
    <row r="353" spans="1:12" outlineLevel="1" x14ac:dyDescent="0.25">
      <c r="A353" s="22">
        <f t="shared" si="14"/>
        <v>2.0324000000000684</v>
      </c>
      <c r="B353" s="26" t="s">
        <v>378</v>
      </c>
      <c r="C353" s="24" t="s">
        <v>376</v>
      </c>
      <c r="D353" s="7"/>
      <c r="E353" s="7"/>
      <c r="F353" s="8" t="s">
        <v>8</v>
      </c>
      <c r="G353" s="8">
        <f t="shared" si="15"/>
        <v>0</v>
      </c>
      <c r="H353" s="8">
        <f t="shared" si="15"/>
        <v>0</v>
      </c>
      <c r="I353" s="8">
        <f t="shared" si="15"/>
        <v>0</v>
      </c>
      <c r="J353" s="8">
        <f t="shared" si="15"/>
        <v>0</v>
      </c>
      <c r="K353" s="8">
        <f t="shared" si="15"/>
        <v>1</v>
      </c>
      <c r="L353" s="7"/>
    </row>
    <row r="354" spans="1:12" outlineLevel="1" x14ac:dyDescent="0.25">
      <c r="A354" s="22">
        <f t="shared" si="14"/>
        <v>2.0325000000000686</v>
      </c>
      <c r="B354" s="27"/>
      <c r="C354" s="24" t="s">
        <v>379</v>
      </c>
      <c r="D354" s="7"/>
      <c r="E354" s="7"/>
      <c r="F354" s="8" t="s">
        <v>8</v>
      </c>
      <c r="G354" s="8">
        <f t="shared" si="15"/>
        <v>0</v>
      </c>
      <c r="H354" s="8">
        <f t="shared" si="15"/>
        <v>0</v>
      </c>
      <c r="I354" s="8">
        <f t="shared" si="15"/>
        <v>0</v>
      </c>
      <c r="J354" s="8">
        <f t="shared" si="15"/>
        <v>0</v>
      </c>
      <c r="K354" s="8">
        <f t="shared" si="15"/>
        <v>1</v>
      </c>
      <c r="L354" s="7"/>
    </row>
    <row r="355" spans="1:12" outlineLevel="1" x14ac:dyDescent="0.25">
      <c r="A355" s="22">
        <f t="shared" si="14"/>
        <v>2.0326000000000688</v>
      </c>
      <c r="B355" s="27"/>
      <c r="C355" s="24" t="s">
        <v>380</v>
      </c>
      <c r="D355" s="7"/>
      <c r="E355" s="7"/>
      <c r="F355" s="8" t="s">
        <v>8</v>
      </c>
      <c r="G355" s="8">
        <f t="shared" si="15"/>
        <v>0</v>
      </c>
      <c r="H355" s="8">
        <f t="shared" si="15"/>
        <v>0</v>
      </c>
      <c r="I355" s="8">
        <f t="shared" si="15"/>
        <v>0</v>
      </c>
      <c r="J355" s="8">
        <f t="shared" si="15"/>
        <v>0</v>
      </c>
      <c r="K355" s="8">
        <f t="shared" si="15"/>
        <v>1</v>
      </c>
      <c r="L355" s="7"/>
    </row>
    <row r="356" spans="1:12" ht="25.5" outlineLevel="1" x14ac:dyDescent="0.25">
      <c r="A356" s="22">
        <f t="shared" si="14"/>
        <v>2.032700000000069</v>
      </c>
      <c r="B356" s="26" t="s">
        <v>381</v>
      </c>
      <c r="C356" s="24" t="s">
        <v>382</v>
      </c>
      <c r="D356" s="7"/>
      <c r="E356" s="7"/>
      <c r="F356" s="8" t="s">
        <v>8</v>
      </c>
      <c r="G356" s="8">
        <f t="shared" si="15"/>
        <v>0</v>
      </c>
      <c r="H356" s="8">
        <f t="shared" si="15"/>
        <v>0</v>
      </c>
      <c r="I356" s="8">
        <f t="shared" si="15"/>
        <v>0</v>
      </c>
      <c r="J356" s="8">
        <f t="shared" si="15"/>
        <v>0</v>
      </c>
      <c r="K356" s="8">
        <f t="shared" si="15"/>
        <v>1</v>
      </c>
      <c r="L356" s="7"/>
    </row>
    <row r="357" spans="1:12" ht="25.5" outlineLevel="1" x14ac:dyDescent="0.25">
      <c r="A357" s="22">
        <f t="shared" si="14"/>
        <v>2.0328000000000692</v>
      </c>
      <c r="B357" s="27"/>
      <c r="C357" s="24" t="s">
        <v>383</v>
      </c>
      <c r="D357" s="7"/>
      <c r="E357" s="7"/>
      <c r="F357" s="8" t="s">
        <v>8</v>
      </c>
      <c r="G357" s="8">
        <f t="shared" si="15"/>
        <v>0</v>
      </c>
      <c r="H357" s="8">
        <f t="shared" si="15"/>
        <v>0</v>
      </c>
      <c r="I357" s="8">
        <f t="shared" si="15"/>
        <v>0</v>
      </c>
      <c r="J357" s="8">
        <f t="shared" si="15"/>
        <v>0</v>
      </c>
      <c r="K357" s="8">
        <f t="shared" si="15"/>
        <v>1</v>
      </c>
      <c r="L357" s="7"/>
    </row>
    <row r="358" spans="1:12" outlineLevel="1" x14ac:dyDescent="0.25">
      <c r="A358" s="22">
        <f t="shared" si="14"/>
        <v>2.0329000000000694</v>
      </c>
      <c r="B358" s="29"/>
      <c r="C358" s="24" t="s">
        <v>384</v>
      </c>
      <c r="D358" s="7"/>
      <c r="E358" s="7"/>
      <c r="F358" s="8" t="s">
        <v>8</v>
      </c>
      <c r="G358" s="8">
        <f t="shared" si="15"/>
        <v>0</v>
      </c>
      <c r="H358" s="8">
        <f t="shared" si="15"/>
        <v>0</v>
      </c>
      <c r="I358" s="8">
        <f t="shared" si="15"/>
        <v>0</v>
      </c>
      <c r="J358" s="8">
        <f t="shared" si="15"/>
        <v>0</v>
      </c>
      <c r="K358" s="8">
        <f t="shared" si="15"/>
        <v>1</v>
      </c>
      <c r="L358" s="7"/>
    </row>
    <row r="359" spans="1:12" ht="38.25" outlineLevel="1" x14ac:dyDescent="0.25">
      <c r="A359" s="22">
        <f t="shared" si="14"/>
        <v>2.0330000000000696</v>
      </c>
      <c r="B359" s="28" t="s">
        <v>385</v>
      </c>
      <c r="C359" s="6" t="s">
        <v>386</v>
      </c>
      <c r="D359" s="7" t="s">
        <v>755</v>
      </c>
      <c r="E359" s="7"/>
      <c r="F359" s="8" t="s">
        <v>8</v>
      </c>
      <c r="G359" s="8">
        <f t="shared" si="15"/>
        <v>0</v>
      </c>
      <c r="H359" s="8">
        <f t="shared" si="15"/>
        <v>0</v>
      </c>
      <c r="I359" s="8">
        <f t="shared" si="15"/>
        <v>0</v>
      </c>
      <c r="J359" s="8">
        <f t="shared" si="15"/>
        <v>0</v>
      </c>
      <c r="K359" s="8">
        <f t="shared" si="15"/>
        <v>1</v>
      </c>
      <c r="L359" s="7"/>
    </row>
    <row r="360" spans="1:12" ht="25.5" outlineLevel="1" x14ac:dyDescent="0.25">
      <c r="A360" s="22">
        <f t="shared" si="14"/>
        <v>2.0331000000000699</v>
      </c>
      <c r="B360" s="26" t="s">
        <v>387</v>
      </c>
      <c r="C360" s="24" t="s">
        <v>31</v>
      </c>
      <c r="D360" s="7"/>
      <c r="E360" s="7"/>
      <c r="F360" s="8" t="s">
        <v>8</v>
      </c>
      <c r="G360" s="8">
        <f t="shared" si="15"/>
        <v>0</v>
      </c>
      <c r="H360" s="8">
        <f t="shared" si="15"/>
        <v>0</v>
      </c>
      <c r="I360" s="8">
        <f t="shared" si="15"/>
        <v>0</v>
      </c>
      <c r="J360" s="8">
        <f t="shared" si="15"/>
        <v>0</v>
      </c>
      <c r="K360" s="8">
        <f t="shared" si="15"/>
        <v>1</v>
      </c>
      <c r="L360" s="7"/>
    </row>
    <row r="361" spans="1:12" outlineLevel="1" x14ac:dyDescent="0.25">
      <c r="A361" s="22">
        <f t="shared" si="14"/>
        <v>2.0332000000000701</v>
      </c>
      <c r="B361" s="27"/>
      <c r="C361" s="24" t="s">
        <v>388</v>
      </c>
      <c r="D361" s="7"/>
      <c r="E361" s="7"/>
      <c r="F361" s="8" t="s">
        <v>8</v>
      </c>
      <c r="G361" s="8">
        <f t="shared" si="15"/>
        <v>0</v>
      </c>
      <c r="H361" s="8">
        <f t="shared" si="15"/>
        <v>0</v>
      </c>
      <c r="I361" s="8">
        <f t="shared" si="15"/>
        <v>0</v>
      </c>
      <c r="J361" s="8">
        <f t="shared" si="15"/>
        <v>0</v>
      </c>
      <c r="K361" s="8">
        <f t="shared" si="15"/>
        <v>1</v>
      </c>
      <c r="L361" s="7"/>
    </row>
    <row r="362" spans="1:12" outlineLevel="1" x14ac:dyDescent="0.25">
      <c r="A362" s="22">
        <f t="shared" si="14"/>
        <v>2.0333000000000703</v>
      </c>
      <c r="B362" s="26" t="s">
        <v>389</v>
      </c>
      <c r="C362" s="24" t="s">
        <v>31</v>
      </c>
      <c r="D362" s="7"/>
      <c r="E362" s="7"/>
      <c r="F362" s="8" t="s">
        <v>8</v>
      </c>
      <c r="G362" s="8">
        <f t="shared" si="15"/>
        <v>0</v>
      </c>
      <c r="H362" s="8">
        <f t="shared" si="15"/>
        <v>0</v>
      </c>
      <c r="I362" s="8">
        <f t="shared" si="15"/>
        <v>0</v>
      </c>
      <c r="J362" s="8">
        <f t="shared" si="15"/>
        <v>0</v>
      </c>
      <c r="K362" s="8">
        <f t="shared" si="15"/>
        <v>1</v>
      </c>
      <c r="L362" s="7"/>
    </row>
    <row r="363" spans="1:12" outlineLevel="1" x14ac:dyDescent="0.25">
      <c r="A363" s="22">
        <f t="shared" si="14"/>
        <v>2.0334000000000705</v>
      </c>
      <c r="B363" s="27"/>
      <c r="C363" s="24" t="s">
        <v>388</v>
      </c>
      <c r="D363" s="7"/>
      <c r="E363" s="7"/>
      <c r="F363" s="8" t="s">
        <v>8</v>
      </c>
      <c r="G363" s="8">
        <f t="shared" si="15"/>
        <v>0</v>
      </c>
      <c r="H363" s="8">
        <f t="shared" si="15"/>
        <v>0</v>
      </c>
      <c r="I363" s="8">
        <f t="shared" si="15"/>
        <v>0</v>
      </c>
      <c r="J363" s="8">
        <f t="shared" si="15"/>
        <v>0</v>
      </c>
      <c r="K363" s="8">
        <f t="shared" si="15"/>
        <v>1</v>
      </c>
      <c r="L363" s="7"/>
    </row>
    <row r="364" spans="1:12" ht="25.5" outlineLevel="1" x14ac:dyDescent="0.25">
      <c r="A364" s="22">
        <f t="shared" si="14"/>
        <v>2.0335000000000707</v>
      </c>
      <c r="B364" s="26" t="s">
        <v>390</v>
      </c>
      <c r="C364" s="24" t="s">
        <v>382</v>
      </c>
      <c r="D364" s="7"/>
      <c r="E364" s="7"/>
      <c r="F364" s="8" t="s">
        <v>8</v>
      </c>
      <c r="G364" s="8">
        <f t="shared" si="15"/>
        <v>0</v>
      </c>
      <c r="H364" s="8">
        <f t="shared" si="15"/>
        <v>0</v>
      </c>
      <c r="I364" s="8">
        <f t="shared" si="15"/>
        <v>0</v>
      </c>
      <c r="J364" s="8">
        <f t="shared" si="15"/>
        <v>0</v>
      </c>
      <c r="K364" s="8">
        <f t="shared" si="15"/>
        <v>1</v>
      </c>
      <c r="L364" s="7"/>
    </row>
    <row r="365" spans="1:12" ht="25.5" outlineLevel="1" x14ac:dyDescent="0.25">
      <c r="A365" s="22">
        <f t="shared" si="14"/>
        <v>2.0336000000000709</v>
      </c>
      <c r="B365" s="27"/>
      <c r="C365" s="24" t="s">
        <v>383</v>
      </c>
      <c r="D365" s="7"/>
      <c r="E365" s="7"/>
      <c r="F365" s="8" t="s">
        <v>8</v>
      </c>
      <c r="G365" s="8">
        <f t="shared" si="15"/>
        <v>0</v>
      </c>
      <c r="H365" s="8">
        <f t="shared" si="15"/>
        <v>0</v>
      </c>
      <c r="I365" s="8">
        <f t="shared" si="15"/>
        <v>0</v>
      </c>
      <c r="J365" s="8">
        <f t="shared" si="15"/>
        <v>0</v>
      </c>
      <c r="K365" s="8">
        <f t="shared" si="15"/>
        <v>1</v>
      </c>
      <c r="L365" s="7"/>
    </row>
    <row r="366" spans="1:12" ht="25.5" outlineLevel="1" x14ac:dyDescent="0.25">
      <c r="A366" s="22">
        <f t="shared" si="14"/>
        <v>2.0337000000000711</v>
      </c>
      <c r="B366" s="27"/>
      <c r="C366" s="24" t="s">
        <v>391</v>
      </c>
      <c r="D366" s="7"/>
      <c r="E366" s="7"/>
      <c r="F366" s="8" t="s">
        <v>8</v>
      </c>
      <c r="G366" s="8">
        <f t="shared" si="15"/>
        <v>0</v>
      </c>
      <c r="H366" s="8">
        <f t="shared" si="15"/>
        <v>0</v>
      </c>
      <c r="I366" s="8">
        <f t="shared" si="15"/>
        <v>0</v>
      </c>
      <c r="J366" s="8">
        <f t="shared" si="15"/>
        <v>0</v>
      </c>
      <c r="K366" s="8">
        <f t="shared" si="15"/>
        <v>1</v>
      </c>
      <c r="L366" s="7"/>
    </row>
    <row r="367" spans="1:12" outlineLevel="1" x14ac:dyDescent="0.25">
      <c r="A367" s="22">
        <f t="shared" si="14"/>
        <v>2.0338000000000713</v>
      </c>
      <c r="B367" s="27"/>
      <c r="C367" s="24" t="s">
        <v>392</v>
      </c>
      <c r="D367" s="7"/>
      <c r="E367" s="7"/>
      <c r="F367" s="8" t="s">
        <v>8</v>
      </c>
      <c r="G367" s="8">
        <f t="shared" si="15"/>
        <v>0</v>
      </c>
      <c r="H367" s="8">
        <f t="shared" si="15"/>
        <v>0</v>
      </c>
      <c r="I367" s="8">
        <f t="shared" si="15"/>
        <v>0</v>
      </c>
      <c r="J367" s="8">
        <f t="shared" si="15"/>
        <v>0</v>
      </c>
      <c r="K367" s="8">
        <f t="shared" si="15"/>
        <v>1</v>
      </c>
      <c r="L367" s="7"/>
    </row>
    <row r="368" spans="1:12" ht="25.5" outlineLevel="1" x14ac:dyDescent="0.25">
      <c r="A368" s="22">
        <f t="shared" si="14"/>
        <v>2.0339000000000715</v>
      </c>
      <c r="B368" s="26" t="s">
        <v>393</v>
      </c>
      <c r="C368" s="24" t="s">
        <v>31</v>
      </c>
      <c r="D368" s="7"/>
      <c r="E368" s="7"/>
      <c r="F368" s="8" t="s">
        <v>8</v>
      </c>
      <c r="G368" s="8">
        <f t="shared" si="15"/>
        <v>0</v>
      </c>
      <c r="H368" s="8">
        <f t="shared" si="15"/>
        <v>0</v>
      </c>
      <c r="I368" s="8">
        <f t="shared" si="15"/>
        <v>0</v>
      </c>
      <c r="J368" s="8">
        <f t="shared" si="15"/>
        <v>0</v>
      </c>
      <c r="K368" s="8">
        <f t="shared" si="15"/>
        <v>1</v>
      </c>
      <c r="L368" s="7"/>
    </row>
    <row r="369" spans="1:12" outlineLevel="1" x14ac:dyDescent="0.25">
      <c r="A369" s="22">
        <f t="shared" si="14"/>
        <v>2.0340000000000718</v>
      </c>
      <c r="B369" s="27"/>
      <c r="C369" s="24" t="s">
        <v>394</v>
      </c>
      <c r="D369" s="7"/>
      <c r="E369" s="7"/>
      <c r="F369" s="8" t="s">
        <v>8</v>
      </c>
      <c r="G369" s="8">
        <f t="shared" si="15"/>
        <v>0</v>
      </c>
      <c r="H369" s="8">
        <f t="shared" si="15"/>
        <v>0</v>
      </c>
      <c r="I369" s="8">
        <f t="shared" si="15"/>
        <v>0</v>
      </c>
      <c r="J369" s="8">
        <f t="shared" si="15"/>
        <v>0</v>
      </c>
      <c r="K369" s="8">
        <f t="shared" si="15"/>
        <v>1</v>
      </c>
      <c r="L369" s="7"/>
    </row>
    <row r="370" spans="1:12" ht="25.5" outlineLevel="1" x14ac:dyDescent="0.25">
      <c r="A370" s="22">
        <f t="shared" si="14"/>
        <v>2.034100000000072</v>
      </c>
      <c r="B370" s="26" t="s">
        <v>395</v>
      </c>
      <c r="C370" s="24" t="s">
        <v>396</v>
      </c>
      <c r="D370" s="7"/>
      <c r="E370" s="7"/>
      <c r="F370" s="8" t="s">
        <v>8</v>
      </c>
      <c r="G370" s="8">
        <f t="shared" si="15"/>
        <v>0</v>
      </c>
      <c r="H370" s="8">
        <f t="shared" si="15"/>
        <v>0</v>
      </c>
      <c r="I370" s="8">
        <f t="shared" si="15"/>
        <v>0</v>
      </c>
      <c r="J370" s="8">
        <f t="shared" si="15"/>
        <v>0</v>
      </c>
      <c r="K370" s="8">
        <f t="shared" si="15"/>
        <v>1</v>
      </c>
      <c r="L370" s="7"/>
    </row>
    <row r="371" spans="1:12" outlineLevel="1" x14ac:dyDescent="0.25">
      <c r="A371" s="22">
        <f t="shared" si="14"/>
        <v>2.0342000000000722</v>
      </c>
      <c r="B371" s="27"/>
      <c r="C371" s="24" t="s">
        <v>397</v>
      </c>
      <c r="D371" s="7"/>
      <c r="E371" s="7"/>
      <c r="F371" s="8" t="s">
        <v>8</v>
      </c>
      <c r="G371" s="8">
        <f t="shared" si="15"/>
        <v>0</v>
      </c>
      <c r="H371" s="8">
        <f t="shared" si="15"/>
        <v>0</v>
      </c>
      <c r="I371" s="8">
        <f t="shared" si="15"/>
        <v>0</v>
      </c>
      <c r="J371" s="8">
        <f t="shared" si="15"/>
        <v>0</v>
      </c>
      <c r="K371" s="8">
        <f t="shared" si="15"/>
        <v>1</v>
      </c>
      <c r="L371" s="7"/>
    </row>
    <row r="372" spans="1:12" ht="25.5" outlineLevel="1" x14ac:dyDescent="0.25">
      <c r="A372" s="22">
        <f t="shared" si="14"/>
        <v>2.0343000000000724</v>
      </c>
      <c r="B372" s="27"/>
      <c r="C372" s="24" t="s">
        <v>398</v>
      </c>
      <c r="D372" s="7"/>
      <c r="E372" s="7"/>
      <c r="F372" s="8" t="s">
        <v>8</v>
      </c>
      <c r="G372" s="8">
        <f t="shared" si="15"/>
        <v>0</v>
      </c>
      <c r="H372" s="8">
        <f t="shared" si="15"/>
        <v>0</v>
      </c>
      <c r="I372" s="8">
        <f t="shared" si="15"/>
        <v>0</v>
      </c>
      <c r="J372" s="8">
        <f t="shared" si="15"/>
        <v>0</v>
      </c>
      <c r="K372" s="8">
        <f t="shared" si="15"/>
        <v>1</v>
      </c>
      <c r="L372" s="7"/>
    </row>
    <row r="373" spans="1:12" ht="25.5" outlineLevel="1" x14ac:dyDescent="0.25">
      <c r="A373" s="22">
        <f t="shared" si="14"/>
        <v>2.0344000000000726</v>
      </c>
      <c r="B373" s="26" t="s">
        <v>399</v>
      </c>
      <c r="C373" s="24" t="s">
        <v>382</v>
      </c>
      <c r="D373" s="7"/>
      <c r="E373" s="7"/>
      <c r="F373" s="8" t="s">
        <v>8</v>
      </c>
      <c r="G373" s="8">
        <f t="shared" si="15"/>
        <v>0</v>
      </c>
      <c r="H373" s="8">
        <f t="shared" si="15"/>
        <v>0</v>
      </c>
      <c r="I373" s="8">
        <f t="shared" si="15"/>
        <v>0</v>
      </c>
      <c r="J373" s="8">
        <f t="shared" si="15"/>
        <v>0</v>
      </c>
      <c r="K373" s="8">
        <f t="shared" si="15"/>
        <v>1</v>
      </c>
      <c r="L373" s="7"/>
    </row>
    <row r="374" spans="1:12" ht="25.5" outlineLevel="1" x14ac:dyDescent="0.25">
      <c r="A374" s="22">
        <f t="shared" si="14"/>
        <v>2.0345000000000728</v>
      </c>
      <c r="B374" s="27"/>
      <c r="C374" s="24" t="s">
        <v>383</v>
      </c>
      <c r="D374" s="7"/>
      <c r="E374" s="7"/>
      <c r="F374" s="8" t="s">
        <v>8</v>
      </c>
      <c r="G374" s="8">
        <f t="shared" si="15"/>
        <v>0</v>
      </c>
      <c r="H374" s="8">
        <f t="shared" si="15"/>
        <v>0</v>
      </c>
      <c r="I374" s="8">
        <f t="shared" si="15"/>
        <v>0</v>
      </c>
      <c r="J374" s="8">
        <f t="shared" si="15"/>
        <v>0</v>
      </c>
      <c r="K374" s="8">
        <f t="shared" si="15"/>
        <v>1</v>
      </c>
      <c r="L374" s="7"/>
    </row>
    <row r="375" spans="1:12" ht="25.5" outlineLevel="1" x14ac:dyDescent="0.25">
      <c r="A375" s="22">
        <f t="shared" si="14"/>
        <v>2.034600000000073</v>
      </c>
      <c r="B375" s="27"/>
      <c r="C375" s="24" t="s">
        <v>391</v>
      </c>
      <c r="D375" s="7"/>
      <c r="E375" s="7"/>
      <c r="F375" s="8" t="s">
        <v>8</v>
      </c>
      <c r="G375" s="8">
        <f t="shared" si="15"/>
        <v>0</v>
      </c>
      <c r="H375" s="8">
        <f t="shared" si="15"/>
        <v>0</v>
      </c>
      <c r="I375" s="8">
        <f t="shared" si="15"/>
        <v>0</v>
      </c>
      <c r="J375" s="8">
        <f t="shared" si="15"/>
        <v>0</v>
      </c>
      <c r="K375" s="8">
        <f t="shared" si="15"/>
        <v>1</v>
      </c>
      <c r="L375" s="7"/>
    </row>
    <row r="376" spans="1:12" outlineLevel="1" x14ac:dyDescent="0.25">
      <c r="A376" s="22">
        <f t="shared" si="14"/>
        <v>2.0347000000000732</v>
      </c>
      <c r="B376" s="27"/>
      <c r="C376" s="24" t="s">
        <v>392</v>
      </c>
      <c r="D376" s="7"/>
      <c r="E376" s="7"/>
      <c r="F376" s="8" t="s">
        <v>8</v>
      </c>
      <c r="G376" s="8">
        <f t="shared" si="15"/>
        <v>0</v>
      </c>
      <c r="H376" s="8">
        <f t="shared" si="15"/>
        <v>0</v>
      </c>
      <c r="I376" s="8">
        <f t="shared" si="15"/>
        <v>0</v>
      </c>
      <c r="J376" s="8">
        <f t="shared" si="15"/>
        <v>0</v>
      </c>
      <c r="K376" s="8">
        <f t="shared" si="15"/>
        <v>1</v>
      </c>
      <c r="L376" s="7"/>
    </row>
    <row r="377" spans="1:12" ht="25.5" outlineLevel="1" x14ac:dyDescent="0.25">
      <c r="A377" s="22">
        <f t="shared" si="14"/>
        <v>2.0348000000000734</v>
      </c>
      <c r="B377" s="26" t="s">
        <v>400</v>
      </c>
      <c r="C377" s="24" t="s">
        <v>31</v>
      </c>
      <c r="D377" s="7"/>
      <c r="E377" s="7"/>
      <c r="F377" s="8" t="s">
        <v>8</v>
      </c>
      <c r="G377" s="8">
        <f t="shared" si="15"/>
        <v>0</v>
      </c>
      <c r="H377" s="8">
        <f t="shared" si="15"/>
        <v>0</v>
      </c>
      <c r="I377" s="8">
        <f t="shared" si="15"/>
        <v>0</v>
      </c>
      <c r="J377" s="8">
        <f t="shared" si="15"/>
        <v>0</v>
      </c>
      <c r="K377" s="8">
        <f t="shared" si="15"/>
        <v>1</v>
      </c>
      <c r="L377" s="7"/>
    </row>
    <row r="378" spans="1:12" outlineLevel="1" x14ac:dyDescent="0.25">
      <c r="A378" s="22">
        <f t="shared" si="14"/>
        <v>2.0349000000000736</v>
      </c>
      <c r="B378" s="27"/>
      <c r="C378" s="24" t="s">
        <v>401</v>
      </c>
      <c r="D378" s="7"/>
      <c r="E378" s="7"/>
      <c r="F378" s="8" t="s">
        <v>8</v>
      </c>
      <c r="G378" s="8">
        <f t="shared" si="15"/>
        <v>0</v>
      </c>
      <c r="H378" s="8">
        <f t="shared" si="15"/>
        <v>0</v>
      </c>
      <c r="I378" s="8">
        <f t="shared" si="15"/>
        <v>0</v>
      </c>
      <c r="J378" s="8">
        <f t="shared" si="15"/>
        <v>0</v>
      </c>
      <c r="K378" s="8">
        <f t="shared" si="15"/>
        <v>1</v>
      </c>
      <c r="L378" s="7"/>
    </row>
    <row r="379" spans="1:12" ht="25.5" outlineLevel="1" x14ac:dyDescent="0.25">
      <c r="A379" s="22">
        <f t="shared" si="14"/>
        <v>2.0350000000000739</v>
      </c>
      <c r="B379" s="26" t="s">
        <v>402</v>
      </c>
      <c r="C379" s="24" t="s">
        <v>396</v>
      </c>
      <c r="D379" s="7"/>
      <c r="E379" s="7"/>
      <c r="F379" s="8" t="s">
        <v>8</v>
      </c>
      <c r="G379" s="8">
        <f t="shared" si="15"/>
        <v>0</v>
      </c>
      <c r="H379" s="8">
        <f t="shared" si="15"/>
        <v>0</v>
      </c>
      <c r="I379" s="8">
        <f t="shared" si="15"/>
        <v>0</v>
      </c>
      <c r="J379" s="8">
        <f t="shared" si="15"/>
        <v>0</v>
      </c>
      <c r="K379" s="8">
        <f t="shared" si="15"/>
        <v>1</v>
      </c>
      <c r="L379" s="7"/>
    </row>
    <row r="380" spans="1:12" outlineLevel="1" x14ac:dyDescent="0.25">
      <c r="A380" s="22">
        <f t="shared" si="14"/>
        <v>2.0351000000000741</v>
      </c>
      <c r="B380" s="27"/>
      <c r="C380" s="24" t="s">
        <v>397</v>
      </c>
      <c r="D380" s="7"/>
      <c r="E380" s="7"/>
      <c r="F380" s="8" t="s">
        <v>8</v>
      </c>
      <c r="G380" s="8">
        <f t="shared" si="15"/>
        <v>0</v>
      </c>
      <c r="H380" s="8">
        <f t="shared" si="15"/>
        <v>0</v>
      </c>
      <c r="I380" s="8">
        <f t="shared" si="15"/>
        <v>0</v>
      </c>
      <c r="J380" s="8">
        <f t="shared" si="15"/>
        <v>0</v>
      </c>
      <c r="K380" s="8">
        <f t="shared" si="15"/>
        <v>1</v>
      </c>
      <c r="L380" s="7"/>
    </row>
    <row r="381" spans="1:12" ht="25.5" outlineLevel="1" x14ac:dyDescent="0.25">
      <c r="A381" s="22">
        <f t="shared" si="14"/>
        <v>2.0352000000000743</v>
      </c>
      <c r="B381" s="29"/>
      <c r="C381" s="24" t="s">
        <v>398</v>
      </c>
      <c r="D381" s="7"/>
      <c r="E381" s="7"/>
      <c r="F381" s="8" t="s">
        <v>8</v>
      </c>
      <c r="G381" s="8">
        <f t="shared" si="15"/>
        <v>0</v>
      </c>
      <c r="H381" s="8">
        <f t="shared" si="15"/>
        <v>0</v>
      </c>
      <c r="I381" s="8">
        <f t="shared" si="15"/>
        <v>0</v>
      </c>
      <c r="J381" s="8">
        <f t="shared" si="15"/>
        <v>0</v>
      </c>
      <c r="K381" s="8">
        <f t="shared" si="15"/>
        <v>1</v>
      </c>
      <c r="L381" s="7"/>
    </row>
    <row r="382" spans="1:12" ht="25.5" outlineLevel="1" x14ac:dyDescent="0.25">
      <c r="A382" s="22">
        <f t="shared" si="14"/>
        <v>2.0353000000000745</v>
      </c>
      <c r="B382" s="28" t="s">
        <v>403</v>
      </c>
      <c r="C382" s="6" t="s">
        <v>404</v>
      </c>
      <c r="D382" s="7"/>
      <c r="E382" s="7"/>
      <c r="F382" s="8" t="s">
        <v>8</v>
      </c>
      <c r="G382" s="8">
        <f t="shared" si="15"/>
        <v>0</v>
      </c>
      <c r="H382" s="8">
        <f t="shared" si="15"/>
        <v>0</v>
      </c>
      <c r="I382" s="8">
        <f t="shared" si="15"/>
        <v>0</v>
      </c>
      <c r="J382" s="8">
        <f t="shared" si="15"/>
        <v>0</v>
      </c>
      <c r="K382" s="8">
        <f t="shared" si="15"/>
        <v>1</v>
      </c>
      <c r="L382" s="7"/>
    </row>
    <row r="383" spans="1:12" outlineLevel="1" x14ac:dyDescent="0.25">
      <c r="A383" s="22">
        <f t="shared" si="14"/>
        <v>2.0354000000000747</v>
      </c>
      <c r="B383" s="26" t="s">
        <v>405</v>
      </c>
      <c r="C383" s="24" t="s">
        <v>249</v>
      </c>
      <c r="D383" s="7"/>
      <c r="E383" s="7"/>
      <c r="F383" s="8" t="s">
        <v>8</v>
      </c>
      <c r="G383" s="8">
        <f t="shared" si="15"/>
        <v>0</v>
      </c>
      <c r="H383" s="8">
        <f t="shared" si="15"/>
        <v>0</v>
      </c>
      <c r="I383" s="8">
        <f t="shared" si="15"/>
        <v>0</v>
      </c>
      <c r="J383" s="8">
        <f t="shared" si="15"/>
        <v>0</v>
      </c>
      <c r="K383" s="8">
        <f t="shared" si="15"/>
        <v>1</v>
      </c>
      <c r="L383" s="7"/>
    </row>
    <row r="384" spans="1:12" outlineLevel="1" x14ac:dyDescent="0.25">
      <c r="A384" s="22">
        <f t="shared" si="14"/>
        <v>2.0355000000000749</v>
      </c>
      <c r="B384" s="27"/>
      <c r="C384" s="24" t="s">
        <v>406</v>
      </c>
      <c r="D384" s="7"/>
      <c r="E384" s="7"/>
      <c r="F384" s="8" t="s">
        <v>8</v>
      </c>
      <c r="G384" s="8">
        <f t="shared" si="15"/>
        <v>0</v>
      </c>
      <c r="H384" s="8">
        <f t="shared" si="15"/>
        <v>0</v>
      </c>
      <c r="I384" s="8">
        <f t="shared" si="15"/>
        <v>0</v>
      </c>
      <c r="J384" s="8">
        <f t="shared" si="15"/>
        <v>0</v>
      </c>
      <c r="K384" s="8">
        <f t="shared" si="15"/>
        <v>1</v>
      </c>
      <c r="L384" s="7"/>
    </row>
    <row r="385" spans="1:12" outlineLevel="1" x14ac:dyDescent="0.25">
      <c r="A385" s="22">
        <f t="shared" si="14"/>
        <v>2.0356000000000751</v>
      </c>
      <c r="B385" s="27"/>
      <c r="C385" s="24" t="s">
        <v>407</v>
      </c>
      <c r="D385" s="7"/>
      <c r="E385" s="7"/>
      <c r="F385" s="8" t="s">
        <v>8</v>
      </c>
      <c r="G385" s="8">
        <f t="shared" si="15"/>
        <v>0</v>
      </c>
      <c r="H385" s="8">
        <f t="shared" si="15"/>
        <v>0</v>
      </c>
      <c r="I385" s="8">
        <f t="shared" si="15"/>
        <v>0</v>
      </c>
      <c r="J385" s="8">
        <f t="shared" si="15"/>
        <v>0</v>
      </c>
      <c r="K385" s="8">
        <f t="shared" si="15"/>
        <v>1</v>
      </c>
      <c r="L385" s="7"/>
    </row>
    <row r="386" spans="1:12" outlineLevel="1" x14ac:dyDescent="0.25">
      <c r="A386" s="22">
        <f t="shared" si="14"/>
        <v>2.0357000000000753</v>
      </c>
      <c r="B386" s="27"/>
      <c r="C386" s="24" t="s">
        <v>392</v>
      </c>
      <c r="D386" s="7"/>
      <c r="E386" s="7"/>
      <c r="F386" s="8" t="s">
        <v>8</v>
      </c>
      <c r="G386" s="8">
        <f t="shared" si="15"/>
        <v>0</v>
      </c>
      <c r="H386" s="8">
        <f t="shared" si="15"/>
        <v>0</v>
      </c>
      <c r="I386" s="8">
        <f t="shared" si="15"/>
        <v>0</v>
      </c>
      <c r="J386" s="8">
        <f t="shared" si="15"/>
        <v>0</v>
      </c>
      <c r="K386" s="8">
        <f t="shared" si="15"/>
        <v>1</v>
      </c>
      <c r="L386" s="7"/>
    </row>
    <row r="387" spans="1:12" outlineLevel="1" x14ac:dyDescent="0.25">
      <c r="A387" s="22">
        <f t="shared" si="14"/>
        <v>2.0358000000000755</v>
      </c>
      <c r="B387" s="27"/>
      <c r="C387" s="24" t="s">
        <v>408</v>
      </c>
      <c r="D387" s="7"/>
      <c r="E387" s="7"/>
      <c r="F387" s="8" t="s">
        <v>8</v>
      </c>
      <c r="G387" s="8">
        <f t="shared" si="15"/>
        <v>0</v>
      </c>
      <c r="H387" s="8">
        <f t="shared" si="15"/>
        <v>0</v>
      </c>
      <c r="I387" s="8">
        <f t="shared" si="15"/>
        <v>0</v>
      </c>
      <c r="J387" s="8">
        <f t="shared" si="15"/>
        <v>0</v>
      </c>
      <c r="K387" s="8">
        <f t="shared" si="15"/>
        <v>1</v>
      </c>
      <c r="L387" s="7"/>
    </row>
    <row r="388" spans="1:12" outlineLevel="1" x14ac:dyDescent="0.25">
      <c r="A388" s="22">
        <f t="shared" si="14"/>
        <v>2.0359000000000758</v>
      </c>
      <c r="B388" s="26" t="s">
        <v>409</v>
      </c>
      <c r="C388" s="24" t="s">
        <v>249</v>
      </c>
      <c r="D388" s="7"/>
      <c r="E388" s="7"/>
      <c r="F388" s="8" t="s">
        <v>8</v>
      </c>
      <c r="G388" s="8">
        <f t="shared" si="15"/>
        <v>0</v>
      </c>
      <c r="H388" s="8">
        <f t="shared" si="15"/>
        <v>0</v>
      </c>
      <c r="I388" s="8">
        <f t="shared" si="15"/>
        <v>0</v>
      </c>
      <c r="J388" s="8">
        <f t="shared" si="15"/>
        <v>0</v>
      </c>
      <c r="K388" s="8">
        <f t="shared" si="15"/>
        <v>1</v>
      </c>
      <c r="L388" s="7"/>
    </row>
    <row r="389" spans="1:12" outlineLevel="1" x14ac:dyDescent="0.25">
      <c r="A389" s="22">
        <f t="shared" si="14"/>
        <v>2.036000000000076</v>
      </c>
      <c r="B389" s="27"/>
      <c r="C389" s="24" t="s">
        <v>410</v>
      </c>
      <c r="D389" s="7"/>
      <c r="E389" s="7"/>
      <c r="F389" s="8" t="s">
        <v>8</v>
      </c>
      <c r="G389" s="8">
        <f t="shared" si="15"/>
        <v>0</v>
      </c>
      <c r="H389" s="8">
        <f t="shared" si="15"/>
        <v>0</v>
      </c>
      <c r="I389" s="8">
        <f t="shared" si="15"/>
        <v>0</v>
      </c>
      <c r="J389" s="8">
        <f t="shared" si="15"/>
        <v>0</v>
      </c>
      <c r="K389" s="8">
        <f t="shared" si="15"/>
        <v>1</v>
      </c>
      <c r="L389" s="7"/>
    </row>
    <row r="390" spans="1:12" outlineLevel="1" x14ac:dyDescent="0.25">
      <c r="A390" s="22">
        <f t="shared" si="14"/>
        <v>2.0361000000000762</v>
      </c>
      <c r="B390" s="27"/>
      <c r="C390" s="24" t="s">
        <v>411</v>
      </c>
      <c r="D390" s="7"/>
      <c r="E390" s="7"/>
      <c r="F390" s="8" t="s">
        <v>8</v>
      </c>
      <c r="G390" s="8">
        <f t="shared" si="15"/>
        <v>0</v>
      </c>
      <c r="H390" s="8">
        <f t="shared" si="15"/>
        <v>0</v>
      </c>
      <c r="I390" s="8">
        <f t="shared" si="15"/>
        <v>0</v>
      </c>
      <c r="J390" s="8">
        <f t="shared" si="15"/>
        <v>0</v>
      </c>
      <c r="K390" s="8">
        <f t="shared" si="15"/>
        <v>1</v>
      </c>
      <c r="L390" s="7"/>
    </row>
    <row r="391" spans="1:12" outlineLevel="1" x14ac:dyDescent="0.25">
      <c r="A391" s="22">
        <f t="shared" si="14"/>
        <v>2.0362000000000764</v>
      </c>
      <c r="B391" s="27"/>
      <c r="C391" s="24" t="s">
        <v>408</v>
      </c>
      <c r="D391" s="7"/>
      <c r="E391" s="7"/>
      <c r="F391" s="8" t="s">
        <v>8</v>
      </c>
      <c r="G391" s="8">
        <f t="shared" si="15"/>
        <v>0</v>
      </c>
      <c r="H391" s="8">
        <f t="shared" si="15"/>
        <v>0</v>
      </c>
      <c r="I391" s="8">
        <f t="shared" si="15"/>
        <v>0</v>
      </c>
      <c r="J391" s="8">
        <f t="shared" si="15"/>
        <v>0</v>
      </c>
      <c r="K391" s="8">
        <f t="shared" si="15"/>
        <v>1</v>
      </c>
      <c r="L391" s="7"/>
    </row>
    <row r="392" spans="1:12" ht="25.5" outlineLevel="1" x14ac:dyDescent="0.25">
      <c r="A392" s="22">
        <f t="shared" si="14"/>
        <v>2.0363000000000766</v>
      </c>
      <c r="B392" s="26" t="s">
        <v>412</v>
      </c>
      <c r="C392" s="24" t="s">
        <v>413</v>
      </c>
      <c r="D392" s="7"/>
      <c r="E392" s="7"/>
      <c r="F392" s="8" t="s">
        <v>8</v>
      </c>
      <c r="G392" s="8">
        <f t="shared" si="15"/>
        <v>0</v>
      </c>
      <c r="H392" s="8">
        <f t="shared" si="15"/>
        <v>0</v>
      </c>
      <c r="I392" s="8">
        <f t="shared" si="15"/>
        <v>0</v>
      </c>
      <c r="J392" s="8">
        <f t="shared" si="15"/>
        <v>0</v>
      </c>
      <c r="K392" s="8">
        <f t="shared" si="15"/>
        <v>1</v>
      </c>
      <c r="L392" s="7"/>
    </row>
    <row r="393" spans="1:12" outlineLevel="1" x14ac:dyDescent="0.25">
      <c r="A393" s="22">
        <f t="shared" si="14"/>
        <v>2.0364000000000768</v>
      </c>
      <c r="B393" s="29"/>
      <c r="C393" s="24" t="s">
        <v>414</v>
      </c>
      <c r="D393" s="7"/>
      <c r="E393" s="7"/>
      <c r="F393" s="8" t="s">
        <v>8</v>
      </c>
      <c r="G393" s="8">
        <f t="shared" si="15"/>
        <v>0</v>
      </c>
      <c r="H393" s="8">
        <f t="shared" si="15"/>
        <v>0</v>
      </c>
      <c r="I393" s="8">
        <f t="shared" si="15"/>
        <v>0</v>
      </c>
      <c r="J393" s="8">
        <f t="shared" si="15"/>
        <v>0</v>
      </c>
      <c r="K393" s="8">
        <f t="shared" si="15"/>
        <v>1</v>
      </c>
      <c r="L393" s="7"/>
    </row>
    <row r="394" spans="1:12" ht="25.5" outlineLevel="1" x14ac:dyDescent="0.25">
      <c r="A394" s="22">
        <f t="shared" si="14"/>
        <v>2.036500000000077</v>
      </c>
      <c r="B394" s="28" t="s">
        <v>415</v>
      </c>
      <c r="C394" s="6" t="s">
        <v>416</v>
      </c>
      <c r="D394" s="7"/>
      <c r="E394" s="7"/>
      <c r="F394" s="8" t="s">
        <v>8</v>
      </c>
      <c r="G394" s="8">
        <f t="shared" si="15"/>
        <v>0</v>
      </c>
      <c r="H394" s="8">
        <f t="shared" si="15"/>
        <v>0</v>
      </c>
      <c r="I394" s="8">
        <f t="shared" si="15"/>
        <v>0</v>
      </c>
      <c r="J394" s="8">
        <f t="shared" si="15"/>
        <v>0</v>
      </c>
      <c r="K394" s="8">
        <f t="shared" si="15"/>
        <v>1</v>
      </c>
      <c r="L394" s="7"/>
    </row>
    <row r="395" spans="1:12" ht="25.5" outlineLevel="1" x14ac:dyDescent="0.25">
      <c r="A395" s="22">
        <f t="shared" si="14"/>
        <v>2.0366000000000772</v>
      </c>
      <c r="B395" s="26" t="s">
        <v>417</v>
      </c>
      <c r="C395" s="24" t="s">
        <v>418</v>
      </c>
      <c r="D395" s="7"/>
      <c r="E395" s="7"/>
      <c r="F395" s="8" t="s">
        <v>8</v>
      </c>
      <c r="G395" s="8">
        <f t="shared" si="15"/>
        <v>0</v>
      </c>
      <c r="H395" s="8">
        <f t="shared" si="15"/>
        <v>0</v>
      </c>
      <c r="I395" s="8">
        <f t="shared" si="15"/>
        <v>0</v>
      </c>
      <c r="J395" s="8">
        <f t="shared" si="15"/>
        <v>0</v>
      </c>
      <c r="K395" s="8">
        <f t="shared" si="15"/>
        <v>1</v>
      </c>
      <c r="L395" s="7"/>
    </row>
    <row r="396" spans="1:12" outlineLevel="1" x14ac:dyDescent="0.25">
      <c r="A396" s="22">
        <f t="shared" si="14"/>
        <v>2.0367000000000774</v>
      </c>
      <c r="B396" s="27"/>
      <c r="C396" s="24" t="s">
        <v>419</v>
      </c>
      <c r="D396" s="7"/>
      <c r="E396" s="7"/>
      <c r="F396" s="8" t="s">
        <v>8</v>
      </c>
      <c r="G396" s="8">
        <f t="shared" si="15"/>
        <v>0</v>
      </c>
      <c r="H396" s="8">
        <f t="shared" si="15"/>
        <v>0</v>
      </c>
      <c r="I396" s="8">
        <f t="shared" si="15"/>
        <v>0</v>
      </c>
      <c r="J396" s="8">
        <f t="shared" si="15"/>
        <v>0</v>
      </c>
      <c r="K396" s="8">
        <f t="shared" si="15"/>
        <v>1</v>
      </c>
      <c r="L396" s="7"/>
    </row>
    <row r="397" spans="1:12" outlineLevel="1" x14ac:dyDescent="0.25">
      <c r="A397" s="22">
        <f t="shared" si="14"/>
        <v>2.0368000000000777</v>
      </c>
      <c r="B397" s="27"/>
      <c r="C397" s="24" t="s">
        <v>420</v>
      </c>
      <c r="D397" s="7"/>
      <c r="E397" s="7"/>
      <c r="F397" s="8" t="s">
        <v>8</v>
      </c>
      <c r="G397" s="8">
        <f t="shared" si="15"/>
        <v>0</v>
      </c>
      <c r="H397" s="8">
        <f t="shared" si="15"/>
        <v>0</v>
      </c>
      <c r="I397" s="8">
        <f t="shared" si="15"/>
        <v>0</v>
      </c>
      <c r="J397" s="8">
        <f t="shared" si="15"/>
        <v>0</v>
      </c>
      <c r="K397" s="8">
        <f t="shared" si="15"/>
        <v>1</v>
      </c>
      <c r="L397" s="7"/>
    </row>
    <row r="398" spans="1:12" outlineLevel="1" x14ac:dyDescent="0.25">
      <c r="A398" s="22">
        <f t="shared" ref="A398:A464" si="16">A397+0.0001</f>
        <v>2.0369000000000779</v>
      </c>
      <c r="B398" s="27"/>
      <c r="C398" s="24" t="s">
        <v>421</v>
      </c>
      <c r="D398" s="7"/>
      <c r="E398" s="7"/>
      <c r="F398" s="8" t="s">
        <v>8</v>
      </c>
      <c r="G398" s="8">
        <f t="shared" si="15"/>
        <v>0</v>
      </c>
      <c r="H398" s="8">
        <f t="shared" si="15"/>
        <v>0</v>
      </c>
      <c r="I398" s="8">
        <f t="shared" si="15"/>
        <v>0</v>
      </c>
      <c r="J398" s="8">
        <f t="shared" si="15"/>
        <v>0</v>
      </c>
      <c r="K398" s="8">
        <f t="shared" si="15"/>
        <v>1</v>
      </c>
      <c r="L398" s="7"/>
    </row>
    <row r="399" spans="1:12" outlineLevel="1" x14ac:dyDescent="0.25">
      <c r="A399" s="22">
        <f t="shared" si="16"/>
        <v>2.0370000000000781</v>
      </c>
      <c r="B399" s="27"/>
      <c r="C399" s="24" t="s">
        <v>422</v>
      </c>
      <c r="D399" s="7"/>
      <c r="E399" s="7"/>
      <c r="F399" s="8" t="s">
        <v>8</v>
      </c>
      <c r="G399" s="8">
        <f t="shared" ref="G399:K434" si="17">IF($F399=G$1,1,0)</f>
        <v>0</v>
      </c>
      <c r="H399" s="8">
        <f t="shared" si="17"/>
        <v>0</v>
      </c>
      <c r="I399" s="8">
        <f t="shared" si="17"/>
        <v>0</v>
      </c>
      <c r="J399" s="8">
        <f t="shared" si="17"/>
        <v>0</v>
      </c>
      <c r="K399" s="8">
        <f t="shared" si="17"/>
        <v>1</v>
      </c>
      <c r="L399" s="7"/>
    </row>
    <row r="400" spans="1:12" outlineLevel="1" x14ac:dyDescent="0.25">
      <c r="A400" s="22">
        <f t="shared" si="16"/>
        <v>2.0371000000000783</v>
      </c>
      <c r="B400" s="27"/>
      <c r="C400" s="24" t="s">
        <v>423</v>
      </c>
      <c r="D400" s="7"/>
      <c r="E400" s="7"/>
      <c r="F400" s="8" t="s">
        <v>8</v>
      </c>
      <c r="G400" s="8">
        <f t="shared" si="17"/>
        <v>0</v>
      </c>
      <c r="H400" s="8">
        <f t="shared" si="17"/>
        <v>0</v>
      </c>
      <c r="I400" s="8">
        <f t="shared" si="17"/>
        <v>0</v>
      </c>
      <c r="J400" s="8">
        <f t="shared" si="17"/>
        <v>0</v>
      </c>
      <c r="K400" s="8">
        <f t="shared" si="17"/>
        <v>1</v>
      </c>
      <c r="L400" s="7"/>
    </row>
    <row r="401" spans="1:12" outlineLevel="1" x14ac:dyDescent="0.25">
      <c r="A401" s="22">
        <f t="shared" si="16"/>
        <v>2.0372000000000785</v>
      </c>
      <c r="B401" s="27"/>
      <c r="C401" s="24" t="s">
        <v>424</v>
      </c>
      <c r="D401" s="7"/>
      <c r="E401" s="7"/>
      <c r="F401" s="8" t="s">
        <v>8</v>
      </c>
      <c r="G401" s="8">
        <f t="shared" si="17"/>
        <v>0</v>
      </c>
      <c r="H401" s="8">
        <f t="shared" si="17"/>
        <v>0</v>
      </c>
      <c r="I401" s="8">
        <f t="shared" si="17"/>
        <v>0</v>
      </c>
      <c r="J401" s="8">
        <f t="shared" si="17"/>
        <v>0</v>
      </c>
      <c r="K401" s="8">
        <f t="shared" si="17"/>
        <v>1</v>
      </c>
      <c r="L401" s="7"/>
    </row>
    <row r="402" spans="1:12" outlineLevel="1" x14ac:dyDescent="0.25">
      <c r="A402" s="22">
        <f t="shared" si="16"/>
        <v>2.0373000000000787</v>
      </c>
      <c r="B402" s="26" t="s">
        <v>375</v>
      </c>
      <c r="C402" s="24" t="s">
        <v>425</v>
      </c>
      <c r="D402" s="7"/>
      <c r="E402" s="7"/>
      <c r="F402" s="8" t="s">
        <v>8</v>
      </c>
      <c r="G402" s="8">
        <f t="shared" si="17"/>
        <v>0</v>
      </c>
      <c r="H402" s="8">
        <f t="shared" si="17"/>
        <v>0</v>
      </c>
      <c r="I402" s="8">
        <f t="shared" si="17"/>
        <v>0</v>
      </c>
      <c r="J402" s="8">
        <f t="shared" si="17"/>
        <v>0</v>
      </c>
      <c r="K402" s="8">
        <f t="shared" si="17"/>
        <v>1</v>
      </c>
      <c r="L402" s="7"/>
    </row>
    <row r="403" spans="1:12" outlineLevel="1" x14ac:dyDescent="0.25">
      <c r="A403" s="22">
        <f t="shared" si="16"/>
        <v>2.0374000000000789</v>
      </c>
      <c r="B403" s="27"/>
      <c r="C403" s="24" t="s">
        <v>426</v>
      </c>
      <c r="D403" s="7"/>
      <c r="E403" s="7"/>
      <c r="F403" s="8" t="s">
        <v>8</v>
      </c>
      <c r="G403" s="8">
        <f t="shared" si="17"/>
        <v>0</v>
      </c>
      <c r="H403" s="8">
        <f t="shared" si="17"/>
        <v>0</v>
      </c>
      <c r="I403" s="8">
        <f t="shared" si="17"/>
        <v>0</v>
      </c>
      <c r="J403" s="8">
        <f t="shared" si="17"/>
        <v>0</v>
      </c>
      <c r="K403" s="8">
        <f t="shared" si="17"/>
        <v>1</v>
      </c>
      <c r="L403" s="7"/>
    </row>
    <row r="404" spans="1:12" outlineLevel="1" x14ac:dyDescent="0.25">
      <c r="A404" s="22">
        <f t="shared" si="16"/>
        <v>2.0375000000000791</v>
      </c>
      <c r="B404" s="26" t="s">
        <v>427</v>
      </c>
      <c r="C404" s="24" t="s">
        <v>428</v>
      </c>
      <c r="D404" s="7"/>
      <c r="E404" s="7"/>
      <c r="F404" s="8" t="s">
        <v>8</v>
      </c>
      <c r="G404" s="8">
        <f t="shared" si="17"/>
        <v>0</v>
      </c>
      <c r="H404" s="8">
        <f t="shared" si="17"/>
        <v>0</v>
      </c>
      <c r="I404" s="8">
        <f t="shared" si="17"/>
        <v>0</v>
      </c>
      <c r="J404" s="8">
        <f t="shared" si="17"/>
        <v>0</v>
      </c>
      <c r="K404" s="8">
        <f t="shared" si="17"/>
        <v>1</v>
      </c>
      <c r="L404" s="7"/>
    </row>
    <row r="405" spans="1:12" outlineLevel="1" x14ac:dyDescent="0.25">
      <c r="A405" s="22">
        <f t="shared" si="16"/>
        <v>2.0376000000000793</v>
      </c>
      <c r="B405" s="27"/>
      <c r="C405" s="24" t="s">
        <v>429</v>
      </c>
      <c r="D405" s="7"/>
      <c r="E405" s="7"/>
      <c r="F405" s="8" t="s">
        <v>8</v>
      </c>
      <c r="G405" s="8">
        <f t="shared" si="17"/>
        <v>0</v>
      </c>
      <c r="H405" s="8">
        <f t="shared" si="17"/>
        <v>0</v>
      </c>
      <c r="I405" s="8">
        <f t="shared" si="17"/>
        <v>0</v>
      </c>
      <c r="J405" s="8">
        <f t="shared" si="17"/>
        <v>0</v>
      </c>
      <c r="K405" s="8">
        <f t="shared" si="17"/>
        <v>1</v>
      </c>
      <c r="L405" s="7"/>
    </row>
    <row r="406" spans="1:12" outlineLevel="1" x14ac:dyDescent="0.25">
      <c r="A406" s="22">
        <f t="shared" si="16"/>
        <v>2.0377000000000796</v>
      </c>
      <c r="B406" s="27"/>
      <c r="C406" s="24" t="s">
        <v>430</v>
      </c>
      <c r="D406" s="7"/>
      <c r="E406" s="7"/>
      <c r="F406" s="8" t="s">
        <v>8</v>
      </c>
      <c r="G406" s="8">
        <f t="shared" si="17"/>
        <v>0</v>
      </c>
      <c r="H406" s="8">
        <f t="shared" si="17"/>
        <v>0</v>
      </c>
      <c r="I406" s="8">
        <f t="shared" si="17"/>
        <v>0</v>
      </c>
      <c r="J406" s="8">
        <f t="shared" si="17"/>
        <v>0</v>
      </c>
      <c r="K406" s="8">
        <f t="shared" si="17"/>
        <v>1</v>
      </c>
      <c r="L406" s="7"/>
    </row>
    <row r="407" spans="1:12" outlineLevel="1" x14ac:dyDescent="0.25">
      <c r="A407" s="22">
        <f t="shared" si="16"/>
        <v>2.0378000000000798</v>
      </c>
      <c r="B407" s="27"/>
      <c r="C407" s="24" t="s">
        <v>431</v>
      </c>
      <c r="D407" s="7"/>
      <c r="E407" s="7"/>
      <c r="F407" s="8" t="s">
        <v>8</v>
      </c>
      <c r="G407" s="8">
        <f t="shared" si="17"/>
        <v>0</v>
      </c>
      <c r="H407" s="8">
        <f t="shared" si="17"/>
        <v>0</v>
      </c>
      <c r="I407" s="8">
        <f t="shared" si="17"/>
        <v>0</v>
      </c>
      <c r="J407" s="8">
        <f t="shared" si="17"/>
        <v>0</v>
      </c>
      <c r="K407" s="8">
        <f t="shared" si="17"/>
        <v>1</v>
      </c>
      <c r="L407" s="7"/>
    </row>
    <row r="408" spans="1:12" outlineLevel="1" x14ac:dyDescent="0.25">
      <c r="A408" s="22">
        <f t="shared" si="16"/>
        <v>2.03790000000008</v>
      </c>
      <c r="B408" s="26" t="s">
        <v>432</v>
      </c>
      <c r="C408" s="24" t="s">
        <v>425</v>
      </c>
      <c r="D408" s="7"/>
      <c r="E408" s="7"/>
      <c r="F408" s="8" t="s">
        <v>8</v>
      </c>
      <c r="G408" s="8">
        <f t="shared" si="17"/>
        <v>0</v>
      </c>
      <c r="H408" s="8">
        <f t="shared" si="17"/>
        <v>0</v>
      </c>
      <c r="I408" s="8">
        <f t="shared" si="17"/>
        <v>0</v>
      </c>
      <c r="J408" s="8">
        <f t="shared" si="17"/>
        <v>0</v>
      </c>
      <c r="K408" s="8">
        <f t="shared" si="17"/>
        <v>1</v>
      </c>
      <c r="L408" s="7"/>
    </row>
    <row r="409" spans="1:12" outlineLevel="1" x14ac:dyDescent="0.25">
      <c r="A409" s="22">
        <f t="shared" si="16"/>
        <v>2.0380000000000802</v>
      </c>
      <c r="B409" s="27"/>
      <c r="C409" s="24" t="s">
        <v>433</v>
      </c>
      <c r="D409" s="7"/>
      <c r="E409" s="7"/>
      <c r="F409" s="8" t="s">
        <v>8</v>
      </c>
      <c r="G409" s="8">
        <f t="shared" si="17"/>
        <v>0</v>
      </c>
      <c r="H409" s="8">
        <f t="shared" si="17"/>
        <v>0</v>
      </c>
      <c r="I409" s="8">
        <f t="shared" si="17"/>
        <v>0</v>
      </c>
      <c r="J409" s="8">
        <f t="shared" si="17"/>
        <v>0</v>
      </c>
      <c r="K409" s="8">
        <f t="shared" si="17"/>
        <v>1</v>
      </c>
      <c r="L409" s="7"/>
    </row>
    <row r="410" spans="1:12" outlineLevel="1" x14ac:dyDescent="0.25">
      <c r="A410" s="22">
        <f t="shared" si="16"/>
        <v>2.0381000000000804</v>
      </c>
      <c r="B410" s="26" t="s">
        <v>434</v>
      </c>
      <c r="C410" s="24" t="s">
        <v>425</v>
      </c>
      <c r="D410" s="7"/>
      <c r="E410" s="7"/>
      <c r="F410" s="8" t="s">
        <v>8</v>
      </c>
      <c r="G410" s="8">
        <f t="shared" si="17"/>
        <v>0</v>
      </c>
      <c r="H410" s="8">
        <f t="shared" si="17"/>
        <v>0</v>
      </c>
      <c r="I410" s="8">
        <f t="shared" si="17"/>
        <v>0</v>
      </c>
      <c r="J410" s="8">
        <f t="shared" si="17"/>
        <v>0</v>
      </c>
      <c r="K410" s="8">
        <f t="shared" si="17"/>
        <v>1</v>
      </c>
      <c r="L410" s="7"/>
    </row>
    <row r="411" spans="1:12" ht="25.5" outlineLevel="1" x14ac:dyDescent="0.25">
      <c r="A411" s="22">
        <f t="shared" si="16"/>
        <v>2.0382000000000806</v>
      </c>
      <c r="B411" s="27"/>
      <c r="C411" s="24" t="s">
        <v>435</v>
      </c>
      <c r="D411" s="7"/>
      <c r="E411" s="7"/>
      <c r="F411" s="8" t="s">
        <v>8</v>
      </c>
      <c r="G411" s="8">
        <f t="shared" si="17"/>
        <v>0</v>
      </c>
      <c r="H411" s="8">
        <f t="shared" si="17"/>
        <v>0</v>
      </c>
      <c r="I411" s="8">
        <f t="shared" si="17"/>
        <v>0</v>
      </c>
      <c r="J411" s="8">
        <f t="shared" si="17"/>
        <v>0</v>
      </c>
      <c r="K411" s="8">
        <f t="shared" si="17"/>
        <v>1</v>
      </c>
      <c r="L411" s="7"/>
    </row>
    <row r="412" spans="1:12" outlineLevel="1" x14ac:dyDescent="0.25">
      <c r="A412" s="22">
        <f t="shared" si="16"/>
        <v>2.0383000000000808</v>
      </c>
      <c r="B412" s="27"/>
      <c r="C412" s="24" t="s">
        <v>436</v>
      </c>
      <c r="D412" s="7"/>
      <c r="E412" s="7"/>
      <c r="F412" s="8" t="s">
        <v>8</v>
      </c>
      <c r="G412" s="8">
        <f t="shared" si="17"/>
        <v>0</v>
      </c>
      <c r="H412" s="8">
        <f t="shared" si="17"/>
        <v>0</v>
      </c>
      <c r="I412" s="8">
        <f t="shared" si="17"/>
        <v>0</v>
      </c>
      <c r="J412" s="8">
        <f t="shared" si="17"/>
        <v>0</v>
      </c>
      <c r="K412" s="8">
        <f t="shared" si="17"/>
        <v>1</v>
      </c>
      <c r="L412" s="7"/>
    </row>
    <row r="413" spans="1:12" outlineLevel="1" x14ac:dyDescent="0.25">
      <c r="A413" s="22">
        <f t="shared" si="16"/>
        <v>2.038400000000081</v>
      </c>
      <c r="B413" s="26" t="s">
        <v>437</v>
      </c>
      <c r="C413" s="24" t="s">
        <v>425</v>
      </c>
      <c r="D413" s="7"/>
      <c r="E413" s="7"/>
      <c r="F413" s="8" t="s">
        <v>8</v>
      </c>
      <c r="G413" s="8">
        <f t="shared" si="17"/>
        <v>0</v>
      </c>
      <c r="H413" s="8">
        <f t="shared" si="17"/>
        <v>0</v>
      </c>
      <c r="I413" s="8">
        <f t="shared" si="17"/>
        <v>0</v>
      </c>
      <c r="J413" s="8">
        <f t="shared" si="17"/>
        <v>0</v>
      </c>
      <c r="K413" s="8">
        <f t="shared" si="17"/>
        <v>1</v>
      </c>
      <c r="L413" s="7"/>
    </row>
    <row r="414" spans="1:12" outlineLevel="1" x14ac:dyDescent="0.25">
      <c r="A414" s="22">
        <f t="shared" si="16"/>
        <v>2.0385000000000812</v>
      </c>
      <c r="B414" s="27"/>
      <c r="C414" s="24" t="s">
        <v>438</v>
      </c>
      <c r="D414" s="7"/>
      <c r="E414" s="7"/>
      <c r="F414" s="8" t="s">
        <v>8</v>
      </c>
      <c r="G414" s="8">
        <f t="shared" si="17"/>
        <v>0</v>
      </c>
      <c r="H414" s="8">
        <f t="shared" si="17"/>
        <v>0</v>
      </c>
      <c r="I414" s="8">
        <f t="shared" si="17"/>
        <v>0</v>
      </c>
      <c r="J414" s="8">
        <f t="shared" si="17"/>
        <v>0</v>
      </c>
      <c r="K414" s="8">
        <f t="shared" si="17"/>
        <v>1</v>
      </c>
      <c r="L414" s="7"/>
    </row>
    <row r="415" spans="1:12" outlineLevel="1" x14ac:dyDescent="0.25">
      <c r="A415" s="22">
        <f t="shared" si="16"/>
        <v>2.0386000000000815</v>
      </c>
      <c r="B415" s="26" t="s">
        <v>439</v>
      </c>
      <c r="C415" s="24" t="s">
        <v>425</v>
      </c>
      <c r="D415" s="7"/>
      <c r="E415" s="7"/>
      <c r="F415" s="8" t="s">
        <v>8</v>
      </c>
      <c r="G415" s="8">
        <f t="shared" si="17"/>
        <v>0</v>
      </c>
      <c r="H415" s="8">
        <f t="shared" si="17"/>
        <v>0</v>
      </c>
      <c r="I415" s="8">
        <f t="shared" si="17"/>
        <v>0</v>
      </c>
      <c r="J415" s="8">
        <f t="shared" si="17"/>
        <v>0</v>
      </c>
      <c r="K415" s="8">
        <f t="shared" si="17"/>
        <v>1</v>
      </c>
      <c r="L415" s="7"/>
    </row>
    <row r="416" spans="1:12" outlineLevel="1" x14ac:dyDescent="0.25">
      <c r="A416" s="22">
        <f t="shared" si="16"/>
        <v>2.0387000000000817</v>
      </c>
      <c r="B416" s="27"/>
      <c r="C416" s="24" t="s">
        <v>438</v>
      </c>
      <c r="D416" s="7"/>
      <c r="E416" s="7"/>
      <c r="F416" s="8" t="s">
        <v>8</v>
      </c>
      <c r="G416" s="8">
        <f t="shared" si="17"/>
        <v>0</v>
      </c>
      <c r="H416" s="8">
        <f t="shared" si="17"/>
        <v>0</v>
      </c>
      <c r="I416" s="8">
        <f t="shared" si="17"/>
        <v>0</v>
      </c>
      <c r="J416" s="8">
        <f t="shared" si="17"/>
        <v>0</v>
      </c>
      <c r="K416" s="8">
        <f t="shared" si="17"/>
        <v>1</v>
      </c>
      <c r="L416" s="7"/>
    </row>
    <row r="417" spans="1:12" outlineLevel="1" x14ac:dyDescent="0.25">
      <c r="A417" s="22">
        <f t="shared" si="16"/>
        <v>2.0388000000000819</v>
      </c>
      <c r="B417" s="26" t="s">
        <v>381</v>
      </c>
      <c r="C417" s="24" t="s">
        <v>425</v>
      </c>
      <c r="D417" s="7"/>
      <c r="E417" s="7"/>
      <c r="F417" s="8" t="s">
        <v>8</v>
      </c>
      <c r="G417" s="8">
        <f t="shared" si="17"/>
        <v>0</v>
      </c>
      <c r="H417" s="8">
        <f t="shared" si="17"/>
        <v>0</v>
      </c>
      <c r="I417" s="8">
        <f t="shared" si="17"/>
        <v>0</v>
      </c>
      <c r="J417" s="8">
        <f t="shared" si="17"/>
        <v>0</v>
      </c>
      <c r="K417" s="8">
        <f t="shared" si="17"/>
        <v>1</v>
      </c>
      <c r="L417" s="7"/>
    </row>
    <row r="418" spans="1:12" outlineLevel="1" x14ac:dyDescent="0.25">
      <c r="A418" s="22">
        <f t="shared" si="16"/>
        <v>2.0389000000000821</v>
      </c>
      <c r="B418" s="27"/>
      <c r="C418" s="24" t="s">
        <v>438</v>
      </c>
      <c r="D418" s="7"/>
      <c r="E418" s="7"/>
      <c r="F418" s="8" t="s">
        <v>8</v>
      </c>
      <c r="G418" s="8">
        <f t="shared" si="17"/>
        <v>0</v>
      </c>
      <c r="H418" s="8">
        <f t="shared" si="17"/>
        <v>0</v>
      </c>
      <c r="I418" s="8">
        <f t="shared" si="17"/>
        <v>0</v>
      </c>
      <c r="J418" s="8">
        <f t="shared" si="17"/>
        <v>0</v>
      </c>
      <c r="K418" s="8">
        <f t="shared" si="17"/>
        <v>1</v>
      </c>
      <c r="L418" s="7"/>
    </row>
    <row r="419" spans="1:12" outlineLevel="1" x14ac:dyDescent="0.25">
      <c r="A419" s="22">
        <f t="shared" si="16"/>
        <v>2.0390000000000823</v>
      </c>
      <c r="B419" s="26" t="s">
        <v>440</v>
      </c>
      <c r="C419" s="24" t="s">
        <v>441</v>
      </c>
      <c r="D419" s="7"/>
      <c r="E419" s="7"/>
      <c r="F419" s="8" t="s">
        <v>8</v>
      </c>
      <c r="G419" s="8">
        <f t="shared" si="17"/>
        <v>0</v>
      </c>
      <c r="H419" s="8">
        <f t="shared" si="17"/>
        <v>0</v>
      </c>
      <c r="I419" s="8">
        <f t="shared" si="17"/>
        <v>0</v>
      </c>
      <c r="J419" s="8">
        <f t="shared" si="17"/>
        <v>0</v>
      </c>
      <c r="K419" s="8">
        <f t="shared" si="17"/>
        <v>1</v>
      </c>
      <c r="L419" s="7"/>
    </row>
    <row r="420" spans="1:12" ht="38.25" outlineLevel="1" x14ac:dyDescent="0.25">
      <c r="A420" s="22">
        <f t="shared" si="16"/>
        <v>2.0391000000000825</v>
      </c>
      <c r="B420" s="27"/>
      <c r="C420" s="24" t="s">
        <v>442</v>
      </c>
      <c r="D420" s="7"/>
      <c r="E420" s="7"/>
      <c r="F420" s="8" t="s">
        <v>8</v>
      </c>
      <c r="G420" s="8">
        <f t="shared" si="17"/>
        <v>0</v>
      </c>
      <c r="H420" s="8">
        <f t="shared" si="17"/>
        <v>0</v>
      </c>
      <c r="I420" s="8">
        <f t="shared" si="17"/>
        <v>0</v>
      </c>
      <c r="J420" s="8">
        <f t="shared" si="17"/>
        <v>0</v>
      </c>
      <c r="K420" s="8">
        <f t="shared" si="17"/>
        <v>1</v>
      </c>
      <c r="L420" s="7"/>
    </row>
    <row r="421" spans="1:12" ht="25.5" outlineLevel="1" x14ac:dyDescent="0.25">
      <c r="A421" s="22">
        <f t="shared" si="16"/>
        <v>2.0392000000000827</v>
      </c>
      <c r="B421" s="26" t="s">
        <v>443</v>
      </c>
      <c r="C421" s="24" t="s">
        <v>444</v>
      </c>
      <c r="D421" s="7"/>
      <c r="E421" s="7"/>
      <c r="F421" s="8" t="s">
        <v>8</v>
      </c>
      <c r="G421" s="8">
        <f t="shared" si="17"/>
        <v>0</v>
      </c>
      <c r="H421" s="8">
        <f t="shared" si="17"/>
        <v>0</v>
      </c>
      <c r="I421" s="8">
        <f t="shared" si="17"/>
        <v>0</v>
      </c>
      <c r="J421" s="8">
        <f t="shared" si="17"/>
        <v>0</v>
      </c>
      <c r="K421" s="8">
        <f t="shared" si="17"/>
        <v>1</v>
      </c>
      <c r="L421" s="7"/>
    </row>
    <row r="422" spans="1:12" ht="25.5" outlineLevel="1" x14ac:dyDescent="0.25">
      <c r="A422" s="22">
        <f t="shared" si="16"/>
        <v>2.0393000000000829</v>
      </c>
      <c r="B422" s="27"/>
      <c r="C422" s="24" t="s">
        <v>445</v>
      </c>
      <c r="D422" s="7"/>
      <c r="E422" s="7"/>
      <c r="F422" s="8" t="s">
        <v>8</v>
      </c>
      <c r="G422" s="8">
        <f t="shared" si="17"/>
        <v>0</v>
      </c>
      <c r="H422" s="8">
        <f t="shared" si="17"/>
        <v>0</v>
      </c>
      <c r="I422" s="8">
        <f t="shared" si="17"/>
        <v>0</v>
      </c>
      <c r="J422" s="8">
        <f t="shared" si="17"/>
        <v>0</v>
      </c>
      <c r="K422" s="8">
        <f t="shared" si="17"/>
        <v>1</v>
      </c>
      <c r="L422" s="7"/>
    </row>
    <row r="423" spans="1:12" ht="25.5" outlineLevel="1" x14ac:dyDescent="0.25">
      <c r="A423" s="22">
        <f t="shared" si="16"/>
        <v>2.0394000000000831</v>
      </c>
      <c r="B423" s="27"/>
      <c r="C423" s="24" t="s">
        <v>446</v>
      </c>
      <c r="D423" s="7"/>
      <c r="E423" s="7"/>
      <c r="F423" s="8" t="s">
        <v>8</v>
      </c>
      <c r="G423" s="8">
        <f t="shared" si="17"/>
        <v>0</v>
      </c>
      <c r="H423" s="8">
        <f t="shared" si="17"/>
        <v>0</v>
      </c>
      <c r="I423" s="8">
        <f t="shared" si="17"/>
        <v>0</v>
      </c>
      <c r="J423" s="8">
        <f t="shared" si="17"/>
        <v>0</v>
      </c>
      <c r="K423" s="8">
        <f t="shared" si="17"/>
        <v>1</v>
      </c>
      <c r="L423" s="7"/>
    </row>
    <row r="424" spans="1:12" ht="25.5" outlineLevel="1" x14ac:dyDescent="0.25">
      <c r="A424" s="22">
        <f t="shared" si="16"/>
        <v>2.0395000000000834</v>
      </c>
      <c r="B424" s="27"/>
      <c r="C424" s="24" t="s">
        <v>447</v>
      </c>
      <c r="D424" s="7"/>
      <c r="E424" s="7"/>
      <c r="F424" s="8" t="s">
        <v>8</v>
      </c>
      <c r="G424" s="8">
        <f t="shared" si="17"/>
        <v>0</v>
      </c>
      <c r="H424" s="8">
        <f t="shared" si="17"/>
        <v>0</v>
      </c>
      <c r="I424" s="8">
        <f t="shared" si="17"/>
        <v>0</v>
      </c>
      <c r="J424" s="8">
        <f t="shared" si="17"/>
        <v>0</v>
      </c>
      <c r="K424" s="8">
        <f t="shared" si="17"/>
        <v>1</v>
      </c>
      <c r="L424" s="7"/>
    </row>
    <row r="425" spans="1:12" ht="25.5" outlineLevel="1" x14ac:dyDescent="0.25">
      <c r="A425" s="22">
        <f t="shared" si="16"/>
        <v>2.0396000000000836</v>
      </c>
      <c r="B425" s="27"/>
      <c r="C425" s="24" t="s">
        <v>448</v>
      </c>
      <c r="D425" s="7"/>
      <c r="E425" s="7"/>
      <c r="F425" s="8" t="s">
        <v>8</v>
      </c>
      <c r="G425" s="8">
        <f t="shared" si="17"/>
        <v>0</v>
      </c>
      <c r="H425" s="8">
        <f t="shared" si="17"/>
        <v>0</v>
      </c>
      <c r="I425" s="8">
        <f t="shared" si="17"/>
        <v>0</v>
      </c>
      <c r="J425" s="8">
        <f t="shared" si="17"/>
        <v>0</v>
      </c>
      <c r="K425" s="8">
        <f t="shared" si="17"/>
        <v>1</v>
      </c>
      <c r="L425" s="7"/>
    </row>
    <row r="426" spans="1:12" ht="25.5" outlineLevel="1" x14ac:dyDescent="0.25">
      <c r="A426" s="22">
        <f t="shared" si="16"/>
        <v>2.0397000000000838</v>
      </c>
      <c r="B426" s="27"/>
      <c r="C426" s="24" t="s">
        <v>449</v>
      </c>
      <c r="D426" s="7"/>
      <c r="E426" s="7"/>
      <c r="F426" s="8" t="s">
        <v>8</v>
      </c>
      <c r="G426" s="8">
        <f t="shared" si="17"/>
        <v>0</v>
      </c>
      <c r="H426" s="8">
        <f t="shared" si="17"/>
        <v>0</v>
      </c>
      <c r="I426" s="8">
        <f t="shared" si="17"/>
        <v>0</v>
      </c>
      <c r="J426" s="8">
        <f t="shared" si="17"/>
        <v>0</v>
      </c>
      <c r="K426" s="8">
        <f t="shared" si="17"/>
        <v>1</v>
      </c>
      <c r="L426" s="7"/>
    </row>
    <row r="427" spans="1:12" outlineLevel="1" x14ac:dyDescent="0.25">
      <c r="A427" s="22">
        <f t="shared" si="16"/>
        <v>2.039800000000084</v>
      </c>
      <c r="B427" s="27"/>
      <c r="C427" s="24" t="s">
        <v>450</v>
      </c>
      <c r="D427" s="7"/>
      <c r="E427" s="7"/>
      <c r="F427" s="8" t="s">
        <v>8</v>
      </c>
      <c r="G427" s="8">
        <f t="shared" si="17"/>
        <v>0</v>
      </c>
      <c r="H427" s="8">
        <f t="shared" si="17"/>
        <v>0</v>
      </c>
      <c r="I427" s="8">
        <f t="shared" si="17"/>
        <v>0</v>
      </c>
      <c r="J427" s="8">
        <f t="shared" si="17"/>
        <v>0</v>
      </c>
      <c r="K427" s="8">
        <f t="shared" si="17"/>
        <v>1</v>
      </c>
      <c r="L427" s="7"/>
    </row>
    <row r="428" spans="1:12" ht="25.5" outlineLevel="1" x14ac:dyDescent="0.25">
      <c r="A428" s="22">
        <f t="shared" si="16"/>
        <v>2.0399000000000842</v>
      </c>
      <c r="B428" s="26" t="s">
        <v>451</v>
      </c>
      <c r="C428" s="24" t="s">
        <v>452</v>
      </c>
      <c r="D428" s="7"/>
      <c r="E428" s="7"/>
      <c r="F428" s="8" t="s">
        <v>8</v>
      </c>
      <c r="G428" s="8">
        <f t="shared" si="17"/>
        <v>0</v>
      </c>
      <c r="H428" s="8">
        <f t="shared" si="17"/>
        <v>0</v>
      </c>
      <c r="I428" s="8">
        <f t="shared" si="17"/>
        <v>0</v>
      </c>
      <c r="J428" s="8">
        <f t="shared" si="17"/>
        <v>0</v>
      </c>
      <c r="K428" s="8">
        <f t="shared" si="17"/>
        <v>1</v>
      </c>
      <c r="L428" s="7"/>
    </row>
    <row r="429" spans="1:12" outlineLevel="1" x14ac:dyDescent="0.25">
      <c r="A429" s="22">
        <f t="shared" si="16"/>
        <v>2.0400000000000844</v>
      </c>
      <c r="B429" s="27"/>
      <c r="C429" s="24" t="s">
        <v>413</v>
      </c>
      <c r="D429" s="7"/>
      <c r="E429" s="7"/>
      <c r="F429" s="8" t="s">
        <v>8</v>
      </c>
      <c r="G429" s="8">
        <f t="shared" si="17"/>
        <v>0</v>
      </c>
      <c r="H429" s="8">
        <f t="shared" si="17"/>
        <v>0</v>
      </c>
      <c r="I429" s="8">
        <f t="shared" si="17"/>
        <v>0</v>
      </c>
      <c r="J429" s="8">
        <f t="shared" si="17"/>
        <v>0</v>
      </c>
      <c r="K429" s="8">
        <f t="shared" si="17"/>
        <v>1</v>
      </c>
      <c r="L429" s="7"/>
    </row>
    <row r="430" spans="1:12" ht="25.5" outlineLevel="1" x14ac:dyDescent="0.25">
      <c r="A430" s="22">
        <f t="shared" si="16"/>
        <v>2.0401000000000846</v>
      </c>
      <c r="B430" s="27"/>
      <c r="C430" s="24" t="s">
        <v>453</v>
      </c>
      <c r="D430" s="7"/>
      <c r="E430" s="7"/>
      <c r="F430" s="8" t="s">
        <v>8</v>
      </c>
      <c r="G430" s="8">
        <f t="shared" si="17"/>
        <v>0</v>
      </c>
      <c r="H430" s="8">
        <f t="shared" si="17"/>
        <v>0</v>
      </c>
      <c r="I430" s="8">
        <f t="shared" si="17"/>
        <v>0</v>
      </c>
      <c r="J430" s="8">
        <f t="shared" si="17"/>
        <v>0</v>
      </c>
      <c r="K430" s="8">
        <f t="shared" si="17"/>
        <v>1</v>
      </c>
      <c r="L430" s="7"/>
    </row>
    <row r="431" spans="1:12" outlineLevel="1" x14ac:dyDescent="0.25">
      <c r="A431" s="22">
        <f t="shared" si="16"/>
        <v>2.0402000000000848</v>
      </c>
      <c r="B431" s="26" t="s">
        <v>454</v>
      </c>
      <c r="C431" s="24" t="s">
        <v>455</v>
      </c>
      <c r="D431" s="7"/>
      <c r="E431" s="7"/>
      <c r="F431" s="8" t="s">
        <v>8</v>
      </c>
      <c r="G431" s="8">
        <f t="shared" si="17"/>
        <v>0</v>
      </c>
      <c r="H431" s="8">
        <f t="shared" si="17"/>
        <v>0</v>
      </c>
      <c r="I431" s="8">
        <f t="shared" si="17"/>
        <v>0</v>
      </c>
      <c r="J431" s="8">
        <f t="shared" si="17"/>
        <v>0</v>
      </c>
      <c r="K431" s="8">
        <f t="shared" si="17"/>
        <v>1</v>
      </c>
      <c r="L431" s="7"/>
    </row>
    <row r="432" spans="1:12" outlineLevel="1" x14ac:dyDescent="0.25">
      <c r="A432" s="22">
        <f t="shared" si="16"/>
        <v>2.040300000000085</v>
      </c>
      <c r="B432" s="27"/>
      <c r="C432" s="24" t="s">
        <v>456</v>
      </c>
      <c r="D432" s="7"/>
      <c r="E432" s="7"/>
      <c r="F432" s="8" t="s">
        <v>8</v>
      </c>
      <c r="G432" s="8">
        <f t="shared" si="17"/>
        <v>0</v>
      </c>
      <c r="H432" s="8">
        <f t="shared" si="17"/>
        <v>0</v>
      </c>
      <c r="I432" s="8">
        <f t="shared" si="17"/>
        <v>0</v>
      </c>
      <c r="J432" s="8">
        <f t="shared" si="17"/>
        <v>0</v>
      </c>
      <c r="K432" s="8">
        <f t="shared" si="17"/>
        <v>1</v>
      </c>
      <c r="L432" s="7"/>
    </row>
    <row r="433" spans="1:12" outlineLevel="1" x14ac:dyDescent="0.25">
      <c r="A433" s="22">
        <f t="shared" si="16"/>
        <v>2.0404000000000853</v>
      </c>
      <c r="B433" s="26" t="s">
        <v>457</v>
      </c>
      <c r="C433" s="24" t="s">
        <v>458</v>
      </c>
      <c r="D433" s="7"/>
      <c r="E433" s="7"/>
      <c r="F433" s="8" t="s">
        <v>8</v>
      </c>
      <c r="G433" s="8">
        <f t="shared" si="17"/>
        <v>0</v>
      </c>
      <c r="H433" s="8">
        <f t="shared" si="17"/>
        <v>0</v>
      </c>
      <c r="I433" s="8">
        <f t="shared" si="17"/>
        <v>0</v>
      </c>
      <c r="J433" s="8">
        <f t="shared" si="17"/>
        <v>0</v>
      </c>
      <c r="K433" s="8">
        <f t="shared" si="17"/>
        <v>1</v>
      </c>
      <c r="L433" s="7"/>
    </row>
    <row r="434" spans="1:12" outlineLevel="1" x14ac:dyDescent="0.25">
      <c r="A434" s="39">
        <f t="shared" si="16"/>
        <v>2.0405000000000855</v>
      </c>
      <c r="B434" s="27"/>
      <c r="C434" s="36" t="s">
        <v>459</v>
      </c>
      <c r="D434" s="30"/>
      <c r="E434" s="30"/>
      <c r="F434" s="8" t="s">
        <v>8</v>
      </c>
      <c r="G434" s="8">
        <f t="shared" si="17"/>
        <v>0</v>
      </c>
      <c r="H434" s="8">
        <f t="shared" si="17"/>
        <v>0</v>
      </c>
      <c r="I434" s="8">
        <f t="shared" si="17"/>
        <v>0</v>
      </c>
      <c r="J434" s="8">
        <f t="shared" si="17"/>
        <v>0</v>
      </c>
      <c r="K434" s="8">
        <f t="shared" si="17"/>
        <v>1</v>
      </c>
      <c r="L434" s="30"/>
    </row>
    <row r="435" spans="1:12" x14ac:dyDescent="0.25">
      <c r="A435" s="22"/>
      <c r="B435" s="35"/>
      <c r="C435" s="35"/>
      <c r="D435" s="35"/>
      <c r="E435" s="35"/>
      <c r="F435" s="8"/>
      <c r="G435" s="44"/>
      <c r="H435" s="44"/>
      <c r="I435" s="44"/>
      <c r="J435" s="44"/>
      <c r="K435" s="44"/>
      <c r="L435" s="24"/>
    </row>
    <row r="436" spans="1:12" s="20" customFormat="1" x14ac:dyDescent="0.25">
      <c r="A436" s="16">
        <v>3</v>
      </c>
      <c r="B436" s="17" t="s">
        <v>676</v>
      </c>
      <c r="C436" s="18"/>
      <c r="D436" s="17"/>
      <c r="E436" s="17"/>
      <c r="F436" s="8" t="s">
        <v>8</v>
      </c>
      <c r="G436" s="19"/>
      <c r="H436" s="19"/>
      <c r="I436" s="19"/>
      <c r="J436" s="19"/>
      <c r="K436" s="19"/>
      <c r="L436" s="17"/>
    </row>
    <row r="437" spans="1:12" s="20" customFormat="1" x14ac:dyDescent="0.25">
      <c r="A437" s="40">
        <v>3</v>
      </c>
      <c r="B437" s="17" t="s">
        <v>460</v>
      </c>
      <c r="C437" s="41"/>
      <c r="D437" s="42"/>
      <c r="E437" s="42"/>
      <c r="F437" s="8" t="s">
        <v>8</v>
      </c>
      <c r="G437" s="43"/>
      <c r="H437" s="43"/>
      <c r="I437" s="43"/>
      <c r="J437" s="43"/>
      <c r="K437" s="43"/>
      <c r="L437" s="42"/>
    </row>
    <row r="438" spans="1:12" outlineLevel="1" x14ac:dyDescent="0.25">
      <c r="A438" s="22">
        <f t="shared" si="16"/>
        <v>3.0001000000000002</v>
      </c>
      <c r="B438" s="28" t="s">
        <v>677</v>
      </c>
      <c r="C438" s="6" t="s">
        <v>678</v>
      </c>
      <c r="D438" s="7"/>
      <c r="E438" s="7"/>
      <c r="F438" s="8" t="s">
        <v>8</v>
      </c>
      <c r="G438" s="8">
        <f t="shared" ref="G438:K453" si="18">IF($F438=G$1,1,0)</f>
        <v>0</v>
      </c>
      <c r="H438" s="8">
        <f t="shared" si="18"/>
        <v>0</v>
      </c>
      <c r="I438" s="8">
        <f t="shared" si="18"/>
        <v>0</v>
      </c>
      <c r="J438" s="8">
        <f t="shared" si="18"/>
        <v>0</v>
      </c>
      <c r="K438" s="8">
        <f t="shared" si="18"/>
        <v>1</v>
      </c>
      <c r="L438" s="7"/>
    </row>
    <row r="439" spans="1:12" outlineLevel="1" x14ac:dyDescent="0.25">
      <c r="A439" s="22">
        <f t="shared" si="16"/>
        <v>3.0002000000000004</v>
      </c>
      <c r="B439" s="26" t="s">
        <v>30</v>
      </c>
      <c r="C439" s="24" t="s">
        <v>31</v>
      </c>
      <c r="D439" s="7"/>
      <c r="E439" s="7"/>
      <c r="F439" s="8" t="s">
        <v>8</v>
      </c>
      <c r="G439" s="8">
        <f t="shared" si="18"/>
        <v>0</v>
      </c>
      <c r="H439" s="8">
        <f t="shared" si="18"/>
        <v>0</v>
      </c>
      <c r="I439" s="8">
        <f t="shared" si="18"/>
        <v>0</v>
      </c>
      <c r="J439" s="8">
        <f t="shared" si="18"/>
        <v>0</v>
      </c>
      <c r="K439" s="8">
        <f t="shared" si="18"/>
        <v>1</v>
      </c>
      <c r="L439" s="7"/>
    </row>
    <row r="440" spans="1:12" outlineLevel="1" x14ac:dyDescent="0.25">
      <c r="A440" s="22">
        <f t="shared" si="16"/>
        <v>3.0003000000000006</v>
      </c>
      <c r="B440" s="27" t="s">
        <v>32</v>
      </c>
      <c r="C440" s="24" t="s">
        <v>33</v>
      </c>
      <c r="D440" s="7"/>
      <c r="E440" s="7"/>
      <c r="F440" s="8" t="s">
        <v>8</v>
      </c>
      <c r="G440" s="8">
        <f t="shared" si="18"/>
        <v>0</v>
      </c>
      <c r="H440" s="8">
        <f t="shared" si="18"/>
        <v>0</v>
      </c>
      <c r="I440" s="8">
        <f t="shared" si="18"/>
        <v>0</v>
      </c>
      <c r="J440" s="8">
        <f t="shared" si="18"/>
        <v>0</v>
      </c>
      <c r="K440" s="8">
        <f t="shared" si="18"/>
        <v>1</v>
      </c>
      <c r="L440" s="7"/>
    </row>
    <row r="441" spans="1:12" outlineLevel="1" x14ac:dyDescent="0.25">
      <c r="A441" s="22">
        <f t="shared" si="16"/>
        <v>3.0004000000000008</v>
      </c>
      <c r="B441" s="27" t="s">
        <v>44</v>
      </c>
      <c r="C441" s="24"/>
      <c r="D441" s="7"/>
      <c r="E441" s="7"/>
      <c r="F441" s="8" t="s">
        <v>8</v>
      </c>
      <c r="G441" s="8">
        <f t="shared" si="18"/>
        <v>0</v>
      </c>
      <c r="H441" s="8">
        <f t="shared" si="18"/>
        <v>0</v>
      </c>
      <c r="I441" s="8">
        <f t="shared" si="18"/>
        <v>0</v>
      </c>
      <c r="J441" s="8">
        <f t="shared" si="18"/>
        <v>0</v>
      </c>
      <c r="K441" s="8">
        <f t="shared" si="18"/>
        <v>1</v>
      </c>
      <c r="L441" s="7"/>
    </row>
    <row r="442" spans="1:12" outlineLevel="1" x14ac:dyDescent="0.25">
      <c r="A442" s="22">
        <f t="shared" si="16"/>
        <v>3.0005000000000011</v>
      </c>
      <c r="B442" s="26" t="s">
        <v>34</v>
      </c>
      <c r="C442" s="24" t="s">
        <v>35</v>
      </c>
      <c r="D442" s="7"/>
      <c r="E442" s="7"/>
      <c r="F442" s="8" t="s">
        <v>8</v>
      </c>
      <c r="G442" s="8">
        <f t="shared" si="18"/>
        <v>0</v>
      </c>
      <c r="H442" s="8">
        <f t="shared" si="18"/>
        <v>0</v>
      </c>
      <c r="I442" s="8">
        <f t="shared" si="18"/>
        <v>0</v>
      </c>
      <c r="J442" s="8">
        <f t="shared" si="18"/>
        <v>0</v>
      </c>
      <c r="K442" s="8">
        <f t="shared" si="18"/>
        <v>1</v>
      </c>
      <c r="L442" s="7"/>
    </row>
    <row r="443" spans="1:12" outlineLevel="1" x14ac:dyDescent="0.25">
      <c r="A443" s="22">
        <f t="shared" si="16"/>
        <v>3.0006000000000013</v>
      </c>
      <c r="B443" s="27" t="s">
        <v>32</v>
      </c>
      <c r="C443" s="24"/>
      <c r="D443" s="7"/>
      <c r="E443" s="7"/>
      <c r="F443" s="8" t="s">
        <v>8</v>
      </c>
      <c r="G443" s="8">
        <f t="shared" si="18"/>
        <v>0</v>
      </c>
      <c r="H443" s="8">
        <f t="shared" si="18"/>
        <v>0</v>
      </c>
      <c r="I443" s="8">
        <f t="shared" si="18"/>
        <v>0</v>
      </c>
      <c r="J443" s="8">
        <f t="shared" si="18"/>
        <v>0</v>
      </c>
      <c r="K443" s="8">
        <f t="shared" si="18"/>
        <v>1</v>
      </c>
      <c r="L443" s="7"/>
    </row>
    <row r="444" spans="1:12" outlineLevel="1" x14ac:dyDescent="0.25">
      <c r="A444" s="22">
        <f t="shared" si="16"/>
        <v>3.0007000000000015</v>
      </c>
      <c r="B444" s="27" t="s">
        <v>44</v>
      </c>
      <c r="C444" s="24"/>
      <c r="D444" s="7"/>
      <c r="E444" s="7"/>
      <c r="F444" s="8" t="s">
        <v>8</v>
      </c>
      <c r="G444" s="8">
        <f t="shared" si="18"/>
        <v>0</v>
      </c>
      <c r="H444" s="8">
        <f t="shared" si="18"/>
        <v>0</v>
      </c>
      <c r="I444" s="8">
        <f t="shared" si="18"/>
        <v>0</v>
      </c>
      <c r="J444" s="8">
        <f t="shared" si="18"/>
        <v>0</v>
      </c>
      <c r="K444" s="8">
        <f t="shared" si="18"/>
        <v>1</v>
      </c>
      <c r="L444" s="7"/>
    </row>
    <row r="445" spans="1:12" ht="51" outlineLevel="1" x14ac:dyDescent="0.25">
      <c r="A445" s="22">
        <f t="shared" si="16"/>
        <v>3.0008000000000017</v>
      </c>
      <c r="B445" s="26" t="s">
        <v>36</v>
      </c>
      <c r="C445" s="24" t="s">
        <v>38</v>
      </c>
      <c r="D445" s="7"/>
      <c r="E445" s="7"/>
      <c r="F445" s="8" t="s">
        <v>8</v>
      </c>
      <c r="G445" s="8">
        <f t="shared" si="18"/>
        <v>0</v>
      </c>
      <c r="H445" s="8">
        <f t="shared" si="18"/>
        <v>0</v>
      </c>
      <c r="I445" s="8">
        <f t="shared" si="18"/>
        <v>0</v>
      </c>
      <c r="J445" s="8">
        <f t="shared" si="18"/>
        <v>0</v>
      </c>
      <c r="K445" s="8">
        <f t="shared" si="18"/>
        <v>1</v>
      </c>
      <c r="L445" s="7"/>
    </row>
    <row r="446" spans="1:12" outlineLevel="1" x14ac:dyDescent="0.25">
      <c r="A446" s="22">
        <f t="shared" si="16"/>
        <v>3.0009000000000019</v>
      </c>
      <c r="B446" s="27" t="s">
        <v>45</v>
      </c>
      <c r="C446" s="24"/>
      <c r="D446" s="7"/>
      <c r="E446" s="7"/>
      <c r="F446" s="8" t="s">
        <v>8</v>
      </c>
      <c r="G446" s="8">
        <f t="shared" si="18"/>
        <v>0</v>
      </c>
      <c r="H446" s="8">
        <f t="shared" si="18"/>
        <v>0</v>
      </c>
      <c r="I446" s="8">
        <f t="shared" si="18"/>
        <v>0</v>
      </c>
      <c r="J446" s="8">
        <f t="shared" si="18"/>
        <v>0</v>
      </c>
      <c r="K446" s="8">
        <f t="shared" si="18"/>
        <v>1</v>
      </c>
      <c r="L446" s="7"/>
    </row>
    <row r="447" spans="1:12" outlineLevel="1" x14ac:dyDescent="0.25">
      <c r="A447" s="22">
        <f t="shared" si="16"/>
        <v>3.0010000000000021</v>
      </c>
      <c r="B447" s="27" t="s">
        <v>46</v>
      </c>
      <c r="C447" s="24"/>
      <c r="D447" s="7"/>
      <c r="E447" s="7"/>
      <c r="F447" s="8" t="s">
        <v>8</v>
      </c>
      <c r="G447" s="8">
        <f t="shared" si="18"/>
        <v>0</v>
      </c>
      <c r="H447" s="8">
        <f t="shared" si="18"/>
        <v>0</v>
      </c>
      <c r="I447" s="8">
        <f t="shared" si="18"/>
        <v>0</v>
      </c>
      <c r="J447" s="8">
        <f t="shared" si="18"/>
        <v>0</v>
      </c>
      <c r="K447" s="8">
        <f t="shared" si="18"/>
        <v>1</v>
      </c>
      <c r="L447" s="7"/>
    </row>
    <row r="448" spans="1:12" outlineLevel="1" x14ac:dyDescent="0.25">
      <c r="A448" s="22">
        <f t="shared" si="16"/>
        <v>3.0011000000000023</v>
      </c>
      <c r="B448" s="27" t="s">
        <v>47</v>
      </c>
      <c r="C448" s="24"/>
      <c r="D448" s="7"/>
      <c r="E448" s="7"/>
      <c r="F448" s="8" t="s">
        <v>8</v>
      </c>
      <c r="G448" s="8">
        <f t="shared" si="18"/>
        <v>0</v>
      </c>
      <c r="H448" s="8">
        <f t="shared" si="18"/>
        <v>0</v>
      </c>
      <c r="I448" s="8">
        <f t="shared" si="18"/>
        <v>0</v>
      </c>
      <c r="J448" s="8">
        <f t="shared" si="18"/>
        <v>0</v>
      </c>
      <c r="K448" s="8">
        <f t="shared" si="18"/>
        <v>1</v>
      </c>
      <c r="L448" s="7"/>
    </row>
    <row r="449" spans="1:12" outlineLevel="1" x14ac:dyDescent="0.25">
      <c r="A449" s="22">
        <f t="shared" si="16"/>
        <v>3.0012000000000025</v>
      </c>
      <c r="B449" s="29" t="s">
        <v>50</v>
      </c>
      <c r="C449" s="24"/>
      <c r="D449" s="7"/>
      <c r="E449" s="7"/>
      <c r="F449" s="8" t="s">
        <v>8</v>
      </c>
      <c r="G449" s="8">
        <f t="shared" si="18"/>
        <v>0</v>
      </c>
      <c r="H449" s="8">
        <f t="shared" si="18"/>
        <v>0</v>
      </c>
      <c r="I449" s="8">
        <f t="shared" si="18"/>
        <v>0</v>
      </c>
      <c r="J449" s="8">
        <f t="shared" si="18"/>
        <v>0</v>
      </c>
      <c r="K449" s="8">
        <f t="shared" si="18"/>
        <v>1</v>
      </c>
      <c r="L449" s="7"/>
    </row>
    <row r="450" spans="1:12" ht="25.5" outlineLevel="1" x14ac:dyDescent="0.25">
      <c r="A450" s="22">
        <f t="shared" si="16"/>
        <v>3.0013000000000027</v>
      </c>
      <c r="B450" s="28" t="s">
        <v>51</v>
      </c>
      <c r="C450" s="6" t="s">
        <v>52</v>
      </c>
      <c r="D450" s="7"/>
      <c r="E450" s="7"/>
      <c r="F450" s="8" t="s">
        <v>8</v>
      </c>
      <c r="G450" s="8">
        <f t="shared" si="18"/>
        <v>0</v>
      </c>
      <c r="H450" s="8">
        <f t="shared" si="18"/>
        <v>0</v>
      </c>
      <c r="I450" s="8">
        <f t="shared" si="18"/>
        <v>0</v>
      </c>
      <c r="J450" s="8">
        <f t="shared" si="18"/>
        <v>0</v>
      </c>
      <c r="K450" s="8">
        <f t="shared" si="18"/>
        <v>1</v>
      </c>
      <c r="L450" s="7"/>
    </row>
    <row r="451" spans="1:12" ht="25.5" outlineLevel="1" x14ac:dyDescent="0.25">
      <c r="A451" s="22">
        <f t="shared" si="16"/>
        <v>3.001400000000003</v>
      </c>
      <c r="B451" s="26" t="s">
        <v>53</v>
      </c>
      <c r="C451" s="24" t="s">
        <v>54</v>
      </c>
      <c r="D451" s="7"/>
      <c r="E451" s="7"/>
      <c r="F451" s="8" t="s">
        <v>8</v>
      </c>
      <c r="G451" s="8">
        <f t="shared" si="18"/>
        <v>0</v>
      </c>
      <c r="H451" s="8">
        <f t="shared" si="18"/>
        <v>0</v>
      </c>
      <c r="I451" s="8">
        <f t="shared" si="18"/>
        <v>0</v>
      </c>
      <c r="J451" s="8">
        <f t="shared" si="18"/>
        <v>0</v>
      </c>
      <c r="K451" s="8">
        <f t="shared" si="18"/>
        <v>1</v>
      </c>
      <c r="L451" s="7"/>
    </row>
    <row r="452" spans="1:12" outlineLevel="1" x14ac:dyDescent="0.25">
      <c r="A452" s="22">
        <f t="shared" si="16"/>
        <v>3.0015000000000032</v>
      </c>
      <c r="B452" s="29"/>
      <c r="C452" s="24" t="s">
        <v>55</v>
      </c>
      <c r="D452" s="7"/>
      <c r="E452" s="7"/>
      <c r="F452" s="8" t="s">
        <v>8</v>
      </c>
      <c r="G452" s="8">
        <f t="shared" si="18"/>
        <v>0</v>
      </c>
      <c r="H452" s="8">
        <f t="shared" si="18"/>
        <v>0</v>
      </c>
      <c r="I452" s="8">
        <f t="shared" si="18"/>
        <v>0</v>
      </c>
      <c r="J452" s="8">
        <f t="shared" si="18"/>
        <v>0</v>
      </c>
      <c r="K452" s="8">
        <f t="shared" si="18"/>
        <v>1</v>
      </c>
      <c r="L452" s="7"/>
    </row>
    <row r="453" spans="1:12" ht="38.25" outlineLevel="1" x14ac:dyDescent="0.25">
      <c r="A453" s="22">
        <f t="shared" si="16"/>
        <v>3.0016000000000034</v>
      </c>
      <c r="B453" s="28" t="s">
        <v>56</v>
      </c>
      <c r="C453" s="6" t="s">
        <v>57</v>
      </c>
      <c r="D453" s="7"/>
      <c r="E453" s="7"/>
      <c r="F453" s="8" t="s">
        <v>8</v>
      </c>
      <c r="G453" s="8">
        <f t="shared" si="18"/>
        <v>0</v>
      </c>
      <c r="H453" s="8">
        <f t="shared" si="18"/>
        <v>0</v>
      </c>
      <c r="I453" s="8">
        <f t="shared" si="18"/>
        <v>0</v>
      </c>
      <c r="J453" s="8">
        <f t="shared" si="18"/>
        <v>0</v>
      </c>
      <c r="K453" s="8">
        <f t="shared" si="18"/>
        <v>1</v>
      </c>
      <c r="L453" s="7"/>
    </row>
    <row r="454" spans="1:12" ht="25.5" outlineLevel="1" x14ac:dyDescent="0.25">
      <c r="A454" s="22">
        <f t="shared" si="16"/>
        <v>3.0017000000000036</v>
      </c>
      <c r="B454" s="26" t="s">
        <v>58</v>
      </c>
      <c r="C454" s="24" t="s">
        <v>59</v>
      </c>
      <c r="D454" s="7"/>
      <c r="E454" s="7"/>
      <c r="F454" s="8" t="s">
        <v>8</v>
      </c>
      <c r="G454" s="8">
        <f t="shared" ref="G454:K504" si="19">IF($F454=G$1,1,0)</f>
        <v>0</v>
      </c>
      <c r="H454" s="8">
        <f t="shared" si="19"/>
        <v>0</v>
      </c>
      <c r="I454" s="8">
        <f t="shared" si="19"/>
        <v>0</v>
      </c>
      <c r="J454" s="8">
        <f t="shared" si="19"/>
        <v>0</v>
      </c>
      <c r="K454" s="8">
        <f t="shared" si="19"/>
        <v>1</v>
      </c>
      <c r="L454" s="7"/>
    </row>
    <row r="455" spans="1:12" outlineLevel="1" x14ac:dyDescent="0.25">
      <c r="A455" s="22">
        <f t="shared" si="16"/>
        <v>3.0018000000000038</v>
      </c>
      <c r="B455" s="27" t="s">
        <v>60</v>
      </c>
      <c r="C455" s="24"/>
      <c r="D455" s="7"/>
      <c r="E455" s="7"/>
      <c r="F455" s="8" t="s">
        <v>8</v>
      </c>
      <c r="G455" s="8">
        <f t="shared" si="19"/>
        <v>0</v>
      </c>
      <c r="H455" s="8">
        <f t="shared" si="19"/>
        <v>0</v>
      </c>
      <c r="I455" s="8">
        <f t="shared" si="19"/>
        <v>0</v>
      </c>
      <c r="J455" s="8">
        <f t="shared" si="19"/>
        <v>0</v>
      </c>
      <c r="K455" s="8">
        <f t="shared" si="19"/>
        <v>1</v>
      </c>
      <c r="L455" s="7"/>
    </row>
    <row r="456" spans="1:12" outlineLevel="1" x14ac:dyDescent="0.25">
      <c r="A456" s="22">
        <f t="shared" si="16"/>
        <v>3.001900000000004</v>
      </c>
      <c r="B456" s="27" t="s">
        <v>61</v>
      </c>
      <c r="C456" s="24"/>
      <c r="D456" s="7"/>
      <c r="E456" s="7"/>
      <c r="F456" s="8" t="s">
        <v>8</v>
      </c>
      <c r="G456" s="8">
        <f t="shared" si="19"/>
        <v>0</v>
      </c>
      <c r="H456" s="8">
        <f t="shared" si="19"/>
        <v>0</v>
      </c>
      <c r="I456" s="8">
        <f t="shared" si="19"/>
        <v>0</v>
      </c>
      <c r="J456" s="8">
        <f t="shared" si="19"/>
        <v>0</v>
      </c>
      <c r="K456" s="8">
        <f t="shared" si="19"/>
        <v>1</v>
      </c>
      <c r="L456" s="7"/>
    </row>
    <row r="457" spans="1:12" outlineLevel="1" x14ac:dyDescent="0.25">
      <c r="A457" s="22">
        <f t="shared" si="16"/>
        <v>3.0020000000000042</v>
      </c>
      <c r="B457" s="27" t="s">
        <v>62</v>
      </c>
      <c r="C457" s="24"/>
      <c r="D457" s="7"/>
      <c r="E457" s="7"/>
      <c r="F457" s="8" t="s">
        <v>8</v>
      </c>
      <c r="G457" s="8">
        <f t="shared" si="19"/>
        <v>0</v>
      </c>
      <c r="H457" s="8">
        <f t="shared" si="19"/>
        <v>0</v>
      </c>
      <c r="I457" s="8">
        <f t="shared" si="19"/>
        <v>0</v>
      </c>
      <c r="J457" s="8">
        <f t="shared" si="19"/>
        <v>0</v>
      </c>
      <c r="K457" s="8">
        <f t="shared" si="19"/>
        <v>1</v>
      </c>
      <c r="L457" s="7"/>
    </row>
    <row r="458" spans="1:12" outlineLevel="1" x14ac:dyDescent="0.25">
      <c r="A458" s="22">
        <f t="shared" si="16"/>
        <v>3.0021000000000044</v>
      </c>
      <c r="B458" s="27" t="s">
        <v>63</v>
      </c>
      <c r="C458" s="24"/>
      <c r="D458" s="7"/>
      <c r="E458" s="7"/>
      <c r="F458" s="8" t="s">
        <v>8</v>
      </c>
      <c r="G458" s="8">
        <f t="shared" si="19"/>
        <v>0</v>
      </c>
      <c r="H458" s="8">
        <f t="shared" si="19"/>
        <v>0</v>
      </c>
      <c r="I458" s="8">
        <f t="shared" si="19"/>
        <v>0</v>
      </c>
      <c r="J458" s="8">
        <f t="shared" si="19"/>
        <v>0</v>
      </c>
      <c r="K458" s="8">
        <f t="shared" si="19"/>
        <v>1</v>
      </c>
      <c r="L458" s="7"/>
    </row>
    <row r="459" spans="1:12" outlineLevel="1" x14ac:dyDescent="0.25">
      <c r="A459" s="22">
        <f t="shared" si="16"/>
        <v>3.0022000000000046</v>
      </c>
      <c r="B459" s="27" t="s">
        <v>64</v>
      </c>
      <c r="C459" s="24"/>
      <c r="D459" s="7"/>
      <c r="E459" s="7"/>
      <c r="F459" s="8" t="s">
        <v>8</v>
      </c>
      <c r="G459" s="8">
        <f t="shared" si="19"/>
        <v>0</v>
      </c>
      <c r="H459" s="8">
        <f t="shared" si="19"/>
        <v>0</v>
      </c>
      <c r="I459" s="8">
        <f t="shared" si="19"/>
        <v>0</v>
      </c>
      <c r="J459" s="8">
        <f t="shared" si="19"/>
        <v>0</v>
      </c>
      <c r="K459" s="8">
        <f t="shared" si="19"/>
        <v>1</v>
      </c>
      <c r="L459" s="7"/>
    </row>
    <row r="460" spans="1:12" outlineLevel="1" x14ac:dyDescent="0.25">
      <c r="A460" s="22">
        <f t="shared" si="16"/>
        <v>3.0023000000000049</v>
      </c>
      <c r="B460" s="27" t="s">
        <v>65</v>
      </c>
      <c r="C460" s="24"/>
      <c r="D460" s="7"/>
      <c r="E460" s="7"/>
      <c r="F460" s="8" t="s">
        <v>8</v>
      </c>
      <c r="G460" s="8">
        <f t="shared" si="19"/>
        <v>0</v>
      </c>
      <c r="H460" s="8">
        <f t="shared" si="19"/>
        <v>0</v>
      </c>
      <c r="I460" s="8">
        <f t="shared" si="19"/>
        <v>0</v>
      </c>
      <c r="J460" s="8">
        <f t="shared" si="19"/>
        <v>0</v>
      </c>
      <c r="K460" s="8">
        <f t="shared" si="19"/>
        <v>1</v>
      </c>
      <c r="L460" s="7"/>
    </row>
    <row r="461" spans="1:12" outlineLevel="1" x14ac:dyDescent="0.25">
      <c r="A461" s="22">
        <f t="shared" si="16"/>
        <v>3.0024000000000051</v>
      </c>
      <c r="B461" s="27" t="s">
        <v>66</v>
      </c>
      <c r="C461" s="24"/>
      <c r="D461" s="7"/>
      <c r="E461" s="7"/>
      <c r="F461" s="8" t="s">
        <v>8</v>
      </c>
      <c r="G461" s="8">
        <f t="shared" si="19"/>
        <v>0</v>
      </c>
      <c r="H461" s="8">
        <f t="shared" si="19"/>
        <v>0</v>
      </c>
      <c r="I461" s="8">
        <f t="shared" si="19"/>
        <v>0</v>
      </c>
      <c r="J461" s="8">
        <f t="shared" si="19"/>
        <v>0</v>
      </c>
      <c r="K461" s="8">
        <f t="shared" si="19"/>
        <v>1</v>
      </c>
      <c r="L461" s="7"/>
    </row>
    <row r="462" spans="1:12" ht="25.5" outlineLevel="1" x14ac:dyDescent="0.25">
      <c r="A462" s="22">
        <f t="shared" si="16"/>
        <v>3.0025000000000053</v>
      </c>
      <c r="B462" s="26" t="s">
        <v>67</v>
      </c>
      <c r="C462" s="24" t="s">
        <v>68</v>
      </c>
      <c r="D462" s="7"/>
      <c r="E462" s="7"/>
      <c r="F462" s="8" t="s">
        <v>8</v>
      </c>
      <c r="G462" s="8">
        <f t="shared" si="19"/>
        <v>0</v>
      </c>
      <c r="H462" s="8">
        <f t="shared" si="19"/>
        <v>0</v>
      </c>
      <c r="I462" s="8">
        <f t="shared" si="19"/>
        <v>0</v>
      </c>
      <c r="J462" s="8">
        <f t="shared" si="19"/>
        <v>0</v>
      </c>
      <c r="K462" s="8">
        <f t="shared" si="19"/>
        <v>1</v>
      </c>
      <c r="L462" s="7"/>
    </row>
    <row r="463" spans="1:12" outlineLevel="1" x14ac:dyDescent="0.25">
      <c r="A463" s="22">
        <f t="shared" si="16"/>
        <v>3.0026000000000055</v>
      </c>
      <c r="B463" s="27" t="s">
        <v>69</v>
      </c>
      <c r="C463" s="24" t="s">
        <v>69</v>
      </c>
      <c r="D463" s="7"/>
      <c r="E463" s="7"/>
      <c r="F463" s="8" t="s">
        <v>8</v>
      </c>
      <c r="G463" s="8">
        <f t="shared" si="19"/>
        <v>0</v>
      </c>
      <c r="H463" s="8">
        <f t="shared" si="19"/>
        <v>0</v>
      </c>
      <c r="I463" s="8">
        <f t="shared" si="19"/>
        <v>0</v>
      </c>
      <c r="J463" s="8">
        <f t="shared" si="19"/>
        <v>0</v>
      </c>
      <c r="K463" s="8">
        <f t="shared" si="19"/>
        <v>1</v>
      </c>
      <c r="L463" s="7"/>
    </row>
    <row r="464" spans="1:12" outlineLevel="1" x14ac:dyDescent="0.25">
      <c r="A464" s="22">
        <f t="shared" si="16"/>
        <v>3.0027000000000057</v>
      </c>
      <c r="B464" s="27"/>
      <c r="C464" s="24" t="s">
        <v>70</v>
      </c>
      <c r="D464" s="7"/>
      <c r="E464" s="7"/>
      <c r="F464" s="8" t="s">
        <v>8</v>
      </c>
      <c r="G464" s="8">
        <f t="shared" si="19"/>
        <v>0</v>
      </c>
      <c r="H464" s="8">
        <f t="shared" si="19"/>
        <v>0</v>
      </c>
      <c r="I464" s="8">
        <f t="shared" si="19"/>
        <v>0</v>
      </c>
      <c r="J464" s="8">
        <f t="shared" si="19"/>
        <v>0</v>
      </c>
      <c r="K464" s="8">
        <f t="shared" si="19"/>
        <v>1</v>
      </c>
      <c r="L464" s="7"/>
    </row>
    <row r="465" spans="1:12" outlineLevel="1" x14ac:dyDescent="0.25">
      <c r="A465" s="22">
        <f t="shared" ref="A465:A658" si="20">A464+0.0001</f>
        <v>3.0028000000000059</v>
      </c>
      <c r="B465" s="27"/>
      <c r="C465" s="24" t="s">
        <v>71</v>
      </c>
      <c r="D465" s="7"/>
      <c r="E465" s="7"/>
      <c r="F465" s="8" t="s">
        <v>8</v>
      </c>
      <c r="G465" s="8">
        <f t="shared" si="19"/>
        <v>0</v>
      </c>
      <c r="H465" s="8">
        <f t="shared" si="19"/>
        <v>0</v>
      </c>
      <c r="I465" s="8">
        <f t="shared" si="19"/>
        <v>0</v>
      </c>
      <c r="J465" s="8">
        <f t="shared" si="19"/>
        <v>0</v>
      </c>
      <c r="K465" s="8">
        <f t="shared" si="19"/>
        <v>1</v>
      </c>
      <c r="L465" s="7"/>
    </row>
    <row r="466" spans="1:12" outlineLevel="1" x14ac:dyDescent="0.25">
      <c r="A466" s="22">
        <f t="shared" si="20"/>
        <v>3.0029000000000061</v>
      </c>
      <c r="B466" s="26" t="s">
        <v>679</v>
      </c>
      <c r="C466" s="24" t="s">
        <v>680</v>
      </c>
      <c r="D466" s="7"/>
      <c r="E466" s="7"/>
      <c r="F466" s="8" t="s">
        <v>8</v>
      </c>
      <c r="G466" s="8">
        <f t="shared" si="19"/>
        <v>0</v>
      </c>
      <c r="H466" s="8">
        <f t="shared" si="19"/>
        <v>0</v>
      </c>
      <c r="I466" s="8">
        <f t="shared" si="19"/>
        <v>0</v>
      </c>
      <c r="J466" s="8">
        <f t="shared" si="19"/>
        <v>0</v>
      </c>
      <c r="K466" s="8">
        <f t="shared" si="19"/>
        <v>1</v>
      </c>
      <c r="L466" s="7"/>
    </row>
    <row r="467" spans="1:12" outlineLevel="1" x14ac:dyDescent="0.25">
      <c r="A467" s="22">
        <f t="shared" si="20"/>
        <v>3.0030000000000063</v>
      </c>
      <c r="B467" s="27"/>
      <c r="C467" s="24" t="s">
        <v>681</v>
      </c>
      <c r="D467" s="7"/>
      <c r="E467" s="7"/>
      <c r="F467" s="8" t="s">
        <v>8</v>
      </c>
      <c r="G467" s="8">
        <f t="shared" si="19"/>
        <v>0</v>
      </c>
      <c r="H467" s="8">
        <f t="shared" si="19"/>
        <v>0</v>
      </c>
      <c r="I467" s="8">
        <f t="shared" si="19"/>
        <v>0</v>
      </c>
      <c r="J467" s="8">
        <f t="shared" si="19"/>
        <v>0</v>
      </c>
      <c r="K467" s="8">
        <f t="shared" si="19"/>
        <v>1</v>
      </c>
      <c r="L467" s="7"/>
    </row>
    <row r="468" spans="1:12" outlineLevel="1" x14ac:dyDescent="0.25">
      <c r="A468" s="22">
        <f t="shared" si="20"/>
        <v>3.0031000000000065</v>
      </c>
      <c r="B468" s="27"/>
      <c r="C468" s="24" t="s">
        <v>73</v>
      </c>
      <c r="D468" s="7"/>
      <c r="E468" s="7"/>
      <c r="F468" s="8" t="s">
        <v>8</v>
      </c>
      <c r="G468" s="8">
        <f t="shared" si="19"/>
        <v>0</v>
      </c>
      <c r="H468" s="8">
        <f t="shared" si="19"/>
        <v>0</v>
      </c>
      <c r="I468" s="8">
        <f t="shared" si="19"/>
        <v>0</v>
      </c>
      <c r="J468" s="8">
        <f t="shared" si="19"/>
        <v>0</v>
      </c>
      <c r="K468" s="8">
        <f t="shared" si="19"/>
        <v>1</v>
      </c>
      <c r="L468" s="7"/>
    </row>
    <row r="469" spans="1:12" ht="38.25" outlineLevel="1" x14ac:dyDescent="0.25">
      <c r="A469" s="22">
        <f t="shared" si="20"/>
        <v>3.0032000000000068</v>
      </c>
      <c r="B469" s="27"/>
      <c r="C469" s="24" t="s">
        <v>682</v>
      </c>
      <c r="D469" s="7"/>
      <c r="E469" s="7"/>
      <c r="F469" s="8" t="s">
        <v>8</v>
      </c>
      <c r="G469" s="8">
        <f t="shared" si="19"/>
        <v>0</v>
      </c>
      <c r="H469" s="8">
        <f t="shared" si="19"/>
        <v>0</v>
      </c>
      <c r="I469" s="8">
        <f t="shared" si="19"/>
        <v>0</v>
      </c>
      <c r="J469" s="8">
        <f t="shared" si="19"/>
        <v>0</v>
      </c>
      <c r="K469" s="8">
        <f t="shared" si="19"/>
        <v>1</v>
      </c>
      <c r="L469" s="7"/>
    </row>
    <row r="470" spans="1:12" ht="25.5" outlineLevel="1" x14ac:dyDescent="0.25">
      <c r="A470" s="22">
        <f t="shared" si="20"/>
        <v>3.003300000000007</v>
      </c>
      <c r="B470" s="27"/>
      <c r="C470" s="24" t="s">
        <v>75</v>
      </c>
      <c r="D470" s="7"/>
      <c r="E470" s="7"/>
      <c r="F470" s="8" t="s">
        <v>8</v>
      </c>
      <c r="G470" s="8">
        <f t="shared" si="19"/>
        <v>0</v>
      </c>
      <c r="H470" s="8">
        <f t="shared" si="19"/>
        <v>0</v>
      </c>
      <c r="I470" s="8">
        <f t="shared" si="19"/>
        <v>0</v>
      </c>
      <c r="J470" s="8">
        <f t="shared" si="19"/>
        <v>0</v>
      </c>
      <c r="K470" s="8">
        <f t="shared" si="19"/>
        <v>1</v>
      </c>
      <c r="L470" s="7"/>
    </row>
    <row r="471" spans="1:12" ht="25.5" outlineLevel="1" x14ac:dyDescent="0.25">
      <c r="A471" s="22">
        <f t="shared" si="20"/>
        <v>3.0034000000000072</v>
      </c>
      <c r="B471" s="27"/>
      <c r="C471" s="24" t="s">
        <v>76</v>
      </c>
      <c r="D471" s="7"/>
      <c r="E471" s="7"/>
      <c r="F471" s="8" t="s">
        <v>8</v>
      </c>
      <c r="G471" s="8">
        <f t="shared" si="19"/>
        <v>0</v>
      </c>
      <c r="H471" s="8">
        <f t="shared" si="19"/>
        <v>0</v>
      </c>
      <c r="I471" s="8">
        <f t="shared" si="19"/>
        <v>0</v>
      </c>
      <c r="J471" s="8">
        <f t="shared" si="19"/>
        <v>0</v>
      </c>
      <c r="K471" s="8">
        <f t="shared" si="19"/>
        <v>1</v>
      </c>
      <c r="L471" s="7"/>
    </row>
    <row r="472" spans="1:12" outlineLevel="1" x14ac:dyDescent="0.25">
      <c r="A472" s="22">
        <f t="shared" si="20"/>
        <v>3.0035000000000074</v>
      </c>
      <c r="B472" s="26" t="s">
        <v>683</v>
      </c>
      <c r="C472" s="24" t="s">
        <v>680</v>
      </c>
      <c r="D472" s="7"/>
      <c r="E472" s="7"/>
      <c r="F472" s="8" t="s">
        <v>8</v>
      </c>
      <c r="G472" s="8">
        <f t="shared" si="19"/>
        <v>0</v>
      </c>
      <c r="H472" s="8">
        <f t="shared" si="19"/>
        <v>0</v>
      </c>
      <c r="I472" s="8">
        <f t="shared" si="19"/>
        <v>0</v>
      </c>
      <c r="J472" s="8">
        <f t="shared" si="19"/>
        <v>0</v>
      </c>
      <c r="K472" s="8">
        <f t="shared" si="19"/>
        <v>1</v>
      </c>
      <c r="L472" s="7"/>
    </row>
    <row r="473" spans="1:12" outlineLevel="1" x14ac:dyDescent="0.25">
      <c r="A473" s="22">
        <f t="shared" si="20"/>
        <v>3.0036000000000076</v>
      </c>
      <c r="B473" s="27"/>
      <c r="C473" s="24" t="s">
        <v>681</v>
      </c>
      <c r="D473" s="7"/>
      <c r="E473" s="7"/>
      <c r="F473" s="8" t="s">
        <v>8</v>
      </c>
      <c r="G473" s="8">
        <f t="shared" si="19"/>
        <v>0</v>
      </c>
      <c r="H473" s="8">
        <f t="shared" si="19"/>
        <v>0</v>
      </c>
      <c r="I473" s="8">
        <f t="shared" si="19"/>
        <v>0</v>
      </c>
      <c r="J473" s="8">
        <f t="shared" si="19"/>
        <v>0</v>
      </c>
      <c r="K473" s="8">
        <f t="shared" si="19"/>
        <v>1</v>
      </c>
      <c r="L473" s="7"/>
    </row>
    <row r="474" spans="1:12" outlineLevel="1" x14ac:dyDescent="0.25">
      <c r="A474" s="22">
        <f t="shared" si="20"/>
        <v>3.0037000000000078</v>
      </c>
      <c r="B474" s="27"/>
      <c r="C474" s="24" t="s">
        <v>78</v>
      </c>
      <c r="D474" s="7"/>
      <c r="E474" s="7"/>
      <c r="F474" s="8" t="s">
        <v>8</v>
      </c>
      <c r="G474" s="8">
        <f t="shared" si="19"/>
        <v>0</v>
      </c>
      <c r="H474" s="8">
        <f t="shared" si="19"/>
        <v>0</v>
      </c>
      <c r="I474" s="8">
        <f t="shared" si="19"/>
        <v>0</v>
      </c>
      <c r="J474" s="8">
        <f t="shared" si="19"/>
        <v>0</v>
      </c>
      <c r="K474" s="8">
        <f t="shared" si="19"/>
        <v>1</v>
      </c>
      <c r="L474" s="7"/>
    </row>
    <row r="475" spans="1:12" ht="25.5" outlineLevel="1" x14ac:dyDescent="0.25">
      <c r="A475" s="22">
        <f t="shared" si="20"/>
        <v>3.003800000000008</v>
      </c>
      <c r="B475" s="27"/>
      <c r="C475" s="24" t="s">
        <v>684</v>
      </c>
      <c r="D475" s="7"/>
      <c r="E475" s="7"/>
      <c r="F475" s="8" t="s">
        <v>8</v>
      </c>
      <c r="G475" s="8">
        <f t="shared" si="19"/>
        <v>0</v>
      </c>
      <c r="H475" s="8">
        <f t="shared" si="19"/>
        <v>0</v>
      </c>
      <c r="I475" s="8">
        <f t="shared" si="19"/>
        <v>0</v>
      </c>
      <c r="J475" s="8">
        <f t="shared" si="19"/>
        <v>0</v>
      </c>
      <c r="K475" s="8">
        <f t="shared" si="19"/>
        <v>1</v>
      </c>
      <c r="L475" s="7"/>
    </row>
    <row r="476" spans="1:12" ht="25.5" outlineLevel="1" x14ac:dyDescent="0.25">
      <c r="A476" s="22">
        <f t="shared" si="20"/>
        <v>3.0039000000000082</v>
      </c>
      <c r="B476" s="27"/>
      <c r="C476" s="24" t="s">
        <v>75</v>
      </c>
      <c r="D476" s="7"/>
      <c r="E476" s="7"/>
      <c r="F476" s="8" t="s">
        <v>8</v>
      </c>
      <c r="G476" s="8">
        <f t="shared" si="19"/>
        <v>0</v>
      </c>
      <c r="H476" s="8">
        <f t="shared" si="19"/>
        <v>0</v>
      </c>
      <c r="I476" s="8">
        <f t="shared" si="19"/>
        <v>0</v>
      </c>
      <c r="J476" s="8">
        <f t="shared" si="19"/>
        <v>0</v>
      </c>
      <c r="K476" s="8">
        <f t="shared" si="19"/>
        <v>1</v>
      </c>
      <c r="L476" s="7"/>
    </row>
    <row r="477" spans="1:12" outlineLevel="1" x14ac:dyDescent="0.25">
      <c r="A477" s="22">
        <f t="shared" si="20"/>
        <v>3.0040000000000084</v>
      </c>
      <c r="B477" s="26" t="s">
        <v>685</v>
      </c>
      <c r="C477" s="24" t="s">
        <v>82</v>
      </c>
      <c r="D477" s="7"/>
      <c r="E477" s="7"/>
      <c r="F477" s="8" t="s">
        <v>8</v>
      </c>
      <c r="G477" s="8">
        <f t="shared" si="19"/>
        <v>0</v>
      </c>
      <c r="H477" s="8">
        <f t="shared" si="19"/>
        <v>0</v>
      </c>
      <c r="I477" s="8">
        <f t="shared" si="19"/>
        <v>0</v>
      </c>
      <c r="J477" s="8">
        <f t="shared" si="19"/>
        <v>0</v>
      </c>
      <c r="K477" s="8">
        <f t="shared" si="19"/>
        <v>1</v>
      </c>
      <c r="L477" s="7"/>
    </row>
    <row r="478" spans="1:12" ht="25.5" outlineLevel="1" x14ac:dyDescent="0.25">
      <c r="A478" s="22">
        <f t="shared" si="20"/>
        <v>3.0041000000000087</v>
      </c>
      <c r="B478" s="27"/>
      <c r="C478" s="24" t="s">
        <v>83</v>
      </c>
      <c r="D478" s="7"/>
      <c r="E478" s="7"/>
      <c r="F478" s="8" t="s">
        <v>8</v>
      </c>
      <c r="G478" s="8">
        <f t="shared" si="19"/>
        <v>0</v>
      </c>
      <c r="H478" s="8">
        <f t="shared" si="19"/>
        <v>0</v>
      </c>
      <c r="I478" s="8">
        <f t="shared" si="19"/>
        <v>0</v>
      </c>
      <c r="J478" s="8">
        <f t="shared" si="19"/>
        <v>0</v>
      </c>
      <c r="K478" s="8">
        <f t="shared" si="19"/>
        <v>1</v>
      </c>
      <c r="L478" s="7"/>
    </row>
    <row r="479" spans="1:12" ht="38.25" outlineLevel="1" x14ac:dyDescent="0.25">
      <c r="A479" s="22">
        <f t="shared" si="20"/>
        <v>3.0042000000000089</v>
      </c>
      <c r="B479" s="26" t="s">
        <v>84</v>
      </c>
      <c r="C479" s="24" t="s">
        <v>85</v>
      </c>
      <c r="D479" s="7"/>
      <c r="E479" s="7"/>
      <c r="F479" s="8" t="s">
        <v>8</v>
      </c>
      <c r="G479" s="8">
        <f t="shared" si="19"/>
        <v>0</v>
      </c>
      <c r="H479" s="8">
        <f t="shared" si="19"/>
        <v>0</v>
      </c>
      <c r="I479" s="8">
        <f t="shared" si="19"/>
        <v>0</v>
      </c>
      <c r="J479" s="8">
        <f t="shared" si="19"/>
        <v>0</v>
      </c>
      <c r="K479" s="8">
        <f t="shared" si="19"/>
        <v>1</v>
      </c>
      <c r="L479" s="7"/>
    </row>
    <row r="480" spans="1:12" ht="25.5" outlineLevel="1" x14ac:dyDescent="0.25">
      <c r="A480" s="22">
        <f t="shared" si="20"/>
        <v>3.0043000000000091</v>
      </c>
      <c r="B480" s="27"/>
      <c r="C480" s="24" t="s">
        <v>86</v>
      </c>
      <c r="D480" s="7"/>
      <c r="E480" s="7"/>
      <c r="F480" s="8" t="s">
        <v>8</v>
      </c>
      <c r="G480" s="8">
        <f t="shared" si="19"/>
        <v>0</v>
      </c>
      <c r="H480" s="8">
        <f t="shared" si="19"/>
        <v>0</v>
      </c>
      <c r="I480" s="8">
        <f t="shared" si="19"/>
        <v>0</v>
      </c>
      <c r="J480" s="8">
        <f t="shared" si="19"/>
        <v>0</v>
      </c>
      <c r="K480" s="8">
        <f t="shared" si="19"/>
        <v>1</v>
      </c>
      <c r="L480" s="7"/>
    </row>
    <row r="481" spans="1:12" ht="25.5" outlineLevel="1" x14ac:dyDescent="0.25">
      <c r="A481" s="22">
        <f t="shared" si="20"/>
        <v>3.0044000000000093</v>
      </c>
      <c r="B481" s="27"/>
      <c r="C481" s="24" t="s">
        <v>686</v>
      </c>
      <c r="D481" s="7"/>
      <c r="E481" s="7"/>
      <c r="F481" s="8" t="s">
        <v>8</v>
      </c>
      <c r="G481" s="8">
        <f t="shared" si="19"/>
        <v>0</v>
      </c>
      <c r="H481" s="8">
        <f t="shared" si="19"/>
        <v>0</v>
      </c>
      <c r="I481" s="8">
        <f t="shared" si="19"/>
        <v>0</v>
      </c>
      <c r="J481" s="8">
        <f t="shared" si="19"/>
        <v>0</v>
      </c>
      <c r="K481" s="8">
        <f t="shared" si="19"/>
        <v>1</v>
      </c>
      <c r="L481" s="7"/>
    </row>
    <row r="482" spans="1:12" outlineLevel="1" x14ac:dyDescent="0.25">
      <c r="A482" s="22">
        <f t="shared" si="20"/>
        <v>3.0045000000000095</v>
      </c>
      <c r="B482" s="26" t="s">
        <v>20</v>
      </c>
      <c r="C482" s="24" t="s">
        <v>88</v>
      </c>
      <c r="D482" s="7"/>
      <c r="E482" s="7"/>
      <c r="F482" s="8" t="s">
        <v>8</v>
      </c>
      <c r="G482" s="8">
        <f t="shared" si="19"/>
        <v>0</v>
      </c>
      <c r="H482" s="8">
        <f t="shared" si="19"/>
        <v>0</v>
      </c>
      <c r="I482" s="8">
        <f t="shared" si="19"/>
        <v>0</v>
      </c>
      <c r="J482" s="8">
        <f t="shared" si="19"/>
        <v>0</v>
      </c>
      <c r="K482" s="8">
        <f t="shared" si="19"/>
        <v>1</v>
      </c>
      <c r="L482" s="7"/>
    </row>
    <row r="483" spans="1:12" outlineLevel="1" x14ac:dyDescent="0.25">
      <c r="A483" s="22">
        <f t="shared" si="20"/>
        <v>3.0046000000000097</v>
      </c>
      <c r="B483" s="31" t="s">
        <v>22</v>
      </c>
      <c r="C483" s="24"/>
      <c r="D483" s="7"/>
      <c r="E483" s="7"/>
      <c r="F483" s="8" t="s">
        <v>8</v>
      </c>
      <c r="G483" s="8">
        <f t="shared" si="19"/>
        <v>0</v>
      </c>
      <c r="H483" s="8">
        <f t="shared" si="19"/>
        <v>0</v>
      </c>
      <c r="I483" s="8">
        <f t="shared" si="19"/>
        <v>0</v>
      </c>
      <c r="J483" s="8">
        <f t="shared" si="19"/>
        <v>0</v>
      </c>
      <c r="K483" s="8">
        <f t="shared" si="19"/>
        <v>1</v>
      </c>
      <c r="L483" s="7"/>
    </row>
    <row r="484" spans="1:12" outlineLevel="1" x14ac:dyDescent="0.25">
      <c r="A484" s="22">
        <f t="shared" si="20"/>
        <v>3.0047000000000099</v>
      </c>
      <c r="B484" s="31" t="s">
        <v>89</v>
      </c>
      <c r="C484" s="24"/>
      <c r="D484" s="7"/>
      <c r="E484" s="7"/>
      <c r="F484" s="8" t="s">
        <v>8</v>
      </c>
      <c r="G484" s="8">
        <f t="shared" si="19"/>
        <v>0</v>
      </c>
      <c r="H484" s="8">
        <f t="shared" si="19"/>
        <v>0</v>
      </c>
      <c r="I484" s="8">
        <f t="shared" si="19"/>
        <v>0</v>
      </c>
      <c r="J484" s="8">
        <f t="shared" si="19"/>
        <v>0</v>
      </c>
      <c r="K484" s="8">
        <f t="shared" si="19"/>
        <v>1</v>
      </c>
      <c r="L484" s="7"/>
    </row>
    <row r="485" spans="1:12" outlineLevel="1" x14ac:dyDescent="0.25">
      <c r="A485" s="22">
        <f t="shared" si="20"/>
        <v>3.0048000000000101</v>
      </c>
      <c r="B485" s="31" t="s">
        <v>90</v>
      </c>
      <c r="C485" s="24"/>
      <c r="D485" s="7"/>
      <c r="E485" s="7"/>
      <c r="F485" s="8" t="s">
        <v>8</v>
      </c>
      <c r="G485" s="8">
        <f t="shared" si="19"/>
        <v>0</v>
      </c>
      <c r="H485" s="8">
        <f t="shared" si="19"/>
        <v>0</v>
      </c>
      <c r="I485" s="8">
        <f t="shared" si="19"/>
        <v>0</v>
      </c>
      <c r="J485" s="8">
        <f t="shared" si="19"/>
        <v>0</v>
      </c>
      <c r="K485" s="8">
        <f t="shared" si="19"/>
        <v>1</v>
      </c>
      <c r="L485" s="7"/>
    </row>
    <row r="486" spans="1:12" outlineLevel="1" x14ac:dyDescent="0.25">
      <c r="A486" s="22">
        <f t="shared" si="20"/>
        <v>3.0049000000000103</v>
      </c>
      <c r="B486" s="31" t="s">
        <v>24</v>
      </c>
      <c r="C486" s="24"/>
      <c r="D486" s="7"/>
      <c r="E486" s="7"/>
      <c r="F486" s="8" t="s">
        <v>8</v>
      </c>
      <c r="G486" s="8">
        <f t="shared" si="19"/>
        <v>0</v>
      </c>
      <c r="H486" s="8">
        <f t="shared" si="19"/>
        <v>0</v>
      </c>
      <c r="I486" s="8">
        <f t="shared" si="19"/>
        <v>0</v>
      </c>
      <c r="J486" s="8">
        <f t="shared" si="19"/>
        <v>0</v>
      </c>
      <c r="K486" s="8">
        <f t="shared" si="19"/>
        <v>1</v>
      </c>
      <c r="L486" s="7"/>
    </row>
    <row r="487" spans="1:12" ht="25.5" outlineLevel="1" x14ac:dyDescent="0.25">
      <c r="A487" s="22">
        <f t="shared" si="20"/>
        <v>3.0050000000000106</v>
      </c>
      <c r="B487" s="26" t="s">
        <v>91</v>
      </c>
      <c r="C487" s="24" t="s">
        <v>92</v>
      </c>
      <c r="D487" s="7"/>
      <c r="E487" s="7"/>
      <c r="F487" s="8" t="s">
        <v>8</v>
      </c>
      <c r="G487" s="8">
        <f t="shared" si="19"/>
        <v>0</v>
      </c>
      <c r="H487" s="8">
        <f t="shared" si="19"/>
        <v>0</v>
      </c>
      <c r="I487" s="8">
        <f t="shared" si="19"/>
        <v>0</v>
      </c>
      <c r="J487" s="8">
        <f t="shared" si="19"/>
        <v>0</v>
      </c>
      <c r="K487" s="8">
        <f t="shared" si="19"/>
        <v>1</v>
      </c>
      <c r="L487" s="7"/>
    </row>
    <row r="488" spans="1:12" ht="25.5" outlineLevel="1" x14ac:dyDescent="0.25">
      <c r="A488" s="22">
        <f t="shared" si="20"/>
        <v>3.0051000000000108</v>
      </c>
      <c r="B488" s="27"/>
      <c r="C488" s="24" t="s">
        <v>93</v>
      </c>
      <c r="D488" s="7"/>
      <c r="E488" s="7"/>
      <c r="F488" s="8" t="s">
        <v>8</v>
      </c>
      <c r="G488" s="8">
        <f t="shared" si="19"/>
        <v>0</v>
      </c>
      <c r="H488" s="8">
        <f t="shared" si="19"/>
        <v>0</v>
      </c>
      <c r="I488" s="8">
        <f t="shared" si="19"/>
        <v>0</v>
      </c>
      <c r="J488" s="8">
        <f t="shared" si="19"/>
        <v>0</v>
      </c>
      <c r="K488" s="8">
        <f t="shared" si="19"/>
        <v>1</v>
      </c>
      <c r="L488" s="7"/>
    </row>
    <row r="489" spans="1:12" outlineLevel="1" x14ac:dyDescent="0.25">
      <c r="A489" s="22">
        <f t="shared" si="20"/>
        <v>3.005200000000011</v>
      </c>
      <c r="B489" s="26" t="s">
        <v>94</v>
      </c>
      <c r="C489" s="24" t="s">
        <v>95</v>
      </c>
      <c r="D489" s="7"/>
      <c r="E489" s="7"/>
      <c r="F489" s="8" t="s">
        <v>8</v>
      </c>
      <c r="G489" s="8">
        <f t="shared" si="19"/>
        <v>0</v>
      </c>
      <c r="H489" s="8">
        <f t="shared" si="19"/>
        <v>0</v>
      </c>
      <c r="I489" s="8">
        <f t="shared" si="19"/>
        <v>0</v>
      </c>
      <c r="J489" s="8">
        <f t="shared" si="19"/>
        <v>0</v>
      </c>
      <c r="K489" s="8">
        <f t="shared" si="19"/>
        <v>1</v>
      </c>
      <c r="L489" s="7"/>
    </row>
    <row r="490" spans="1:12" outlineLevel="1" x14ac:dyDescent="0.25">
      <c r="A490" s="22">
        <f t="shared" si="20"/>
        <v>3.0053000000000112</v>
      </c>
      <c r="B490" s="27"/>
      <c r="C490" s="24" t="s">
        <v>29</v>
      </c>
      <c r="D490" s="7"/>
      <c r="E490" s="7"/>
      <c r="F490" s="8" t="s">
        <v>8</v>
      </c>
      <c r="G490" s="8">
        <f t="shared" si="19"/>
        <v>0</v>
      </c>
      <c r="H490" s="8">
        <f t="shared" si="19"/>
        <v>0</v>
      </c>
      <c r="I490" s="8">
        <f t="shared" si="19"/>
        <v>0</v>
      </c>
      <c r="J490" s="8">
        <f t="shared" si="19"/>
        <v>0</v>
      </c>
      <c r="K490" s="8">
        <f t="shared" si="19"/>
        <v>1</v>
      </c>
      <c r="L490" s="7"/>
    </row>
    <row r="491" spans="1:12" outlineLevel="1" x14ac:dyDescent="0.25">
      <c r="A491" s="22">
        <f t="shared" si="20"/>
        <v>3.0054000000000114</v>
      </c>
      <c r="B491" s="26" t="s">
        <v>99</v>
      </c>
      <c r="C491" s="24" t="s">
        <v>100</v>
      </c>
      <c r="D491" s="7"/>
      <c r="E491" s="7"/>
      <c r="F491" s="8" t="s">
        <v>8</v>
      </c>
      <c r="G491" s="8">
        <f t="shared" si="19"/>
        <v>0</v>
      </c>
      <c r="H491" s="8">
        <f t="shared" si="19"/>
        <v>0</v>
      </c>
      <c r="I491" s="8">
        <f t="shared" si="19"/>
        <v>0</v>
      </c>
      <c r="J491" s="8">
        <f t="shared" si="19"/>
        <v>0</v>
      </c>
      <c r="K491" s="8">
        <f t="shared" si="19"/>
        <v>1</v>
      </c>
      <c r="L491" s="7"/>
    </row>
    <row r="492" spans="1:12" outlineLevel="1" x14ac:dyDescent="0.25">
      <c r="A492" s="22">
        <f t="shared" si="20"/>
        <v>3.0055000000000116</v>
      </c>
      <c r="B492" s="31" t="s">
        <v>22</v>
      </c>
      <c r="C492" s="24"/>
      <c r="D492" s="7"/>
      <c r="E492" s="7"/>
      <c r="F492" s="8" t="s">
        <v>8</v>
      </c>
      <c r="G492" s="8">
        <f t="shared" si="19"/>
        <v>0</v>
      </c>
      <c r="H492" s="8">
        <f t="shared" si="19"/>
        <v>0</v>
      </c>
      <c r="I492" s="8">
        <f t="shared" si="19"/>
        <v>0</v>
      </c>
      <c r="J492" s="8">
        <f t="shared" si="19"/>
        <v>0</v>
      </c>
      <c r="K492" s="8">
        <f t="shared" si="19"/>
        <v>1</v>
      </c>
      <c r="L492" s="7"/>
    </row>
    <row r="493" spans="1:12" outlineLevel="1" x14ac:dyDescent="0.25">
      <c r="A493" s="22">
        <f t="shared" si="20"/>
        <v>3.0056000000000118</v>
      </c>
      <c r="B493" s="31" t="s">
        <v>89</v>
      </c>
      <c r="C493" s="24"/>
      <c r="D493" s="7"/>
      <c r="E493" s="7"/>
      <c r="F493" s="8" t="s">
        <v>8</v>
      </c>
      <c r="G493" s="8">
        <f t="shared" si="19"/>
        <v>0</v>
      </c>
      <c r="H493" s="8">
        <f t="shared" si="19"/>
        <v>0</v>
      </c>
      <c r="I493" s="8">
        <f t="shared" si="19"/>
        <v>0</v>
      </c>
      <c r="J493" s="8">
        <f t="shared" si="19"/>
        <v>0</v>
      </c>
      <c r="K493" s="8">
        <f t="shared" si="19"/>
        <v>1</v>
      </c>
      <c r="L493" s="7"/>
    </row>
    <row r="494" spans="1:12" outlineLevel="1" x14ac:dyDescent="0.25">
      <c r="A494" s="22">
        <f t="shared" si="20"/>
        <v>3.005700000000012</v>
      </c>
      <c r="B494" s="31" t="s">
        <v>101</v>
      </c>
      <c r="C494" s="24"/>
      <c r="D494" s="7"/>
      <c r="E494" s="7"/>
      <c r="F494" s="8" t="s">
        <v>8</v>
      </c>
      <c r="G494" s="8">
        <f t="shared" si="19"/>
        <v>0</v>
      </c>
      <c r="H494" s="8">
        <f t="shared" si="19"/>
        <v>0</v>
      </c>
      <c r="I494" s="8">
        <f t="shared" si="19"/>
        <v>0</v>
      </c>
      <c r="J494" s="8">
        <f t="shared" si="19"/>
        <v>0</v>
      </c>
      <c r="K494" s="8">
        <f t="shared" si="19"/>
        <v>1</v>
      </c>
      <c r="L494" s="7"/>
    </row>
    <row r="495" spans="1:12" outlineLevel="1" x14ac:dyDescent="0.25">
      <c r="A495" s="22">
        <f t="shared" si="20"/>
        <v>3.0058000000000122</v>
      </c>
      <c r="B495" s="31" t="s">
        <v>24</v>
      </c>
      <c r="C495" s="24"/>
      <c r="D495" s="7"/>
      <c r="E495" s="7"/>
      <c r="F495" s="8" t="s">
        <v>8</v>
      </c>
      <c r="G495" s="8">
        <f t="shared" si="19"/>
        <v>0</v>
      </c>
      <c r="H495" s="8">
        <f t="shared" si="19"/>
        <v>0</v>
      </c>
      <c r="I495" s="8">
        <f t="shared" si="19"/>
        <v>0</v>
      </c>
      <c r="J495" s="8">
        <f t="shared" si="19"/>
        <v>0</v>
      </c>
      <c r="K495" s="8">
        <f t="shared" si="19"/>
        <v>1</v>
      </c>
      <c r="L495" s="7"/>
    </row>
    <row r="496" spans="1:12" outlineLevel="1" x14ac:dyDescent="0.25">
      <c r="A496" s="22">
        <f t="shared" si="20"/>
        <v>3.0059000000000125</v>
      </c>
      <c r="B496" s="26" t="s">
        <v>102</v>
      </c>
      <c r="C496" s="24" t="s">
        <v>103</v>
      </c>
      <c r="D496" s="7"/>
      <c r="E496" s="7"/>
      <c r="F496" s="8" t="s">
        <v>8</v>
      </c>
      <c r="G496" s="8">
        <f t="shared" si="19"/>
        <v>0</v>
      </c>
      <c r="H496" s="8">
        <f t="shared" si="19"/>
        <v>0</v>
      </c>
      <c r="I496" s="8">
        <f t="shared" si="19"/>
        <v>0</v>
      </c>
      <c r="J496" s="8">
        <f t="shared" si="19"/>
        <v>0</v>
      </c>
      <c r="K496" s="8">
        <f t="shared" si="19"/>
        <v>1</v>
      </c>
      <c r="L496" s="7"/>
    </row>
    <row r="497" spans="1:12" outlineLevel="1" x14ac:dyDescent="0.25">
      <c r="A497" s="22">
        <f t="shared" si="20"/>
        <v>3.0060000000000127</v>
      </c>
      <c r="B497" s="27" t="s">
        <v>104</v>
      </c>
      <c r="C497" s="24"/>
      <c r="D497" s="7"/>
      <c r="E497" s="7"/>
      <c r="F497" s="8" t="s">
        <v>8</v>
      </c>
      <c r="G497" s="8">
        <f t="shared" si="19"/>
        <v>0</v>
      </c>
      <c r="H497" s="8">
        <f t="shared" si="19"/>
        <v>0</v>
      </c>
      <c r="I497" s="8">
        <f t="shared" si="19"/>
        <v>0</v>
      </c>
      <c r="J497" s="8">
        <f t="shared" si="19"/>
        <v>0</v>
      </c>
      <c r="K497" s="8">
        <f t="shared" si="19"/>
        <v>1</v>
      </c>
      <c r="L497" s="7"/>
    </row>
    <row r="498" spans="1:12" outlineLevel="1" x14ac:dyDescent="0.25">
      <c r="A498" s="22">
        <f t="shared" si="20"/>
        <v>3.0061000000000129</v>
      </c>
      <c r="B498" s="26" t="s">
        <v>105</v>
      </c>
      <c r="C498" s="24" t="s">
        <v>106</v>
      </c>
      <c r="D498" s="7"/>
      <c r="E498" s="7"/>
      <c r="F498" s="8" t="s">
        <v>8</v>
      </c>
      <c r="G498" s="8">
        <f t="shared" si="19"/>
        <v>0</v>
      </c>
      <c r="H498" s="8">
        <f t="shared" si="19"/>
        <v>0</v>
      </c>
      <c r="I498" s="8">
        <f t="shared" si="19"/>
        <v>0</v>
      </c>
      <c r="J498" s="8">
        <f t="shared" si="19"/>
        <v>0</v>
      </c>
      <c r="K498" s="8">
        <f t="shared" si="19"/>
        <v>1</v>
      </c>
      <c r="L498" s="7"/>
    </row>
    <row r="499" spans="1:12" ht="25.5" outlineLevel="1" x14ac:dyDescent="0.25">
      <c r="A499" s="22">
        <f t="shared" si="20"/>
        <v>3.0062000000000131</v>
      </c>
      <c r="B499" s="27"/>
      <c r="C499" s="24" t="s">
        <v>107</v>
      </c>
      <c r="D499" s="7"/>
      <c r="E499" s="7"/>
      <c r="F499" s="8" t="s">
        <v>8</v>
      </c>
      <c r="G499" s="8">
        <f t="shared" si="19"/>
        <v>0</v>
      </c>
      <c r="H499" s="8">
        <f t="shared" si="19"/>
        <v>0</v>
      </c>
      <c r="I499" s="8">
        <f t="shared" si="19"/>
        <v>0</v>
      </c>
      <c r="J499" s="8">
        <f t="shared" si="19"/>
        <v>0</v>
      </c>
      <c r="K499" s="8">
        <f t="shared" si="19"/>
        <v>1</v>
      </c>
      <c r="L499" s="7"/>
    </row>
    <row r="500" spans="1:12" outlineLevel="1" x14ac:dyDescent="0.25">
      <c r="A500" s="22">
        <f t="shared" si="20"/>
        <v>3.0063000000000133</v>
      </c>
      <c r="B500" s="26" t="s">
        <v>116</v>
      </c>
      <c r="C500" s="24" t="s">
        <v>117</v>
      </c>
      <c r="D500" s="7"/>
      <c r="E500" s="7"/>
      <c r="F500" s="8" t="s">
        <v>8</v>
      </c>
      <c r="G500" s="8">
        <f t="shared" si="19"/>
        <v>0</v>
      </c>
      <c r="H500" s="8">
        <f t="shared" si="19"/>
        <v>0</v>
      </c>
      <c r="I500" s="8">
        <f t="shared" si="19"/>
        <v>0</v>
      </c>
      <c r="J500" s="8">
        <f t="shared" si="19"/>
        <v>0</v>
      </c>
      <c r="K500" s="8">
        <f t="shared" si="19"/>
        <v>1</v>
      </c>
      <c r="L500" s="7"/>
    </row>
    <row r="501" spans="1:12" outlineLevel="1" x14ac:dyDescent="0.25">
      <c r="A501" s="22">
        <f t="shared" si="20"/>
        <v>3.0064000000000135</v>
      </c>
      <c r="B501" s="31" t="s">
        <v>22</v>
      </c>
      <c r="C501" s="24"/>
      <c r="D501" s="7"/>
      <c r="E501" s="7"/>
      <c r="F501" s="8" t="s">
        <v>8</v>
      </c>
      <c r="G501" s="8">
        <f t="shared" si="19"/>
        <v>0</v>
      </c>
      <c r="H501" s="8">
        <f t="shared" si="19"/>
        <v>0</v>
      </c>
      <c r="I501" s="8">
        <f t="shared" si="19"/>
        <v>0</v>
      </c>
      <c r="J501" s="8">
        <f t="shared" si="19"/>
        <v>0</v>
      </c>
      <c r="K501" s="8">
        <f t="shared" si="19"/>
        <v>1</v>
      </c>
      <c r="L501" s="7"/>
    </row>
    <row r="502" spans="1:12" outlineLevel="1" x14ac:dyDescent="0.25">
      <c r="A502" s="22">
        <f t="shared" si="20"/>
        <v>3.0065000000000137</v>
      </c>
      <c r="B502" s="31" t="s">
        <v>25</v>
      </c>
      <c r="C502" s="24"/>
      <c r="D502" s="7"/>
      <c r="E502" s="7"/>
      <c r="F502" s="8" t="s">
        <v>8</v>
      </c>
      <c r="G502" s="8">
        <f t="shared" si="19"/>
        <v>0</v>
      </c>
      <c r="H502" s="8">
        <f t="shared" si="19"/>
        <v>0</v>
      </c>
      <c r="I502" s="8">
        <f t="shared" si="19"/>
        <v>0</v>
      </c>
      <c r="J502" s="8">
        <f t="shared" si="19"/>
        <v>0</v>
      </c>
      <c r="K502" s="8">
        <f t="shared" si="19"/>
        <v>1</v>
      </c>
      <c r="L502" s="7"/>
    </row>
    <row r="503" spans="1:12" outlineLevel="1" x14ac:dyDescent="0.25">
      <c r="A503" s="22">
        <f t="shared" si="20"/>
        <v>3.0066000000000139</v>
      </c>
      <c r="B503" s="31" t="s">
        <v>118</v>
      </c>
      <c r="C503" s="24"/>
      <c r="D503" s="7"/>
      <c r="E503" s="7"/>
      <c r="F503" s="8" t="s">
        <v>8</v>
      </c>
      <c r="G503" s="8">
        <f t="shared" si="19"/>
        <v>0</v>
      </c>
      <c r="H503" s="8">
        <f t="shared" si="19"/>
        <v>0</v>
      </c>
      <c r="I503" s="8">
        <f t="shared" si="19"/>
        <v>0</v>
      </c>
      <c r="J503" s="8">
        <f t="shared" si="19"/>
        <v>0</v>
      </c>
      <c r="K503" s="8">
        <f t="shared" si="19"/>
        <v>1</v>
      </c>
      <c r="L503" s="7"/>
    </row>
    <row r="504" spans="1:12" outlineLevel="1" x14ac:dyDescent="0.25">
      <c r="A504" s="22">
        <f t="shared" si="20"/>
        <v>3.0067000000000141</v>
      </c>
      <c r="B504" s="31" t="s">
        <v>24</v>
      </c>
      <c r="C504" s="24"/>
      <c r="D504" s="7"/>
      <c r="E504" s="7"/>
      <c r="F504" s="8" t="s">
        <v>8</v>
      </c>
      <c r="G504" s="8">
        <f t="shared" si="19"/>
        <v>0</v>
      </c>
      <c r="H504" s="8">
        <f t="shared" si="19"/>
        <v>0</v>
      </c>
      <c r="I504" s="8">
        <f t="shared" si="19"/>
        <v>0</v>
      </c>
      <c r="J504" s="8">
        <f t="shared" si="19"/>
        <v>0</v>
      </c>
      <c r="K504" s="8">
        <f t="shared" si="19"/>
        <v>1</v>
      </c>
      <c r="L504" s="7"/>
    </row>
    <row r="505" spans="1:12" outlineLevel="1" x14ac:dyDescent="0.25">
      <c r="A505" s="22">
        <f t="shared" si="20"/>
        <v>3.0068000000000144</v>
      </c>
      <c r="B505" s="33" t="s">
        <v>119</v>
      </c>
      <c r="C505" s="24"/>
      <c r="D505" s="7"/>
      <c r="E505" s="7"/>
      <c r="F505" s="8" t="s">
        <v>8</v>
      </c>
      <c r="G505" s="8">
        <f t="shared" ref="G505:K555" si="21">IF($F505=G$1,1,0)</f>
        <v>0</v>
      </c>
      <c r="H505" s="8">
        <f t="shared" si="21"/>
        <v>0</v>
      </c>
      <c r="I505" s="8">
        <f t="shared" si="21"/>
        <v>0</v>
      </c>
      <c r="J505" s="8">
        <f t="shared" si="21"/>
        <v>0</v>
      </c>
      <c r="K505" s="8">
        <f t="shared" si="21"/>
        <v>1</v>
      </c>
      <c r="L505" s="7"/>
    </row>
    <row r="506" spans="1:12" outlineLevel="1" x14ac:dyDescent="0.25">
      <c r="A506" s="22">
        <f t="shared" si="20"/>
        <v>3.0069000000000146</v>
      </c>
      <c r="B506" s="31" t="s">
        <v>22</v>
      </c>
      <c r="C506" s="24"/>
      <c r="D506" s="7"/>
      <c r="E506" s="7"/>
      <c r="F506" s="8" t="s">
        <v>8</v>
      </c>
      <c r="G506" s="8">
        <f t="shared" si="21"/>
        <v>0</v>
      </c>
      <c r="H506" s="8">
        <f t="shared" si="21"/>
        <v>0</v>
      </c>
      <c r="I506" s="8">
        <f t="shared" si="21"/>
        <v>0</v>
      </c>
      <c r="J506" s="8">
        <f t="shared" si="21"/>
        <v>0</v>
      </c>
      <c r="K506" s="8">
        <f t="shared" si="21"/>
        <v>1</v>
      </c>
      <c r="L506" s="7"/>
    </row>
    <row r="507" spans="1:12" outlineLevel="1" x14ac:dyDescent="0.25">
      <c r="A507" s="22">
        <f t="shared" si="20"/>
        <v>3.0070000000000148</v>
      </c>
      <c r="B507" s="31" t="s">
        <v>25</v>
      </c>
      <c r="C507" s="24"/>
      <c r="D507" s="7"/>
      <c r="E507" s="7"/>
      <c r="F507" s="8" t="s">
        <v>8</v>
      </c>
      <c r="G507" s="8">
        <f t="shared" si="21"/>
        <v>0</v>
      </c>
      <c r="H507" s="8">
        <f t="shared" si="21"/>
        <v>0</v>
      </c>
      <c r="I507" s="8">
        <f t="shared" si="21"/>
        <v>0</v>
      </c>
      <c r="J507" s="8">
        <f t="shared" si="21"/>
        <v>0</v>
      </c>
      <c r="K507" s="8">
        <f t="shared" si="21"/>
        <v>1</v>
      </c>
      <c r="L507" s="7"/>
    </row>
    <row r="508" spans="1:12" outlineLevel="1" x14ac:dyDescent="0.25">
      <c r="A508" s="22">
        <f t="shared" si="20"/>
        <v>3.007100000000015</v>
      </c>
      <c r="B508" s="31" t="s">
        <v>120</v>
      </c>
      <c r="C508" s="24"/>
      <c r="D508" s="7"/>
      <c r="E508" s="7"/>
      <c r="F508" s="8" t="s">
        <v>8</v>
      </c>
      <c r="G508" s="8">
        <f t="shared" si="21"/>
        <v>0</v>
      </c>
      <c r="H508" s="8">
        <f t="shared" si="21"/>
        <v>0</v>
      </c>
      <c r="I508" s="8">
        <f t="shared" si="21"/>
        <v>0</v>
      </c>
      <c r="J508" s="8">
        <f t="shared" si="21"/>
        <v>0</v>
      </c>
      <c r="K508" s="8">
        <f t="shared" si="21"/>
        <v>1</v>
      </c>
      <c r="L508" s="7"/>
    </row>
    <row r="509" spans="1:12" outlineLevel="1" x14ac:dyDescent="0.25">
      <c r="A509" s="22">
        <f t="shared" si="20"/>
        <v>3.0072000000000152</v>
      </c>
      <c r="B509" s="32" t="s">
        <v>24</v>
      </c>
      <c r="C509" s="24"/>
      <c r="D509" s="7"/>
      <c r="E509" s="7"/>
      <c r="F509" s="8" t="s">
        <v>8</v>
      </c>
      <c r="G509" s="8">
        <f t="shared" si="21"/>
        <v>0</v>
      </c>
      <c r="H509" s="8">
        <f t="shared" si="21"/>
        <v>0</v>
      </c>
      <c r="I509" s="8">
        <f t="shared" si="21"/>
        <v>0</v>
      </c>
      <c r="J509" s="8">
        <f t="shared" si="21"/>
        <v>0</v>
      </c>
      <c r="K509" s="8">
        <f t="shared" si="21"/>
        <v>1</v>
      </c>
      <c r="L509" s="7"/>
    </row>
    <row r="510" spans="1:12" ht="25.5" outlineLevel="1" x14ac:dyDescent="0.25">
      <c r="A510" s="22">
        <f t="shared" si="20"/>
        <v>3.0073000000000154</v>
      </c>
      <c r="B510" s="28" t="s">
        <v>29</v>
      </c>
      <c r="C510" s="6" t="s">
        <v>121</v>
      </c>
      <c r="D510" s="7"/>
      <c r="E510" s="7"/>
      <c r="F510" s="8" t="s">
        <v>8</v>
      </c>
      <c r="G510" s="8">
        <f t="shared" si="21"/>
        <v>0</v>
      </c>
      <c r="H510" s="8">
        <f t="shared" si="21"/>
        <v>0</v>
      </c>
      <c r="I510" s="8">
        <f t="shared" si="21"/>
        <v>0</v>
      </c>
      <c r="J510" s="8">
        <f t="shared" si="21"/>
        <v>0</v>
      </c>
      <c r="K510" s="8">
        <f t="shared" si="21"/>
        <v>1</v>
      </c>
      <c r="L510" s="7"/>
    </row>
    <row r="511" spans="1:12" outlineLevel="1" x14ac:dyDescent="0.25">
      <c r="A511" s="22">
        <f t="shared" si="20"/>
        <v>3.0074000000000156</v>
      </c>
      <c r="B511" s="26" t="s">
        <v>116</v>
      </c>
      <c r="C511" s="24" t="s">
        <v>122</v>
      </c>
      <c r="D511" s="7"/>
      <c r="E511" s="7"/>
      <c r="F511" s="8" t="s">
        <v>8</v>
      </c>
      <c r="G511" s="8">
        <f t="shared" si="21"/>
        <v>0</v>
      </c>
      <c r="H511" s="8">
        <f t="shared" si="21"/>
        <v>0</v>
      </c>
      <c r="I511" s="8">
        <f t="shared" si="21"/>
        <v>0</v>
      </c>
      <c r="J511" s="8">
        <f t="shared" si="21"/>
        <v>0</v>
      </c>
      <c r="K511" s="8">
        <f t="shared" si="21"/>
        <v>1</v>
      </c>
      <c r="L511" s="7"/>
    </row>
    <row r="512" spans="1:12" outlineLevel="1" x14ac:dyDescent="0.25">
      <c r="A512" s="22">
        <f t="shared" si="20"/>
        <v>3.0075000000000158</v>
      </c>
      <c r="B512" s="31" t="s">
        <v>22</v>
      </c>
      <c r="C512" s="24"/>
      <c r="D512" s="7"/>
      <c r="E512" s="7"/>
      <c r="F512" s="8" t="s">
        <v>8</v>
      </c>
      <c r="G512" s="8">
        <f t="shared" si="21"/>
        <v>0</v>
      </c>
      <c r="H512" s="8">
        <f t="shared" si="21"/>
        <v>0</v>
      </c>
      <c r="I512" s="8">
        <f t="shared" si="21"/>
        <v>0</v>
      </c>
      <c r="J512" s="8">
        <f t="shared" si="21"/>
        <v>0</v>
      </c>
      <c r="K512" s="8">
        <f t="shared" si="21"/>
        <v>1</v>
      </c>
      <c r="L512" s="7"/>
    </row>
    <row r="513" spans="1:12" outlineLevel="1" x14ac:dyDescent="0.25">
      <c r="A513" s="22">
        <f t="shared" si="20"/>
        <v>3.007600000000016</v>
      </c>
      <c r="B513" s="31" t="s">
        <v>89</v>
      </c>
      <c r="C513" s="24"/>
      <c r="D513" s="7"/>
      <c r="E513" s="7"/>
      <c r="F513" s="8" t="s">
        <v>8</v>
      </c>
      <c r="G513" s="8">
        <f t="shared" si="21"/>
        <v>0</v>
      </c>
      <c r="H513" s="8">
        <f t="shared" si="21"/>
        <v>0</v>
      </c>
      <c r="I513" s="8">
        <f t="shared" si="21"/>
        <v>0</v>
      </c>
      <c r="J513" s="8">
        <f t="shared" si="21"/>
        <v>0</v>
      </c>
      <c r="K513" s="8">
        <f t="shared" si="21"/>
        <v>1</v>
      </c>
      <c r="L513" s="7"/>
    </row>
    <row r="514" spans="1:12" outlineLevel="1" x14ac:dyDescent="0.25">
      <c r="A514" s="22">
        <f t="shared" si="20"/>
        <v>3.0077000000000162</v>
      </c>
      <c r="B514" s="31" t="s">
        <v>123</v>
      </c>
      <c r="C514" s="24"/>
      <c r="D514" s="7"/>
      <c r="E514" s="7"/>
      <c r="F514" s="8" t="s">
        <v>8</v>
      </c>
      <c r="G514" s="8">
        <f t="shared" si="21"/>
        <v>0</v>
      </c>
      <c r="H514" s="8">
        <f t="shared" si="21"/>
        <v>0</v>
      </c>
      <c r="I514" s="8">
        <f t="shared" si="21"/>
        <v>0</v>
      </c>
      <c r="J514" s="8">
        <f t="shared" si="21"/>
        <v>0</v>
      </c>
      <c r="K514" s="8">
        <f t="shared" si="21"/>
        <v>1</v>
      </c>
      <c r="L514" s="7"/>
    </row>
    <row r="515" spans="1:12" outlineLevel="1" x14ac:dyDescent="0.25">
      <c r="A515" s="22">
        <f t="shared" si="20"/>
        <v>3.0078000000000165</v>
      </c>
      <c r="B515" s="31" t="s">
        <v>124</v>
      </c>
      <c r="C515" s="24"/>
      <c r="D515" s="7"/>
      <c r="E515" s="7"/>
      <c r="F515" s="8" t="s">
        <v>8</v>
      </c>
      <c r="G515" s="8">
        <f t="shared" si="21"/>
        <v>0</v>
      </c>
      <c r="H515" s="8">
        <f t="shared" si="21"/>
        <v>0</v>
      </c>
      <c r="I515" s="8">
        <f t="shared" si="21"/>
        <v>0</v>
      </c>
      <c r="J515" s="8">
        <f t="shared" si="21"/>
        <v>0</v>
      </c>
      <c r="K515" s="8">
        <f t="shared" si="21"/>
        <v>1</v>
      </c>
      <c r="L515" s="7"/>
    </row>
    <row r="516" spans="1:12" outlineLevel="1" x14ac:dyDescent="0.25">
      <c r="A516" s="22">
        <f t="shared" si="20"/>
        <v>3.0079000000000167</v>
      </c>
      <c r="B516" s="31" t="s">
        <v>24</v>
      </c>
      <c r="C516" s="24"/>
      <c r="D516" s="7"/>
      <c r="E516" s="7"/>
      <c r="F516" s="8" t="s">
        <v>8</v>
      </c>
      <c r="G516" s="8">
        <f t="shared" si="21"/>
        <v>0</v>
      </c>
      <c r="H516" s="8">
        <f t="shared" si="21"/>
        <v>0</v>
      </c>
      <c r="I516" s="8">
        <f t="shared" si="21"/>
        <v>0</v>
      </c>
      <c r="J516" s="8">
        <f t="shared" si="21"/>
        <v>0</v>
      </c>
      <c r="K516" s="8">
        <f t="shared" si="21"/>
        <v>1</v>
      </c>
      <c r="L516" s="7"/>
    </row>
    <row r="517" spans="1:12" outlineLevel="1" x14ac:dyDescent="0.25">
      <c r="A517" s="22">
        <f t="shared" si="20"/>
        <v>3.0080000000000169</v>
      </c>
      <c r="B517" s="26" t="s">
        <v>125</v>
      </c>
      <c r="C517" s="24" t="s">
        <v>126</v>
      </c>
      <c r="D517" s="7"/>
      <c r="E517" s="7"/>
      <c r="F517" s="8" t="s">
        <v>8</v>
      </c>
      <c r="G517" s="8">
        <f t="shared" si="21"/>
        <v>0</v>
      </c>
      <c r="H517" s="8">
        <f t="shared" si="21"/>
        <v>0</v>
      </c>
      <c r="I517" s="8">
        <f t="shared" si="21"/>
        <v>0</v>
      </c>
      <c r="J517" s="8">
        <f t="shared" si="21"/>
        <v>0</v>
      </c>
      <c r="K517" s="8">
        <f t="shared" si="21"/>
        <v>1</v>
      </c>
      <c r="L517" s="7"/>
    </row>
    <row r="518" spans="1:12" outlineLevel="1" x14ac:dyDescent="0.25">
      <c r="A518" s="22">
        <f t="shared" si="20"/>
        <v>3.0081000000000171</v>
      </c>
      <c r="B518" s="29"/>
      <c r="C518" s="24" t="s">
        <v>127</v>
      </c>
      <c r="D518" s="7"/>
      <c r="E518" s="7"/>
      <c r="F518" s="8" t="s">
        <v>8</v>
      </c>
      <c r="G518" s="8">
        <f t="shared" si="21"/>
        <v>0</v>
      </c>
      <c r="H518" s="8">
        <f t="shared" si="21"/>
        <v>0</v>
      </c>
      <c r="I518" s="8">
        <f t="shared" si="21"/>
        <v>0</v>
      </c>
      <c r="J518" s="8">
        <f t="shared" si="21"/>
        <v>0</v>
      </c>
      <c r="K518" s="8">
        <f t="shared" si="21"/>
        <v>1</v>
      </c>
      <c r="L518" s="7"/>
    </row>
    <row r="519" spans="1:12" outlineLevel="1" x14ac:dyDescent="0.25">
      <c r="A519" s="22">
        <f t="shared" si="20"/>
        <v>3.0082000000000173</v>
      </c>
      <c r="B519" s="28" t="s">
        <v>129</v>
      </c>
      <c r="C519" s="6" t="s">
        <v>130</v>
      </c>
      <c r="D519" s="7"/>
      <c r="E519" s="7"/>
      <c r="F519" s="8" t="s">
        <v>8</v>
      </c>
      <c r="G519" s="8">
        <f t="shared" si="21"/>
        <v>0</v>
      </c>
      <c r="H519" s="8">
        <f t="shared" si="21"/>
        <v>0</v>
      </c>
      <c r="I519" s="8">
        <f t="shared" si="21"/>
        <v>0</v>
      </c>
      <c r="J519" s="8">
        <f t="shared" si="21"/>
        <v>0</v>
      </c>
      <c r="K519" s="8">
        <f t="shared" si="21"/>
        <v>1</v>
      </c>
      <c r="L519" s="7"/>
    </row>
    <row r="520" spans="1:12" ht="25.5" outlineLevel="1" x14ac:dyDescent="0.25">
      <c r="A520" s="22">
        <f t="shared" si="20"/>
        <v>3.0083000000000175</v>
      </c>
      <c r="B520" s="26" t="s">
        <v>131</v>
      </c>
      <c r="C520" s="24" t="s">
        <v>132</v>
      </c>
      <c r="D520" s="7"/>
      <c r="E520" s="7"/>
      <c r="F520" s="8" t="s">
        <v>8</v>
      </c>
      <c r="G520" s="8">
        <f t="shared" si="21"/>
        <v>0</v>
      </c>
      <c r="H520" s="8">
        <f t="shared" si="21"/>
        <v>0</v>
      </c>
      <c r="I520" s="8">
        <f t="shared" si="21"/>
        <v>0</v>
      </c>
      <c r="J520" s="8">
        <f t="shared" si="21"/>
        <v>0</v>
      </c>
      <c r="K520" s="8">
        <f t="shared" si="21"/>
        <v>1</v>
      </c>
      <c r="L520" s="7"/>
    </row>
    <row r="521" spans="1:12" outlineLevel="1" x14ac:dyDescent="0.25">
      <c r="A521" s="22">
        <f t="shared" si="20"/>
        <v>3.0084000000000177</v>
      </c>
      <c r="B521" s="27"/>
      <c r="C521" s="24" t="s">
        <v>687</v>
      </c>
      <c r="D521" s="7"/>
      <c r="E521" s="7"/>
      <c r="F521" s="8" t="s">
        <v>8</v>
      </c>
      <c r="G521" s="8">
        <f t="shared" si="21"/>
        <v>0</v>
      </c>
      <c r="H521" s="8">
        <f t="shared" si="21"/>
        <v>0</v>
      </c>
      <c r="I521" s="8">
        <f t="shared" si="21"/>
        <v>0</v>
      </c>
      <c r="J521" s="8">
        <f t="shared" si="21"/>
        <v>0</v>
      </c>
      <c r="K521" s="8">
        <f t="shared" si="21"/>
        <v>1</v>
      </c>
      <c r="L521" s="7"/>
    </row>
    <row r="522" spans="1:12" outlineLevel="1" x14ac:dyDescent="0.25">
      <c r="A522" s="22">
        <f t="shared" si="20"/>
        <v>3.0085000000000179</v>
      </c>
      <c r="B522" s="27"/>
      <c r="C522" s="24" t="s">
        <v>133</v>
      </c>
      <c r="D522" s="7"/>
      <c r="E522" s="7"/>
      <c r="F522" s="8" t="s">
        <v>8</v>
      </c>
      <c r="G522" s="8">
        <f t="shared" si="21"/>
        <v>0</v>
      </c>
      <c r="H522" s="8">
        <f t="shared" si="21"/>
        <v>0</v>
      </c>
      <c r="I522" s="8">
        <f t="shared" si="21"/>
        <v>0</v>
      </c>
      <c r="J522" s="8">
        <f t="shared" si="21"/>
        <v>0</v>
      </c>
      <c r="K522" s="8">
        <f t="shared" si="21"/>
        <v>1</v>
      </c>
      <c r="L522" s="7"/>
    </row>
    <row r="523" spans="1:12" outlineLevel="1" x14ac:dyDescent="0.25">
      <c r="A523" s="22">
        <f t="shared" si="20"/>
        <v>3.0086000000000181</v>
      </c>
      <c r="B523" s="27"/>
      <c r="C523" s="24" t="s">
        <v>134</v>
      </c>
      <c r="D523" s="7"/>
      <c r="E523" s="7"/>
      <c r="F523" s="8" t="s">
        <v>8</v>
      </c>
      <c r="G523" s="8">
        <f t="shared" si="21"/>
        <v>0</v>
      </c>
      <c r="H523" s="8">
        <f t="shared" si="21"/>
        <v>0</v>
      </c>
      <c r="I523" s="8">
        <f t="shared" si="21"/>
        <v>0</v>
      </c>
      <c r="J523" s="8">
        <f t="shared" si="21"/>
        <v>0</v>
      </c>
      <c r="K523" s="8">
        <f t="shared" si="21"/>
        <v>1</v>
      </c>
      <c r="L523" s="7"/>
    </row>
    <row r="524" spans="1:12" outlineLevel="1" x14ac:dyDescent="0.25">
      <c r="A524" s="22">
        <f t="shared" si="20"/>
        <v>3.0087000000000184</v>
      </c>
      <c r="B524" s="27"/>
      <c r="C524" s="24" t="s">
        <v>135</v>
      </c>
      <c r="D524" s="7"/>
      <c r="E524" s="7"/>
      <c r="F524" s="8" t="s">
        <v>8</v>
      </c>
      <c r="G524" s="8">
        <f t="shared" si="21"/>
        <v>0</v>
      </c>
      <c r="H524" s="8">
        <f t="shared" si="21"/>
        <v>0</v>
      </c>
      <c r="I524" s="8">
        <f t="shared" si="21"/>
        <v>0</v>
      </c>
      <c r="J524" s="8">
        <f t="shared" si="21"/>
        <v>0</v>
      </c>
      <c r="K524" s="8">
        <f t="shared" si="21"/>
        <v>1</v>
      </c>
      <c r="L524" s="7"/>
    </row>
    <row r="525" spans="1:12" outlineLevel="1" x14ac:dyDescent="0.25">
      <c r="A525" s="22">
        <f t="shared" si="20"/>
        <v>3.0088000000000186</v>
      </c>
      <c r="B525" s="26" t="s">
        <v>136</v>
      </c>
      <c r="C525" s="24" t="s">
        <v>137</v>
      </c>
      <c r="D525" s="7"/>
      <c r="E525" s="7"/>
      <c r="F525" s="8" t="s">
        <v>8</v>
      </c>
      <c r="G525" s="8">
        <f t="shared" si="21"/>
        <v>0</v>
      </c>
      <c r="H525" s="8">
        <f t="shared" si="21"/>
        <v>0</v>
      </c>
      <c r="I525" s="8">
        <f t="shared" si="21"/>
        <v>0</v>
      </c>
      <c r="J525" s="8">
        <f t="shared" si="21"/>
        <v>0</v>
      </c>
      <c r="K525" s="8">
        <f t="shared" si="21"/>
        <v>1</v>
      </c>
      <c r="L525" s="7"/>
    </row>
    <row r="526" spans="1:12" outlineLevel="1" x14ac:dyDescent="0.25">
      <c r="A526" s="22">
        <f t="shared" si="20"/>
        <v>3.0089000000000188</v>
      </c>
      <c r="B526" s="27"/>
      <c r="C526" s="24" t="s">
        <v>138</v>
      </c>
      <c r="D526" s="7"/>
      <c r="E526" s="7"/>
      <c r="F526" s="8" t="s">
        <v>8</v>
      </c>
      <c r="G526" s="8">
        <f t="shared" si="21"/>
        <v>0</v>
      </c>
      <c r="H526" s="8">
        <f t="shared" si="21"/>
        <v>0</v>
      </c>
      <c r="I526" s="8">
        <f t="shared" si="21"/>
        <v>0</v>
      </c>
      <c r="J526" s="8">
        <f t="shared" si="21"/>
        <v>0</v>
      </c>
      <c r="K526" s="8">
        <f t="shared" si="21"/>
        <v>1</v>
      </c>
      <c r="L526" s="7"/>
    </row>
    <row r="527" spans="1:12" outlineLevel="1" x14ac:dyDescent="0.25">
      <c r="A527" s="22">
        <f t="shared" si="20"/>
        <v>3.009000000000019</v>
      </c>
      <c r="B527" s="27"/>
      <c r="C527" s="24" t="s">
        <v>139</v>
      </c>
      <c r="D527" s="7"/>
      <c r="E527" s="7"/>
      <c r="F527" s="8" t="s">
        <v>8</v>
      </c>
      <c r="G527" s="8">
        <f t="shared" si="21"/>
        <v>0</v>
      </c>
      <c r="H527" s="8">
        <f t="shared" si="21"/>
        <v>0</v>
      </c>
      <c r="I527" s="8">
        <f t="shared" si="21"/>
        <v>0</v>
      </c>
      <c r="J527" s="8">
        <f t="shared" si="21"/>
        <v>0</v>
      </c>
      <c r="K527" s="8">
        <f t="shared" si="21"/>
        <v>1</v>
      </c>
      <c r="L527" s="7"/>
    </row>
    <row r="528" spans="1:12" ht="25.5" outlineLevel="1" x14ac:dyDescent="0.25">
      <c r="A528" s="22">
        <f t="shared" si="20"/>
        <v>3.0091000000000192</v>
      </c>
      <c r="B528" s="29"/>
      <c r="C528" s="24" t="s">
        <v>140</v>
      </c>
      <c r="D528" s="7"/>
      <c r="E528" s="7"/>
      <c r="F528" s="8" t="s">
        <v>8</v>
      </c>
      <c r="G528" s="8">
        <f t="shared" si="21"/>
        <v>0</v>
      </c>
      <c r="H528" s="8">
        <f t="shared" si="21"/>
        <v>0</v>
      </c>
      <c r="I528" s="8">
        <f t="shared" si="21"/>
        <v>0</v>
      </c>
      <c r="J528" s="8">
        <f t="shared" si="21"/>
        <v>0</v>
      </c>
      <c r="K528" s="8">
        <f t="shared" si="21"/>
        <v>1</v>
      </c>
      <c r="L528" s="7"/>
    </row>
    <row r="529" spans="1:12" outlineLevel="1" x14ac:dyDescent="0.25">
      <c r="A529" s="22">
        <f t="shared" si="20"/>
        <v>3.0092000000000194</v>
      </c>
      <c r="B529" s="28" t="s">
        <v>141</v>
      </c>
      <c r="C529" s="6" t="s">
        <v>142</v>
      </c>
      <c r="D529" s="7"/>
      <c r="E529" s="7"/>
      <c r="F529" s="8" t="s">
        <v>8</v>
      </c>
      <c r="G529" s="8">
        <f t="shared" si="21"/>
        <v>0</v>
      </c>
      <c r="H529" s="8">
        <f t="shared" si="21"/>
        <v>0</v>
      </c>
      <c r="I529" s="8">
        <f t="shared" si="21"/>
        <v>0</v>
      </c>
      <c r="J529" s="8">
        <f t="shared" si="21"/>
        <v>0</v>
      </c>
      <c r="K529" s="8">
        <f t="shared" si="21"/>
        <v>1</v>
      </c>
      <c r="L529" s="7"/>
    </row>
    <row r="530" spans="1:12" outlineLevel="1" x14ac:dyDescent="0.25">
      <c r="A530" s="22">
        <f t="shared" si="20"/>
        <v>3.0093000000000196</v>
      </c>
      <c r="B530" s="26" t="s">
        <v>143</v>
      </c>
      <c r="C530" s="24" t="s">
        <v>31</v>
      </c>
      <c r="D530" s="7"/>
      <c r="E530" s="7"/>
      <c r="F530" s="8" t="s">
        <v>8</v>
      </c>
      <c r="G530" s="8">
        <f t="shared" si="21"/>
        <v>0</v>
      </c>
      <c r="H530" s="8">
        <f t="shared" si="21"/>
        <v>0</v>
      </c>
      <c r="I530" s="8">
        <f t="shared" si="21"/>
        <v>0</v>
      </c>
      <c r="J530" s="8">
        <f t="shared" si="21"/>
        <v>0</v>
      </c>
      <c r="K530" s="8">
        <f t="shared" si="21"/>
        <v>1</v>
      </c>
      <c r="L530" s="7"/>
    </row>
    <row r="531" spans="1:12" outlineLevel="1" x14ac:dyDescent="0.25">
      <c r="A531" s="22">
        <f t="shared" si="20"/>
        <v>3.0094000000000198</v>
      </c>
      <c r="B531" s="27"/>
      <c r="C531" s="24" t="s">
        <v>144</v>
      </c>
      <c r="D531" s="7"/>
      <c r="E531" s="7"/>
      <c r="F531" s="8" t="s">
        <v>8</v>
      </c>
      <c r="G531" s="8">
        <f t="shared" si="21"/>
        <v>0</v>
      </c>
      <c r="H531" s="8">
        <f t="shared" si="21"/>
        <v>0</v>
      </c>
      <c r="I531" s="8">
        <f t="shared" si="21"/>
        <v>0</v>
      </c>
      <c r="J531" s="8">
        <f t="shared" si="21"/>
        <v>0</v>
      </c>
      <c r="K531" s="8">
        <f t="shared" si="21"/>
        <v>1</v>
      </c>
      <c r="L531" s="7"/>
    </row>
    <row r="532" spans="1:12" outlineLevel="1" x14ac:dyDescent="0.25">
      <c r="A532" s="22">
        <f t="shared" si="20"/>
        <v>3.00950000000002</v>
      </c>
      <c r="B532" s="26" t="s">
        <v>145</v>
      </c>
      <c r="C532" s="24" t="s">
        <v>146</v>
      </c>
      <c r="D532" s="7"/>
      <c r="E532" s="7"/>
      <c r="F532" s="8" t="s">
        <v>8</v>
      </c>
      <c r="G532" s="8">
        <f t="shared" si="21"/>
        <v>0</v>
      </c>
      <c r="H532" s="8">
        <f t="shared" si="21"/>
        <v>0</v>
      </c>
      <c r="I532" s="8">
        <f t="shared" si="21"/>
        <v>0</v>
      </c>
      <c r="J532" s="8">
        <f t="shared" si="21"/>
        <v>0</v>
      </c>
      <c r="K532" s="8">
        <f t="shared" si="21"/>
        <v>1</v>
      </c>
      <c r="L532" s="7"/>
    </row>
    <row r="533" spans="1:12" outlineLevel="1" x14ac:dyDescent="0.25">
      <c r="A533" s="22">
        <f t="shared" si="20"/>
        <v>3.0096000000000203</v>
      </c>
      <c r="B533" s="27"/>
      <c r="C533" s="24" t="s">
        <v>147</v>
      </c>
      <c r="D533" s="7"/>
      <c r="E533" s="7"/>
      <c r="F533" s="8" t="s">
        <v>8</v>
      </c>
      <c r="G533" s="8">
        <f t="shared" si="21"/>
        <v>0</v>
      </c>
      <c r="H533" s="8">
        <f t="shared" si="21"/>
        <v>0</v>
      </c>
      <c r="I533" s="8">
        <f t="shared" si="21"/>
        <v>0</v>
      </c>
      <c r="J533" s="8">
        <f t="shared" si="21"/>
        <v>0</v>
      </c>
      <c r="K533" s="8">
        <f t="shared" si="21"/>
        <v>1</v>
      </c>
      <c r="L533" s="7"/>
    </row>
    <row r="534" spans="1:12" outlineLevel="1" x14ac:dyDescent="0.25">
      <c r="A534" s="22">
        <f t="shared" si="20"/>
        <v>3.0097000000000205</v>
      </c>
      <c r="B534" s="26" t="s">
        <v>116</v>
      </c>
      <c r="C534" s="24" t="s">
        <v>148</v>
      </c>
      <c r="D534" s="7"/>
      <c r="E534" s="7"/>
      <c r="F534" s="8" t="s">
        <v>8</v>
      </c>
      <c r="G534" s="8">
        <f t="shared" si="21"/>
        <v>0</v>
      </c>
      <c r="H534" s="8">
        <f t="shared" si="21"/>
        <v>0</v>
      </c>
      <c r="I534" s="8">
        <f t="shared" si="21"/>
        <v>0</v>
      </c>
      <c r="J534" s="8">
        <f t="shared" si="21"/>
        <v>0</v>
      </c>
      <c r="K534" s="8">
        <f t="shared" si="21"/>
        <v>1</v>
      </c>
      <c r="L534" s="7"/>
    </row>
    <row r="535" spans="1:12" outlineLevel="1" x14ac:dyDescent="0.25">
      <c r="A535" s="22">
        <f t="shared" si="20"/>
        <v>3.0098000000000207</v>
      </c>
      <c r="B535" s="31" t="s">
        <v>22</v>
      </c>
      <c r="C535" s="24"/>
      <c r="D535" s="7"/>
      <c r="E535" s="7"/>
      <c r="F535" s="8" t="s">
        <v>8</v>
      </c>
      <c r="G535" s="8">
        <f t="shared" si="21"/>
        <v>0</v>
      </c>
      <c r="H535" s="8">
        <f t="shared" si="21"/>
        <v>0</v>
      </c>
      <c r="I535" s="8">
        <f t="shared" si="21"/>
        <v>0</v>
      </c>
      <c r="J535" s="8">
        <f t="shared" si="21"/>
        <v>0</v>
      </c>
      <c r="K535" s="8">
        <f t="shared" si="21"/>
        <v>1</v>
      </c>
      <c r="L535" s="7"/>
    </row>
    <row r="536" spans="1:12" outlineLevel="1" x14ac:dyDescent="0.25">
      <c r="A536" s="22">
        <f t="shared" si="20"/>
        <v>3.0099000000000209</v>
      </c>
      <c r="B536" s="31" t="s">
        <v>25</v>
      </c>
      <c r="C536" s="24"/>
      <c r="D536" s="7"/>
      <c r="E536" s="7"/>
      <c r="F536" s="8" t="s">
        <v>8</v>
      </c>
      <c r="G536" s="8">
        <f t="shared" si="21"/>
        <v>0</v>
      </c>
      <c r="H536" s="8">
        <f t="shared" si="21"/>
        <v>0</v>
      </c>
      <c r="I536" s="8">
        <f t="shared" si="21"/>
        <v>0</v>
      </c>
      <c r="J536" s="8">
        <f t="shared" si="21"/>
        <v>0</v>
      </c>
      <c r="K536" s="8">
        <f t="shared" si="21"/>
        <v>1</v>
      </c>
      <c r="L536" s="7"/>
    </row>
    <row r="537" spans="1:12" outlineLevel="1" x14ac:dyDescent="0.25">
      <c r="A537" s="22">
        <f t="shared" si="20"/>
        <v>3.0100000000000211</v>
      </c>
      <c r="B537" s="31" t="s">
        <v>149</v>
      </c>
      <c r="C537" s="24"/>
      <c r="D537" s="7"/>
      <c r="E537" s="7"/>
      <c r="F537" s="8" t="s">
        <v>8</v>
      </c>
      <c r="G537" s="8">
        <f t="shared" si="21"/>
        <v>0</v>
      </c>
      <c r="H537" s="8">
        <f t="shared" si="21"/>
        <v>0</v>
      </c>
      <c r="I537" s="8">
        <f t="shared" si="21"/>
        <v>0</v>
      </c>
      <c r="J537" s="8">
        <f t="shared" si="21"/>
        <v>0</v>
      </c>
      <c r="K537" s="8">
        <f t="shared" si="21"/>
        <v>1</v>
      </c>
      <c r="L537" s="7"/>
    </row>
    <row r="538" spans="1:12" outlineLevel="1" x14ac:dyDescent="0.25">
      <c r="A538" s="22">
        <f t="shared" si="20"/>
        <v>3.0101000000000213</v>
      </c>
      <c r="B538" s="31" t="s">
        <v>150</v>
      </c>
      <c r="C538" s="24"/>
      <c r="D538" s="7"/>
      <c r="E538" s="7"/>
      <c r="F538" s="8" t="s">
        <v>8</v>
      </c>
      <c r="G538" s="8">
        <f t="shared" si="21"/>
        <v>0</v>
      </c>
      <c r="H538" s="8">
        <f t="shared" si="21"/>
        <v>0</v>
      </c>
      <c r="I538" s="8">
        <f t="shared" si="21"/>
        <v>0</v>
      </c>
      <c r="J538" s="8">
        <f t="shared" si="21"/>
        <v>0</v>
      </c>
      <c r="K538" s="8">
        <f t="shared" si="21"/>
        <v>1</v>
      </c>
      <c r="L538" s="7"/>
    </row>
    <row r="539" spans="1:12" outlineLevel="1" x14ac:dyDescent="0.25">
      <c r="A539" s="22">
        <f t="shared" si="20"/>
        <v>3.0102000000000215</v>
      </c>
      <c r="B539" s="33" t="s">
        <v>119</v>
      </c>
      <c r="C539" s="24"/>
      <c r="D539" s="7"/>
      <c r="E539" s="7"/>
      <c r="F539" s="8" t="s">
        <v>8</v>
      </c>
      <c r="G539" s="8">
        <f t="shared" si="21"/>
        <v>0</v>
      </c>
      <c r="H539" s="8">
        <f t="shared" si="21"/>
        <v>0</v>
      </c>
      <c r="I539" s="8">
        <f t="shared" si="21"/>
        <v>0</v>
      </c>
      <c r="J539" s="8">
        <f t="shared" si="21"/>
        <v>0</v>
      </c>
      <c r="K539" s="8">
        <f t="shared" si="21"/>
        <v>1</v>
      </c>
      <c r="L539" s="7"/>
    </row>
    <row r="540" spans="1:12" outlineLevel="1" x14ac:dyDescent="0.25">
      <c r="A540" s="22">
        <f t="shared" si="20"/>
        <v>3.0103000000000217</v>
      </c>
      <c r="B540" s="31" t="s">
        <v>22</v>
      </c>
      <c r="C540" s="24"/>
      <c r="D540" s="7"/>
      <c r="E540" s="7"/>
      <c r="F540" s="8" t="s">
        <v>8</v>
      </c>
      <c r="G540" s="8">
        <f t="shared" si="21"/>
        <v>0</v>
      </c>
      <c r="H540" s="8">
        <f t="shared" si="21"/>
        <v>0</v>
      </c>
      <c r="I540" s="8">
        <f t="shared" si="21"/>
        <v>0</v>
      </c>
      <c r="J540" s="8">
        <f t="shared" si="21"/>
        <v>0</v>
      </c>
      <c r="K540" s="8">
        <f t="shared" si="21"/>
        <v>1</v>
      </c>
      <c r="L540" s="7"/>
    </row>
    <row r="541" spans="1:12" outlineLevel="1" x14ac:dyDescent="0.25">
      <c r="A541" s="22">
        <f t="shared" si="20"/>
        <v>3.0104000000000219</v>
      </c>
      <c r="B541" s="31" t="s">
        <v>25</v>
      </c>
      <c r="C541" s="24"/>
      <c r="D541" s="7"/>
      <c r="E541" s="7"/>
      <c r="F541" s="8" t="s">
        <v>8</v>
      </c>
      <c r="G541" s="8">
        <f t="shared" si="21"/>
        <v>0</v>
      </c>
      <c r="H541" s="8">
        <f t="shared" si="21"/>
        <v>0</v>
      </c>
      <c r="I541" s="8">
        <f t="shared" si="21"/>
        <v>0</v>
      </c>
      <c r="J541" s="8">
        <f t="shared" si="21"/>
        <v>0</v>
      </c>
      <c r="K541" s="8">
        <f t="shared" si="21"/>
        <v>1</v>
      </c>
      <c r="L541" s="7"/>
    </row>
    <row r="542" spans="1:12" outlineLevel="1" x14ac:dyDescent="0.25">
      <c r="A542" s="22">
        <f t="shared" si="20"/>
        <v>3.0105000000000222</v>
      </c>
      <c r="B542" s="31" t="s">
        <v>151</v>
      </c>
      <c r="C542" s="24"/>
      <c r="D542" s="7"/>
      <c r="E542" s="7"/>
      <c r="F542" s="8" t="s">
        <v>8</v>
      </c>
      <c r="G542" s="8">
        <f t="shared" si="21"/>
        <v>0</v>
      </c>
      <c r="H542" s="8">
        <f t="shared" si="21"/>
        <v>0</v>
      </c>
      <c r="I542" s="8">
        <f t="shared" si="21"/>
        <v>0</v>
      </c>
      <c r="J542" s="8">
        <f t="shared" si="21"/>
        <v>0</v>
      </c>
      <c r="K542" s="8">
        <f t="shared" si="21"/>
        <v>1</v>
      </c>
      <c r="L542" s="7"/>
    </row>
    <row r="543" spans="1:12" outlineLevel="1" x14ac:dyDescent="0.25">
      <c r="A543" s="22">
        <f t="shared" si="20"/>
        <v>3.0106000000000224</v>
      </c>
      <c r="B543" s="31" t="s">
        <v>24</v>
      </c>
      <c r="C543" s="24"/>
      <c r="D543" s="7"/>
      <c r="E543" s="7"/>
      <c r="F543" s="8" t="s">
        <v>8</v>
      </c>
      <c r="G543" s="8">
        <f t="shared" si="21"/>
        <v>0</v>
      </c>
      <c r="H543" s="8">
        <f t="shared" si="21"/>
        <v>0</v>
      </c>
      <c r="I543" s="8">
        <f t="shared" si="21"/>
        <v>0</v>
      </c>
      <c r="J543" s="8">
        <f t="shared" si="21"/>
        <v>0</v>
      </c>
      <c r="K543" s="8">
        <f t="shared" si="21"/>
        <v>1</v>
      </c>
      <c r="L543" s="7"/>
    </row>
    <row r="544" spans="1:12" ht="38.25" outlineLevel="1" x14ac:dyDescent="0.25">
      <c r="A544" s="22">
        <f t="shared" si="20"/>
        <v>3.0107000000000226</v>
      </c>
      <c r="B544" s="26" t="s">
        <v>579</v>
      </c>
      <c r="C544" s="24" t="s">
        <v>153</v>
      </c>
      <c r="D544" s="7"/>
      <c r="E544" s="7"/>
      <c r="F544" s="8" t="s">
        <v>8</v>
      </c>
      <c r="G544" s="8">
        <f t="shared" si="21"/>
        <v>0</v>
      </c>
      <c r="H544" s="8">
        <f t="shared" si="21"/>
        <v>0</v>
      </c>
      <c r="I544" s="8">
        <f t="shared" si="21"/>
        <v>0</v>
      </c>
      <c r="J544" s="8">
        <f t="shared" si="21"/>
        <v>0</v>
      </c>
      <c r="K544" s="8">
        <f t="shared" si="21"/>
        <v>1</v>
      </c>
      <c r="L544" s="7"/>
    </row>
    <row r="545" spans="1:12" outlineLevel="1" x14ac:dyDescent="0.25">
      <c r="A545" s="22">
        <f t="shared" si="20"/>
        <v>3.0108000000000228</v>
      </c>
      <c r="B545" s="27"/>
      <c r="C545" s="24" t="s">
        <v>154</v>
      </c>
      <c r="D545" s="7"/>
      <c r="E545" s="7"/>
      <c r="F545" s="8" t="s">
        <v>8</v>
      </c>
      <c r="G545" s="8">
        <f t="shared" si="21"/>
        <v>0</v>
      </c>
      <c r="H545" s="8">
        <f t="shared" si="21"/>
        <v>0</v>
      </c>
      <c r="I545" s="8">
        <f t="shared" si="21"/>
        <v>0</v>
      </c>
      <c r="J545" s="8">
        <f t="shared" si="21"/>
        <v>0</v>
      </c>
      <c r="K545" s="8">
        <f t="shared" si="21"/>
        <v>1</v>
      </c>
      <c r="L545" s="7"/>
    </row>
    <row r="546" spans="1:12" outlineLevel="1" x14ac:dyDescent="0.25">
      <c r="A546" s="22">
        <f t="shared" si="20"/>
        <v>3.010900000000023</v>
      </c>
      <c r="B546" s="27"/>
      <c r="C546" s="24" t="s">
        <v>155</v>
      </c>
      <c r="D546" s="7"/>
      <c r="E546" s="7"/>
      <c r="F546" s="8" t="s">
        <v>8</v>
      </c>
      <c r="G546" s="8">
        <f t="shared" si="21"/>
        <v>0</v>
      </c>
      <c r="H546" s="8">
        <f t="shared" si="21"/>
        <v>0</v>
      </c>
      <c r="I546" s="8">
        <f t="shared" si="21"/>
        <v>0</v>
      </c>
      <c r="J546" s="8">
        <f t="shared" si="21"/>
        <v>0</v>
      </c>
      <c r="K546" s="8">
        <f t="shared" si="21"/>
        <v>1</v>
      </c>
      <c r="L546" s="7"/>
    </row>
    <row r="547" spans="1:12" ht="25.5" outlineLevel="1" x14ac:dyDescent="0.25">
      <c r="A547" s="22">
        <f t="shared" si="20"/>
        <v>3.0110000000000232</v>
      </c>
      <c r="B547" s="27"/>
      <c r="C547" s="24" t="s">
        <v>156</v>
      </c>
      <c r="D547" s="7"/>
      <c r="E547" s="7"/>
      <c r="F547" s="8" t="s">
        <v>8</v>
      </c>
      <c r="G547" s="8">
        <f t="shared" si="21"/>
        <v>0</v>
      </c>
      <c r="H547" s="8">
        <f t="shared" si="21"/>
        <v>0</v>
      </c>
      <c r="I547" s="8">
        <f t="shared" si="21"/>
        <v>0</v>
      </c>
      <c r="J547" s="8">
        <f t="shared" si="21"/>
        <v>0</v>
      </c>
      <c r="K547" s="8">
        <f t="shared" si="21"/>
        <v>1</v>
      </c>
      <c r="L547" s="7"/>
    </row>
    <row r="548" spans="1:12" outlineLevel="1" x14ac:dyDescent="0.25">
      <c r="A548" s="22">
        <f t="shared" si="20"/>
        <v>3.0111000000000234</v>
      </c>
      <c r="B548" s="27"/>
      <c r="C548" s="24" t="s">
        <v>157</v>
      </c>
      <c r="D548" s="7"/>
      <c r="E548" s="7"/>
      <c r="F548" s="8" t="s">
        <v>8</v>
      </c>
      <c r="G548" s="8">
        <f t="shared" si="21"/>
        <v>0</v>
      </c>
      <c r="H548" s="8">
        <f t="shared" si="21"/>
        <v>0</v>
      </c>
      <c r="I548" s="8">
        <f t="shared" si="21"/>
        <v>0</v>
      </c>
      <c r="J548" s="8">
        <f t="shared" si="21"/>
        <v>0</v>
      </c>
      <c r="K548" s="8">
        <f t="shared" si="21"/>
        <v>1</v>
      </c>
      <c r="L548" s="7"/>
    </row>
    <row r="549" spans="1:12" ht="25.5" outlineLevel="1" x14ac:dyDescent="0.25">
      <c r="A549" s="22">
        <f t="shared" si="20"/>
        <v>3.0112000000000236</v>
      </c>
      <c r="B549" s="26" t="s">
        <v>719</v>
      </c>
      <c r="C549" s="24" t="s">
        <v>31</v>
      </c>
      <c r="D549" s="7"/>
      <c r="E549" s="7"/>
      <c r="F549" s="8" t="s">
        <v>8</v>
      </c>
      <c r="G549" s="8">
        <f t="shared" si="21"/>
        <v>0</v>
      </c>
      <c r="H549" s="8">
        <f t="shared" si="21"/>
        <v>0</v>
      </c>
      <c r="I549" s="8">
        <f t="shared" si="21"/>
        <v>0</v>
      </c>
      <c r="J549" s="8">
        <f t="shared" si="21"/>
        <v>0</v>
      </c>
      <c r="K549" s="8">
        <f t="shared" si="21"/>
        <v>1</v>
      </c>
      <c r="L549" s="7"/>
    </row>
    <row r="550" spans="1:12" outlineLevel="1" x14ac:dyDescent="0.25">
      <c r="A550" s="22">
        <f t="shared" si="20"/>
        <v>3.0113000000000238</v>
      </c>
      <c r="B550" s="27"/>
      <c r="C550" s="24" t="s">
        <v>167</v>
      </c>
      <c r="D550" s="7"/>
      <c r="E550" s="7"/>
      <c r="F550" s="8" t="s">
        <v>8</v>
      </c>
      <c r="G550" s="8">
        <f t="shared" si="21"/>
        <v>0</v>
      </c>
      <c r="H550" s="8">
        <f t="shared" si="21"/>
        <v>0</v>
      </c>
      <c r="I550" s="8">
        <f t="shared" si="21"/>
        <v>0</v>
      </c>
      <c r="J550" s="8">
        <f t="shared" si="21"/>
        <v>0</v>
      </c>
      <c r="K550" s="8">
        <f t="shared" si="21"/>
        <v>1</v>
      </c>
      <c r="L550" s="7"/>
    </row>
    <row r="551" spans="1:12" ht="25.5" outlineLevel="1" x14ac:dyDescent="0.25">
      <c r="A551" s="22">
        <f t="shared" si="20"/>
        <v>3.0114000000000241</v>
      </c>
      <c r="B551" s="26" t="s">
        <v>174</v>
      </c>
      <c r="C551" s="24" t="s">
        <v>168</v>
      </c>
      <c r="D551" s="7"/>
      <c r="E551" s="7"/>
      <c r="F551" s="8" t="s">
        <v>8</v>
      </c>
      <c r="G551" s="8">
        <f t="shared" si="21"/>
        <v>0</v>
      </c>
      <c r="H551" s="8">
        <f t="shared" si="21"/>
        <v>0</v>
      </c>
      <c r="I551" s="8">
        <f t="shared" si="21"/>
        <v>0</v>
      </c>
      <c r="J551" s="8">
        <f t="shared" si="21"/>
        <v>0</v>
      </c>
      <c r="K551" s="8">
        <f t="shared" si="21"/>
        <v>1</v>
      </c>
      <c r="L551" s="7"/>
    </row>
    <row r="552" spans="1:12" ht="25.5" outlineLevel="1" x14ac:dyDescent="0.25">
      <c r="A552" s="22">
        <f t="shared" si="20"/>
        <v>3.0115000000000243</v>
      </c>
      <c r="B552" s="27" t="s">
        <v>169</v>
      </c>
      <c r="C552" s="24" t="s">
        <v>170</v>
      </c>
      <c r="D552" s="7"/>
      <c r="E552" s="7"/>
      <c r="F552" s="8" t="s">
        <v>8</v>
      </c>
      <c r="G552" s="8">
        <f t="shared" si="21"/>
        <v>0</v>
      </c>
      <c r="H552" s="8">
        <f t="shared" si="21"/>
        <v>0</v>
      </c>
      <c r="I552" s="8">
        <f t="shared" si="21"/>
        <v>0</v>
      </c>
      <c r="J552" s="8">
        <f t="shared" si="21"/>
        <v>0</v>
      </c>
      <c r="K552" s="8">
        <f t="shared" si="21"/>
        <v>1</v>
      </c>
      <c r="L552" s="7"/>
    </row>
    <row r="553" spans="1:12" ht="25.5" outlineLevel="1" x14ac:dyDescent="0.25">
      <c r="A553" s="22">
        <f t="shared" si="20"/>
        <v>3.0116000000000245</v>
      </c>
      <c r="B553" s="26" t="s">
        <v>199</v>
      </c>
      <c r="C553" s="24" t="s">
        <v>31</v>
      </c>
      <c r="D553" s="7"/>
      <c r="E553" s="7"/>
      <c r="F553" s="8" t="s">
        <v>8</v>
      </c>
      <c r="G553" s="8">
        <f t="shared" si="21"/>
        <v>0</v>
      </c>
      <c r="H553" s="8">
        <f t="shared" si="21"/>
        <v>0</v>
      </c>
      <c r="I553" s="8">
        <f t="shared" si="21"/>
        <v>0</v>
      </c>
      <c r="J553" s="8">
        <f t="shared" si="21"/>
        <v>0</v>
      </c>
      <c r="K553" s="8">
        <f t="shared" si="21"/>
        <v>1</v>
      </c>
      <c r="L553" s="7"/>
    </row>
    <row r="554" spans="1:12" ht="25.5" outlineLevel="1" x14ac:dyDescent="0.25">
      <c r="A554" s="22">
        <f t="shared" si="20"/>
        <v>3.0117000000000247</v>
      </c>
      <c r="B554" s="27" t="s">
        <v>200</v>
      </c>
      <c r="C554" s="24" t="s">
        <v>201</v>
      </c>
      <c r="D554" s="7"/>
      <c r="E554" s="7"/>
      <c r="F554" s="8" t="s">
        <v>8</v>
      </c>
      <c r="G554" s="8">
        <f t="shared" si="21"/>
        <v>0</v>
      </c>
      <c r="H554" s="8">
        <f t="shared" si="21"/>
        <v>0</v>
      </c>
      <c r="I554" s="8">
        <f t="shared" si="21"/>
        <v>0</v>
      </c>
      <c r="J554" s="8">
        <f t="shared" si="21"/>
        <v>0</v>
      </c>
      <c r="K554" s="8">
        <f t="shared" si="21"/>
        <v>1</v>
      </c>
      <c r="L554" s="7"/>
    </row>
    <row r="555" spans="1:12" outlineLevel="1" x14ac:dyDescent="0.25">
      <c r="A555" s="22">
        <f t="shared" si="20"/>
        <v>3.0118000000000249</v>
      </c>
      <c r="B555" s="26" t="s">
        <v>20</v>
      </c>
      <c r="C555" s="24" t="s">
        <v>204</v>
      </c>
      <c r="D555" s="7"/>
      <c r="E555" s="7"/>
      <c r="F555" s="8" t="s">
        <v>8</v>
      </c>
      <c r="G555" s="8">
        <f t="shared" si="21"/>
        <v>0</v>
      </c>
      <c r="H555" s="8">
        <f t="shared" si="21"/>
        <v>0</v>
      </c>
      <c r="I555" s="8">
        <f t="shared" si="21"/>
        <v>0</v>
      </c>
      <c r="J555" s="8">
        <f t="shared" si="21"/>
        <v>0</v>
      </c>
      <c r="K555" s="8">
        <f t="shared" si="21"/>
        <v>1</v>
      </c>
      <c r="L555" s="7"/>
    </row>
    <row r="556" spans="1:12" outlineLevel="1" x14ac:dyDescent="0.25">
      <c r="A556" s="22">
        <f t="shared" si="20"/>
        <v>3.0119000000000251</v>
      </c>
      <c r="B556" s="31" t="s">
        <v>22</v>
      </c>
      <c r="C556" s="24"/>
      <c r="D556" s="7"/>
      <c r="E556" s="7"/>
      <c r="F556" s="8" t="s">
        <v>8</v>
      </c>
      <c r="G556" s="8">
        <f t="shared" ref="G556:K606" si="22">IF($F556=G$1,1,0)</f>
        <v>0</v>
      </c>
      <c r="H556" s="8">
        <f t="shared" si="22"/>
        <v>0</v>
      </c>
      <c r="I556" s="8">
        <f t="shared" si="22"/>
        <v>0</v>
      </c>
      <c r="J556" s="8">
        <f t="shared" si="22"/>
        <v>0</v>
      </c>
      <c r="K556" s="8">
        <f t="shared" si="22"/>
        <v>1</v>
      </c>
      <c r="L556" s="7"/>
    </row>
    <row r="557" spans="1:12" outlineLevel="1" x14ac:dyDescent="0.25">
      <c r="A557" s="22">
        <f t="shared" si="20"/>
        <v>3.0120000000000253</v>
      </c>
      <c r="B557" s="31" t="s">
        <v>28</v>
      </c>
      <c r="C557" s="24"/>
      <c r="D557" s="7"/>
      <c r="E557" s="7"/>
      <c r="F557" s="8" t="s">
        <v>8</v>
      </c>
      <c r="G557" s="8">
        <f t="shared" si="22"/>
        <v>0</v>
      </c>
      <c r="H557" s="8">
        <f t="shared" si="22"/>
        <v>0</v>
      </c>
      <c r="I557" s="8">
        <f t="shared" si="22"/>
        <v>0</v>
      </c>
      <c r="J557" s="8">
        <f t="shared" si="22"/>
        <v>0</v>
      </c>
      <c r="K557" s="8">
        <f t="shared" si="22"/>
        <v>1</v>
      </c>
      <c r="L557" s="7"/>
    </row>
    <row r="558" spans="1:12" outlineLevel="1" x14ac:dyDescent="0.25">
      <c r="A558" s="22">
        <f t="shared" si="20"/>
        <v>3.0121000000000255</v>
      </c>
      <c r="B558" s="31" t="s">
        <v>205</v>
      </c>
      <c r="C558" s="24"/>
      <c r="D558" s="7"/>
      <c r="E558" s="7"/>
      <c r="F558" s="8" t="s">
        <v>8</v>
      </c>
      <c r="G558" s="8">
        <f t="shared" si="22"/>
        <v>0</v>
      </c>
      <c r="H558" s="8">
        <f t="shared" si="22"/>
        <v>0</v>
      </c>
      <c r="I558" s="8">
        <f t="shared" si="22"/>
        <v>0</v>
      </c>
      <c r="J558" s="8">
        <f t="shared" si="22"/>
        <v>0</v>
      </c>
      <c r="K558" s="8">
        <f t="shared" si="22"/>
        <v>1</v>
      </c>
      <c r="L558" s="7"/>
    </row>
    <row r="559" spans="1:12" outlineLevel="1" x14ac:dyDescent="0.25">
      <c r="A559" s="22">
        <f t="shared" si="20"/>
        <v>3.0122000000000257</v>
      </c>
      <c r="B559" s="31" t="s">
        <v>24</v>
      </c>
      <c r="C559" s="24"/>
      <c r="D559" s="7"/>
      <c r="E559" s="7"/>
      <c r="F559" s="8" t="s">
        <v>8</v>
      </c>
      <c r="G559" s="8">
        <f t="shared" si="22"/>
        <v>0</v>
      </c>
      <c r="H559" s="8">
        <f t="shared" si="22"/>
        <v>0</v>
      </c>
      <c r="I559" s="8">
        <f t="shared" si="22"/>
        <v>0</v>
      </c>
      <c r="J559" s="8">
        <f t="shared" si="22"/>
        <v>0</v>
      </c>
      <c r="K559" s="8">
        <f t="shared" si="22"/>
        <v>1</v>
      </c>
      <c r="L559" s="7"/>
    </row>
    <row r="560" spans="1:12" ht="25.5" outlineLevel="1" x14ac:dyDescent="0.25">
      <c r="A560" s="22">
        <f t="shared" si="20"/>
        <v>3.012300000000026</v>
      </c>
      <c r="B560" s="26" t="s">
        <v>206</v>
      </c>
      <c r="C560" s="24" t="s">
        <v>31</v>
      </c>
      <c r="D560" s="7"/>
      <c r="E560" s="7"/>
      <c r="F560" s="8" t="s">
        <v>8</v>
      </c>
      <c r="G560" s="8">
        <f t="shared" si="22"/>
        <v>0</v>
      </c>
      <c r="H560" s="8">
        <f t="shared" si="22"/>
        <v>0</v>
      </c>
      <c r="I560" s="8">
        <f t="shared" si="22"/>
        <v>0</v>
      </c>
      <c r="J560" s="8">
        <f t="shared" si="22"/>
        <v>0</v>
      </c>
      <c r="K560" s="8">
        <f t="shared" si="22"/>
        <v>1</v>
      </c>
      <c r="L560" s="7"/>
    </row>
    <row r="561" spans="1:12" outlineLevel="1" x14ac:dyDescent="0.25">
      <c r="A561" s="22">
        <f t="shared" si="20"/>
        <v>3.0124000000000262</v>
      </c>
      <c r="B561" s="27"/>
      <c r="C561" s="24" t="s">
        <v>207</v>
      </c>
      <c r="D561" s="7"/>
      <c r="E561" s="7"/>
      <c r="F561" s="8" t="s">
        <v>8</v>
      </c>
      <c r="G561" s="8">
        <f t="shared" si="22"/>
        <v>0</v>
      </c>
      <c r="H561" s="8">
        <f t="shared" si="22"/>
        <v>0</v>
      </c>
      <c r="I561" s="8">
        <f t="shared" si="22"/>
        <v>0</v>
      </c>
      <c r="J561" s="8">
        <f t="shared" si="22"/>
        <v>0</v>
      </c>
      <c r="K561" s="8">
        <f t="shared" si="22"/>
        <v>1</v>
      </c>
      <c r="L561" s="7"/>
    </row>
    <row r="562" spans="1:12" outlineLevel="1" x14ac:dyDescent="0.25">
      <c r="A562" s="22">
        <f t="shared" si="20"/>
        <v>3.0125000000000264</v>
      </c>
      <c r="B562" s="26" t="s">
        <v>22</v>
      </c>
      <c r="C562" s="24" t="s">
        <v>688</v>
      </c>
      <c r="D562" s="7"/>
      <c r="E562" s="7"/>
      <c r="F562" s="8" t="s">
        <v>8</v>
      </c>
      <c r="G562" s="8">
        <f t="shared" si="22"/>
        <v>0</v>
      </c>
      <c r="H562" s="8">
        <f t="shared" si="22"/>
        <v>0</v>
      </c>
      <c r="I562" s="8">
        <f t="shared" si="22"/>
        <v>0</v>
      </c>
      <c r="J562" s="8">
        <f t="shared" si="22"/>
        <v>0</v>
      </c>
      <c r="K562" s="8">
        <f t="shared" si="22"/>
        <v>1</v>
      </c>
      <c r="L562" s="7"/>
    </row>
    <row r="563" spans="1:12" outlineLevel="1" x14ac:dyDescent="0.25">
      <c r="A563" s="22">
        <f t="shared" si="20"/>
        <v>3.0126000000000266</v>
      </c>
      <c r="B563" s="27" t="s">
        <v>89</v>
      </c>
      <c r="C563" s="24"/>
      <c r="D563" s="7"/>
      <c r="E563" s="7"/>
      <c r="F563" s="8" t="s">
        <v>8</v>
      </c>
      <c r="G563" s="8">
        <f t="shared" si="22"/>
        <v>0</v>
      </c>
      <c r="H563" s="8">
        <f t="shared" si="22"/>
        <v>0</v>
      </c>
      <c r="I563" s="8">
        <f t="shared" si="22"/>
        <v>0</v>
      </c>
      <c r="J563" s="8">
        <f t="shared" si="22"/>
        <v>0</v>
      </c>
      <c r="K563" s="8">
        <f t="shared" si="22"/>
        <v>1</v>
      </c>
      <c r="L563" s="7"/>
    </row>
    <row r="564" spans="1:12" outlineLevel="1" x14ac:dyDescent="0.25">
      <c r="A564" s="22">
        <f t="shared" si="20"/>
        <v>3.0127000000000268</v>
      </c>
      <c r="B564" s="27" t="s">
        <v>689</v>
      </c>
      <c r="C564" s="24"/>
      <c r="D564" s="7"/>
      <c r="E564" s="7"/>
      <c r="F564" s="8" t="s">
        <v>8</v>
      </c>
      <c r="G564" s="8">
        <f t="shared" si="22"/>
        <v>0</v>
      </c>
      <c r="H564" s="8">
        <f t="shared" si="22"/>
        <v>0</v>
      </c>
      <c r="I564" s="8">
        <f t="shared" si="22"/>
        <v>0</v>
      </c>
      <c r="J564" s="8">
        <f t="shared" si="22"/>
        <v>0</v>
      </c>
      <c r="K564" s="8">
        <f t="shared" si="22"/>
        <v>1</v>
      </c>
      <c r="L564" s="7"/>
    </row>
    <row r="565" spans="1:12" outlineLevel="1" x14ac:dyDescent="0.25">
      <c r="A565" s="22">
        <f t="shared" si="20"/>
        <v>3.012800000000027</v>
      </c>
      <c r="B565" s="27" t="s">
        <v>24</v>
      </c>
      <c r="C565" s="24"/>
      <c r="D565" s="7"/>
      <c r="E565" s="7"/>
      <c r="F565" s="8" t="s">
        <v>8</v>
      </c>
      <c r="G565" s="8">
        <f t="shared" si="22"/>
        <v>0</v>
      </c>
      <c r="H565" s="8">
        <f t="shared" si="22"/>
        <v>0</v>
      </c>
      <c r="I565" s="8">
        <f t="shared" si="22"/>
        <v>0</v>
      </c>
      <c r="J565" s="8">
        <f t="shared" si="22"/>
        <v>0</v>
      </c>
      <c r="K565" s="8">
        <f t="shared" si="22"/>
        <v>1</v>
      </c>
      <c r="L565" s="7"/>
    </row>
    <row r="566" spans="1:12" outlineLevel="1" x14ac:dyDescent="0.25">
      <c r="A566" s="22">
        <f t="shared" si="20"/>
        <v>3.0129000000000272</v>
      </c>
      <c r="B566" s="26" t="s">
        <v>185</v>
      </c>
      <c r="C566" s="24" t="s">
        <v>208</v>
      </c>
      <c r="D566" s="7"/>
      <c r="E566" s="7"/>
      <c r="F566" s="8" t="s">
        <v>8</v>
      </c>
      <c r="G566" s="8">
        <f t="shared" si="22"/>
        <v>0</v>
      </c>
      <c r="H566" s="8">
        <f t="shared" si="22"/>
        <v>0</v>
      </c>
      <c r="I566" s="8">
        <f t="shared" si="22"/>
        <v>0</v>
      </c>
      <c r="J566" s="8">
        <f t="shared" si="22"/>
        <v>0</v>
      </c>
      <c r="K566" s="8">
        <f t="shared" si="22"/>
        <v>1</v>
      </c>
      <c r="L566" s="7"/>
    </row>
    <row r="567" spans="1:12" outlineLevel="1" x14ac:dyDescent="0.25">
      <c r="A567" s="22">
        <f t="shared" si="20"/>
        <v>3.0130000000000274</v>
      </c>
      <c r="B567" s="27"/>
      <c r="C567" s="24" t="s">
        <v>176</v>
      </c>
      <c r="D567" s="7"/>
      <c r="E567" s="7"/>
      <c r="F567" s="8" t="s">
        <v>8</v>
      </c>
      <c r="G567" s="8">
        <f t="shared" si="22"/>
        <v>0</v>
      </c>
      <c r="H567" s="8">
        <f t="shared" si="22"/>
        <v>0</v>
      </c>
      <c r="I567" s="8">
        <f t="shared" si="22"/>
        <v>0</v>
      </c>
      <c r="J567" s="8">
        <f t="shared" si="22"/>
        <v>0</v>
      </c>
      <c r="K567" s="8">
        <f t="shared" si="22"/>
        <v>1</v>
      </c>
      <c r="L567" s="7"/>
    </row>
    <row r="568" spans="1:12" outlineLevel="1" x14ac:dyDescent="0.25">
      <c r="A568" s="22">
        <f t="shared" si="20"/>
        <v>3.0131000000000276</v>
      </c>
      <c r="B568" s="27"/>
      <c r="C568" s="24" t="s">
        <v>209</v>
      </c>
      <c r="D568" s="7"/>
      <c r="E568" s="7"/>
      <c r="F568" s="8" t="s">
        <v>8</v>
      </c>
      <c r="G568" s="8">
        <f t="shared" si="22"/>
        <v>0</v>
      </c>
      <c r="H568" s="8">
        <f t="shared" si="22"/>
        <v>0</v>
      </c>
      <c r="I568" s="8">
        <f t="shared" si="22"/>
        <v>0</v>
      </c>
      <c r="J568" s="8">
        <f t="shared" si="22"/>
        <v>0</v>
      </c>
      <c r="K568" s="8">
        <f t="shared" si="22"/>
        <v>1</v>
      </c>
      <c r="L568" s="7"/>
    </row>
    <row r="569" spans="1:12" ht="25.5" outlineLevel="1" x14ac:dyDescent="0.25">
      <c r="A569" s="22">
        <f t="shared" si="20"/>
        <v>3.0132000000000279</v>
      </c>
      <c r="B569" s="27"/>
      <c r="C569" s="24" t="s">
        <v>210</v>
      </c>
      <c r="D569" s="7"/>
      <c r="E569" s="7"/>
      <c r="F569" s="8" t="s">
        <v>8</v>
      </c>
      <c r="G569" s="8">
        <f t="shared" si="22"/>
        <v>0</v>
      </c>
      <c r="H569" s="8">
        <f t="shared" si="22"/>
        <v>0</v>
      </c>
      <c r="I569" s="8">
        <f t="shared" si="22"/>
        <v>0</v>
      </c>
      <c r="J569" s="8">
        <f t="shared" si="22"/>
        <v>0</v>
      </c>
      <c r="K569" s="8">
        <f t="shared" si="22"/>
        <v>1</v>
      </c>
      <c r="L569" s="7"/>
    </row>
    <row r="570" spans="1:12" outlineLevel="1" x14ac:dyDescent="0.25">
      <c r="A570" s="22">
        <f t="shared" si="20"/>
        <v>3.0133000000000281</v>
      </c>
      <c r="B570" s="27"/>
      <c r="C570" s="24" t="s">
        <v>690</v>
      </c>
      <c r="D570" s="7"/>
      <c r="E570" s="7"/>
      <c r="F570" s="8" t="s">
        <v>8</v>
      </c>
      <c r="G570" s="8">
        <f t="shared" si="22"/>
        <v>0</v>
      </c>
      <c r="H570" s="8">
        <f t="shared" si="22"/>
        <v>0</v>
      </c>
      <c r="I570" s="8">
        <f t="shared" si="22"/>
        <v>0</v>
      </c>
      <c r="J570" s="8">
        <f t="shared" si="22"/>
        <v>0</v>
      </c>
      <c r="K570" s="8">
        <f t="shared" si="22"/>
        <v>1</v>
      </c>
      <c r="L570" s="7"/>
    </row>
    <row r="571" spans="1:12" outlineLevel="1" x14ac:dyDescent="0.25">
      <c r="A571" s="22">
        <f t="shared" si="20"/>
        <v>3.0134000000000283</v>
      </c>
      <c r="B571" s="27"/>
      <c r="C571" s="24" t="s">
        <v>691</v>
      </c>
      <c r="D571" s="7"/>
      <c r="E571" s="7"/>
      <c r="F571" s="8" t="s">
        <v>8</v>
      </c>
      <c r="G571" s="8">
        <f t="shared" si="22"/>
        <v>0</v>
      </c>
      <c r="H571" s="8">
        <f t="shared" si="22"/>
        <v>0</v>
      </c>
      <c r="I571" s="8">
        <f t="shared" si="22"/>
        <v>0</v>
      </c>
      <c r="J571" s="8">
        <f t="shared" si="22"/>
        <v>0</v>
      </c>
      <c r="K571" s="8">
        <f t="shared" si="22"/>
        <v>1</v>
      </c>
      <c r="L571" s="7"/>
    </row>
    <row r="572" spans="1:12" outlineLevel="1" x14ac:dyDescent="0.25">
      <c r="A572" s="22">
        <f t="shared" si="20"/>
        <v>3.0135000000000285</v>
      </c>
      <c r="B572" s="27"/>
      <c r="C572" s="24" t="s">
        <v>692</v>
      </c>
      <c r="D572" s="7"/>
      <c r="E572" s="7"/>
      <c r="F572" s="8" t="s">
        <v>8</v>
      </c>
      <c r="G572" s="8">
        <f t="shared" si="22"/>
        <v>0</v>
      </c>
      <c r="H572" s="8">
        <f t="shared" si="22"/>
        <v>0</v>
      </c>
      <c r="I572" s="8">
        <f t="shared" si="22"/>
        <v>0</v>
      </c>
      <c r="J572" s="8">
        <f t="shared" si="22"/>
        <v>0</v>
      </c>
      <c r="K572" s="8">
        <f t="shared" si="22"/>
        <v>1</v>
      </c>
      <c r="L572" s="7"/>
    </row>
    <row r="573" spans="1:12" outlineLevel="1" x14ac:dyDescent="0.25">
      <c r="A573" s="22">
        <f t="shared" si="20"/>
        <v>3.0136000000000287</v>
      </c>
      <c r="B573" s="27"/>
      <c r="C573" s="24" t="s">
        <v>693</v>
      </c>
      <c r="D573" s="7"/>
      <c r="E573" s="7"/>
      <c r="F573" s="8" t="s">
        <v>8</v>
      </c>
      <c r="G573" s="8">
        <f t="shared" si="22"/>
        <v>0</v>
      </c>
      <c r="H573" s="8">
        <f t="shared" si="22"/>
        <v>0</v>
      </c>
      <c r="I573" s="8">
        <f t="shared" si="22"/>
        <v>0</v>
      </c>
      <c r="J573" s="8">
        <f t="shared" si="22"/>
        <v>0</v>
      </c>
      <c r="K573" s="8">
        <f t="shared" si="22"/>
        <v>1</v>
      </c>
      <c r="L573" s="7"/>
    </row>
    <row r="574" spans="1:12" outlineLevel="1" x14ac:dyDescent="0.25">
      <c r="A574" s="22">
        <f t="shared" si="20"/>
        <v>3.0137000000000289</v>
      </c>
      <c r="B574" s="27"/>
      <c r="C574" s="24" t="s">
        <v>694</v>
      </c>
      <c r="D574" s="7"/>
      <c r="E574" s="7"/>
      <c r="F574" s="8" t="s">
        <v>8</v>
      </c>
      <c r="G574" s="8">
        <f t="shared" si="22"/>
        <v>0</v>
      </c>
      <c r="H574" s="8">
        <f t="shared" si="22"/>
        <v>0</v>
      </c>
      <c r="I574" s="8">
        <f t="shared" si="22"/>
        <v>0</v>
      </c>
      <c r="J574" s="8">
        <f t="shared" si="22"/>
        <v>0</v>
      </c>
      <c r="K574" s="8">
        <f t="shared" si="22"/>
        <v>1</v>
      </c>
      <c r="L574" s="7"/>
    </row>
    <row r="575" spans="1:12" outlineLevel="1" x14ac:dyDescent="0.25">
      <c r="A575" s="22">
        <f t="shared" si="20"/>
        <v>3.0138000000000291</v>
      </c>
      <c r="B575" s="27"/>
      <c r="C575" s="24" t="s">
        <v>695</v>
      </c>
      <c r="D575" s="7"/>
      <c r="E575" s="7"/>
      <c r="F575" s="8" t="s">
        <v>8</v>
      </c>
      <c r="G575" s="8">
        <f t="shared" si="22"/>
        <v>0</v>
      </c>
      <c r="H575" s="8">
        <f t="shared" si="22"/>
        <v>0</v>
      </c>
      <c r="I575" s="8">
        <f t="shared" si="22"/>
        <v>0</v>
      </c>
      <c r="J575" s="8">
        <f t="shared" si="22"/>
        <v>0</v>
      </c>
      <c r="K575" s="8">
        <f t="shared" si="22"/>
        <v>1</v>
      </c>
      <c r="L575" s="7"/>
    </row>
    <row r="576" spans="1:12" outlineLevel="1" x14ac:dyDescent="0.25">
      <c r="A576" s="22">
        <f t="shared" si="20"/>
        <v>3.0139000000000293</v>
      </c>
      <c r="B576" s="27"/>
      <c r="C576" s="24" t="s">
        <v>696</v>
      </c>
      <c r="D576" s="7"/>
      <c r="E576" s="7"/>
      <c r="F576" s="8" t="s">
        <v>8</v>
      </c>
      <c r="G576" s="8">
        <f t="shared" si="22"/>
        <v>0</v>
      </c>
      <c r="H576" s="8">
        <f t="shared" si="22"/>
        <v>0</v>
      </c>
      <c r="I576" s="8">
        <f t="shared" si="22"/>
        <v>0</v>
      </c>
      <c r="J576" s="8">
        <f t="shared" si="22"/>
        <v>0</v>
      </c>
      <c r="K576" s="8">
        <f t="shared" si="22"/>
        <v>1</v>
      </c>
      <c r="L576" s="7"/>
    </row>
    <row r="577" spans="1:12" outlineLevel="1" x14ac:dyDescent="0.25">
      <c r="A577" s="22">
        <f t="shared" si="20"/>
        <v>3.0140000000000295</v>
      </c>
      <c r="B577" s="27"/>
      <c r="C577" s="24" t="s">
        <v>697</v>
      </c>
      <c r="D577" s="7"/>
      <c r="E577" s="7"/>
      <c r="F577" s="8" t="s">
        <v>8</v>
      </c>
      <c r="G577" s="8">
        <f t="shared" si="22"/>
        <v>0</v>
      </c>
      <c r="H577" s="8">
        <f t="shared" si="22"/>
        <v>0</v>
      </c>
      <c r="I577" s="8">
        <f t="shared" si="22"/>
        <v>0</v>
      </c>
      <c r="J577" s="8">
        <f t="shared" si="22"/>
        <v>0</v>
      </c>
      <c r="K577" s="8">
        <f t="shared" si="22"/>
        <v>1</v>
      </c>
      <c r="L577" s="7"/>
    </row>
    <row r="578" spans="1:12" outlineLevel="1" x14ac:dyDescent="0.25">
      <c r="A578" s="22">
        <f t="shared" si="20"/>
        <v>3.0141000000000298</v>
      </c>
      <c r="B578" s="26" t="s">
        <v>232</v>
      </c>
      <c r="C578" s="24" t="s">
        <v>698</v>
      </c>
      <c r="D578" s="7"/>
      <c r="E578" s="7"/>
      <c r="F578" s="8" t="s">
        <v>8</v>
      </c>
      <c r="G578" s="8">
        <f t="shared" si="22"/>
        <v>0</v>
      </c>
      <c r="H578" s="8">
        <f t="shared" si="22"/>
        <v>0</v>
      </c>
      <c r="I578" s="8">
        <f t="shared" si="22"/>
        <v>0</v>
      </c>
      <c r="J578" s="8">
        <f t="shared" si="22"/>
        <v>0</v>
      </c>
      <c r="K578" s="8">
        <f t="shared" si="22"/>
        <v>1</v>
      </c>
      <c r="L578" s="7"/>
    </row>
    <row r="579" spans="1:12" outlineLevel="1" x14ac:dyDescent="0.25">
      <c r="A579" s="22">
        <f t="shared" si="20"/>
        <v>3.01420000000003</v>
      </c>
      <c r="B579" s="27"/>
      <c r="C579" s="24" t="s">
        <v>235</v>
      </c>
      <c r="D579" s="7"/>
      <c r="E579" s="7"/>
      <c r="F579" s="8" t="s">
        <v>8</v>
      </c>
      <c r="G579" s="8">
        <f t="shared" si="22"/>
        <v>0</v>
      </c>
      <c r="H579" s="8">
        <f t="shared" si="22"/>
        <v>0</v>
      </c>
      <c r="I579" s="8">
        <f t="shared" si="22"/>
        <v>0</v>
      </c>
      <c r="J579" s="8">
        <f t="shared" si="22"/>
        <v>0</v>
      </c>
      <c r="K579" s="8">
        <f t="shared" si="22"/>
        <v>1</v>
      </c>
      <c r="L579" s="7"/>
    </row>
    <row r="580" spans="1:12" outlineLevel="1" x14ac:dyDescent="0.25">
      <c r="A580" s="22">
        <f t="shared" si="20"/>
        <v>3.0143000000000302</v>
      </c>
      <c r="B580" s="26" t="s">
        <v>187</v>
      </c>
      <c r="C580" s="24" t="s">
        <v>236</v>
      </c>
      <c r="D580" s="7"/>
      <c r="E580" s="7"/>
      <c r="F580" s="8" t="s">
        <v>8</v>
      </c>
      <c r="G580" s="8">
        <f t="shared" si="22"/>
        <v>0</v>
      </c>
      <c r="H580" s="8">
        <f t="shared" si="22"/>
        <v>0</v>
      </c>
      <c r="I580" s="8">
        <f t="shared" si="22"/>
        <v>0</v>
      </c>
      <c r="J580" s="8">
        <f t="shared" si="22"/>
        <v>0</v>
      </c>
      <c r="K580" s="8">
        <f t="shared" si="22"/>
        <v>1</v>
      </c>
      <c r="L580" s="7"/>
    </row>
    <row r="581" spans="1:12" outlineLevel="1" x14ac:dyDescent="0.25">
      <c r="A581" s="22">
        <f t="shared" si="20"/>
        <v>3.0144000000000304</v>
      </c>
      <c r="B581" s="27"/>
      <c r="C581" s="24" t="s">
        <v>237</v>
      </c>
      <c r="D581" s="7"/>
      <c r="E581" s="7"/>
      <c r="F581" s="8" t="s">
        <v>8</v>
      </c>
      <c r="G581" s="8">
        <f t="shared" si="22"/>
        <v>0</v>
      </c>
      <c r="H581" s="8">
        <f t="shared" si="22"/>
        <v>0</v>
      </c>
      <c r="I581" s="8">
        <f t="shared" si="22"/>
        <v>0</v>
      </c>
      <c r="J581" s="8">
        <f t="shared" si="22"/>
        <v>0</v>
      </c>
      <c r="K581" s="8">
        <f t="shared" si="22"/>
        <v>1</v>
      </c>
      <c r="L581" s="7"/>
    </row>
    <row r="582" spans="1:12" outlineLevel="1" x14ac:dyDescent="0.25">
      <c r="A582" s="22">
        <f t="shared" si="20"/>
        <v>3.0145000000000306</v>
      </c>
      <c r="B582" s="26" t="s">
        <v>240</v>
      </c>
      <c r="C582" s="24" t="s">
        <v>241</v>
      </c>
      <c r="D582" s="7"/>
      <c r="E582" s="7"/>
      <c r="F582" s="8" t="s">
        <v>8</v>
      </c>
      <c r="G582" s="8">
        <f t="shared" si="22"/>
        <v>0</v>
      </c>
      <c r="H582" s="8">
        <f t="shared" si="22"/>
        <v>0</v>
      </c>
      <c r="I582" s="8">
        <f t="shared" si="22"/>
        <v>0</v>
      </c>
      <c r="J582" s="8">
        <f t="shared" si="22"/>
        <v>0</v>
      </c>
      <c r="K582" s="8">
        <f t="shared" si="22"/>
        <v>1</v>
      </c>
      <c r="L582" s="7"/>
    </row>
    <row r="583" spans="1:12" outlineLevel="1" x14ac:dyDescent="0.25">
      <c r="A583" s="22">
        <f t="shared" si="20"/>
        <v>3.0146000000000308</v>
      </c>
      <c r="B583" s="27"/>
      <c r="C583" s="24" t="s">
        <v>242</v>
      </c>
      <c r="D583" s="7"/>
      <c r="E583" s="7"/>
      <c r="F583" s="8" t="s">
        <v>8</v>
      </c>
      <c r="G583" s="8">
        <f t="shared" si="22"/>
        <v>0</v>
      </c>
      <c r="H583" s="8">
        <f t="shared" si="22"/>
        <v>0</v>
      </c>
      <c r="I583" s="8">
        <f t="shared" si="22"/>
        <v>0</v>
      </c>
      <c r="J583" s="8">
        <f t="shared" si="22"/>
        <v>0</v>
      </c>
      <c r="K583" s="8">
        <f t="shared" si="22"/>
        <v>1</v>
      </c>
      <c r="L583" s="7"/>
    </row>
    <row r="584" spans="1:12" outlineLevel="1" x14ac:dyDescent="0.25">
      <c r="A584" s="22">
        <f t="shared" si="20"/>
        <v>3.014700000000031</v>
      </c>
      <c r="B584" s="27"/>
      <c r="C584" s="24" t="s">
        <v>243</v>
      </c>
      <c r="D584" s="7"/>
      <c r="E584" s="7"/>
      <c r="F584" s="8" t="s">
        <v>8</v>
      </c>
      <c r="G584" s="8">
        <f t="shared" si="22"/>
        <v>0</v>
      </c>
      <c r="H584" s="8">
        <f t="shared" si="22"/>
        <v>0</v>
      </c>
      <c r="I584" s="8">
        <f t="shared" si="22"/>
        <v>0</v>
      </c>
      <c r="J584" s="8">
        <f t="shared" si="22"/>
        <v>0</v>
      </c>
      <c r="K584" s="8">
        <f t="shared" si="22"/>
        <v>1</v>
      </c>
      <c r="L584" s="7"/>
    </row>
    <row r="585" spans="1:12" outlineLevel="1" x14ac:dyDescent="0.25">
      <c r="A585" s="22">
        <f t="shared" si="20"/>
        <v>3.0148000000000312</v>
      </c>
      <c r="B585" s="27"/>
      <c r="C585" s="24" t="s">
        <v>244</v>
      </c>
      <c r="D585" s="7"/>
      <c r="E585" s="7"/>
      <c r="F585" s="8" t="s">
        <v>8</v>
      </c>
      <c r="G585" s="8">
        <f t="shared" si="22"/>
        <v>0</v>
      </c>
      <c r="H585" s="8">
        <f t="shared" si="22"/>
        <v>0</v>
      </c>
      <c r="I585" s="8">
        <f t="shared" si="22"/>
        <v>0</v>
      </c>
      <c r="J585" s="8">
        <f t="shared" si="22"/>
        <v>0</v>
      </c>
      <c r="K585" s="8">
        <f t="shared" si="22"/>
        <v>1</v>
      </c>
      <c r="L585" s="7"/>
    </row>
    <row r="586" spans="1:12" outlineLevel="1" x14ac:dyDescent="0.25">
      <c r="A586" s="22">
        <f t="shared" si="20"/>
        <v>3.0149000000000314</v>
      </c>
      <c r="B586" s="27"/>
      <c r="C586" s="24" t="s">
        <v>245</v>
      </c>
      <c r="D586" s="7"/>
      <c r="E586" s="7"/>
      <c r="F586" s="8" t="s">
        <v>8</v>
      </c>
      <c r="G586" s="8">
        <f t="shared" si="22"/>
        <v>0</v>
      </c>
      <c r="H586" s="8">
        <f t="shared" si="22"/>
        <v>0</v>
      </c>
      <c r="I586" s="8">
        <f t="shared" si="22"/>
        <v>0</v>
      </c>
      <c r="J586" s="8">
        <f t="shared" si="22"/>
        <v>0</v>
      </c>
      <c r="K586" s="8">
        <f t="shared" si="22"/>
        <v>1</v>
      </c>
      <c r="L586" s="7"/>
    </row>
    <row r="587" spans="1:12" outlineLevel="1" x14ac:dyDescent="0.25">
      <c r="A587" s="22">
        <f t="shared" si="20"/>
        <v>3.0150000000000317</v>
      </c>
      <c r="B587" s="27"/>
      <c r="C587" s="24" t="s">
        <v>246</v>
      </c>
      <c r="D587" s="7"/>
      <c r="E587" s="7"/>
      <c r="F587" s="8" t="s">
        <v>8</v>
      </c>
      <c r="G587" s="8">
        <f t="shared" si="22"/>
        <v>0</v>
      </c>
      <c r="H587" s="8">
        <f t="shared" si="22"/>
        <v>0</v>
      </c>
      <c r="I587" s="8">
        <f t="shared" si="22"/>
        <v>0</v>
      </c>
      <c r="J587" s="8">
        <f t="shared" si="22"/>
        <v>0</v>
      </c>
      <c r="K587" s="8">
        <f t="shared" si="22"/>
        <v>1</v>
      </c>
      <c r="L587" s="7"/>
    </row>
    <row r="588" spans="1:12" outlineLevel="1" x14ac:dyDescent="0.25">
      <c r="A588" s="22">
        <f t="shared" si="20"/>
        <v>3.0151000000000319</v>
      </c>
      <c r="B588" s="27"/>
      <c r="C588" s="24" t="s">
        <v>247</v>
      </c>
      <c r="D588" s="7"/>
      <c r="E588" s="7"/>
      <c r="F588" s="8" t="s">
        <v>8</v>
      </c>
      <c r="G588" s="8">
        <f t="shared" si="22"/>
        <v>0</v>
      </c>
      <c r="H588" s="8">
        <f t="shared" si="22"/>
        <v>0</v>
      </c>
      <c r="I588" s="8">
        <f t="shared" si="22"/>
        <v>0</v>
      </c>
      <c r="J588" s="8">
        <f t="shared" si="22"/>
        <v>0</v>
      </c>
      <c r="K588" s="8">
        <f t="shared" si="22"/>
        <v>1</v>
      </c>
      <c r="L588" s="7"/>
    </row>
    <row r="589" spans="1:12" outlineLevel="1" x14ac:dyDescent="0.25">
      <c r="A589" s="22">
        <f t="shared" si="20"/>
        <v>3.0152000000000321</v>
      </c>
      <c r="B589" s="26" t="s">
        <v>248</v>
      </c>
      <c r="C589" s="24" t="s">
        <v>249</v>
      </c>
      <c r="D589" s="7"/>
      <c r="E589" s="7"/>
      <c r="F589" s="8" t="s">
        <v>8</v>
      </c>
      <c r="G589" s="8">
        <f t="shared" si="22"/>
        <v>0</v>
      </c>
      <c r="H589" s="8">
        <f t="shared" si="22"/>
        <v>0</v>
      </c>
      <c r="I589" s="8">
        <f t="shared" si="22"/>
        <v>0</v>
      </c>
      <c r="J589" s="8">
        <f t="shared" si="22"/>
        <v>0</v>
      </c>
      <c r="K589" s="8">
        <f t="shared" si="22"/>
        <v>1</v>
      </c>
      <c r="L589" s="7"/>
    </row>
    <row r="590" spans="1:12" ht="25.5" outlineLevel="1" x14ac:dyDescent="0.25">
      <c r="A590" s="22">
        <f t="shared" si="20"/>
        <v>3.0153000000000323</v>
      </c>
      <c r="B590" s="27"/>
      <c r="C590" s="24" t="s">
        <v>250</v>
      </c>
      <c r="D590" s="7"/>
      <c r="E590" s="7"/>
      <c r="F590" s="8" t="s">
        <v>8</v>
      </c>
      <c r="G590" s="8">
        <f t="shared" si="22"/>
        <v>0</v>
      </c>
      <c r="H590" s="8">
        <f t="shared" si="22"/>
        <v>0</v>
      </c>
      <c r="I590" s="8">
        <f t="shared" si="22"/>
        <v>0</v>
      </c>
      <c r="J590" s="8">
        <f t="shared" si="22"/>
        <v>0</v>
      </c>
      <c r="K590" s="8">
        <f t="shared" si="22"/>
        <v>1</v>
      </c>
      <c r="L590" s="7"/>
    </row>
    <row r="591" spans="1:12" outlineLevel="1" x14ac:dyDescent="0.25">
      <c r="A591" s="22">
        <f t="shared" si="20"/>
        <v>3.0154000000000325</v>
      </c>
      <c r="B591" s="27"/>
      <c r="C591" s="24" t="s">
        <v>251</v>
      </c>
      <c r="D591" s="7"/>
      <c r="E591" s="7"/>
      <c r="F591" s="8" t="s">
        <v>8</v>
      </c>
      <c r="G591" s="8">
        <f t="shared" si="22"/>
        <v>0</v>
      </c>
      <c r="H591" s="8">
        <f t="shared" si="22"/>
        <v>0</v>
      </c>
      <c r="I591" s="8">
        <f t="shared" si="22"/>
        <v>0</v>
      </c>
      <c r="J591" s="8">
        <f t="shared" si="22"/>
        <v>0</v>
      </c>
      <c r="K591" s="8">
        <f t="shared" si="22"/>
        <v>1</v>
      </c>
      <c r="L591" s="7"/>
    </row>
    <row r="592" spans="1:12" outlineLevel="1" x14ac:dyDescent="0.25">
      <c r="A592" s="22">
        <f t="shared" si="20"/>
        <v>3.0155000000000327</v>
      </c>
      <c r="B592" s="27"/>
      <c r="C592" s="24" t="s">
        <v>252</v>
      </c>
      <c r="D592" s="7"/>
      <c r="E592" s="7"/>
      <c r="F592" s="8" t="s">
        <v>8</v>
      </c>
      <c r="G592" s="8">
        <f t="shared" si="22"/>
        <v>0</v>
      </c>
      <c r="H592" s="8">
        <f t="shared" si="22"/>
        <v>0</v>
      </c>
      <c r="I592" s="8">
        <f t="shared" si="22"/>
        <v>0</v>
      </c>
      <c r="J592" s="8">
        <f t="shared" si="22"/>
        <v>0</v>
      </c>
      <c r="K592" s="8">
        <f t="shared" si="22"/>
        <v>1</v>
      </c>
      <c r="L592" s="7"/>
    </row>
    <row r="593" spans="1:12" outlineLevel="1" x14ac:dyDescent="0.25">
      <c r="A593" s="22">
        <f t="shared" si="20"/>
        <v>3.0156000000000329</v>
      </c>
      <c r="B593" s="26" t="s">
        <v>253</v>
      </c>
      <c r="C593" s="24" t="s">
        <v>254</v>
      </c>
      <c r="D593" s="7"/>
      <c r="E593" s="7"/>
      <c r="F593" s="8" t="s">
        <v>8</v>
      </c>
      <c r="G593" s="8">
        <f t="shared" si="22"/>
        <v>0</v>
      </c>
      <c r="H593" s="8">
        <f t="shared" si="22"/>
        <v>0</v>
      </c>
      <c r="I593" s="8">
        <f t="shared" si="22"/>
        <v>0</v>
      </c>
      <c r="J593" s="8">
        <f t="shared" si="22"/>
        <v>0</v>
      </c>
      <c r="K593" s="8">
        <f t="shared" si="22"/>
        <v>1</v>
      </c>
      <c r="L593" s="7"/>
    </row>
    <row r="594" spans="1:12" outlineLevel="1" x14ac:dyDescent="0.25">
      <c r="A594" s="22">
        <f t="shared" si="20"/>
        <v>3.0157000000000331</v>
      </c>
      <c r="B594" s="27"/>
      <c r="C594" s="24" t="s">
        <v>255</v>
      </c>
      <c r="D594" s="7"/>
      <c r="E594" s="7"/>
      <c r="F594" s="8" t="s">
        <v>8</v>
      </c>
      <c r="G594" s="8">
        <f t="shared" si="22"/>
        <v>0</v>
      </c>
      <c r="H594" s="8">
        <f t="shared" si="22"/>
        <v>0</v>
      </c>
      <c r="I594" s="8">
        <f t="shared" si="22"/>
        <v>0</v>
      </c>
      <c r="J594" s="8">
        <f t="shared" si="22"/>
        <v>0</v>
      </c>
      <c r="K594" s="8">
        <f t="shared" si="22"/>
        <v>1</v>
      </c>
      <c r="L594" s="7"/>
    </row>
    <row r="595" spans="1:12" outlineLevel="1" x14ac:dyDescent="0.25">
      <c r="A595" s="22">
        <f t="shared" si="20"/>
        <v>3.0158000000000333</v>
      </c>
      <c r="B595" s="27"/>
      <c r="C595" s="24" t="s">
        <v>256</v>
      </c>
      <c r="D595" s="7"/>
      <c r="E595" s="7"/>
      <c r="F595" s="8" t="s">
        <v>8</v>
      </c>
      <c r="G595" s="8">
        <f t="shared" si="22"/>
        <v>0</v>
      </c>
      <c r="H595" s="8">
        <f t="shared" si="22"/>
        <v>0</v>
      </c>
      <c r="I595" s="8">
        <f t="shared" si="22"/>
        <v>0</v>
      </c>
      <c r="J595" s="8">
        <f t="shared" si="22"/>
        <v>0</v>
      </c>
      <c r="K595" s="8">
        <f t="shared" si="22"/>
        <v>1</v>
      </c>
      <c r="L595" s="7"/>
    </row>
    <row r="596" spans="1:12" ht="25.5" outlineLevel="1" x14ac:dyDescent="0.25">
      <c r="A596" s="22">
        <f t="shared" si="20"/>
        <v>3.0159000000000336</v>
      </c>
      <c r="B596" s="26" t="s">
        <v>257</v>
      </c>
      <c r="C596" s="24" t="s">
        <v>258</v>
      </c>
      <c r="D596" s="7"/>
      <c r="E596" s="7"/>
      <c r="F596" s="8" t="s">
        <v>8</v>
      </c>
      <c r="G596" s="8">
        <f t="shared" si="22"/>
        <v>0</v>
      </c>
      <c r="H596" s="8">
        <f t="shared" si="22"/>
        <v>0</v>
      </c>
      <c r="I596" s="8">
        <f t="shared" si="22"/>
        <v>0</v>
      </c>
      <c r="J596" s="8">
        <f t="shared" si="22"/>
        <v>0</v>
      </c>
      <c r="K596" s="8">
        <f t="shared" si="22"/>
        <v>1</v>
      </c>
      <c r="L596" s="7"/>
    </row>
    <row r="597" spans="1:12" outlineLevel="1" x14ac:dyDescent="0.25">
      <c r="A597" s="22">
        <f t="shared" si="20"/>
        <v>3.0160000000000338</v>
      </c>
      <c r="B597" s="27"/>
      <c r="C597" s="24" t="s">
        <v>259</v>
      </c>
      <c r="D597" s="7"/>
      <c r="E597" s="7"/>
      <c r="F597" s="8" t="s">
        <v>8</v>
      </c>
      <c r="G597" s="8">
        <f t="shared" si="22"/>
        <v>0</v>
      </c>
      <c r="H597" s="8">
        <f t="shared" si="22"/>
        <v>0</v>
      </c>
      <c r="I597" s="8">
        <f t="shared" si="22"/>
        <v>0</v>
      </c>
      <c r="J597" s="8">
        <f t="shared" si="22"/>
        <v>0</v>
      </c>
      <c r="K597" s="8">
        <f t="shared" si="22"/>
        <v>1</v>
      </c>
      <c r="L597" s="7"/>
    </row>
    <row r="598" spans="1:12" outlineLevel="1" x14ac:dyDescent="0.25">
      <c r="A598" s="22">
        <f t="shared" si="20"/>
        <v>3.016100000000034</v>
      </c>
      <c r="B598" s="27"/>
      <c r="C598" s="24" t="s">
        <v>260</v>
      </c>
      <c r="D598" s="7"/>
      <c r="E598" s="7"/>
      <c r="F598" s="8" t="s">
        <v>8</v>
      </c>
      <c r="G598" s="8">
        <f t="shared" si="22"/>
        <v>0</v>
      </c>
      <c r="H598" s="8">
        <f t="shared" si="22"/>
        <v>0</v>
      </c>
      <c r="I598" s="8">
        <f t="shared" si="22"/>
        <v>0</v>
      </c>
      <c r="J598" s="8">
        <f t="shared" si="22"/>
        <v>0</v>
      </c>
      <c r="K598" s="8">
        <f t="shared" si="22"/>
        <v>1</v>
      </c>
      <c r="L598" s="7"/>
    </row>
    <row r="599" spans="1:12" outlineLevel="1" x14ac:dyDescent="0.25">
      <c r="A599" s="22">
        <f t="shared" si="20"/>
        <v>3.0162000000000342</v>
      </c>
      <c r="B599" s="27"/>
      <c r="C599" s="24" t="s">
        <v>261</v>
      </c>
      <c r="D599" s="7"/>
      <c r="E599" s="7"/>
      <c r="F599" s="8" t="s">
        <v>8</v>
      </c>
      <c r="G599" s="8">
        <f t="shared" si="22"/>
        <v>0</v>
      </c>
      <c r="H599" s="8">
        <f t="shared" si="22"/>
        <v>0</v>
      </c>
      <c r="I599" s="8">
        <f t="shared" si="22"/>
        <v>0</v>
      </c>
      <c r="J599" s="8">
        <f t="shared" si="22"/>
        <v>0</v>
      </c>
      <c r="K599" s="8">
        <f t="shared" si="22"/>
        <v>1</v>
      </c>
      <c r="L599" s="7"/>
    </row>
    <row r="600" spans="1:12" outlineLevel="1" x14ac:dyDescent="0.25">
      <c r="A600" s="22">
        <f t="shared" si="20"/>
        <v>3.0163000000000344</v>
      </c>
      <c r="B600" s="27"/>
      <c r="C600" s="24" t="s">
        <v>262</v>
      </c>
      <c r="D600" s="7"/>
      <c r="E600" s="7"/>
      <c r="F600" s="8" t="s">
        <v>8</v>
      </c>
      <c r="G600" s="8">
        <f t="shared" si="22"/>
        <v>0</v>
      </c>
      <c r="H600" s="8">
        <f t="shared" si="22"/>
        <v>0</v>
      </c>
      <c r="I600" s="8">
        <f t="shared" si="22"/>
        <v>0</v>
      </c>
      <c r="J600" s="8">
        <f t="shared" si="22"/>
        <v>0</v>
      </c>
      <c r="K600" s="8">
        <f t="shared" si="22"/>
        <v>1</v>
      </c>
      <c r="L600" s="7"/>
    </row>
    <row r="601" spans="1:12" outlineLevel="1" x14ac:dyDescent="0.25">
      <c r="A601" s="22">
        <f t="shared" si="20"/>
        <v>3.0164000000000346</v>
      </c>
      <c r="B601" s="26" t="s">
        <v>263</v>
      </c>
      <c r="C601" s="24" t="s">
        <v>31</v>
      </c>
      <c r="D601" s="7"/>
      <c r="E601" s="7"/>
      <c r="F601" s="8" t="s">
        <v>8</v>
      </c>
      <c r="G601" s="8">
        <f t="shared" si="22"/>
        <v>0</v>
      </c>
      <c r="H601" s="8">
        <f t="shared" si="22"/>
        <v>0</v>
      </c>
      <c r="I601" s="8">
        <f t="shared" si="22"/>
        <v>0</v>
      </c>
      <c r="J601" s="8">
        <f t="shared" si="22"/>
        <v>0</v>
      </c>
      <c r="K601" s="8">
        <f t="shared" si="22"/>
        <v>1</v>
      </c>
      <c r="L601" s="7"/>
    </row>
    <row r="602" spans="1:12" outlineLevel="1" x14ac:dyDescent="0.25">
      <c r="A602" s="22">
        <f t="shared" si="20"/>
        <v>3.0165000000000348</v>
      </c>
      <c r="B602" s="27"/>
      <c r="C602" s="24" t="s">
        <v>264</v>
      </c>
      <c r="D602" s="7"/>
      <c r="E602" s="7"/>
      <c r="F602" s="8" t="s">
        <v>8</v>
      </c>
      <c r="G602" s="8">
        <f t="shared" si="22"/>
        <v>0</v>
      </c>
      <c r="H602" s="8">
        <f t="shared" si="22"/>
        <v>0</v>
      </c>
      <c r="I602" s="8">
        <f t="shared" si="22"/>
        <v>0</v>
      </c>
      <c r="J602" s="8">
        <f t="shared" si="22"/>
        <v>0</v>
      </c>
      <c r="K602" s="8">
        <f t="shared" si="22"/>
        <v>1</v>
      </c>
      <c r="L602" s="7"/>
    </row>
    <row r="603" spans="1:12" outlineLevel="1" x14ac:dyDescent="0.25">
      <c r="A603" s="22">
        <f t="shared" si="20"/>
        <v>3.016600000000035</v>
      </c>
      <c r="B603" s="26" t="s">
        <v>187</v>
      </c>
      <c r="C603" s="24" t="s">
        <v>265</v>
      </c>
      <c r="D603" s="7"/>
      <c r="E603" s="7"/>
      <c r="F603" s="8" t="s">
        <v>8</v>
      </c>
      <c r="G603" s="8">
        <f t="shared" si="22"/>
        <v>0</v>
      </c>
      <c r="H603" s="8">
        <f t="shared" si="22"/>
        <v>0</v>
      </c>
      <c r="I603" s="8">
        <f t="shared" si="22"/>
        <v>0</v>
      </c>
      <c r="J603" s="8">
        <f t="shared" si="22"/>
        <v>0</v>
      </c>
      <c r="K603" s="8">
        <f t="shared" si="22"/>
        <v>1</v>
      </c>
      <c r="L603" s="7"/>
    </row>
    <row r="604" spans="1:12" ht="25.5" outlineLevel="1" x14ac:dyDescent="0.25">
      <c r="A604" s="22">
        <f t="shared" si="20"/>
        <v>3.0167000000000352</v>
      </c>
      <c r="B604" s="27"/>
      <c r="C604" s="24" t="s">
        <v>266</v>
      </c>
      <c r="D604" s="7"/>
      <c r="E604" s="7"/>
      <c r="F604" s="8" t="s">
        <v>8</v>
      </c>
      <c r="G604" s="8">
        <f t="shared" si="22"/>
        <v>0</v>
      </c>
      <c r="H604" s="8">
        <f t="shared" si="22"/>
        <v>0</v>
      </c>
      <c r="I604" s="8">
        <f t="shared" si="22"/>
        <v>0</v>
      </c>
      <c r="J604" s="8">
        <f t="shared" si="22"/>
        <v>0</v>
      </c>
      <c r="K604" s="8">
        <f t="shared" si="22"/>
        <v>1</v>
      </c>
      <c r="L604" s="7"/>
    </row>
    <row r="605" spans="1:12" outlineLevel="1" x14ac:dyDescent="0.25">
      <c r="A605" s="22">
        <f t="shared" si="20"/>
        <v>3.0168000000000355</v>
      </c>
      <c r="B605" s="27"/>
      <c r="C605" s="24" t="s">
        <v>267</v>
      </c>
      <c r="D605" s="7"/>
      <c r="E605" s="7"/>
      <c r="F605" s="8" t="s">
        <v>8</v>
      </c>
      <c r="G605" s="8">
        <f t="shared" si="22"/>
        <v>0</v>
      </c>
      <c r="H605" s="8">
        <f t="shared" si="22"/>
        <v>0</v>
      </c>
      <c r="I605" s="8">
        <f t="shared" si="22"/>
        <v>0</v>
      </c>
      <c r="J605" s="8">
        <f t="shared" si="22"/>
        <v>0</v>
      </c>
      <c r="K605" s="8">
        <f t="shared" si="22"/>
        <v>1</v>
      </c>
      <c r="L605" s="7"/>
    </row>
    <row r="606" spans="1:12" ht="25.5" outlineLevel="1" x14ac:dyDescent="0.25">
      <c r="A606" s="22">
        <f t="shared" si="20"/>
        <v>3.0169000000000357</v>
      </c>
      <c r="B606" s="27"/>
      <c r="C606" s="24" t="s">
        <v>268</v>
      </c>
      <c r="D606" s="7"/>
      <c r="E606" s="7"/>
      <c r="F606" s="8" t="s">
        <v>8</v>
      </c>
      <c r="G606" s="8">
        <f t="shared" si="22"/>
        <v>0</v>
      </c>
      <c r="H606" s="8">
        <f t="shared" si="22"/>
        <v>0</v>
      </c>
      <c r="I606" s="8">
        <f t="shared" si="22"/>
        <v>0</v>
      </c>
      <c r="J606" s="8">
        <f t="shared" si="22"/>
        <v>0</v>
      </c>
      <c r="K606" s="8">
        <f t="shared" si="22"/>
        <v>1</v>
      </c>
      <c r="L606" s="7"/>
    </row>
    <row r="607" spans="1:12" ht="38.25" outlineLevel="1" x14ac:dyDescent="0.25">
      <c r="A607" s="22">
        <f t="shared" si="20"/>
        <v>3.0170000000000359</v>
      </c>
      <c r="B607" s="27"/>
      <c r="C607" s="24" t="s">
        <v>269</v>
      </c>
      <c r="D607" s="7"/>
      <c r="E607" s="7"/>
      <c r="F607" s="8" t="s">
        <v>8</v>
      </c>
      <c r="G607" s="8">
        <f t="shared" ref="G607:K657" si="23">IF($F607=G$1,1,0)</f>
        <v>0</v>
      </c>
      <c r="H607" s="8">
        <f t="shared" si="23"/>
        <v>0</v>
      </c>
      <c r="I607" s="8">
        <f t="shared" si="23"/>
        <v>0</v>
      </c>
      <c r="J607" s="8">
        <f t="shared" si="23"/>
        <v>0</v>
      </c>
      <c r="K607" s="8">
        <f t="shared" si="23"/>
        <v>1</v>
      </c>
      <c r="L607" s="7"/>
    </row>
    <row r="608" spans="1:12" ht="25.5" outlineLevel="1" x14ac:dyDescent="0.25">
      <c r="A608" s="22">
        <f t="shared" si="20"/>
        <v>3.0171000000000361</v>
      </c>
      <c r="B608" s="26" t="s">
        <v>20</v>
      </c>
      <c r="C608" s="24" t="s">
        <v>270</v>
      </c>
      <c r="D608" s="7"/>
      <c r="E608" s="7"/>
      <c r="F608" s="8" t="s">
        <v>8</v>
      </c>
      <c r="G608" s="8">
        <f t="shared" si="23"/>
        <v>0</v>
      </c>
      <c r="H608" s="8">
        <f t="shared" si="23"/>
        <v>0</v>
      </c>
      <c r="I608" s="8">
        <f t="shared" si="23"/>
        <v>0</v>
      </c>
      <c r="J608" s="8">
        <f t="shared" si="23"/>
        <v>0</v>
      </c>
      <c r="K608" s="8">
        <f t="shared" si="23"/>
        <v>1</v>
      </c>
      <c r="L608" s="7"/>
    </row>
    <row r="609" spans="1:12" outlineLevel="1" x14ac:dyDescent="0.25">
      <c r="A609" s="22">
        <f t="shared" si="20"/>
        <v>3.0172000000000363</v>
      </c>
      <c r="B609" s="31" t="s">
        <v>22</v>
      </c>
      <c r="C609" s="24"/>
      <c r="D609" s="7"/>
      <c r="E609" s="7"/>
      <c r="F609" s="8" t="s">
        <v>8</v>
      </c>
      <c r="G609" s="8">
        <f t="shared" si="23"/>
        <v>0</v>
      </c>
      <c r="H609" s="8">
        <f t="shared" si="23"/>
        <v>0</v>
      </c>
      <c r="I609" s="8">
        <f t="shared" si="23"/>
        <v>0</v>
      </c>
      <c r="J609" s="8">
        <f t="shared" si="23"/>
        <v>0</v>
      </c>
      <c r="K609" s="8">
        <f t="shared" si="23"/>
        <v>1</v>
      </c>
      <c r="L609" s="7"/>
    </row>
    <row r="610" spans="1:12" outlineLevel="1" x14ac:dyDescent="0.25">
      <c r="A610" s="22">
        <f t="shared" si="20"/>
        <v>3.0173000000000365</v>
      </c>
      <c r="B610" s="31" t="s">
        <v>271</v>
      </c>
      <c r="C610" s="24"/>
      <c r="D610" s="7"/>
      <c r="E610" s="7"/>
      <c r="F610" s="8" t="s">
        <v>8</v>
      </c>
      <c r="G610" s="8">
        <f t="shared" si="23"/>
        <v>0</v>
      </c>
      <c r="H610" s="8">
        <f t="shared" si="23"/>
        <v>0</v>
      </c>
      <c r="I610" s="8">
        <f t="shared" si="23"/>
        <v>0</v>
      </c>
      <c r="J610" s="8">
        <f t="shared" si="23"/>
        <v>0</v>
      </c>
      <c r="K610" s="8">
        <f t="shared" si="23"/>
        <v>1</v>
      </c>
      <c r="L610" s="7"/>
    </row>
    <row r="611" spans="1:12" outlineLevel="1" x14ac:dyDescent="0.25">
      <c r="A611" s="22">
        <f t="shared" si="20"/>
        <v>3.0174000000000367</v>
      </c>
      <c r="B611" s="31" t="s">
        <v>272</v>
      </c>
      <c r="C611" s="24"/>
      <c r="D611" s="7"/>
      <c r="E611" s="7"/>
      <c r="F611" s="8" t="s">
        <v>8</v>
      </c>
      <c r="G611" s="8">
        <f t="shared" si="23"/>
        <v>0</v>
      </c>
      <c r="H611" s="8">
        <f t="shared" si="23"/>
        <v>0</v>
      </c>
      <c r="I611" s="8">
        <f t="shared" si="23"/>
        <v>0</v>
      </c>
      <c r="J611" s="8">
        <f t="shared" si="23"/>
        <v>0</v>
      </c>
      <c r="K611" s="8">
        <f t="shared" si="23"/>
        <v>1</v>
      </c>
      <c r="L611" s="7"/>
    </row>
    <row r="612" spans="1:12" outlineLevel="1" x14ac:dyDescent="0.25">
      <c r="A612" s="22">
        <f t="shared" si="20"/>
        <v>3.0175000000000369</v>
      </c>
      <c r="B612" s="31" t="s">
        <v>24</v>
      </c>
      <c r="C612" s="24"/>
      <c r="D612" s="7"/>
      <c r="E612" s="7"/>
      <c r="F612" s="8" t="s">
        <v>8</v>
      </c>
      <c r="G612" s="8">
        <f t="shared" si="23"/>
        <v>0</v>
      </c>
      <c r="H612" s="8">
        <f t="shared" si="23"/>
        <v>0</v>
      </c>
      <c r="I612" s="8">
        <f t="shared" si="23"/>
        <v>0</v>
      </c>
      <c r="J612" s="8">
        <f t="shared" si="23"/>
        <v>0</v>
      </c>
      <c r="K612" s="8">
        <f t="shared" si="23"/>
        <v>1</v>
      </c>
      <c r="L612" s="7"/>
    </row>
    <row r="613" spans="1:12" outlineLevel="1" x14ac:dyDescent="0.25">
      <c r="A613" s="22">
        <f t="shared" si="20"/>
        <v>3.0176000000000371</v>
      </c>
      <c r="B613" s="26" t="s">
        <v>273</v>
      </c>
      <c r="C613" s="24" t="s">
        <v>31</v>
      </c>
      <c r="D613" s="7"/>
      <c r="E613" s="7"/>
      <c r="F613" s="8" t="s">
        <v>8</v>
      </c>
      <c r="G613" s="8">
        <f t="shared" si="23"/>
        <v>0</v>
      </c>
      <c r="H613" s="8">
        <f t="shared" si="23"/>
        <v>0</v>
      </c>
      <c r="I613" s="8">
        <f t="shared" si="23"/>
        <v>0</v>
      </c>
      <c r="J613" s="8">
        <f t="shared" si="23"/>
        <v>0</v>
      </c>
      <c r="K613" s="8">
        <f t="shared" si="23"/>
        <v>1</v>
      </c>
      <c r="L613" s="7"/>
    </row>
    <row r="614" spans="1:12" outlineLevel="1" x14ac:dyDescent="0.25">
      <c r="A614" s="22">
        <f t="shared" si="20"/>
        <v>3.0177000000000374</v>
      </c>
      <c r="B614" s="27"/>
      <c r="C614" s="24" t="s">
        <v>274</v>
      </c>
      <c r="D614" s="7"/>
      <c r="E614" s="7"/>
      <c r="F614" s="8" t="s">
        <v>8</v>
      </c>
      <c r="G614" s="8">
        <f t="shared" si="23"/>
        <v>0</v>
      </c>
      <c r="H614" s="8">
        <f t="shared" si="23"/>
        <v>0</v>
      </c>
      <c r="I614" s="8">
        <f t="shared" si="23"/>
        <v>0</v>
      </c>
      <c r="J614" s="8">
        <f t="shared" si="23"/>
        <v>0</v>
      </c>
      <c r="K614" s="8">
        <f t="shared" si="23"/>
        <v>1</v>
      </c>
      <c r="L614" s="7"/>
    </row>
    <row r="615" spans="1:12" outlineLevel="1" x14ac:dyDescent="0.25">
      <c r="A615" s="22">
        <f t="shared" si="20"/>
        <v>3.0178000000000376</v>
      </c>
      <c r="B615" s="26" t="s">
        <v>275</v>
      </c>
      <c r="C615" s="24" t="s">
        <v>31</v>
      </c>
      <c r="D615" s="7"/>
      <c r="E615" s="7"/>
      <c r="F615" s="8" t="s">
        <v>8</v>
      </c>
      <c r="G615" s="8">
        <f t="shared" si="23"/>
        <v>0</v>
      </c>
      <c r="H615" s="8">
        <f t="shared" si="23"/>
        <v>0</v>
      </c>
      <c r="I615" s="8">
        <f t="shared" si="23"/>
        <v>0</v>
      </c>
      <c r="J615" s="8">
        <f t="shared" si="23"/>
        <v>0</v>
      </c>
      <c r="K615" s="8">
        <f t="shared" si="23"/>
        <v>1</v>
      </c>
      <c r="L615" s="7"/>
    </row>
    <row r="616" spans="1:12" outlineLevel="1" x14ac:dyDescent="0.25">
      <c r="A616" s="22">
        <f t="shared" si="20"/>
        <v>3.0179000000000378</v>
      </c>
      <c r="B616" s="27"/>
      <c r="C616" s="24" t="s">
        <v>276</v>
      </c>
      <c r="D616" s="7"/>
      <c r="E616" s="7"/>
      <c r="F616" s="8" t="s">
        <v>8</v>
      </c>
      <c r="G616" s="8">
        <f t="shared" si="23"/>
        <v>0</v>
      </c>
      <c r="H616" s="8">
        <f t="shared" si="23"/>
        <v>0</v>
      </c>
      <c r="I616" s="8">
        <f t="shared" si="23"/>
        <v>0</v>
      </c>
      <c r="J616" s="8">
        <f t="shared" si="23"/>
        <v>0</v>
      </c>
      <c r="K616" s="8">
        <f t="shared" si="23"/>
        <v>1</v>
      </c>
      <c r="L616" s="7"/>
    </row>
    <row r="617" spans="1:12" outlineLevel="1" x14ac:dyDescent="0.25">
      <c r="A617" s="22">
        <f t="shared" si="20"/>
        <v>3.018000000000038</v>
      </c>
      <c r="B617" s="26" t="s">
        <v>277</v>
      </c>
      <c r="C617" s="24" t="s">
        <v>278</v>
      </c>
      <c r="D617" s="7"/>
      <c r="E617" s="7"/>
      <c r="F617" s="8" t="s">
        <v>8</v>
      </c>
      <c r="G617" s="8">
        <f t="shared" si="23"/>
        <v>0</v>
      </c>
      <c r="H617" s="8">
        <f t="shared" si="23"/>
        <v>0</v>
      </c>
      <c r="I617" s="8">
        <f t="shared" si="23"/>
        <v>0</v>
      </c>
      <c r="J617" s="8">
        <f t="shared" si="23"/>
        <v>0</v>
      </c>
      <c r="K617" s="8">
        <f t="shared" si="23"/>
        <v>1</v>
      </c>
      <c r="L617" s="7"/>
    </row>
    <row r="618" spans="1:12" outlineLevel="1" x14ac:dyDescent="0.25">
      <c r="A618" s="22">
        <f t="shared" si="20"/>
        <v>3.0181000000000382</v>
      </c>
      <c r="B618" s="27"/>
      <c r="C618" s="24" t="s">
        <v>279</v>
      </c>
      <c r="D618" s="7"/>
      <c r="E618" s="7"/>
      <c r="F618" s="8" t="s">
        <v>8</v>
      </c>
      <c r="G618" s="8">
        <f t="shared" si="23"/>
        <v>0</v>
      </c>
      <c r="H618" s="8">
        <f t="shared" si="23"/>
        <v>0</v>
      </c>
      <c r="I618" s="8">
        <f t="shared" si="23"/>
        <v>0</v>
      </c>
      <c r="J618" s="8">
        <f t="shared" si="23"/>
        <v>0</v>
      </c>
      <c r="K618" s="8">
        <f t="shared" si="23"/>
        <v>1</v>
      </c>
      <c r="L618" s="7"/>
    </row>
    <row r="619" spans="1:12" ht="25.5" outlineLevel="1" x14ac:dyDescent="0.25">
      <c r="A619" s="22">
        <f t="shared" si="20"/>
        <v>3.0182000000000384</v>
      </c>
      <c r="B619" s="26" t="s">
        <v>280</v>
      </c>
      <c r="C619" s="24" t="s">
        <v>281</v>
      </c>
      <c r="D619" s="7"/>
      <c r="E619" s="7"/>
      <c r="F619" s="8" t="s">
        <v>8</v>
      </c>
      <c r="G619" s="8">
        <f t="shared" si="23"/>
        <v>0</v>
      </c>
      <c r="H619" s="8">
        <f t="shared" si="23"/>
        <v>0</v>
      </c>
      <c r="I619" s="8">
        <f t="shared" si="23"/>
        <v>0</v>
      </c>
      <c r="J619" s="8">
        <f t="shared" si="23"/>
        <v>0</v>
      </c>
      <c r="K619" s="8">
        <f t="shared" si="23"/>
        <v>1</v>
      </c>
      <c r="L619" s="7"/>
    </row>
    <row r="620" spans="1:12" outlineLevel="1" x14ac:dyDescent="0.25">
      <c r="A620" s="22">
        <f t="shared" si="20"/>
        <v>3.0183000000000386</v>
      </c>
      <c r="B620" s="27"/>
      <c r="C620" s="24" t="s">
        <v>282</v>
      </c>
      <c r="D620" s="7"/>
      <c r="E620" s="7"/>
      <c r="F620" s="8" t="s">
        <v>8</v>
      </c>
      <c r="G620" s="8">
        <f t="shared" si="23"/>
        <v>0</v>
      </c>
      <c r="H620" s="8">
        <f t="shared" si="23"/>
        <v>0</v>
      </c>
      <c r="I620" s="8">
        <f t="shared" si="23"/>
        <v>0</v>
      </c>
      <c r="J620" s="8">
        <f t="shared" si="23"/>
        <v>0</v>
      </c>
      <c r="K620" s="8">
        <f t="shared" si="23"/>
        <v>1</v>
      </c>
      <c r="L620" s="7"/>
    </row>
    <row r="621" spans="1:12" outlineLevel="1" x14ac:dyDescent="0.25">
      <c r="A621" s="22">
        <f t="shared" si="20"/>
        <v>3.0184000000000388</v>
      </c>
      <c r="B621" s="27"/>
      <c r="C621" s="24" t="s">
        <v>283</v>
      </c>
      <c r="D621" s="7"/>
      <c r="E621" s="7"/>
      <c r="F621" s="8" t="s">
        <v>8</v>
      </c>
      <c r="G621" s="8">
        <f t="shared" si="23"/>
        <v>0</v>
      </c>
      <c r="H621" s="8">
        <f t="shared" si="23"/>
        <v>0</v>
      </c>
      <c r="I621" s="8">
        <f t="shared" si="23"/>
        <v>0</v>
      </c>
      <c r="J621" s="8">
        <f t="shared" si="23"/>
        <v>0</v>
      </c>
      <c r="K621" s="8">
        <f t="shared" si="23"/>
        <v>1</v>
      </c>
      <c r="L621" s="7"/>
    </row>
    <row r="622" spans="1:12" outlineLevel="1" x14ac:dyDescent="0.25">
      <c r="A622" s="22">
        <f t="shared" si="20"/>
        <v>3.018500000000039</v>
      </c>
      <c r="B622" s="27"/>
      <c r="C622" s="24" t="s">
        <v>284</v>
      </c>
      <c r="D622" s="7"/>
      <c r="E622" s="7"/>
      <c r="F622" s="8" t="s">
        <v>8</v>
      </c>
      <c r="G622" s="8">
        <f t="shared" si="23"/>
        <v>0</v>
      </c>
      <c r="H622" s="8">
        <f t="shared" si="23"/>
        <v>0</v>
      </c>
      <c r="I622" s="8">
        <f t="shared" si="23"/>
        <v>0</v>
      </c>
      <c r="J622" s="8">
        <f t="shared" si="23"/>
        <v>0</v>
      </c>
      <c r="K622" s="8">
        <f t="shared" si="23"/>
        <v>1</v>
      </c>
      <c r="L622" s="7"/>
    </row>
    <row r="623" spans="1:12" outlineLevel="1" x14ac:dyDescent="0.25">
      <c r="A623" s="22">
        <f t="shared" si="20"/>
        <v>3.0186000000000393</v>
      </c>
      <c r="B623" s="27"/>
      <c r="C623" s="24" t="s">
        <v>285</v>
      </c>
      <c r="D623" s="7"/>
      <c r="E623" s="7"/>
      <c r="F623" s="8" t="s">
        <v>8</v>
      </c>
      <c r="G623" s="8">
        <f t="shared" si="23"/>
        <v>0</v>
      </c>
      <c r="H623" s="8">
        <f t="shared" si="23"/>
        <v>0</v>
      </c>
      <c r="I623" s="8">
        <f t="shared" si="23"/>
        <v>0</v>
      </c>
      <c r="J623" s="8">
        <f t="shared" si="23"/>
        <v>0</v>
      </c>
      <c r="K623" s="8">
        <f t="shared" si="23"/>
        <v>1</v>
      </c>
      <c r="L623" s="7"/>
    </row>
    <row r="624" spans="1:12" outlineLevel="1" x14ac:dyDescent="0.25">
      <c r="A624" s="22">
        <f t="shared" si="20"/>
        <v>3.0187000000000395</v>
      </c>
      <c r="B624" s="27"/>
      <c r="C624" s="24" t="s">
        <v>286</v>
      </c>
      <c r="D624" s="7"/>
      <c r="E624" s="7"/>
      <c r="F624" s="8" t="s">
        <v>8</v>
      </c>
      <c r="G624" s="8">
        <f t="shared" si="23"/>
        <v>0</v>
      </c>
      <c r="H624" s="8">
        <f t="shared" si="23"/>
        <v>0</v>
      </c>
      <c r="I624" s="8">
        <f t="shared" si="23"/>
        <v>0</v>
      </c>
      <c r="J624" s="8">
        <f t="shared" si="23"/>
        <v>0</v>
      </c>
      <c r="K624" s="8">
        <f t="shared" si="23"/>
        <v>1</v>
      </c>
      <c r="L624" s="7"/>
    </row>
    <row r="625" spans="1:12" outlineLevel="1" x14ac:dyDescent="0.25">
      <c r="A625" s="22">
        <f t="shared" si="20"/>
        <v>3.0188000000000397</v>
      </c>
      <c r="B625" s="27"/>
      <c r="C625" s="24" t="s">
        <v>287</v>
      </c>
      <c r="D625" s="7"/>
      <c r="E625" s="7"/>
      <c r="F625" s="8" t="s">
        <v>8</v>
      </c>
      <c r="G625" s="8">
        <f t="shared" si="23"/>
        <v>0</v>
      </c>
      <c r="H625" s="8">
        <f t="shared" si="23"/>
        <v>0</v>
      </c>
      <c r="I625" s="8">
        <f t="shared" si="23"/>
        <v>0</v>
      </c>
      <c r="J625" s="8">
        <f t="shared" si="23"/>
        <v>0</v>
      </c>
      <c r="K625" s="8">
        <f t="shared" si="23"/>
        <v>1</v>
      </c>
      <c r="L625" s="7"/>
    </row>
    <row r="626" spans="1:12" outlineLevel="1" x14ac:dyDescent="0.25">
      <c r="A626" s="22">
        <f t="shared" si="20"/>
        <v>3.0189000000000399</v>
      </c>
      <c r="B626" s="26" t="s">
        <v>699</v>
      </c>
      <c r="C626" s="24" t="s">
        <v>700</v>
      </c>
      <c r="D626" s="7"/>
      <c r="E626" s="7"/>
      <c r="F626" s="8" t="s">
        <v>8</v>
      </c>
      <c r="G626" s="8">
        <f t="shared" si="23"/>
        <v>0</v>
      </c>
      <c r="H626" s="8">
        <f t="shared" si="23"/>
        <v>0</v>
      </c>
      <c r="I626" s="8">
        <f t="shared" si="23"/>
        <v>0</v>
      </c>
      <c r="J626" s="8">
        <f t="shared" si="23"/>
        <v>0</v>
      </c>
      <c r="K626" s="8">
        <f t="shared" si="23"/>
        <v>1</v>
      </c>
      <c r="L626" s="7"/>
    </row>
    <row r="627" spans="1:12" ht="25.5" outlineLevel="1" x14ac:dyDescent="0.25">
      <c r="A627" s="22">
        <f t="shared" si="20"/>
        <v>3.0190000000000401</v>
      </c>
      <c r="B627" s="27" t="s">
        <v>701</v>
      </c>
      <c r="C627" s="24" t="s">
        <v>702</v>
      </c>
      <c r="D627" s="7"/>
      <c r="E627" s="7"/>
      <c r="F627" s="8" t="s">
        <v>8</v>
      </c>
      <c r="G627" s="8">
        <f t="shared" si="23"/>
        <v>0</v>
      </c>
      <c r="H627" s="8">
        <f t="shared" si="23"/>
        <v>0</v>
      </c>
      <c r="I627" s="8">
        <f t="shared" si="23"/>
        <v>0</v>
      </c>
      <c r="J627" s="8">
        <f t="shared" si="23"/>
        <v>0</v>
      </c>
      <c r="K627" s="8">
        <f t="shared" si="23"/>
        <v>1</v>
      </c>
      <c r="L627" s="7"/>
    </row>
    <row r="628" spans="1:12" ht="38.25" outlineLevel="1" x14ac:dyDescent="0.25">
      <c r="A628" s="22">
        <f t="shared" si="20"/>
        <v>3.0191000000000403</v>
      </c>
      <c r="B628" s="27" t="s">
        <v>703</v>
      </c>
      <c r="C628" s="24"/>
      <c r="D628" s="7"/>
      <c r="E628" s="7"/>
      <c r="F628" s="8" t="s">
        <v>8</v>
      </c>
      <c r="G628" s="8">
        <f t="shared" si="23"/>
        <v>0</v>
      </c>
      <c r="H628" s="8">
        <f t="shared" si="23"/>
        <v>0</v>
      </c>
      <c r="I628" s="8">
        <f t="shared" si="23"/>
        <v>0</v>
      </c>
      <c r="J628" s="8">
        <f t="shared" si="23"/>
        <v>0</v>
      </c>
      <c r="K628" s="8">
        <f t="shared" si="23"/>
        <v>1</v>
      </c>
      <c r="L628" s="7"/>
    </row>
    <row r="629" spans="1:12" ht="51" outlineLevel="1" x14ac:dyDescent="0.25">
      <c r="A629" s="22">
        <f t="shared" si="20"/>
        <v>3.0192000000000405</v>
      </c>
      <c r="B629" s="27" t="s">
        <v>704</v>
      </c>
      <c r="C629" s="24"/>
      <c r="D629" s="7"/>
      <c r="E629" s="7"/>
      <c r="F629" s="8" t="s">
        <v>8</v>
      </c>
      <c r="G629" s="8">
        <f t="shared" si="23"/>
        <v>0</v>
      </c>
      <c r="H629" s="8">
        <f t="shared" si="23"/>
        <v>0</v>
      </c>
      <c r="I629" s="8">
        <f t="shared" si="23"/>
        <v>0</v>
      </c>
      <c r="J629" s="8">
        <f t="shared" si="23"/>
        <v>0</v>
      </c>
      <c r="K629" s="8">
        <f t="shared" si="23"/>
        <v>1</v>
      </c>
      <c r="L629" s="7"/>
    </row>
    <row r="630" spans="1:12" ht="25.5" outlineLevel="1" x14ac:dyDescent="0.25">
      <c r="A630" s="22">
        <f t="shared" si="20"/>
        <v>3.0193000000000407</v>
      </c>
      <c r="B630" s="27" t="s">
        <v>705</v>
      </c>
      <c r="C630" s="24"/>
      <c r="D630" s="7"/>
      <c r="E630" s="7"/>
      <c r="F630" s="8" t="s">
        <v>8</v>
      </c>
      <c r="G630" s="8">
        <f t="shared" si="23"/>
        <v>0</v>
      </c>
      <c r="H630" s="8">
        <f t="shared" si="23"/>
        <v>0</v>
      </c>
      <c r="I630" s="8">
        <f t="shared" si="23"/>
        <v>0</v>
      </c>
      <c r="J630" s="8">
        <f t="shared" si="23"/>
        <v>0</v>
      </c>
      <c r="K630" s="8">
        <f t="shared" si="23"/>
        <v>1</v>
      </c>
      <c r="L630" s="7"/>
    </row>
    <row r="631" spans="1:12" outlineLevel="1" x14ac:dyDescent="0.25">
      <c r="A631" s="22">
        <f t="shared" si="20"/>
        <v>3.0194000000000409</v>
      </c>
      <c r="B631" s="27"/>
      <c r="C631" s="24" t="s">
        <v>706</v>
      </c>
      <c r="D631" s="7"/>
      <c r="E631" s="7"/>
      <c r="F631" s="8" t="s">
        <v>8</v>
      </c>
      <c r="G631" s="8">
        <f t="shared" si="23"/>
        <v>0</v>
      </c>
      <c r="H631" s="8">
        <f t="shared" si="23"/>
        <v>0</v>
      </c>
      <c r="I631" s="8">
        <f t="shared" si="23"/>
        <v>0</v>
      </c>
      <c r="J631" s="8">
        <f t="shared" si="23"/>
        <v>0</v>
      </c>
      <c r="K631" s="8">
        <f t="shared" si="23"/>
        <v>1</v>
      </c>
      <c r="L631" s="7"/>
    </row>
    <row r="632" spans="1:12" outlineLevel="1" x14ac:dyDescent="0.25">
      <c r="A632" s="22">
        <f t="shared" si="20"/>
        <v>3.0195000000000412</v>
      </c>
      <c r="B632" s="27"/>
      <c r="C632" s="24"/>
      <c r="D632" s="7"/>
      <c r="E632" s="7"/>
      <c r="F632" s="8" t="s">
        <v>8</v>
      </c>
      <c r="G632" s="8">
        <f t="shared" si="23"/>
        <v>0</v>
      </c>
      <c r="H632" s="8">
        <f t="shared" si="23"/>
        <v>0</v>
      </c>
      <c r="I632" s="8">
        <f t="shared" si="23"/>
        <v>0</v>
      </c>
      <c r="J632" s="8">
        <f t="shared" si="23"/>
        <v>0</v>
      </c>
      <c r="K632" s="8">
        <f t="shared" si="23"/>
        <v>1</v>
      </c>
      <c r="L632" s="7"/>
    </row>
    <row r="633" spans="1:12" outlineLevel="1" x14ac:dyDescent="0.25">
      <c r="A633" s="22">
        <f t="shared" si="20"/>
        <v>3.0196000000000414</v>
      </c>
      <c r="B633" s="27"/>
      <c r="C633" s="24"/>
      <c r="D633" s="7"/>
      <c r="E633" s="7"/>
      <c r="F633" s="8" t="s">
        <v>8</v>
      </c>
      <c r="G633" s="8">
        <f t="shared" si="23"/>
        <v>0</v>
      </c>
      <c r="H633" s="8">
        <f t="shared" si="23"/>
        <v>0</v>
      </c>
      <c r="I633" s="8">
        <f t="shared" si="23"/>
        <v>0</v>
      </c>
      <c r="J633" s="8">
        <f t="shared" si="23"/>
        <v>0</v>
      </c>
      <c r="K633" s="8">
        <f t="shared" si="23"/>
        <v>1</v>
      </c>
      <c r="L633" s="7"/>
    </row>
    <row r="634" spans="1:12" outlineLevel="1" x14ac:dyDescent="0.25">
      <c r="A634" s="22">
        <f t="shared" si="20"/>
        <v>3.0197000000000416</v>
      </c>
      <c r="B634" s="27"/>
      <c r="C634" s="24" t="s">
        <v>707</v>
      </c>
      <c r="D634" s="7"/>
      <c r="E634" s="7"/>
      <c r="F634" s="8" t="s">
        <v>8</v>
      </c>
      <c r="G634" s="8">
        <f t="shared" si="23"/>
        <v>0</v>
      </c>
      <c r="H634" s="8">
        <f t="shared" si="23"/>
        <v>0</v>
      </c>
      <c r="I634" s="8">
        <f t="shared" si="23"/>
        <v>0</v>
      </c>
      <c r="J634" s="8">
        <f t="shared" si="23"/>
        <v>0</v>
      </c>
      <c r="K634" s="8">
        <f t="shared" si="23"/>
        <v>1</v>
      </c>
      <c r="L634" s="7"/>
    </row>
    <row r="635" spans="1:12" ht="38.25" outlineLevel="1" x14ac:dyDescent="0.25">
      <c r="A635" s="22">
        <f t="shared" si="20"/>
        <v>3.0198000000000418</v>
      </c>
      <c r="B635" s="26" t="s">
        <v>708</v>
      </c>
      <c r="C635" s="24" t="s">
        <v>709</v>
      </c>
      <c r="D635" s="7"/>
      <c r="E635" s="7"/>
      <c r="F635" s="8" t="s">
        <v>8</v>
      </c>
      <c r="G635" s="8">
        <f t="shared" si="23"/>
        <v>0</v>
      </c>
      <c r="H635" s="8">
        <f t="shared" si="23"/>
        <v>0</v>
      </c>
      <c r="I635" s="8">
        <f t="shared" si="23"/>
        <v>0</v>
      </c>
      <c r="J635" s="8">
        <f t="shared" si="23"/>
        <v>0</v>
      </c>
      <c r="K635" s="8">
        <f t="shared" si="23"/>
        <v>1</v>
      </c>
      <c r="L635" s="7"/>
    </row>
    <row r="636" spans="1:12" ht="38.25" outlineLevel="1" x14ac:dyDescent="0.25">
      <c r="A636" s="22">
        <f t="shared" si="20"/>
        <v>3.019900000000042</v>
      </c>
      <c r="B636" s="27" t="s">
        <v>710</v>
      </c>
      <c r="C636" s="24"/>
      <c r="D636" s="7"/>
      <c r="E636" s="7"/>
      <c r="F636" s="8" t="s">
        <v>8</v>
      </c>
      <c r="G636" s="8">
        <f t="shared" si="23"/>
        <v>0</v>
      </c>
      <c r="H636" s="8">
        <f t="shared" si="23"/>
        <v>0</v>
      </c>
      <c r="I636" s="8">
        <f t="shared" si="23"/>
        <v>0</v>
      </c>
      <c r="J636" s="8">
        <f t="shared" si="23"/>
        <v>0</v>
      </c>
      <c r="K636" s="8">
        <f t="shared" si="23"/>
        <v>1</v>
      </c>
      <c r="L636" s="7"/>
    </row>
    <row r="637" spans="1:12" outlineLevel="1" x14ac:dyDescent="0.25">
      <c r="A637" s="22">
        <f t="shared" si="20"/>
        <v>3.0200000000000422</v>
      </c>
      <c r="B637" s="27"/>
      <c r="C637" s="24"/>
      <c r="D637" s="7"/>
      <c r="E637" s="7"/>
      <c r="F637" s="8" t="s">
        <v>8</v>
      </c>
      <c r="G637" s="8">
        <f t="shared" si="23"/>
        <v>0</v>
      </c>
      <c r="H637" s="8">
        <f t="shared" si="23"/>
        <v>0</v>
      </c>
      <c r="I637" s="8">
        <f t="shared" si="23"/>
        <v>0</v>
      </c>
      <c r="J637" s="8">
        <f t="shared" si="23"/>
        <v>0</v>
      </c>
      <c r="K637" s="8">
        <f t="shared" si="23"/>
        <v>1</v>
      </c>
      <c r="L637" s="7"/>
    </row>
    <row r="638" spans="1:12" ht="25.5" outlineLevel="1" x14ac:dyDescent="0.25">
      <c r="A638" s="22">
        <f t="shared" si="20"/>
        <v>3.0201000000000424</v>
      </c>
      <c r="B638" s="27"/>
      <c r="C638" s="24" t="s">
        <v>711</v>
      </c>
      <c r="D638" s="7"/>
      <c r="E638" s="7"/>
      <c r="F638" s="8" t="s">
        <v>8</v>
      </c>
      <c r="G638" s="8">
        <f t="shared" si="23"/>
        <v>0</v>
      </c>
      <c r="H638" s="8">
        <f t="shared" si="23"/>
        <v>0</v>
      </c>
      <c r="I638" s="8">
        <f t="shared" si="23"/>
        <v>0</v>
      </c>
      <c r="J638" s="8">
        <f t="shared" si="23"/>
        <v>0</v>
      </c>
      <c r="K638" s="8">
        <f t="shared" si="23"/>
        <v>1</v>
      </c>
      <c r="L638" s="7"/>
    </row>
    <row r="639" spans="1:12" ht="38.25" outlineLevel="1" x14ac:dyDescent="0.25">
      <c r="A639" s="22">
        <f t="shared" si="20"/>
        <v>3.0202000000000426</v>
      </c>
      <c r="B639" s="26" t="s">
        <v>712</v>
      </c>
      <c r="C639" s="24" t="s">
        <v>709</v>
      </c>
      <c r="D639" s="7"/>
      <c r="E639" s="7"/>
      <c r="F639" s="8" t="s">
        <v>8</v>
      </c>
      <c r="G639" s="8">
        <f t="shared" si="23"/>
        <v>0</v>
      </c>
      <c r="H639" s="8">
        <f t="shared" si="23"/>
        <v>0</v>
      </c>
      <c r="I639" s="8">
        <f t="shared" si="23"/>
        <v>0</v>
      </c>
      <c r="J639" s="8">
        <f t="shared" si="23"/>
        <v>0</v>
      </c>
      <c r="K639" s="8">
        <f t="shared" si="23"/>
        <v>1</v>
      </c>
      <c r="L639" s="7"/>
    </row>
    <row r="640" spans="1:12" ht="38.25" outlineLevel="1" x14ac:dyDescent="0.25">
      <c r="A640" s="22">
        <f t="shared" si="20"/>
        <v>3.0203000000000428</v>
      </c>
      <c r="B640" s="27" t="s">
        <v>713</v>
      </c>
      <c r="C640" s="24"/>
      <c r="D640" s="7"/>
      <c r="E640" s="7"/>
      <c r="F640" s="8" t="s">
        <v>8</v>
      </c>
      <c r="G640" s="8">
        <f t="shared" si="23"/>
        <v>0</v>
      </c>
      <c r="H640" s="8">
        <f t="shared" si="23"/>
        <v>0</v>
      </c>
      <c r="I640" s="8">
        <f t="shared" si="23"/>
        <v>0</v>
      </c>
      <c r="J640" s="8">
        <f t="shared" si="23"/>
        <v>0</v>
      </c>
      <c r="K640" s="8">
        <f t="shared" si="23"/>
        <v>1</v>
      </c>
      <c r="L640" s="7"/>
    </row>
    <row r="641" spans="1:12" outlineLevel="1" x14ac:dyDescent="0.25">
      <c r="A641" s="22">
        <f t="shared" si="20"/>
        <v>3.0204000000000431</v>
      </c>
      <c r="B641" s="27"/>
      <c r="C641" s="24"/>
      <c r="D641" s="7"/>
      <c r="E641" s="7"/>
      <c r="F641" s="8" t="s">
        <v>8</v>
      </c>
      <c r="G641" s="8">
        <f t="shared" si="23"/>
        <v>0</v>
      </c>
      <c r="H641" s="8">
        <f t="shared" si="23"/>
        <v>0</v>
      </c>
      <c r="I641" s="8">
        <f t="shared" si="23"/>
        <v>0</v>
      </c>
      <c r="J641" s="8">
        <f t="shared" si="23"/>
        <v>0</v>
      </c>
      <c r="K641" s="8">
        <f t="shared" si="23"/>
        <v>1</v>
      </c>
      <c r="L641" s="7"/>
    </row>
    <row r="642" spans="1:12" ht="25.5" outlineLevel="1" x14ac:dyDescent="0.25">
      <c r="A642" s="22">
        <f t="shared" si="20"/>
        <v>3.0205000000000433</v>
      </c>
      <c r="B642" s="29"/>
      <c r="C642" s="24" t="s">
        <v>714</v>
      </c>
      <c r="D642" s="7"/>
      <c r="E642" s="7"/>
      <c r="F642" s="8" t="s">
        <v>8</v>
      </c>
      <c r="G642" s="8">
        <f t="shared" si="23"/>
        <v>0</v>
      </c>
      <c r="H642" s="8">
        <f t="shared" si="23"/>
        <v>0</v>
      </c>
      <c r="I642" s="8">
        <f t="shared" si="23"/>
        <v>0</v>
      </c>
      <c r="J642" s="8">
        <f t="shared" si="23"/>
        <v>0</v>
      </c>
      <c r="K642" s="8">
        <f t="shared" si="23"/>
        <v>1</v>
      </c>
      <c r="L642" s="7"/>
    </row>
    <row r="643" spans="1:12" ht="25.5" outlineLevel="1" x14ac:dyDescent="0.25">
      <c r="A643" s="22">
        <f t="shared" si="20"/>
        <v>3.0206000000000435</v>
      </c>
      <c r="B643" s="25" t="s">
        <v>288</v>
      </c>
      <c r="C643" s="6" t="s">
        <v>289</v>
      </c>
      <c r="D643" s="7"/>
      <c r="E643" s="7"/>
      <c r="F643" s="8" t="s">
        <v>8</v>
      </c>
      <c r="G643" s="8">
        <f t="shared" si="23"/>
        <v>0</v>
      </c>
      <c r="H643" s="8">
        <f t="shared" si="23"/>
        <v>0</v>
      </c>
      <c r="I643" s="8">
        <f t="shared" si="23"/>
        <v>0</v>
      </c>
      <c r="J643" s="8">
        <f t="shared" si="23"/>
        <v>0</v>
      </c>
      <c r="K643" s="8">
        <f t="shared" si="23"/>
        <v>1</v>
      </c>
      <c r="L643" s="7"/>
    </row>
    <row r="644" spans="1:12" ht="25.5" outlineLevel="1" x14ac:dyDescent="0.25">
      <c r="A644" s="22">
        <f t="shared" si="20"/>
        <v>3.0207000000000437</v>
      </c>
      <c r="B644" s="28" t="s">
        <v>290</v>
      </c>
      <c r="C644" s="6" t="s">
        <v>291</v>
      </c>
      <c r="D644" s="7"/>
      <c r="E644" s="7"/>
      <c r="F644" s="8" t="s">
        <v>8</v>
      </c>
      <c r="G644" s="8">
        <f t="shared" si="23"/>
        <v>0</v>
      </c>
      <c r="H644" s="8">
        <f t="shared" si="23"/>
        <v>0</v>
      </c>
      <c r="I644" s="8">
        <f t="shared" si="23"/>
        <v>0</v>
      </c>
      <c r="J644" s="8">
        <f t="shared" si="23"/>
        <v>0</v>
      </c>
      <c r="K644" s="8">
        <f t="shared" si="23"/>
        <v>1</v>
      </c>
      <c r="L644" s="7"/>
    </row>
    <row r="645" spans="1:12" outlineLevel="1" x14ac:dyDescent="0.25">
      <c r="A645" s="22">
        <f t="shared" si="20"/>
        <v>3.0208000000000439</v>
      </c>
      <c r="B645" s="26" t="s">
        <v>292</v>
      </c>
      <c r="C645" s="24" t="s">
        <v>293</v>
      </c>
      <c r="D645" s="7"/>
      <c r="E645" s="7"/>
      <c r="F645" s="8" t="s">
        <v>8</v>
      </c>
      <c r="G645" s="8">
        <f t="shared" si="23"/>
        <v>0</v>
      </c>
      <c r="H645" s="8">
        <f t="shared" si="23"/>
        <v>0</v>
      </c>
      <c r="I645" s="8">
        <f t="shared" si="23"/>
        <v>0</v>
      </c>
      <c r="J645" s="8">
        <f t="shared" si="23"/>
        <v>0</v>
      </c>
      <c r="K645" s="8">
        <f t="shared" si="23"/>
        <v>1</v>
      </c>
      <c r="L645" s="7"/>
    </row>
    <row r="646" spans="1:12" outlineLevel="1" x14ac:dyDescent="0.25">
      <c r="A646" s="22">
        <f t="shared" si="20"/>
        <v>3.0209000000000441</v>
      </c>
      <c r="B646" s="27"/>
      <c r="C646" s="24" t="s">
        <v>294</v>
      </c>
      <c r="D646" s="7"/>
      <c r="E646" s="7"/>
      <c r="F646" s="8" t="s">
        <v>8</v>
      </c>
      <c r="G646" s="8">
        <f t="shared" si="23"/>
        <v>0</v>
      </c>
      <c r="H646" s="8">
        <f t="shared" si="23"/>
        <v>0</v>
      </c>
      <c r="I646" s="8">
        <f t="shared" si="23"/>
        <v>0</v>
      </c>
      <c r="J646" s="8">
        <f t="shared" si="23"/>
        <v>0</v>
      </c>
      <c r="K646" s="8">
        <f t="shared" si="23"/>
        <v>1</v>
      </c>
      <c r="L646" s="7"/>
    </row>
    <row r="647" spans="1:12" outlineLevel="1" x14ac:dyDescent="0.25">
      <c r="A647" s="22">
        <f t="shared" si="20"/>
        <v>3.0210000000000443</v>
      </c>
      <c r="B647" s="26" t="s">
        <v>295</v>
      </c>
      <c r="C647" s="24" t="s">
        <v>296</v>
      </c>
      <c r="D647" s="7"/>
      <c r="E647" s="7"/>
      <c r="F647" s="8" t="s">
        <v>8</v>
      </c>
      <c r="G647" s="8">
        <f t="shared" si="23"/>
        <v>0</v>
      </c>
      <c r="H647" s="8">
        <f t="shared" si="23"/>
        <v>0</v>
      </c>
      <c r="I647" s="8">
        <f t="shared" si="23"/>
        <v>0</v>
      </c>
      <c r="J647" s="8">
        <f t="shared" si="23"/>
        <v>0</v>
      </c>
      <c r="K647" s="8">
        <f t="shared" si="23"/>
        <v>1</v>
      </c>
      <c r="L647" s="7"/>
    </row>
    <row r="648" spans="1:12" outlineLevel="1" x14ac:dyDescent="0.25">
      <c r="A648" s="22">
        <f t="shared" si="20"/>
        <v>3.0211000000000445</v>
      </c>
      <c r="B648" s="27"/>
      <c r="C648" s="24" t="s">
        <v>297</v>
      </c>
      <c r="D648" s="7"/>
      <c r="E648" s="7"/>
      <c r="F648" s="8" t="s">
        <v>8</v>
      </c>
      <c r="G648" s="8">
        <f t="shared" si="23"/>
        <v>0</v>
      </c>
      <c r="H648" s="8">
        <f t="shared" si="23"/>
        <v>0</v>
      </c>
      <c r="I648" s="8">
        <f t="shared" si="23"/>
        <v>0</v>
      </c>
      <c r="J648" s="8">
        <f t="shared" si="23"/>
        <v>0</v>
      </c>
      <c r="K648" s="8">
        <f t="shared" si="23"/>
        <v>1</v>
      </c>
      <c r="L648" s="7"/>
    </row>
    <row r="649" spans="1:12" outlineLevel="1" x14ac:dyDescent="0.25">
      <c r="A649" s="22">
        <f t="shared" si="20"/>
        <v>3.0212000000000447</v>
      </c>
      <c r="B649" s="27"/>
      <c r="C649" s="24" t="s">
        <v>298</v>
      </c>
      <c r="D649" s="7"/>
      <c r="E649" s="7"/>
      <c r="F649" s="8" t="s">
        <v>8</v>
      </c>
      <c r="G649" s="8">
        <f t="shared" si="23"/>
        <v>0</v>
      </c>
      <c r="H649" s="8">
        <f t="shared" si="23"/>
        <v>0</v>
      </c>
      <c r="I649" s="8">
        <f t="shared" si="23"/>
        <v>0</v>
      </c>
      <c r="J649" s="8">
        <f t="shared" si="23"/>
        <v>0</v>
      </c>
      <c r="K649" s="8">
        <f t="shared" si="23"/>
        <v>1</v>
      </c>
      <c r="L649" s="7"/>
    </row>
    <row r="650" spans="1:12" outlineLevel="1" x14ac:dyDescent="0.25">
      <c r="A650" s="22">
        <f t="shared" si="20"/>
        <v>3.0213000000000449</v>
      </c>
      <c r="B650" s="26" t="s">
        <v>299</v>
      </c>
      <c r="C650" s="24" t="s">
        <v>300</v>
      </c>
      <c r="D650" s="7"/>
      <c r="E650" s="7"/>
      <c r="F650" s="8" t="s">
        <v>8</v>
      </c>
      <c r="G650" s="8">
        <f t="shared" si="23"/>
        <v>0</v>
      </c>
      <c r="H650" s="8">
        <f t="shared" si="23"/>
        <v>0</v>
      </c>
      <c r="I650" s="8">
        <f t="shared" si="23"/>
        <v>0</v>
      </c>
      <c r="J650" s="8">
        <f t="shared" si="23"/>
        <v>0</v>
      </c>
      <c r="K650" s="8">
        <f t="shared" si="23"/>
        <v>1</v>
      </c>
      <c r="L650" s="7"/>
    </row>
    <row r="651" spans="1:12" outlineLevel="1" x14ac:dyDescent="0.25">
      <c r="A651" s="22">
        <f t="shared" si="20"/>
        <v>3.0214000000000452</v>
      </c>
      <c r="B651" s="27"/>
      <c r="C651" s="24" t="s">
        <v>301</v>
      </c>
      <c r="D651" s="7"/>
      <c r="E651" s="7"/>
      <c r="F651" s="8" t="s">
        <v>8</v>
      </c>
      <c r="G651" s="8">
        <f t="shared" si="23"/>
        <v>0</v>
      </c>
      <c r="H651" s="8">
        <f t="shared" si="23"/>
        <v>0</v>
      </c>
      <c r="I651" s="8">
        <f t="shared" si="23"/>
        <v>0</v>
      </c>
      <c r="J651" s="8">
        <f t="shared" si="23"/>
        <v>0</v>
      </c>
      <c r="K651" s="8">
        <f t="shared" si="23"/>
        <v>1</v>
      </c>
      <c r="L651" s="7"/>
    </row>
    <row r="652" spans="1:12" outlineLevel="1" x14ac:dyDescent="0.25">
      <c r="A652" s="22">
        <f t="shared" si="20"/>
        <v>3.0215000000000454</v>
      </c>
      <c r="B652" s="27"/>
      <c r="C652" s="24" t="s">
        <v>302</v>
      </c>
      <c r="D652" s="7"/>
      <c r="E652" s="7"/>
      <c r="F652" s="8" t="s">
        <v>8</v>
      </c>
      <c r="G652" s="8">
        <f t="shared" si="23"/>
        <v>0</v>
      </c>
      <c r="H652" s="8">
        <f t="shared" si="23"/>
        <v>0</v>
      </c>
      <c r="I652" s="8">
        <f t="shared" si="23"/>
        <v>0</v>
      </c>
      <c r="J652" s="8">
        <f t="shared" si="23"/>
        <v>0</v>
      </c>
      <c r="K652" s="8">
        <f t="shared" si="23"/>
        <v>1</v>
      </c>
      <c r="L652" s="7"/>
    </row>
    <row r="653" spans="1:12" outlineLevel="1" x14ac:dyDescent="0.25">
      <c r="A653" s="22">
        <f t="shared" si="20"/>
        <v>3.0216000000000456</v>
      </c>
      <c r="B653" s="26" t="s">
        <v>303</v>
      </c>
      <c r="C653" s="24" t="s">
        <v>293</v>
      </c>
      <c r="D653" s="7"/>
      <c r="E653" s="7"/>
      <c r="F653" s="8" t="s">
        <v>8</v>
      </c>
      <c r="G653" s="8">
        <f t="shared" si="23"/>
        <v>0</v>
      </c>
      <c r="H653" s="8">
        <f t="shared" si="23"/>
        <v>0</v>
      </c>
      <c r="I653" s="8">
        <f t="shared" si="23"/>
        <v>0</v>
      </c>
      <c r="J653" s="8">
        <f t="shared" si="23"/>
        <v>0</v>
      </c>
      <c r="K653" s="8">
        <f t="shared" si="23"/>
        <v>1</v>
      </c>
      <c r="L653" s="7"/>
    </row>
    <row r="654" spans="1:12" outlineLevel="1" x14ac:dyDescent="0.25">
      <c r="A654" s="22">
        <f t="shared" si="20"/>
        <v>3.0217000000000458</v>
      </c>
      <c r="B654" s="27"/>
      <c r="C654" s="24" t="s">
        <v>254</v>
      </c>
      <c r="D654" s="7"/>
      <c r="E654" s="7"/>
      <c r="F654" s="8" t="s">
        <v>8</v>
      </c>
      <c r="G654" s="8">
        <f t="shared" si="23"/>
        <v>0</v>
      </c>
      <c r="H654" s="8">
        <f t="shared" si="23"/>
        <v>0</v>
      </c>
      <c r="I654" s="8">
        <f t="shared" si="23"/>
        <v>0</v>
      </c>
      <c r="J654" s="8">
        <f t="shared" si="23"/>
        <v>0</v>
      </c>
      <c r="K654" s="8">
        <f t="shared" si="23"/>
        <v>1</v>
      </c>
      <c r="L654" s="7"/>
    </row>
    <row r="655" spans="1:12" outlineLevel="1" x14ac:dyDescent="0.25">
      <c r="A655" s="22">
        <f t="shared" si="20"/>
        <v>3.021800000000046</v>
      </c>
      <c r="B655" s="27"/>
      <c r="C655" s="24" t="s">
        <v>304</v>
      </c>
      <c r="D655" s="7"/>
      <c r="E655" s="7"/>
      <c r="F655" s="8" t="s">
        <v>8</v>
      </c>
      <c r="G655" s="8">
        <f t="shared" si="23"/>
        <v>0</v>
      </c>
      <c r="H655" s="8">
        <f t="shared" si="23"/>
        <v>0</v>
      </c>
      <c r="I655" s="8">
        <f t="shared" si="23"/>
        <v>0</v>
      </c>
      <c r="J655" s="8">
        <f t="shared" si="23"/>
        <v>0</v>
      </c>
      <c r="K655" s="8">
        <f t="shared" si="23"/>
        <v>1</v>
      </c>
      <c r="L655" s="7"/>
    </row>
    <row r="656" spans="1:12" outlineLevel="1" x14ac:dyDescent="0.25">
      <c r="A656" s="22">
        <f t="shared" si="20"/>
        <v>3.0219000000000462</v>
      </c>
      <c r="B656" s="27"/>
      <c r="C656" s="24" t="s">
        <v>305</v>
      </c>
      <c r="D656" s="7"/>
      <c r="E656" s="7"/>
      <c r="F656" s="8" t="s">
        <v>8</v>
      </c>
      <c r="G656" s="8">
        <f t="shared" si="23"/>
        <v>0</v>
      </c>
      <c r="H656" s="8">
        <f t="shared" si="23"/>
        <v>0</v>
      </c>
      <c r="I656" s="8">
        <f t="shared" si="23"/>
        <v>0</v>
      </c>
      <c r="J656" s="8">
        <f t="shared" si="23"/>
        <v>0</v>
      </c>
      <c r="K656" s="8">
        <f t="shared" si="23"/>
        <v>1</v>
      </c>
      <c r="L656" s="7"/>
    </row>
    <row r="657" spans="1:12" ht="25.5" outlineLevel="1" x14ac:dyDescent="0.25">
      <c r="A657" s="22">
        <f t="shared" si="20"/>
        <v>3.0220000000000464</v>
      </c>
      <c r="B657" s="26" t="s">
        <v>306</v>
      </c>
      <c r="C657" s="24" t="s">
        <v>307</v>
      </c>
      <c r="D657" s="7"/>
      <c r="E657" s="7"/>
      <c r="F657" s="8" t="s">
        <v>8</v>
      </c>
      <c r="G657" s="8">
        <f t="shared" si="23"/>
        <v>0</v>
      </c>
      <c r="H657" s="8">
        <f t="shared" si="23"/>
        <v>0</v>
      </c>
      <c r="I657" s="8">
        <f t="shared" si="23"/>
        <v>0</v>
      </c>
      <c r="J657" s="8">
        <f t="shared" si="23"/>
        <v>0</v>
      </c>
      <c r="K657" s="8">
        <f t="shared" si="23"/>
        <v>1</v>
      </c>
      <c r="L657" s="7"/>
    </row>
    <row r="658" spans="1:12" outlineLevel="1" x14ac:dyDescent="0.25">
      <c r="A658" s="22">
        <f t="shared" si="20"/>
        <v>3.0221000000000466</v>
      </c>
      <c r="B658" s="27"/>
      <c r="C658" s="24" t="s">
        <v>308</v>
      </c>
      <c r="D658" s="7"/>
      <c r="E658" s="7"/>
      <c r="F658" s="8" t="s">
        <v>8</v>
      </c>
      <c r="G658" s="8">
        <f t="shared" ref="G658:K708" si="24">IF($F658=G$1,1,0)</f>
        <v>0</v>
      </c>
      <c r="H658" s="8">
        <f t="shared" si="24"/>
        <v>0</v>
      </c>
      <c r="I658" s="8">
        <f t="shared" si="24"/>
        <v>0</v>
      </c>
      <c r="J658" s="8">
        <f t="shared" si="24"/>
        <v>0</v>
      </c>
      <c r="K658" s="8">
        <f t="shared" si="24"/>
        <v>1</v>
      </c>
      <c r="L658" s="7"/>
    </row>
    <row r="659" spans="1:12" outlineLevel="1" x14ac:dyDescent="0.25">
      <c r="A659" s="22">
        <f t="shared" ref="A659:A722" si="25">A658+0.0001</f>
        <v>3.0222000000000468</v>
      </c>
      <c r="B659" s="27"/>
      <c r="C659" s="24" t="s">
        <v>309</v>
      </c>
      <c r="D659" s="7"/>
      <c r="E659" s="7"/>
      <c r="F659" s="8" t="s">
        <v>8</v>
      </c>
      <c r="G659" s="8">
        <f t="shared" si="24"/>
        <v>0</v>
      </c>
      <c r="H659" s="8">
        <f t="shared" si="24"/>
        <v>0</v>
      </c>
      <c r="I659" s="8">
        <f t="shared" si="24"/>
        <v>0</v>
      </c>
      <c r="J659" s="8">
        <f t="shared" si="24"/>
        <v>0</v>
      </c>
      <c r="K659" s="8">
        <f t="shared" si="24"/>
        <v>1</v>
      </c>
      <c r="L659" s="7"/>
    </row>
    <row r="660" spans="1:12" outlineLevel="1" x14ac:dyDescent="0.25">
      <c r="A660" s="22">
        <f t="shared" si="25"/>
        <v>3.0223000000000471</v>
      </c>
      <c r="B660" s="27"/>
      <c r="C660" s="24" t="s">
        <v>310</v>
      </c>
      <c r="D660" s="7"/>
      <c r="E660" s="7"/>
      <c r="F660" s="8" t="s">
        <v>8</v>
      </c>
      <c r="G660" s="8">
        <f t="shared" si="24"/>
        <v>0</v>
      </c>
      <c r="H660" s="8">
        <f t="shared" si="24"/>
        <v>0</v>
      </c>
      <c r="I660" s="8">
        <f t="shared" si="24"/>
        <v>0</v>
      </c>
      <c r="J660" s="8">
        <f t="shared" si="24"/>
        <v>0</v>
      </c>
      <c r="K660" s="8">
        <f t="shared" si="24"/>
        <v>1</v>
      </c>
      <c r="L660" s="7"/>
    </row>
    <row r="661" spans="1:12" outlineLevel="1" x14ac:dyDescent="0.25">
      <c r="A661" s="22">
        <f t="shared" si="25"/>
        <v>3.0224000000000473</v>
      </c>
      <c r="B661" s="27"/>
      <c r="C661" s="24" t="s">
        <v>311</v>
      </c>
      <c r="D661" s="7"/>
      <c r="E661" s="7"/>
      <c r="F661" s="8" t="s">
        <v>8</v>
      </c>
      <c r="G661" s="8">
        <f t="shared" si="24"/>
        <v>0</v>
      </c>
      <c r="H661" s="8">
        <f t="shared" si="24"/>
        <v>0</v>
      </c>
      <c r="I661" s="8">
        <f t="shared" si="24"/>
        <v>0</v>
      </c>
      <c r="J661" s="8">
        <f t="shared" si="24"/>
        <v>0</v>
      </c>
      <c r="K661" s="8">
        <f t="shared" si="24"/>
        <v>1</v>
      </c>
      <c r="L661" s="7"/>
    </row>
    <row r="662" spans="1:12" ht="76.5" outlineLevel="1" x14ac:dyDescent="0.25">
      <c r="A662" s="22">
        <f t="shared" si="25"/>
        <v>3.0225000000000475</v>
      </c>
      <c r="B662" s="27"/>
      <c r="C662" s="24" t="s">
        <v>312</v>
      </c>
      <c r="D662" s="7"/>
      <c r="E662" s="7"/>
      <c r="F662" s="8" t="s">
        <v>8</v>
      </c>
      <c r="G662" s="8">
        <f t="shared" si="24"/>
        <v>0</v>
      </c>
      <c r="H662" s="8">
        <f t="shared" si="24"/>
        <v>0</v>
      </c>
      <c r="I662" s="8">
        <f t="shared" si="24"/>
        <v>0</v>
      </c>
      <c r="J662" s="8">
        <f t="shared" si="24"/>
        <v>0</v>
      </c>
      <c r="K662" s="8">
        <f t="shared" si="24"/>
        <v>1</v>
      </c>
      <c r="L662" s="7"/>
    </row>
    <row r="663" spans="1:12" outlineLevel="1" x14ac:dyDescent="0.25">
      <c r="A663" s="22">
        <f t="shared" si="25"/>
        <v>3.0226000000000477</v>
      </c>
      <c r="B663" s="26" t="s">
        <v>313</v>
      </c>
      <c r="C663" s="24" t="s">
        <v>314</v>
      </c>
      <c r="D663" s="7"/>
      <c r="E663" s="7"/>
      <c r="F663" s="8" t="s">
        <v>8</v>
      </c>
      <c r="G663" s="8">
        <f t="shared" si="24"/>
        <v>0</v>
      </c>
      <c r="H663" s="8">
        <f t="shared" si="24"/>
        <v>0</v>
      </c>
      <c r="I663" s="8">
        <f t="shared" si="24"/>
        <v>0</v>
      </c>
      <c r="J663" s="8">
        <f t="shared" si="24"/>
        <v>0</v>
      </c>
      <c r="K663" s="8">
        <f t="shared" si="24"/>
        <v>1</v>
      </c>
      <c r="L663" s="7"/>
    </row>
    <row r="664" spans="1:12" outlineLevel="1" x14ac:dyDescent="0.25">
      <c r="A664" s="22">
        <f t="shared" si="25"/>
        <v>3.0227000000000479</v>
      </c>
      <c r="B664" s="27"/>
      <c r="C664" s="24" t="s">
        <v>315</v>
      </c>
      <c r="D664" s="7"/>
      <c r="E664" s="7"/>
      <c r="F664" s="8" t="s">
        <v>8</v>
      </c>
      <c r="G664" s="8">
        <f t="shared" si="24"/>
        <v>0</v>
      </c>
      <c r="H664" s="8">
        <f t="shared" si="24"/>
        <v>0</v>
      </c>
      <c r="I664" s="8">
        <f t="shared" si="24"/>
        <v>0</v>
      </c>
      <c r="J664" s="8">
        <f t="shared" si="24"/>
        <v>0</v>
      </c>
      <c r="K664" s="8">
        <f t="shared" si="24"/>
        <v>1</v>
      </c>
      <c r="L664" s="7"/>
    </row>
    <row r="665" spans="1:12" outlineLevel="1" x14ac:dyDescent="0.25">
      <c r="A665" s="22">
        <f t="shared" si="25"/>
        <v>3.0228000000000481</v>
      </c>
      <c r="B665" s="27"/>
      <c r="C665" s="24" t="s">
        <v>316</v>
      </c>
      <c r="D665" s="7"/>
      <c r="E665" s="7"/>
      <c r="F665" s="8" t="s">
        <v>8</v>
      </c>
      <c r="G665" s="8">
        <f t="shared" si="24"/>
        <v>0</v>
      </c>
      <c r="H665" s="8">
        <f t="shared" si="24"/>
        <v>0</v>
      </c>
      <c r="I665" s="8">
        <f t="shared" si="24"/>
        <v>0</v>
      </c>
      <c r="J665" s="8">
        <f t="shared" si="24"/>
        <v>0</v>
      </c>
      <c r="K665" s="8">
        <f t="shared" si="24"/>
        <v>1</v>
      </c>
      <c r="L665" s="7"/>
    </row>
    <row r="666" spans="1:12" ht="25.5" outlineLevel="1" x14ac:dyDescent="0.25">
      <c r="A666" s="22">
        <f t="shared" si="25"/>
        <v>3.0229000000000483</v>
      </c>
      <c r="B666" s="27"/>
      <c r="C666" s="24" t="s">
        <v>317</v>
      </c>
      <c r="D666" s="7"/>
      <c r="E666" s="7"/>
      <c r="F666" s="8" t="s">
        <v>8</v>
      </c>
      <c r="G666" s="8">
        <f t="shared" si="24"/>
        <v>0</v>
      </c>
      <c r="H666" s="8">
        <f t="shared" si="24"/>
        <v>0</v>
      </c>
      <c r="I666" s="8">
        <f t="shared" si="24"/>
        <v>0</v>
      </c>
      <c r="J666" s="8">
        <f t="shared" si="24"/>
        <v>0</v>
      </c>
      <c r="K666" s="8">
        <f t="shared" si="24"/>
        <v>1</v>
      </c>
      <c r="L666" s="7"/>
    </row>
    <row r="667" spans="1:12" ht="25.5" outlineLevel="1" x14ac:dyDescent="0.25">
      <c r="A667" s="22">
        <f t="shared" si="25"/>
        <v>3.0230000000000485</v>
      </c>
      <c r="B667" s="26" t="s">
        <v>318</v>
      </c>
      <c r="C667" s="24" t="s">
        <v>31</v>
      </c>
      <c r="D667" s="7"/>
      <c r="E667" s="7"/>
      <c r="F667" s="8" t="s">
        <v>8</v>
      </c>
      <c r="G667" s="8">
        <f t="shared" si="24"/>
        <v>0</v>
      </c>
      <c r="H667" s="8">
        <f t="shared" si="24"/>
        <v>0</v>
      </c>
      <c r="I667" s="8">
        <f t="shared" si="24"/>
        <v>0</v>
      </c>
      <c r="J667" s="8">
        <f t="shared" si="24"/>
        <v>0</v>
      </c>
      <c r="K667" s="8">
        <f t="shared" si="24"/>
        <v>1</v>
      </c>
      <c r="L667" s="7"/>
    </row>
    <row r="668" spans="1:12" outlineLevel="1" x14ac:dyDescent="0.25">
      <c r="A668" s="22">
        <f t="shared" si="25"/>
        <v>3.0231000000000487</v>
      </c>
      <c r="B668" s="27"/>
      <c r="C668" s="24" t="s">
        <v>319</v>
      </c>
      <c r="D668" s="7"/>
      <c r="E668" s="7"/>
      <c r="F668" s="8" t="s">
        <v>8</v>
      </c>
      <c r="G668" s="8">
        <f t="shared" si="24"/>
        <v>0</v>
      </c>
      <c r="H668" s="8">
        <f t="shared" si="24"/>
        <v>0</v>
      </c>
      <c r="I668" s="8">
        <f t="shared" si="24"/>
        <v>0</v>
      </c>
      <c r="J668" s="8">
        <f t="shared" si="24"/>
        <v>0</v>
      </c>
      <c r="K668" s="8">
        <f t="shared" si="24"/>
        <v>1</v>
      </c>
      <c r="L668" s="7"/>
    </row>
    <row r="669" spans="1:12" outlineLevel="1" x14ac:dyDescent="0.25">
      <c r="A669" s="22">
        <f t="shared" si="25"/>
        <v>3.023200000000049</v>
      </c>
      <c r="B669" s="26" t="s">
        <v>320</v>
      </c>
      <c r="C669" s="24" t="s">
        <v>31</v>
      </c>
      <c r="D669" s="7"/>
      <c r="E669" s="7"/>
      <c r="F669" s="8" t="s">
        <v>8</v>
      </c>
      <c r="G669" s="8">
        <f t="shared" si="24"/>
        <v>0</v>
      </c>
      <c r="H669" s="8">
        <f t="shared" si="24"/>
        <v>0</v>
      </c>
      <c r="I669" s="8">
        <f t="shared" si="24"/>
        <v>0</v>
      </c>
      <c r="J669" s="8">
        <f t="shared" si="24"/>
        <v>0</v>
      </c>
      <c r="K669" s="8">
        <f t="shared" si="24"/>
        <v>1</v>
      </c>
      <c r="L669" s="7"/>
    </row>
    <row r="670" spans="1:12" outlineLevel="1" x14ac:dyDescent="0.25">
      <c r="A670" s="22">
        <f t="shared" si="25"/>
        <v>3.0233000000000492</v>
      </c>
      <c r="B670" s="27"/>
      <c r="C670" s="24" t="s">
        <v>321</v>
      </c>
      <c r="D670" s="7"/>
      <c r="E670" s="7"/>
      <c r="F670" s="8" t="s">
        <v>8</v>
      </c>
      <c r="G670" s="8">
        <f t="shared" si="24"/>
        <v>0</v>
      </c>
      <c r="H670" s="8">
        <f t="shared" si="24"/>
        <v>0</v>
      </c>
      <c r="I670" s="8">
        <f t="shared" si="24"/>
        <v>0</v>
      </c>
      <c r="J670" s="8">
        <f t="shared" si="24"/>
        <v>0</v>
      </c>
      <c r="K670" s="8">
        <f t="shared" si="24"/>
        <v>1</v>
      </c>
      <c r="L670" s="7"/>
    </row>
    <row r="671" spans="1:12" ht="25.5" outlineLevel="1" x14ac:dyDescent="0.25">
      <c r="A671" s="22">
        <f t="shared" si="25"/>
        <v>3.0234000000000494</v>
      </c>
      <c r="B671" s="26" t="s">
        <v>322</v>
      </c>
      <c r="C671" s="24" t="s">
        <v>31</v>
      </c>
      <c r="D671" s="7"/>
      <c r="E671" s="7"/>
      <c r="F671" s="8" t="s">
        <v>8</v>
      </c>
      <c r="G671" s="8">
        <f t="shared" si="24"/>
        <v>0</v>
      </c>
      <c r="H671" s="8">
        <f t="shared" si="24"/>
        <v>0</v>
      </c>
      <c r="I671" s="8">
        <f t="shared" si="24"/>
        <v>0</v>
      </c>
      <c r="J671" s="8">
        <f t="shared" si="24"/>
        <v>0</v>
      </c>
      <c r="K671" s="8">
        <f t="shared" si="24"/>
        <v>1</v>
      </c>
      <c r="L671" s="7"/>
    </row>
    <row r="672" spans="1:12" outlineLevel="1" x14ac:dyDescent="0.25">
      <c r="A672" s="22">
        <f t="shared" si="25"/>
        <v>3.0235000000000496</v>
      </c>
      <c r="B672" s="27"/>
      <c r="C672" s="24" t="s">
        <v>323</v>
      </c>
      <c r="D672" s="7"/>
      <c r="E672" s="7"/>
      <c r="F672" s="8" t="s">
        <v>8</v>
      </c>
      <c r="G672" s="8">
        <f t="shared" si="24"/>
        <v>0</v>
      </c>
      <c r="H672" s="8">
        <f t="shared" si="24"/>
        <v>0</v>
      </c>
      <c r="I672" s="8">
        <f t="shared" si="24"/>
        <v>0</v>
      </c>
      <c r="J672" s="8">
        <f t="shared" si="24"/>
        <v>0</v>
      </c>
      <c r="K672" s="8">
        <f t="shared" si="24"/>
        <v>1</v>
      </c>
      <c r="L672" s="7"/>
    </row>
    <row r="673" spans="1:12" ht="25.5" outlineLevel="1" x14ac:dyDescent="0.25">
      <c r="A673" s="22">
        <f t="shared" si="25"/>
        <v>3.0236000000000498</v>
      </c>
      <c r="B673" s="26" t="s">
        <v>324</v>
      </c>
      <c r="C673" s="24" t="s">
        <v>31</v>
      </c>
      <c r="D673" s="7"/>
      <c r="E673" s="7"/>
      <c r="F673" s="8" t="s">
        <v>8</v>
      </c>
      <c r="G673" s="8">
        <f t="shared" si="24"/>
        <v>0</v>
      </c>
      <c r="H673" s="8">
        <f t="shared" si="24"/>
        <v>0</v>
      </c>
      <c r="I673" s="8">
        <f t="shared" si="24"/>
        <v>0</v>
      </c>
      <c r="J673" s="8">
        <f t="shared" si="24"/>
        <v>0</v>
      </c>
      <c r="K673" s="8">
        <f t="shared" si="24"/>
        <v>1</v>
      </c>
      <c r="L673" s="7"/>
    </row>
    <row r="674" spans="1:12" outlineLevel="1" x14ac:dyDescent="0.25">
      <c r="A674" s="22">
        <f t="shared" si="25"/>
        <v>3.02370000000005</v>
      </c>
      <c r="B674" s="27"/>
      <c r="C674" s="24" t="s">
        <v>325</v>
      </c>
      <c r="D674" s="7"/>
      <c r="E674" s="7"/>
      <c r="F674" s="8" t="s">
        <v>8</v>
      </c>
      <c r="G674" s="8">
        <f t="shared" si="24"/>
        <v>0</v>
      </c>
      <c r="H674" s="8">
        <f t="shared" si="24"/>
        <v>0</v>
      </c>
      <c r="I674" s="8">
        <f t="shared" si="24"/>
        <v>0</v>
      </c>
      <c r="J674" s="8">
        <f t="shared" si="24"/>
        <v>0</v>
      </c>
      <c r="K674" s="8">
        <f t="shared" si="24"/>
        <v>1</v>
      </c>
      <c r="L674" s="7"/>
    </row>
    <row r="675" spans="1:12" outlineLevel="1" x14ac:dyDescent="0.25">
      <c r="A675" s="22">
        <f t="shared" si="25"/>
        <v>3.0238000000000502</v>
      </c>
      <c r="B675" s="26" t="s">
        <v>20</v>
      </c>
      <c r="C675" s="24" t="s">
        <v>326</v>
      </c>
      <c r="D675" s="7"/>
      <c r="E675" s="7"/>
      <c r="F675" s="8" t="s">
        <v>8</v>
      </c>
      <c r="G675" s="8">
        <f t="shared" si="24"/>
        <v>0</v>
      </c>
      <c r="H675" s="8">
        <f t="shared" si="24"/>
        <v>0</v>
      </c>
      <c r="I675" s="8">
        <f t="shared" si="24"/>
        <v>0</v>
      </c>
      <c r="J675" s="8">
        <f t="shared" si="24"/>
        <v>0</v>
      </c>
      <c r="K675" s="8">
        <f t="shared" si="24"/>
        <v>1</v>
      </c>
      <c r="L675" s="7"/>
    </row>
    <row r="676" spans="1:12" outlineLevel="1" x14ac:dyDescent="0.25">
      <c r="A676" s="22">
        <f t="shared" si="25"/>
        <v>3.0239000000000504</v>
      </c>
      <c r="B676" s="27" t="s">
        <v>22</v>
      </c>
      <c r="C676" s="24"/>
      <c r="D676" s="7"/>
      <c r="E676" s="7"/>
      <c r="F676" s="8" t="s">
        <v>8</v>
      </c>
      <c r="G676" s="8">
        <f t="shared" si="24"/>
        <v>0</v>
      </c>
      <c r="H676" s="8">
        <f t="shared" si="24"/>
        <v>0</v>
      </c>
      <c r="I676" s="8">
        <f t="shared" si="24"/>
        <v>0</v>
      </c>
      <c r="J676" s="8">
        <f t="shared" si="24"/>
        <v>0</v>
      </c>
      <c r="K676" s="8">
        <f t="shared" si="24"/>
        <v>1</v>
      </c>
      <c r="L676" s="7"/>
    </row>
    <row r="677" spans="1:12" outlineLevel="1" x14ac:dyDescent="0.25">
      <c r="A677" s="22">
        <f t="shared" si="25"/>
        <v>3.0240000000000506</v>
      </c>
      <c r="B677" s="27" t="s">
        <v>28</v>
      </c>
      <c r="C677" s="24"/>
      <c r="D677" s="7"/>
      <c r="E677" s="7"/>
      <c r="F677" s="8" t="s">
        <v>8</v>
      </c>
      <c r="G677" s="8">
        <f t="shared" si="24"/>
        <v>0</v>
      </c>
      <c r="H677" s="8">
        <f t="shared" si="24"/>
        <v>0</v>
      </c>
      <c r="I677" s="8">
        <f t="shared" si="24"/>
        <v>0</v>
      </c>
      <c r="J677" s="8">
        <f t="shared" si="24"/>
        <v>0</v>
      </c>
      <c r="K677" s="8">
        <f t="shared" si="24"/>
        <v>1</v>
      </c>
      <c r="L677" s="7"/>
    </row>
    <row r="678" spans="1:12" outlineLevel="1" x14ac:dyDescent="0.25">
      <c r="A678" s="22">
        <f t="shared" si="25"/>
        <v>3.0241000000000509</v>
      </c>
      <c r="B678" s="27" t="s">
        <v>24</v>
      </c>
      <c r="C678" s="24"/>
      <c r="D678" s="7"/>
      <c r="E678" s="7"/>
      <c r="F678" s="8" t="s">
        <v>8</v>
      </c>
      <c r="G678" s="8">
        <f t="shared" si="24"/>
        <v>0</v>
      </c>
      <c r="H678" s="8">
        <f t="shared" si="24"/>
        <v>0</v>
      </c>
      <c r="I678" s="8">
        <f t="shared" si="24"/>
        <v>0</v>
      </c>
      <c r="J678" s="8">
        <f t="shared" si="24"/>
        <v>0</v>
      </c>
      <c r="K678" s="8">
        <f t="shared" si="24"/>
        <v>1</v>
      </c>
      <c r="L678" s="7"/>
    </row>
    <row r="679" spans="1:12" outlineLevel="1" x14ac:dyDescent="0.25">
      <c r="A679" s="22">
        <f t="shared" si="25"/>
        <v>3.0242000000000511</v>
      </c>
      <c r="B679" s="26" t="s">
        <v>327</v>
      </c>
      <c r="C679" s="24" t="s">
        <v>328</v>
      </c>
      <c r="D679" s="7"/>
      <c r="E679" s="7"/>
      <c r="F679" s="8" t="s">
        <v>8</v>
      </c>
      <c r="G679" s="8">
        <f t="shared" si="24"/>
        <v>0</v>
      </c>
      <c r="H679" s="8">
        <f t="shared" si="24"/>
        <v>0</v>
      </c>
      <c r="I679" s="8">
        <f t="shared" si="24"/>
        <v>0</v>
      </c>
      <c r="J679" s="8">
        <f t="shared" si="24"/>
        <v>0</v>
      </c>
      <c r="K679" s="8">
        <f t="shared" si="24"/>
        <v>1</v>
      </c>
      <c r="L679" s="7"/>
    </row>
    <row r="680" spans="1:12" ht="25.5" outlineLevel="1" x14ac:dyDescent="0.25">
      <c r="A680" s="22">
        <f t="shared" si="25"/>
        <v>3.0243000000000513</v>
      </c>
      <c r="B680" s="27"/>
      <c r="C680" s="24" t="s">
        <v>329</v>
      </c>
      <c r="D680" s="7"/>
      <c r="E680" s="7"/>
      <c r="F680" s="8" t="s">
        <v>8</v>
      </c>
      <c r="G680" s="8">
        <f t="shared" si="24"/>
        <v>0</v>
      </c>
      <c r="H680" s="8">
        <f t="shared" si="24"/>
        <v>0</v>
      </c>
      <c r="I680" s="8">
        <f t="shared" si="24"/>
        <v>0</v>
      </c>
      <c r="J680" s="8">
        <f t="shared" si="24"/>
        <v>0</v>
      </c>
      <c r="K680" s="8">
        <f t="shared" si="24"/>
        <v>1</v>
      </c>
      <c r="L680" s="7"/>
    </row>
    <row r="681" spans="1:12" outlineLevel="1" x14ac:dyDescent="0.25">
      <c r="A681" s="22">
        <f t="shared" si="25"/>
        <v>3.0244000000000515</v>
      </c>
      <c r="B681" s="27"/>
      <c r="C681" s="24" t="s">
        <v>715</v>
      </c>
      <c r="D681" s="7"/>
      <c r="E681" s="7"/>
      <c r="F681" s="8" t="s">
        <v>8</v>
      </c>
      <c r="G681" s="8">
        <f t="shared" si="24"/>
        <v>0</v>
      </c>
      <c r="H681" s="8">
        <f t="shared" si="24"/>
        <v>0</v>
      </c>
      <c r="I681" s="8">
        <f t="shared" si="24"/>
        <v>0</v>
      </c>
      <c r="J681" s="8">
        <f t="shared" si="24"/>
        <v>0</v>
      </c>
      <c r="K681" s="8">
        <f t="shared" si="24"/>
        <v>1</v>
      </c>
      <c r="L681" s="7"/>
    </row>
    <row r="682" spans="1:12" outlineLevel="1" x14ac:dyDescent="0.25">
      <c r="A682" s="22">
        <f t="shared" si="25"/>
        <v>3.0245000000000517</v>
      </c>
      <c r="B682" s="27"/>
      <c r="C682" s="24" t="s">
        <v>334</v>
      </c>
      <c r="D682" s="7"/>
      <c r="E682" s="7"/>
      <c r="F682" s="8" t="s">
        <v>8</v>
      </c>
      <c r="G682" s="8">
        <f t="shared" si="24"/>
        <v>0</v>
      </c>
      <c r="H682" s="8">
        <f t="shared" si="24"/>
        <v>0</v>
      </c>
      <c r="I682" s="8">
        <f t="shared" si="24"/>
        <v>0</v>
      </c>
      <c r="J682" s="8">
        <f t="shared" si="24"/>
        <v>0</v>
      </c>
      <c r="K682" s="8">
        <f t="shared" si="24"/>
        <v>1</v>
      </c>
      <c r="L682" s="7"/>
    </row>
    <row r="683" spans="1:12" outlineLevel="1" x14ac:dyDescent="0.25">
      <c r="A683" s="22">
        <f t="shared" si="25"/>
        <v>3.0246000000000519</v>
      </c>
      <c r="B683" s="26" t="s">
        <v>187</v>
      </c>
      <c r="C683" s="24" t="s">
        <v>328</v>
      </c>
      <c r="D683" s="7"/>
      <c r="E683" s="7"/>
      <c r="F683" s="8" t="s">
        <v>8</v>
      </c>
      <c r="G683" s="8">
        <f t="shared" si="24"/>
        <v>0</v>
      </c>
      <c r="H683" s="8">
        <f t="shared" si="24"/>
        <v>0</v>
      </c>
      <c r="I683" s="8">
        <f t="shared" si="24"/>
        <v>0</v>
      </c>
      <c r="J683" s="8">
        <f t="shared" si="24"/>
        <v>0</v>
      </c>
      <c r="K683" s="8">
        <f t="shared" si="24"/>
        <v>1</v>
      </c>
      <c r="L683" s="7"/>
    </row>
    <row r="684" spans="1:12" ht="38.25" outlineLevel="1" x14ac:dyDescent="0.25">
      <c r="A684" s="22">
        <f t="shared" si="25"/>
        <v>3.0247000000000521</v>
      </c>
      <c r="B684" s="27"/>
      <c r="C684" s="24" t="s">
        <v>335</v>
      </c>
      <c r="D684" s="7"/>
      <c r="E684" s="7"/>
      <c r="F684" s="8" t="s">
        <v>8</v>
      </c>
      <c r="G684" s="8">
        <f t="shared" si="24"/>
        <v>0</v>
      </c>
      <c r="H684" s="8">
        <f t="shared" si="24"/>
        <v>0</v>
      </c>
      <c r="I684" s="8">
        <f t="shared" si="24"/>
        <v>0</v>
      </c>
      <c r="J684" s="8">
        <f t="shared" si="24"/>
        <v>0</v>
      </c>
      <c r="K684" s="8">
        <f t="shared" si="24"/>
        <v>1</v>
      </c>
      <c r="L684" s="7"/>
    </row>
    <row r="685" spans="1:12" ht="25.5" outlineLevel="1" x14ac:dyDescent="0.25">
      <c r="A685" s="22">
        <f t="shared" si="25"/>
        <v>3.0248000000000523</v>
      </c>
      <c r="B685" s="27"/>
      <c r="C685" s="24" t="s">
        <v>336</v>
      </c>
      <c r="D685" s="7"/>
      <c r="E685" s="7"/>
      <c r="F685" s="8" t="s">
        <v>8</v>
      </c>
      <c r="G685" s="8">
        <f t="shared" si="24"/>
        <v>0</v>
      </c>
      <c r="H685" s="8">
        <f t="shared" si="24"/>
        <v>0</v>
      </c>
      <c r="I685" s="8">
        <f t="shared" si="24"/>
        <v>0</v>
      </c>
      <c r="J685" s="8">
        <f t="shared" si="24"/>
        <v>0</v>
      </c>
      <c r="K685" s="8">
        <f t="shared" si="24"/>
        <v>1</v>
      </c>
      <c r="L685" s="7"/>
    </row>
    <row r="686" spans="1:12" ht="38.25" outlineLevel="1" x14ac:dyDescent="0.25">
      <c r="A686" s="22">
        <f t="shared" si="25"/>
        <v>3.0249000000000525</v>
      </c>
      <c r="B686" s="27"/>
      <c r="C686" s="24" t="s">
        <v>337</v>
      </c>
      <c r="D686" s="7"/>
      <c r="E686" s="7"/>
      <c r="F686" s="8" t="s">
        <v>8</v>
      </c>
      <c r="G686" s="8">
        <f t="shared" si="24"/>
        <v>0</v>
      </c>
      <c r="H686" s="8">
        <f t="shared" si="24"/>
        <v>0</v>
      </c>
      <c r="I686" s="8">
        <f t="shared" si="24"/>
        <v>0</v>
      </c>
      <c r="J686" s="8">
        <f t="shared" si="24"/>
        <v>0</v>
      </c>
      <c r="K686" s="8">
        <f t="shared" si="24"/>
        <v>1</v>
      </c>
      <c r="L686" s="7"/>
    </row>
    <row r="687" spans="1:12" outlineLevel="1" x14ac:dyDescent="0.25">
      <c r="A687" s="22">
        <f t="shared" si="25"/>
        <v>3.0250000000000528</v>
      </c>
      <c r="B687" s="26" t="s">
        <v>338</v>
      </c>
      <c r="C687" s="24" t="s">
        <v>249</v>
      </c>
      <c r="D687" s="7"/>
      <c r="E687" s="7"/>
      <c r="F687" s="8" t="s">
        <v>8</v>
      </c>
      <c r="G687" s="8">
        <f t="shared" si="24"/>
        <v>0</v>
      </c>
      <c r="H687" s="8">
        <f t="shared" si="24"/>
        <v>0</v>
      </c>
      <c r="I687" s="8">
        <f t="shared" si="24"/>
        <v>0</v>
      </c>
      <c r="J687" s="8">
        <f t="shared" si="24"/>
        <v>0</v>
      </c>
      <c r="K687" s="8">
        <f t="shared" si="24"/>
        <v>1</v>
      </c>
      <c r="L687" s="7"/>
    </row>
    <row r="688" spans="1:12" outlineLevel="1" x14ac:dyDescent="0.25">
      <c r="A688" s="22">
        <f t="shared" si="25"/>
        <v>3.025100000000053</v>
      </c>
      <c r="B688" s="27"/>
      <c r="C688" s="24" t="s">
        <v>339</v>
      </c>
      <c r="D688" s="7"/>
      <c r="E688" s="7"/>
      <c r="F688" s="8" t="s">
        <v>8</v>
      </c>
      <c r="G688" s="8">
        <f t="shared" si="24"/>
        <v>0</v>
      </c>
      <c r="H688" s="8">
        <f t="shared" si="24"/>
        <v>0</v>
      </c>
      <c r="I688" s="8">
        <f t="shared" si="24"/>
        <v>0</v>
      </c>
      <c r="J688" s="8">
        <f t="shared" si="24"/>
        <v>0</v>
      </c>
      <c r="K688" s="8">
        <f t="shared" si="24"/>
        <v>1</v>
      </c>
      <c r="L688" s="7"/>
    </row>
    <row r="689" spans="1:12" outlineLevel="1" x14ac:dyDescent="0.25">
      <c r="A689" s="22">
        <f t="shared" si="25"/>
        <v>3.0252000000000532</v>
      </c>
      <c r="B689" s="27"/>
      <c r="C689" s="24" t="s">
        <v>340</v>
      </c>
      <c r="D689" s="7"/>
      <c r="E689" s="7"/>
      <c r="F689" s="8" t="s">
        <v>8</v>
      </c>
      <c r="G689" s="8">
        <f t="shared" si="24"/>
        <v>0</v>
      </c>
      <c r="H689" s="8">
        <f t="shared" si="24"/>
        <v>0</v>
      </c>
      <c r="I689" s="8">
        <f t="shared" si="24"/>
        <v>0</v>
      </c>
      <c r="J689" s="8">
        <f t="shared" si="24"/>
        <v>0</v>
      </c>
      <c r="K689" s="8">
        <f t="shared" si="24"/>
        <v>1</v>
      </c>
      <c r="L689" s="7"/>
    </row>
    <row r="690" spans="1:12" ht="25.5" outlineLevel="1" x14ac:dyDescent="0.25">
      <c r="A690" s="22">
        <f t="shared" si="25"/>
        <v>3.0253000000000534</v>
      </c>
      <c r="B690" s="26" t="s">
        <v>341</v>
      </c>
      <c r="C690" s="24" t="s">
        <v>31</v>
      </c>
      <c r="D690" s="7"/>
      <c r="E690" s="7"/>
      <c r="F690" s="8" t="s">
        <v>8</v>
      </c>
      <c r="G690" s="8">
        <f t="shared" si="24"/>
        <v>0</v>
      </c>
      <c r="H690" s="8">
        <f t="shared" si="24"/>
        <v>0</v>
      </c>
      <c r="I690" s="8">
        <f t="shared" si="24"/>
        <v>0</v>
      </c>
      <c r="J690" s="8">
        <f t="shared" si="24"/>
        <v>0</v>
      </c>
      <c r="K690" s="8">
        <f t="shared" si="24"/>
        <v>1</v>
      </c>
      <c r="L690" s="7"/>
    </row>
    <row r="691" spans="1:12" outlineLevel="1" x14ac:dyDescent="0.25">
      <c r="A691" s="22">
        <f t="shared" si="25"/>
        <v>3.0254000000000536</v>
      </c>
      <c r="B691" s="27"/>
      <c r="C691" s="24" t="s">
        <v>342</v>
      </c>
      <c r="D691" s="7"/>
      <c r="E691" s="7"/>
      <c r="F691" s="8" t="s">
        <v>8</v>
      </c>
      <c r="G691" s="8">
        <f t="shared" si="24"/>
        <v>0</v>
      </c>
      <c r="H691" s="8">
        <f t="shared" si="24"/>
        <v>0</v>
      </c>
      <c r="I691" s="8">
        <f t="shared" si="24"/>
        <v>0</v>
      </c>
      <c r="J691" s="8">
        <f t="shared" si="24"/>
        <v>0</v>
      </c>
      <c r="K691" s="8">
        <f t="shared" si="24"/>
        <v>1</v>
      </c>
      <c r="L691" s="7"/>
    </row>
    <row r="692" spans="1:12" ht="25.5" outlineLevel="1" x14ac:dyDescent="0.25">
      <c r="A692" s="22">
        <f t="shared" si="25"/>
        <v>3.0255000000000538</v>
      </c>
      <c r="B692" s="26" t="s">
        <v>343</v>
      </c>
      <c r="C692" s="24" t="s">
        <v>344</v>
      </c>
      <c r="D692" s="7"/>
      <c r="E692" s="7"/>
      <c r="F692" s="8" t="s">
        <v>8</v>
      </c>
      <c r="G692" s="8">
        <f t="shared" si="24"/>
        <v>0</v>
      </c>
      <c r="H692" s="8">
        <f t="shared" si="24"/>
        <v>0</v>
      </c>
      <c r="I692" s="8">
        <f t="shared" si="24"/>
        <v>0</v>
      </c>
      <c r="J692" s="8">
        <f t="shared" si="24"/>
        <v>0</v>
      </c>
      <c r="K692" s="8">
        <f t="shared" si="24"/>
        <v>1</v>
      </c>
      <c r="L692" s="7"/>
    </row>
    <row r="693" spans="1:12" outlineLevel="1" x14ac:dyDescent="0.25">
      <c r="A693" s="22">
        <f t="shared" si="25"/>
        <v>3.025600000000054</v>
      </c>
      <c r="B693" s="27"/>
      <c r="C693" s="24" t="s">
        <v>345</v>
      </c>
      <c r="D693" s="7"/>
      <c r="E693" s="7"/>
      <c r="F693" s="8" t="s">
        <v>8</v>
      </c>
      <c r="G693" s="8">
        <f t="shared" si="24"/>
        <v>0</v>
      </c>
      <c r="H693" s="8">
        <f t="shared" si="24"/>
        <v>0</v>
      </c>
      <c r="I693" s="8">
        <f t="shared" si="24"/>
        <v>0</v>
      </c>
      <c r="J693" s="8">
        <f t="shared" si="24"/>
        <v>0</v>
      </c>
      <c r="K693" s="8">
        <f t="shared" si="24"/>
        <v>1</v>
      </c>
      <c r="L693" s="7"/>
    </row>
    <row r="694" spans="1:12" outlineLevel="1" x14ac:dyDescent="0.25">
      <c r="A694" s="22">
        <f t="shared" si="25"/>
        <v>3.0257000000000542</v>
      </c>
      <c r="B694" s="26" t="s">
        <v>346</v>
      </c>
      <c r="C694" s="24" t="s">
        <v>249</v>
      </c>
      <c r="D694" s="7"/>
      <c r="E694" s="7"/>
      <c r="F694" s="8" t="s">
        <v>8</v>
      </c>
      <c r="G694" s="8">
        <f t="shared" si="24"/>
        <v>0</v>
      </c>
      <c r="H694" s="8">
        <f t="shared" si="24"/>
        <v>0</v>
      </c>
      <c r="I694" s="8">
        <f t="shared" si="24"/>
        <v>0</v>
      </c>
      <c r="J694" s="8">
        <f t="shared" si="24"/>
        <v>0</v>
      </c>
      <c r="K694" s="8">
        <f t="shared" si="24"/>
        <v>1</v>
      </c>
      <c r="L694" s="7"/>
    </row>
    <row r="695" spans="1:12" outlineLevel="1" x14ac:dyDescent="0.25">
      <c r="A695" s="22">
        <f t="shared" si="25"/>
        <v>3.0258000000000544</v>
      </c>
      <c r="B695" s="27"/>
      <c r="C695" s="24" t="s">
        <v>339</v>
      </c>
      <c r="D695" s="7"/>
      <c r="E695" s="7"/>
      <c r="F695" s="8" t="s">
        <v>8</v>
      </c>
      <c r="G695" s="8">
        <f t="shared" si="24"/>
        <v>0</v>
      </c>
      <c r="H695" s="8">
        <f t="shared" si="24"/>
        <v>0</v>
      </c>
      <c r="I695" s="8">
        <f t="shared" si="24"/>
        <v>0</v>
      </c>
      <c r="J695" s="8">
        <f t="shared" si="24"/>
        <v>0</v>
      </c>
      <c r="K695" s="8">
        <f t="shared" si="24"/>
        <v>1</v>
      </c>
      <c r="L695" s="7"/>
    </row>
    <row r="696" spans="1:12" outlineLevel="1" x14ac:dyDescent="0.25">
      <c r="A696" s="22">
        <f t="shared" si="25"/>
        <v>3.0259000000000547</v>
      </c>
      <c r="B696" s="27"/>
      <c r="C696" s="24" t="s">
        <v>209</v>
      </c>
      <c r="D696" s="7"/>
      <c r="E696" s="7"/>
      <c r="F696" s="8" t="s">
        <v>8</v>
      </c>
      <c r="G696" s="8">
        <f t="shared" si="24"/>
        <v>0</v>
      </c>
      <c r="H696" s="8">
        <f t="shared" si="24"/>
        <v>0</v>
      </c>
      <c r="I696" s="8">
        <f t="shared" si="24"/>
        <v>0</v>
      </c>
      <c r="J696" s="8">
        <f t="shared" si="24"/>
        <v>0</v>
      </c>
      <c r="K696" s="8">
        <f t="shared" si="24"/>
        <v>1</v>
      </c>
      <c r="L696" s="7"/>
    </row>
    <row r="697" spans="1:12" outlineLevel="1" x14ac:dyDescent="0.25">
      <c r="A697" s="22">
        <f t="shared" si="25"/>
        <v>3.0260000000000549</v>
      </c>
      <c r="B697" s="27"/>
      <c r="C697" s="24" t="s">
        <v>347</v>
      </c>
      <c r="D697" s="7"/>
      <c r="E697" s="7"/>
      <c r="F697" s="8" t="s">
        <v>8</v>
      </c>
      <c r="G697" s="8">
        <f t="shared" si="24"/>
        <v>0</v>
      </c>
      <c r="H697" s="8">
        <f t="shared" si="24"/>
        <v>0</v>
      </c>
      <c r="I697" s="8">
        <f t="shared" si="24"/>
        <v>0</v>
      </c>
      <c r="J697" s="8">
        <f t="shared" si="24"/>
        <v>0</v>
      </c>
      <c r="K697" s="8">
        <f t="shared" si="24"/>
        <v>1</v>
      </c>
      <c r="L697" s="7"/>
    </row>
    <row r="698" spans="1:12" outlineLevel="1" x14ac:dyDescent="0.25">
      <c r="A698" s="22">
        <f t="shared" si="25"/>
        <v>3.0261000000000551</v>
      </c>
      <c r="B698" s="27"/>
      <c r="C698" s="24" t="s">
        <v>348</v>
      </c>
      <c r="D698" s="7"/>
      <c r="E698" s="7"/>
      <c r="F698" s="8" t="s">
        <v>8</v>
      </c>
      <c r="G698" s="8">
        <f t="shared" si="24"/>
        <v>0</v>
      </c>
      <c r="H698" s="8">
        <f t="shared" si="24"/>
        <v>0</v>
      </c>
      <c r="I698" s="8">
        <f t="shared" si="24"/>
        <v>0</v>
      </c>
      <c r="J698" s="8">
        <f t="shared" si="24"/>
        <v>0</v>
      </c>
      <c r="K698" s="8">
        <f t="shared" si="24"/>
        <v>1</v>
      </c>
      <c r="L698" s="7"/>
    </row>
    <row r="699" spans="1:12" ht="25.5" outlineLevel="1" x14ac:dyDescent="0.25">
      <c r="A699" s="22">
        <f t="shared" si="25"/>
        <v>3.0262000000000553</v>
      </c>
      <c r="B699" s="27"/>
      <c r="C699" s="24" t="s">
        <v>349</v>
      </c>
      <c r="D699" s="7"/>
      <c r="E699" s="7"/>
      <c r="F699" s="8" t="s">
        <v>8</v>
      </c>
      <c r="G699" s="8">
        <f t="shared" si="24"/>
        <v>0</v>
      </c>
      <c r="H699" s="8">
        <f t="shared" si="24"/>
        <v>0</v>
      </c>
      <c r="I699" s="8">
        <f t="shared" si="24"/>
        <v>0</v>
      </c>
      <c r="J699" s="8">
        <f t="shared" si="24"/>
        <v>0</v>
      </c>
      <c r="K699" s="8">
        <f t="shared" si="24"/>
        <v>1</v>
      </c>
      <c r="L699" s="7"/>
    </row>
    <row r="700" spans="1:12" outlineLevel="1" x14ac:dyDescent="0.25">
      <c r="A700" s="22">
        <f t="shared" si="25"/>
        <v>3.0263000000000555</v>
      </c>
      <c r="B700" s="27"/>
      <c r="C700" s="24" t="s">
        <v>350</v>
      </c>
      <c r="D700" s="7"/>
      <c r="E700" s="7"/>
      <c r="F700" s="8" t="s">
        <v>8</v>
      </c>
      <c r="G700" s="8">
        <f t="shared" si="24"/>
        <v>0</v>
      </c>
      <c r="H700" s="8">
        <f t="shared" si="24"/>
        <v>0</v>
      </c>
      <c r="I700" s="8">
        <f t="shared" si="24"/>
        <v>0</v>
      </c>
      <c r="J700" s="8">
        <f t="shared" si="24"/>
        <v>0</v>
      </c>
      <c r="K700" s="8">
        <f t="shared" si="24"/>
        <v>1</v>
      </c>
      <c r="L700" s="7"/>
    </row>
    <row r="701" spans="1:12" outlineLevel="1" x14ac:dyDescent="0.25">
      <c r="A701" s="22">
        <f t="shared" si="25"/>
        <v>3.0264000000000557</v>
      </c>
      <c r="B701" s="26" t="s">
        <v>351</v>
      </c>
      <c r="C701" s="24" t="s">
        <v>31</v>
      </c>
      <c r="D701" s="7"/>
      <c r="E701" s="7"/>
      <c r="F701" s="8" t="s">
        <v>8</v>
      </c>
      <c r="G701" s="8">
        <f t="shared" si="24"/>
        <v>0</v>
      </c>
      <c r="H701" s="8">
        <f t="shared" si="24"/>
        <v>0</v>
      </c>
      <c r="I701" s="8">
        <f t="shared" si="24"/>
        <v>0</v>
      </c>
      <c r="J701" s="8">
        <f t="shared" si="24"/>
        <v>0</v>
      </c>
      <c r="K701" s="8">
        <f t="shared" si="24"/>
        <v>1</v>
      </c>
      <c r="L701" s="7"/>
    </row>
    <row r="702" spans="1:12" outlineLevel="1" x14ac:dyDescent="0.25">
      <c r="A702" s="22">
        <f t="shared" si="25"/>
        <v>3.0265000000000559</v>
      </c>
      <c r="B702" s="27"/>
      <c r="C702" s="24" t="s">
        <v>352</v>
      </c>
      <c r="D702" s="7"/>
      <c r="E702" s="7"/>
      <c r="F702" s="8" t="s">
        <v>8</v>
      </c>
      <c r="G702" s="8">
        <f t="shared" si="24"/>
        <v>0</v>
      </c>
      <c r="H702" s="8">
        <f t="shared" si="24"/>
        <v>0</v>
      </c>
      <c r="I702" s="8">
        <f t="shared" si="24"/>
        <v>0</v>
      </c>
      <c r="J702" s="8">
        <f t="shared" si="24"/>
        <v>0</v>
      </c>
      <c r="K702" s="8">
        <f t="shared" si="24"/>
        <v>1</v>
      </c>
      <c r="L702" s="7"/>
    </row>
    <row r="703" spans="1:12" outlineLevel="1" x14ac:dyDescent="0.25">
      <c r="A703" s="22">
        <f t="shared" si="25"/>
        <v>3.0266000000000561</v>
      </c>
      <c r="B703" s="26" t="s">
        <v>353</v>
      </c>
      <c r="C703" s="24" t="s">
        <v>31</v>
      </c>
      <c r="D703" s="7"/>
      <c r="E703" s="7"/>
      <c r="F703" s="8" t="s">
        <v>8</v>
      </c>
      <c r="G703" s="8">
        <f t="shared" si="24"/>
        <v>0</v>
      </c>
      <c r="H703" s="8">
        <f t="shared" si="24"/>
        <v>0</v>
      </c>
      <c r="I703" s="8">
        <f t="shared" si="24"/>
        <v>0</v>
      </c>
      <c r="J703" s="8">
        <f t="shared" si="24"/>
        <v>0</v>
      </c>
      <c r="K703" s="8">
        <f t="shared" si="24"/>
        <v>1</v>
      </c>
      <c r="L703" s="7"/>
    </row>
    <row r="704" spans="1:12" outlineLevel="1" x14ac:dyDescent="0.25">
      <c r="A704" s="22">
        <f t="shared" si="25"/>
        <v>3.0267000000000563</v>
      </c>
      <c r="B704" s="27"/>
      <c r="C704" s="24" t="s">
        <v>354</v>
      </c>
      <c r="D704" s="7"/>
      <c r="E704" s="7"/>
      <c r="F704" s="8" t="s">
        <v>8</v>
      </c>
      <c r="G704" s="8">
        <f t="shared" si="24"/>
        <v>0</v>
      </c>
      <c r="H704" s="8">
        <f t="shared" si="24"/>
        <v>0</v>
      </c>
      <c r="I704" s="8">
        <f t="shared" si="24"/>
        <v>0</v>
      </c>
      <c r="J704" s="8">
        <f t="shared" si="24"/>
        <v>0</v>
      </c>
      <c r="K704" s="8">
        <f t="shared" si="24"/>
        <v>1</v>
      </c>
      <c r="L704" s="7"/>
    </row>
    <row r="705" spans="1:12" outlineLevel="1" x14ac:dyDescent="0.25">
      <c r="A705" s="22">
        <f t="shared" si="25"/>
        <v>3.0268000000000566</v>
      </c>
      <c r="B705" s="26" t="s">
        <v>355</v>
      </c>
      <c r="C705" s="24" t="s">
        <v>356</v>
      </c>
      <c r="D705" s="7"/>
      <c r="E705" s="7"/>
      <c r="F705" s="8" t="s">
        <v>8</v>
      </c>
      <c r="G705" s="8">
        <f t="shared" si="24"/>
        <v>0</v>
      </c>
      <c r="H705" s="8">
        <f t="shared" si="24"/>
        <v>0</v>
      </c>
      <c r="I705" s="8">
        <f t="shared" si="24"/>
        <v>0</v>
      </c>
      <c r="J705" s="8">
        <f t="shared" si="24"/>
        <v>0</v>
      </c>
      <c r="K705" s="8">
        <f t="shared" si="24"/>
        <v>1</v>
      </c>
      <c r="L705" s="7"/>
    </row>
    <row r="706" spans="1:12" outlineLevel="1" x14ac:dyDescent="0.25">
      <c r="A706" s="22">
        <f t="shared" si="25"/>
        <v>3.0269000000000568</v>
      </c>
      <c r="B706" s="29"/>
      <c r="C706" s="24" t="s">
        <v>357</v>
      </c>
      <c r="D706" s="7"/>
      <c r="E706" s="7"/>
      <c r="F706" s="8" t="s">
        <v>8</v>
      </c>
      <c r="G706" s="8">
        <f t="shared" si="24"/>
        <v>0</v>
      </c>
      <c r="H706" s="8">
        <f t="shared" si="24"/>
        <v>0</v>
      </c>
      <c r="I706" s="8">
        <f t="shared" si="24"/>
        <v>0</v>
      </c>
      <c r="J706" s="8">
        <f t="shared" si="24"/>
        <v>0</v>
      </c>
      <c r="K706" s="8">
        <f t="shared" si="24"/>
        <v>1</v>
      </c>
      <c r="L706" s="7"/>
    </row>
    <row r="707" spans="1:12" outlineLevel="1" x14ac:dyDescent="0.25">
      <c r="A707" s="22">
        <f t="shared" si="25"/>
        <v>3.027000000000057</v>
      </c>
      <c r="B707" s="28" t="s">
        <v>358</v>
      </c>
      <c r="C707" s="6" t="s">
        <v>359</v>
      </c>
      <c r="D707" s="7"/>
      <c r="E707" s="7"/>
      <c r="F707" s="8" t="s">
        <v>8</v>
      </c>
      <c r="G707" s="8">
        <f t="shared" si="24"/>
        <v>0</v>
      </c>
      <c r="H707" s="8">
        <f t="shared" si="24"/>
        <v>0</v>
      </c>
      <c r="I707" s="8">
        <f t="shared" si="24"/>
        <v>0</v>
      </c>
      <c r="J707" s="8">
        <f t="shared" si="24"/>
        <v>0</v>
      </c>
      <c r="K707" s="8">
        <f t="shared" si="24"/>
        <v>1</v>
      </c>
      <c r="L707" s="7"/>
    </row>
    <row r="708" spans="1:12" ht="38.25" outlineLevel="1" x14ac:dyDescent="0.25">
      <c r="A708" s="22">
        <f t="shared" si="25"/>
        <v>3.0271000000000572</v>
      </c>
      <c r="B708" s="26" t="s">
        <v>360</v>
      </c>
      <c r="C708" s="24" t="s">
        <v>361</v>
      </c>
      <c r="D708" s="7"/>
      <c r="E708" s="7"/>
      <c r="F708" s="8" t="s">
        <v>8</v>
      </c>
      <c r="G708" s="8">
        <f t="shared" si="24"/>
        <v>0</v>
      </c>
      <c r="H708" s="8">
        <f t="shared" si="24"/>
        <v>0</v>
      </c>
      <c r="I708" s="8">
        <f t="shared" si="24"/>
        <v>0</v>
      </c>
      <c r="J708" s="8">
        <f t="shared" si="24"/>
        <v>0</v>
      </c>
      <c r="K708" s="8">
        <f t="shared" si="24"/>
        <v>1</v>
      </c>
      <c r="L708" s="7"/>
    </row>
    <row r="709" spans="1:12" outlineLevel="1" x14ac:dyDescent="0.25">
      <c r="A709" s="22">
        <f t="shared" si="25"/>
        <v>3.0272000000000574</v>
      </c>
      <c r="B709" s="27"/>
      <c r="C709" s="24" t="s">
        <v>362</v>
      </c>
      <c r="D709" s="7"/>
      <c r="E709" s="7"/>
      <c r="F709" s="8" t="s">
        <v>8</v>
      </c>
      <c r="G709" s="8">
        <f t="shared" ref="G709:K759" si="26">IF($F709=G$1,1,0)</f>
        <v>0</v>
      </c>
      <c r="H709" s="8">
        <f t="shared" si="26"/>
        <v>0</v>
      </c>
      <c r="I709" s="8">
        <f t="shared" si="26"/>
        <v>0</v>
      </c>
      <c r="J709" s="8">
        <f t="shared" si="26"/>
        <v>0</v>
      </c>
      <c r="K709" s="8">
        <f t="shared" si="26"/>
        <v>1</v>
      </c>
      <c r="L709" s="7"/>
    </row>
    <row r="710" spans="1:12" outlineLevel="1" x14ac:dyDescent="0.25">
      <c r="A710" s="22">
        <f t="shared" si="25"/>
        <v>3.0273000000000576</v>
      </c>
      <c r="B710" s="27"/>
      <c r="C710" s="24" t="s">
        <v>363</v>
      </c>
      <c r="D710" s="7"/>
      <c r="E710" s="7"/>
      <c r="F710" s="8" t="s">
        <v>8</v>
      </c>
      <c r="G710" s="8">
        <f t="shared" si="26"/>
        <v>0</v>
      </c>
      <c r="H710" s="8">
        <f t="shared" si="26"/>
        <v>0</v>
      </c>
      <c r="I710" s="8">
        <f t="shared" si="26"/>
        <v>0</v>
      </c>
      <c r="J710" s="8">
        <f t="shared" si="26"/>
        <v>0</v>
      </c>
      <c r="K710" s="8">
        <f t="shared" si="26"/>
        <v>1</v>
      </c>
      <c r="L710" s="7"/>
    </row>
    <row r="711" spans="1:12" outlineLevel="1" x14ac:dyDescent="0.25">
      <c r="A711" s="22">
        <f t="shared" si="25"/>
        <v>3.0274000000000578</v>
      </c>
      <c r="B711" s="27"/>
      <c r="C711" s="24" t="s">
        <v>364</v>
      </c>
      <c r="D711" s="7"/>
      <c r="E711" s="7"/>
      <c r="F711" s="8" t="s">
        <v>8</v>
      </c>
      <c r="G711" s="8">
        <f t="shared" si="26"/>
        <v>0</v>
      </c>
      <c r="H711" s="8">
        <f t="shared" si="26"/>
        <v>0</v>
      </c>
      <c r="I711" s="8">
        <f t="shared" si="26"/>
        <v>0</v>
      </c>
      <c r="J711" s="8">
        <f t="shared" si="26"/>
        <v>0</v>
      </c>
      <c r="K711" s="8">
        <f t="shared" si="26"/>
        <v>1</v>
      </c>
      <c r="L711" s="7"/>
    </row>
    <row r="712" spans="1:12" outlineLevel="1" x14ac:dyDescent="0.25">
      <c r="A712" s="22">
        <f t="shared" si="25"/>
        <v>3.027500000000058</v>
      </c>
      <c r="B712" s="27"/>
      <c r="C712" s="24" t="s">
        <v>365</v>
      </c>
      <c r="D712" s="7"/>
      <c r="E712" s="7"/>
      <c r="F712" s="8" t="s">
        <v>8</v>
      </c>
      <c r="G712" s="8">
        <f t="shared" si="26"/>
        <v>0</v>
      </c>
      <c r="H712" s="8">
        <f t="shared" si="26"/>
        <v>0</v>
      </c>
      <c r="I712" s="8">
        <f t="shared" si="26"/>
        <v>0</v>
      </c>
      <c r="J712" s="8">
        <f t="shared" si="26"/>
        <v>0</v>
      </c>
      <c r="K712" s="8">
        <f t="shared" si="26"/>
        <v>1</v>
      </c>
      <c r="L712" s="7"/>
    </row>
    <row r="713" spans="1:12" outlineLevel="1" x14ac:dyDescent="0.25">
      <c r="A713" s="22">
        <f t="shared" si="25"/>
        <v>3.0276000000000582</v>
      </c>
      <c r="B713" s="27"/>
      <c r="C713" s="24" t="s">
        <v>366</v>
      </c>
      <c r="D713" s="7"/>
      <c r="E713" s="7"/>
      <c r="F713" s="8" t="s">
        <v>8</v>
      </c>
      <c r="G713" s="8">
        <f t="shared" si="26"/>
        <v>0</v>
      </c>
      <c r="H713" s="8">
        <f t="shared" si="26"/>
        <v>0</v>
      </c>
      <c r="I713" s="8">
        <f t="shared" si="26"/>
        <v>0</v>
      </c>
      <c r="J713" s="8">
        <f t="shared" si="26"/>
        <v>0</v>
      </c>
      <c r="K713" s="8">
        <f t="shared" si="26"/>
        <v>1</v>
      </c>
      <c r="L713" s="7"/>
    </row>
    <row r="714" spans="1:12" outlineLevel="1" x14ac:dyDescent="0.25">
      <c r="A714" s="22">
        <f t="shared" si="25"/>
        <v>3.0277000000000585</v>
      </c>
      <c r="B714" s="27"/>
      <c r="C714" s="24" t="s">
        <v>367</v>
      </c>
      <c r="D714" s="7"/>
      <c r="E714" s="7"/>
      <c r="F714" s="8" t="s">
        <v>8</v>
      </c>
      <c r="G714" s="8">
        <f t="shared" si="26"/>
        <v>0</v>
      </c>
      <c r="H714" s="8">
        <f t="shared" si="26"/>
        <v>0</v>
      </c>
      <c r="I714" s="8">
        <f t="shared" si="26"/>
        <v>0</v>
      </c>
      <c r="J714" s="8">
        <f t="shared" si="26"/>
        <v>0</v>
      </c>
      <c r="K714" s="8">
        <f t="shared" si="26"/>
        <v>1</v>
      </c>
      <c r="L714" s="7"/>
    </row>
    <row r="715" spans="1:12" outlineLevel="1" x14ac:dyDescent="0.25">
      <c r="A715" s="22">
        <f t="shared" si="25"/>
        <v>3.0278000000000587</v>
      </c>
      <c r="B715" s="27"/>
      <c r="C715" s="24" t="s">
        <v>368</v>
      </c>
      <c r="D715" s="7"/>
      <c r="E715" s="7"/>
      <c r="F715" s="8" t="s">
        <v>8</v>
      </c>
      <c r="G715" s="8">
        <f t="shared" si="26"/>
        <v>0</v>
      </c>
      <c r="H715" s="8">
        <f t="shared" si="26"/>
        <v>0</v>
      </c>
      <c r="I715" s="8">
        <f t="shared" si="26"/>
        <v>0</v>
      </c>
      <c r="J715" s="8">
        <f t="shared" si="26"/>
        <v>0</v>
      </c>
      <c r="K715" s="8">
        <f t="shared" si="26"/>
        <v>1</v>
      </c>
      <c r="L715" s="7"/>
    </row>
    <row r="716" spans="1:12" outlineLevel="1" x14ac:dyDescent="0.25">
      <c r="A716" s="22">
        <f t="shared" si="25"/>
        <v>3.0279000000000589</v>
      </c>
      <c r="B716" s="27"/>
      <c r="C716" s="24" t="s">
        <v>369</v>
      </c>
      <c r="D716" s="7"/>
      <c r="E716" s="7"/>
      <c r="F716" s="8" t="s">
        <v>8</v>
      </c>
      <c r="G716" s="8">
        <f t="shared" si="26"/>
        <v>0</v>
      </c>
      <c r="H716" s="8">
        <f t="shared" si="26"/>
        <v>0</v>
      </c>
      <c r="I716" s="8">
        <f t="shared" si="26"/>
        <v>0</v>
      </c>
      <c r="J716" s="8">
        <f t="shared" si="26"/>
        <v>0</v>
      </c>
      <c r="K716" s="8">
        <f t="shared" si="26"/>
        <v>1</v>
      </c>
      <c r="L716" s="7"/>
    </row>
    <row r="717" spans="1:12" ht="25.5" outlineLevel="1" x14ac:dyDescent="0.25">
      <c r="A717" s="22">
        <f t="shared" si="25"/>
        <v>3.0280000000000591</v>
      </c>
      <c r="B717" s="27"/>
      <c r="C717" s="24" t="s">
        <v>370</v>
      </c>
      <c r="D717" s="7"/>
      <c r="E717" s="7"/>
      <c r="F717" s="8" t="s">
        <v>8</v>
      </c>
      <c r="G717" s="8">
        <f t="shared" si="26"/>
        <v>0</v>
      </c>
      <c r="H717" s="8">
        <f t="shared" si="26"/>
        <v>0</v>
      </c>
      <c r="I717" s="8">
        <f t="shared" si="26"/>
        <v>0</v>
      </c>
      <c r="J717" s="8">
        <f t="shared" si="26"/>
        <v>0</v>
      </c>
      <c r="K717" s="8">
        <f t="shared" si="26"/>
        <v>1</v>
      </c>
      <c r="L717" s="7"/>
    </row>
    <row r="718" spans="1:12" outlineLevel="1" x14ac:dyDescent="0.25">
      <c r="A718" s="22">
        <f t="shared" si="25"/>
        <v>3.0281000000000593</v>
      </c>
      <c r="B718" s="26" t="s">
        <v>371</v>
      </c>
      <c r="C718" s="24" t="s">
        <v>372</v>
      </c>
      <c r="D718" s="7"/>
      <c r="E718" s="7"/>
      <c r="F718" s="8" t="s">
        <v>8</v>
      </c>
      <c r="G718" s="8">
        <f t="shared" si="26"/>
        <v>0</v>
      </c>
      <c r="H718" s="8">
        <f t="shared" si="26"/>
        <v>0</v>
      </c>
      <c r="I718" s="8">
        <f t="shared" si="26"/>
        <v>0</v>
      </c>
      <c r="J718" s="8">
        <f t="shared" si="26"/>
        <v>0</v>
      </c>
      <c r="K718" s="8">
        <f t="shared" si="26"/>
        <v>1</v>
      </c>
      <c r="L718" s="7"/>
    </row>
    <row r="719" spans="1:12" outlineLevel="1" x14ac:dyDescent="0.25">
      <c r="A719" s="22">
        <f t="shared" si="25"/>
        <v>3.0282000000000595</v>
      </c>
      <c r="B719" s="27"/>
      <c r="C719" s="24" t="s">
        <v>365</v>
      </c>
      <c r="D719" s="7"/>
      <c r="E719" s="7"/>
      <c r="F719" s="8" t="s">
        <v>8</v>
      </c>
      <c r="G719" s="8">
        <f t="shared" si="26"/>
        <v>0</v>
      </c>
      <c r="H719" s="8">
        <f t="shared" si="26"/>
        <v>0</v>
      </c>
      <c r="I719" s="8">
        <f t="shared" si="26"/>
        <v>0</v>
      </c>
      <c r="J719" s="8">
        <f t="shared" si="26"/>
        <v>0</v>
      </c>
      <c r="K719" s="8">
        <f t="shared" si="26"/>
        <v>1</v>
      </c>
      <c r="L719" s="7"/>
    </row>
    <row r="720" spans="1:12" outlineLevel="1" x14ac:dyDescent="0.25">
      <c r="A720" s="22">
        <f t="shared" si="25"/>
        <v>3.0283000000000597</v>
      </c>
      <c r="B720" s="27"/>
      <c r="C720" s="24" t="s">
        <v>366</v>
      </c>
      <c r="D720" s="7"/>
      <c r="E720" s="7"/>
      <c r="F720" s="8" t="s">
        <v>8</v>
      </c>
      <c r="G720" s="8">
        <f t="shared" si="26"/>
        <v>0</v>
      </c>
      <c r="H720" s="8">
        <f t="shared" si="26"/>
        <v>0</v>
      </c>
      <c r="I720" s="8">
        <f t="shared" si="26"/>
        <v>0</v>
      </c>
      <c r="J720" s="8">
        <f t="shared" si="26"/>
        <v>0</v>
      </c>
      <c r="K720" s="8">
        <f t="shared" si="26"/>
        <v>1</v>
      </c>
      <c r="L720" s="7"/>
    </row>
    <row r="721" spans="1:12" outlineLevel="1" x14ac:dyDescent="0.25">
      <c r="A721" s="22">
        <f t="shared" si="25"/>
        <v>3.0284000000000599</v>
      </c>
      <c r="B721" s="27"/>
      <c r="C721" s="24" t="s">
        <v>367</v>
      </c>
      <c r="D721" s="7"/>
      <c r="E721" s="7"/>
      <c r="F721" s="8" t="s">
        <v>8</v>
      </c>
      <c r="G721" s="8">
        <f t="shared" si="26"/>
        <v>0</v>
      </c>
      <c r="H721" s="8">
        <f t="shared" si="26"/>
        <v>0</v>
      </c>
      <c r="I721" s="8">
        <f t="shared" si="26"/>
        <v>0</v>
      </c>
      <c r="J721" s="8">
        <f t="shared" si="26"/>
        <v>0</v>
      </c>
      <c r="K721" s="8">
        <f t="shared" si="26"/>
        <v>1</v>
      </c>
      <c r="L721" s="7"/>
    </row>
    <row r="722" spans="1:12" outlineLevel="1" x14ac:dyDescent="0.25">
      <c r="A722" s="22">
        <f t="shared" si="25"/>
        <v>3.0285000000000601</v>
      </c>
      <c r="B722" s="27"/>
      <c r="C722" s="24" t="s">
        <v>373</v>
      </c>
      <c r="D722" s="7"/>
      <c r="E722" s="7"/>
      <c r="F722" s="8" t="s">
        <v>8</v>
      </c>
      <c r="G722" s="8">
        <f t="shared" si="26"/>
        <v>0</v>
      </c>
      <c r="H722" s="8">
        <f t="shared" si="26"/>
        <v>0</v>
      </c>
      <c r="I722" s="8">
        <f t="shared" si="26"/>
        <v>0</v>
      </c>
      <c r="J722" s="8">
        <f t="shared" si="26"/>
        <v>0</v>
      </c>
      <c r="K722" s="8">
        <f t="shared" si="26"/>
        <v>1</v>
      </c>
      <c r="L722" s="7"/>
    </row>
    <row r="723" spans="1:12" outlineLevel="1" x14ac:dyDescent="0.25">
      <c r="A723" s="22">
        <f t="shared" ref="A723:A786" si="27">A722+0.0001</f>
        <v>3.0286000000000604</v>
      </c>
      <c r="B723" s="27"/>
      <c r="C723" s="24" t="s">
        <v>374</v>
      </c>
      <c r="D723" s="7"/>
      <c r="E723" s="7"/>
      <c r="F723" s="8" t="s">
        <v>8</v>
      </c>
      <c r="G723" s="8">
        <f t="shared" si="26"/>
        <v>0</v>
      </c>
      <c r="H723" s="8">
        <f t="shared" si="26"/>
        <v>0</v>
      </c>
      <c r="I723" s="8">
        <f t="shared" si="26"/>
        <v>0</v>
      </c>
      <c r="J723" s="8">
        <f t="shared" si="26"/>
        <v>0</v>
      </c>
      <c r="K723" s="8">
        <f t="shared" si="26"/>
        <v>1</v>
      </c>
      <c r="L723" s="7"/>
    </row>
    <row r="724" spans="1:12" outlineLevel="1" x14ac:dyDescent="0.25">
      <c r="A724" s="22">
        <f t="shared" si="27"/>
        <v>3.0287000000000606</v>
      </c>
      <c r="B724" s="26" t="s">
        <v>375</v>
      </c>
      <c r="C724" s="24" t="s">
        <v>376</v>
      </c>
      <c r="D724" s="7"/>
      <c r="E724" s="7"/>
      <c r="F724" s="8" t="s">
        <v>8</v>
      </c>
      <c r="G724" s="8">
        <f t="shared" si="26"/>
        <v>0</v>
      </c>
      <c r="H724" s="8">
        <f t="shared" si="26"/>
        <v>0</v>
      </c>
      <c r="I724" s="8">
        <f t="shared" si="26"/>
        <v>0</v>
      </c>
      <c r="J724" s="8">
        <f t="shared" si="26"/>
        <v>0</v>
      </c>
      <c r="K724" s="8">
        <f t="shared" si="26"/>
        <v>1</v>
      </c>
      <c r="L724" s="7"/>
    </row>
    <row r="725" spans="1:12" outlineLevel="1" x14ac:dyDescent="0.25">
      <c r="A725" s="22">
        <f t="shared" si="27"/>
        <v>3.0288000000000608</v>
      </c>
      <c r="B725" s="27"/>
      <c r="C725" s="24" t="s">
        <v>377</v>
      </c>
      <c r="D725" s="7"/>
      <c r="E725" s="7"/>
      <c r="F725" s="8" t="s">
        <v>8</v>
      </c>
      <c r="G725" s="8">
        <f t="shared" si="26"/>
        <v>0</v>
      </c>
      <c r="H725" s="8">
        <f t="shared" si="26"/>
        <v>0</v>
      </c>
      <c r="I725" s="8">
        <f t="shared" si="26"/>
        <v>0</v>
      </c>
      <c r="J725" s="8">
        <f t="shared" si="26"/>
        <v>0</v>
      </c>
      <c r="K725" s="8">
        <f t="shared" si="26"/>
        <v>1</v>
      </c>
      <c r="L725" s="7"/>
    </row>
    <row r="726" spans="1:12" outlineLevel="1" x14ac:dyDescent="0.25">
      <c r="A726" s="22">
        <f t="shared" si="27"/>
        <v>3.028900000000061</v>
      </c>
      <c r="B726" s="26" t="s">
        <v>378</v>
      </c>
      <c r="C726" s="24" t="s">
        <v>376</v>
      </c>
      <c r="D726" s="7"/>
      <c r="E726" s="7"/>
      <c r="F726" s="8" t="s">
        <v>8</v>
      </c>
      <c r="G726" s="8">
        <f t="shared" si="26"/>
        <v>0</v>
      </c>
      <c r="H726" s="8">
        <f t="shared" si="26"/>
        <v>0</v>
      </c>
      <c r="I726" s="8">
        <f t="shared" si="26"/>
        <v>0</v>
      </c>
      <c r="J726" s="8">
        <f t="shared" si="26"/>
        <v>0</v>
      </c>
      <c r="K726" s="8">
        <f t="shared" si="26"/>
        <v>1</v>
      </c>
      <c r="L726" s="7"/>
    </row>
    <row r="727" spans="1:12" outlineLevel="1" x14ac:dyDescent="0.25">
      <c r="A727" s="22">
        <f t="shared" si="27"/>
        <v>3.0290000000000612</v>
      </c>
      <c r="B727" s="27"/>
      <c r="C727" s="24" t="s">
        <v>379</v>
      </c>
      <c r="D727" s="7"/>
      <c r="E727" s="7"/>
      <c r="F727" s="8" t="s">
        <v>8</v>
      </c>
      <c r="G727" s="8">
        <f t="shared" si="26"/>
        <v>0</v>
      </c>
      <c r="H727" s="8">
        <f t="shared" si="26"/>
        <v>0</v>
      </c>
      <c r="I727" s="8">
        <f t="shared" si="26"/>
        <v>0</v>
      </c>
      <c r="J727" s="8">
        <f t="shared" si="26"/>
        <v>0</v>
      </c>
      <c r="K727" s="8">
        <f t="shared" si="26"/>
        <v>1</v>
      </c>
      <c r="L727" s="7"/>
    </row>
    <row r="728" spans="1:12" outlineLevel="1" x14ac:dyDescent="0.25">
      <c r="A728" s="22">
        <f t="shared" si="27"/>
        <v>3.0291000000000614</v>
      </c>
      <c r="B728" s="27"/>
      <c r="C728" s="24" t="s">
        <v>380</v>
      </c>
      <c r="D728" s="7"/>
      <c r="E728" s="7"/>
      <c r="F728" s="8" t="s">
        <v>8</v>
      </c>
      <c r="G728" s="8">
        <f t="shared" si="26"/>
        <v>0</v>
      </c>
      <c r="H728" s="8">
        <f t="shared" si="26"/>
        <v>0</v>
      </c>
      <c r="I728" s="8">
        <f t="shared" si="26"/>
        <v>0</v>
      </c>
      <c r="J728" s="8">
        <f t="shared" si="26"/>
        <v>0</v>
      </c>
      <c r="K728" s="8">
        <f t="shared" si="26"/>
        <v>1</v>
      </c>
      <c r="L728" s="7"/>
    </row>
    <row r="729" spans="1:12" ht="25.5" outlineLevel="1" x14ac:dyDescent="0.25">
      <c r="A729" s="22">
        <f t="shared" si="27"/>
        <v>3.0292000000000616</v>
      </c>
      <c r="B729" s="26" t="s">
        <v>381</v>
      </c>
      <c r="C729" s="24" t="s">
        <v>382</v>
      </c>
      <c r="D729" s="7"/>
      <c r="E729" s="7"/>
      <c r="F729" s="8" t="s">
        <v>8</v>
      </c>
      <c r="G729" s="8">
        <f t="shared" si="26"/>
        <v>0</v>
      </c>
      <c r="H729" s="8">
        <f t="shared" si="26"/>
        <v>0</v>
      </c>
      <c r="I729" s="8">
        <f t="shared" si="26"/>
        <v>0</v>
      </c>
      <c r="J729" s="8">
        <f t="shared" si="26"/>
        <v>0</v>
      </c>
      <c r="K729" s="8">
        <f t="shared" si="26"/>
        <v>1</v>
      </c>
      <c r="L729" s="7"/>
    </row>
    <row r="730" spans="1:12" ht="25.5" outlineLevel="1" x14ac:dyDescent="0.25">
      <c r="A730" s="22">
        <f t="shared" si="27"/>
        <v>3.0293000000000618</v>
      </c>
      <c r="B730" s="27"/>
      <c r="C730" s="24" t="s">
        <v>383</v>
      </c>
      <c r="D730" s="7"/>
      <c r="E730" s="7"/>
      <c r="F730" s="8" t="s">
        <v>8</v>
      </c>
      <c r="G730" s="8">
        <f t="shared" si="26"/>
        <v>0</v>
      </c>
      <c r="H730" s="8">
        <f t="shared" si="26"/>
        <v>0</v>
      </c>
      <c r="I730" s="8">
        <f t="shared" si="26"/>
        <v>0</v>
      </c>
      <c r="J730" s="8">
        <f t="shared" si="26"/>
        <v>0</v>
      </c>
      <c r="K730" s="8">
        <f t="shared" si="26"/>
        <v>1</v>
      </c>
      <c r="L730" s="7"/>
    </row>
    <row r="731" spans="1:12" outlineLevel="1" x14ac:dyDescent="0.25">
      <c r="A731" s="22">
        <f t="shared" si="27"/>
        <v>3.029400000000062</v>
      </c>
      <c r="B731" s="29"/>
      <c r="C731" s="24" t="s">
        <v>384</v>
      </c>
      <c r="D731" s="7"/>
      <c r="E731" s="7"/>
      <c r="F731" s="8" t="s">
        <v>8</v>
      </c>
      <c r="G731" s="8">
        <f t="shared" si="26"/>
        <v>0</v>
      </c>
      <c r="H731" s="8">
        <f t="shared" si="26"/>
        <v>0</v>
      </c>
      <c r="I731" s="8">
        <f t="shared" si="26"/>
        <v>0</v>
      </c>
      <c r="J731" s="8">
        <f t="shared" si="26"/>
        <v>0</v>
      </c>
      <c r="K731" s="8">
        <f t="shared" si="26"/>
        <v>1</v>
      </c>
      <c r="L731" s="7"/>
    </row>
    <row r="732" spans="1:12" ht="38.25" outlineLevel="1" x14ac:dyDescent="0.25">
      <c r="A732" s="22">
        <f t="shared" si="27"/>
        <v>3.0295000000000623</v>
      </c>
      <c r="B732" s="28" t="s">
        <v>385</v>
      </c>
      <c r="C732" s="6" t="s">
        <v>386</v>
      </c>
      <c r="D732" s="7"/>
      <c r="E732" s="7"/>
      <c r="F732" s="8" t="s">
        <v>8</v>
      </c>
      <c r="G732" s="8">
        <f t="shared" si="26"/>
        <v>0</v>
      </c>
      <c r="H732" s="8">
        <f t="shared" si="26"/>
        <v>0</v>
      </c>
      <c r="I732" s="8">
        <f t="shared" si="26"/>
        <v>0</v>
      </c>
      <c r="J732" s="8">
        <f t="shared" si="26"/>
        <v>0</v>
      </c>
      <c r="K732" s="8">
        <f t="shared" si="26"/>
        <v>1</v>
      </c>
      <c r="L732" s="7"/>
    </row>
    <row r="733" spans="1:12" ht="25.5" outlineLevel="1" x14ac:dyDescent="0.25">
      <c r="A733" s="22">
        <f t="shared" si="27"/>
        <v>3.0296000000000625</v>
      </c>
      <c r="B733" s="26" t="s">
        <v>387</v>
      </c>
      <c r="C733" s="24" t="s">
        <v>31</v>
      </c>
      <c r="D733" s="7"/>
      <c r="E733" s="7"/>
      <c r="F733" s="8" t="s">
        <v>8</v>
      </c>
      <c r="G733" s="8">
        <f t="shared" si="26"/>
        <v>0</v>
      </c>
      <c r="H733" s="8">
        <f t="shared" si="26"/>
        <v>0</v>
      </c>
      <c r="I733" s="8">
        <f t="shared" si="26"/>
        <v>0</v>
      </c>
      <c r="J733" s="8">
        <f t="shared" si="26"/>
        <v>0</v>
      </c>
      <c r="K733" s="8">
        <f t="shared" si="26"/>
        <v>1</v>
      </c>
      <c r="L733" s="7"/>
    </row>
    <row r="734" spans="1:12" outlineLevel="1" x14ac:dyDescent="0.25">
      <c r="A734" s="22">
        <f t="shared" si="27"/>
        <v>3.0297000000000627</v>
      </c>
      <c r="B734" s="27"/>
      <c r="C734" s="24" t="s">
        <v>388</v>
      </c>
      <c r="D734" s="7"/>
      <c r="E734" s="7"/>
      <c r="F734" s="8" t="s">
        <v>8</v>
      </c>
      <c r="G734" s="8">
        <f t="shared" si="26"/>
        <v>0</v>
      </c>
      <c r="H734" s="8">
        <f t="shared" si="26"/>
        <v>0</v>
      </c>
      <c r="I734" s="8">
        <f t="shared" si="26"/>
        <v>0</v>
      </c>
      <c r="J734" s="8">
        <f t="shared" si="26"/>
        <v>0</v>
      </c>
      <c r="K734" s="8">
        <f t="shared" si="26"/>
        <v>1</v>
      </c>
      <c r="L734" s="7"/>
    </row>
    <row r="735" spans="1:12" outlineLevel="1" x14ac:dyDescent="0.25">
      <c r="A735" s="22">
        <f t="shared" si="27"/>
        <v>3.0298000000000629</v>
      </c>
      <c r="B735" s="26" t="s">
        <v>389</v>
      </c>
      <c r="C735" s="24" t="s">
        <v>31</v>
      </c>
      <c r="D735" s="7"/>
      <c r="E735" s="7"/>
      <c r="F735" s="8" t="s">
        <v>8</v>
      </c>
      <c r="G735" s="8">
        <f t="shared" si="26"/>
        <v>0</v>
      </c>
      <c r="H735" s="8">
        <f t="shared" si="26"/>
        <v>0</v>
      </c>
      <c r="I735" s="8">
        <f t="shared" si="26"/>
        <v>0</v>
      </c>
      <c r="J735" s="8">
        <f t="shared" si="26"/>
        <v>0</v>
      </c>
      <c r="K735" s="8">
        <f t="shared" si="26"/>
        <v>1</v>
      </c>
      <c r="L735" s="7"/>
    </row>
    <row r="736" spans="1:12" outlineLevel="1" x14ac:dyDescent="0.25">
      <c r="A736" s="22">
        <f t="shared" si="27"/>
        <v>3.0299000000000631</v>
      </c>
      <c r="B736" s="27"/>
      <c r="C736" s="24" t="s">
        <v>388</v>
      </c>
      <c r="D736" s="7"/>
      <c r="E736" s="7"/>
      <c r="F736" s="8" t="s">
        <v>8</v>
      </c>
      <c r="G736" s="8">
        <f t="shared" si="26"/>
        <v>0</v>
      </c>
      <c r="H736" s="8">
        <f t="shared" si="26"/>
        <v>0</v>
      </c>
      <c r="I736" s="8">
        <f t="shared" si="26"/>
        <v>0</v>
      </c>
      <c r="J736" s="8">
        <f t="shared" si="26"/>
        <v>0</v>
      </c>
      <c r="K736" s="8">
        <f t="shared" si="26"/>
        <v>1</v>
      </c>
      <c r="L736" s="7"/>
    </row>
    <row r="737" spans="1:12" ht="25.5" outlineLevel="1" x14ac:dyDescent="0.25">
      <c r="A737" s="22">
        <f t="shared" si="27"/>
        <v>3.0300000000000633</v>
      </c>
      <c r="B737" s="26" t="s">
        <v>390</v>
      </c>
      <c r="C737" s="24" t="s">
        <v>382</v>
      </c>
      <c r="D737" s="7"/>
      <c r="E737" s="7"/>
      <c r="F737" s="8" t="s">
        <v>8</v>
      </c>
      <c r="G737" s="8">
        <f t="shared" si="26"/>
        <v>0</v>
      </c>
      <c r="H737" s="8">
        <f t="shared" si="26"/>
        <v>0</v>
      </c>
      <c r="I737" s="8">
        <f t="shared" si="26"/>
        <v>0</v>
      </c>
      <c r="J737" s="8">
        <f t="shared" si="26"/>
        <v>0</v>
      </c>
      <c r="K737" s="8">
        <f t="shared" si="26"/>
        <v>1</v>
      </c>
      <c r="L737" s="7"/>
    </row>
    <row r="738" spans="1:12" ht="25.5" outlineLevel="1" x14ac:dyDescent="0.25">
      <c r="A738" s="22">
        <f t="shared" si="27"/>
        <v>3.0301000000000635</v>
      </c>
      <c r="B738" s="27"/>
      <c r="C738" s="24" t="s">
        <v>383</v>
      </c>
      <c r="D738" s="7"/>
      <c r="E738" s="7"/>
      <c r="F738" s="8" t="s">
        <v>8</v>
      </c>
      <c r="G738" s="8">
        <f t="shared" si="26"/>
        <v>0</v>
      </c>
      <c r="H738" s="8">
        <f t="shared" si="26"/>
        <v>0</v>
      </c>
      <c r="I738" s="8">
        <f t="shared" si="26"/>
        <v>0</v>
      </c>
      <c r="J738" s="8">
        <f t="shared" si="26"/>
        <v>0</v>
      </c>
      <c r="K738" s="8">
        <f t="shared" si="26"/>
        <v>1</v>
      </c>
      <c r="L738" s="7"/>
    </row>
    <row r="739" spans="1:12" ht="25.5" outlineLevel="1" x14ac:dyDescent="0.25">
      <c r="A739" s="22">
        <f t="shared" si="27"/>
        <v>3.0302000000000637</v>
      </c>
      <c r="B739" s="27"/>
      <c r="C739" s="24" t="s">
        <v>391</v>
      </c>
      <c r="D739" s="7"/>
      <c r="E739" s="7"/>
      <c r="F739" s="8" t="s">
        <v>8</v>
      </c>
      <c r="G739" s="8">
        <f t="shared" si="26"/>
        <v>0</v>
      </c>
      <c r="H739" s="8">
        <f t="shared" si="26"/>
        <v>0</v>
      </c>
      <c r="I739" s="8">
        <f t="shared" si="26"/>
        <v>0</v>
      </c>
      <c r="J739" s="8">
        <f t="shared" si="26"/>
        <v>0</v>
      </c>
      <c r="K739" s="8">
        <f t="shared" si="26"/>
        <v>1</v>
      </c>
      <c r="L739" s="7"/>
    </row>
    <row r="740" spans="1:12" outlineLevel="1" x14ac:dyDescent="0.25">
      <c r="A740" s="22">
        <f t="shared" si="27"/>
        <v>3.0303000000000639</v>
      </c>
      <c r="B740" s="27"/>
      <c r="C740" s="24" t="s">
        <v>392</v>
      </c>
      <c r="D740" s="7"/>
      <c r="E740" s="7"/>
      <c r="F740" s="8" t="s">
        <v>8</v>
      </c>
      <c r="G740" s="8">
        <f t="shared" si="26"/>
        <v>0</v>
      </c>
      <c r="H740" s="8">
        <f t="shared" si="26"/>
        <v>0</v>
      </c>
      <c r="I740" s="8">
        <f t="shared" si="26"/>
        <v>0</v>
      </c>
      <c r="J740" s="8">
        <f t="shared" si="26"/>
        <v>0</v>
      </c>
      <c r="K740" s="8">
        <f t="shared" si="26"/>
        <v>1</v>
      </c>
      <c r="L740" s="7"/>
    </row>
    <row r="741" spans="1:12" ht="25.5" outlineLevel="1" x14ac:dyDescent="0.25">
      <c r="A741" s="22">
        <f t="shared" si="27"/>
        <v>3.0304000000000642</v>
      </c>
      <c r="B741" s="26" t="s">
        <v>393</v>
      </c>
      <c r="C741" s="24" t="s">
        <v>31</v>
      </c>
      <c r="D741" s="7"/>
      <c r="E741" s="7"/>
      <c r="F741" s="8" t="s">
        <v>8</v>
      </c>
      <c r="G741" s="8">
        <f t="shared" si="26"/>
        <v>0</v>
      </c>
      <c r="H741" s="8">
        <f t="shared" si="26"/>
        <v>0</v>
      </c>
      <c r="I741" s="8">
        <f t="shared" si="26"/>
        <v>0</v>
      </c>
      <c r="J741" s="8">
        <f t="shared" si="26"/>
        <v>0</v>
      </c>
      <c r="K741" s="8">
        <f t="shared" si="26"/>
        <v>1</v>
      </c>
      <c r="L741" s="7"/>
    </row>
    <row r="742" spans="1:12" outlineLevel="1" x14ac:dyDescent="0.25">
      <c r="A742" s="22">
        <f t="shared" si="27"/>
        <v>3.0305000000000644</v>
      </c>
      <c r="B742" s="27"/>
      <c r="C742" s="24" t="s">
        <v>394</v>
      </c>
      <c r="D742" s="7"/>
      <c r="E742" s="7"/>
      <c r="F742" s="8" t="s">
        <v>8</v>
      </c>
      <c r="G742" s="8">
        <f t="shared" si="26"/>
        <v>0</v>
      </c>
      <c r="H742" s="8">
        <f t="shared" si="26"/>
        <v>0</v>
      </c>
      <c r="I742" s="8">
        <f t="shared" si="26"/>
        <v>0</v>
      </c>
      <c r="J742" s="8">
        <f t="shared" si="26"/>
        <v>0</v>
      </c>
      <c r="K742" s="8">
        <f t="shared" si="26"/>
        <v>1</v>
      </c>
      <c r="L742" s="7"/>
    </row>
    <row r="743" spans="1:12" ht="25.5" outlineLevel="1" x14ac:dyDescent="0.25">
      <c r="A743" s="22">
        <f t="shared" si="27"/>
        <v>3.0306000000000646</v>
      </c>
      <c r="B743" s="26" t="s">
        <v>395</v>
      </c>
      <c r="C743" s="24" t="s">
        <v>396</v>
      </c>
      <c r="D743" s="7"/>
      <c r="E743" s="7"/>
      <c r="F743" s="8" t="s">
        <v>8</v>
      </c>
      <c r="G743" s="8">
        <f t="shared" si="26"/>
        <v>0</v>
      </c>
      <c r="H743" s="8">
        <f t="shared" si="26"/>
        <v>0</v>
      </c>
      <c r="I743" s="8">
        <f t="shared" si="26"/>
        <v>0</v>
      </c>
      <c r="J743" s="8">
        <f t="shared" si="26"/>
        <v>0</v>
      </c>
      <c r="K743" s="8">
        <f t="shared" si="26"/>
        <v>1</v>
      </c>
      <c r="L743" s="7"/>
    </row>
    <row r="744" spans="1:12" outlineLevel="1" x14ac:dyDescent="0.25">
      <c r="A744" s="22">
        <f t="shared" si="27"/>
        <v>3.0307000000000648</v>
      </c>
      <c r="B744" s="27"/>
      <c r="C744" s="24" t="s">
        <v>397</v>
      </c>
      <c r="D744" s="7"/>
      <c r="E744" s="7"/>
      <c r="F744" s="8" t="s">
        <v>8</v>
      </c>
      <c r="G744" s="8">
        <f t="shared" si="26"/>
        <v>0</v>
      </c>
      <c r="H744" s="8">
        <f t="shared" si="26"/>
        <v>0</v>
      </c>
      <c r="I744" s="8">
        <f t="shared" si="26"/>
        <v>0</v>
      </c>
      <c r="J744" s="8">
        <f t="shared" si="26"/>
        <v>0</v>
      </c>
      <c r="K744" s="8">
        <f t="shared" si="26"/>
        <v>1</v>
      </c>
      <c r="L744" s="7"/>
    </row>
    <row r="745" spans="1:12" ht="25.5" outlineLevel="1" x14ac:dyDescent="0.25">
      <c r="A745" s="22">
        <f t="shared" si="27"/>
        <v>3.030800000000065</v>
      </c>
      <c r="B745" s="27"/>
      <c r="C745" s="24" t="s">
        <v>398</v>
      </c>
      <c r="D745" s="7"/>
      <c r="E745" s="7"/>
      <c r="F745" s="8" t="s">
        <v>8</v>
      </c>
      <c r="G745" s="8">
        <f t="shared" si="26"/>
        <v>0</v>
      </c>
      <c r="H745" s="8">
        <f t="shared" si="26"/>
        <v>0</v>
      </c>
      <c r="I745" s="8">
        <f t="shared" si="26"/>
        <v>0</v>
      </c>
      <c r="J745" s="8">
        <f t="shared" si="26"/>
        <v>0</v>
      </c>
      <c r="K745" s="8">
        <f t="shared" si="26"/>
        <v>1</v>
      </c>
      <c r="L745" s="7"/>
    </row>
    <row r="746" spans="1:12" ht="25.5" outlineLevel="1" x14ac:dyDescent="0.25">
      <c r="A746" s="22">
        <f t="shared" si="27"/>
        <v>3.0309000000000652</v>
      </c>
      <c r="B746" s="26" t="s">
        <v>399</v>
      </c>
      <c r="C746" s="24" t="s">
        <v>382</v>
      </c>
      <c r="D746" s="7"/>
      <c r="E746" s="7"/>
      <c r="F746" s="8" t="s">
        <v>8</v>
      </c>
      <c r="G746" s="8">
        <f t="shared" si="26"/>
        <v>0</v>
      </c>
      <c r="H746" s="8">
        <f t="shared" si="26"/>
        <v>0</v>
      </c>
      <c r="I746" s="8">
        <f t="shared" si="26"/>
        <v>0</v>
      </c>
      <c r="J746" s="8">
        <f t="shared" si="26"/>
        <v>0</v>
      </c>
      <c r="K746" s="8">
        <f t="shared" si="26"/>
        <v>1</v>
      </c>
      <c r="L746" s="7"/>
    </row>
    <row r="747" spans="1:12" ht="25.5" outlineLevel="1" x14ac:dyDescent="0.25">
      <c r="A747" s="22">
        <f t="shared" si="27"/>
        <v>3.0310000000000654</v>
      </c>
      <c r="B747" s="27"/>
      <c r="C747" s="24" t="s">
        <v>383</v>
      </c>
      <c r="D747" s="7"/>
      <c r="E747" s="7"/>
      <c r="F747" s="8" t="s">
        <v>8</v>
      </c>
      <c r="G747" s="8">
        <f t="shared" si="26"/>
        <v>0</v>
      </c>
      <c r="H747" s="8">
        <f t="shared" si="26"/>
        <v>0</v>
      </c>
      <c r="I747" s="8">
        <f t="shared" si="26"/>
        <v>0</v>
      </c>
      <c r="J747" s="8">
        <f t="shared" si="26"/>
        <v>0</v>
      </c>
      <c r="K747" s="8">
        <f t="shared" si="26"/>
        <v>1</v>
      </c>
      <c r="L747" s="7"/>
    </row>
    <row r="748" spans="1:12" ht="25.5" outlineLevel="1" x14ac:dyDescent="0.25">
      <c r="A748" s="22">
        <f t="shared" si="27"/>
        <v>3.0311000000000656</v>
      </c>
      <c r="B748" s="27"/>
      <c r="C748" s="24" t="s">
        <v>391</v>
      </c>
      <c r="D748" s="7"/>
      <c r="E748" s="7"/>
      <c r="F748" s="8" t="s">
        <v>8</v>
      </c>
      <c r="G748" s="8">
        <f t="shared" si="26"/>
        <v>0</v>
      </c>
      <c r="H748" s="8">
        <f t="shared" si="26"/>
        <v>0</v>
      </c>
      <c r="I748" s="8">
        <f t="shared" si="26"/>
        <v>0</v>
      </c>
      <c r="J748" s="8">
        <f t="shared" si="26"/>
        <v>0</v>
      </c>
      <c r="K748" s="8">
        <f t="shared" si="26"/>
        <v>1</v>
      </c>
      <c r="L748" s="7"/>
    </row>
    <row r="749" spans="1:12" outlineLevel="1" x14ac:dyDescent="0.25">
      <c r="A749" s="22">
        <f t="shared" si="27"/>
        <v>3.0312000000000658</v>
      </c>
      <c r="B749" s="27"/>
      <c r="C749" s="24" t="s">
        <v>392</v>
      </c>
      <c r="D749" s="7"/>
      <c r="E749" s="7"/>
      <c r="F749" s="8" t="s">
        <v>8</v>
      </c>
      <c r="G749" s="8">
        <f t="shared" si="26"/>
        <v>0</v>
      </c>
      <c r="H749" s="8">
        <f t="shared" si="26"/>
        <v>0</v>
      </c>
      <c r="I749" s="8">
        <f t="shared" si="26"/>
        <v>0</v>
      </c>
      <c r="J749" s="8">
        <f t="shared" si="26"/>
        <v>0</v>
      </c>
      <c r="K749" s="8">
        <f t="shared" si="26"/>
        <v>1</v>
      </c>
      <c r="L749" s="7"/>
    </row>
    <row r="750" spans="1:12" ht="25.5" outlineLevel="1" x14ac:dyDescent="0.25">
      <c r="A750" s="22">
        <f t="shared" si="27"/>
        <v>3.0313000000000661</v>
      </c>
      <c r="B750" s="26" t="s">
        <v>400</v>
      </c>
      <c r="C750" s="24" t="s">
        <v>31</v>
      </c>
      <c r="D750" s="7"/>
      <c r="E750" s="7"/>
      <c r="F750" s="8" t="s">
        <v>8</v>
      </c>
      <c r="G750" s="8">
        <f t="shared" si="26"/>
        <v>0</v>
      </c>
      <c r="H750" s="8">
        <f t="shared" si="26"/>
        <v>0</v>
      </c>
      <c r="I750" s="8">
        <f t="shared" si="26"/>
        <v>0</v>
      </c>
      <c r="J750" s="8">
        <f t="shared" si="26"/>
        <v>0</v>
      </c>
      <c r="K750" s="8">
        <f t="shared" si="26"/>
        <v>1</v>
      </c>
      <c r="L750" s="7"/>
    </row>
    <row r="751" spans="1:12" outlineLevel="1" x14ac:dyDescent="0.25">
      <c r="A751" s="22">
        <f t="shared" si="27"/>
        <v>3.0314000000000663</v>
      </c>
      <c r="B751" s="27"/>
      <c r="C751" s="24" t="s">
        <v>401</v>
      </c>
      <c r="D751" s="7"/>
      <c r="E751" s="7"/>
      <c r="F751" s="8" t="s">
        <v>8</v>
      </c>
      <c r="G751" s="8">
        <f t="shared" si="26"/>
        <v>0</v>
      </c>
      <c r="H751" s="8">
        <f t="shared" si="26"/>
        <v>0</v>
      </c>
      <c r="I751" s="8">
        <f t="shared" si="26"/>
        <v>0</v>
      </c>
      <c r="J751" s="8">
        <f t="shared" si="26"/>
        <v>0</v>
      </c>
      <c r="K751" s="8">
        <f t="shared" si="26"/>
        <v>1</v>
      </c>
      <c r="L751" s="7"/>
    </row>
    <row r="752" spans="1:12" ht="25.5" outlineLevel="1" x14ac:dyDescent="0.25">
      <c r="A752" s="22">
        <f t="shared" si="27"/>
        <v>3.0315000000000665</v>
      </c>
      <c r="B752" s="26" t="s">
        <v>402</v>
      </c>
      <c r="C752" s="24" t="s">
        <v>396</v>
      </c>
      <c r="D752" s="7"/>
      <c r="E752" s="7"/>
      <c r="F752" s="8" t="s">
        <v>8</v>
      </c>
      <c r="G752" s="8">
        <f t="shared" si="26"/>
        <v>0</v>
      </c>
      <c r="H752" s="8">
        <f t="shared" si="26"/>
        <v>0</v>
      </c>
      <c r="I752" s="8">
        <f t="shared" si="26"/>
        <v>0</v>
      </c>
      <c r="J752" s="8">
        <f t="shared" si="26"/>
        <v>0</v>
      </c>
      <c r="K752" s="8">
        <f t="shared" si="26"/>
        <v>1</v>
      </c>
      <c r="L752" s="7"/>
    </row>
    <row r="753" spans="1:12" outlineLevel="1" x14ac:dyDescent="0.25">
      <c r="A753" s="22">
        <f t="shared" si="27"/>
        <v>3.0316000000000667</v>
      </c>
      <c r="B753" s="27"/>
      <c r="C753" s="24" t="s">
        <v>397</v>
      </c>
      <c r="D753" s="7"/>
      <c r="E753" s="7"/>
      <c r="F753" s="8" t="s">
        <v>8</v>
      </c>
      <c r="G753" s="8">
        <f t="shared" si="26"/>
        <v>0</v>
      </c>
      <c r="H753" s="8">
        <f t="shared" si="26"/>
        <v>0</v>
      </c>
      <c r="I753" s="8">
        <f t="shared" si="26"/>
        <v>0</v>
      </c>
      <c r="J753" s="8">
        <f t="shared" si="26"/>
        <v>0</v>
      </c>
      <c r="K753" s="8">
        <f t="shared" si="26"/>
        <v>1</v>
      </c>
      <c r="L753" s="7"/>
    </row>
    <row r="754" spans="1:12" ht="25.5" outlineLevel="1" x14ac:dyDescent="0.25">
      <c r="A754" s="22">
        <f t="shared" si="27"/>
        <v>3.0317000000000669</v>
      </c>
      <c r="B754" s="29"/>
      <c r="C754" s="24" t="s">
        <v>398</v>
      </c>
      <c r="D754" s="7"/>
      <c r="E754" s="7"/>
      <c r="F754" s="8" t="s">
        <v>8</v>
      </c>
      <c r="G754" s="8">
        <f t="shared" si="26"/>
        <v>0</v>
      </c>
      <c r="H754" s="8">
        <f t="shared" si="26"/>
        <v>0</v>
      </c>
      <c r="I754" s="8">
        <f t="shared" si="26"/>
        <v>0</v>
      </c>
      <c r="J754" s="8">
        <f t="shared" si="26"/>
        <v>0</v>
      </c>
      <c r="K754" s="8">
        <f t="shared" si="26"/>
        <v>1</v>
      </c>
      <c r="L754" s="7"/>
    </row>
    <row r="755" spans="1:12" ht="25.5" outlineLevel="1" x14ac:dyDescent="0.25">
      <c r="A755" s="22">
        <f t="shared" si="27"/>
        <v>3.0318000000000671</v>
      </c>
      <c r="B755" s="28" t="s">
        <v>403</v>
      </c>
      <c r="C755" s="6" t="s">
        <v>404</v>
      </c>
      <c r="D755" s="7"/>
      <c r="E755" s="7"/>
      <c r="F755" s="8" t="s">
        <v>8</v>
      </c>
      <c r="G755" s="8">
        <f t="shared" si="26"/>
        <v>0</v>
      </c>
      <c r="H755" s="8">
        <f t="shared" si="26"/>
        <v>0</v>
      </c>
      <c r="I755" s="8">
        <f t="shared" si="26"/>
        <v>0</v>
      </c>
      <c r="J755" s="8">
        <f t="shared" si="26"/>
        <v>0</v>
      </c>
      <c r="K755" s="8">
        <f t="shared" si="26"/>
        <v>1</v>
      </c>
      <c r="L755" s="7"/>
    </row>
    <row r="756" spans="1:12" outlineLevel="1" x14ac:dyDescent="0.25">
      <c r="A756" s="22">
        <f t="shared" si="27"/>
        <v>3.0319000000000673</v>
      </c>
      <c r="B756" s="26" t="s">
        <v>405</v>
      </c>
      <c r="C756" s="24" t="s">
        <v>249</v>
      </c>
      <c r="D756" s="7"/>
      <c r="E756" s="7"/>
      <c r="F756" s="8" t="s">
        <v>8</v>
      </c>
      <c r="G756" s="8">
        <f t="shared" si="26"/>
        <v>0</v>
      </c>
      <c r="H756" s="8">
        <f t="shared" si="26"/>
        <v>0</v>
      </c>
      <c r="I756" s="8">
        <f t="shared" si="26"/>
        <v>0</v>
      </c>
      <c r="J756" s="8">
        <f t="shared" si="26"/>
        <v>0</v>
      </c>
      <c r="K756" s="8">
        <f t="shared" si="26"/>
        <v>1</v>
      </c>
      <c r="L756" s="7"/>
    </row>
    <row r="757" spans="1:12" outlineLevel="1" x14ac:dyDescent="0.25">
      <c r="A757" s="22">
        <f t="shared" si="27"/>
        <v>3.0320000000000675</v>
      </c>
      <c r="B757" s="27"/>
      <c r="C757" s="24" t="s">
        <v>406</v>
      </c>
      <c r="D757" s="7"/>
      <c r="E757" s="7"/>
      <c r="F757" s="8" t="s">
        <v>8</v>
      </c>
      <c r="G757" s="8">
        <f t="shared" si="26"/>
        <v>0</v>
      </c>
      <c r="H757" s="8">
        <f t="shared" si="26"/>
        <v>0</v>
      </c>
      <c r="I757" s="8">
        <f t="shared" si="26"/>
        <v>0</v>
      </c>
      <c r="J757" s="8">
        <f t="shared" si="26"/>
        <v>0</v>
      </c>
      <c r="K757" s="8">
        <f t="shared" si="26"/>
        <v>1</v>
      </c>
      <c r="L757" s="7"/>
    </row>
    <row r="758" spans="1:12" outlineLevel="1" x14ac:dyDescent="0.25">
      <c r="A758" s="22">
        <f t="shared" si="27"/>
        <v>3.0321000000000677</v>
      </c>
      <c r="B758" s="27"/>
      <c r="C758" s="24" t="s">
        <v>407</v>
      </c>
      <c r="D758" s="7"/>
      <c r="E758" s="7"/>
      <c r="F758" s="8" t="s">
        <v>8</v>
      </c>
      <c r="G758" s="8">
        <f t="shared" si="26"/>
        <v>0</v>
      </c>
      <c r="H758" s="8">
        <f t="shared" si="26"/>
        <v>0</v>
      </c>
      <c r="I758" s="8">
        <f t="shared" si="26"/>
        <v>0</v>
      </c>
      <c r="J758" s="8">
        <f t="shared" si="26"/>
        <v>0</v>
      </c>
      <c r="K758" s="8">
        <f t="shared" si="26"/>
        <v>1</v>
      </c>
      <c r="L758" s="7"/>
    </row>
    <row r="759" spans="1:12" outlineLevel="1" x14ac:dyDescent="0.25">
      <c r="A759" s="22">
        <f t="shared" si="27"/>
        <v>3.032200000000068</v>
      </c>
      <c r="B759" s="27"/>
      <c r="C759" s="24" t="s">
        <v>392</v>
      </c>
      <c r="D759" s="7"/>
      <c r="E759" s="7"/>
      <c r="F759" s="8" t="s">
        <v>8</v>
      </c>
      <c r="G759" s="8">
        <f t="shared" si="26"/>
        <v>0</v>
      </c>
      <c r="H759" s="8">
        <f t="shared" si="26"/>
        <v>0</v>
      </c>
      <c r="I759" s="8">
        <f t="shared" si="26"/>
        <v>0</v>
      </c>
      <c r="J759" s="8">
        <f t="shared" si="26"/>
        <v>0</v>
      </c>
      <c r="K759" s="8">
        <f t="shared" si="26"/>
        <v>1</v>
      </c>
      <c r="L759" s="7"/>
    </row>
    <row r="760" spans="1:12" outlineLevel="1" x14ac:dyDescent="0.25">
      <c r="A760" s="22">
        <f t="shared" si="27"/>
        <v>3.0323000000000682</v>
      </c>
      <c r="B760" s="27"/>
      <c r="C760" s="24" t="s">
        <v>408</v>
      </c>
      <c r="D760" s="7"/>
      <c r="E760" s="7"/>
      <c r="F760" s="8" t="s">
        <v>8</v>
      </c>
      <c r="G760" s="8">
        <f t="shared" ref="G760:K807" si="28">IF($F760=G$1,1,0)</f>
        <v>0</v>
      </c>
      <c r="H760" s="8">
        <f t="shared" si="28"/>
        <v>0</v>
      </c>
      <c r="I760" s="8">
        <f t="shared" si="28"/>
        <v>0</v>
      </c>
      <c r="J760" s="8">
        <f t="shared" si="28"/>
        <v>0</v>
      </c>
      <c r="K760" s="8">
        <f t="shared" si="28"/>
        <v>1</v>
      </c>
      <c r="L760" s="7"/>
    </row>
    <row r="761" spans="1:12" outlineLevel="1" x14ac:dyDescent="0.25">
      <c r="A761" s="22">
        <f t="shared" si="27"/>
        <v>3.0324000000000684</v>
      </c>
      <c r="B761" s="26" t="s">
        <v>409</v>
      </c>
      <c r="C761" s="24" t="s">
        <v>249</v>
      </c>
      <c r="D761" s="7"/>
      <c r="E761" s="7"/>
      <c r="F761" s="8" t="s">
        <v>8</v>
      </c>
      <c r="G761" s="8">
        <f t="shared" si="28"/>
        <v>0</v>
      </c>
      <c r="H761" s="8">
        <f t="shared" si="28"/>
        <v>0</v>
      </c>
      <c r="I761" s="8">
        <f t="shared" si="28"/>
        <v>0</v>
      </c>
      <c r="J761" s="8">
        <f t="shared" si="28"/>
        <v>0</v>
      </c>
      <c r="K761" s="8">
        <f t="shared" si="28"/>
        <v>1</v>
      </c>
      <c r="L761" s="7"/>
    </row>
    <row r="762" spans="1:12" outlineLevel="1" x14ac:dyDescent="0.25">
      <c r="A762" s="22">
        <f t="shared" si="27"/>
        <v>3.0325000000000686</v>
      </c>
      <c r="B762" s="27"/>
      <c r="C762" s="24" t="s">
        <v>410</v>
      </c>
      <c r="D762" s="7"/>
      <c r="E762" s="7"/>
      <c r="F762" s="8" t="s">
        <v>8</v>
      </c>
      <c r="G762" s="8">
        <f t="shared" si="28"/>
        <v>0</v>
      </c>
      <c r="H762" s="8">
        <f t="shared" si="28"/>
        <v>0</v>
      </c>
      <c r="I762" s="8">
        <f t="shared" si="28"/>
        <v>0</v>
      </c>
      <c r="J762" s="8">
        <f t="shared" si="28"/>
        <v>0</v>
      </c>
      <c r="K762" s="8">
        <f t="shared" si="28"/>
        <v>1</v>
      </c>
      <c r="L762" s="7"/>
    </row>
    <row r="763" spans="1:12" outlineLevel="1" x14ac:dyDescent="0.25">
      <c r="A763" s="22">
        <f t="shared" si="27"/>
        <v>3.0326000000000688</v>
      </c>
      <c r="B763" s="27"/>
      <c r="C763" s="24" t="s">
        <v>411</v>
      </c>
      <c r="D763" s="7"/>
      <c r="E763" s="7"/>
      <c r="F763" s="8" t="s">
        <v>8</v>
      </c>
      <c r="G763" s="8">
        <f t="shared" si="28"/>
        <v>0</v>
      </c>
      <c r="H763" s="8">
        <f t="shared" si="28"/>
        <v>0</v>
      </c>
      <c r="I763" s="8">
        <f t="shared" si="28"/>
        <v>0</v>
      </c>
      <c r="J763" s="8">
        <f t="shared" si="28"/>
        <v>0</v>
      </c>
      <c r="K763" s="8">
        <f t="shared" si="28"/>
        <v>1</v>
      </c>
      <c r="L763" s="7"/>
    </row>
    <row r="764" spans="1:12" outlineLevel="1" x14ac:dyDescent="0.25">
      <c r="A764" s="22">
        <f t="shared" si="27"/>
        <v>3.032700000000069</v>
      </c>
      <c r="B764" s="27"/>
      <c r="C764" s="24" t="s">
        <v>408</v>
      </c>
      <c r="D764" s="7"/>
      <c r="E764" s="7"/>
      <c r="F764" s="8" t="s">
        <v>8</v>
      </c>
      <c r="G764" s="8">
        <f t="shared" si="28"/>
        <v>0</v>
      </c>
      <c r="H764" s="8">
        <f t="shared" si="28"/>
        <v>0</v>
      </c>
      <c r="I764" s="8">
        <f t="shared" si="28"/>
        <v>0</v>
      </c>
      <c r="J764" s="8">
        <f t="shared" si="28"/>
        <v>0</v>
      </c>
      <c r="K764" s="8">
        <f t="shared" si="28"/>
        <v>1</v>
      </c>
      <c r="L764" s="7"/>
    </row>
    <row r="765" spans="1:12" ht="25.5" outlineLevel="1" x14ac:dyDescent="0.25">
      <c r="A765" s="22">
        <f t="shared" si="27"/>
        <v>3.0328000000000692</v>
      </c>
      <c r="B765" s="26" t="s">
        <v>412</v>
      </c>
      <c r="C765" s="24" t="s">
        <v>413</v>
      </c>
      <c r="D765" s="7"/>
      <c r="E765" s="7"/>
      <c r="F765" s="8" t="s">
        <v>8</v>
      </c>
      <c r="G765" s="8">
        <f t="shared" si="28"/>
        <v>0</v>
      </c>
      <c r="H765" s="8">
        <f t="shared" si="28"/>
        <v>0</v>
      </c>
      <c r="I765" s="8">
        <f t="shared" si="28"/>
        <v>0</v>
      </c>
      <c r="J765" s="8">
        <f t="shared" si="28"/>
        <v>0</v>
      </c>
      <c r="K765" s="8">
        <f t="shared" si="28"/>
        <v>1</v>
      </c>
      <c r="L765" s="7"/>
    </row>
    <row r="766" spans="1:12" outlineLevel="1" x14ac:dyDescent="0.25">
      <c r="A766" s="22">
        <f t="shared" si="27"/>
        <v>3.0329000000000694</v>
      </c>
      <c r="B766" s="29"/>
      <c r="C766" s="24" t="s">
        <v>414</v>
      </c>
      <c r="D766" s="7"/>
      <c r="E766" s="7"/>
      <c r="F766" s="8" t="s">
        <v>8</v>
      </c>
      <c r="G766" s="8">
        <f t="shared" si="28"/>
        <v>0</v>
      </c>
      <c r="H766" s="8">
        <f t="shared" si="28"/>
        <v>0</v>
      </c>
      <c r="I766" s="8">
        <f t="shared" si="28"/>
        <v>0</v>
      </c>
      <c r="J766" s="8">
        <f t="shared" si="28"/>
        <v>0</v>
      </c>
      <c r="K766" s="8">
        <f t="shared" si="28"/>
        <v>1</v>
      </c>
      <c r="L766" s="7"/>
    </row>
    <row r="767" spans="1:12" ht="25.5" outlineLevel="1" x14ac:dyDescent="0.25">
      <c r="A767" s="22">
        <f t="shared" si="27"/>
        <v>3.0330000000000696</v>
      </c>
      <c r="B767" s="28" t="s">
        <v>415</v>
      </c>
      <c r="C767" s="6" t="s">
        <v>416</v>
      </c>
      <c r="D767" s="7"/>
      <c r="E767" s="7"/>
      <c r="F767" s="8" t="s">
        <v>8</v>
      </c>
      <c r="G767" s="8">
        <f t="shared" si="28"/>
        <v>0</v>
      </c>
      <c r="H767" s="8">
        <f t="shared" si="28"/>
        <v>0</v>
      </c>
      <c r="I767" s="8">
        <f t="shared" si="28"/>
        <v>0</v>
      </c>
      <c r="J767" s="8">
        <f t="shared" si="28"/>
        <v>0</v>
      </c>
      <c r="K767" s="8">
        <f t="shared" si="28"/>
        <v>1</v>
      </c>
      <c r="L767" s="7"/>
    </row>
    <row r="768" spans="1:12" ht="25.5" outlineLevel="1" x14ac:dyDescent="0.25">
      <c r="A768" s="22">
        <f t="shared" si="27"/>
        <v>3.0331000000000699</v>
      </c>
      <c r="B768" s="26" t="s">
        <v>417</v>
      </c>
      <c r="C768" s="24" t="s">
        <v>418</v>
      </c>
      <c r="D768" s="7"/>
      <c r="E768" s="7"/>
      <c r="F768" s="8" t="s">
        <v>8</v>
      </c>
      <c r="G768" s="8">
        <f t="shared" si="28"/>
        <v>0</v>
      </c>
      <c r="H768" s="8">
        <f t="shared" si="28"/>
        <v>0</v>
      </c>
      <c r="I768" s="8">
        <f t="shared" si="28"/>
        <v>0</v>
      </c>
      <c r="J768" s="8">
        <f t="shared" si="28"/>
        <v>0</v>
      </c>
      <c r="K768" s="8">
        <f t="shared" si="28"/>
        <v>1</v>
      </c>
      <c r="L768" s="7"/>
    </row>
    <row r="769" spans="1:12" outlineLevel="1" x14ac:dyDescent="0.25">
      <c r="A769" s="22">
        <f t="shared" si="27"/>
        <v>3.0332000000000701</v>
      </c>
      <c r="B769" s="27"/>
      <c r="C769" s="24" t="s">
        <v>419</v>
      </c>
      <c r="D769" s="7"/>
      <c r="E769" s="7"/>
      <c r="F769" s="8" t="s">
        <v>8</v>
      </c>
      <c r="G769" s="8">
        <f t="shared" si="28"/>
        <v>0</v>
      </c>
      <c r="H769" s="8">
        <f t="shared" si="28"/>
        <v>0</v>
      </c>
      <c r="I769" s="8">
        <f t="shared" si="28"/>
        <v>0</v>
      </c>
      <c r="J769" s="8">
        <f t="shared" si="28"/>
        <v>0</v>
      </c>
      <c r="K769" s="8">
        <f t="shared" si="28"/>
        <v>1</v>
      </c>
      <c r="L769" s="7"/>
    </row>
    <row r="770" spans="1:12" outlineLevel="1" x14ac:dyDescent="0.25">
      <c r="A770" s="22">
        <f t="shared" si="27"/>
        <v>3.0333000000000703</v>
      </c>
      <c r="B770" s="27"/>
      <c r="C770" s="24" t="s">
        <v>420</v>
      </c>
      <c r="D770" s="7"/>
      <c r="E770" s="7"/>
      <c r="F770" s="8" t="s">
        <v>8</v>
      </c>
      <c r="G770" s="8">
        <f t="shared" si="28"/>
        <v>0</v>
      </c>
      <c r="H770" s="8">
        <f t="shared" si="28"/>
        <v>0</v>
      </c>
      <c r="I770" s="8">
        <f t="shared" si="28"/>
        <v>0</v>
      </c>
      <c r="J770" s="8">
        <f t="shared" si="28"/>
        <v>0</v>
      </c>
      <c r="K770" s="8">
        <f t="shared" si="28"/>
        <v>1</v>
      </c>
      <c r="L770" s="7"/>
    </row>
    <row r="771" spans="1:12" outlineLevel="1" x14ac:dyDescent="0.25">
      <c r="A771" s="22">
        <f t="shared" si="27"/>
        <v>3.0334000000000705</v>
      </c>
      <c r="B771" s="27"/>
      <c r="C771" s="24" t="s">
        <v>421</v>
      </c>
      <c r="D771" s="7"/>
      <c r="E771" s="7"/>
      <c r="F771" s="8" t="s">
        <v>8</v>
      </c>
      <c r="G771" s="8">
        <f t="shared" si="28"/>
        <v>0</v>
      </c>
      <c r="H771" s="8">
        <f t="shared" si="28"/>
        <v>0</v>
      </c>
      <c r="I771" s="8">
        <f t="shared" si="28"/>
        <v>0</v>
      </c>
      <c r="J771" s="8">
        <f t="shared" si="28"/>
        <v>0</v>
      </c>
      <c r="K771" s="8">
        <f t="shared" si="28"/>
        <v>1</v>
      </c>
      <c r="L771" s="7"/>
    </row>
    <row r="772" spans="1:12" outlineLevel="1" x14ac:dyDescent="0.25">
      <c r="A772" s="22">
        <f t="shared" si="27"/>
        <v>3.0335000000000707</v>
      </c>
      <c r="B772" s="27"/>
      <c r="C772" s="24" t="s">
        <v>422</v>
      </c>
      <c r="D772" s="7"/>
      <c r="E772" s="7"/>
      <c r="F772" s="8" t="s">
        <v>8</v>
      </c>
      <c r="G772" s="8">
        <f t="shared" si="28"/>
        <v>0</v>
      </c>
      <c r="H772" s="8">
        <f t="shared" si="28"/>
        <v>0</v>
      </c>
      <c r="I772" s="8">
        <f t="shared" si="28"/>
        <v>0</v>
      </c>
      <c r="J772" s="8">
        <f t="shared" si="28"/>
        <v>0</v>
      </c>
      <c r="K772" s="8">
        <f t="shared" si="28"/>
        <v>1</v>
      </c>
      <c r="L772" s="7"/>
    </row>
    <row r="773" spans="1:12" outlineLevel="1" x14ac:dyDescent="0.25">
      <c r="A773" s="22">
        <f t="shared" si="27"/>
        <v>3.0336000000000709</v>
      </c>
      <c r="B773" s="27"/>
      <c r="C773" s="24" t="s">
        <v>423</v>
      </c>
      <c r="D773" s="7"/>
      <c r="E773" s="7"/>
      <c r="F773" s="8" t="s">
        <v>8</v>
      </c>
      <c r="G773" s="8">
        <f t="shared" si="28"/>
        <v>0</v>
      </c>
      <c r="H773" s="8">
        <f t="shared" si="28"/>
        <v>0</v>
      </c>
      <c r="I773" s="8">
        <f t="shared" si="28"/>
        <v>0</v>
      </c>
      <c r="J773" s="8">
        <f t="shared" si="28"/>
        <v>0</v>
      </c>
      <c r="K773" s="8">
        <f t="shared" si="28"/>
        <v>1</v>
      </c>
      <c r="L773" s="7"/>
    </row>
    <row r="774" spans="1:12" outlineLevel="1" x14ac:dyDescent="0.25">
      <c r="A774" s="22">
        <f t="shared" si="27"/>
        <v>3.0337000000000711</v>
      </c>
      <c r="B774" s="27"/>
      <c r="C774" s="24" t="s">
        <v>424</v>
      </c>
      <c r="D774" s="7"/>
      <c r="E774" s="7"/>
      <c r="F774" s="8" t="s">
        <v>8</v>
      </c>
      <c r="G774" s="8">
        <f t="shared" si="28"/>
        <v>0</v>
      </c>
      <c r="H774" s="8">
        <f t="shared" si="28"/>
        <v>0</v>
      </c>
      <c r="I774" s="8">
        <f t="shared" si="28"/>
        <v>0</v>
      </c>
      <c r="J774" s="8">
        <f t="shared" si="28"/>
        <v>0</v>
      </c>
      <c r="K774" s="8">
        <f t="shared" si="28"/>
        <v>1</v>
      </c>
      <c r="L774" s="7"/>
    </row>
    <row r="775" spans="1:12" outlineLevel="1" x14ac:dyDescent="0.25">
      <c r="A775" s="22">
        <f t="shared" si="27"/>
        <v>3.0338000000000713</v>
      </c>
      <c r="B775" s="26" t="s">
        <v>375</v>
      </c>
      <c r="C775" s="24" t="s">
        <v>425</v>
      </c>
      <c r="D775" s="7"/>
      <c r="E775" s="7"/>
      <c r="F775" s="8" t="s">
        <v>8</v>
      </c>
      <c r="G775" s="8">
        <f t="shared" si="28"/>
        <v>0</v>
      </c>
      <c r="H775" s="8">
        <f t="shared" si="28"/>
        <v>0</v>
      </c>
      <c r="I775" s="8">
        <f t="shared" si="28"/>
        <v>0</v>
      </c>
      <c r="J775" s="8">
        <f t="shared" si="28"/>
        <v>0</v>
      </c>
      <c r="K775" s="8">
        <f t="shared" si="28"/>
        <v>1</v>
      </c>
      <c r="L775" s="7"/>
    </row>
    <row r="776" spans="1:12" outlineLevel="1" x14ac:dyDescent="0.25">
      <c r="A776" s="22">
        <f t="shared" si="27"/>
        <v>3.0339000000000715</v>
      </c>
      <c r="B776" s="27"/>
      <c r="C776" s="24" t="s">
        <v>426</v>
      </c>
      <c r="D776" s="7"/>
      <c r="E776" s="7"/>
      <c r="F776" s="8" t="s">
        <v>8</v>
      </c>
      <c r="G776" s="8">
        <f t="shared" si="28"/>
        <v>0</v>
      </c>
      <c r="H776" s="8">
        <f t="shared" si="28"/>
        <v>0</v>
      </c>
      <c r="I776" s="8">
        <f t="shared" si="28"/>
        <v>0</v>
      </c>
      <c r="J776" s="8">
        <f t="shared" si="28"/>
        <v>0</v>
      </c>
      <c r="K776" s="8">
        <f t="shared" si="28"/>
        <v>1</v>
      </c>
      <c r="L776" s="7"/>
    </row>
    <row r="777" spans="1:12" outlineLevel="1" x14ac:dyDescent="0.25">
      <c r="A777" s="22">
        <f t="shared" si="27"/>
        <v>3.0340000000000718</v>
      </c>
      <c r="B777" s="26" t="s">
        <v>427</v>
      </c>
      <c r="C777" s="24" t="s">
        <v>428</v>
      </c>
      <c r="D777" s="7"/>
      <c r="E777" s="7"/>
      <c r="F777" s="8" t="s">
        <v>8</v>
      </c>
      <c r="G777" s="8">
        <f t="shared" si="28"/>
        <v>0</v>
      </c>
      <c r="H777" s="8">
        <f t="shared" si="28"/>
        <v>0</v>
      </c>
      <c r="I777" s="8">
        <f t="shared" si="28"/>
        <v>0</v>
      </c>
      <c r="J777" s="8">
        <f t="shared" si="28"/>
        <v>0</v>
      </c>
      <c r="K777" s="8">
        <f t="shared" si="28"/>
        <v>1</v>
      </c>
      <c r="L777" s="7"/>
    </row>
    <row r="778" spans="1:12" outlineLevel="1" x14ac:dyDescent="0.25">
      <c r="A778" s="22">
        <f t="shared" si="27"/>
        <v>3.034100000000072</v>
      </c>
      <c r="B778" s="27"/>
      <c r="C778" s="24" t="s">
        <v>429</v>
      </c>
      <c r="D778" s="7"/>
      <c r="E778" s="7"/>
      <c r="F778" s="8" t="s">
        <v>8</v>
      </c>
      <c r="G778" s="8">
        <f t="shared" si="28"/>
        <v>0</v>
      </c>
      <c r="H778" s="8">
        <f t="shared" si="28"/>
        <v>0</v>
      </c>
      <c r="I778" s="8">
        <f t="shared" si="28"/>
        <v>0</v>
      </c>
      <c r="J778" s="8">
        <f t="shared" si="28"/>
        <v>0</v>
      </c>
      <c r="K778" s="8">
        <f t="shared" si="28"/>
        <v>1</v>
      </c>
      <c r="L778" s="7"/>
    </row>
    <row r="779" spans="1:12" outlineLevel="1" x14ac:dyDescent="0.25">
      <c r="A779" s="22">
        <f t="shared" si="27"/>
        <v>3.0342000000000722</v>
      </c>
      <c r="B779" s="27"/>
      <c r="C779" s="24" t="s">
        <v>430</v>
      </c>
      <c r="D779" s="7"/>
      <c r="E779" s="7"/>
      <c r="F779" s="8" t="s">
        <v>8</v>
      </c>
      <c r="G779" s="8">
        <f t="shared" si="28"/>
        <v>0</v>
      </c>
      <c r="H779" s="8">
        <f t="shared" si="28"/>
        <v>0</v>
      </c>
      <c r="I779" s="8">
        <f t="shared" si="28"/>
        <v>0</v>
      </c>
      <c r="J779" s="8">
        <f t="shared" si="28"/>
        <v>0</v>
      </c>
      <c r="K779" s="8">
        <f t="shared" si="28"/>
        <v>1</v>
      </c>
      <c r="L779" s="7"/>
    </row>
    <row r="780" spans="1:12" outlineLevel="1" x14ac:dyDescent="0.25">
      <c r="A780" s="22">
        <f t="shared" si="27"/>
        <v>3.0343000000000724</v>
      </c>
      <c r="B780" s="27"/>
      <c r="C780" s="24" t="s">
        <v>431</v>
      </c>
      <c r="D780" s="7"/>
      <c r="E780" s="7"/>
      <c r="F780" s="8" t="s">
        <v>8</v>
      </c>
      <c r="G780" s="8">
        <f t="shared" si="28"/>
        <v>0</v>
      </c>
      <c r="H780" s="8">
        <f t="shared" si="28"/>
        <v>0</v>
      </c>
      <c r="I780" s="8">
        <f t="shared" si="28"/>
        <v>0</v>
      </c>
      <c r="J780" s="8">
        <f t="shared" si="28"/>
        <v>0</v>
      </c>
      <c r="K780" s="8">
        <f t="shared" si="28"/>
        <v>1</v>
      </c>
      <c r="L780" s="7"/>
    </row>
    <row r="781" spans="1:12" outlineLevel="1" x14ac:dyDescent="0.25">
      <c r="A781" s="22">
        <f t="shared" si="27"/>
        <v>3.0344000000000726</v>
      </c>
      <c r="B781" s="26" t="s">
        <v>432</v>
      </c>
      <c r="C781" s="24" t="s">
        <v>425</v>
      </c>
      <c r="D781" s="7"/>
      <c r="E781" s="7"/>
      <c r="F781" s="8" t="s">
        <v>8</v>
      </c>
      <c r="G781" s="8">
        <f t="shared" si="28"/>
        <v>0</v>
      </c>
      <c r="H781" s="8">
        <f t="shared" si="28"/>
        <v>0</v>
      </c>
      <c r="I781" s="8">
        <f t="shared" si="28"/>
        <v>0</v>
      </c>
      <c r="J781" s="8">
        <f t="shared" si="28"/>
        <v>0</v>
      </c>
      <c r="K781" s="8">
        <f t="shared" si="28"/>
        <v>1</v>
      </c>
      <c r="L781" s="7"/>
    </row>
    <row r="782" spans="1:12" outlineLevel="1" x14ac:dyDescent="0.25">
      <c r="A782" s="22">
        <f t="shared" si="27"/>
        <v>3.0345000000000728</v>
      </c>
      <c r="B782" s="27"/>
      <c r="C782" s="24" t="s">
        <v>433</v>
      </c>
      <c r="D782" s="7"/>
      <c r="E782" s="7"/>
      <c r="F782" s="8" t="s">
        <v>8</v>
      </c>
      <c r="G782" s="8">
        <f t="shared" si="28"/>
        <v>0</v>
      </c>
      <c r="H782" s="8">
        <f t="shared" si="28"/>
        <v>0</v>
      </c>
      <c r="I782" s="8">
        <f t="shared" si="28"/>
        <v>0</v>
      </c>
      <c r="J782" s="8">
        <f t="shared" si="28"/>
        <v>0</v>
      </c>
      <c r="K782" s="8">
        <f t="shared" si="28"/>
        <v>1</v>
      </c>
      <c r="L782" s="7"/>
    </row>
    <row r="783" spans="1:12" outlineLevel="1" x14ac:dyDescent="0.25">
      <c r="A783" s="22">
        <f t="shared" si="27"/>
        <v>3.034600000000073</v>
      </c>
      <c r="B783" s="26" t="s">
        <v>434</v>
      </c>
      <c r="C783" s="24" t="s">
        <v>425</v>
      </c>
      <c r="D783" s="7"/>
      <c r="E783" s="7"/>
      <c r="F783" s="8" t="s">
        <v>8</v>
      </c>
      <c r="G783" s="8">
        <f t="shared" si="28"/>
        <v>0</v>
      </c>
      <c r="H783" s="8">
        <f t="shared" si="28"/>
        <v>0</v>
      </c>
      <c r="I783" s="8">
        <f t="shared" si="28"/>
        <v>0</v>
      </c>
      <c r="J783" s="8">
        <f t="shared" si="28"/>
        <v>0</v>
      </c>
      <c r="K783" s="8">
        <f t="shared" si="28"/>
        <v>1</v>
      </c>
      <c r="L783" s="7"/>
    </row>
    <row r="784" spans="1:12" ht="25.5" outlineLevel="1" x14ac:dyDescent="0.25">
      <c r="A784" s="22">
        <f t="shared" si="27"/>
        <v>3.0347000000000732</v>
      </c>
      <c r="B784" s="27"/>
      <c r="C784" s="24" t="s">
        <v>435</v>
      </c>
      <c r="D784" s="7"/>
      <c r="E784" s="7"/>
      <c r="F784" s="8" t="s">
        <v>8</v>
      </c>
      <c r="G784" s="8">
        <f t="shared" si="28"/>
        <v>0</v>
      </c>
      <c r="H784" s="8">
        <f t="shared" si="28"/>
        <v>0</v>
      </c>
      <c r="I784" s="8">
        <f t="shared" si="28"/>
        <v>0</v>
      </c>
      <c r="J784" s="8">
        <f t="shared" si="28"/>
        <v>0</v>
      </c>
      <c r="K784" s="8">
        <f t="shared" si="28"/>
        <v>1</v>
      </c>
      <c r="L784" s="7"/>
    </row>
    <row r="785" spans="1:12" outlineLevel="1" x14ac:dyDescent="0.25">
      <c r="A785" s="22">
        <f t="shared" si="27"/>
        <v>3.0348000000000734</v>
      </c>
      <c r="B785" s="27"/>
      <c r="C785" s="24" t="s">
        <v>436</v>
      </c>
      <c r="D785" s="7"/>
      <c r="E785" s="7"/>
      <c r="F785" s="8" t="s">
        <v>8</v>
      </c>
      <c r="G785" s="8">
        <f t="shared" si="28"/>
        <v>0</v>
      </c>
      <c r="H785" s="8">
        <f t="shared" si="28"/>
        <v>0</v>
      </c>
      <c r="I785" s="8">
        <f t="shared" si="28"/>
        <v>0</v>
      </c>
      <c r="J785" s="8">
        <f t="shared" si="28"/>
        <v>0</v>
      </c>
      <c r="K785" s="8">
        <f t="shared" si="28"/>
        <v>1</v>
      </c>
      <c r="L785" s="7"/>
    </row>
    <row r="786" spans="1:12" outlineLevel="1" x14ac:dyDescent="0.25">
      <c r="A786" s="22">
        <f t="shared" si="27"/>
        <v>3.0349000000000736</v>
      </c>
      <c r="B786" s="26" t="s">
        <v>437</v>
      </c>
      <c r="C786" s="24" t="s">
        <v>425</v>
      </c>
      <c r="D786" s="7"/>
      <c r="E786" s="7"/>
      <c r="F786" s="8" t="s">
        <v>8</v>
      </c>
      <c r="G786" s="8">
        <f t="shared" si="28"/>
        <v>0</v>
      </c>
      <c r="H786" s="8">
        <f t="shared" si="28"/>
        <v>0</v>
      </c>
      <c r="I786" s="8">
        <f t="shared" si="28"/>
        <v>0</v>
      </c>
      <c r="J786" s="8">
        <f t="shared" si="28"/>
        <v>0</v>
      </c>
      <c r="K786" s="8">
        <f t="shared" si="28"/>
        <v>1</v>
      </c>
      <c r="L786" s="7"/>
    </row>
    <row r="787" spans="1:12" outlineLevel="1" x14ac:dyDescent="0.25">
      <c r="A787" s="22">
        <f t="shared" ref="A787:A837" si="29">A786+0.0001</f>
        <v>3.0350000000000739</v>
      </c>
      <c r="B787" s="27"/>
      <c r="C787" s="24" t="s">
        <v>438</v>
      </c>
      <c r="D787" s="7"/>
      <c r="E787" s="7"/>
      <c r="F787" s="8" t="s">
        <v>8</v>
      </c>
      <c r="G787" s="8">
        <f t="shared" si="28"/>
        <v>0</v>
      </c>
      <c r="H787" s="8">
        <f t="shared" si="28"/>
        <v>0</v>
      </c>
      <c r="I787" s="8">
        <f t="shared" si="28"/>
        <v>0</v>
      </c>
      <c r="J787" s="8">
        <f t="shared" si="28"/>
        <v>0</v>
      </c>
      <c r="K787" s="8">
        <f t="shared" si="28"/>
        <v>1</v>
      </c>
      <c r="L787" s="7"/>
    </row>
    <row r="788" spans="1:12" outlineLevel="1" x14ac:dyDescent="0.25">
      <c r="A788" s="22">
        <f t="shared" si="29"/>
        <v>3.0351000000000741</v>
      </c>
      <c r="B788" s="26" t="s">
        <v>439</v>
      </c>
      <c r="C788" s="24" t="s">
        <v>425</v>
      </c>
      <c r="D788" s="7"/>
      <c r="E788" s="7"/>
      <c r="F788" s="8" t="s">
        <v>8</v>
      </c>
      <c r="G788" s="8">
        <f t="shared" si="28"/>
        <v>0</v>
      </c>
      <c r="H788" s="8">
        <f t="shared" si="28"/>
        <v>0</v>
      </c>
      <c r="I788" s="8">
        <f t="shared" si="28"/>
        <v>0</v>
      </c>
      <c r="J788" s="8">
        <f t="shared" si="28"/>
        <v>0</v>
      </c>
      <c r="K788" s="8">
        <f t="shared" si="28"/>
        <v>1</v>
      </c>
      <c r="L788" s="7"/>
    </row>
    <row r="789" spans="1:12" outlineLevel="1" x14ac:dyDescent="0.25">
      <c r="A789" s="22">
        <f t="shared" si="29"/>
        <v>3.0352000000000743</v>
      </c>
      <c r="B789" s="27"/>
      <c r="C789" s="24" t="s">
        <v>438</v>
      </c>
      <c r="D789" s="7"/>
      <c r="E789" s="7"/>
      <c r="F789" s="8" t="s">
        <v>8</v>
      </c>
      <c r="G789" s="8">
        <f t="shared" si="28"/>
        <v>0</v>
      </c>
      <c r="H789" s="8">
        <f t="shared" si="28"/>
        <v>0</v>
      </c>
      <c r="I789" s="8">
        <f t="shared" si="28"/>
        <v>0</v>
      </c>
      <c r="J789" s="8">
        <f t="shared" si="28"/>
        <v>0</v>
      </c>
      <c r="K789" s="8">
        <f t="shared" si="28"/>
        <v>1</v>
      </c>
      <c r="L789" s="7"/>
    </row>
    <row r="790" spans="1:12" outlineLevel="1" x14ac:dyDescent="0.25">
      <c r="A790" s="22">
        <f t="shared" si="29"/>
        <v>3.0353000000000745</v>
      </c>
      <c r="B790" s="26" t="s">
        <v>381</v>
      </c>
      <c r="C790" s="24" t="s">
        <v>425</v>
      </c>
      <c r="D790" s="7"/>
      <c r="E790" s="7"/>
      <c r="F790" s="8" t="s">
        <v>8</v>
      </c>
      <c r="G790" s="8">
        <f t="shared" si="28"/>
        <v>0</v>
      </c>
      <c r="H790" s="8">
        <f t="shared" si="28"/>
        <v>0</v>
      </c>
      <c r="I790" s="8">
        <f t="shared" si="28"/>
        <v>0</v>
      </c>
      <c r="J790" s="8">
        <f t="shared" si="28"/>
        <v>0</v>
      </c>
      <c r="K790" s="8">
        <f t="shared" si="28"/>
        <v>1</v>
      </c>
      <c r="L790" s="7"/>
    </row>
    <row r="791" spans="1:12" outlineLevel="1" x14ac:dyDescent="0.25">
      <c r="A791" s="22">
        <f t="shared" si="29"/>
        <v>3.0354000000000747</v>
      </c>
      <c r="B791" s="27"/>
      <c r="C791" s="24" t="s">
        <v>438</v>
      </c>
      <c r="D791" s="7"/>
      <c r="E791" s="7"/>
      <c r="F791" s="8" t="s">
        <v>8</v>
      </c>
      <c r="G791" s="8">
        <f t="shared" si="28"/>
        <v>0</v>
      </c>
      <c r="H791" s="8">
        <f t="shared" si="28"/>
        <v>0</v>
      </c>
      <c r="I791" s="8">
        <f t="shared" si="28"/>
        <v>0</v>
      </c>
      <c r="J791" s="8">
        <f t="shared" si="28"/>
        <v>0</v>
      </c>
      <c r="K791" s="8">
        <f t="shared" si="28"/>
        <v>1</v>
      </c>
      <c r="L791" s="7"/>
    </row>
    <row r="792" spans="1:12" outlineLevel="1" x14ac:dyDescent="0.25">
      <c r="A792" s="22">
        <f t="shared" si="29"/>
        <v>3.0355000000000749</v>
      </c>
      <c r="B792" s="26" t="s">
        <v>440</v>
      </c>
      <c r="C792" s="24" t="s">
        <v>441</v>
      </c>
      <c r="D792" s="7"/>
      <c r="E792" s="7"/>
      <c r="F792" s="8" t="s">
        <v>8</v>
      </c>
      <c r="G792" s="8">
        <f t="shared" si="28"/>
        <v>0</v>
      </c>
      <c r="H792" s="8">
        <f t="shared" si="28"/>
        <v>0</v>
      </c>
      <c r="I792" s="8">
        <f t="shared" si="28"/>
        <v>0</v>
      </c>
      <c r="J792" s="8">
        <f t="shared" si="28"/>
        <v>0</v>
      </c>
      <c r="K792" s="8">
        <f t="shared" si="28"/>
        <v>1</v>
      </c>
      <c r="L792" s="7"/>
    </row>
    <row r="793" spans="1:12" ht="38.25" outlineLevel="1" x14ac:dyDescent="0.25">
      <c r="A793" s="22">
        <f t="shared" si="29"/>
        <v>3.0356000000000751</v>
      </c>
      <c r="B793" s="27"/>
      <c r="C793" s="24" t="s">
        <v>442</v>
      </c>
      <c r="D793" s="7"/>
      <c r="E793" s="7"/>
      <c r="F793" s="8" t="s">
        <v>8</v>
      </c>
      <c r="G793" s="8">
        <f t="shared" si="28"/>
        <v>0</v>
      </c>
      <c r="H793" s="8">
        <f t="shared" si="28"/>
        <v>0</v>
      </c>
      <c r="I793" s="8">
        <f t="shared" si="28"/>
        <v>0</v>
      </c>
      <c r="J793" s="8">
        <f t="shared" si="28"/>
        <v>0</v>
      </c>
      <c r="K793" s="8">
        <f t="shared" si="28"/>
        <v>1</v>
      </c>
      <c r="L793" s="7"/>
    </row>
    <row r="794" spans="1:12" outlineLevel="1" x14ac:dyDescent="0.25">
      <c r="A794" s="22">
        <f t="shared" si="29"/>
        <v>3.0357000000000753</v>
      </c>
      <c r="B794" s="26" t="s">
        <v>716</v>
      </c>
      <c r="C794" s="24" t="s">
        <v>444</v>
      </c>
      <c r="D794" s="7"/>
      <c r="E794" s="7"/>
      <c r="F794" s="8" t="s">
        <v>8</v>
      </c>
      <c r="G794" s="8">
        <f t="shared" si="28"/>
        <v>0</v>
      </c>
      <c r="H794" s="8">
        <f t="shared" si="28"/>
        <v>0</v>
      </c>
      <c r="I794" s="8">
        <f t="shared" si="28"/>
        <v>0</v>
      </c>
      <c r="J794" s="8">
        <f t="shared" si="28"/>
        <v>0</v>
      </c>
      <c r="K794" s="8">
        <f t="shared" si="28"/>
        <v>1</v>
      </c>
      <c r="L794" s="7"/>
    </row>
    <row r="795" spans="1:12" ht="25.5" outlineLevel="1" x14ac:dyDescent="0.25">
      <c r="A795" s="22">
        <f t="shared" si="29"/>
        <v>3.0358000000000755</v>
      </c>
      <c r="B795" s="27"/>
      <c r="C795" s="24" t="s">
        <v>445</v>
      </c>
      <c r="D795" s="7"/>
      <c r="E795" s="7"/>
      <c r="F795" s="8" t="s">
        <v>8</v>
      </c>
      <c r="G795" s="8">
        <f t="shared" si="28"/>
        <v>0</v>
      </c>
      <c r="H795" s="8">
        <f t="shared" si="28"/>
        <v>0</v>
      </c>
      <c r="I795" s="8">
        <f t="shared" si="28"/>
        <v>0</v>
      </c>
      <c r="J795" s="8">
        <f t="shared" si="28"/>
        <v>0</v>
      </c>
      <c r="K795" s="8">
        <f t="shared" si="28"/>
        <v>1</v>
      </c>
      <c r="L795" s="7"/>
    </row>
    <row r="796" spans="1:12" ht="25.5" outlineLevel="1" x14ac:dyDescent="0.25">
      <c r="A796" s="22">
        <f t="shared" si="29"/>
        <v>3.0359000000000758</v>
      </c>
      <c r="B796" s="27"/>
      <c r="C796" s="24" t="s">
        <v>446</v>
      </c>
      <c r="D796" s="7"/>
      <c r="E796" s="7"/>
      <c r="F796" s="8" t="s">
        <v>8</v>
      </c>
      <c r="G796" s="8">
        <f t="shared" si="28"/>
        <v>0</v>
      </c>
      <c r="H796" s="8">
        <f t="shared" si="28"/>
        <v>0</v>
      </c>
      <c r="I796" s="8">
        <f t="shared" si="28"/>
        <v>0</v>
      </c>
      <c r="J796" s="8">
        <f t="shared" si="28"/>
        <v>0</v>
      </c>
      <c r="K796" s="8">
        <f t="shared" si="28"/>
        <v>1</v>
      </c>
      <c r="L796" s="7"/>
    </row>
    <row r="797" spans="1:12" ht="25.5" outlineLevel="1" x14ac:dyDescent="0.25">
      <c r="A797" s="22">
        <f t="shared" si="29"/>
        <v>3.036000000000076</v>
      </c>
      <c r="B797" s="27"/>
      <c r="C797" s="24" t="s">
        <v>447</v>
      </c>
      <c r="D797" s="7"/>
      <c r="E797" s="7"/>
      <c r="F797" s="8" t="s">
        <v>8</v>
      </c>
      <c r="G797" s="8">
        <f t="shared" si="28"/>
        <v>0</v>
      </c>
      <c r="H797" s="8">
        <f t="shared" si="28"/>
        <v>0</v>
      </c>
      <c r="I797" s="8">
        <f t="shared" si="28"/>
        <v>0</v>
      </c>
      <c r="J797" s="8">
        <f t="shared" si="28"/>
        <v>0</v>
      </c>
      <c r="K797" s="8">
        <f t="shared" si="28"/>
        <v>1</v>
      </c>
      <c r="L797" s="7"/>
    </row>
    <row r="798" spans="1:12" ht="25.5" outlineLevel="1" x14ac:dyDescent="0.25">
      <c r="A798" s="22">
        <f t="shared" si="29"/>
        <v>3.0361000000000762</v>
      </c>
      <c r="B798" s="27"/>
      <c r="C798" s="24" t="s">
        <v>448</v>
      </c>
      <c r="D798" s="7"/>
      <c r="E798" s="7"/>
      <c r="F798" s="8" t="s">
        <v>8</v>
      </c>
      <c r="G798" s="8">
        <f t="shared" si="28"/>
        <v>0</v>
      </c>
      <c r="H798" s="8">
        <f t="shared" si="28"/>
        <v>0</v>
      </c>
      <c r="I798" s="8">
        <f t="shared" si="28"/>
        <v>0</v>
      </c>
      <c r="J798" s="8">
        <f t="shared" si="28"/>
        <v>0</v>
      </c>
      <c r="K798" s="8">
        <f t="shared" si="28"/>
        <v>1</v>
      </c>
      <c r="L798" s="7"/>
    </row>
    <row r="799" spans="1:12" ht="25.5" outlineLevel="1" x14ac:dyDescent="0.25">
      <c r="A799" s="22">
        <f t="shared" si="29"/>
        <v>3.0362000000000764</v>
      </c>
      <c r="B799" s="27"/>
      <c r="C799" s="24" t="s">
        <v>449</v>
      </c>
      <c r="D799" s="7"/>
      <c r="E799" s="7"/>
      <c r="F799" s="8" t="s">
        <v>8</v>
      </c>
      <c r="G799" s="8">
        <f t="shared" si="28"/>
        <v>0</v>
      </c>
      <c r="H799" s="8">
        <f t="shared" si="28"/>
        <v>0</v>
      </c>
      <c r="I799" s="8">
        <f t="shared" si="28"/>
        <v>0</v>
      </c>
      <c r="J799" s="8">
        <f t="shared" si="28"/>
        <v>0</v>
      </c>
      <c r="K799" s="8">
        <f t="shared" si="28"/>
        <v>1</v>
      </c>
      <c r="L799" s="7"/>
    </row>
    <row r="800" spans="1:12" outlineLevel="1" x14ac:dyDescent="0.25">
      <c r="A800" s="22">
        <f t="shared" si="29"/>
        <v>3.0363000000000766</v>
      </c>
      <c r="B800" s="27"/>
      <c r="C800" s="24" t="s">
        <v>450</v>
      </c>
      <c r="D800" s="7"/>
      <c r="E800" s="7"/>
      <c r="F800" s="8" t="s">
        <v>8</v>
      </c>
      <c r="G800" s="8">
        <f t="shared" si="28"/>
        <v>0</v>
      </c>
      <c r="H800" s="8">
        <f t="shared" si="28"/>
        <v>0</v>
      </c>
      <c r="I800" s="8">
        <f t="shared" si="28"/>
        <v>0</v>
      </c>
      <c r="J800" s="8">
        <f t="shared" si="28"/>
        <v>0</v>
      </c>
      <c r="K800" s="8">
        <f t="shared" si="28"/>
        <v>1</v>
      </c>
      <c r="L800" s="7"/>
    </row>
    <row r="801" spans="1:12" outlineLevel="1" x14ac:dyDescent="0.25">
      <c r="A801" s="22">
        <f t="shared" si="29"/>
        <v>3.0364000000000768</v>
      </c>
      <c r="B801" s="26" t="s">
        <v>717</v>
      </c>
      <c r="C801" s="24" t="s">
        <v>452</v>
      </c>
      <c r="D801" s="7"/>
      <c r="E801" s="7"/>
      <c r="F801" s="8" t="s">
        <v>8</v>
      </c>
      <c r="G801" s="8">
        <f t="shared" si="28"/>
        <v>0</v>
      </c>
      <c r="H801" s="8">
        <f t="shared" si="28"/>
        <v>0</v>
      </c>
      <c r="I801" s="8">
        <f t="shared" si="28"/>
        <v>0</v>
      </c>
      <c r="J801" s="8">
        <f t="shared" si="28"/>
        <v>0</v>
      </c>
      <c r="K801" s="8">
        <f t="shared" si="28"/>
        <v>1</v>
      </c>
      <c r="L801" s="7"/>
    </row>
    <row r="802" spans="1:12" outlineLevel="1" x14ac:dyDescent="0.25">
      <c r="A802" s="22">
        <f t="shared" si="29"/>
        <v>3.036500000000077</v>
      </c>
      <c r="B802" s="27"/>
      <c r="C802" s="24" t="s">
        <v>413</v>
      </c>
      <c r="D802" s="7"/>
      <c r="E802" s="7"/>
      <c r="F802" s="8" t="s">
        <v>8</v>
      </c>
      <c r="G802" s="8">
        <f t="shared" si="28"/>
        <v>0</v>
      </c>
      <c r="H802" s="8">
        <f t="shared" si="28"/>
        <v>0</v>
      </c>
      <c r="I802" s="8">
        <f t="shared" si="28"/>
        <v>0</v>
      </c>
      <c r="J802" s="8">
        <f t="shared" si="28"/>
        <v>0</v>
      </c>
      <c r="K802" s="8">
        <f t="shared" si="28"/>
        <v>1</v>
      </c>
      <c r="L802" s="7"/>
    </row>
    <row r="803" spans="1:12" outlineLevel="1" x14ac:dyDescent="0.25">
      <c r="A803" s="22">
        <f t="shared" si="29"/>
        <v>3.0366000000000772</v>
      </c>
      <c r="B803" s="27"/>
      <c r="C803" s="24" t="s">
        <v>718</v>
      </c>
      <c r="D803" s="7"/>
      <c r="E803" s="7"/>
      <c r="F803" s="8" t="s">
        <v>8</v>
      </c>
      <c r="G803" s="8">
        <f t="shared" si="28"/>
        <v>0</v>
      </c>
      <c r="H803" s="8">
        <f t="shared" si="28"/>
        <v>0</v>
      </c>
      <c r="I803" s="8">
        <f t="shared" si="28"/>
        <v>0</v>
      </c>
      <c r="J803" s="8">
        <f t="shared" si="28"/>
        <v>0</v>
      </c>
      <c r="K803" s="8">
        <f t="shared" si="28"/>
        <v>1</v>
      </c>
      <c r="L803" s="7"/>
    </row>
    <row r="804" spans="1:12" outlineLevel="1" x14ac:dyDescent="0.25">
      <c r="A804" s="22">
        <f t="shared" si="29"/>
        <v>3.0367000000000774</v>
      </c>
      <c r="B804" s="26" t="s">
        <v>454</v>
      </c>
      <c r="C804" s="24" t="s">
        <v>455</v>
      </c>
      <c r="D804" s="7"/>
      <c r="E804" s="7"/>
      <c r="F804" s="8" t="s">
        <v>8</v>
      </c>
      <c r="G804" s="8">
        <f t="shared" si="28"/>
        <v>0</v>
      </c>
      <c r="H804" s="8">
        <f t="shared" si="28"/>
        <v>0</v>
      </c>
      <c r="I804" s="8">
        <f t="shared" si="28"/>
        <v>0</v>
      </c>
      <c r="J804" s="8">
        <f t="shared" si="28"/>
        <v>0</v>
      </c>
      <c r="K804" s="8">
        <f t="shared" si="28"/>
        <v>1</v>
      </c>
      <c r="L804" s="7"/>
    </row>
    <row r="805" spans="1:12" outlineLevel="1" x14ac:dyDescent="0.25">
      <c r="A805" s="22">
        <f t="shared" si="29"/>
        <v>3.0368000000000777</v>
      </c>
      <c r="B805" s="27"/>
      <c r="C805" s="24" t="s">
        <v>456</v>
      </c>
      <c r="D805" s="7"/>
      <c r="E805" s="7"/>
      <c r="F805" s="8" t="s">
        <v>8</v>
      </c>
      <c r="G805" s="8">
        <f t="shared" si="28"/>
        <v>0</v>
      </c>
      <c r="H805" s="8">
        <f t="shared" si="28"/>
        <v>0</v>
      </c>
      <c r="I805" s="8">
        <f t="shared" si="28"/>
        <v>0</v>
      </c>
      <c r="J805" s="8">
        <f t="shared" si="28"/>
        <v>0</v>
      </c>
      <c r="K805" s="8">
        <f t="shared" si="28"/>
        <v>1</v>
      </c>
      <c r="L805" s="7"/>
    </row>
    <row r="806" spans="1:12" outlineLevel="1" x14ac:dyDescent="0.25">
      <c r="A806" s="22">
        <f t="shared" si="29"/>
        <v>3.0369000000000779</v>
      </c>
      <c r="B806" s="26" t="s">
        <v>457</v>
      </c>
      <c r="C806" s="24" t="s">
        <v>458</v>
      </c>
      <c r="D806" s="7"/>
      <c r="E806" s="7"/>
      <c r="F806" s="8" t="s">
        <v>8</v>
      </c>
      <c r="G806" s="8">
        <f t="shared" si="28"/>
        <v>0</v>
      </c>
      <c r="H806" s="8">
        <f t="shared" si="28"/>
        <v>0</v>
      </c>
      <c r="I806" s="8">
        <f t="shared" si="28"/>
        <v>0</v>
      </c>
      <c r="J806" s="8">
        <f t="shared" si="28"/>
        <v>0</v>
      </c>
      <c r="K806" s="8">
        <f t="shared" si="28"/>
        <v>1</v>
      </c>
      <c r="L806" s="7"/>
    </row>
    <row r="807" spans="1:12" outlineLevel="1" x14ac:dyDescent="0.25">
      <c r="A807" s="39">
        <f t="shared" si="29"/>
        <v>3.0370000000000781</v>
      </c>
      <c r="B807" s="27"/>
      <c r="C807" s="36" t="s">
        <v>459</v>
      </c>
      <c r="D807" s="30"/>
      <c r="E807" s="30"/>
      <c r="F807" s="8" t="s">
        <v>8</v>
      </c>
      <c r="G807" s="8">
        <f t="shared" si="28"/>
        <v>0</v>
      </c>
      <c r="H807" s="8">
        <f t="shared" si="28"/>
        <v>0</v>
      </c>
      <c r="I807" s="8">
        <f t="shared" si="28"/>
        <v>0</v>
      </c>
      <c r="J807" s="8">
        <f t="shared" si="28"/>
        <v>0</v>
      </c>
      <c r="K807" s="8">
        <f t="shared" si="28"/>
        <v>1</v>
      </c>
      <c r="L807" s="30"/>
    </row>
    <row r="808" spans="1:12" x14ac:dyDescent="0.25">
      <c r="A808" s="22"/>
      <c r="B808" s="6"/>
      <c r="C808" s="35"/>
      <c r="D808" s="35"/>
      <c r="E808" s="35"/>
      <c r="F808" s="44"/>
      <c r="G808" s="44"/>
      <c r="H808" s="44"/>
      <c r="I808" s="44"/>
      <c r="J808" s="44"/>
      <c r="K808" s="44"/>
      <c r="L808" s="24"/>
    </row>
    <row r="809" spans="1:12" s="20" customFormat="1" x14ac:dyDescent="0.25">
      <c r="A809" s="40">
        <v>4</v>
      </c>
      <c r="B809" s="17" t="s">
        <v>720</v>
      </c>
      <c r="C809" s="41"/>
      <c r="D809" s="42"/>
      <c r="E809" s="42"/>
      <c r="F809" s="43"/>
      <c r="G809" s="43"/>
      <c r="H809" s="43"/>
      <c r="I809" s="43"/>
      <c r="J809" s="43"/>
      <c r="K809" s="43"/>
      <c r="L809" s="42"/>
    </row>
    <row r="810" spans="1:12" outlineLevel="1" x14ac:dyDescent="0.25">
      <c r="A810" s="22">
        <f t="shared" si="29"/>
        <v>4.0000999999999998</v>
      </c>
      <c r="B810" s="26" t="s">
        <v>32</v>
      </c>
      <c r="C810" s="24" t="s">
        <v>721</v>
      </c>
      <c r="D810" s="7"/>
      <c r="E810" s="7"/>
      <c r="F810" s="8" t="s">
        <v>8</v>
      </c>
      <c r="G810" s="8">
        <f t="shared" ref="G810:K824" si="30">IF($F810=G$1,1,0)</f>
        <v>0</v>
      </c>
      <c r="H810" s="8">
        <f t="shared" si="30"/>
        <v>0</v>
      </c>
      <c r="I810" s="8">
        <f t="shared" si="30"/>
        <v>0</v>
      </c>
      <c r="J810" s="8">
        <f t="shared" si="30"/>
        <v>0</v>
      </c>
      <c r="K810" s="8">
        <f t="shared" si="30"/>
        <v>1</v>
      </c>
      <c r="L810" s="7"/>
    </row>
    <row r="811" spans="1:12" outlineLevel="1" x14ac:dyDescent="0.25">
      <c r="A811" s="22">
        <f t="shared" si="29"/>
        <v>4.0001999999999995</v>
      </c>
      <c r="B811" s="27" t="s">
        <v>722</v>
      </c>
      <c r="C811" s="24" t="s">
        <v>723</v>
      </c>
      <c r="D811" s="7"/>
      <c r="E811" s="7"/>
      <c r="F811" s="8" t="s">
        <v>8</v>
      </c>
      <c r="G811" s="8">
        <f t="shared" si="30"/>
        <v>0</v>
      </c>
      <c r="H811" s="8">
        <f t="shared" si="30"/>
        <v>0</v>
      </c>
      <c r="I811" s="8">
        <f t="shared" si="30"/>
        <v>0</v>
      </c>
      <c r="J811" s="8">
        <f t="shared" si="30"/>
        <v>0</v>
      </c>
      <c r="K811" s="8">
        <f t="shared" si="30"/>
        <v>1</v>
      </c>
      <c r="L811" s="7"/>
    </row>
    <row r="812" spans="1:12" outlineLevel="1" x14ac:dyDescent="0.25">
      <c r="A812" s="22">
        <f t="shared" si="29"/>
        <v>4.0002999999999993</v>
      </c>
      <c r="B812" s="27"/>
      <c r="C812" s="24" t="s">
        <v>724</v>
      </c>
      <c r="D812" s="7"/>
      <c r="E812" s="7"/>
      <c r="F812" s="8" t="s">
        <v>8</v>
      </c>
      <c r="G812" s="8">
        <f t="shared" si="30"/>
        <v>0</v>
      </c>
      <c r="H812" s="8">
        <f t="shared" si="30"/>
        <v>0</v>
      </c>
      <c r="I812" s="8">
        <f t="shared" si="30"/>
        <v>0</v>
      </c>
      <c r="J812" s="8">
        <f t="shared" si="30"/>
        <v>0</v>
      </c>
      <c r="K812" s="8">
        <f t="shared" si="30"/>
        <v>1</v>
      </c>
      <c r="L812" s="7"/>
    </row>
    <row r="813" spans="1:12" outlineLevel="1" x14ac:dyDescent="0.25">
      <c r="A813" s="22">
        <f t="shared" si="29"/>
        <v>4.0003999999999991</v>
      </c>
      <c r="B813" s="27"/>
      <c r="C813" s="24" t="s">
        <v>725</v>
      </c>
      <c r="D813" s="7"/>
      <c r="E813" s="7"/>
      <c r="F813" s="8" t="s">
        <v>8</v>
      </c>
      <c r="G813" s="8">
        <f t="shared" si="30"/>
        <v>0</v>
      </c>
      <c r="H813" s="8">
        <f t="shared" si="30"/>
        <v>0</v>
      </c>
      <c r="I813" s="8">
        <f t="shared" si="30"/>
        <v>0</v>
      </c>
      <c r="J813" s="8">
        <f t="shared" si="30"/>
        <v>0</v>
      </c>
      <c r="K813" s="8">
        <f t="shared" si="30"/>
        <v>1</v>
      </c>
      <c r="L813" s="7"/>
    </row>
    <row r="814" spans="1:12" outlineLevel="1" x14ac:dyDescent="0.25">
      <c r="A814" s="22">
        <f t="shared" si="29"/>
        <v>4.0004999999999988</v>
      </c>
      <c r="B814" s="27"/>
      <c r="C814" s="24" t="s">
        <v>726</v>
      </c>
      <c r="D814" s="7"/>
      <c r="E814" s="7"/>
      <c r="F814" s="8" t="s">
        <v>8</v>
      </c>
      <c r="G814" s="8">
        <f t="shared" si="30"/>
        <v>0</v>
      </c>
      <c r="H814" s="8">
        <f t="shared" si="30"/>
        <v>0</v>
      </c>
      <c r="I814" s="8">
        <f t="shared" si="30"/>
        <v>0</v>
      </c>
      <c r="J814" s="8">
        <f t="shared" si="30"/>
        <v>0</v>
      </c>
      <c r="K814" s="8">
        <f t="shared" si="30"/>
        <v>1</v>
      </c>
      <c r="L814" s="7"/>
    </row>
    <row r="815" spans="1:12" outlineLevel="1" x14ac:dyDescent="0.25">
      <c r="A815" s="22">
        <f t="shared" si="29"/>
        <v>4.0005999999999986</v>
      </c>
      <c r="B815" s="27"/>
      <c r="C815" s="24" t="s">
        <v>727</v>
      </c>
      <c r="D815" s="7"/>
      <c r="E815" s="7"/>
      <c r="F815" s="8" t="s">
        <v>8</v>
      </c>
      <c r="G815" s="8">
        <f t="shared" si="30"/>
        <v>0</v>
      </c>
      <c r="H815" s="8">
        <f t="shared" si="30"/>
        <v>0</v>
      </c>
      <c r="I815" s="8">
        <f t="shared" si="30"/>
        <v>0</v>
      </c>
      <c r="J815" s="8">
        <f t="shared" si="30"/>
        <v>0</v>
      </c>
      <c r="K815" s="8">
        <f t="shared" si="30"/>
        <v>1</v>
      </c>
      <c r="L815" s="7"/>
    </row>
    <row r="816" spans="1:12" outlineLevel="1" x14ac:dyDescent="0.25">
      <c r="A816" s="22">
        <f t="shared" si="29"/>
        <v>4.0006999999999984</v>
      </c>
      <c r="B816" s="27"/>
      <c r="C816" s="24" t="s">
        <v>728</v>
      </c>
      <c r="D816" s="7"/>
      <c r="E816" s="7"/>
      <c r="F816" s="8" t="s">
        <v>8</v>
      </c>
      <c r="G816" s="8">
        <f t="shared" si="30"/>
        <v>0</v>
      </c>
      <c r="H816" s="8">
        <f t="shared" si="30"/>
        <v>0</v>
      </c>
      <c r="I816" s="8">
        <f t="shared" si="30"/>
        <v>0</v>
      </c>
      <c r="J816" s="8">
        <f t="shared" si="30"/>
        <v>0</v>
      </c>
      <c r="K816" s="8">
        <f t="shared" si="30"/>
        <v>1</v>
      </c>
      <c r="L816" s="7"/>
    </row>
    <row r="817" spans="1:12" outlineLevel="1" x14ac:dyDescent="0.25">
      <c r="A817" s="22">
        <f t="shared" si="29"/>
        <v>4.0007999999999981</v>
      </c>
      <c r="B817" s="27"/>
      <c r="C817" s="24" t="s">
        <v>729</v>
      </c>
      <c r="D817" s="7"/>
      <c r="E817" s="7"/>
      <c r="F817" s="8" t="s">
        <v>8</v>
      </c>
      <c r="G817" s="8">
        <f t="shared" si="30"/>
        <v>0</v>
      </c>
      <c r="H817" s="8">
        <f t="shared" si="30"/>
        <v>0</v>
      </c>
      <c r="I817" s="8">
        <f t="shared" si="30"/>
        <v>0</v>
      </c>
      <c r="J817" s="8">
        <f t="shared" si="30"/>
        <v>0</v>
      </c>
      <c r="K817" s="8">
        <f t="shared" si="30"/>
        <v>1</v>
      </c>
      <c r="L817" s="7"/>
    </row>
    <row r="818" spans="1:12" outlineLevel="1" x14ac:dyDescent="0.25">
      <c r="A818" s="22">
        <f t="shared" si="29"/>
        <v>4.0008999999999979</v>
      </c>
      <c r="B818" s="27"/>
      <c r="C818" s="24" t="s">
        <v>730</v>
      </c>
      <c r="D818" s="7"/>
      <c r="E818" s="7"/>
      <c r="F818" s="8" t="s">
        <v>8</v>
      </c>
      <c r="G818" s="8">
        <f t="shared" si="30"/>
        <v>0</v>
      </c>
      <c r="H818" s="8">
        <f t="shared" si="30"/>
        <v>0</v>
      </c>
      <c r="I818" s="8">
        <f t="shared" si="30"/>
        <v>0</v>
      </c>
      <c r="J818" s="8">
        <f t="shared" si="30"/>
        <v>0</v>
      </c>
      <c r="K818" s="8">
        <f t="shared" si="30"/>
        <v>1</v>
      </c>
      <c r="L818" s="7"/>
    </row>
    <row r="819" spans="1:12" outlineLevel="1" x14ac:dyDescent="0.25">
      <c r="A819" s="22">
        <f t="shared" si="29"/>
        <v>4.0009999999999977</v>
      </c>
      <c r="B819" s="27"/>
      <c r="C819" s="24" t="s">
        <v>731</v>
      </c>
      <c r="D819" s="7"/>
      <c r="E819" s="7"/>
      <c r="F819" s="8" t="s">
        <v>8</v>
      </c>
      <c r="G819" s="8">
        <f t="shared" si="30"/>
        <v>0</v>
      </c>
      <c r="H819" s="8">
        <f t="shared" si="30"/>
        <v>0</v>
      </c>
      <c r="I819" s="8">
        <f t="shared" si="30"/>
        <v>0</v>
      </c>
      <c r="J819" s="8">
        <f t="shared" si="30"/>
        <v>0</v>
      </c>
      <c r="K819" s="8">
        <f t="shared" si="30"/>
        <v>1</v>
      </c>
      <c r="L819" s="7"/>
    </row>
    <row r="820" spans="1:12" outlineLevel="1" x14ac:dyDescent="0.25">
      <c r="A820" s="22">
        <f t="shared" si="29"/>
        <v>4.0010999999999974</v>
      </c>
      <c r="B820" s="27"/>
      <c r="C820" s="24" t="s">
        <v>732</v>
      </c>
      <c r="D820" s="7"/>
      <c r="E820" s="7"/>
      <c r="F820" s="8" t="s">
        <v>8</v>
      </c>
      <c r="G820" s="8">
        <f t="shared" si="30"/>
        <v>0</v>
      </c>
      <c r="H820" s="8">
        <f t="shared" si="30"/>
        <v>0</v>
      </c>
      <c r="I820" s="8">
        <f t="shared" si="30"/>
        <v>0</v>
      </c>
      <c r="J820" s="8">
        <f t="shared" si="30"/>
        <v>0</v>
      </c>
      <c r="K820" s="8">
        <f t="shared" si="30"/>
        <v>1</v>
      </c>
      <c r="L820" s="7"/>
    </row>
    <row r="821" spans="1:12" ht="25.5" outlineLevel="1" x14ac:dyDescent="0.25">
      <c r="A821" s="22">
        <f t="shared" si="29"/>
        <v>4.0011999999999972</v>
      </c>
      <c r="B821" s="26" t="s">
        <v>733</v>
      </c>
      <c r="C821" s="24" t="s">
        <v>734</v>
      </c>
      <c r="D821" s="7"/>
      <c r="E821" s="7"/>
      <c r="F821" s="8" t="s">
        <v>8</v>
      </c>
      <c r="G821" s="8">
        <f t="shared" si="30"/>
        <v>0</v>
      </c>
      <c r="H821" s="8">
        <f t="shared" si="30"/>
        <v>0</v>
      </c>
      <c r="I821" s="8">
        <f t="shared" si="30"/>
        <v>0</v>
      </c>
      <c r="J821" s="8">
        <f t="shared" si="30"/>
        <v>0</v>
      </c>
      <c r="K821" s="8">
        <f t="shared" si="30"/>
        <v>1</v>
      </c>
      <c r="L821" s="7"/>
    </row>
    <row r="822" spans="1:12" ht="25.5" outlineLevel="1" x14ac:dyDescent="0.25">
      <c r="A822" s="22">
        <f t="shared" si="29"/>
        <v>4.001299999999997</v>
      </c>
      <c r="B822" s="27"/>
      <c r="C822" s="24" t="s">
        <v>735</v>
      </c>
      <c r="D822" s="7"/>
      <c r="E822" s="7"/>
      <c r="F822" s="8" t="s">
        <v>8</v>
      </c>
      <c r="G822" s="8">
        <f t="shared" si="30"/>
        <v>0</v>
      </c>
      <c r="H822" s="8">
        <f t="shared" si="30"/>
        <v>0</v>
      </c>
      <c r="I822" s="8">
        <f t="shared" si="30"/>
        <v>0</v>
      </c>
      <c r="J822" s="8">
        <f t="shared" si="30"/>
        <v>0</v>
      </c>
      <c r="K822" s="8">
        <f t="shared" si="30"/>
        <v>1</v>
      </c>
      <c r="L822" s="7"/>
    </row>
    <row r="823" spans="1:12" outlineLevel="1" x14ac:dyDescent="0.25">
      <c r="A823" s="22">
        <f t="shared" si="29"/>
        <v>4.0013999999999967</v>
      </c>
      <c r="B823" s="27"/>
      <c r="C823" s="24" t="s">
        <v>736</v>
      </c>
      <c r="D823" s="7"/>
      <c r="E823" s="7"/>
      <c r="F823" s="8" t="s">
        <v>8</v>
      </c>
      <c r="G823" s="8">
        <f t="shared" si="30"/>
        <v>0</v>
      </c>
      <c r="H823" s="8">
        <f t="shared" si="30"/>
        <v>0</v>
      </c>
      <c r="I823" s="8">
        <f t="shared" si="30"/>
        <v>0</v>
      </c>
      <c r="J823" s="8">
        <f t="shared" si="30"/>
        <v>0</v>
      </c>
      <c r="K823" s="8">
        <f t="shared" si="30"/>
        <v>1</v>
      </c>
      <c r="L823" s="7"/>
    </row>
    <row r="824" spans="1:12" ht="25.5" outlineLevel="1" x14ac:dyDescent="0.25">
      <c r="A824" s="22">
        <f t="shared" si="29"/>
        <v>4.0014999999999965</v>
      </c>
      <c r="B824" s="29"/>
      <c r="C824" s="24" t="s">
        <v>737</v>
      </c>
      <c r="D824" s="7"/>
      <c r="E824" s="7"/>
      <c r="F824" s="8" t="s">
        <v>8</v>
      </c>
      <c r="G824" s="8">
        <f t="shared" si="30"/>
        <v>0</v>
      </c>
      <c r="H824" s="8">
        <f t="shared" si="30"/>
        <v>0</v>
      </c>
      <c r="I824" s="8">
        <f t="shared" si="30"/>
        <v>0</v>
      </c>
      <c r="J824" s="8">
        <f t="shared" si="30"/>
        <v>0</v>
      </c>
      <c r="K824" s="8">
        <f t="shared" si="30"/>
        <v>1</v>
      </c>
      <c r="L824" s="7"/>
    </row>
    <row r="825" spans="1:12" x14ac:dyDescent="0.25">
      <c r="A825" s="22"/>
      <c r="B825" s="34"/>
      <c r="C825" s="35"/>
      <c r="D825" s="35"/>
      <c r="E825" s="35"/>
      <c r="F825" s="44"/>
      <c r="G825" s="44"/>
      <c r="H825" s="44"/>
      <c r="I825" s="44"/>
      <c r="J825" s="44"/>
      <c r="K825" s="44"/>
      <c r="L825" s="24"/>
    </row>
    <row r="826" spans="1:12" s="20" customFormat="1" x14ac:dyDescent="0.25">
      <c r="A826" s="40">
        <v>5</v>
      </c>
      <c r="B826" s="17" t="s">
        <v>738</v>
      </c>
      <c r="C826" s="41"/>
      <c r="D826" s="42"/>
      <c r="E826" s="42"/>
      <c r="F826" s="43"/>
      <c r="G826" s="43"/>
      <c r="H826" s="43"/>
      <c r="I826" s="43"/>
      <c r="J826" s="43"/>
      <c r="K826" s="43"/>
      <c r="L826" s="42"/>
    </row>
    <row r="827" spans="1:12" outlineLevel="1" x14ac:dyDescent="0.25">
      <c r="A827" s="22">
        <f t="shared" si="29"/>
        <v>5.0000999999999998</v>
      </c>
      <c r="B827" s="26" t="s">
        <v>739</v>
      </c>
      <c r="C827" s="24" t="s">
        <v>740</v>
      </c>
      <c r="D827" s="7"/>
      <c r="E827" s="7"/>
      <c r="F827" s="8" t="s">
        <v>8</v>
      </c>
      <c r="G827" s="8">
        <f t="shared" ref="G827:K837" si="31">IF($F827=G$1,1,0)</f>
        <v>0</v>
      </c>
      <c r="H827" s="8">
        <f t="shared" si="31"/>
        <v>0</v>
      </c>
      <c r="I827" s="8">
        <f t="shared" si="31"/>
        <v>0</v>
      </c>
      <c r="J827" s="8">
        <f t="shared" si="31"/>
        <v>0</v>
      </c>
      <c r="K827" s="8">
        <f t="shared" si="31"/>
        <v>1</v>
      </c>
      <c r="L827" s="7"/>
    </row>
    <row r="828" spans="1:12" outlineLevel="1" x14ac:dyDescent="0.25">
      <c r="A828" s="22">
        <f t="shared" si="29"/>
        <v>5.0001999999999995</v>
      </c>
      <c r="B828" s="27" t="s">
        <v>20</v>
      </c>
      <c r="C828" s="24" t="s">
        <v>741</v>
      </c>
      <c r="D828" s="7"/>
      <c r="E828" s="7"/>
      <c r="F828" s="8" t="s">
        <v>8</v>
      </c>
      <c r="G828" s="8">
        <f t="shared" si="31"/>
        <v>0</v>
      </c>
      <c r="H828" s="8">
        <f t="shared" si="31"/>
        <v>0</v>
      </c>
      <c r="I828" s="8">
        <f t="shared" si="31"/>
        <v>0</v>
      </c>
      <c r="J828" s="8">
        <f t="shared" si="31"/>
        <v>0</v>
      </c>
      <c r="K828" s="8">
        <f t="shared" si="31"/>
        <v>1</v>
      </c>
      <c r="L828" s="7"/>
    </row>
    <row r="829" spans="1:12" outlineLevel="1" x14ac:dyDescent="0.25">
      <c r="A829" s="22">
        <f t="shared" si="29"/>
        <v>5.0002999999999993</v>
      </c>
      <c r="B829" s="31" t="s">
        <v>22</v>
      </c>
      <c r="C829" s="24"/>
      <c r="D829" s="7"/>
      <c r="E829" s="7"/>
      <c r="F829" s="8" t="s">
        <v>8</v>
      </c>
      <c r="G829" s="8">
        <f t="shared" si="31"/>
        <v>0</v>
      </c>
      <c r="H829" s="8">
        <f t="shared" si="31"/>
        <v>0</v>
      </c>
      <c r="I829" s="8">
        <f t="shared" si="31"/>
        <v>0</v>
      </c>
      <c r="J829" s="8">
        <f t="shared" si="31"/>
        <v>0</v>
      </c>
      <c r="K829" s="8">
        <f t="shared" si="31"/>
        <v>1</v>
      </c>
      <c r="L829" s="7"/>
    </row>
    <row r="830" spans="1:12" outlineLevel="1" x14ac:dyDescent="0.25">
      <c r="A830" s="22">
        <f t="shared" si="29"/>
        <v>5.0003999999999991</v>
      </c>
      <c r="B830" s="31" t="s">
        <v>742</v>
      </c>
      <c r="C830" s="24"/>
      <c r="D830" s="7"/>
      <c r="E830" s="7"/>
      <c r="F830" s="8" t="s">
        <v>8</v>
      </c>
      <c r="G830" s="8">
        <f t="shared" si="31"/>
        <v>0</v>
      </c>
      <c r="H830" s="8">
        <f t="shared" si="31"/>
        <v>0</v>
      </c>
      <c r="I830" s="8">
        <f t="shared" si="31"/>
        <v>0</v>
      </c>
      <c r="J830" s="8">
        <f t="shared" si="31"/>
        <v>0</v>
      </c>
      <c r="K830" s="8">
        <f t="shared" si="31"/>
        <v>1</v>
      </c>
      <c r="L830" s="7"/>
    </row>
    <row r="831" spans="1:12" outlineLevel="1" x14ac:dyDescent="0.25">
      <c r="A831" s="22">
        <f t="shared" si="29"/>
        <v>5.0004999999999988</v>
      </c>
      <c r="B831" s="31" t="s">
        <v>743</v>
      </c>
      <c r="C831" s="24"/>
      <c r="D831" s="7"/>
      <c r="E831" s="7"/>
      <c r="F831" s="8" t="s">
        <v>8</v>
      </c>
      <c r="G831" s="8">
        <f t="shared" si="31"/>
        <v>0</v>
      </c>
      <c r="H831" s="8">
        <f t="shared" si="31"/>
        <v>0</v>
      </c>
      <c r="I831" s="8">
        <f t="shared" si="31"/>
        <v>0</v>
      </c>
      <c r="J831" s="8">
        <f t="shared" si="31"/>
        <v>0</v>
      </c>
      <c r="K831" s="8">
        <f t="shared" si="31"/>
        <v>1</v>
      </c>
      <c r="L831" s="7"/>
    </row>
    <row r="832" spans="1:12" outlineLevel="1" x14ac:dyDescent="0.25">
      <c r="A832" s="22">
        <f t="shared" si="29"/>
        <v>5.0005999999999986</v>
      </c>
      <c r="B832" s="31" t="s">
        <v>24</v>
      </c>
      <c r="C832" s="24"/>
      <c r="D832" s="7"/>
      <c r="E832" s="7"/>
      <c r="F832" s="8" t="s">
        <v>8</v>
      </c>
      <c r="G832" s="8">
        <f t="shared" si="31"/>
        <v>0</v>
      </c>
      <c r="H832" s="8">
        <f t="shared" si="31"/>
        <v>0</v>
      </c>
      <c r="I832" s="8">
        <f t="shared" si="31"/>
        <v>0</v>
      </c>
      <c r="J832" s="8">
        <f t="shared" si="31"/>
        <v>0</v>
      </c>
      <c r="K832" s="8">
        <f t="shared" si="31"/>
        <v>1</v>
      </c>
      <c r="L832" s="7"/>
    </row>
    <row r="833" spans="1:12" outlineLevel="1" x14ac:dyDescent="0.25">
      <c r="A833" s="22">
        <f t="shared" si="29"/>
        <v>5.0006999999999984</v>
      </c>
      <c r="B833" s="33" t="s">
        <v>119</v>
      </c>
      <c r="C833" s="24"/>
      <c r="D833" s="7"/>
      <c r="E833" s="7"/>
      <c r="F833" s="8" t="s">
        <v>8</v>
      </c>
      <c r="G833" s="8">
        <f t="shared" si="31"/>
        <v>0</v>
      </c>
      <c r="H833" s="8">
        <f t="shared" si="31"/>
        <v>0</v>
      </c>
      <c r="I833" s="8">
        <f t="shared" si="31"/>
        <v>0</v>
      </c>
      <c r="J833" s="8">
        <f t="shared" si="31"/>
        <v>0</v>
      </c>
      <c r="K833" s="8">
        <f t="shared" si="31"/>
        <v>1</v>
      </c>
      <c r="L833" s="7"/>
    </row>
    <row r="834" spans="1:12" outlineLevel="1" x14ac:dyDescent="0.25">
      <c r="A834" s="22">
        <f t="shared" si="29"/>
        <v>5.0007999999999981</v>
      </c>
      <c r="B834" s="31" t="s">
        <v>22</v>
      </c>
      <c r="C834" s="24"/>
      <c r="D834" s="7"/>
      <c r="E834" s="7"/>
      <c r="F834" s="8" t="s">
        <v>8</v>
      </c>
      <c r="G834" s="8">
        <f t="shared" si="31"/>
        <v>0</v>
      </c>
      <c r="H834" s="8">
        <f t="shared" si="31"/>
        <v>0</v>
      </c>
      <c r="I834" s="8">
        <f t="shared" si="31"/>
        <v>0</v>
      </c>
      <c r="J834" s="8">
        <f t="shared" si="31"/>
        <v>0</v>
      </c>
      <c r="K834" s="8">
        <f t="shared" si="31"/>
        <v>1</v>
      </c>
      <c r="L834" s="7"/>
    </row>
    <row r="835" spans="1:12" outlineLevel="1" x14ac:dyDescent="0.25">
      <c r="A835" s="22">
        <f t="shared" si="29"/>
        <v>5.0008999999999979</v>
      </c>
      <c r="B835" s="31" t="s">
        <v>490</v>
      </c>
      <c r="C835" s="24"/>
      <c r="D835" s="7"/>
      <c r="E835" s="7"/>
      <c r="F835" s="8" t="s">
        <v>8</v>
      </c>
      <c r="G835" s="8">
        <f t="shared" si="31"/>
        <v>0</v>
      </c>
      <c r="H835" s="8">
        <f t="shared" si="31"/>
        <v>0</v>
      </c>
      <c r="I835" s="8">
        <f t="shared" si="31"/>
        <v>0</v>
      </c>
      <c r="J835" s="8">
        <f t="shared" si="31"/>
        <v>0</v>
      </c>
      <c r="K835" s="8">
        <f t="shared" si="31"/>
        <v>1</v>
      </c>
      <c r="L835" s="7"/>
    </row>
    <row r="836" spans="1:12" outlineLevel="1" x14ac:dyDescent="0.25">
      <c r="A836" s="22">
        <f t="shared" si="29"/>
        <v>5.0009999999999977</v>
      </c>
      <c r="B836" s="31" t="s">
        <v>743</v>
      </c>
      <c r="C836" s="24"/>
      <c r="D836" s="7"/>
      <c r="E836" s="7"/>
      <c r="F836" s="8" t="s">
        <v>8</v>
      </c>
      <c r="G836" s="8">
        <f t="shared" si="31"/>
        <v>0</v>
      </c>
      <c r="H836" s="8">
        <f t="shared" si="31"/>
        <v>0</v>
      </c>
      <c r="I836" s="8">
        <f t="shared" si="31"/>
        <v>0</v>
      </c>
      <c r="J836" s="8">
        <f t="shared" si="31"/>
        <v>0</v>
      </c>
      <c r="K836" s="8">
        <f t="shared" si="31"/>
        <v>1</v>
      </c>
      <c r="L836" s="7"/>
    </row>
    <row r="837" spans="1:12" outlineLevel="1" x14ac:dyDescent="0.25">
      <c r="A837" s="22">
        <f t="shared" si="29"/>
        <v>5.0010999999999974</v>
      </c>
      <c r="B837" s="32" t="s">
        <v>24</v>
      </c>
      <c r="C837" s="24"/>
      <c r="D837" s="7"/>
      <c r="E837" s="7"/>
      <c r="F837" s="8" t="s">
        <v>8</v>
      </c>
      <c r="G837" s="8">
        <f t="shared" si="31"/>
        <v>0</v>
      </c>
      <c r="H837" s="8">
        <f t="shared" si="31"/>
        <v>0</v>
      </c>
      <c r="I837" s="8">
        <f t="shared" si="31"/>
        <v>0</v>
      </c>
      <c r="J837" s="8">
        <f t="shared" si="31"/>
        <v>0</v>
      </c>
      <c r="K837" s="8">
        <f t="shared" si="31"/>
        <v>1</v>
      </c>
      <c r="L837" s="7"/>
    </row>
    <row r="838" spans="1:12" ht="15.75" thickBot="1" x14ac:dyDescent="0.3">
      <c r="G838" s="2">
        <f>SUM(G2:G837)</f>
        <v>0</v>
      </c>
      <c r="H838" s="2">
        <f>SUM(H2:H837)</f>
        <v>0</v>
      </c>
      <c r="I838" s="2">
        <f>SUM(I2:I837)</f>
        <v>0</v>
      </c>
      <c r="J838" s="2">
        <f>SUM(J2:J837)</f>
        <v>0</v>
      </c>
      <c r="K838" s="2">
        <f>SUM(K2:K837)</f>
        <v>823</v>
      </c>
    </row>
    <row r="839" spans="1:12" ht="15.75" thickTop="1" x14ac:dyDescent="0.25"/>
  </sheetData>
  <mergeCells count="16">
    <mergeCell ref="D173:D176"/>
    <mergeCell ref="D188:D192"/>
    <mergeCell ref="D206:D209"/>
    <mergeCell ref="D299:D302"/>
    <mergeCell ref="D72:D76"/>
    <mergeCell ref="D84:D88"/>
    <mergeCell ref="D97:D105"/>
    <mergeCell ref="D108:D113"/>
    <mergeCell ref="D138:D147"/>
    <mergeCell ref="D161:D165"/>
    <mergeCell ref="D39:D43"/>
    <mergeCell ref="D4:D7"/>
    <mergeCell ref="D8:D11"/>
    <mergeCell ref="D12:D15"/>
    <mergeCell ref="D16:D19"/>
    <mergeCell ref="D20:D23"/>
  </mergeCells>
  <conditionalFormatting sqref="B63:E69 A2:K2 A23:A24 C24:K24 B808:K808 B810:E824 A838:L857 C19:C23 G435:K435 B438:E807 G5:K23 A827:E837 G827:L837 E4:K4 A4:C7 E5:E7 E19:E23 B40:C41 E40:E41 B74:C74 E74 B89:E96 B85:C88 E85:E88 B106:E107 B97:C105 E97:E105 B114:E137 B108:C113 E108:E113 B148:E160 B138:C147 E138:E147 B166:E172 B161:C165 E161:E165 B177:E187 B173:C176 E173:E176 B193:E205 B188:C192 E188:E192 B210:E269 B206:C209 E206:E209 B303:E435 B300:C302 E300:E302">
    <cfRule type="expression" dxfId="624" priority="488">
      <formula>$F2="Fail"</formula>
    </cfRule>
  </conditionalFormatting>
  <conditionalFormatting sqref="A25:K25 B50:E56 C29:C30 A26:E26 B32:C32 B49:C56 C30:E31 B27:E27 A27:A435 A438:A808 A810:A824">
    <cfRule type="expression" dxfId="623" priority="183">
      <formula>$F25="Fail"</formula>
    </cfRule>
  </conditionalFormatting>
  <conditionalFormatting sqref="B57:E62">
    <cfRule type="expression" dxfId="622" priority="182">
      <formula>$F57="Fail"</formula>
    </cfRule>
  </conditionalFormatting>
  <conditionalFormatting sqref="B44:E49 B41:C50 E42:E43">
    <cfRule type="expression" dxfId="621" priority="181">
      <formula>$F41="Fail"</formula>
    </cfRule>
  </conditionalFormatting>
  <conditionalFormatting sqref="B32:E35 B32:C36 C31">
    <cfRule type="expression" dxfId="620" priority="180">
      <formula>$F31="Fail"</formula>
    </cfRule>
  </conditionalFormatting>
  <conditionalFormatting sqref="B36:E38 B35:C42 E39">
    <cfRule type="expression" dxfId="619" priority="179">
      <formula>$F35="Fail"</formula>
    </cfRule>
  </conditionalFormatting>
  <conditionalFormatting sqref="C29:E29">
    <cfRule type="expression" dxfId="618" priority="178">
      <formula>$F29="Fail"</formula>
    </cfRule>
  </conditionalFormatting>
  <conditionalFormatting sqref="B28:E28">
    <cfRule type="expression" dxfId="617" priority="177">
      <formula>$F28="Fail"</formula>
    </cfRule>
  </conditionalFormatting>
  <conditionalFormatting sqref="B28:C28">
    <cfRule type="expression" dxfId="616" priority="176">
      <formula>$F28="Fail"</formula>
    </cfRule>
  </conditionalFormatting>
  <conditionalFormatting sqref="L63:L69 L2 L4 L19:L24 L321:L435 L438:L808 L810:L824">
    <cfRule type="expression" dxfId="615" priority="173">
      <formula>$F2="Fail"</formula>
    </cfRule>
  </conditionalFormatting>
  <conditionalFormatting sqref="L50:L56 L30:L31 L25:L27">
    <cfRule type="expression" dxfId="614" priority="172">
      <formula>$F25="Fail"</formula>
    </cfRule>
  </conditionalFormatting>
  <conditionalFormatting sqref="L57:L62">
    <cfRule type="expression" dxfId="613" priority="171">
      <formula>$F57="Fail"</formula>
    </cfRule>
  </conditionalFormatting>
  <conditionalFormatting sqref="L42:L49">
    <cfRule type="expression" dxfId="612" priority="170">
      <formula>$F42="Fail"</formula>
    </cfRule>
  </conditionalFormatting>
  <conditionalFormatting sqref="L32:L35">
    <cfRule type="expression" dxfId="611" priority="169">
      <formula>$F32="Fail"</formula>
    </cfRule>
  </conditionalFormatting>
  <conditionalFormatting sqref="L36:L41">
    <cfRule type="expression" dxfId="610" priority="168">
      <formula>$F36="Fail"</formula>
    </cfRule>
  </conditionalFormatting>
  <conditionalFormatting sqref="L29">
    <cfRule type="expression" dxfId="609" priority="167">
      <formula>$F29="Fail"</formula>
    </cfRule>
  </conditionalFormatting>
  <conditionalFormatting sqref="L28">
    <cfRule type="expression" dxfId="608" priority="166">
      <formula>$F28="Fail"</formula>
    </cfRule>
  </conditionalFormatting>
  <conditionalFormatting sqref="A3:K3">
    <cfRule type="expression" dxfId="607" priority="165">
      <formula>$F3="Fail"</formula>
    </cfRule>
  </conditionalFormatting>
  <conditionalFormatting sqref="L3">
    <cfRule type="expression" dxfId="606" priority="164">
      <formula>$F3="Fail"</formula>
    </cfRule>
  </conditionalFormatting>
  <conditionalFormatting sqref="C14:C18 E14:E18">
    <cfRule type="expression" dxfId="605" priority="163">
      <formula>$F14="Fail"</formula>
    </cfRule>
  </conditionalFormatting>
  <conditionalFormatting sqref="L14:L18">
    <cfRule type="expression" dxfId="604" priority="162">
      <formula>$F14="Fail"</formula>
    </cfRule>
  </conditionalFormatting>
  <conditionalFormatting sqref="C9:C13 E9:E13">
    <cfRule type="expression" dxfId="603" priority="161">
      <formula>$F9="Fail"</formula>
    </cfRule>
  </conditionalFormatting>
  <conditionalFormatting sqref="L9:L13">
    <cfRule type="expression" dxfId="602" priority="160">
      <formula>$F9="Fail"</formula>
    </cfRule>
  </conditionalFormatting>
  <conditionalFormatting sqref="C8 A8:A22 E8">
    <cfRule type="expression" dxfId="601" priority="159">
      <formula>$F8="Fail"</formula>
    </cfRule>
  </conditionalFormatting>
  <conditionalFormatting sqref="L5:L8">
    <cfRule type="expression" dxfId="600" priority="158">
      <formula>$F5="Fail"</formula>
    </cfRule>
  </conditionalFormatting>
  <conditionalFormatting sqref="B8">
    <cfRule type="expression" dxfId="599" priority="157">
      <formula>$F8="Fail"</formula>
    </cfRule>
  </conditionalFormatting>
  <conditionalFormatting sqref="B9:B11">
    <cfRule type="expression" dxfId="598" priority="156">
      <formula>$F9="Fail"</formula>
    </cfRule>
  </conditionalFormatting>
  <conditionalFormatting sqref="B12">
    <cfRule type="expression" dxfId="597" priority="155">
      <formula>$F12="Fail"</formula>
    </cfRule>
  </conditionalFormatting>
  <conditionalFormatting sqref="B13:B15">
    <cfRule type="expression" dxfId="596" priority="154">
      <formula>$F13="Fail"</formula>
    </cfRule>
  </conditionalFormatting>
  <conditionalFormatting sqref="B16">
    <cfRule type="expression" dxfId="595" priority="153">
      <formula>$F16="Fail"</formula>
    </cfRule>
  </conditionalFormatting>
  <conditionalFormatting sqref="B17:B19">
    <cfRule type="expression" dxfId="594" priority="152">
      <formula>$F17="Fail"</formula>
    </cfRule>
  </conditionalFormatting>
  <conditionalFormatting sqref="B20">
    <cfRule type="expression" dxfId="593" priority="151">
      <formula>$F20="Fail"</formula>
    </cfRule>
  </conditionalFormatting>
  <conditionalFormatting sqref="B21:B24">
    <cfRule type="expression" dxfId="592" priority="150">
      <formula>$F21="Fail"</formula>
    </cfRule>
  </conditionalFormatting>
  <conditionalFormatting sqref="B29:B30">
    <cfRule type="expression" dxfId="591" priority="149">
      <formula>$F29="Fail"</formula>
    </cfRule>
  </conditionalFormatting>
  <conditionalFormatting sqref="B31">
    <cfRule type="expression" dxfId="590" priority="148">
      <formula>$F31="Fail"</formula>
    </cfRule>
  </conditionalFormatting>
  <conditionalFormatting sqref="B31">
    <cfRule type="expression" dxfId="589" priority="147">
      <formula>$F31="Fail"</formula>
    </cfRule>
  </conditionalFormatting>
  <conditionalFormatting sqref="B70:E70">
    <cfRule type="expression" dxfId="588" priority="146">
      <formula>$F70="Fail"</formula>
    </cfRule>
  </conditionalFormatting>
  <conditionalFormatting sqref="B71:E71">
    <cfRule type="expression" dxfId="587" priority="143">
      <formula>$F71="Fail"</formula>
    </cfRule>
  </conditionalFormatting>
  <conditionalFormatting sqref="L70">
    <cfRule type="expression" dxfId="586" priority="144">
      <formula>$F70="Fail"</formula>
    </cfRule>
  </conditionalFormatting>
  <conditionalFormatting sqref="B72:C72 E72">
    <cfRule type="expression" dxfId="585" priority="140">
      <formula>$F72="Fail"</formula>
    </cfRule>
  </conditionalFormatting>
  <conditionalFormatting sqref="L71">
    <cfRule type="expression" dxfId="584" priority="141">
      <formula>$F71="Fail"</formula>
    </cfRule>
  </conditionalFormatting>
  <conditionalFormatting sqref="B73:C73 E73">
    <cfRule type="expression" dxfId="583" priority="137">
      <formula>$F73="Fail"</formula>
    </cfRule>
  </conditionalFormatting>
  <conditionalFormatting sqref="L72">
    <cfRule type="expression" dxfId="582" priority="138">
      <formula>$F72="Fail"</formula>
    </cfRule>
  </conditionalFormatting>
  <conditionalFormatting sqref="L73">
    <cfRule type="expression" dxfId="581" priority="135">
      <formula>$F73="Fail"</formula>
    </cfRule>
  </conditionalFormatting>
  <conditionalFormatting sqref="B808:K808 B810:E824 B77:E83 B281:E298 G435:K435 B438:E807 B270:F280 B75:C76 E75:E76 B84:C84 E84 B299:C299 E299">
    <cfRule type="expression" dxfId="580" priority="131">
      <formula>$F75="Fail"</formula>
    </cfRule>
  </conditionalFormatting>
  <conditionalFormatting sqref="L74">
    <cfRule type="expression" dxfId="579" priority="132">
      <formula>$F74="Fail"</formula>
    </cfRule>
  </conditionalFormatting>
  <conditionalFormatting sqref="B296:E296">
    <cfRule type="expression" dxfId="578" priority="128">
      <formula>$F296="Fail"</formula>
    </cfRule>
  </conditionalFormatting>
  <conditionalFormatting sqref="L75:L435 L438:L808 L810:L824">
    <cfRule type="expression" dxfId="577" priority="129">
      <formula>$F75="Fail"</formula>
    </cfRule>
  </conditionalFormatting>
  <conditionalFormatting sqref="B297:E297">
    <cfRule type="expression" dxfId="576" priority="125">
      <formula>$F297="Fail"</formula>
    </cfRule>
  </conditionalFormatting>
  <conditionalFormatting sqref="L296">
    <cfRule type="expression" dxfId="575" priority="126">
      <formula>$F296="Fail"</formula>
    </cfRule>
  </conditionalFormatting>
  <conditionalFormatting sqref="B298:E298">
    <cfRule type="expression" dxfId="574" priority="122">
      <formula>$F298="Fail"</formula>
    </cfRule>
  </conditionalFormatting>
  <conditionalFormatting sqref="L297">
    <cfRule type="expression" dxfId="573" priority="123">
      <formula>$F297="Fail"</formula>
    </cfRule>
  </conditionalFormatting>
  <conditionalFormatting sqref="B299:C299 E299">
    <cfRule type="expression" dxfId="572" priority="119">
      <formula>$F299="Fail"</formula>
    </cfRule>
  </conditionalFormatting>
  <conditionalFormatting sqref="L298">
    <cfRule type="expression" dxfId="571" priority="120">
      <formula>$F298="Fail"</formula>
    </cfRule>
  </conditionalFormatting>
  <conditionalFormatting sqref="L299">
    <cfRule type="expression" dxfId="570" priority="117">
      <formula>$F299="Fail"</formula>
    </cfRule>
  </conditionalFormatting>
  <conditionalFormatting sqref="B301:C301 E301">
    <cfRule type="expression" dxfId="569" priority="113">
      <formula>$F301="Fail"</formula>
    </cfRule>
  </conditionalFormatting>
  <conditionalFormatting sqref="L300">
    <cfRule type="expression" dxfId="568" priority="114">
      <formula>$F300="Fail"</formula>
    </cfRule>
  </conditionalFormatting>
  <conditionalFormatting sqref="B302:C302 E302">
    <cfRule type="expression" dxfId="567" priority="110">
      <formula>$F302="Fail"</formula>
    </cfRule>
  </conditionalFormatting>
  <conditionalFormatting sqref="L301">
    <cfRule type="expression" dxfId="566" priority="111">
      <formula>$F301="Fail"</formula>
    </cfRule>
  </conditionalFormatting>
  <conditionalFormatting sqref="B303:E303">
    <cfRule type="expression" dxfId="565" priority="107">
      <formula>$F303="Fail"</formula>
    </cfRule>
  </conditionalFormatting>
  <conditionalFormatting sqref="L302">
    <cfRule type="expression" dxfId="564" priority="108">
      <formula>$F302="Fail"</formula>
    </cfRule>
  </conditionalFormatting>
  <conditionalFormatting sqref="B304:E304">
    <cfRule type="expression" dxfId="563" priority="104">
      <formula>$F304="Fail"</formula>
    </cfRule>
  </conditionalFormatting>
  <conditionalFormatting sqref="L303">
    <cfRule type="expression" dxfId="562" priority="105">
      <formula>$F303="Fail"</formula>
    </cfRule>
  </conditionalFormatting>
  <conditionalFormatting sqref="B305:E305">
    <cfRule type="expression" dxfId="561" priority="101">
      <formula>$F305="Fail"</formula>
    </cfRule>
  </conditionalFormatting>
  <conditionalFormatting sqref="L304">
    <cfRule type="expression" dxfId="560" priority="102">
      <formula>$F304="Fail"</formula>
    </cfRule>
  </conditionalFormatting>
  <conditionalFormatting sqref="B306:E306">
    <cfRule type="expression" dxfId="559" priority="98">
      <formula>$F306="Fail"</formula>
    </cfRule>
  </conditionalFormatting>
  <conditionalFormatting sqref="L305">
    <cfRule type="expression" dxfId="558" priority="99">
      <formula>$F305="Fail"</formula>
    </cfRule>
  </conditionalFormatting>
  <conditionalFormatting sqref="B307:E307">
    <cfRule type="expression" dxfId="557" priority="95">
      <formula>$F307="Fail"</formula>
    </cfRule>
  </conditionalFormatting>
  <conditionalFormatting sqref="L306">
    <cfRule type="expression" dxfId="556" priority="96">
      <formula>$F306="Fail"</formula>
    </cfRule>
  </conditionalFormatting>
  <conditionalFormatting sqref="B308:E308">
    <cfRule type="expression" dxfId="555" priority="92">
      <formula>$F308="Fail"</formula>
    </cfRule>
  </conditionalFormatting>
  <conditionalFormatting sqref="L307">
    <cfRule type="expression" dxfId="554" priority="93">
      <formula>$F307="Fail"</formula>
    </cfRule>
  </conditionalFormatting>
  <conditionalFormatting sqref="B309:E309">
    <cfRule type="expression" dxfId="553" priority="89">
      <formula>$F309="Fail"</formula>
    </cfRule>
  </conditionalFormatting>
  <conditionalFormatting sqref="L308">
    <cfRule type="expression" dxfId="552" priority="90">
      <formula>$F308="Fail"</formula>
    </cfRule>
  </conditionalFormatting>
  <conditionalFormatting sqref="B310:E310">
    <cfRule type="expression" dxfId="551" priority="86">
      <formula>$F310="Fail"</formula>
    </cfRule>
  </conditionalFormatting>
  <conditionalFormatting sqref="L309">
    <cfRule type="expression" dxfId="550" priority="87">
      <formula>$F309="Fail"</formula>
    </cfRule>
  </conditionalFormatting>
  <conditionalFormatting sqref="B311:E311">
    <cfRule type="expression" dxfId="549" priority="83">
      <formula>$F311="Fail"</formula>
    </cfRule>
  </conditionalFormatting>
  <conditionalFormatting sqref="L310">
    <cfRule type="expression" dxfId="548" priority="84">
      <formula>$F310="Fail"</formula>
    </cfRule>
  </conditionalFormatting>
  <conditionalFormatting sqref="B312:E312">
    <cfRule type="expression" dxfId="547" priority="80">
      <formula>$F312="Fail"</formula>
    </cfRule>
  </conditionalFormatting>
  <conditionalFormatting sqref="L311">
    <cfRule type="expression" dxfId="546" priority="81">
      <formula>$F311="Fail"</formula>
    </cfRule>
  </conditionalFormatting>
  <conditionalFormatting sqref="B313:E313">
    <cfRule type="expression" dxfId="545" priority="77">
      <formula>$F313="Fail"</formula>
    </cfRule>
  </conditionalFormatting>
  <conditionalFormatting sqref="L312">
    <cfRule type="expression" dxfId="544" priority="78">
      <formula>$F312="Fail"</formula>
    </cfRule>
  </conditionalFormatting>
  <conditionalFormatting sqref="B314:E314">
    <cfRule type="expression" dxfId="543" priority="74">
      <formula>$F314="Fail"</formula>
    </cfRule>
  </conditionalFormatting>
  <conditionalFormatting sqref="L313">
    <cfRule type="expression" dxfId="542" priority="75">
      <formula>$F313="Fail"</formula>
    </cfRule>
  </conditionalFormatting>
  <conditionalFormatting sqref="B315:E315">
    <cfRule type="expression" dxfId="541" priority="71">
      <formula>$F315="Fail"</formula>
    </cfRule>
  </conditionalFormatting>
  <conditionalFormatting sqref="L314">
    <cfRule type="expression" dxfId="540" priority="72">
      <formula>$F314="Fail"</formula>
    </cfRule>
  </conditionalFormatting>
  <conditionalFormatting sqref="B316:E316">
    <cfRule type="expression" dxfId="539" priority="68">
      <formula>$F316="Fail"</formula>
    </cfRule>
  </conditionalFormatting>
  <conditionalFormatting sqref="L315">
    <cfRule type="expression" dxfId="538" priority="69">
      <formula>$F315="Fail"</formula>
    </cfRule>
  </conditionalFormatting>
  <conditionalFormatting sqref="B317:E317">
    <cfRule type="expression" dxfId="537" priority="65">
      <formula>$F317="Fail"</formula>
    </cfRule>
  </conditionalFormatting>
  <conditionalFormatting sqref="L316">
    <cfRule type="expression" dxfId="536" priority="66">
      <formula>$F316="Fail"</formula>
    </cfRule>
  </conditionalFormatting>
  <conditionalFormatting sqref="B318:E318">
    <cfRule type="expression" dxfId="535" priority="62">
      <formula>$F318="Fail"</formula>
    </cfRule>
  </conditionalFormatting>
  <conditionalFormatting sqref="L317">
    <cfRule type="expression" dxfId="534" priority="63">
      <formula>$F317="Fail"</formula>
    </cfRule>
  </conditionalFormatting>
  <conditionalFormatting sqref="B319:E319">
    <cfRule type="expression" dxfId="533" priority="59">
      <formula>$F319="Fail"</formula>
    </cfRule>
  </conditionalFormatting>
  <conditionalFormatting sqref="L318">
    <cfRule type="expression" dxfId="532" priority="60">
      <formula>$F318="Fail"</formula>
    </cfRule>
  </conditionalFormatting>
  <conditionalFormatting sqref="B808:K808 B810:E824 B320:E435 G435:K435 B438:E807">
    <cfRule type="expression" dxfId="531" priority="56">
      <formula>$F320="Fail"</formula>
    </cfRule>
  </conditionalFormatting>
  <conditionalFormatting sqref="L319">
    <cfRule type="expression" dxfId="530" priority="57">
      <formula>$F319="Fail"</formula>
    </cfRule>
  </conditionalFormatting>
  <conditionalFormatting sqref="A437:E437 G437:K437">
    <cfRule type="expression" dxfId="529" priority="53">
      <formula>$F437="Fail"</formula>
    </cfRule>
  </conditionalFormatting>
  <conditionalFormatting sqref="L320:L435 L438:L808 L810:L824">
    <cfRule type="expression" dxfId="528" priority="54">
      <formula>$F320="Fail"</formula>
    </cfRule>
  </conditionalFormatting>
  <conditionalFormatting sqref="L437">
    <cfRule type="expression" dxfId="527" priority="52">
      <formula>$F437="Fail"</formula>
    </cfRule>
  </conditionalFormatting>
  <conditionalFormatting sqref="A436:E436 G436:K436">
    <cfRule type="expression" dxfId="526" priority="51">
      <formula>$F436="Fail"</formula>
    </cfRule>
  </conditionalFormatting>
  <conditionalFormatting sqref="L436">
    <cfRule type="expression" dxfId="525" priority="50">
      <formula>$F436="Fail"</formula>
    </cfRule>
  </conditionalFormatting>
  <conditionalFormatting sqref="A809:K809">
    <cfRule type="expression" dxfId="524" priority="42">
      <formula>$F809="Fail"</formula>
    </cfRule>
  </conditionalFormatting>
  <conditionalFormatting sqref="L809">
    <cfRule type="expression" dxfId="523" priority="41">
      <formula>$F809="Fail"</formula>
    </cfRule>
  </conditionalFormatting>
  <conditionalFormatting sqref="B825:K825">
    <cfRule type="expression" dxfId="522" priority="40">
      <formula>$F825="Fail"</formula>
    </cfRule>
  </conditionalFormatting>
  <conditionalFormatting sqref="A825">
    <cfRule type="expression" dxfId="521" priority="39">
      <formula>$F825="Fail"</formula>
    </cfRule>
  </conditionalFormatting>
  <conditionalFormatting sqref="L825">
    <cfRule type="expression" dxfId="520" priority="38">
      <formula>$F825="Fail"</formula>
    </cfRule>
  </conditionalFormatting>
  <conditionalFormatting sqref="B825:K825">
    <cfRule type="expression" dxfId="519" priority="37">
      <formula>$F825="Fail"</formula>
    </cfRule>
  </conditionalFormatting>
  <conditionalFormatting sqref="L825">
    <cfRule type="expression" dxfId="518" priority="36">
      <formula>$F825="Fail"</formula>
    </cfRule>
  </conditionalFormatting>
  <conditionalFormatting sqref="B825:K825">
    <cfRule type="expression" dxfId="517" priority="35">
      <formula>$F825="Fail"</formula>
    </cfRule>
  </conditionalFormatting>
  <conditionalFormatting sqref="L825">
    <cfRule type="expression" dxfId="516" priority="34">
      <formula>$F825="Fail"</formula>
    </cfRule>
  </conditionalFormatting>
  <conditionalFormatting sqref="A826:K826">
    <cfRule type="expression" dxfId="515" priority="33">
      <formula>$F826="Fail"</formula>
    </cfRule>
  </conditionalFormatting>
  <conditionalFormatting sqref="L826">
    <cfRule type="expression" dxfId="514" priority="32">
      <formula>$F826="Fail"</formula>
    </cfRule>
  </conditionalFormatting>
  <conditionalFormatting sqref="F5">
    <cfRule type="expression" dxfId="513" priority="30">
      <formula>$F5="Fail"</formula>
    </cfRule>
  </conditionalFormatting>
  <conditionalFormatting sqref="F6:F23">
    <cfRule type="expression" dxfId="512" priority="29">
      <formula>$F6="Fail"</formula>
    </cfRule>
  </conditionalFormatting>
  <conditionalFormatting sqref="F26:F37">
    <cfRule type="expression" dxfId="511" priority="28">
      <formula>$F26="Fail"</formula>
    </cfRule>
  </conditionalFormatting>
  <conditionalFormatting sqref="F38:F42">
    <cfRule type="expression" dxfId="510" priority="27">
      <formula>$F38="Fail"</formula>
    </cfRule>
  </conditionalFormatting>
  <conditionalFormatting sqref="F43:F47">
    <cfRule type="expression" dxfId="509" priority="26">
      <formula>$F43="Fail"</formula>
    </cfRule>
  </conditionalFormatting>
  <conditionalFormatting sqref="F48:F248">
    <cfRule type="expression" dxfId="508" priority="25">
      <formula>$F48="Fail"</formula>
    </cfRule>
  </conditionalFormatting>
  <conditionalFormatting sqref="F249:F259">
    <cfRule type="expression" dxfId="507" priority="24">
      <formula>$F249="Fail"</formula>
    </cfRule>
  </conditionalFormatting>
  <conditionalFormatting sqref="F260:F266">
    <cfRule type="expression" dxfId="506" priority="23">
      <formula>$F260="Fail"</formula>
    </cfRule>
  </conditionalFormatting>
  <conditionalFormatting sqref="F267:F269">
    <cfRule type="expression" dxfId="505" priority="22">
      <formula>$F267="Fail"</formula>
    </cfRule>
  </conditionalFormatting>
  <conditionalFormatting sqref="F281:F285">
    <cfRule type="expression" dxfId="504" priority="21">
      <formula>$F281="Fail"</formula>
    </cfRule>
  </conditionalFormatting>
  <conditionalFormatting sqref="F286:F311">
    <cfRule type="expression" dxfId="503" priority="20">
      <formula>$F286="Fail"</formula>
    </cfRule>
  </conditionalFormatting>
  <conditionalFormatting sqref="F312:F334">
    <cfRule type="expression" dxfId="502" priority="19">
      <formula>$F312="Fail"</formula>
    </cfRule>
  </conditionalFormatting>
  <conditionalFormatting sqref="F335:F350">
    <cfRule type="expression" dxfId="501" priority="18">
      <formula>$F335="Fail"</formula>
    </cfRule>
  </conditionalFormatting>
  <conditionalFormatting sqref="F351">
    <cfRule type="expression" dxfId="500" priority="17">
      <formula>$F351="Fail"</formula>
    </cfRule>
  </conditionalFormatting>
  <conditionalFormatting sqref="F352:F356">
    <cfRule type="expression" dxfId="499" priority="16">
      <formula>$F352="Fail"</formula>
    </cfRule>
  </conditionalFormatting>
  <conditionalFormatting sqref="F357:F358">
    <cfRule type="expression" dxfId="498" priority="15">
      <formula>$F357="Fail"</formula>
    </cfRule>
  </conditionalFormatting>
  <conditionalFormatting sqref="F359:F456">
    <cfRule type="expression" dxfId="497" priority="14">
      <formula>$F359="Fail"</formula>
    </cfRule>
  </conditionalFormatting>
  <conditionalFormatting sqref="F457:F566">
    <cfRule type="expression" dxfId="496" priority="13">
      <formula>$F457="Fail"</formula>
    </cfRule>
  </conditionalFormatting>
  <conditionalFormatting sqref="F567:F684">
    <cfRule type="expression" dxfId="495" priority="12">
      <formula>$F567="Fail"</formula>
    </cfRule>
  </conditionalFormatting>
  <conditionalFormatting sqref="F685:F708">
    <cfRule type="expression" dxfId="494" priority="11">
      <formula>$F685="Fail"</formula>
    </cfRule>
  </conditionalFormatting>
  <conditionalFormatting sqref="F709:F739">
    <cfRule type="expression" dxfId="493" priority="10">
      <formula>$F709="Fail"</formula>
    </cfRule>
  </conditionalFormatting>
  <conditionalFormatting sqref="F740:F761">
    <cfRule type="expression" dxfId="492" priority="9">
      <formula>$F740="Fail"</formula>
    </cfRule>
  </conditionalFormatting>
  <conditionalFormatting sqref="F762:F785">
    <cfRule type="expression" dxfId="491" priority="8">
      <formula>$F762="Fail"</formula>
    </cfRule>
  </conditionalFormatting>
  <conditionalFormatting sqref="F786:F807">
    <cfRule type="expression" dxfId="490" priority="7">
      <formula>$F786="Fail"</formula>
    </cfRule>
  </conditionalFormatting>
  <conditionalFormatting sqref="F810:F824">
    <cfRule type="expression" dxfId="489" priority="6">
      <formula>$F810="Fail"</formula>
    </cfRule>
  </conditionalFormatting>
  <conditionalFormatting sqref="G26:K434">
    <cfRule type="expression" dxfId="488" priority="4">
      <formula>$F26="Fail"</formula>
    </cfRule>
  </conditionalFormatting>
  <conditionalFormatting sqref="G438:K807">
    <cfRule type="expression" dxfId="487" priority="3">
      <formula>$F438="Fail"</formula>
    </cfRule>
  </conditionalFormatting>
  <conditionalFormatting sqref="G810:K824">
    <cfRule type="expression" dxfId="486" priority="2">
      <formula>$F810="Fail"</formula>
    </cfRule>
  </conditionalFormatting>
  <conditionalFormatting sqref="F827:F837">
    <cfRule type="expression" dxfId="485" priority="1">
      <formula>$F827="Fail"</formula>
    </cfRule>
  </conditionalFormatting>
  <conditionalFormatting sqref="D4 D8 D12 D16 D20 D72 D84 D161 D173 D188">
    <cfRule type="expression" dxfId="484" priority="531">
      <formula>$F6="Fail"</formula>
    </cfRule>
  </conditionalFormatting>
  <conditionalFormatting sqref="D39 D299">
    <cfRule type="expression" dxfId="483" priority="533">
      <formula>$F40="Fail"</formula>
    </cfRule>
  </conditionalFormatting>
  <conditionalFormatting sqref="D97 D138">
    <cfRule type="expression" dxfId="482" priority="535">
      <formula>$F101="Fail"</formula>
    </cfRule>
  </conditionalFormatting>
  <conditionalFormatting sqref="D108 D206">
    <cfRule type="expression" dxfId="481" priority="537">
      <formula>$F111="Fail"</formula>
    </cfRule>
  </conditionalFormatting>
  <dataValidations count="1">
    <dataValidation type="list" allowBlank="1" showInputMessage="1" showErrorMessage="1" sqref="F2:F837">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Button5_Click">
                <anchor moveWithCells="1">
                  <from>
                    <xdr:col>0</xdr:col>
                    <xdr:colOff>57150</xdr:colOff>
                    <xdr:row>0</xdr:row>
                    <xdr:rowOff>28575</xdr:rowOff>
                  </from>
                  <to>
                    <xdr:col>0</xdr:col>
                    <xdr:colOff>57150</xdr:colOff>
                    <xdr:row>0</xdr:row>
                    <xdr:rowOff>38100</xdr:rowOff>
                  </to>
                </anchor>
              </controlPr>
            </control>
          </mc:Choice>
        </mc:AlternateContent>
        <mc:AlternateContent xmlns:mc="http://schemas.openxmlformats.org/markup-compatibility/2006">
          <mc:Choice Requires="x14">
            <control shapeId="4102" r:id="rId5" name="Button 6">
              <controlPr defaultSize="0" print="0" autoFill="0" autoPict="0" macro="[0]!formatting">
                <anchor moveWithCells="1" sizeWithCells="1">
                  <from>
                    <xdr:col>2</xdr:col>
                    <xdr:colOff>2114550</xdr:colOff>
                    <xdr:row>0</xdr:row>
                    <xdr:rowOff>57150</xdr:rowOff>
                  </from>
                  <to>
                    <xdr:col>2</xdr:col>
                    <xdr:colOff>2924175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75"/>
  <sheetViews>
    <sheetView zoomScaleNormal="100" workbookViewId="0">
      <pane ySplit="1" topLeftCell="A68" activePane="bottomLeft" state="frozen"/>
      <selection activeCell="C11" sqref="C11"/>
      <selection pane="bottomLeft" activeCell="F30" sqref="F3:F30"/>
    </sheetView>
  </sheetViews>
  <sheetFormatPr defaultRowHeight="15" x14ac:dyDescent="0.25"/>
  <cols>
    <col min="1" max="1" width="11.28515625" style="4" bestFit="1" customWidth="1"/>
    <col min="2" max="2" width="65.28515625" style="1" customWidth="1"/>
    <col min="3" max="3" width="75.85546875" style="1" bestFit="1" customWidth="1"/>
    <col min="4" max="4" width="38.28515625" style="1" customWidth="1"/>
    <col min="5" max="5" width="11" style="1" customWidth="1"/>
    <col min="6" max="6" width="14.7109375" style="1" customWidth="1"/>
    <col min="7" max="10" width="9.140625" style="1"/>
    <col min="11" max="11" width="16.5703125" style="1" customWidth="1"/>
    <col min="12" max="12" width="39" style="1" customWidth="1"/>
    <col min="13" max="16384" width="9.140625" style="1"/>
  </cols>
  <sheetData>
    <row r="1" spans="1:12" x14ac:dyDescent="0.25">
      <c r="A1" s="10" t="s">
        <v>1</v>
      </c>
      <c r="B1" s="11" t="s">
        <v>11</v>
      </c>
      <c r="C1" s="11" t="s">
        <v>2</v>
      </c>
      <c r="D1" s="12" t="s">
        <v>4</v>
      </c>
      <c r="E1" s="12" t="s">
        <v>3</v>
      </c>
      <c r="F1" s="11" t="s">
        <v>0</v>
      </c>
      <c r="G1" s="12" t="s">
        <v>5</v>
      </c>
      <c r="H1" s="12" t="s">
        <v>6</v>
      </c>
      <c r="I1" s="12"/>
      <c r="J1" s="12" t="s">
        <v>7</v>
      </c>
      <c r="K1" s="12" t="s">
        <v>8</v>
      </c>
      <c r="L1" s="12" t="s">
        <v>13</v>
      </c>
    </row>
    <row r="2" spans="1:12" s="20" customFormat="1" x14ac:dyDescent="0.25">
      <c r="A2" s="16">
        <v>1</v>
      </c>
      <c r="B2" s="79" t="s">
        <v>1142</v>
      </c>
      <c r="C2" s="80"/>
      <c r="D2" s="17"/>
      <c r="E2" s="17"/>
      <c r="F2" s="19"/>
      <c r="G2" s="19"/>
      <c r="H2" s="19"/>
      <c r="I2" s="19"/>
      <c r="J2" s="19"/>
      <c r="K2" s="19"/>
      <c r="L2" s="17"/>
    </row>
    <row r="3" spans="1:12" ht="40.5" customHeight="1" x14ac:dyDescent="0.25">
      <c r="A3" s="5">
        <f t="shared" ref="A3:A64" si="0">A2+0.0001</f>
        <v>1.0001</v>
      </c>
      <c r="B3" s="82" t="s">
        <v>957</v>
      </c>
      <c r="C3" s="78"/>
      <c r="D3" s="78" t="s">
        <v>1176</v>
      </c>
      <c r="E3" s="6"/>
      <c r="F3" s="8" t="s">
        <v>7</v>
      </c>
      <c r="G3" s="8">
        <f t="shared" ref="G3:K33" si="1">IF($F3=G$1,1,0)</f>
        <v>0</v>
      </c>
      <c r="H3" s="8">
        <f t="shared" si="1"/>
        <v>0</v>
      </c>
      <c r="I3" s="8">
        <f t="shared" si="1"/>
        <v>0</v>
      </c>
      <c r="J3" s="8">
        <f t="shared" si="1"/>
        <v>1</v>
      </c>
      <c r="K3" s="8">
        <f t="shared" si="1"/>
        <v>0</v>
      </c>
      <c r="L3" s="77"/>
    </row>
    <row r="4" spans="1:12" x14ac:dyDescent="0.25">
      <c r="A4" s="45">
        <f t="shared" si="0"/>
        <v>1.0002</v>
      </c>
      <c r="B4" s="133" t="s">
        <v>988</v>
      </c>
      <c r="C4" s="144" t="s">
        <v>987</v>
      </c>
      <c r="D4" s="30"/>
      <c r="E4" s="26"/>
      <c r="F4" s="8" t="s">
        <v>7</v>
      </c>
      <c r="G4" s="8">
        <f t="shared" si="1"/>
        <v>0</v>
      </c>
      <c r="H4" s="8">
        <f t="shared" si="1"/>
        <v>0</v>
      </c>
      <c r="I4" s="8">
        <f t="shared" si="1"/>
        <v>0</v>
      </c>
      <c r="J4" s="8">
        <f t="shared" si="1"/>
        <v>1</v>
      </c>
      <c r="K4" s="8">
        <f t="shared" si="1"/>
        <v>0</v>
      </c>
      <c r="L4" s="30"/>
    </row>
    <row r="5" spans="1:12" x14ac:dyDescent="0.25">
      <c r="A5" s="39">
        <f t="shared" si="0"/>
        <v>1.0003</v>
      </c>
      <c r="B5" s="143" t="s">
        <v>1138</v>
      </c>
      <c r="C5" s="137" t="s">
        <v>1134</v>
      </c>
      <c r="D5" s="140"/>
      <c r="E5" s="134"/>
      <c r="F5" s="8" t="s">
        <v>7</v>
      </c>
      <c r="G5" s="173">
        <f t="shared" si="1"/>
        <v>0</v>
      </c>
      <c r="H5" s="173">
        <f t="shared" si="1"/>
        <v>0</v>
      </c>
      <c r="I5" s="173">
        <f t="shared" si="1"/>
        <v>0</v>
      </c>
      <c r="J5" s="176">
        <f t="shared" si="1"/>
        <v>1</v>
      </c>
      <c r="K5" s="8">
        <f t="shared" si="1"/>
        <v>0</v>
      </c>
      <c r="L5" s="30"/>
    </row>
    <row r="6" spans="1:12" x14ac:dyDescent="0.25">
      <c r="A6" s="131"/>
      <c r="B6" s="135"/>
      <c r="C6" s="138" t="s">
        <v>1135</v>
      </c>
      <c r="D6" s="141"/>
      <c r="E6" s="135"/>
      <c r="F6" s="8" t="s">
        <v>7</v>
      </c>
      <c r="G6" s="174"/>
      <c r="H6" s="174"/>
      <c r="I6" s="174"/>
      <c r="J6" s="177"/>
      <c r="K6" s="8">
        <f t="shared" si="1"/>
        <v>0</v>
      </c>
      <c r="L6" s="28"/>
    </row>
    <row r="7" spans="1:12" x14ac:dyDescent="0.25">
      <c r="A7" s="131"/>
      <c r="B7" s="135"/>
      <c r="C7" s="138" t="s">
        <v>1136</v>
      </c>
      <c r="D7" s="141"/>
      <c r="E7" s="135"/>
      <c r="F7" s="8" t="s">
        <v>7</v>
      </c>
      <c r="G7" s="174"/>
      <c r="H7" s="174"/>
      <c r="I7" s="174"/>
      <c r="J7" s="177"/>
      <c r="K7" s="8">
        <f t="shared" si="1"/>
        <v>0</v>
      </c>
      <c r="L7" s="28"/>
    </row>
    <row r="8" spans="1:12" x14ac:dyDescent="0.25">
      <c r="A8" s="132"/>
      <c r="B8" s="136"/>
      <c r="C8" s="139" t="s">
        <v>1137</v>
      </c>
      <c r="D8" s="142"/>
      <c r="E8" s="136"/>
      <c r="F8" s="8" t="s">
        <v>7</v>
      </c>
      <c r="G8" s="175"/>
      <c r="H8" s="175"/>
      <c r="I8" s="175"/>
      <c r="J8" s="178"/>
      <c r="K8" s="8">
        <f t="shared" si="1"/>
        <v>0</v>
      </c>
      <c r="L8" s="25"/>
    </row>
    <row r="9" spans="1:12" x14ac:dyDescent="0.25">
      <c r="A9" s="130">
        <f>+A5+0.0001</f>
        <v>1.0004</v>
      </c>
      <c r="B9" s="92" t="s">
        <v>1140</v>
      </c>
      <c r="C9" s="145"/>
      <c r="D9" s="25"/>
      <c r="E9" s="29"/>
      <c r="F9" s="8" t="s">
        <v>7</v>
      </c>
      <c r="G9" s="8">
        <f t="shared" si="1"/>
        <v>0</v>
      </c>
      <c r="H9" s="8">
        <f t="shared" si="1"/>
        <v>0</v>
      </c>
      <c r="I9" s="8">
        <f t="shared" si="1"/>
        <v>0</v>
      </c>
      <c r="J9" s="8">
        <f t="shared" si="1"/>
        <v>1</v>
      </c>
      <c r="K9" s="8">
        <f t="shared" si="1"/>
        <v>0</v>
      </c>
      <c r="L9" s="25"/>
    </row>
    <row r="10" spans="1:12" x14ac:dyDescent="0.25">
      <c r="A10" s="45">
        <f t="shared" si="0"/>
        <v>1.0004999999999999</v>
      </c>
      <c r="B10" s="146" t="s">
        <v>1139</v>
      </c>
      <c r="D10" s="77"/>
      <c r="E10" s="76"/>
      <c r="F10" s="8" t="s">
        <v>7</v>
      </c>
      <c r="G10" s="8">
        <f t="shared" si="1"/>
        <v>0</v>
      </c>
      <c r="H10" s="8">
        <f t="shared" si="1"/>
        <v>0</v>
      </c>
      <c r="I10" s="8">
        <f t="shared" si="1"/>
        <v>0</v>
      </c>
      <c r="J10" s="8">
        <f t="shared" si="1"/>
        <v>1</v>
      </c>
      <c r="K10" s="8">
        <f t="shared" si="1"/>
        <v>0</v>
      </c>
      <c r="L10" s="77"/>
    </row>
    <row r="11" spans="1:12" ht="25.5" x14ac:dyDescent="0.25">
      <c r="A11" s="39">
        <f t="shared" si="0"/>
        <v>1.0005999999999999</v>
      </c>
      <c r="B11" s="171" t="s">
        <v>1141</v>
      </c>
      <c r="C11" s="23" t="s">
        <v>1130</v>
      </c>
      <c r="D11" s="83" t="s">
        <v>1177</v>
      </c>
      <c r="E11" s="76"/>
      <c r="F11" s="8" t="s">
        <v>7</v>
      </c>
      <c r="G11" s="8">
        <f t="shared" si="1"/>
        <v>0</v>
      </c>
      <c r="H11" s="8">
        <f t="shared" si="1"/>
        <v>0</v>
      </c>
      <c r="I11" s="8">
        <f t="shared" si="1"/>
        <v>0</v>
      </c>
      <c r="J11" s="8">
        <f t="shared" si="1"/>
        <v>1</v>
      </c>
      <c r="K11" s="8">
        <f t="shared" si="1"/>
        <v>0</v>
      </c>
      <c r="L11" s="77"/>
    </row>
    <row r="12" spans="1:12" x14ac:dyDescent="0.25">
      <c r="A12" s="132"/>
      <c r="B12" s="172"/>
      <c r="C12" s="23" t="s">
        <v>1131</v>
      </c>
      <c r="D12" s="77"/>
      <c r="E12" s="76"/>
      <c r="F12" s="8" t="s">
        <v>7</v>
      </c>
      <c r="G12" s="8">
        <f t="shared" si="1"/>
        <v>0</v>
      </c>
      <c r="H12" s="8">
        <f t="shared" si="1"/>
        <v>0</v>
      </c>
      <c r="I12" s="8">
        <f t="shared" si="1"/>
        <v>0</v>
      </c>
      <c r="J12" s="8">
        <f t="shared" si="1"/>
        <v>1</v>
      </c>
      <c r="K12" s="8">
        <f t="shared" si="1"/>
        <v>0</v>
      </c>
      <c r="L12" s="77"/>
    </row>
    <row r="13" spans="1:12" ht="25.5" x14ac:dyDescent="0.25">
      <c r="A13" s="5">
        <f>A11+0.0001</f>
        <v>1.0006999999999999</v>
      </c>
      <c r="B13" s="82" t="s">
        <v>958</v>
      </c>
      <c r="C13" s="78" t="s">
        <v>989</v>
      </c>
      <c r="D13" s="77" t="s">
        <v>1178</v>
      </c>
      <c r="E13" s="76"/>
      <c r="F13" s="8" t="s">
        <v>7</v>
      </c>
      <c r="G13" s="8">
        <f t="shared" si="1"/>
        <v>0</v>
      </c>
      <c r="H13" s="8">
        <f t="shared" si="1"/>
        <v>0</v>
      </c>
      <c r="I13" s="8">
        <f t="shared" si="1"/>
        <v>0</v>
      </c>
      <c r="J13" s="8">
        <f t="shared" si="1"/>
        <v>1</v>
      </c>
      <c r="K13" s="8">
        <f t="shared" si="1"/>
        <v>0</v>
      </c>
      <c r="L13" s="77"/>
    </row>
    <row r="14" spans="1:12" ht="25.5" x14ac:dyDescent="0.25">
      <c r="A14" s="5">
        <f t="shared" si="0"/>
        <v>1.0007999999999999</v>
      </c>
      <c r="B14" s="94"/>
      <c r="C14" s="78" t="s">
        <v>1011</v>
      </c>
      <c r="D14" s="95" t="s">
        <v>1010</v>
      </c>
      <c r="E14" s="76"/>
      <c r="F14" s="8" t="s">
        <v>7</v>
      </c>
      <c r="G14" s="8">
        <f t="shared" si="1"/>
        <v>0</v>
      </c>
      <c r="H14" s="8">
        <f t="shared" si="1"/>
        <v>0</v>
      </c>
      <c r="I14" s="8">
        <f t="shared" si="1"/>
        <v>0</v>
      </c>
      <c r="J14" s="8">
        <f t="shared" si="1"/>
        <v>1</v>
      </c>
      <c r="K14" s="8">
        <f t="shared" si="1"/>
        <v>0</v>
      </c>
      <c r="L14" s="77"/>
    </row>
    <row r="15" spans="1:12" x14ac:dyDescent="0.25">
      <c r="A15" s="5">
        <f t="shared" si="0"/>
        <v>1.0008999999999999</v>
      </c>
      <c r="B15" s="76"/>
      <c r="C15" s="78" t="s">
        <v>1132</v>
      </c>
      <c r="D15" s="77"/>
      <c r="E15" s="76"/>
      <c r="F15" s="8" t="s">
        <v>7</v>
      </c>
      <c r="G15" s="8">
        <f t="shared" si="1"/>
        <v>0</v>
      </c>
      <c r="H15" s="8">
        <f t="shared" si="1"/>
        <v>0</v>
      </c>
      <c r="I15" s="8">
        <f t="shared" si="1"/>
        <v>0</v>
      </c>
      <c r="J15" s="8">
        <f t="shared" si="1"/>
        <v>1</v>
      </c>
      <c r="K15" s="8">
        <f t="shared" si="1"/>
        <v>0</v>
      </c>
      <c r="L15" s="77"/>
    </row>
    <row r="16" spans="1:12" ht="25.5" x14ac:dyDescent="0.25">
      <c r="A16" s="5">
        <f t="shared" si="0"/>
        <v>1.0009999999999999</v>
      </c>
      <c r="B16" s="76" t="s">
        <v>1012</v>
      </c>
      <c r="C16" s="78" t="s">
        <v>1013</v>
      </c>
      <c r="D16" s="77"/>
      <c r="E16" s="76"/>
      <c r="F16" s="8" t="s">
        <v>7</v>
      </c>
      <c r="G16" s="8">
        <f t="shared" si="1"/>
        <v>0</v>
      </c>
      <c r="H16" s="8">
        <f t="shared" si="1"/>
        <v>0</v>
      </c>
      <c r="I16" s="8">
        <f t="shared" si="1"/>
        <v>0</v>
      </c>
      <c r="J16" s="8">
        <f t="shared" si="1"/>
        <v>1</v>
      </c>
      <c r="K16" s="8">
        <f t="shared" si="1"/>
        <v>0</v>
      </c>
      <c r="L16" s="77"/>
    </row>
    <row r="17" spans="1:12" x14ac:dyDescent="0.25">
      <c r="A17" s="5">
        <f t="shared" si="0"/>
        <v>1.0010999999999999</v>
      </c>
      <c r="B17" s="82" t="s">
        <v>990</v>
      </c>
      <c r="C17" s="89" t="s">
        <v>993</v>
      </c>
      <c r="D17" s="77"/>
      <c r="E17" s="76"/>
      <c r="F17" s="8" t="s">
        <v>7</v>
      </c>
      <c r="G17" s="8">
        <f t="shared" si="1"/>
        <v>0</v>
      </c>
      <c r="H17" s="8">
        <f t="shared" si="1"/>
        <v>0</v>
      </c>
      <c r="I17" s="8">
        <f t="shared" si="1"/>
        <v>0</v>
      </c>
      <c r="J17" s="8">
        <f t="shared" si="1"/>
        <v>1</v>
      </c>
      <c r="K17" s="8">
        <f t="shared" si="1"/>
        <v>0</v>
      </c>
      <c r="L17" s="77"/>
    </row>
    <row r="18" spans="1:12" x14ac:dyDescent="0.25">
      <c r="A18" s="5">
        <f t="shared" si="0"/>
        <v>1.0011999999999999</v>
      </c>
      <c r="B18" s="76"/>
      <c r="C18" s="91" t="s">
        <v>991</v>
      </c>
      <c r="D18" s="77"/>
      <c r="E18" s="76"/>
      <c r="F18" s="8" t="s">
        <v>7</v>
      </c>
      <c r="G18" s="8">
        <f t="shared" si="1"/>
        <v>0</v>
      </c>
      <c r="H18" s="8">
        <f t="shared" si="1"/>
        <v>0</v>
      </c>
      <c r="I18" s="8">
        <f t="shared" si="1"/>
        <v>0</v>
      </c>
      <c r="J18" s="8">
        <f t="shared" si="1"/>
        <v>1</v>
      </c>
      <c r="K18" s="8">
        <f t="shared" si="1"/>
        <v>0</v>
      </c>
      <c r="L18" s="77"/>
    </row>
    <row r="19" spans="1:12" x14ac:dyDescent="0.25">
      <c r="A19" s="5">
        <f t="shared" si="0"/>
        <v>1.0012999999999999</v>
      </c>
      <c r="B19" s="76"/>
      <c r="C19" s="78" t="s">
        <v>994</v>
      </c>
      <c r="D19" s="77"/>
      <c r="E19" s="76"/>
      <c r="F19" s="8" t="s">
        <v>7</v>
      </c>
      <c r="G19" s="8">
        <f t="shared" si="1"/>
        <v>0</v>
      </c>
      <c r="H19" s="8">
        <f t="shared" si="1"/>
        <v>0</v>
      </c>
      <c r="I19" s="8">
        <f t="shared" si="1"/>
        <v>0</v>
      </c>
      <c r="J19" s="8">
        <f t="shared" si="1"/>
        <v>1</v>
      </c>
      <c r="K19" s="8">
        <f t="shared" si="1"/>
        <v>0</v>
      </c>
      <c r="L19" s="77"/>
    </row>
    <row r="20" spans="1:12" x14ac:dyDescent="0.25">
      <c r="A20" s="5">
        <f t="shared" si="0"/>
        <v>1.0013999999999998</v>
      </c>
      <c r="B20" s="82" t="s">
        <v>992</v>
      </c>
      <c r="C20" s="78" t="s">
        <v>1133</v>
      </c>
      <c r="D20" s="77"/>
      <c r="E20" s="76"/>
      <c r="F20" s="8" t="s">
        <v>7</v>
      </c>
      <c r="G20" s="8">
        <f t="shared" si="1"/>
        <v>0</v>
      </c>
      <c r="H20" s="8">
        <f t="shared" si="1"/>
        <v>0</v>
      </c>
      <c r="I20" s="8">
        <f t="shared" si="1"/>
        <v>0</v>
      </c>
      <c r="J20" s="8">
        <f t="shared" si="1"/>
        <v>1</v>
      </c>
      <c r="K20" s="8">
        <f t="shared" si="1"/>
        <v>0</v>
      </c>
      <c r="L20" s="77"/>
    </row>
    <row r="21" spans="1:12" x14ac:dyDescent="0.25">
      <c r="A21" s="5">
        <f t="shared" si="0"/>
        <v>1.0014999999999998</v>
      </c>
      <c r="B21" s="76"/>
      <c r="C21" s="78" t="s">
        <v>1000</v>
      </c>
      <c r="D21" s="77"/>
      <c r="E21" s="76"/>
      <c r="F21" s="8" t="s">
        <v>7</v>
      </c>
      <c r="G21" s="8">
        <f t="shared" si="1"/>
        <v>0</v>
      </c>
      <c r="H21" s="8">
        <f t="shared" si="1"/>
        <v>0</v>
      </c>
      <c r="I21" s="8">
        <f t="shared" si="1"/>
        <v>0</v>
      </c>
      <c r="J21" s="8">
        <f t="shared" si="1"/>
        <v>1</v>
      </c>
      <c r="K21" s="8">
        <f t="shared" si="1"/>
        <v>0</v>
      </c>
      <c r="L21" s="77"/>
    </row>
    <row r="22" spans="1:12" x14ac:dyDescent="0.25">
      <c r="A22" s="5">
        <f t="shared" si="0"/>
        <v>1.0015999999999998</v>
      </c>
      <c r="B22" s="76"/>
      <c r="C22" s="78" t="s">
        <v>995</v>
      </c>
      <c r="D22" s="77"/>
      <c r="E22" s="76"/>
      <c r="F22" s="8" t="s">
        <v>7</v>
      </c>
      <c r="G22" s="8">
        <f t="shared" si="1"/>
        <v>0</v>
      </c>
      <c r="H22" s="8">
        <f t="shared" si="1"/>
        <v>0</v>
      </c>
      <c r="I22" s="8">
        <f t="shared" si="1"/>
        <v>0</v>
      </c>
      <c r="J22" s="8">
        <f t="shared" si="1"/>
        <v>1</v>
      </c>
      <c r="K22" s="8">
        <f t="shared" si="1"/>
        <v>0</v>
      </c>
      <c r="L22" s="77"/>
    </row>
    <row r="23" spans="1:12" x14ac:dyDescent="0.25">
      <c r="A23" s="5">
        <f t="shared" si="0"/>
        <v>1.0016999999999998</v>
      </c>
      <c r="B23" s="76"/>
      <c r="C23" s="78" t="s">
        <v>996</v>
      </c>
      <c r="D23" s="77"/>
      <c r="E23" s="76"/>
      <c r="F23" s="8" t="s">
        <v>7</v>
      </c>
      <c r="G23" s="8">
        <f t="shared" si="1"/>
        <v>0</v>
      </c>
      <c r="H23" s="8">
        <f t="shared" si="1"/>
        <v>0</v>
      </c>
      <c r="I23" s="8">
        <f t="shared" si="1"/>
        <v>0</v>
      </c>
      <c r="J23" s="8">
        <f t="shared" si="1"/>
        <v>1</v>
      </c>
      <c r="K23" s="8">
        <f t="shared" si="1"/>
        <v>0</v>
      </c>
      <c r="L23" s="77"/>
    </row>
    <row r="24" spans="1:12" x14ac:dyDescent="0.25">
      <c r="A24" s="5">
        <f t="shared" si="0"/>
        <v>1.0017999999999998</v>
      </c>
      <c r="B24" s="76"/>
      <c r="C24" s="78" t="s">
        <v>997</v>
      </c>
      <c r="D24" s="77"/>
      <c r="E24" s="76"/>
      <c r="F24" s="8" t="s">
        <v>7</v>
      </c>
      <c r="G24" s="8">
        <f t="shared" si="1"/>
        <v>0</v>
      </c>
      <c r="H24" s="8">
        <f t="shared" si="1"/>
        <v>0</v>
      </c>
      <c r="I24" s="8">
        <f t="shared" si="1"/>
        <v>0</v>
      </c>
      <c r="J24" s="8">
        <f t="shared" si="1"/>
        <v>1</v>
      </c>
      <c r="K24" s="8">
        <f t="shared" si="1"/>
        <v>0</v>
      </c>
      <c r="L24" s="77"/>
    </row>
    <row r="25" spans="1:12" x14ac:dyDescent="0.25">
      <c r="A25" s="5">
        <f t="shared" si="0"/>
        <v>1.0018999999999998</v>
      </c>
      <c r="B25" s="76"/>
      <c r="C25" s="78" t="s">
        <v>998</v>
      </c>
      <c r="D25" s="77"/>
      <c r="E25" s="76"/>
      <c r="F25" s="8" t="s">
        <v>7</v>
      </c>
      <c r="G25" s="8">
        <f t="shared" si="1"/>
        <v>0</v>
      </c>
      <c r="H25" s="8">
        <f t="shared" si="1"/>
        <v>0</v>
      </c>
      <c r="I25" s="8">
        <f t="shared" si="1"/>
        <v>0</v>
      </c>
      <c r="J25" s="8">
        <f t="shared" si="1"/>
        <v>1</v>
      </c>
      <c r="K25" s="8">
        <f t="shared" si="1"/>
        <v>0</v>
      </c>
      <c r="L25" s="77"/>
    </row>
    <row r="26" spans="1:12" x14ac:dyDescent="0.25">
      <c r="A26" s="5">
        <f t="shared" si="0"/>
        <v>1.0019999999999998</v>
      </c>
      <c r="B26" s="82" t="s">
        <v>1018</v>
      </c>
      <c r="C26" s="78" t="s">
        <v>1014</v>
      </c>
      <c r="D26" s="77" t="s">
        <v>1179</v>
      </c>
      <c r="E26" s="76"/>
      <c r="F26" s="8" t="s">
        <v>7</v>
      </c>
      <c r="G26" s="8">
        <f t="shared" si="1"/>
        <v>0</v>
      </c>
      <c r="H26" s="8">
        <f t="shared" si="1"/>
        <v>0</v>
      </c>
      <c r="I26" s="8">
        <f t="shared" si="1"/>
        <v>0</v>
      </c>
      <c r="J26" s="8">
        <f t="shared" si="1"/>
        <v>1</v>
      </c>
      <c r="K26" s="8">
        <f t="shared" si="1"/>
        <v>0</v>
      </c>
      <c r="L26" s="77"/>
    </row>
    <row r="27" spans="1:12" x14ac:dyDescent="0.25">
      <c r="A27" s="5">
        <f t="shared" si="0"/>
        <v>1.0020999999999998</v>
      </c>
      <c r="B27" s="76"/>
      <c r="C27" s="78" t="s">
        <v>1016</v>
      </c>
      <c r="D27" s="77"/>
      <c r="E27" s="76"/>
      <c r="F27" s="8" t="s">
        <v>7</v>
      </c>
      <c r="G27" s="8">
        <f t="shared" si="1"/>
        <v>0</v>
      </c>
      <c r="H27" s="8">
        <f t="shared" si="1"/>
        <v>0</v>
      </c>
      <c r="I27" s="8">
        <f t="shared" si="1"/>
        <v>0</v>
      </c>
      <c r="J27" s="8">
        <f t="shared" si="1"/>
        <v>1</v>
      </c>
      <c r="K27" s="8">
        <f t="shared" si="1"/>
        <v>0</v>
      </c>
      <c r="L27" s="77"/>
    </row>
    <row r="28" spans="1:12" x14ac:dyDescent="0.25">
      <c r="A28" s="5">
        <f t="shared" si="0"/>
        <v>1.0021999999999998</v>
      </c>
      <c r="B28" s="76"/>
      <c r="C28" s="78" t="s">
        <v>1015</v>
      </c>
      <c r="D28" s="77"/>
      <c r="E28" s="76"/>
      <c r="F28" s="8" t="s">
        <v>7</v>
      </c>
      <c r="G28" s="8">
        <f t="shared" si="1"/>
        <v>0</v>
      </c>
      <c r="H28" s="8">
        <f t="shared" si="1"/>
        <v>0</v>
      </c>
      <c r="I28" s="8">
        <f t="shared" si="1"/>
        <v>0</v>
      </c>
      <c r="J28" s="8">
        <f t="shared" si="1"/>
        <v>1</v>
      </c>
      <c r="K28" s="8">
        <f t="shared" si="1"/>
        <v>0</v>
      </c>
      <c r="L28" s="77"/>
    </row>
    <row r="29" spans="1:12" x14ac:dyDescent="0.25">
      <c r="A29" s="5">
        <f t="shared" si="0"/>
        <v>1.0022999999999997</v>
      </c>
      <c r="B29" s="76"/>
      <c r="C29" s="78" t="s">
        <v>1017</v>
      </c>
      <c r="D29" s="77"/>
      <c r="E29" s="76"/>
      <c r="F29" s="8" t="s">
        <v>7</v>
      </c>
      <c r="G29" s="8">
        <f t="shared" si="1"/>
        <v>0</v>
      </c>
      <c r="H29" s="8">
        <f t="shared" si="1"/>
        <v>0</v>
      </c>
      <c r="I29" s="8">
        <f t="shared" si="1"/>
        <v>0</v>
      </c>
      <c r="J29" s="8">
        <f t="shared" si="1"/>
        <v>1</v>
      </c>
      <c r="K29" s="8">
        <f t="shared" si="1"/>
        <v>0</v>
      </c>
      <c r="L29" s="77"/>
    </row>
    <row r="30" spans="1:12" x14ac:dyDescent="0.25">
      <c r="A30" s="5">
        <f t="shared" si="0"/>
        <v>1.0023999999999997</v>
      </c>
      <c r="B30" s="82" t="s">
        <v>1003</v>
      </c>
      <c r="C30" s="78" t="s">
        <v>1004</v>
      </c>
      <c r="D30" s="77" t="s">
        <v>1019</v>
      </c>
      <c r="E30" s="76"/>
      <c r="F30" s="8" t="s">
        <v>7</v>
      </c>
      <c r="G30" s="8">
        <f t="shared" si="1"/>
        <v>0</v>
      </c>
      <c r="H30" s="8">
        <f t="shared" si="1"/>
        <v>0</v>
      </c>
      <c r="I30" s="8">
        <f t="shared" si="1"/>
        <v>0</v>
      </c>
      <c r="J30" s="8">
        <f t="shared" si="1"/>
        <v>1</v>
      </c>
      <c r="K30" s="8">
        <f t="shared" si="1"/>
        <v>0</v>
      </c>
      <c r="L30" s="77"/>
    </row>
    <row r="31" spans="1:12" s="20" customFormat="1" x14ac:dyDescent="0.25">
      <c r="A31" s="16">
        <v>2</v>
      </c>
      <c r="B31" s="79" t="s">
        <v>999</v>
      </c>
      <c r="C31" s="80"/>
      <c r="D31" s="79"/>
      <c r="E31" s="79"/>
      <c r="F31" s="19"/>
      <c r="G31" s="19"/>
      <c r="H31" s="19"/>
      <c r="I31" s="19"/>
      <c r="J31" s="19"/>
      <c r="K31" s="19"/>
      <c r="L31" s="79"/>
    </row>
    <row r="32" spans="1:12" ht="25.5" x14ac:dyDescent="0.25">
      <c r="A32" s="5">
        <f t="shared" si="0"/>
        <v>2.0001000000000002</v>
      </c>
      <c r="B32" s="76" t="s">
        <v>1001</v>
      </c>
      <c r="C32" s="78"/>
      <c r="D32" s="7"/>
      <c r="E32" s="7"/>
      <c r="F32" s="8" t="s">
        <v>7</v>
      </c>
      <c r="G32" s="8">
        <f t="shared" ref="G32:J33" si="2">IF($F32=G$1,1,0)</f>
        <v>0</v>
      </c>
      <c r="H32" s="8">
        <f t="shared" si="2"/>
        <v>0</v>
      </c>
      <c r="I32" s="8">
        <f t="shared" si="2"/>
        <v>0</v>
      </c>
      <c r="J32" s="8">
        <f t="shared" si="2"/>
        <v>1</v>
      </c>
      <c r="K32" s="8">
        <f t="shared" si="1"/>
        <v>0</v>
      </c>
      <c r="L32" s="7"/>
    </row>
    <row r="33" spans="1:12" ht="25.5" x14ac:dyDescent="0.25">
      <c r="A33" s="5">
        <f t="shared" si="0"/>
        <v>2.0002000000000004</v>
      </c>
      <c r="B33" s="82" t="s">
        <v>757</v>
      </c>
      <c r="C33" s="78" t="s">
        <v>758</v>
      </c>
      <c r="D33" s="77"/>
      <c r="E33" s="77"/>
      <c r="F33" s="8" t="s">
        <v>7</v>
      </c>
      <c r="G33" s="8">
        <f t="shared" si="2"/>
        <v>0</v>
      </c>
      <c r="H33" s="8">
        <f t="shared" si="2"/>
        <v>0</v>
      </c>
      <c r="I33" s="8">
        <f t="shared" si="2"/>
        <v>0</v>
      </c>
      <c r="J33" s="8">
        <f t="shared" si="2"/>
        <v>1</v>
      </c>
      <c r="K33" s="8">
        <f t="shared" si="1"/>
        <v>0</v>
      </c>
      <c r="L33" s="77"/>
    </row>
    <row r="34" spans="1:12" ht="25.5" x14ac:dyDescent="0.25">
      <c r="A34" s="5">
        <f t="shared" si="0"/>
        <v>2.0003000000000006</v>
      </c>
      <c r="B34" s="83" t="s">
        <v>797</v>
      </c>
      <c r="C34" s="82" t="s">
        <v>1002</v>
      </c>
      <c r="D34" s="77"/>
      <c r="E34" s="77"/>
      <c r="F34" s="8" t="s">
        <v>7</v>
      </c>
      <c r="G34" s="8">
        <f t="shared" ref="G34:K49" si="3">IF($F34=G$1,1,0)</f>
        <v>0</v>
      </c>
      <c r="H34" s="8">
        <f t="shared" si="3"/>
        <v>0</v>
      </c>
      <c r="I34" s="8">
        <f t="shared" si="3"/>
        <v>0</v>
      </c>
      <c r="J34" s="8">
        <f t="shared" si="3"/>
        <v>1</v>
      </c>
      <c r="K34" s="8">
        <f t="shared" si="3"/>
        <v>0</v>
      </c>
      <c r="L34" s="77"/>
    </row>
    <row r="35" spans="1:12" x14ac:dyDescent="0.25">
      <c r="A35" s="5">
        <f t="shared" si="0"/>
        <v>2.0004000000000008</v>
      </c>
      <c r="B35" s="77"/>
      <c r="C35" s="82" t="s">
        <v>791</v>
      </c>
      <c r="D35" s="77"/>
      <c r="E35" s="77"/>
      <c r="F35" s="8" t="s">
        <v>7</v>
      </c>
      <c r="G35" s="8">
        <f t="shared" si="3"/>
        <v>0</v>
      </c>
      <c r="H35" s="8">
        <f t="shared" si="3"/>
        <v>0</v>
      </c>
      <c r="I35" s="8">
        <f t="shared" si="3"/>
        <v>0</v>
      </c>
      <c r="J35" s="8">
        <f t="shared" si="3"/>
        <v>1</v>
      </c>
      <c r="K35" s="8">
        <f t="shared" si="3"/>
        <v>0</v>
      </c>
      <c r="L35" s="77"/>
    </row>
    <row r="36" spans="1:12" x14ac:dyDescent="0.25">
      <c r="A36" s="5">
        <f t="shared" si="0"/>
        <v>2.0005000000000011</v>
      </c>
      <c r="B36" s="77"/>
      <c r="C36" s="76" t="s">
        <v>792</v>
      </c>
      <c r="D36" s="77"/>
      <c r="E36" s="77"/>
      <c r="F36" s="8" t="s">
        <v>7</v>
      </c>
      <c r="G36" s="8">
        <f t="shared" si="3"/>
        <v>0</v>
      </c>
      <c r="H36" s="8">
        <f t="shared" si="3"/>
        <v>0</v>
      </c>
      <c r="I36" s="8">
        <f t="shared" si="3"/>
        <v>0</v>
      </c>
      <c r="J36" s="8">
        <f t="shared" si="3"/>
        <v>1</v>
      </c>
      <c r="K36" s="8">
        <f t="shared" si="3"/>
        <v>0</v>
      </c>
      <c r="L36" s="77"/>
    </row>
    <row r="37" spans="1:12" x14ac:dyDescent="0.25">
      <c r="A37" s="5">
        <f t="shared" si="0"/>
        <v>2.0006000000000013</v>
      </c>
      <c r="B37" s="77"/>
      <c r="C37" s="76" t="s">
        <v>793</v>
      </c>
      <c r="D37" s="77"/>
      <c r="E37" s="77"/>
      <c r="F37" s="8" t="s">
        <v>7</v>
      </c>
      <c r="G37" s="8">
        <f t="shared" si="3"/>
        <v>0</v>
      </c>
      <c r="H37" s="8">
        <f t="shared" si="3"/>
        <v>0</v>
      </c>
      <c r="I37" s="8">
        <f t="shared" si="3"/>
        <v>0</v>
      </c>
      <c r="J37" s="8">
        <f t="shared" si="3"/>
        <v>1</v>
      </c>
      <c r="K37" s="8">
        <f t="shared" si="3"/>
        <v>0</v>
      </c>
      <c r="L37" s="77"/>
    </row>
    <row r="38" spans="1:12" x14ac:dyDescent="0.25">
      <c r="A38" s="5">
        <f t="shared" si="0"/>
        <v>2.0007000000000015</v>
      </c>
      <c r="B38" s="77"/>
      <c r="C38" s="76" t="s">
        <v>794</v>
      </c>
      <c r="D38" s="77"/>
      <c r="E38" s="77"/>
      <c r="F38" s="8" t="s">
        <v>7</v>
      </c>
      <c r="G38" s="8">
        <f t="shared" si="3"/>
        <v>0</v>
      </c>
      <c r="H38" s="8">
        <f t="shared" si="3"/>
        <v>0</v>
      </c>
      <c r="I38" s="8">
        <f t="shared" si="3"/>
        <v>0</v>
      </c>
      <c r="J38" s="8">
        <f t="shared" si="3"/>
        <v>1</v>
      </c>
      <c r="K38" s="8">
        <f t="shared" si="3"/>
        <v>0</v>
      </c>
      <c r="L38" s="77"/>
    </row>
    <row r="39" spans="1:12" x14ac:dyDescent="0.25">
      <c r="A39" s="5">
        <f t="shared" si="0"/>
        <v>2.0008000000000017</v>
      </c>
      <c r="B39" s="77"/>
      <c r="C39" s="76" t="s">
        <v>795</v>
      </c>
      <c r="D39" s="77"/>
      <c r="E39" s="77"/>
      <c r="F39" s="8" t="s">
        <v>7</v>
      </c>
      <c r="G39" s="8">
        <f t="shared" si="3"/>
        <v>0</v>
      </c>
      <c r="H39" s="8">
        <f t="shared" si="3"/>
        <v>0</v>
      </c>
      <c r="I39" s="8">
        <f t="shared" si="3"/>
        <v>0</v>
      </c>
      <c r="J39" s="8">
        <f t="shared" si="3"/>
        <v>1</v>
      </c>
      <c r="K39" s="8">
        <f t="shared" si="3"/>
        <v>0</v>
      </c>
      <c r="L39" s="77"/>
    </row>
    <row r="40" spans="1:12" x14ac:dyDescent="0.25">
      <c r="A40" s="5">
        <f t="shared" si="0"/>
        <v>2.0009000000000019</v>
      </c>
      <c r="B40" s="77"/>
      <c r="C40" s="76" t="s">
        <v>796</v>
      </c>
      <c r="D40" s="77"/>
      <c r="E40" s="77"/>
      <c r="F40" s="8" t="s">
        <v>7</v>
      </c>
      <c r="G40" s="8">
        <f t="shared" si="3"/>
        <v>0</v>
      </c>
      <c r="H40" s="8">
        <f t="shared" si="3"/>
        <v>0</v>
      </c>
      <c r="I40" s="8">
        <f t="shared" si="3"/>
        <v>0</v>
      </c>
      <c r="J40" s="8">
        <f t="shared" si="3"/>
        <v>1</v>
      </c>
      <c r="K40" s="8">
        <f t="shared" si="3"/>
        <v>0</v>
      </c>
      <c r="L40" s="77"/>
    </row>
    <row r="41" spans="1:12" x14ac:dyDescent="0.25">
      <c r="A41" s="5">
        <f t="shared" si="0"/>
        <v>2.0010000000000021</v>
      </c>
      <c r="B41" s="77"/>
      <c r="C41" s="76" t="s">
        <v>810</v>
      </c>
      <c r="D41" s="77"/>
      <c r="E41" s="77"/>
      <c r="F41" s="8" t="s">
        <v>7</v>
      </c>
      <c r="G41" s="8">
        <f t="shared" si="3"/>
        <v>0</v>
      </c>
      <c r="H41" s="8">
        <f t="shared" si="3"/>
        <v>0</v>
      </c>
      <c r="I41" s="8">
        <f t="shared" si="3"/>
        <v>0</v>
      </c>
      <c r="J41" s="8">
        <f t="shared" si="3"/>
        <v>1</v>
      </c>
      <c r="K41" s="8">
        <f t="shared" si="3"/>
        <v>0</v>
      </c>
      <c r="L41" s="77"/>
    </row>
    <row r="42" spans="1:12" x14ac:dyDescent="0.25">
      <c r="A42" s="5">
        <f t="shared" si="0"/>
        <v>2.0011000000000023</v>
      </c>
      <c r="B42" s="77"/>
      <c r="C42" s="76" t="s">
        <v>824</v>
      </c>
      <c r="D42" s="77"/>
      <c r="E42" s="77"/>
      <c r="F42" s="8" t="s">
        <v>7</v>
      </c>
      <c r="G42" s="8">
        <f t="shared" si="3"/>
        <v>0</v>
      </c>
      <c r="H42" s="8">
        <f t="shared" si="3"/>
        <v>0</v>
      </c>
      <c r="I42" s="8">
        <f t="shared" si="3"/>
        <v>0</v>
      </c>
      <c r="J42" s="8">
        <f t="shared" si="3"/>
        <v>1</v>
      </c>
      <c r="K42" s="8">
        <f t="shared" si="3"/>
        <v>0</v>
      </c>
      <c r="L42" s="77"/>
    </row>
    <row r="43" spans="1:12" x14ac:dyDescent="0.25">
      <c r="A43" s="5">
        <f t="shared" si="0"/>
        <v>2.0012000000000025</v>
      </c>
      <c r="B43" s="77"/>
      <c r="C43" s="76" t="s">
        <v>825</v>
      </c>
      <c r="D43" s="77"/>
      <c r="E43" s="77"/>
      <c r="F43" s="8" t="s">
        <v>7</v>
      </c>
      <c r="G43" s="8">
        <f t="shared" si="3"/>
        <v>0</v>
      </c>
      <c r="H43" s="8">
        <f t="shared" si="3"/>
        <v>0</v>
      </c>
      <c r="I43" s="8">
        <f t="shared" si="3"/>
        <v>0</v>
      </c>
      <c r="J43" s="8">
        <f t="shared" si="3"/>
        <v>1</v>
      </c>
      <c r="K43" s="8">
        <f t="shared" si="3"/>
        <v>0</v>
      </c>
      <c r="L43" s="77"/>
    </row>
    <row r="44" spans="1:12" x14ac:dyDescent="0.25">
      <c r="A44" s="5">
        <f t="shared" si="0"/>
        <v>2.0013000000000027</v>
      </c>
      <c r="B44" s="83"/>
      <c r="C44" s="76" t="s">
        <v>826</v>
      </c>
      <c r="D44" s="77"/>
      <c r="E44" s="77"/>
      <c r="F44" s="8" t="s">
        <v>7</v>
      </c>
      <c r="G44" s="8">
        <f t="shared" si="3"/>
        <v>0</v>
      </c>
      <c r="H44" s="8">
        <f t="shared" si="3"/>
        <v>0</v>
      </c>
      <c r="I44" s="8">
        <f t="shared" si="3"/>
        <v>0</v>
      </c>
      <c r="J44" s="8">
        <f t="shared" si="3"/>
        <v>1</v>
      </c>
      <c r="K44" s="8">
        <f t="shared" si="3"/>
        <v>0</v>
      </c>
      <c r="L44" s="77"/>
    </row>
    <row r="45" spans="1:12" x14ac:dyDescent="0.25">
      <c r="A45" s="5">
        <f t="shared" si="0"/>
        <v>2.001400000000003</v>
      </c>
      <c r="B45" s="83" t="s">
        <v>811</v>
      </c>
      <c r="C45" s="82" t="s">
        <v>812</v>
      </c>
      <c r="D45" s="77"/>
      <c r="E45" s="77"/>
      <c r="F45" s="8" t="s">
        <v>7</v>
      </c>
      <c r="G45" s="8">
        <f t="shared" si="3"/>
        <v>0</v>
      </c>
      <c r="H45" s="8">
        <f t="shared" si="3"/>
        <v>0</v>
      </c>
      <c r="I45" s="8">
        <f t="shared" si="3"/>
        <v>0</v>
      </c>
      <c r="J45" s="8">
        <f t="shared" si="3"/>
        <v>1</v>
      </c>
      <c r="K45" s="8">
        <f t="shared" si="3"/>
        <v>0</v>
      </c>
      <c r="L45" s="77"/>
    </row>
    <row r="46" spans="1:12" x14ac:dyDescent="0.25">
      <c r="A46" s="5">
        <f t="shared" si="0"/>
        <v>2.0015000000000032</v>
      </c>
      <c r="B46" s="77"/>
      <c r="C46" s="76" t="s">
        <v>814</v>
      </c>
      <c r="D46" s="77"/>
      <c r="E46" s="77"/>
      <c r="F46" s="8" t="s">
        <v>7</v>
      </c>
      <c r="G46" s="8">
        <f t="shared" si="3"/>
        <v>0</v>
      </c>
      <c r="H46" s="8">
        <f t="shared" si="3"/>
        <v>0</v>
      </c>
      <c r="I46" s="8">
        <f t="shared" si="3"/>
        <v>0</v>
      </c>
      <c r="J46" s="8">
        <f t="shared" si="3"/>
        <v>1</v>
      </c>
      <c r="K46" s="8">
        <f t="shared" si="3"/>
        <v>0</v>
      </c>
      <c r="L46" s="77"/>
    </row>
    <row r="47" spans="1:12" x14ac:dyDescent="0.25">
      <c r="A47" s="5">
        <f t="shared" si="0"/>
        <v>2.0016000000000034</v>
      </c>
      <c r="B47" s="77"/>
      <c r="C47" s="82" t="s">
        <v>1005</v>
      </c>
      <c r="D47" s="77"/>
      <c r="E47" s="77"/>
      <c r="F47" s="8" t="s">
        <v>7</v>
      </c>
      <c r="G47" s="8">
        <f t="shared" si="3"/>
        <v>0</v>
      </c>
      <c r="H47" s="8">
        <f t="shared" si="3"/>
        <v>0</v>
      </c>
      <c r="I47" s="8">
        <f t="shared" si="3"/>
        <v>0</v>
      </c>
      <c r="J47" s="8">
        <f t="shared" si="3"/>
        <v>1</v>
      </c>
      <c r="K47" s="8">
        <f t="shared" si="3"/>
        <v>0</v>
      </c>
      <c r="L47" s="77"/>
    </row>
    <row r="48" spans="1:12" x14ac:dyDescent="0.25">
      <c r="A48" s="5">
        <f t="shared" si="0"/>
        <v>2.0017000000000036</v>
      </c>
      <c r="B48" s="77"/>
      <c r="C48" s="76" t="s">
        <v>816</v>
      </c>
      <c r="D48" s="77"/>
      <c r="E48" s="77"/>
      <c r="F48" s="8" t="s">
        <v>7</v>
      </c>
      <c r="G48" s="8">
        <f t="shared" si="3"/>
        <v>0</v>
      </c>
      <c r="H48" s="8">
        <f t="shared" si="3"/>
        <v>0</v>
      </c>
      <c r="I48" s="8">
        <f t="shared" si="3"/>
        <v>0</v>
      </c>
      <c r="J48" s="8">
        <f t="shared" si="3"/>
        <v>1</v>
      </c>
      <c r="K48" s="8">
        <f t="shared" si="3"/>
        <v>0</v>
      </c>
      <c r="L48" s="77"/>
    </row>
    <row r="49" spans="1:12" x14ac:dyDescent="0.25">
      <c r="A49" s="5">
        <f t="shared" si="0"/>
        <v>2.0018000000000038</v>
      </c>
      <c r="B49" s="77"/>
      <c r="C49" s="76" t="s">
        <v>817</v>
      </c>
      <c r="D49" s="77"/>
      <c r="E49" s="77"/>
      <c r="F49" s="8" t="s">
        <v>7</v>
      </c>
      <c r="G49" s="8">
        <f t="shared" ref="G49:K64" si="4">IF($F49=G$1,1,0)</f>
        <v>0</v>
      </c>
      <c r="H49" s="8">
        <f t="shared" si="4"/>
        <v>0</v>
      </c>
      <c r="I49" s="8">
        <f t="shared" si="4"/>
        <v>0</v>
      </c>
      <c r="J49" s="8">
        <f t="shared" si="4"/>
        <v>1</v>
      </c>
      <c r="K49" s="8">
        <f t="shared" si="3"/>
        <v>0</v>
      </c>
      <c r="L49" s="77"/>
    </row>
    <row r="50" spans="1:12" x14ac:dyDescent="0.25">
      <c r="A50" s="5">
        <f t="shared" si="0"/>
        <v>2.001900000000004</v>
      </c>
      <c r="B50" s="77"/>
      <c r="C50" s="76" t="s">
        <v>818</v>
      </c>
      <c r="D50" s="77"/>
      <c r="E50" s="77"/>
      <c r="F50" s="8" t="s">
        <v>7</v>
      </c>
      <c r="G50" s="8">
        <f t="shared" si="4"/>
        <v>0</v>
      </c>
      <c r="H50" s="8">
        <f t="shared" si="4"/>
        <v>0</v>
      </c>
      <c r="I50" s="8">
        <f t="shared" si="4"/>
        <v>0</v>
      </c>
      <c r="J50" s="8">
        <f t="shared" si="4"/>
        <v>1</v>
      </c>
      <c r="K50" s="8">
        <f t="shared" si="4"/>
        <v>0</v>
      </c>
      <c r="L50" s="77"/>
    </row>
    <row r="51" spans="1:12" x14ac:dyDescent="0.25">
      <c r="A51" s="5">
        <f t="shared" si="0"/>
        <v>2.0020000000000042</v>
      </c>
      <c r="B51" s="77"/>
      <c r="C51" s="76" t="s">
        <v>819</v>
      </c>
      <c r="D51" s="77"/>
      <c r="E51" s="77"/>
      <c r="F51" s="8" t="s">
        <v>7</v>
      </c>
      <c r="G51" s="8">
        <f t="shared" si="4"/>
        <v>0</v>
      </c>
      <c r="H51" s="8">
        <f t="shared" si="4"/>
        <v>0</v>
      </c>
      <c r="I51" s="8">
        <f t="shared" si="4"/>
        <v>0</v>
      </c>
      <c r="J51" s="8">
        <f t="shared" si="4"/>
        <v>1</v>
      </c>
      <c r="K51" s="8">
        <f t="shared" si="4"/>
        <v>0</v>
      </c>
      <c r="L51" s="77"/>
    </row>
    <row r="52" spans="1:12" x14ac:dyDescent="0.25">
      <c r="A52" s="5">
        <f t="shared" si="0"/>
        <v>2.0021000000000044</v>
      </c>
      <c r="B52" s="77"/>
      <c r="C52" s="76" t="s">
        <v>813</v>
      </c>
      <c r="D52" s="77"/>
      <c r="E52" s="77"/>
      <c r="F52" s="8" t="s">
        <v>7</v>
      </c>
      <c r="G52" s="8">
        <f t="shared" si="4"/>
        <v>0</v>
      </c>
      <c r="H52" s="8">
        <f t="shared" si="4"/>
        <v>0</v>
      </c>
      <c r="I52" s="8">
        <f t="shared" si="4"/>
        <v>0</v>
      </c>
      <c r="J52" s="8">
        <f t="shared" si="4"/>
        <v>1</v>
      </c>
      <c r="K52" s="8">
        <f t="shared" si="4"/>
        <v>0</v>
      </c>
      <c r="L52" s="77"/>
    </row>
    <row r="53" spans="1:12" x14ac:dyDescent="0.25">
      <c r="A53" s="5">
        <f t="shared" si="0"/>
        <v>2.0022000000000046</v>
      </c>
      <c r="B53" s="77"/>
      <c r="C53" s="76" t="s">
        <v>821</v>
      </c>
      <c r="D53" s="77"/>
      <c r="E53" s="77"/>
      <c r="F53" s="8" t="s">
        <v>7</v>
      </c>
      <c r="G53" s="8">
        <f t="shared" si="4"/>
        <v>0</v>
      </c>
      <c r="H53" s="8">
        <f t="shared" si="4"/>
        <v>0</v>
      </c>
      <c r="I53" s="8">
        <f t="shared" si="4"/>
        <v>0</v>
      </c>
      <c r="J53" s="8">
        <f t="shared" si="4"/>
        <v>1</v>
      </c>
      <c r="K53" s="8">
        <f t="shared" si="4"/>
        <v>0</v>
      </c>
      <c r="L53" s="77"/>
    </row>
    <row r="54" spans="1:12" x14ac:dyDescent="0.25">
      <c r="A54" s="5">
        <f t="shared" si="0"/>
        <v>2.0023000000000049</v>
      </c>
      <c r="B54" s="77"/>
      <c r="C54" s="76" t="s">
        <v>822</v>
      </c>
      <c r="D54" s="77"/>
      <c r="E54" s="77"/>
      <c r="F54" s="8" t="s">
        <v>7</v>
      </c>
      <c r="G54" s="8">
        <f t="shared" si="4"/>
        <v>0</v>
      </c>
      <c r="H54" s="8">
        <f t="shared" si="4"/>
        <v>0</v>
      </c>
      <c r="I54" s="8">
        <f t="shared" si="4"/>
        <v>0</v>
      </c>
      <c r="J54" s="8">
        <f t="shared" si="4"/>
        <v>1</v>
      </c>
      <c r="K54" s="8">
        <f t="shared" si="4"/>
        <v>0</v>
      </c>
      <c r="L54" s="77"/>
    </row>
    <row r="55" spans="1:12" x14ac:dyDescent="0.25">
      <c r="A55" s="5">
        <f t="shared" si="0"/>
        <v>2.0024000000000051</v>
      </c>
      <c r="B55" s="76"/>
      <c r="C55" s="76" t="s">
        <v>823</v>
      </c>
      <c r="D55" s="77"/>
      <c r="E55" s="77"/>
      <c r="F55" s="8" t="s">
        <v>7</v>
      </c>
      <c r="G55" s="8">
        <f t="shared" si="4"/>
        <v>0</v>
      </c>
      <c r="H55" s="8">
        <f t="shared" si="4"/>
        <v>0</v>
      </c>
      <c r="I55" s="8">
        <f t="shared" si="4"/>
        <v>0</v>
      </c>
      <c r="J55" s="8">
        <f t="shared" si="4"/>
        <v>1</v>
      </c>
      <c r="K55" s="8">
        <f t="shared" si="4"/>
        <v>0</v>
      </c>
      <c r="L55" s="77"/>
    </row>
    <row r="56" spans="1:12" s="20" customFormat="1" x14ac:dyDescent="0.25">
      <c r="A56" s="16">
        <v>3</v>
      </c>
      <c r="B56" s="79" t="s">
        <v>838</v>
      </c>
      <c r="C56" s="80"/>
      <c r="D56" s="79"/>
      <c r="E56" s="79"/>
      <c r="F56" s="19"/>
      <c r="G56" s="19"/>
      <c r="H56" s="19"/>
      <c r="I56" s="19"/>
      <c r="J56" s="19"/>
      <c r="K56" s="19"/>
      <c r="L56" s="79"/>
    </row>
    <row r="57" spans="1:12" x14ac:dyDescent="0.25">
      <c r="A57" s="5">
        <f>A56+0.0001</f>
        <v>3.0001000000000002</v>
      </c>
      <c r="B57" s="82" t="s">
        <v>1009</v>
      </c>
      <c r="C57" s="76" t="s">
        <v>1006</v>
      </c>
      <c r="D57" s="77" t="s">
        <v>1020</v>
      </c>
      <c r="E57" s="77"/>
      <c r="F57" s="8" t="s">
        <v>7</v>
      </c>
      <c r="G57" s="8">
        <f t="shared" ref="G57:J59" si="5">IF($F57=G$1,1,0)</f>
        <v>0</v>
      </c>
      <c r="H57" s="8">
        <f t="shared" si="5"/>
        <v>0</v>
      </c>
      <c r="I57" s="8">
        <f t="shared" si="5"/>
        <v>0</v>
      </c>
      <c r="J57" s="8">
        <f t="shared" si="5"/>
        <v>1</v>
      </c>
      <c r="K57" s="8">
        <f t="shared" si="4"/>
        <v>0</v>
      </c>
      <c r="L57" s="77"/>
    </row>
    <row r="58" spans="1:12" x14ac:dyDescent="0.25">
      <c r="A58" s="5">
        <f t="shared" si="0"/>
        <v>3.0002000000000004</v>
      </c>
      <c r="B58" s="76"/>
      <c r="C58" s="76" t="s">
        <v>1007</v>
      </c>
      <c r="D58" s="77"/>
      <c r="E58" s="77"/>
      <c r="F58" s="8" t="s">
        <v>7</v>
      </c>
      <c r="G58" s="8">
        <f t="shared" si="5"/>
        <v>0</v>
      </c>
      <c r="H58" s="8">
        <f t="shared" si="5"/>
        <v>0</v>
      </c>
      <c r="I58" s="8">
        <f t="shared" si="5"/>
        <v>0</v>
      </c>
      <c r="J58" s="8">
        <f t="shared" si="5"/>
        <v>1</v>
      </c>
      <c r="K58" s="8">
        <f t="shared" si="4"/>
        <v>0</v>
      </c>
      <c r="L58" s="77"/>
    </row>
    <row r="59" spans="1:12" x14ac:dyDescent="0.25">
      <c r="A59" s="5">
        <f t="shared" si="0"/>
        <v>3.0003000000000006</v>
      </c>
      <c r="B59" s="76"/>
      <c r="C59" s="93" t="s">
        <v>1008</v>
      </c>
      <c r="D59" s="77"/>
      <c r="E59" s="77"/>
      <c r="F59" s="8" t="s">
        <v>7</v>
      </c>
      <c r="G59" s="8">
        <f t="shared" si="5"/>
        <v>0</v>
      </c>
      <c r="H59" s="8">
        <f t="shared" si="5"/>
        <v>0</v>
      </c>
      <c r="I59" s="8">
        <f t="shared" si="5"/>
        <v>0</v>
      </c>
      <c r="J59" s="8">
        <f t="shared" si="5"/>
        <v>1</v>
      </c>
      <c r="K59" s="8">
        <f t="shared" si="4"/>
        <v>0</v>
      </c>
      <c r="L59" s="77"/>
    </row>
    <row r="60" spans="1:12" x14ac:dyDescent="0.25">
      <c r="A60" s="5">
        <f t="shared" si="0"/>
        <v>3.0004000000000008</v>
      </c>
      <c r="B60" s="83" t="s">
        <v>839</v>
      </c>
      <c r="C60" s="82" t="s">
        <v>840</v>
      </c>
      <c r="D60" s="77"/>
      <c r="E60" s="77"/>
      <c r="F60" s="8" t="s">
        <v>7</v>
      </c>
      <c r="G60" s="8">
        <f t="shared" ref="G60:K73" si="6">IF($F60=G$1,1,0)</f>
        <v>0</v>
      </c>
      <c r="H60" s="8">
        <f t="shared" si="6"/>
        <v>0</v>
      </c>
      <c r="I60" s="8">
        <f t="shared" si="6"/>
        <v>0</v>
      </c>
      <c r="J60" s="8">
        <f t="shared" si="6"/>
        <v>1</v>
      </c>
      <c r="K60" s="8">
        <f t="shared" si="4"/>
        <v>0</v>
      </c>
      <c r="L60" s="77"/>
    </row>
    <row r="61" spans="1:12" x14ac:dyDescent="0.25">
      <c r="A61" s="5">
        <f t="shared" si="0"/>
        <v>3.0005000000000011</v>
      </c>
      <c r="B61" s="77"/>
      <c r="C61" s="76" t="s">
        <v>841</v>
      </c>
      <c r="D61" s="77"/>
      <c r="E61" s="77"/>
      <c r="F61" s="8" t="s">
        <v>7</v>
      </c>
      <c r="G61" s="8">
        <f t="shared" si="6"/>
        <v>0</v>
      </c>
      <c r="H61" s="8">
        <f t="shared" si="6"/>
        <v>0</v>
      </c>
      <c r="I61" s="8">
        <f t="shared" si="6"/>
        <v>0</v>
      </c>
      <c r="J61" s="8">
        <f t="shared" si="6"/>
        <v>1</v>
      </c>
      <c r="K61" s="8">
        <f t="shared" si="4"/>
        <v>0</v>
      </c>
      <c r="L61" s="77"/>
    </row>
    <row r="62" spans="1:12" x14ac:dyDescent="0.25">
      <c r="A62" s="5">
        <f t="shared" si="0"/>
        <v>3.0006000000000013</v>
      </c>
      <c r="B62" s="77"/>
      <c r="C62" s="76" t="s">
        <v>842</v>
      </c>
      <c r="D62" s="77"/>
      <c r="E62" s="77"/>
      <c r="F62" s="8" t="s">
        <v>7</v>
      </c>
      <c r="G62" s="8">
        <f t="shared" si="6"/>
        <v>0</v>
      </c>
      <c r="H62" s="8">
        <f t="shared" si="6"/>
        <v>0</v>
      </c>
      <c r="I62" s="8">
        <f t="shared" si="6"/>
        <v>0</v>
      </c>
      <c r="J62" s="8">
        <f t="shared" si="6"/>
        <v>1</v>
      </c>
      <c r="K62" s="8">
        <f t="shared" si="4"/>
        <v>0</v>
      </c>
      <c r="L62" s="77"/>
    </row>
    <row r="63" spans="1:12" x14ac:dyDescent="0.25">
      <c r="A63" s="5">
        <f t="shared" si="0"/>
        <v>3.0007000000000015</v>
      </c>
      <c r="B63" s="77"/>
      <c r="C63" s="76" t="s">
        <v>845</v>
      </c>
      <c r="D63" s="77"/>
      <c r="E63" s="77"/>
      <c r="F63" s="8" t="s">
        <v>7</v>
      </c>
      <c r="G63" s="8">
        <f t="shared" si="6"/>
        <v>0</v>
      </c>
      <c r="H63" s="8">
        <f t="shared" si="6"/>
        <v>0</v>
      </c>
      <c r="I63" s="8">
        <f t="shared" si="6"/>
        <v>0</v>
      </c>
      <c r="J63" s="8">
        <f t="shared" si="6"/>
        <v>1</v>
      </c>
      <c r="K63" s="8">
        <f t="shared" si="4"/>
        <v>0</v>
      </c>
      <c r="L63" s="77"/>
    </row>
    <row r="64" spans="1:12" x14ac:dyDescent="0.25">
      <c r="A64" s="5">
        <f t="shared" si="0"/>
        <v>3.0008000000000017</v>
      </c>
      <c r="B64" s="83" t="s">
        <v>843</v>
      </c>
      <c r="C64" s="76" t="s">
        <v>844</v>
      </c>
      <c r="D64" s="77"/>
      <c r="E64" s="77"/>
      <c r="F64" s="8" t="s">
        <v>7</v>
      </c>
      <c r="G64" s="8">
        <f t="shared" si="6"/>
        <v>0</v>
      </c>
      <c r="H64" s="8">
        <f t="shared" si="6"/>
        <v>0</v>
      </c>
      <c r="I64" s="8">
        <f t="shared" si="6"/>
        <v>0</v>
      </c>
      <c r="J64" s="8">
        <f t="shared" si="6"/>
        <v>1</v>
      </c>
      <c r="K64" s="8">
        <f t="shared" si="4"/>
        <v>0</v>
      </c>
      <c r="L64" s="77"/>
    </row>
    <row r="65" spans="1:12" x14ac:dyDescent="0.25">
      <c r="A65" s="5">
        <f t="shared" ref="A65:A73" si="7">A64+0.0001</f>
        <v>3.0009000000000019</v>
      </c>
      <c r="B65" s="83" t="s">
        <v>851</v>
      </c>
      <c r="C65" s="82" t="s">
        <v>846</v>
      </c>
      <c r="D65" s="77"/>
      <c r="E65" s="77"/>
      <c r="F65" s="8" t="s">
        <v>7</v>
      </c>
      <c r="G65" s="8">
        <f t="shared" si="6"/>
        <v>0</v>
      </c>
      <c r="H65" s="8">
        <f t="shared" si="6"/>
        <v>0</v>
      </c>
      <c r="I65" s="8">
        <f t="shared" si="6"/>
        <v>0</v>
      </c>
      <c r="J65" s="8">
        <f t="shared" si="6"/>
        <v>1</v>
      </c>
      <c r="K65" s="8">
        <f t="shared" si="6"/>
        <v>0</v>
      </c>
      <c r="L65" s="77"/>
    </row>
    <row r="66" spans="1:12" x14ac:dyDescent="0.25">
      <c r="A66" s="5">
        <f t="shared" si="7"/>
        <v>3.0010000000000021</v>
      </c>
      <c r="B66" s="77"/>
      <c r="C66" s="76" t="s">
        <v>847</v>
      </c>
      <c r="D66" s="77"/>
      <c r="E66" s="77"/>
      <c r="F66" s="8" t="s">
        <v>7</v>
      </c>
      <c r="G66" s="8">
        <f t="shared" ref="G66:J73" si="8">IF($F66=G$1,1,0)</f>
        <v>0</v>
      </c>
      <c r="H66" s="8">
        <f t="shared" si="8"/>
        <v>0</v>
      </c>
      <c r="I66" s="8">
        <f t="shared" si="8"/>
        <v>0</v>
      </c>
      <c r="J66" s="8">
        <f t="shared" si="8"/>
        <v>1</v>
      </c>
      <c r="K66" s="8">
        <f t="shared" si="6"/>
        <v>0</v>
      </c>
      <c r="L66" s="77"/>
    </row>
    <row r="67" spans="1:12" x14ac:dyDescent="0.25">
      <c r="A67" s="5">
        <f t="shared" si="7"/>
        <v>3.0011000000000023</v>
      </c>
      <c r="B67" s="77"/>
      <c r="C67" s="76" t="s">
        <v>850</v>
      </c>
      <c r="D67" s="77"/>
      <c r="E67" s="77"/>
      <c r="F67" s="8" t="s">
        <v>7</v>
      </c>
      <c r="G67" s="8">
        <f t="shared" si="8"/>
        <v>0</v>
      </c>
      <c r="H67" s="8">
        <f t="shared" si="8"/>
        <v>0</v>
      </c>
      <c r="I67" s="8">
        <f t="shared" si="8"/>
        <v>0</v>
      </c>
      <c r="J67" s="8">
        <f t="shared" si="8"/>
        <v>1</v>
      </c>
      <c r="K67" s="8">
        <f t="shared" si="6"/>
        <v>0</v>
      </c>
      <c r="L67" s="77"/>
    </row>
    <row r="68" spans="1:12" x14ac:dyDescent="0.25">
      <c r="A68" s="5">
        <f t="shared" si="7"/>
        <v>3.0012000000000025</v>
      </c>
      <c r="B68" s="77"/>
      <c r="C68" s="82" t="s">
        <v>848</v>
      </c>
      <c r="D68" s="77"/>
      <c r="E68" s="77"/>
      <c r="F68" s="8" t="s">
        <v>7</v>
      </c>
      <c r="G68" s="8">
        <f t="shared" si="8"/>
        <v>0</v>
      </c>
      <c r="H68" s="8">
        <f t="shared" si="8"/>
        <v>0</v>
      </c>
      <c r="I68" s="8">
        <f t="shared" si="8"/>
        <v>0</v>
      </c>
      <c r="J68" s="8">
        <f t="shared" si="8"/>
        <v>1</v>
      </c>
      <c r="K68" s="8">
        <f t="shared" si="6"/>
        <v>0</v>
      </c>
      <c r="L68" s="77"/>
    </row>
    <row r="69" spans="1:12" x14ac:dyDescent="0.25">
      <c r="A69" s="5">
        <f t="shared" si="7"/>
        <v>3.0013000000000027</v>
      </c>
      <c r="B69" s="77"/>
      <c r="C69" s="76" t="s">
        <v>849</v>
      </c>
      <c r="D69" s="77"/>
      <c r="E69" s="77"/>
      <c r="F69" s="8" t="s">
        <v>7</v>
      </c>
      <c r="G69" s="8">
        <f t="shared" si="8"/>
        <v>0</v>
      </c>
      <c r="H69" s="8">
        <f t="shared" si="8"/>
        <v>0</v>
      </c>
      <c r="I69" s="8">
        <f t="shared" si="8"/>
        <v>0</v>
      </c>
      <c r="J69" s="8">
        <f t="shared" si="8"/>
        <v>1</v>
      </c>
      <c r="K69" s="8">
        <f t="shared" si="6"/>
        <v>0</v>
      </c>
      <c r="L69" s="77"/>
    </row>
    <row r="70" spans="1:12" x14ac:dyDescent="0.25">
      <c r="A70" s="5">
        <f t="shared" si="7"/>
        <v>3.001400000000003</v>
      </c>
      <c r="B70" s="77"/>
      <c r="C70" s="76" t="s">
        <v>850</v>
      </c>
      <c r="D70" s="77"/>
      <c r="E70" s="77"/>
      <c r="F70" s="8" t="s">
        <v>7</v>
      </c>
      <c r="G70" s="8">
        <f t="shared" si="8"/>
        <v>0</v>
      </c>
      <c r="H70" s="8">
        <f t="shared" si="8"/>
        <v>0</v>
      </c>
      <c r="I70" s="8">
        <f t="shared" si="8"/>
        <v>0</v>
      </c>
      <c r="J70" s="8">
        <f t="shared" si="8"/>
        <v>1</v>
      </c>
      <c r="K70" s="8">
        <f t="shared" si="6"/>
        <v>0</v>
      </c>
      <c r="L70" s="77"/>
    </row>
    <row r="71" spans="1:12" x14ac:dyDescent="0.25">
      <c r="A71" s="5">
        <f t="shared" si="7"/>
        <v>3.0015000000000032</v>
      </c>
      <c r="B71" s="83" t="s">
        <v>852</v>
      </c>
      <c r="C71" s="82" t="s">
        <v>853</v>
      </c>
      <c r="D71" s="77"/>
      <c r="E71" s="77"/>
      <c r="F71" s="8" t="s">
        <v>7</v>
      </c>
      <c r="G71" s="8">
        <f t="shared" si="8"/>
        <v>0</v>
      </c>
      <c r="H71" s="8">
        <f t="shared" si="8"/>
        <v>0</v>
      </c>
      <c r="I71" s="8">
        <f t="shared" si="8"/>
        <v>0</v>
      </c>
      <c r="J71" s="8">
        <f t="shared" si="8"/>
        <v>1</v>
      </c>
      <c r="K71" s="8">
        <f t="shared" si="6"/>
        <v>0</v>
      </c>
      <c r="L71" s="77"/>
    </row>
    <row r="72" spans="1:12" x14ac:dyDescent="0.25">
      <c r="A72" s="5">
        <f t="shared" si="7"/>
        <v>3.0016000000000034</v>
      </c>
      <c r="B72" s="77"/>
      <c r="C72" s="76" t="s">
        <v>854</v>
      </c>
      <c r="D72" s="77"/>
      <c r="E72" s="77"/>
      <c r="F72" s="8" t="s">
        <v>7</v>
      </c>
      <c r="G72" s="8">
        <f t="shared" si="8"/>
        <v>0</v>
      </c>
      <c r="H72" s="8">
        <f t="shared" si="8"/>
        <v>0</v>
      </c>
      <c r="I72" s="8">
        <f t="shared" si="8"/>
        <v>0</v>
      </c>
      <c r="J72" s="8">
        <f t="shared" si="8"/>
        <v>1</v>
      </c>
      <c r="K72" s="8">
        <f t="shared" si="6"/>
        <v>0</v>
      </c>
      <c r="L72" s="77"/>
    </row>
    <row r="73" spans="1:12" x14ac:dyDescent="0.25">
      <c r="A73" s="5">
        <f t="shared" si="7"/>
        <v>3.0017000000000036</v>
      </c>
      <c r="B73" s="77"/>
      <c r="C73" s="76" t="s">
        <v>855</v>
      </c>
      <c r="D73" s="7"/>
      <c r="E73" s="7"/>
      <c r="F73" s="8" t="s">
        <v>7</v>
      </c>
      <c r="G73" s="8">
        <f t="shared" si="8"/>
        <v>0</v>
      </c>
      <c r="H73" s="8">
        <f t="shared" si="8"/>
        <v>0</v>
      </c>
      <c r="I73" s="8">
        <f t="shared" si="8"/>
        <v>0</v>
      </c>
      <c r="J73" s="8">
        <f t="shared" si="8"/>
        <v>1</v>
      </c>
      <c r="K73" s="8">
        <f t="shared" si="6"/>
        <v>0</v>
      </c>
      <c r="L73" s="7"/>
    </row>
    <row r="74" spans="1:12" ht="15.75" thickBot="1" x14ac:dyDescent="0.3">
      <c r="G74" s="2">
        <f>SUM(G2:G73)</f>
        <v>0</v>
      </c>
      <c r="H74" s="2">
        <f>SUM(H2:H73)</f>
        <v>0</v>
      </c>
      <c r="I74" s="2">
        <f>SUM(I2:I73)</f>
        <v>0</v>
      </c>
      <c r="J74" s="2">
        <f>SUM(J2:J73)</f>
        <v>66</v>
      </c>
      <c r="K74" s="2">
        <f>SUM(K2:K73)</f>
        <v>0</v>
      </c>
    </row>
    <row r="75" spans="1:12" ht="15.75" thickTop="1" x14ac:dyDescent="0.25"/>
  </sheetData>
  <mergeCells count="5">
    <mergeCell ref="B11:B12"/>
    <mergeCell ref="G5:G8"/>
    <mergeCell ref="H5:H8"/>
    <mergeCell ref="I5:I8"/>
    <mergeCell ref="J5:J8"/>
  </mergeCells>
  <conditionalFormatting sqref="A74:K93 D2:L2 G60:J64 L57:L93 B3:C9 A2:A12 G11:J30 B10:B11 E3 G4:J5 K4:L30 G32:L32 K33:L55 K57:K73 A13:E30 D4:E12 A32:F55 A57:F73 G3:L3">
    <cfRule type="expression" dxfId="480" priority="93">
      <formula>$F2="Fail"</formula>
    </cfRule>
  </conditionalFormatting>
  <conditionalFormatting sqref="B2:C2">
    <cfRule type="expression" dxfId="479" priority="74">
      <formula>$F2="Fail"</formula>
    </cfRule>
  </conditionalFormatting>
  <conditionalFormatting sqref="G66:J73">
    <cfRule type="expression" dxfId="478" priority="35">
      <formula>$F66="Fail"</formula>
    </cfRule>
  </conditionalFormatting>
  <conditionalFormatting sqref="B49:C49">
    <cfRule type="expression" dxfId="477" priority="29">
      <formula>$F49="Fail"</formula>
    </cfRule>
  </conditionalFormatting>
  <conditionalFormatting sqref="G34:J34">
    <cfRule type="expression" dxfId="476" priority="17">
      <formula>$F34="Fail"</formula>
    </cfRule>
  </conditionalFormatting>
  <conditionalFormatting sqref="G35:J44">
    <cfRule type="expression" dxfId="475" priority="16">
      <formula>$F35="Fail"</formula>
    </cfRule>
  </conditionalFormatting>
  <conditionalFormatting sqref="G9:J10">
    <cfRule type="expression" dxfId="474" priority="23">
      <formula>$F9="Fail"</formula>
    </cfRule>
  </conditionalFormatting>
  <conditionalFormatting sqref="G33:J33">
    <cfRule type="expression" dxfId="473" priority="18">
      <formula>$F33="Fail"</formula>
    </cfRule>
  </conditionalFormatting>
  <conditionalFormatting sqref="G45:J55">
    <cfRule type="expression" dxfId="472" priority="15">
      <formula>$F45="Fail"</formula>
    </cfRule>
  </conditionalFormatting>
  <conditionalFormatting sqref="G57:J59">
    <cfRule type="expression" dxfId="471" priority="14">
      <formula>$F57="Fail"</formula>
    </cfRule>
  </conditionalFormatting>
  <conditionalFormatting sqref="D31:L31 A31">
    <cfRule type="expression" dxfId="470" priority="13">
      <formula>$F31="Fail"</formula>
    </cfRule>
  </conditionalFormatting>
  <conditionalFormatting sqref="B31:C31">
    <cfRule type="expression" dxfId="469" priority="12">
      <formula>$F31="Fail"</formula>
    </cfRule>
  </conditionalFormatting>
  <conditionalFormatting sqref="D56:L56 A56">
    <cfRule type="expression" dxfId="468" priority="11">
      <formula>$F56="Fail"</formula>
    </cfRule>
  </conditionalFormatting>
  <conditionalFormatting sqref="B56:C56">
    <cfRule type="expression" dxfId="467" priority="10">
      <formula>$F56="Fail"</formula>
    </cfRule>
  </conditionalFormatting>
  <conditionalFormatting sqref="G65:J65">
    <cfRule type="expression" dxfId="466" priority="9">
      <formula>$F65="Fail"</formula>
    </cfRule>
  </conditionalFormatting>
  <conditionalFormatting sqref="D3">
    <cfRule type="expression" dxfId="465" priority="4">
      <formula>$F3="Fail"</formula>
    </cfRule>
  </conditionalFormatting>
  <conditionalFormatting sqref="C11">
    <cfRule type="expression" dxfId="464" priority="527">
      <formula>$F12="Fail"</formula>
    </cfRule>
  </conditionalFormatting>
  <conditionalFormatting sqref="C12">
    <cfRule type="expression" dxfId="463" priority="529">
      <formula>$F11="Fail"</formula>
    </cfRule>
  </conditionalFormatting>
  <conditionalFormatting sqref="F3:F30">
    <cfRule type="expression" dxfId="462" priority="1">
      <formula>$F3="Fail"</formula>
    </cfRule>
  </conditionalFormatting>
  <dataValidations count="1">
    <dataValidation type="list" allowBlank="1" showInputMessage="1" showErrorMessage="1" sqref="F2:F73">
      <formula1>$G$1:$K$1</formula1>
    </dataValidation>
  </dataValidations>
  <hyperlinks>
    <hyperlink ref="D1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shapeId="5126" r:id="rId5">
          <objectPr defaultSize="0" autoPict="0" r:id="rId6">
            <anchor moveWithCells="1">
              <from>
                <xdr:col>2</xdr:col>
                <xdr:colOff>1628775</xdr:colOff>
                <xdr:row>2</xdr:row>
                <xdr:rowOff>9525</xdr:rowOff>
              </from>
              <to>
                <xdr:col>2</xdr:col>
                <xdr:colOff>2905125</xdr:colOff>
                <xdr:row>3</xdr:row>
                <xdr:rowOff>0</xdr:rowOff>
              </to>
            </anchor>
          </objectPr>
        </oleObject>
      </mc:Choice>
      <mc:Fallback>
        <oleObject progId="Packager Shell Object" shapeId="5126" r:id="rId5"/>
      </mc:Fallback>
    </mc:AlternateContent>
  </oleObjects>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L109"/>
  <sheetViews>
    <sheetView zoomScale="80" zoomScaleNormal="80" workbookViewId="0">
      <pane ySplit="1" topLeftCell="A101" activePane="bottomLeft" state="frozen"/>
      <selection activeCell="C11" sqref="C11"/>
      <selection pane="bottomLeft" activeCell="F106" sqref="F106"/>
    </sheetView>
  </sheetViews>
  <sheetFormatPr defaultRowHeight="15" x14ac:dyDescent="0.25"/>
  <cols>
    <col min="1" max="1" width="11.28515625" style="4" bestFit="1" customWidth="1"/>
    <col min="2" max="2" width="63.7109375" style="1" customWidth="1"/>
    <col min="3" max="3" width="57.7109375" style="1" bestFit="1" customWidth="1"/>
    <col min="4" max="4" width="22.42578125" style="1" customWidth="1"/>
    <col min="5" max="5" width="10.1406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13</v>
      </c>
    </row>
    <row r="2" spans="1:12" s="105" customFormat="1" ht="30" customHeight="1" x14ac:dyDescent="0.25">
      <c r="A2" s="109"/>
      <c r="B2" s="179" t="s">
        <v>1066</v>
      </c>
      <c r="C2" s="180"/>
      <c r="D2" s="118" t="s">
        <v>1069</v>
      </c>
      <c r="E2" s="104"/>
      <c r="F2" s="103"/>
      <c r="G2" s="104"/>
      <c r="H2" s="104"/>
      <c r="I2" s="104"/>
      <c r="J2" s="104"/>
      <c r="K2" s="104"/>
      <c r="L2" s="104"/>
    </row>
    <row r="3" spans="1:12" s="20" customFormat="1" x14ac:dyDescent="0.25">
      <c r="A3" s="16">
        <v>1</v>
      </c>
      <c r="B3" s="17" t="s">
        <v>798</v>
      </c>
      <c r="C3" s="18"/>
      <c r="D3" s="17"/>
      <c r="E3" s="17"/>
      <c r="F3" s="19"/>
      <c r="G3" s="19"/>
      <c r="H3" s="19"/>
      <c r="I3" s="19"/>
      <c r="J3" s="19"/>
      <c r="K3" s="19"/>
      <c r="L3" s="17"/>
    </row>
    <row r="4" spans="1:12" x14ac:dyDescent="0.25">
      <c r="A4" s="5">
        <v>1.0001</v>
      </c>
      <c r="B4" s="73" t="s">
        <v>785</v>
      </c>
      <c r="C4" s="74"/>
      <c r="D4" s="7"/>
      <c r="E4" s="6"/>
      <c r="F4" s="8" t="s">
        <v>5</v>
      </c>
      <c r="G4" s="8">
        <f t="shared" ref="G4:J17" si="0">IF($F4=G$1,1,0)</f>
        <v>1</v>
      </c>
      <c r="H4" s="8">
        <f t="shared" si="0"/>
        <v>0</v>
      </c>
      <c r="I4" s="8">
        <f t="shared" si="0"/>
        <v>0</v>
      </c>
      <c r="J4" s="8">
        <f t="shared" si="0"/>
        <v>0</v>
      </c>
      <c r="K4" s="8"/>
      <c r="L4" s="7"/>
    </row>
    <row r="5" spans="1:12" ht="25.5" x14ac:dyDescent="0.25">
      <c r="A5" s="5">
        <v>1.0002</v>
      </c>
      <c r="B5" s="75" t="s">
        <v>780</v>
      </c>
      <c r="C5" s="74" t="s">
        <v>781</v>
      </c>
      <c r="D5" s="7"/>
      <c r="E5" s="6"/>
      <c r="F5" s="8" t="s">
        <v>5</v>
      </c>
      <c r="G5" s="8">
        <f t="shared" si="0"/>
        <v>1</v>
      </c>
      <c r="H5" s="8">
        <f t="shared" si="0"/>
        <v>0</v>
      </c>
      <c r="I5" s="8">
        <f t="shared" si="0"/>
        <v>0</v>
      </c>
      <c r="J5" s="8">
        <f t="shared" si="0"/>
        <v>0</v>
      </c>
      <c r="K5" s="8"/>
      <c r="L5" s="7"/>
    </row>
    <row r="6" spans="1:12" ht="25.5" x14ac:dyDescent="0.25">
      <c r="A6" s="5">
        <v>1.0003</v>
      </c>
      <c r="B6" s="75" t="s">
        <v>783</v>
      </c>
      <c r="C6" s="74" t="s">
        <v>784</v>
      </c>
      <c r="D6" s="7"/>
      <c r="E6" s="6"/>
      <c r="F6" s="8" t="s">
        <v>5</v>
      </c>
      <c r="G6" s="8">
        <f t="shared" si="0"/>
        <v>1</v>
      </c>
      <c r="H6" s="8">
        <f t="shared" si="0"/>
        <v>0</v>
      </c>
      <c r="I6" s="8">
        <f t="shared" si="0"/>
        <v>0</v>
      </c>
      <c r="J6" s="8">
        <f t="shared" si="0"/>
        <v>0</v>
      </c>
      <c r="K6" s="8"/>
      <c r="L6" s="7"/>
    </row>
    <row r="7" spans="1:12" x14ac:dyDescent="0.25">
      <c r="A7" s="5">
        <v>1.0004</v>
      </c>
      <c r="B7" s="73"/>
      <c r="C7" s="74" t="s">
        <v>782</v>
      </c>
      <c r="D7" s="7"/>
      <c r="E7" s="6"/>
      <c r="F7" s="8" t="s">
        <v>5</v>
      </c>
      <c r="G7" s="8">
        <f t="shared" si="0"/>
        <v>1</v>
      </c>
      <c r="H7" s="8">
        <f t="shared" si="0"/>
        <v>0</v>
      </c>
      <c r="I7" s="8">
        <f t="shared" si="0"/>
        <v>0</v>
      </c>
      <c r="J7" s="8">
        <f t="shared" si="0"/>
        <v>0</v>
      </c>
      <c r="K7" s="8"/>
      <c r="L7" s="7"/>
    </row>
    <row r="8" spans="1:12" ht="25.5" x14ac:dyDescent="0.25">
      <c r="A8" s="5">
        <v>1.0004999999999999</v>
      </c>
      <c r="B8" s="73"/>
      <c r="C8" s="74" t="s">
        <v>787</v>
      </c>
      <c r="D8" s="7"/>
      <c r="E8" s="6"/>
      <c r="F8" s="8" t="s">
        <v>7</v>
      </c>
      <c r="G8" s="8">
        <f t="shared" si="0"/>
        <v>0</v>
      </c>
      <c r="H8" s="8">
        <f t="shared" si="0"/>
        <v>0</v>
      </c>
      <c r="I8" s="8">
        <f t="shared" si="0"/>
        <v>0</v>
      </c>
      <c r="J8" s="8">
        <f t="shared" si="0"/>
        <v>1</v>
      </c>
      <c r="K8" s="8"/>
      <c r="L8" s="7"/>
    </row>
    <row r="9" spans="1:12" x14ac:dyDescent="0.25">
      <c r="A9" s="5">
        <v>1.0005999999999999</v>
      </c>
      <c r="B9" s="73" t="s">
        <v>786</v>
      </c>
      <c r="C9" s="74"/>
      <c r="D9" s="7"/>
      <c r="E9" s="6"/>
      <c r="F9" s="8" t="s">
        <v>7</v>
      </c>
      <c r="G9" s="8">
        <f t="shared" si="0"/>
        <v>0</v>
      </c>
      <c r="H9" s="8">
        <f t="shared" si="0"/>
        <v>0</v>
      </c>
      <c r="I9" s="8">
        <f t="shared" si="0"/>
        <v>0</v>
      </c>
      <c r="J9" s="8">
        <f t="shared" si="0"/>
        <v>1</v>
      </c>
      <c r="K9" s="8"/>
      <c r="L9" s="7"/>
    </row>
    <row r="10" spans="1:12" x14ac:dyDescent="0.25">
      <c r="A10" s="5">
        <v>1.0006999999999999</v>
      </c>
      <c r="B10" s="73" t="s">
        <v>790</v>
      </c>
      <c r="C10" s="74"/>
      <c r="D10" s="7"/>
      <c r="E10" s="7"/>
      <c r="F10" s="8" t="s">
        <v>7</v>
      </c>
      <c r="G10" s="8">
        <f t="shared" si="0"/>
        <v>0</v>
      </c>
      <c r="H10" s="8">
        <f t="shared" si="0"/>
        <v>0</v>
      </c>
      <c r="I10" s="8">
        <f t="shared" si="0"/>
        <v>0</v>
      </c>
      <c r="J10" s="8">
        <f t="shared" si="0"/>
        <v>1</v>
      </c>
      <c r="K10" s="8"/>
      <c r="L10" s="7"/>
    </row>
    <row r="11" spans="1:12" s="20" customFormat="1" x14ac:dyDescent="0.25">
      <c r="A11" s="16">
        <v>2</v>
      </c>
      <c r="B11" s="79" t="s">
        <v>800</v>
      </c>
      <c r="C11" s="18"/>
      <c r="D11" s="17"/>
      <c r="E11" s="17"/>
      <c r="F11" s="19"/>
      <c r="G11" s="19"/>
      <c r="H11" s="19"/>
      <c r="I11" s="19"/>
      <c r="J11" s="19"/>
      <c r="K11" s="19"/>
      <c r="L11" s="17"/>
    </row>
    <row r="12" spans="1:12" ht="27" customHeight="1" x14ac:dyDescent="0.25">
      <c r="A12" s="5">
        <f t="shared" ref="A12:A75" si="1">A11+0.0001</f>
        <v>2.0001000000000002</v>
      </c>
      <c r="B12" s="82" t="s">
        <v>757</v>
      </c>
      <c r="C12" s="78" t="s">
        <v>758</v>
      </c>
      <c r="D12" s="77"/>
      <c r="E12" s="6"/>
      <c r="F12" s="8" t="s">
        <v>5</v>
      </c>
      <c r="G12" s="8">
        <f t="shared" si="0"/>
        <v>1</v>
      </c>
      <c r="H12" s="8">
        <f t="shared" si="0"/>
        <v>0</v>
      </c>
      <c r="I12" s="8">
        <f t="shared" si="0"/>
        <v>0</v>
      </c>
      <c r="J12" s="8">
        <f t="shared" si="0"/>
        <v>0</v>
      </c>
      <c r="K12" s="8"/>
      <c r="L12" s="7"/>
    </row>
    <row r="13" spans="1:12" ht="24.75" customHeight="1" x14ac:dyDescent="0.25">
      <c r="A13" s="5">
        <f t="shared" si="1"/>
        <v>2.0002000000000004</v>
      </c>
      <c r="B13" s="76" t="s">
        <v>759</v>
      </c>
      <c r="C13" s="78" t="s">
        <v>760</v>
      </c>
      <c r="D13" s="77"/>
      <c r="E13" s="6"/>
      <c r="F13" s="8" t="s">
        <v>5</v>
      </c>
      <c r="G13" s="8">
        <f t="shared" si="0"/>
        <v>1</v>
      </c>
      <c r="H13" s="8">
        <f t="shared" si="0"/>
        <v>0</v>
      </c>
      <c r="I13" s="8">
        <f t="shared" si="0"/>
        <v>0</v>
      </c>
      <c r="J13" s="8">
        <f t="shared" si="0"/>
        <v>0</v>
      </c>
      <c r="K13" s="8"/>
      <c r="L13" s="7"/>
    </row>
    <row r="14" spans="1:12" x14ac:dyDescent="0.25">
      <c r="A14" s="5">
        <f t="shared" si="1"/>
        <v>2.0003000000000006</v>
      </c>
      <c r="B14" s="76" t="s">
        <v>801</v>
      </c>
      <c r="C14" s="78" t="s">
        <v>1055</v>
      </c>
      <c r="D14" s="8"/>
      <c r="E14" s="6"/>
      <c r="F14" s="8" t="s">
        <v>5</v>
      </c>
      <c r="G14" s="8">
        <f t="shared" si="0"/>
        <v>1</v>
      </c>
      <c r="H14" s="8">
        <f t="shared" si="0"/>
        <v>0</v>
      </c>
      <c r="I14" s="8">
        <f t="shared" si="0"/>
        <v>0</v>
      </c>
      <c r="J14" s="8">
        <f t="shared" si="0"/>
        <v>0</v>
      </c>
      <c r="K14" s="8"/>
      <c r="L14" s="7"/>
    </row>
    <row r="15" spans="1:12" x14ac:dyDescent="0.25">
      <c r="A15" s="5">
        <f t="shared" si="1"/>
        <v>2.0004000000000008</v>
      </c>
      <c r="B15" s="76" t="s">
        <v>1027</v>
      </c>
      <c r="C15" s="78" t="s">
        <v>1175</v>
      </c>
      <c r="D15" s="8"/>
      <c r="E15" s="76"/>
      <c r="F15" s="8" t="s">
        <v>5</v>
      </c>
      <c r="G15" s="8">
        <f t="shared" si="0"/>
        <v>1</v>
      </c>
      <c r="H15" s="8">
        <f t="shared" si="0"/>
        <v>0</v>
      </c>
      <c r="I15" s="8">
        <f t="shared" si="0"/>
        <v>0</v>
      </c>
      <c r="J15" s="8">
        <f t="shared" si="0"/>
        <v>0</v>
      </c>
      <c r="K15" s="8"/>
      <c r="L15" s="77"/>
    </row>
    <row r="16" spans="1:12" x14ac:dyDescent="0.25">
      <c r="A16" s="5">
        <f t="shared" si="1"/>
        <v>2.0005000000000011</v>
      </c>
      <c r="B16" s="76"/>
      <c r="C16" s="78" t="s">
        <v>1056</v>
      </c>
      <c r="D16" s="8"/>
      <c r="E16" s="76"/>
      <c r="F16" s="8" t="s">
        <v>5</v>
      </c>
      <c r="G16" s="8">
        <f t="shared" si="0"/>
        <v>1</v>
      </c>
      <c r="H16" s="8">
        <f t="shared" si="0"/>
        <v>0</v>
      </c>
      <c r="I16" s="8">
        <f t="shared" si="0"/>
        <v>0</v>
      </c>
      <c r="J16" s="8">
        <f t="shared" si="0"/>
        <v>0</v>
      </c>
      <c r="K16" s="8"/>
      <c r="L16" s="77"/>
    </row>
    <row r="17" spans="1:12" x14ac:dyDescent="0.25">
      <c r="A17" s="5">
        <f t="shared" si="1"/>
        <v>2.0006000000000013</v>
      </c>
      <c r="B17" s="76"/>
      <c r="C17" s="78" t="s">
        <v>1088</v>
      </c>
      <c r="D17" s="77"/>
      <c r="E17" s="6"/>
      <c r="F17" s="8" t="s">
        <v>5</v>
      </c>
      <c r="G17" s="8">
        <f t="shared" si="0"/>
        <v>1</v>
      </c>
      <c r="H17" s="8">
        <f t="shared" si="0"/>
        <v>0</v>
      </c>
      <c r="I17" s="8">
        <f t="shared" si="0"/>
        <v>0</v>
      </c>
      <c r="J17" s="8">
        <f t="shared" si="0"/>
        <v>0</v>
      </c>
      <c r="K17" s="8"/>
      <c r="L17" s="7"/>
    </row>
    <row r="18" spans="1:12" ht="30" x14ac:dyDescent="0.25">
      <c r="A18" s="5">
        <f t="shared" si="1"/>
        <v>2.0007000000000015</v>
      </c>
      <c r="B18" s="77"/>
      <c r="C18" s="76" t="s">
        <v>1089</v>
      </c>
      <c r="D18" s="8" t="s">
        <v>1058</v>
      </c>
      <c r="E18" s="6"/>
      <c r="F18" s="8" t="s">
        <v>5</v>
      </c>
      <c r="G18" s="8">
        <f t="shared" ref="G18:J30" si="2">IF($F18=G$1,1,0)</f>
        <v>1</v>
      </c>
      <c r="H18" s="8">
        <f t="shared" si="2"/>
        <v>0</v>
      </c>
      <c r="I18" s="8">
        <f t="shared" si="2"/>
        <v>0</v>
      </c>
      <c r="J18" s="8">
        <f t="shared" si="2"/>
        <v>0</v>
      </c>
      <c r="K18" s="8"/>
      <c r="L18" s="7"/>
    </row>
    <row r="19" spans="1:12" x14ac:dyDescent="0.25">
      <c r="A19" s="5">
        <f t="shared" si="1"/>
        <v>2.0008000000000017</v>
      </c>
      <c r="B19" s="77" t="s">
        <v>763</v>
      </c>
      <c r="C19" s="76" t="s">
        <v>1024</v>
      </c>
      <c r="D19" s="77"/>
      <c r="E19" s="7"/>
      <c r="F19" s="8" t="s">
        <v>5</v>
      </c>
      <c r="G19" s="8">
        <f t="shared" si="2"/>
        <v>1</v>
      </c>
      <c r="H19" s="8">
        <f t="shared" si="2"/>
        <v>0</v>
      </c>
      <c r="I19" s="8">
        <f t="shared" si="2"/>
        <v>0</v>
      </c>
      <c r="J19" s="8">
        <f t="shared" si="2"/>
        <v>0</v>
      </c>
      <c r="K19" s="8"/>
      <c r="L19" s="7"/>
    </row>
    <row r="20" spans="1:12" x14ac:dyDescent="0.25">
      <c r="A20" s="5">
        <f t="shared" si="1"/>
        <v>2.0009000000000019</v>
      </c>
      <c r="B20" s="77" t="s">
        <v>1036</v>
      </c>
      <c r="C20" s="76" t="s">
        <v>1025</v>
      </c>
      <c r="D20" s="7"/>
      <c r="E20" s="7"/>
      <c r="F20" s="8" t="s">
        <v>5</v>
      </c>
      <c r="G20" s="8">
        <f t="shared" si="2"/>
        <v>1</v>
      </c>
      <c r="H20" s="8">
        <f t="shared" si="2"/>
        <v>0</v>
      </c>
      <c r="I20" s="8">
        <f t="shared" si="2"/>
        <v>0</v>
      </c>
      <c r="J20" s="8">
        <f t="shared" si="2"/>
        <v>0</v>
      </c>
      <c r="K20" s="8"/>
      <c r="L20" s="7"/>
    </row>
    <row r="21" spans="1:12" x14ac:dyDescent="0.25">
      <c r="A21" s="5">
        <f t="shared" si="1"/>
        <v>2.0010000000000021</v>
      </c>
      <c r="B21" s="82" t="s">
        <v>775</v>
      </c>
      <c r="C21" s="76" t="s">
        <v>769</v>
      </c>
      <c r="D21" s="7"/>
      <c r="E21" s="7"/>
      <c r="F21" s="8" t="s">
        <v>5</v>
      </c>
      <c r="G21" s="8">
        <f t="shared" si="2"/>
        <v>1</v>
      </c>
      <c r="H21" s="8">
        <f t="shared" si="2"/>
        <v>0</v>
      </c>
      <c r="I21" s="8">
        <f t="shared" si="2"/>
        <v>0</v>
      </c>
      <c r="J21" s="8">
        <f t="shared" si="2"/>
        <v>0</v>
      </c>
      <c r="K21" s="8"/>
      <c r="L21" s="7"/>
    </row>
    <row r="22" spans="1:12" x14ac:dyDescent="0.25">
      <c r="A22" s="5">
        <f t="shared" si="1"/>
        <v>2.0011000000000023</v>
      </c>
      <c r="B22" s="82"/>
      <c r="C22" s="76" t="s">
        <v>808</v>
      </c>
      <c r="D22" s="77" t="s">
        <v>809</v>
      </c>
      <c r="E22" s="77"/>
      <c r="F22" s="8" t="s">
        <v>5</v>
      </c>
      <c r="G22" s="8">
        <f t="shared" si="2"/>
        <v>1</v>
      </c>
      <c r="H22" s="8">
        <f t="shared" si="2"/>
        <v>0</v>
      </c>
      <c r="I22" s="8">
        <f t="shared" si="2"/>
        <v>0</v>
      </c>
      <c r="J22" s="8">
        <f t="shared" si="2"/>
        <v>0</v>
      </c>
      <c r="K22" s="8"/>
      <c r="L22" s="77"/>
    </row>
    <row r="23" spans="1:12" x14ac:dyDescent="0.25">
      <c r="A23" s="5">
        <f t="shared" si="1"/>
        <v>2.0012000000000025</v>
      </c>
      <c r="B23" s="76"/>
      <c r="C23" s="76" t="s">
        <v>770</v>
      </c>
      <c r="D23" s="7"/>
      <c r="E23" s="7"/>
      <c r="F23" s="8" t="s">
        <v>5</v>
      </c>
      <c r="G23" s="8">
        <f t="shared" si="2"/>
        <v>1</v>
      </c>
      <c r="H23" s="8">
        <f t="shared" si="2"/>
        <v>0</v>
      </c>
      <c r="I23" s="8">
        <f t="shared" si="2"/>
        <v>0</v>
      </c>
      <c r="J23" s="8">
        <f t="shared" si="2"/>
        <v>0</v>
      </c>
      <c r="K23" s="8"/>
      <c r="L23" s="7"/>
    </row>
    <row r="24" spans="1:12" x14ac:dyDescent="0.25">
      <c r="A24" s="5">
        <f t="shared" si="1"/>
        <v>2.0013000000000027</v>
      </c>
      <c r="B24" s="76"/>
      <c r="C24" s="76" t="s">
        <v>771</v>
      </c>
      <c r="D24" s="7"/>
      <c r="E24" s="7"/>
      <c r="F24" s="8" t="s">
        <v>5</v>
      </c>
      <c r="G24" s="8">
        <f t="shared" si="2"/>
        <v>1</v>
      </c>
      <c r="H24" s="8">
        <f t="shared" si="2"/>
        <v>0</v>
      </c>
      <c r="I24" s="8">
        <f t="shared" si="2"/>
        <v>0</v>
      </c>
      <c r="J24" s="8">
        <f t="shared" si="2"/>
        <v>0</v>
      </c>
      <c r="K24" s="8"/>
      <c r="L24" s="7"/>
    </row>
    <row r="25" spans="1:12" x14ac:dyDescent="0.25">
      <c r="A25" s="5">
        <f t="shared" si="1"/>
        <v>2.001400000000003</v>
      </c>
      <c r="B25" s="76"/>
      <c r="C25" s="76" t="s">
        <v>772</v>
      </c>
      <c r="D25" s="7"/>
      <c r="E25" s="7"/>
      <c r="F25" s="8" t="s">
        <v>5</v>
      </c>
      <c r="G25" s="8">
        <f t="shared" si="2"/>
        <v>1</v>
      </c>
      <c r="H25" s="8">
        <f t="shared" si="2"/>
        <v>0</v>
      </c>
      <c r="I25" s="8">
        <f t="shared" si="2"/>
        <v>0</v>
      </c>
      <c r="J25" s="8">
        <f t="shared" si="2"/>
        <v>0</v>
      </c>
      <c r="K25" s="8"/>
      <c r="L25" s="7"/>
    </row>
    <row r="26" spans="1:12" x14ac:dyDescent="0.25">
      <c r="A26" s="5">
        <f t="shared" si="1"/>
        <v>2.0015000000000032</v>
      </c>
      <c r="B26" s="76"/>
      <c r="C26" s="76" t="s">
        <v>773</v>
      </c>
      <c r="D26" s="7"/>
      <c r="E26" s="7"/>
      <c r="F26" s="8" t="s">
        <v>5</v>
      </c>
      <c r="G26" s="8">
        <f t="shared" si="2"/>
        <v>1</v>
      </c>
      <c r="H26" s="8">
        <f t="shared" si="2"/>
        <v>0</v>
      </c>
      <c r="I26" s="8">
        <f t="shared" si="2"/>
        <v>0</v>
      </c>
      <c r="J26" s="8">
        <f t="shared" si="2"/>
        <v>0</v>
      </c>
      <c r="K26" s="8"/>
      <c r="L26" s="7"/>
    </row>
    <row r="27" spans="1:12" x14ac:dyDescent="0.25">
      <c r="A27" s="5">
        <f t="shared" si="1"/>
        <v>2.0016000000000034</v>
      </c>
      <c r="B27" s="76"/>
      <c r="C27" s="76" t="s">
        <v>774</v>
      </c>
      <c r="D27" s="7"/>
      <c r="E27" s="7"/>
      <c r="F27" s="8" t="s">
        <v>5</v>
      </c>
      <c r="G27" s="8">
        <f t="shared" si="2"/>
        <v>1</v>
      </c>
      <c r="H27" s="8">
        <f t="shared" si="2"/>
        <v>0</v>
      </c>
      <c r="I27" s="8">
        <f t="shared" si="2"/>
        <v>0</v>
      </c>
      <c r="J27" s="8">
        <f t="shared" si="2"/>
        <v>0</v>
      </c>
      <c r="K27" s="8"/>
      <c r="L27" s="7"/>
    </row>
    <row r="28" spans="1:12" x14ac:dyDescent="0.25">
      <c r="A28" s="5">
        <f t="shared" si="1"/>
        <v>2.0017000000000036</v>
      </c>
      <c r="B28" s="82" t="s">
        <v>776</v>
      </c>
      <c r="C28" s="76" t="s">
        <v>779</v>
      </c>
      <c r="D28" s="7"/>
      <c r="E28" s="7"/>
      <c r="F28" s="8" t="s">
        <v>5</v>
      </c>
      <c r="G28" s="8">
        <f t="shared" si="2"/>
        <v>1</v>
      </c>
      <c r="H28" s="8">
        <f t="shared" si="2"/>
        <v>0</v>
      </c>
      <c r="I28" s="8">
        <f t="shared" si="2"/>
        <v>0</v>
      </c>
      <c r="J28" s="8">
        <f t="shared" si="2"/>
        <v>0</v>
      </c>
      <c r="K28" s="8"/>
      <c r="L28" s="7"/>
    </row>
    <row r="29" spans="1:12" x14ac:dyDescent="0.25">
      <c r="A29" s="5">
        <f t="shared" si="1"/>
        <v>2.0018000000000038</v>
      </c>
      <c r="B29" s="96" t="s">
        <v>418</v>
      </c>
      <c r="C29" s="76" t="s">
        <v>1037</v>
      </c>
      <c r="D29" s="77"/>
      <c r="E29" s="77"/>
      <c r="F29" s="8" t="s">
        <v>5</v>
      </c>
      <c r="G29" s="8">
        <f t="shared" si="2"/>
        <v>1</v>
      </c>
      <c r="H29" s="8">
        <f t="shared" si="2"/>
        <v>0</v>
      </c>
      <c r="I29" s="8">
        <f t="shared" si="2"/>
        <v>0</v>
      </c>
      <c r="J29" s="8">
        <f t="shared" si="2"/>
        <v>0</v>
      </c>
      <c r="K29" s="8"/>
      <c r="L29" s="77"/>
    </row>
    <row r="30" spans="1:12" x14ac:dyDescent="0.25">
      <c r="A30" s="5">
        <f t="shared" si="1"/>
        <v>2.001900000000004</v>
      </c>
      <c r="B30" s="83" t="s">
        <v>797</v>
      </c>
      <c r="C30" s="82" t="s">
        <v>791</v>
      </c>
      <c r="D30" s="77"/>
      <c r="E30" s="77"/>
      <c r="F30" s="8" t="s">
        <v>5</v>
      </c>
      <c r="G30" s="8">
        <f t="shared" si="2"/>
        <v>1</v>
      </c>
      <c r="H30" s="8">
        <f t="shared" si="2"/>
        <v>0</v>
      </c>
      <c r="I30" s="8">
        <f t="shared" si="2"/>
        <v>0</v>
      </c>
      <c r="J30" s="8">
        <f t="shared" si="2"/>
        <v>0</v>
      </c>
      <c r="K30" s="8"/>
      <c r="L30" s="77"/>
    </row>
    <row r="31" spans="1:12" x14ac:dyDescent="0.25">
      <c r="A31" s="5">
        <f t="shared" si="1"/>
        <v>2.0020000000000042</v>
      </c>
      <c r="B31" s="77"/>
      <c r="C31" s="76" t="s">
        <v>792</v>
      </c>
      <c r="D31" s="77"/>
      <c r="E31" s="77"/>
      <c r="F31" s="8" t="s">
        <v>5</v>
      </c>
      <c r="G31" s="8">
        <f t="shared" ref="G31:J46" si="3">IF($F31=G$1,1,0)</f>
        <v>1</v>
      </c>
      <c r="H31" s="8">
        <f t="shared" si="3"/>
        <v>0</v>
      </c>
      <c r="I31" s="8">
        <f t="shared" si="3"/>
        <v>0</v>
      </c>
      <c r="J31" s="8">
        <f t="shared" si="3"/>
        <v>0</v>
      </c>
      <c r="K31" s="8"/>
      <c r="L31" s="77"/>
    </row>
    <row r="32" spans="1:12" x14ac:dyDescent="0.25">
      <c r="A32" s="5">
        <f t="shared" si="1"/>
        <v>2.0021000000000044</v>
      </c>
      <c r="B32" s="77"/>
      <c r="C32" s="76" t="s">
        <v>793</v>
      </c>
      <c r="D32" s="77"/>
      <c r="E32" s="77"/>
      <c r="F32" s="8" t="s">
        <v>5</v>
      </c>
      <c r="G32" s="8">
        <f t="shared" si="3"/>
        <v>1</v>
      </c>
      <c r="H32" s="8">
        <f t="shared" si="3"/>
        <v>0</v>
      </c>
      <c r="I32" s="8">
        <f t="shared" si="3"/>
        <v>0</v>
      </c>
      <c r="J32" s="8">
        <f t="shared" si="3"/>
        <v>0</v>
      </c>
      <c r="K32" s="8"/>
      <c r="L32" s="77"/>
    </row>
    <row r="33" spans="1:12" x14ac:dyDescent="0.25">
      <c r="A33" s="5">
        <f t="shared" si="1"/>
        <v>2.0022000000000046</v>
      </c>
      <c r="B33" s="77"/>
      <c r="C33" s="76" t="s">
        <v>794</v>
      </c>
      <c r="D33" s="77"/>
      <c r="E33" s="77"/>
      <c r="F33" s="8" t="s">
        <v>5</v>
      </c>
      <c r="G33" s="8">
        <f t="shared" si="3"/>
        <v>1</v>
      </c>
      <c r="H33" s="8">
        <f t="shared" si="3"/>
        <v>0</v>
      </c>
      <c r="I33" s="8">
        <f t="shared" si="3"/>
        <v>0</v>
      </c>
      <c r="J33" s="8">
        <f t="shared" si="3"/>
        <v>0</v>
      </c>
      <c r="K33" s="8"/>
      <c r="L33" s="77"/>
    </row>
    <row r="34" spans="1:12" x14ac:dyDescent="0.25">
      <c r="A34" s="5">
        <f t="shared" si="1"/>
        <v>2.0023000000000049</v>
      </c>
      <c r="B34" s="77"/>
      <c r="C34" s="76" t="s">
        <v>795</v>
      </c>
      <c r="D34" s="77"/>
      <c r="E34" s="77"/>
      <c r="F34" s="8" t="s">
        <v>5</v>
      </c>
      <c r="G34" s="8">
        <f t="shared" si="3"/>
        <v>1</v>
      </c>
      <c r="H34" s="8">
        <f t="shared" si="3"/>
        <v>0</v>
      </c>
      <c r="I34" s="8">
        <f t="shared" si="3"/>
        <v>0</v>
      </c>
      <c r="J34" s="8">
        <f t="shared" si="3"/>
        <v>0</v>
      </c>
      <c r="K34" s="8"/>
      <c r="L34" s="77"/>
    </row>
    <row r="35" spans="1:12" x14ac:dyDescent="0.25">
      <c r="A35" s="5">
        <f t="shared" si="1"/>
        <v>2.0024000000000051</v>
      </c>
      <c r="B35" s="77"/>
      <c r="C35" s="76" t="s">
        <v>796</v>
      </c>
      <c r="D35" s="77"/>
      <c r="E35" s="77"/>
      <c r="F35" s="8" t="s">
        <v>5</v>
      </c>
      <c r="G35" s="8">
        <f t="shared" si="3"/>
        <v>1</v>
      </c>
      <c r="H35" s="8">
        <f t="shared" si="3"/>
        <v>0</v>
      </c>
      <c r="I35" s="8">
        <f t="shared" si="3"/>
        <v>0</v>
      </c>
      <c r="J35" s="8">
        <f t="shared" si="3"/>
        <v>0</v>
      </c>
      <c r="K35" s="8"/>
      <c r="L35" s="77"/>
    </row>
    <row r="36" spans="1:12" x14ac:dyDescent="0.25">
      <c r="A36" s="5">
        <f t="shared" si="1"/>
        <v>2.0025000000000053</v>
      </c>
      <c r="B36" s="77"/>
      <c r="C36" s="76" t="s">
        <v>810</v>
      </c>
      <c r="D36" s="77"/>
      <c r="E36" s="77"/>
      <c r="F36" s="8" t="s">
        <v>5</v>
      </c>
      <c r="G36" s="8">
        <f t="shared" si="3"/>
        <v>1</v>
      </c>
      <c r="H36" s="8">
        <f t="shared" si="3"/>
        <v>0</v>
      </c>
      <c r="I36" s="8">
        <f t="shared" si="3"/>
        <v>0</v>
      </c>
      <c r="J36" s="8">
        <f t="shared" si="3"/>
        <v>0</v>
      </c>
      <c r="K36" s="8"/>
      <c r="L36" s="77"/>
    </row>
    <row r="37" spans="1:12" x14ac:dyDescent="0.25">
      <c r="A37" s="5">
        <f t="shared" si="1"/>
        <v>2.0026000000000055</v>
      </c>
      <c r="B37" s="77"/>
      <c r="C37" s="76" t="s">
        <v>824</v>
      </c>
      <c r="D37" s="77"/>
      <c r="E37" s="77"/>
      <c r="F37" s="8" t="s">
        <v>5</v>
      </c>
      <c r="G37" s="8">
        <f t="shared" si="3"/>
        <v>1</v>
      </c>
      <c r="H37" s="8">
        <f t="shared" si="3"/>
        <v>0</v>
      </c>
      <c r="I37" s="8">
        <f t="shared" si="3"/>
        <v>0</v>
      </c>
      <c r="J37" s="8">
        <f t="shared" si="3"/>
        <v>0</v>
      </c>
      <c r="K37" s="8"/>
      <c r="L37" s="77"/>
    </row>
    <row r="38" spans="1:12" x14ac:dyDescent="0.25">
      <c r="A38" s="5">
        <f t="shared" si="1"/>
        <v>2.0027000000000057</v>
      </c>
      <c r="B38" s="77"/>
      <c r="C38" s="76" t="s">
        <v>825</v>
      </c>
      <c r="D38" s="77"/>
      <c r="E38" s="77"/>
      <c r="F38" s="8" t="s">
        <v>5</v>
      </c>
      <c r="G38" s="8">
        <f t="shared" si="3"/>
        <v>1</v>
      </c>
      <c r="H38" s="8">
        <f t="shared" si="3"/>
        <v>0</v>
      </c>
      <c r="I38" s="8">
        <f t="shared" si="3"/>
        <v>0</v>
      </c>
      <c r="J38" s="8">
        <f t="shared" si="3"/>
        <v>0</v>
      </c>
      <c r="K38" s="8"/>
      <c r="L38" s="77"/>
    </row>
    <row r="39" spans="1:12" x14ac:dyDescent="0.25">
      <c r="A39" s="5">
        <f t="shared" si="1"/>
        <v>2.0028000000000059</v>
      </c>
      <c r="B39" s="77"/>
      <c r="C39" s="76" t="s">
        <v>826</v>
      </c>
      <c r="D39" s="77"/>
      <c r="E39" s="77"/>
      <c r="F39" s="8" t="s">
        <v>5</v>
      </c>
      <c r="G39" s="8">
        <f t="shared" si="3"/>
        <v>1</v>
      </c>
      <c r="H39" s="8">
        <f t="shared" si="3"/>
        <v>0</v>
      </c>
      <c r="I39" s="8">
        <f t="shared" si="3"/>
        <v>0</v>
      </c>
      <c r="J39" s="8">
        <f t="shared" si="3"/>
        <v>0</v>
      </c>
      <c r="K39" s="8"/>
      <c r="L39" s="77"/>
    </row>
    <row r="40" spans="1:12" x14ac:dyDescent="0.25">
      <c r="A40" s="5">
        <f t="shared" si="1"/>
        <v>2.0029000000000061</v>
      </c>
      <c r="B40" s="83" t="s">
        <v>811</v>
      </c>
      <c r="C40" s="82" t="s">
        <v>812</v>
      </c>
      <c r="D40" s="77"/>
      <c r="E40" s="77"/>
      <c r="F40" s="8" t="s">
        <v>5</v>
      </c>
      <c r="G40" s="8">
        <f t="shared" si="3"/>
        <v>1</v>
      </c>
      <c r="H40" s="8">
        <f t="shared" si="3"/>
        <v>0</v>
      </c>
      <c r="I40" s="8">
        <f t="shared" si="3"/>
        <v>0</v>
      </c>
      <c r="J40" s="8">
        <f t="shared" si="3"/>
        <v>0</v>
      </c>
      <c r="K40" s="8"/>
      <c r="L40" s="77"/>
    </row>
    <row r="41" spans="1:12" x14ac:dyDescent="0.25">
      <c r="A41" s="5">
        <f t="shared" si="1"/>
        <v>2.0030000000000063</v>
      </c>
      <c r="B41" s="77"/>
      <c r="C41" s="76" t="s">
        <v>814</v>
      </c>
      <c r="D41" s="77"/>
      <c r="E41" s="77"/>
      <c r="F41" s="8" t="s">
        <v>5</v>
      </c>
      <c r="G41" s="8">
        <f t="shared" si="3"/>
        <v>1</v>
      </c>
      <c r="H41" s="8">
        <f t="shared" si="3"/>
        <v>0</v>
      </c>
      <c r="I41" s="8">
        <f t="shared" si="3"/>
        <v>0</v>
      </c>
      <c r="J41" s="8">
        <f t="shared" si="3"/>
        <v>0</v>
      </c>
      <c r="K41" s="8"/>
      <c r="L41" s="77"/>
    </row>
    <row r="42" spans="1:12" x14ac:dyDescent="0.25">
      <c r="A42" s="5">
        <f t="shared" si="1"/>
        <v>2.0031000000000065</v>
      </c>
      <c r="B42" s="77"/>
      <c r="C42" s="76" t="s">
        <v>816</v>
      </c>
      <c r="D42" s="77"/>
      <c r="E42" s="77"/>
      <c r="F42" s="8" t="s">
        <v>5</v>
      </c>
      <c r="G42" s="8">
        <f t="shared" si="3"/>
        <v>1</v>
      </c>
      <c r="H42" s="8">
        <f t="shared" si="3"/>
        <v>0</v>
      </c>
      <c r="I42" s="8">
        <f t="shared" si="3"/>
        <v>0</v>
      </c>
      <c r="J42" s="8">
        <f t="shared" si="3"/>
        <v>0</v>
      </c>
      <c r="K42" s="8"/>
      <c r="L42" s="77"/>
    </row>
    <row r="43" spans="1:12" x14ac:dyDescent="0.25">
      <c r="A43" s="5">
        <f t="shared" si="1"/>
        <v>2.0032000000000068</v>
      </c>
      <c r="B43" s="76"/>
      <c r="C43" s="76" t="s">
        <v>1059</v>
      </c>
      <c r="D43" s="77"/>
      <c r="E43" s="77"/>
      <c r="F43" s="8" t="s">
        <v>5</v>
      </c>
      <c r="G43" s="8">
        <f t="shared" si="3"/>
        <v>1</v>
      </c>
      <c r="H43" s="8">
        <f t="shared" si="3"/>
        <v>0</v>
      </c>
      <c r="I43" s="8">
        <f t="shared" si="3"/>
        <v>0</v>
      </c>
      <c r="J43" s="8">
        <f t="shared" si="3"/>
        <v>0</v>
      </c>
      <c r="K43" s="8"/>
      <c r="L43" s="77"/>
    </row>
    <row r="44" spans="1:12" x14ac:dyDescent="0.25">
      <c r="A44" s="5">
        <f t="shared" si="1"/>
        <v>2.003300000000007</v>
      </c>
      <c r="B44" s="77"/>
      <c r="C44" s="76" t="s">
        <v>815</v>
      </c>
      <c r="D44" s="77"/>
      <c r="E44" s="77"/>
      <c r="F44" s="8" t="s">
        <v>5</v>
      </c>
      <c r="G44" s="8">
        <f t="shared" si="3"/>
        <v>1</v>
      </c>
      <c r="H44" s="8">
        <f t="shared" si="3"/>
        <v>0</v>
      </c>
      <c r="I44" s="8">
        <f t="shared" si="3"/>
        <v>0</v>
      </c>
      <c r="J44" s="8">
        <f t="shared" si="3"/>
        <v>0</v>
      </c>
      <c r="K44" s="8"/>
      <c r="L44" s="77"/>
    </row>
    <row r="45" spans="1:12" x14ac:dyDescent="0.25">
      <c r="A45" s="5">
        <f t="shared" si="1"/>
        <v>2.0034000000000072</v>
      </c>
      <c r="B45" s="77"/>
      <c r="C45" s="76" t="s">
        <v>817</v>
      </c>
      <c r="D45" s="77"/>
      <c r="E45" s="77"/>
      <c r="F45" s="8" t="s">
        <v>5</v>
      </c>
      <c r="G45" s="8">
        <f t="shared" si="3"/>
        <v>1</v>
      </c>
      <c r="H45" s="8">
        <f t="shared" si="3"/>
        <v>0</v>
      </c>
      <c r="I45" s="8">
        <f t="shared" si="3"/>
        <v>0</v>
      </c>
      <c r="J45" s="8">
        <f t="shared" si="3"/>
        <v>0</v>
      </c>
      <c r="K45" s="8"/>
      <c r="L45" s="77"/>
    </row>
    <row r="46" spans="1:12" x14ac:dyDescent="0.25">
      <c r="A46" s="5">
        <f t="shared" si="1"/>
        <v>2.0035000000000074</v>
      </c>
      <c r="B46" s="77"/>
      <c r="C46" s="76" t="s">
        <v>818</v>
      </c>
      <c r="D46" s="77" t="s">
        <v>820</v>
      </c>
      <c r="E46" s="77"/>
      <c r="F46" s="8" t="s">
        <v>5</v>
      </c>
      <c r="G46" s="8">
        <f t="shared" si="3"/>
        <v>1</v>
      </c>
      <c r="H46" s="8">
        <f t="shared" si="3"/>
        <v>0</v>
      </c>
      <c r="I46" s="8">
        <f t="shared" si="3"/>
        <v>0</v>
      </c>
      <c r="J46" s="8">
        <f t="shared" si="3"/>
        <v>0</v>
      </c>
      <c r="K46" s="8"/>
      <c r="L46" s="77"/>
    </row>
    <row r="47" spans="1:12" x14ac:dyDescent="0.25">
      <c r="A47" s="5">
        <f t="shared" si="1"/>
        <v>2.0036000000000076</v>
      </c>
      <c r="B47" s="77"/>
      <c r="C47" s="76" t="s">
        <v>819</v>
      </c>
      <c r="D47" s="77"/>
      <c r="E47" s="77"/>
      <c r="F47" s="8" t="s">
        <v>5</v>
      </c>
      <c r="G47" s="8">
        <f t="shared" ref="G47:J54" si="4">IF($F47=G$1,1,0)</f>
        <v>1</v>
      </c>
      <c r="H47" s="8">
        <f t="shared" si="4"/>
        <v>0</v>
      </c>
      <c r="I47" s="8">
        <f t="shared" si="4"/>
        <v>0</v>
      </c>
      <c r="J47" s="8">
        <f t="shared" si="4"/>
        <v>0</v>
      </c>
      <c r="K47" s="8"/>
      <c r="L47" s="77"/>
    </row>
    <row r="48" spans="1:12" x14ac:dyDescent="0.25">
      <c r="A48" s="5">
        <f t="shared" si="1"/>
        <v>2.0037000000000078</v>
      </c>
      <c r="B48" s="77"/>
      <c r="C48" s="76" t="s">
        <v>813</v>
      </c>
      <c r="D48" s="77"/>
      <c r="E48" s="77"/>
      <c r="F48" s="8" t="s">
        <v>5</v>
      </c>
      <c r="G48" s="8">
        <f t="shared" si="4"/>
        <v>1</v>
      </c>
      <c r="H48" s="8">
        <f t="shared" si="4"/>
        <v>0</v>
      </c>
      <c r="I48" s="8">
        <f t="shared" si="4"/>
        <v>0</v>
      </c>
      <c r="J48" s="8">
        <f t="shared" si="4"/>
        <v>0</v>
      </c>
      <c r="K48" s="8"/>
      <c r="L48" s="77"/>
    </row>
    <row r="49" spans="1:12" x14ac:dyDescent="0.25">
      <c r="A49" s="5">
        <f t="shared" si="1"/>
        <v>2.003800000000008</v>
      </c>
      <c r="B49" s="77"/>
      <c r="C49" s="76" t="s">
        <v>821</v>
      </c>
      <c r="D49" s="77"/>
      <c r="E49" s="77"/>
      <c r="F49" s="8" t="s">
        <v>5</v>
      </c>
      <c r="G49" s="8">
        <f t="shared" si="4"/>
        <v>1</v>
      </c>
      <c r="H49" s="8">
        <f t="shared" si="4"/>
        <v>0</v>
      </c>
      <c r="I49" s="8">
        <f t="shared" si="4"/>
        <v>0</v>
      </c>
      <c r="J49" s="8">
        <f t="shared" si="4"/>
        <v>0</v>
      </c>
      <c r="K49" s="8"/>
      <c r="L49" s="77"/>
    </row>
    <row r="50" spans="1:12" x14ac:dyDescent="0.25">
      <c r="A50" s="5">
        <f t="shared" si="1"/>
        <v>2.0039000000000082</v>
      </c>
      <c r="B50" s="77"/>
      <c r="C50" s="76" t="s">
        <v>822</v>
      </c>
      <c r="D50" s="77"/>
      <c r="E50" s="77"/>
      <c r="F50" s="8" t="s">
        <v>5</v>
      </c>
      <c r="G50" s="8">
        <f t="shared" si="4"/>
        <v>1</v>
      </c>
      <c r="H50" s="8">
        <f t="shared" si="4"/>
        <v>0</v>
      </c>
      <c r="I50" s="8">
        <f t="shared" si="4"/>
        <v>0</v>
      </c>
      <c r="J50" s="8">
        <f t="shared" si="4"/>
        <v>0</v>
      </c>
      <c r="K50" s="8"/>
      <c r="L50" s="77"/>
    </row>
    <row r="51" spans="1:12" x14ac:dyDescent="0.25">
      <c r="A51" s="5">
        <f t="shared" si="1"/>
        <v>2.0040000000000084</v>
      </c>
      <c r="B51" s="76"/>
      <c r="C51" s="76" t="s">
        <v>823</v>
      </c>
      <c r="D51" s="7"/>
      <c r="E51" s="7"/>
      <c r="F51" s="8" t="s">
        <v>5</v>
      </c>
      <c r="G51" s="8">
        <f t="shared" si="4"/>
        <v>1</v>
      </c>
      <c r="H51" s="8">
        <f t="shared" si="4"/>
        <v>0</v>
      </c>
      <c r="I51" s="8">
        <f t="shared" si="4"/>
        <v>0</v>
      </c>
      <c r="J51" s="8">
        <f t="shared" si="4"/>
        <v>0</v>
      </c>
      <c r="K51" s="8"/>
      <c r="L51" s="7"/>
    </row>
    <row r="52" spans="1:12" s="20" customFormat="1" x14ac:dyDescent="0.25">
      <c r="A52" s="16">
        <v>3</v>
      </c>
      <c r="B52" s="79" t="s">
        <v>1064</v>
      </c>
      <c r="C52" s="80" t="s">
        <v>1065</v>
      </c>
      <c r="D52" s="79"/>
      <c r="E52" s="79"/>
      <c r="F52" s="19"/>
      <c r="G52" s="19"/>
      <c r="H52" s="19"/>
      <c r="I52" s="19"/>
      <c r="J52" s="19"/>
      <c r="K52" s="19"/>
      <c r="L52" s="79"/>
    </row>
    <row r="53" spans="1:12" s="112" customFormat="1" ht="51" x14ac:dyDescent="0.25">
      <c r="A53" s="5">
        <f>+A52+0.0001</f>
        <v>3.0001000000000002</v>
      </c>
      <c r="B53" s="113" t="s">
        <v>1063</v>
      </c>
      <c r="C53" s="114" t="s">
        <v>1068</v>
      </c>
      <c r="D53" s="77" t="s">
        <v>1090</v>
      </c>
      <c r="E53" s="110"/>
      <c r="F53" s="111" t="s">
        <v>8</v>
      </c>
      <c r="G53" s="8">
        <f t="shared" si="4"/>
        <v>0</v>
      </c>
      <c r="H53" s="8">
        <f t="shared" si="4"/>
        <v>0</v>
      </c>
      <c r="I53" s="8">
        <f t="shared" si="4"/>
        <v>0</v>
      </c>
      <c r="J53" s="8">
        <f t="shared" si="4"/>
        <v>0</v>
      </c>
      <c r="K53" s="111"/>
      <c r="L53" s="110"/>
    </row>
    <row r="54" spans="1:12" x14ac:dyDescent="0.25">
      <c r="A54" s="5">
        <f>+A53+0.0001</f>
        <v>3.0002000000000004</v>
      </c>
      <c r="B54" s="77"/>
      <c r="C54" s="76" t="s">
        <v>1067</v>
      </c>
      <c r="D54" s="77"/>
      <c r="E54" s="77"/>
      <c r="F54" s="8" t="s">
        <v>8</v>
      </c>
      <c r="G54" s="8">
        <f t="shared" si="4"/>
        <v>0</v>
      </c>
      <c r="H54" s="8">
        <f t="shared" si="4"/>
        <v>0</v>
      </c>
      <c r="I54" s="8">
        <f t="shared" si="4"/>
        <v>0</v>
      </c>
      <c r="J54" s="8">
        <f t="shared" si="4"/>
        <v>0</v>
      </c>
      <c r="K54" s="8"/>
      <c r="L54" s="77"/>
    </row>
    <row r="55" spans="1:12" s="20" customFormat="1" x14ac:dyDescent="0.25">
      <c r="A55" s="16">
        <v>4</v>
      </c>
      <c r="B55" s="79" t="s">
        <v>1060</v>
      </c>
      <c r="C55" s="80"/>
      <c r="D55" s="79"/>
      <c r="E55" s="79"/>
      <c r="F55" s="19"/>
      <c r="G55" s="19"/>
      <c r="H55" s="19"/>
      <c r="I55" s="19"/>
      <c r="J55" s="19"/>
      <c r="K55" s="19"/>
      <c r="L55" s="79"/>
    </row>
    <row r="56" spans="1:12" x14ac:dyDescent="0.25">
      <c r="A56" s="5">
        <f t="shared" si="1"/>
        <v>4.0000999999999998</v>
      </c>
      <c r="B56" s="82" t="s">
        <v>827</v>
      </c>
      <c r="C56" s="78" t="s">
        <v>1061</v>
      </c>
      <c r="D56" s="77"/>
      <c r="E56" s="77"/>
      <c r="F56" s="8" t="s">
        <v>5</v>
      </c>
      <c r="G56" s="8">
        <f>IF($F56=G$1,1,0)</f>
        <v>1</v>
      </c>
      <c r="H56" s="8">
        <f>IF($F56=H$1,1,0)</f>
        <v>0</v>
      </c>
      <c r="I56" s="8">
        <f>IF($F56=I$1,1,0)</f>
        <v>0</v>
      </c>
      <c r="J56" s="8">
        <f>IF($F56=J$1,1,0)</f>
        <v>0</v>
      </c>
      <c r="K56" s="8"/>
      <c r="L56" s="77"/>
    </row>
    <row r="57" spans="1:12" ht="25.5" x14ac:dyDescent="0.25">
      <c r="A57" s="5">
        <f t="shared" si="1"/>
        <v>4.0001999999999995</v>
      </c>
      <c r="B57" s="82" t="s">
        <v>757</v>
      </c>
      <c r="C57" s="78" t="s">
        <v>758</v>
      </c>
      <c r="D57" s="77"/>
      <c r="E57" s="77"/>
      <c r="F57" s="8" t="s">
        <v>5</v>
      </c>
      <c r="G57" s="8">
        <f t="shared" ref="G57:J57" si="5">IF($F57=G$1,1,0)</f>
        <v>1</v>
      </c>
      <c r="H57" s="8">
        <f t="shared" si="5"/>
        <v>0</v>
      </c>
      <c r="I57" s="8">
        <f t="shared" si="5"/>
        <v>0</v>
      </c>
      <c r="J57" s="8">
        <f t="shared" si="5"/>
        <v>0</v>
      </c>
      <c r="K57" s="8"/>
      <c r="L57" s="77"/>
    </row>
    <row r="58" spans="1:12" x14ac:dyDescent="0.25">
      <c r="A58" s="5">
        <f t="shared" si="1"/>
        <v>4.0002999999999993</v>
      </c>
      <c r="B58" s="76" t="s">
        <v>759</v>
      </c>
      <c r="C58" s="78" t="s">
        <v>760</v>
      </c>
      <c r="D58" s="77"/>
      <c r="E58" s="77"/>
      <c r="F58" s="8" t="s">
        <v>5</v>
      </c>
      <c r="G58" s="8">
        <f t="shared" ref="G58:J73" si="6">IF($F58=G$1,1,0)</f>
        <v>1</v>
      </c>
      <c r="H58" s="8">
        <f t="shared" si="6"/>
        <v>0</v>
      </c>
      <c r="I58" s="8">
        <f t="shared" si="6"/>
        <v>0</v>
      </c>
      <c r="J58" s="8">
        <f t="shared" si="6"/>
        <v>0</v>
      </c>
      <c r="K58" s="8"/>
      <c r="L58" s="77"/>
    </row>
    <row r="59" spans="1:12" x14ac:dyDescent="0.25">
      <c r="A59" s="5">
        <f t="shared" si="1"/>
        <v>4.0003999999999991</v>
      </c>
      <c r="B59" s="76" t="s">
        <v>801</v>
      </c>
      <c r="C59" s="78" t="s">
        <v>1101</v>
      </c>
      <c r="D59" s="8"/>
      <c r="E59" s="77"/>
      <c r="F59" s="8" t="s">
        <v>5</v>
      </c>
      <c r="G59" s="8">
        <f t="shared" si="6"/>
        <v>1</v>
      </c>
      <c r="H59" s="8">
        <f t="shared" si="6"/>
        <v>0</v>
      </c>
      <c r="I59" s="8">
        <f t="shared" si="6"/>
        <v>0</v>
      </c>
      <c r="J59" s="8">
        <f t="shared" si="6"/>
        <v>0</v>
      </c>
      <c r="K59" s="8"/>
      <c r="L59" s="77"/>
    </row>
    <row r="60" spans="1:12" x14ac:dyDescent="0.25">
      <c r="A60" s="5">
        <f t="shared" si="1"/>
        <v>4.0004999999999988</v>
      </c>
      <c r="B60" s="76" t="s">
        <v>803</v>
      </c>
      <c r="C60" s="78" t="s">
        <v>828</v>
      </c>
      <c r="D60" s="8"/>
      <c r="E60" s="77"/>
      <c r="F60" s="8" t="s">
        <v>5</v>
      </c>
      <c r="G60" s="8">
        <f t="shared" si="6"/>
        <v>1</v>
      </c>
      <c r="H60" s="8">
        <f t="shared" si="6"/>
        <v>0</v>
      </c>
      <c r="I60" s="8">
        <f t="shared" si="6"/>
        <v>0</v>
      </c>
      <c r="J60" s="8">
        <f t="shared" si="6"/>
        <v>0</v>
      </c>
      <c r="K60" s="8"/>
      <c r="L60" s="77"/>
    </row>
    <row r="61" spans="1:12" x14ac:dyDescent="0.25">
      <c r="A61" s="5">
        <f t="shared" si="1"/>
        <v>4.0005999999999986</v>
      </c>
      <c r="B61" s="76" t="s">
        <v>806</v>
      </c>
      <c r="C61" s="78" t="s">
        <v>761</v>
      </c>
      <c r="D61" s="8"/>
      <c r="E61" s="77"/>
      <c r="F61" s="8" t="s">
        <v>5</v>
      </c>
      <c r="G61" s="8">
        <f t="shared" si="6"/>
        <v>1</v>
      </c>
      <c r="H61" s="8">
        <f t="shared" si="6"/>
        <v>0</v>
      </c>
      <c r="I61" s="8">
        <f t="shared" si="6"/>
        <v>0</v>
      </c>
      <c r="J61" s="8">
        <f t="shared" si="6"/>
        <v>0</v>
      </c>
      <c r="K61" s="8"/>
      <c r="L61" s="77"/>
    </row>
    <row r="62" spans="1:12" x14ac:dyDescent="0.25">
      <c r="A62" s="5">
        <f t="shared" si="1"/>
        <v>4.0006999999999984</v>
      </c>
      <c r="B62" s="76" t="s">
        <v>788</v>
      </c>
      <c r="C62" s="78">
        <v>100</v>
      </c>
      <c r="D62" s="77"/>
      <c r="E62" s="77"/>
      <c r="F62" s="8" t="s">
        <v>5</v>
      </c>
      <c r="G62" s="8">
        <f t="shared" si="6"/>
        <v>1</v>
      </c>
      <c r="H62" s="8">
        <f t="shared" si="6"/>
        <v>0</v>
      </c>
      <c r="I62" s="8">
        <f t="shared" si="6"/>
        <v>0</v>
      </c>
      <c r="J62" s="8">
        <f t="shared" si="6"/>
        <v>0</v>
      </c>
      <c r="K62" s="8"/>
      <c r="L62" s="77"/>
    </row>
    <row r="63" spans="1:12" x14ac:dyDescent="0.25">
      <c r="A63" s="5">
        <f t="shared" si="1"/>
        <v>4.0007999999999981</v>
      </c>
      <c r="B63" s="77" t="s">
        <v>762</v>
      </c>
      <c r="C63" s="76" t="s">
        <v>765</v>
      </c>
      <c r="D63" s="21"/>
      <c r="E63" s="77"/>
      <c r="F63" s="8" t="s">
        <v>5</v>
      </c>
      <c r="G63" s="8">
        <f t="shared" si="6"/>
        <v>1</v>
      </c>
      <c r="H63" s="8">
        <f t="shared" si="6"/>
        <v>0</v>
      </c>
      <c r="I63" s="8">
        <f t="shared" si="6"/>
        <v>0</v>
      </c>
      <c r="J63" s="8">
        <f t="shared" si="6"/>
        <v>0</v>
      </c>
      <c r="K63" s="8"/>
      <c r="L63" s="77"/>
    </row>
    <row r="64" spans="1:12" x14ac:dyDescent="0.25">
      <c r="A64" s="5">
        <f t="shared" si="1"/>
        <v>4.0008999999999979</v>
      </c>
      <c r="B64" s="77" t="s">
        <v>763</v>
      </c>
      <c r="C64" s="76" t="s">
        <v>764</v>
      </c>
      <c r="D64" s="77"/>
      <c r="E64" s="77"/>
      <c r="F64" s="8" t="s">
        <v>5</v>
      </c>
      <c r="G64" s="8">
        <f t="shared" si="6"/>
        <v>1</v>
      </c>
      <c r="H64" s="8">
        <f t="shared" si="6"/>
        <v>0</v>
      </c>
      <c r="I64" s="8">
        <f t="shared" si="6"/>
        <v>0</v>
      </c>
      <c r="J64" s="8">
        <f t="shared" si="6"/>
        <v>0</v>
      </c>
      <c r="K64" s="8"/>
      <c r="L64" s="77"/>
    </row>
    <row r="65" spans="1:12" x14ac:dyDescent="0.25">
      <c r="A65" s="5">
        <f t="shared" si="1"/>
        <v>4.0009999999999977</v>
      </c>
      <c r="B65" s="77" t="s">
        <v>766</v>
      </c>
      <c r="C65" s="76" t="s">
        <v>764</v>
      </c>
      <c r="D65" s="77"/>
      <c r="E65" s="77"/>
      <c r="F65" s="8" t="s">
        <v>5</v>
      </c>
      <c r="G65" s="8">
        <f t="shared" si="6"/>
        <v>1</v>
      </c>
      <c r="H65" s="8">
        <f t="shared" si="6"/>
        <v>0</v>
      </c>
      <c r="I65" s="8">
        <f t="shared" si="6"/>
        <v>0</v>
      </c>
      <c r="J65" s="8">
        <f t="shared" si="6"/>
        <v>0</v>
      </c>
      <c r="K65" s="8"/>
      <c r="L65" s="77"/>
    </row>
    <row r="66" spans="1:12" x14ac:dyDescent="0.25">
      <c r="A66" s="5">
        <f t="shared" si="1"/>
        <v>4.0010999999999974</v>
      </c>
      <c r="B66" s="76" t="s">
        <v>777</v>
      </c>
      <c r="C66" s="81" t="s">
        <v>804</v>
      </c>
      <c r="D66" s="77" t="s">
        <v>768</v>
      </c>
      <c r="E66" s="77"/>
      <c r="F66" s="8" t="s">
        <v>5</v>
      </c>
      <c r="G66" s="8">
        <f t="shared" si="6"/>
        <v>1</v>
      </c>
      <c r="H66" s="8">
        <f t="shared" si="6"/>
        <v>0</v>
      </c>
      <c r="I66" s="8">
        <f t="shared" si="6"/>
        <v>0</v>
      </c>
      <c r="J66" s="8">
        <f t="shared" si="6"/>
        <v>0</v>
      </c>
      <c r="K66" s="8"/>
      <c r="L66" s="77"/>
    </row>
    <row r="67" spans="1:12" x14ac:dyDescent="0.25">
      <c r="A67" s="5">
        <f t="shared" si="1"/>
        <v>4.0011999999999972</v>
      </c>
      <c r="B67" s="76" t="s">
        <v>778</v>
      </c>
      <c r="C67" s="76" t="s">
        <v>805</v>
      </c>
      <c r="D67" s="77"/>
      <c r="E67" s="77"/>
      <c r="F67" s="8" t="s">
        <v>5</v>
      </c>
      <c r="G67" s="8">
        <f t="shared" si="6"/>
        <v>1</v>
      </c>
      <c r="H67" s="8">
        <f t="shared" si="6"/>
        <v>0</v>
      </c>
      <c r="I67" s="8">
        <f t="shared" si="6"/>
        <v>0</v>
      </c>
      <c r="J67" s="8">
        <f t="shared" si="6"/>
        <v>0</v>
      </c>
      <c r="K67" s="8"/>
      <c r="L67" s="77"/>
    </row>
    <row r="68" spans="1:12" x14ac:dyDescent="0.25">
      <c r="A68" s="5">
        <f t="shared" si="1"/>
        <v>4.001299999999997</v>
      </c>
      <c r="B68" s="76"/>
      <c r="C68" s="76" t="s">
        <v>807</v>
      </c>
      <c r="D68" s="77"/>
      <c r="E68" s="77"/>
      <c r="F68" s="8" t="s">
        <v>5</v>
      </c>
      <c r="G68" s="8">
        <f t="shared" si="6"/>
        <v>1</v>
      </c>
      <c r="H68" s="8">
        <f t="shared" si="6"/>
        <v>0</v>
      </c>
      <c r="I68" s="8">
        <f t="shared" si="6"/>
        <v>0</v>
      </c>
      <c r="J68" s="8">
        <f t="shared" si="6"/>
        <v>0</v>
      </c>
      <c r="K68" s="8"/>
      <c r="L68" s="77"/>
    </row>
    <row r="69" spans="1:12" x14ac:dyDescent="0.25">
      <c r="A69" s="5">
        <f t="shared" si="1"/>
        <v>4.0013999999999967</v>
      </c>
      <c r="B69" s="82" t="s">
        <v>775</v>
      </c>
      <c r="C69" s="76" t="s">
        <v>769</v>
      </c>
      <c r="D69" s="77"/>
      <c r="E69" s="77"/>
      <c r="F69" s="8" t="s">
        <v>5</v>
      </c>
      <c r="G69" s="8">
        <f t="shared" si="6"/>
        <v>1</v>
      </c>
      <c r="H69" s="8">
        <f t="shared" si="6"/>
        <v>0</v>
      </c>
      <c r="I69" s="8">
        <f t="shared" si="6"/>
        <v>0</v>
      </c>
      <c r="J69" s="8">
        <f t="shared" si="6"/>
        <v>0</v>
      </c>
      <c r="K69" s="8"/>
      <c r="L69" s="77"/>
    </row>
    <row r="70" spans="1:12" x14ac:dyDescent="0.25">
      <c r="A70" s="5">
        <f t="shared" si="1"/>
        <v>4.0014999999999965</v>
      </c>
      <c r="B70" s="82"/>
      <c r="C70" s="76" t="s">
        <v>808</v>
      </c>
      <c r="D70" s="77" t="s">
        <v>809</v>
      </c>
      <c r="E70" s="77"/>
      <c r="F70" s="8" t="s">
        <v>5</v>
      </c>
      <c r="G70" s="8">
        <f t="shared" si="6"/>
        <v>1</v>
      </c>
      <c r="H70" s="8">
        <f t="shared" si="6"/>
        <v>0</v>
      </c>
      <c r="I70" s="8">
        <f t="shared" si="6"/>
        <v>0</v>
      </c>
      <c r="J70" s="8">
        <f t="shared" si="6"/>
        <v>0</v>
      </c>
      <c r="K70" s="8"/>
      <c r="L70" s="77"/>
    </row>
    <row r="71" spans="1:12" x14ac:dyDescent="0.25">
      <c r="A71" s="5">
        <f t="shared" si="1"/>
        <v>4.0015999999999963</v>
      </c>
      <c r="B71" s="76"/>
      <c r="C71" s="76" t="s">
        <v>770</v>
      </c>
      <c r="D71" s="77"/>
      <c r="E71" s="77"/>
      <c r="F71" s="8" t="s">
        <v>5</v>
      </c>
      <c r="G71" s="8">
        <f t="shared" si="6"/>
        <v>1</v>
      </c>
      <c r="H71" s="8">
        <f t="shared" si="6"/>
        <v>0</v>
      </c>
      <c r="I71" s="8">
        <f t="shared" si="6"/>
        <v>0</v>
      </c>
      <c r="J71" s="8">
        <f t="shared" si="6"/>
        <v>0</v>
      </c>
      <c r="K71" s="8"/>
      <c r="L71" s="77"/>
    </row>
    <row r="72" spans="1:12" x14ac:dyDescent="0.25">
      <c r="A72" s="5">
        <f t="shared" si="1"/>
        <v>4.001699999999996</v>
      </c>
      <c r="B72" s="76"/>
      <c r="C72" s="76" t="s">
        <v>771</v>
      </c>
      <c r="D72" s="77"/>
      <c r="E72" s="77"/>
      <c r="F72" s="8" t="s">
        <v>5</v>
      </c>
      <c r="G72" s="8">
        <f t="shared" si="6"/>
        <v>1</v>
      </c>
      <c r="H72" s="8">
        <f t="shared" si="6"/>
        <v>0</v>
      </c>
      <c r="I72" s="8">
        <f t="shared" si="6"/>
        <v>0</v>
      </c>
      <c r="J72" s="8">
        <f t="shared" si="6"/>
        <v>0</v>
      </c>
      <c r="K72" s="8"/>
      <c r="L72" s="77"/>
    </row>
    <row r="73" spans="1:12" x14ac:dyDescent="0.25">
      <c r="A73" s="5">
        <f t="shared" si="1"/>
        <v>4.0017999999999958</v>
      </c>
      <c r="B73" s="76"/>
      <c r="C73" s="76" t="s">
        <v>772</v>
      </c>
      <c r="D73" s="77"/>
      <c r="E73" s="77"/>
      <c r="F73" s="8" t="s">
        <v>5</v>
      </c>
      <c r="G73" s="8">
        <f t="shared" si="6"/>
        <v>1</v>
      </c>
      <c r="H73" s="8">
        <f t="shared" si="6"/>
        <v>0</v>
      </c>
      <c r="I73" s="8">
        <f t="shared" si="6"/>
        <v>0</v>
      </c>
      <c r="J73" s="8">
        <f t="shared" si="6"/>
        <v>0</v>
      </c>
      <c r="K73" s="8"/>
      <c r="L73" s="77"/>
    </row>
    <row r="74" spans="1:12" x14ac:dyDescent="0.25">
      <c r="A74" s="5">
        <f t="shared" si="1"/>
        <v>4.0018999999999956</v>
      </c>
      <c r="B74" s="76"/>
      <c r="C74" s="76" t="s">
        <v>773</v>
      </c>
      <c r="D74" s="77"/>
      <c r="E74" s="77"/>
      <c r="F74" s="8" t="s">
        <v>5</v>
      </c>
      <c r="G74" s="8">
        <f t="shared" ref="G74:J88" si="7">IF($F74=G$1,1,0)</f>
        <v>1</v>
      </c>
      <c r="H74" s="8">
        <f t="shared" si="7"/>
        <v>0</v>
      </c>
      <c r="I74" s="8">
        <f t="shared" si="7"/>
        <v>0</v>
      </c>
      <c r="J74" s="8">
        <f t="shared" si="7"/>
        <v>0</v>
      </c>
      <c r="K74" s="8"/>
      <c r="L74" s="77"/>
    </row>
    <row r="75" spans="1:12" x14ac:dyDescent="0.25">
      <c r="A75" s="5">
        <f t="shared" si="1"/>
        <v>4.0019999999999953</v>
      </c>
      <c r="B75" s="76"/>
      <c r="C75" s="76" t="s">
        <v>774</v>
      </c>
      <c r="D75" s="77"/>
      <c r="E75" s="77"/>
      <c r="F75" s="8" t="s">
        <v>5</v>
      </c>
      <c r="G75" s="8">
        <f t="shared" si="7"/>
        <v>1</v>
      </c>
      <c r="H75" s="8">
        <f t="shared" si="7"/>
        <v>0</v>
      </c>
      <c r="I75" s="8">
        <f t="shared" si="7"/>
        <v>0</v>
      </c>
      <c r="J75" s="8">
        <f t="shared" si="7"/>
        <v>0</v>
      </c>
      <c r="K75" s="8"/>
      <c r="L75" s="77"/>
    </row>
    <row r="76" spans="1:12" x14ac:dyDescent="0.25">
      <c r="A76" s="5">
        <f t="shared" ref="A76:A97" si="8">A75+0.0001</f>
        <v>4.0020999999999951</v>
      </c>
      <c r="B76" s="82" t="s">
        <v>776</v>
      </c>
      <c r="C76" s="76" t="s">
        <v>779</v>
      </c>
      <c r="D76" s="77"/>
      <c r="E76" s="77"/>
      <c r="F76" s="8" t="s">
        <v>5</v>
      </c>
      <c r="G76" s="8">
        <f t="shared" si="7"/>
        <v>1</v>
      </c>
      <c r="H76" s="8">
        <f t="shared" si="7"/>
        <v>0</v>
      </c>
      <c r="I76" s="8">
        <f t="shared" si="7"/>
        <v>0</v>
      </c>
      <c r="J76" s="8">
        <f t="shared" si="7"/>
        <v>0</v>
      </c>
      <c r="K76" s="8"/>
      <c r="L76" s="77"/>
    </row>
    <row r="77" spans="1:12" x14ac:dyDescent="0.25">
      <c r="A77" s="5">
        <f t="shared" si="8"/>
        <v>4.0021999999999949</v>
      </c>
      <c r="B77" s="83" t="s">
        <v>797</v>
      </c>
      <c r="C77" s="82" t="s">
        <v>791</v>
      </c>
      <c r="D77" s="77"/>
      <c r="E77" s="77"/>
      <c r="F77" s="8" t="s">
        <v>5</v>
      </c>
      <c r="G77" s="8">
        <f t="shared" si="7"/>
        <v>1</v>
      </c>
      <c r="H77" s="8">
        <f t="shared" si="7"/>
        <v>0</v>
      </c>
      <c r="I77" s="8">
        <f t="shared" si="7"/>
        <v>0</v>
      </c>
      <c r="J77" s="8">
        <f t="shared" si="7"/>
        <v>0</v>
      </c>
      <c r="K77" s="8"/>
      <c r="L77" s="77"/>
    </row>
    <row r="78" spans="1:12" x14ac:dyDescent="0.25">
      <c r="A78" s="5">
        <f t="shared" si="8"/>
        <v>4.0022999999999946</v>
      </c>
      <c r="B78" s="77"/>
      <c r="C78" s="76" t="s">
        <v>792</v>
      </c>
      <c r="D78" s="77"/>
      <c r="E78" s="77"/>
      <c r="F78" s="8" t="s">
        <v>5</v>
      </c>
      <c r="G78" s="8">
        <f t="shared" si="7"/>
        <v>1</v>
      </c>
      <c r="H78" s="8">
        <f t="shared" si="7"/>
        <v>0</v>
      </c>
      <c r="I78" s="8">
        <f t="shared" si="7"/>
        <v>0</v>
      </c>
      <c r="J78" s="8">
        <f t="shared" si="7"/>
        <v>0</v>
      </c>
      <c r="K78" s="8"/>
      <c r="L78" s="77"/>
    </row>
    <row r="79" spans="1:12" x14ac:dyDescent="0.25">
      <c r="A79" s="5">
        <f t="shared" si="8"/>
        <v>4.0023999999999944</v>
      </c>
      <c r="B79" s="77"/>
      <c r="C79" s="76" t="s">
        <v>793</v>
      </c>
      <c r="D79" s="77"/>
      <c r="E79" s="77"/>
      <c r="F79" s="8" t="s">
        <v>5</v>
      </c>
      <c r="G79" s="8">
        <f t="shared" si="7"/>
        <v>1</v>
      </c>
      <c r="H79" s="8">
        <f t="shared" si="7"/>
        <v>0</v>
      </c>
      <c r="I79" s="8">
        <f t="shared" si="7"/>
        <v>0</v>
      </c>
      <c r="J79" s="8">
        <f t="shared" si="7"/>
        <v>0</v>
      </c>
      <c r="K79" s="8"/>
      <c r="L79" s="77"/>
    </row>
    <row r="80" spans="1:12" x14ac:dyDescent="0.25">
      <c r="A80" s="5">
        <f t="shared" si="8"/>
        <v>4.0024999999999942</v>
      </c>
      <c r="B80" s="77"/>
      <c r="C80" s="76" t="s">
        <v>794</v>
      </c>
      <c r="D80" s="77"/>
      <c r="E80" s="77"/>
      <c r="F80" s="8" t="s">
        <v>5</v>
      </c>
      <c r="G80" s="8">
        <f t="shared" si="7"/>
        <v>1</v>
      </c>
      <c r="H80" s="8">
        <f t="shared" si="7"/>
        <v>0</v>
      </c>
      <c r="I80" s="8">
        <f t="shared" si="7"/>
        <v>0</v>
      </c>
      <c r="J80" s="8">
        <f t="shared" si="7"/>
        <v>0</v>
      </c>
      <c r="K80" s="8"/>
      <c r="L80" s="77"/>
    </row>
    <row r="81" spans="1:12" x14ac:dyDescent="0.25">
      <c r="A81" s="5">
        <f t="shared" si="8"/>
        <v>4.0025999999999939</v>
      </c>
      <c r="B81" s="77"/>
      <c r="C81" s="76" t="s">
        <v>795</v>
      </c>
      <c r="D81" s="77"/>
      <c r="E81" s="77"/>
      <c r="F81" s="8" t="s">
        <v>5</v>
      </c>
      <c r="G81" s="8">
        <f t="shared" si="7"/>
        <v>1</v>
      </c>
      <c r="H81" s="8">
        <f t="shared" si="7"/>
        <v>0</v>
      </c>
      <c r="I81" s="8">
        <f t="shared" si="7"/>
        <v>0</v>
      </c>
      <c r="J81" s="8">
        <f t="shared" si="7"/>
        <v>0</v>
      </c>
      <c r="K81" s="8"/>
      <c r="L81" s="77"/>
    </row>
    <row r="82" spans="1:12" x14ac:dyDescent="0.25">
      <c r="A82" s="5">
        <f t="shared" si="8"/>
        <v>4.0026999999999937</v>
      </c>
      <c r="B82" s="77"/>
      <c r="C82" s="76" t="s">
        <v>796</v>
      </c>
      <c r="D82" s="77"/>
      <c r="E82" s="77"/>
      <c r="F82" s="8" t="s">
        <v>5</v>
      </c>
      <c r="G82" s="8">
        <f t="shared" si="7"/>
        <v>1</v>
      </c>
      <c r="H82" s="8">
        <f t="shared" si="7"/>
        <v>0</v>
      </c>
      <c r="I82" s="8">
        <f t="shared" si="7"/>
        <v>0</v>
      </c>
      <c r="J82" s="8">
        <f t="shared" si="7"/>
        <v>0</v>
      </c>
      <c r="K82" s="8"/>
      <c r="L82" s="77"/>
    </row>
    <row r="83" spans="1:12" x14ac:dyDescent="0.25">
      <c r="A83" s="5">
        <f t="shared" si="8"/>
        <v>4.0027999999999935</v>
      </c>
      <c r="B83" s="77"/>
      <c r="C83" s="76" t="s">
        <v>810</v>
      </c>
      <c r="D83" s="77"/>
      <c r="E83" s="77"/>
      <c r="F83" s="8" t="s">
        <v>5</v>
      </c>
      <c r="G83" s="8">
        <f t="shared" si="7"/>
        <v>1</v>
      </c>
      <c r="H83" s="8">
        <f t="shared" si="7"/>
        <v>0</v>
      </c>
      <c r="I83" s="8">
        <f t="shared" si="7"/>
        <v>0</v>
      </c>
      <c r="J83" s="8">
        <f t="shared" si="7"/>
        <v>0</v>
      </c>
      <c r="K83" s="8"/>
      <c r="L83" s="77"/>
    </row>
    <row r="84" spans="1:12" x14ac:dyDescent="0.25">
      <c r="A84" s="5">
        <f t="shared" si="8"/>
        <v>4.0028999999999932</v>
      </c>
      <c r="B84" s="77"/>
      <c r="C84" s="76" t="s">
        <v>824</v>
      </c>
      <c r="D84" s="77"/>
      <c r="E84" s="77"/>
      <c r="F84" s="8" t="s">
        <v>5</v>
      </c>
      <c r="G84" s="8">
        <f t="shared" si="7"/>
        <v>1</v>
      </c>
      <c r="H84" s="8">
        <f t="shared" si="7"/>
        <v>0</v>
      </c>
      <c r="I84" s="8">
        <f t="shared" si="7"/>
        <v>0</v>
      </c>
      <c r="J84" s="8">
        <f t="shared" si="7"/>
        <v>0</v>
      </c>
      <c r="K84" s="8"/>
      <c r="L84" s="77"/>
    </row>
    <row r="85" spans="1:12" x14ac:dyDescent="0.25">
      <c r="A85" s="5">
        <f t="shared" si="8"/>
        <v>4.002999999999993</v>
      </c>
      <c r="B85" s="77"/>
      <c r="C85" s="76" t="s">
        <v>825</v>
      </c>
      <c r="D85" s="77"/>
      <c r="E85" s="77"/>
      <c r="F85" s="8" t="s">
        <v>5</v>
      </c>
      <c r="G85" s="8">
        <f t="shared" si="7"/>
        <v>1</v>
      </c>
      <c r="H85" s="8">
        <f t="shared" si="7"/>
        <v>0</v>
      </c>
      <c r="I85" s="8">
        <f t="shared" si="7"/>
        <v>0</v>
      </c>
      <c r="J85" s="8">
        <f t="shared" si="7"/>
        <v>0</v>
      </c>
      <c r="K85" s="8"/>
      <c r="L85" s="77"/>
    </row>
    <row r="86" spans="1:12" x14ac:dyDescent="0.25">
      <c r="A86" s="5">
        <f t="shared" si="8"/>
        <v>4.0030999999999928</v>
      </c>
      <c r="B86" s="77"/>
      <c r="C86" s="76" t="s">
        <v>826</v>
      </c>
      <c r="D86" s="77"/>
      <c r="E86" s="77"/>
      <c r="F86" s="8" t="s">
        <v>5</v>
      </c>
      <c r="G86" s="8">
        <f t="shared" si="7"/>
        <v>1</v>
      </c>
      <c r="H86" s="8">
        <f t="shared" si="7"/>
        <v>0</v>
      </c>
      <c r="I86" s="8">
        <f t="shared" si="7"/>
        <v>0</v>
      </c>
      <c r="J86" s="8">
        <f t="shared" si="7"/>
        <v>0</v>
      </c>
      <c r="K86" s="8"/>
      <c r="L86" s="77"/>
    </row>
    <row r="87" spans="1:12" x14ac:dyDescent="0.25">
      <c r="A87" s="5">
        <f t="shared" si="8"/>
        <v>4.0031999999999925</v>
      </c>
      <c r="B87" s="83" t="s">
        <v>811</v>
      </c>
      <c r="C87" s="82" t="s">
        <v>812</v>
      </c>
      <c r="D87" s="77"/>
      <c r="E87" s="77"/>
      <c r="F87" s="8" t="s">
        <v>5</v>
      </c>
      <c r="G87" s="8">
        <f t="shared" si="7"/>
        <v>1</v>
      </c>
      <c r="H87" s="8">
        <f t="shared" si="7"/>
        <v>0</v>
      </c>
      <c r="I87" s="8">
        <f t="shared" si="7"/>
        <v>0</v>
      </c>
      <c r="J87" s="8">
        <f t="shared" si="7"/>
        <v>0</v>
      </c>
      <c r="K87" s="8"/>
      <c r="L87" s="77"/>
    </row>
    <row r="88" spans="1:12" x14ac:dyDescent="0.25">
      <c r="A88" s="5">
        <f t="shared" si="8"/>
        <v>4.0032999999999923</v>
      </c>
      <c r="B88" s="77"/>
      <c r="C88" s="76" t="s">
        <v>814</v>
      </c>
      <c r="D88" s="77"/>
      <c r="E88" s="77"/>
      <c r="F88" s="8" t="s">
        <v>5</v>
      </c>
      <c r="G88" s="8">
        <f t="shared" si="7"/>
        <v>1</v>
      </c>
      <c r="H88" s="8">
        <f t="shared" si="7"/>
        <v>0</v>
      </c>
      <c r="I88" s="8">
        <f t="shared" si="7"/>
        <v>0</v>
      </c>
      <c r="J88" s="8">
        <f t="shared" si="7"/>
        <v>0</v>
      </c>
      <c r="K88" s="8"/>
      <c r="L88" s="77"/>
    </row>
    <row r="89" spans="1:12" x14ac:dyDescent="0.25">
      <c r="A89" s="5">
        <f t="shared" si="8"/>
        <v>4.0033999999999921</v>
      </c>
      <c r="B89" s="77"/>
      <c r="C89" s="76" t="s">
        <v>815</v>
      </c>
      <c r="D89" s="77"/>
      <c r="E89" s="77"/>
      <c r="F89" s="8" t="s">
        <v>5</v>
      </c>
      <c r="G89" s="8">
        <f t="shared" ref="G89:J97" si="9">IF($F89=G$1,1,0)</f>
        <v>1</v>
      </c>
      <c r="H89" s="8">
        <f t="shared" si="9"/>
        <v>0</v>
      </c>
      <c r="I89" s="8">
        <f t="shared" si="9"/>
        <v>0</v>
      </c>
      <c r="J89" s="8">
        <f t="shared" si="9"/>
        <v>0</v>
      </c>
      <c r="K89" s="8"/>
      <c r="L89" s="77"/>
    </row>
    <row r="90" spans="1:12" x14ac:dyDescent="0.25">
      <c r="A90" s="5">
        <f t="shared" si="8"/>
        <v>4.0034999999999918</v>
      </c>
      <c r="B90" s="77"/>
      <c r="C90" s="76" t="s">
        <v>816</v>
      </c>
      <c r="D90" s="77"/>
      <c r="E90" s="77"/>
      <c r="F90" s="8" t="s">
        <v>5</v>
      </c>
      <c r="G90" s="8">
        <f t="shared" si="9"/>
        <v>1</v>
      </c>
      <c r="H90" s="8">
        <f t="shared" si="9"/>
        <v>0</v>
      </c>
      <c r="I90" s="8">
        <f t="shared" si="9"/>
        <v>0</v>
      </c>
      <c r="J90" s="8">
        <f t="shared" si="9"/>
        <v>0</v>
      </c>
      <c r="K90" s="8"/>
      <c r="L90" s="77"/>
    </row>
    <row r="91" spans="1:12" x14ac:dyDescent="0.25">
      <c r="A91" s="5">
        <f t="shared" si="8"/>
        <v>4.0035999999999916</v>
      </c>
      <c r="B91" s="77"/>
      <c r="C91" s="76" t="s">
        <v>817</v>
      </c>
      <c r="D91" s="77"/>
      <c r="E91" s="77"/>
      <c r="F91" s="8" t="s">
        <v>5</v>
      </c>
      <c r="G91" s="8">
        <f t="shared" si="9"/>
        <v>1</v>
      </c>
      <c r="H91" s="8">
        <f t="shared" si="9"/>
        <v>0</v>
      </c>
      <c r="I91" s="8">
        <f t="shared" si="9"/>
        <v>0</v>
      </c>
      <c r="J91" s="8">
        <f t="shared" si="9"/>
        <v>0</v>
      </c>
      <c r="K91" s="8"/>
      <c r="L91" s="77"/>
    </row>
    <row r="92" spans="1:12" x14ac:dyDescent="0.25">
      <c r="A92" s="5">
        <f t="shared" si="8"/>
        <v>4.0036999999999914</v>
      </c>
      <c r="B92" s="77"/>
      <c r="C92" s="76" t="s">
        <v>818</v>
      </c>
      <c r="D92" s="77"/>
      <c r="E92" s="77"/>
      <c r="F92" s="8" t="s">
        <v>5</v>
      </c>
      <c r="G92" s="8">
        <f t="shared" si="9"/>
        <v>1</v>
      </c>
      <c r="H92" s="8">
        <f t="shared" si="9"/>
        <v>0</v>
      </c>
      <c r="I92" s="8">
        <f t="shared" si="9"/>
        <v>0</v>
      </c>
      <c r="J92" s="8">
        <f t="shared" si="9"/>
        <v>0</v>
      </c>
      <c r="K92" s="8"/>
      <c r="L92" s="77"/>
    </row>
    <row r="93" spans="1:12" x14ac:dyDescent="0.25">
      <c r="A93" s="5">
        <f t="shared" si="8"/>
        <v>4.0037999999999911</v>
      </c>
      <c r="B93" s="77"/>
      <c r="C93" s="76" t="s">
        <v>819</v>
      </c>
      <c r="D93" s="77" t="s">
        <v>820</v>
      </c>
      <c r="E93" s="77"/>
      <c r="F93" s="8" t="s">
        <v>5</v>
      </c>
      <c r="G93" s="8">
        <f t="shared" si="9"/>
        <v>1</v>
      </c>
      <c r="H93" s="8">
        <f t="shared" si="9"/>
        <v>0</v>
      </c>
      <c r="I93" s="8">
        <f t="shared" si="9"/>
        <v>0</v>
      </c>
      <c r="J93" s="8">
        <f t="shared" si="9"/>
        <v>0</v>
      </c>
      <c r="K93" s="8"/>
      <c r="L93" s="77"/>
    </row>
    <row r="94" spans="1:12" x14ac:dyDescent="0.25">
      <c r="A94" s="5">
        <f t="shared" si="8"/>
        <v>4.0038999999999909</v>
      </c>
      <c r="B94" s="77"/>
      <c r="C94" s="76" t="s">
        <v>813</v>
      </c>
      <c r="D94" s="77"/>
      <c r="E94" s="77"/>
      <c r="F94" s="8" t="s">
        <v>5</v>
      </c>
      <c r="G94" s="8">
        <f t="shared" si="9"/>
        <v>1</v>
      </c>
      <c r="H94" s="8">
        <f t="shared" si="9"/>
        <v>0</v>
      </c>
      <c r="I94" s="8">
        <f t="shared" si="9"/>
        <v>0</v>
      </c>
      <c r="J94" s="8">
        <f t="shared" si="9"/>
        <v>0</v>
      </c>
      <c r="K94" s="8"/>
      <c r="L94" s="77"/>
    </row>
    <row r="95" spans="1:12" x14ac:dyDescent="0.25">
      <c r="A95" s="5">
        <f t="shared" si="8"/>
        <v>4.0039999999999907</v>
      </c>
      <c r="B95" s="77"/>
      <c r="C95" s="76" t="s">
        <v>821</v>
      </c>
      <c r="D95" s="77"/>
      <c r="E95" s="77"/>
      <c r="F95" s="8" t="s">
        <v>5</v>
      </c>
      <c r="G95" s="8">
        <f t="shared" si="9"/>
        <v>1</v>
      </c>
      <c r="H95" s="8">
        <f t="shared" si="9"/>
        <v>0</v>
      </c>
      <c r="I95" s="8">
        <f t="shared" si="9"/>
        <v>0</v>
      </c>
      <c r="J95" s="8">
        <f t="shared" si="9"/>
        <v>0</v>
      </c>
      <c r="K95" s="8"/>
      <c r="L95" s="77"/>
    </row>
    <row r="96" spans="1:12" x14ac:dyDescent="0.25">
      <c r="A96" s="5">
        <f t="shared" si="8"/>
        <v>4.0040999999999904</v>
      </c>
      <c r="B96" s="77"/>
      <c r="C96" s="76" t="s">
        <v>822</v>
      </c>
      <c r="D96" s="77"/>
      <c r="E96" s="77"/>
      <c r="F96" s="8" t="s">
        <v>5</v>
      </c>
      <c r="G96" s="8">
        <f t="shared" si="9"/>
        <v>1</v>
      </c>
      <c r="H96" s="8">
        <f t="shared" si="9"/>
        <v>0</v>
      </c>
      <c r="I96" s="8">
        <f t="shared" si="9"/>
        <v>0</v>
      </c>
      <c r="J96" s="8">
        <f t="shared" si="9"/>
        <v>0</v>
      </c>
      <c r="K96" s="8"/>
      <c r="L96" s="77"/>
    </row>
    <row r="97" spans="1:12" x14ac:dyDescent="0.25">
      <c r="A97" s="5">
        <f t="shared" si="8"/>
        <v>4.0041999999999902</v>
      </c>
      <c r="B97" s="76"/>
      <c r="C97" s="76" t="s">
        <v>829</v>
      </c>
      <c r="D97" s="77">
        <v>2000</v>
      </c>
      <c r="E97" s="77"/>
      <c r="F97" s="8" t="s">
        <v>5</v>
      </c>
      <c r="G97" s="8">
        <f t="shared" si="9"/>
        <v>1</v>
      </c>
      <c r="H97" s="8">
        <f t="shared" si="9"/>
        <v>0</v>
      </c>
      <c r="I97" s="8">
        <f t="shared" si="9"/>
        <v>0</v>
      </c>
      <c r="J97" s="8">
        <f t="shared" si="9"/>
        <v>0</v>
      </c>
      <c r="K97" s="8"/>
      <c r="L97" s="77"/>
    </row>
    <row r="98" spans="1:12" s="20" customFormat="1" x14ac:dyDescent="0.25">
      <c r="A98" s="16">
        <v>5</v>
      </c>
      <c r="B98" s="79" t="s">
        <v>1070</v>
      </c>
      <c r="C98" s="80"/>
      <c r="D98" s="79"/>
      <c r="E98" s="79"/>
      <c r="F98" s="19"/>
      <c r="G98" s="19"/>
      <c r="H98" s="19"/>
      <c r="I98" s="19"/>
      <c r="J98" s="19"/>
      <c r="K98" s="19"/>
      <c r="L98" s="79"/>
    </row>
    <row r="99" spans="1:12" ht="25.5" customHeight="1" x14ac:dyDescent="0.25">
      <c r="A99" s="5">
        <v>5.0000999999999998</v>
      </c>
      <c r="B99" s="76" t="s">
        <v>1051</v>
      </c>
      <c r="C99" s="76" t="s">
        <v>833</v>
      </c>
      <c r="D99" s="77" t="s">
        <v>1071</v>
      </c>
      <c r="E99" s="77"/>
      <c r="F99" s="8" t="s">
        <v>7</v>
      </c>
      <c r="G99" s="8">
        <f t="shared" ref="G99:J107" si="10">IF($F99=G$1,1,0)</f>
        <v>0</v>
      </c>
      <c r="H99" s="8">
        <f t="shared" si="10"/>
        <v>0</v>
      </c>
      <c r="I99" s="8">
        <f t="shared" si="10"/>
        <v>0</v>
      </c>
      <c r="J99" s="8">
        <f t="shared" si="10"/>
        <v>1</v>
      </c>
      <c r="K99" s="8"/>
      <c r="L99" s="77"/>
    </row>
    <row r="100" spans="1:12" x14ac:dyDescent="0.25">
      <c r="A100" s="5">
        <v>5.0002000000000004</v>
      </c>
      <c r="B100" s="76" t="s">
        <v>834</v>
      </c>
      <c r="C100" s="76" t="s">
        <v>1052</v>
      </c>
      <c r="D100" s="77"/>
      <c r="E100" s="77"/>
      <c r="F100" s="8" t="s">
        <v>7</v>
      </c>
      <c r="G100" s="8">
        <f t="shared" si="10"/>
        <v>0</v>
      </c>
      <c r="H100" s="8">
        <f t="shared" si="10"/>
        <v>0</v>
      </c>
      <c r="I100" s="8">
        <f t="shared" si="10"/>
        <v>0</v>
      </c>
      <c r="J100" s="8">
        <f t="shared" si="10"/>
        <v>1</v>
      </c>
      <c r="K100" s="8"/>
      <c r="L100" s="77"/>
    </row>
    <row r="101" spans="1:12" x14ac:dyDescent="0.25">
      <c r="A101" s="5">
        <v>5.0003000000000002</v>
      </c>
      <c r="B101" s="76" t="s">
        <v>835</v>
      </c>
      <c r="C101" s="76" t="s">
        <v>837</v>
      </c>
      <c r="D101" s="77"/>
      <c r="E101" s="77"/>
      <c r="F101" s="8" t="s">
        <v>7</v>
      </c>
      <c r="G101" s="8">
        <f t="shared" si="10"/>
        <v>0</v>
      </c>
      <c r="H101" s="8">
        <f t="shared" si="10"/>
        <v>0</v>
      </c>
      <c r="I101" s="8">
        <f t="shared" si="10"/>
        <v>0</v>
      </c>
      <c r="J101" s="8">
        <f t="shared" si="10"/>
        <v>1</v>
      </c>
      <c r="K101" s="8"/>
      <c r="L101" s="77"/>
    </row>
    <row r="102" spans="1:12" x14ac:dyDescent="0.25">
      <c r="A102" s="5">
        <v>5.0004</v>
      </c>
      <c r="B102" s="76" t="s">
        <v>1053</v>
      </c>
      <c r="C102" s="76" t="s">
        <v>833</v>
      </c>
      <c r="D102" s="77"/>
      <c r="E102" s="77"/>
      <c r="F102" s="8" t="s">
        <v>5</v>
      </c>
      <c r="G102" s="8">
        <f t="shared" si="10"/>
        <v>1</v>
      </c>
      <c r="H102" s="8">
        <f t="shared" si="10"/>
        <v>0</v>
      </c>
      <c r="I102" s="8">
        <f t="shared" si="10"/>
        <v>0</v>
      </c>
      <c r="J102" s="8">
        <f t="shared" si="10"/>
        <v>0</v>
      </c>
      <c r="K102" s="8"/>
      <c r="L102" s="77"/>
    </row>
    <row r="103" spans="1:12" x14ac:dyDescent="0.25">
      <c r="A103" s="5">
        <v>5.0004999999999997</v>
      </c>
      <c r="B103" s="76" t="s">
        <v>834</v>
      </c>
      <c r="C103" s="76" t="s">
        <v>1054</v>
      </c>
      <c r="D103" s="77"/>
      <c r="E103" s="77"/>
      <c r="F103" s="8" t="s">
        <v>5</v>
      </c>
      <c r="G103" s="8">
        <f t="shared" si="10"/>
        <v>1</v>
      </c>
      <c r="H103" s="8">
        <f t="shared" si="10"/>
        <v>0</v>
      </c>
      <c r="I103" s="8">
        <f t="shared" si="10"/>
        <v>0</v>
      </c>
      <c r="J103" s="8">
        <f t="shared" si="10"/>
        <v>0</v>
      </c>
      <c r="K103" s="8"/>
      <c r="L103" s="77"/>
    </row>
    <row r="104" spans="1:12" x14ac:dyDescent="0.25">
      <c r="A104" s="5">
        <v>5.0006000000000004</v>
      </c>
      <c r="B104" s="76" t="s">
        <v>835</v>
      </c>
      <c r="C104" s="76" t="s">
        <v>837</v>
      </c>
      <c r="D104" s="77"/>
      <c r="E104" s="77"/>
      <c r="F104" s="8" t="s">
        <v>5</v>
      </c>
      <c r="G104" s="8">
        <f t="shared" si="10"/>
        <v>1</v>
      </c>
      <c r="H104" s="8">
        <f t="shared" si="10"/>
        <v>0</v>
      </c>
      <c r="I104" s="8">
        <f t="shared" si="10"/>
        <v>0</v>
      </c>
      <c r="J104" s="8">
        <f t="shared" si="10"/>
        <v>0</v>
      </c>
      <c r="K104" s="8"/>
      <c r="L104" s="77"/>
    </row>
    <row r="105" spans="1:12" x14ac:dyDescent="0.25">
      <c r="A105" s="115">
        <v>6</v>
      </c>
      <c r="B105" s="116" t="s">
        <v>1064</v>
      </c>
      <c r="C105" s="117" t="s">
        <v>1065</v>
      </c>
      <c r="D105" s="116"/>
      <c r="E105" s="79"/>
      <c r="F105" s="19"/>
      <c r="G105" s="19"/>
      <c r="H105" s="19"/>
      <c r="I105" s="19"/>
      <c r="J105" s="19"/>
      <c r="K105" s="19"/>
      <c r="L105" s="79"/>
    </row>
    <row r="106" spans="1:12" ht="37.5" customHeight="1" x14ac:dyDescent="0.25">
      <c r="A106" s="129">
        <f>+A105+0.0001</f>
        <v>6.0000999999999998</v>
      </c>
      <c r="B106" s="113" t="s">
        <v>1091</v>
      </c>
      <c r="C106" s="114" t="s">
        <v>1068</v>
      </c>
      <c r="D106" s="77" t="s">
        <v>1090</v>
      </c>
      <c r="E106" s="110"/>
      <c r="F106" s="8" t="s">
        <v>8</v>
      </c>
      <c r="G106" s="8">
        <f t="shared" si="10"/>
        <v>0</v>
      </c>
      <c r="H106" s="8">
        <f t="shared" si="10"/>
        <v>0</v>
      </c>
      <c r="I106" s="8">
        <f t="shared" si="10"/>
        <v>0</v>
      </c>
      <c r="J106" s="8">
        <f t="shared" si="10"/>
        <v>0</v>
      </c>
      <c r="K106" s="88"/>
      <c r="L106" s="85"/>
    </row>
    <row r="107" spans="1:12" x14ac:dyDescent="0.25">
      <c r="A107" s="129">
        <f>+A106+0.0001</f>
        <v>6.0001999999999995</v>
      </c>
      <c r="B107" s="76"/>
      <c r="C107" s="76" t="s">
        <v>1067</v>
      </c>
      <c r="D107" s="77"/>
      <c r="E107" s="77"/>
      <c r="F107" s="8" t="s">
        <v>8</v>
      </c>
      <c r="G107" s="8">
        <f t="shared" si="10"/>
        <v>0</v>
      </c>
      <c r="H107" s="8">
        <f t="shared" si="10"/>
        <v>0</v>
      </c>
      <c r="I107" s="8">
        <f t="shared" si="10"/>
        <v>0</v>
      </c>
      <c r="J107" s="8">
        <f t="shared" si="10"/>
        <v>0</v>
      </c>
      <c r="K107" s="88"/>
      <c r="L107" s="85"/>
    </row>
    <row r="108" spans="1:12" ht="15.75" thickBot="1" x14ac:dyDescent="0.3">
      <c r="A108" s="97"/>
      <c r="B108" s="87"/>
      <c r="C108" s="86"/>
      <c r="D108" s="87"/>
      <c r="E108" s="87"/>
      <c r="F108" s="87"/>
      <c r="G108" s="2">
        <f>SUM(G4:G104)</f>
        <v>89</v>
      </c>
      <c r="H108" s="2">
        <f t="shared" ref="H108:K108" si="11">SUM(H4:H104)</f>
        <v>0</v>
      </c>
      <c r="I108" s="2">
        <f t="shared" si="11"/>
        <v>0</v>
      </c>
      <c r="J108" s="2">
        <f t="shared" si="11"/>
        <v>6</v>
      </c>
      <c r="K108" s="2">
        <f t="shared" si="11"/>
        <v>0</v>
      </c>
    </row>
    <row r="109" spans="1:12" ht="15.75" thickTop="1" x14ac:dyDescent="0.25"/>
  </sheetData>
  <mergeCells count="1">
    <mergeCell ref="B2:C2"/>
  </mergeCells>
  <conditionalFormatting sqref="A3:K3 C4:F4 E14:E16 B14:C16 K14:L16 L51 D24:E28 B97:D97 B54:C54 B23:C28 A13 A15 A17 A4:A10 L3:L10 B10 G4:K10 B19:C20 B21:E23 G21:L28 A19 A21 A23 A25 A27 B71:C97 E58:E97 D72:D96 A56:A97 K50:L50 K30:L48 G30:J34 A29 A31 A33 A35 D30:E50 G49:L49 A37 A41 A45 A49 A39 A47 A51 A43:C43 B30:C51 G58:L97 F99:F101 A108:L127 F106:F107 D5:F10">
    <cfRule type="expression" dxfId="461" priority="145">
      <formula>$F3="Fail"</formula>
    </cfRule>
  </conditionalFormatting>
  <conditionalFormatting sqref="A11 B17:C17 A12:E12 K12:K13 B19:E20 K18:K20 C11:K11 B13:E13 A14 A16 A18:C18 E18 A20 A22 A24 A26 A28 A30 A32 A34 A36 A40 A44 A48 A38 A42 A46 A50">
    <cfRule type="expression" dxfId="460" priority="144">
      <formula>$F11="Fail"</formula>
    </cfRule>
  </conditionalFormatting>
  <conditionalFormatting sqref="B51:E51 K51">
    <cfRule type="expression" dxfId="459" priority="142">
      <formula>$F51="Fail"</formula>
    </cfRule>
  </conditionalFormatting>
  <conditionalFormatting sqref="B24:C24">
    <cfRule type="expression" dxfId="458" priority="141">
      <formula>$F24="Fail"</formula>
    </cfRule>
  </conditionalFormatting>
  <conditionalFormatting sqref="B17:E17 K17">
    <cfRule type="expression" dxfId="457" priority="139">
      <formula>$F17="Fail"</formula>
    </cfRule>
  </conditionalFormatting>
  <conditionalFormatting sqref="L18:L20 L11:L13">
    <cfRule type="expression" dxfId="456" priority="133">
      <formula>$F11="Fail"</formula>
    </cfRule>
  </conditionalFormatting>
  <conditionalFormatting sqref="L17">
    <cfRule type="expression" dxfId="455" priority="128">
      <formula>$F17="Fail"</formula>
    </cfRule>
  </conditionalFormatting>
  <conditionalFormatting sqref="B10">
    <cfRule type="expression" dxfId="454" priority="125">
      <formula>$F10="Fail"</formula>
    </cfRule>
  </conditionalFormatting>
  <conditionalFormatting sqref="B4">
    <cfRule type="expression" dxfId="453" priority="124">
      <formula>$F4="Fail"</formula>
    </cfRule>
  </conditionalFormatting>
  <conditionalFormatting sqref="B5:C9">
    <cfRule type="expression" dxfId="452" priority="119">
      <formula>$F5="Fail"</formula>
    </cfRule>
  </conditionalFormatting>
  <conditionalFormatting sqref="B10">
    <cfRule type="expression" dxfId="451" priority="118">
      <formula>$F10="Fail"</formula>
    </cfRule>
  </conditionalFormatting>
  <conditionalFormatting sqref="C10">
    <cfRule type="expression" dxfId="450" priority="117">
      <formula>$F10="Fail"</formula>
    </cfRule>
  </conditionalFormatting>
  <conditionalFormatting sqref="B11">
    <cfRule type="expression" dxfId="449" priority="90">
      <formula>$F11="Fail"</formula>
    </cfRule>
  </conditionalFormatting>
  <conditionalFormatting sqref="K54 E56 D54:E54 K56">
    <cfRule type="expression" dxfId="448" priority="88">
      <formula>$F54="Fail"</formula>
    </cfRule>
  </conditionalFormatting>
  <conditionalFormatting sqref="L54 L56">
    <cfRule type="expression" dxfId="447" priority="86">
      <formula>$F54="Fail"</formula>
    </cfRule>
  </conditionalFormatting>
  <conditionalFormatting sqref="B62:C62 B66:C66 B63:D65 B56:D58">
    <cfRule type="expression" dxfId="446" priority="78">
      <formula>$F56="Fail"</formula>
    </cfRule>
  </conditionalFormatting>
  <conditionalFormatting sqref="B59:C61">
    <cfRule type="expression" dxfId="445" priority="79">
      <formula>$F59="Fail"</formula>
    </cfRule>
  </conditionalFormatting>
  <conditionalFormatting sqref="B72:C72 B64:C66 B67:D71">
    <cfRule type="expression" dxfId="444" priority="76">
      <formula>$F64="Fail"</formula>
    </cfRule>
  </conditionalFormatting>
  <conditionalFormatting sqref="B62:D62">
    <cfRule type="expression" dxfId="443" priority="75">
      <formula>$F62="Fail"</formula>
    </cfRule>
  </conditionalFormatting>
  <conditionalFormatting sqref="B66:C66">
    <cfRule type="expression" dxfId="442" priority="74">
      <formula>$F66="Fail"</formula>
    </cfRule>
  </conditionalFormatting>
  <conditionalFormatting sqref="D66">
    <cfRule type="expression" dxfId="441" priority="80">
      <formula>$F59="Fail"</formula>
    </cfRule>
  </conditionalFormatting>
  <conditionalFormatting sqref="C86:C96">
    <cfRule type="expression" dxfId="440" priority="72">
      <formula>$F86="Fail"</formula>
    </cfRule>
  </conditionalFormatting>
  <conditionalFormatting sqref="F54">
    <cfRule type="expression" dxfId="439" priority="60">
      <formula>$F54="Fail"</formula>
    </cfRule>
  </conditionalFormatting>
  <conditionalFormatting sqref="G12:J20">
    <cfRule type="expression" dxfId="438" priority="56">
      <formula>$F12="Fail"</formula>
    </cfRule>
  </conditionalFormatting>
  <conditionalFormatting sqref="G35:J48 G50:J51">
    <cfRule type="expression" dxfId="437" priority="54">
      <formula>$F35="Fail"</formula>
    </cfRule>
  </conditionalFormatting>
  <conditionalFormatting sqref="G54:J54">
    <cfRule type="expression" dxfId="436" priority="53">
      <formula>$F54="Fail"</formula>
    </cfRule>
  </conditionalFormatting>
  <conditionalFormatting sqref="G56:J56">
    <cfRule type="expression" dxfId="435" priority="52">
      <formula>$F56="Fail"</formula>
    </cfRule>
  </conditionalFormatting>
  <conditionalFormatting sqref="A52:K52 B53:C53 E53:F53 K53">
    <cfRule type="expression" dxfId="434" priority="49">
      <formula>$F52="Fail"</formula>
    </cfRule>
  </conditionalFormatting>
  <conditionalFormatting sqref="L52:L53">
    <cfRule type="expression" dxfId="433" priority="48">
      <formula>$F52="Fail"</formula>
    </cfRule>
  </conditionalFormatting>
  <conditionalFormatting sqref="A55:K55">
    <cfRule type="expression" dxfId="432" priority="47">
      <formula>$F55="Fail"</formula>
    </cfRule>
  </conditionalFormatting>
  <conditionalFormatting sqref="L55">
    <cfRule type="expression" dxfId="431" priority="46">
      <formula>$F55="Fail"</formula>
    </cfRule>
  </conditionalFormatting>
  <conditionalFormatting sqref="K57:L57 E57">
    <cfRule type="expression" dxfId="430" priority="43">
      <formula>$F57="Fail"</formula>
    </cfRule>
  </conditionalFormatting>
  <conditionalFormatting sqref="G57:J57">
    <cfRule type="expression" dxfId="429" priority="41">
      <formula>$F57="Fail"</formula>
    </cfRule>
  </conditionalFormatting>
  <conditionalFormatting sqref="D53">
    <cfRule type="expression" dxfId="428" priority="15">
      <formula>$F53="Fail"</formula>
    </cfRule>
  </conditionalFormatting>
  <conditionalFormatting sqref="A105:D105 A106:C106 E106 A107">
    <cfRule type="expression" dxfId="427" priority="14">
      <formula>$F105="Fail"</formula>
    </cfRule>
  </conditionalFormatting>
  <conditionalFormatting sqref="C107">
    <cfRule type="expression" dxfId="426" priority="11">
      <formula>$F107="Fail"</formula>
    </cfRule>
  </conditionalFormatting>
  <conditionalFormatting sqref="G53:J53">
    <cfRule type="expression" dxfId="425" priority="10">
      <formula>$F53="Fail"</formula>
    </cfRule>
  </conditionalFormatting>
  <conditionalFormatting sqref="D106">
    <cfRule type="expression" dxfId="424" priority="9">
      <formula>$F106="Fail"</formula>
    </cfRule>
  </conditionalFormatting>
  <conditionalFormatting sqref="A54">
    <cfRule type="expression" dxfId="423" priority="6">
      <formula>$F54="Fail"</formula>
    </cfRule>
  </conditionalFormatting>
  <conditionalFormatting sqref="A53">
    <cfRule type="expression" dxfId="422" priority="7">
      <formula>$F53="Fail"</formula>
    </cfRule>
  </conditionalFormatting>
  <conditionalFormatting sqref="F12:F50">
    <cfRule type="expression" dxfId="421" priority="5">
      <formula>$F12="Fail"</formula>
    </cfRule>
  </conditionalFormatting>
  <conditionalFormatting sqref="F51">
    <cfRule type="expression" dxfId="420" priority="4">
      <formula>$F51="Fail"</formula>
    </cfRule>
  </conditionalFormatting>
  <conditionalFormatting sqref="F56:F96">
    <cfRule type="expression" dxfId="419" priority="3">
      <formula>$F56="Fail"</formula>
    </cfRule>
  </conditionalFormatting>
  <conditionalFormatting sqref="F97">
    <cfRule type="expression" dxfId="418" priority="2">
      <formula>$F97="Fail"</formula>
    </cfRule>
  </conditionalFormatting>
  <conditionalFormatting sqref="F102:F104">
    <cfRule type="expression" dxfId="417" priority="1">
      <formula>$F102="Fail"</formula>
    </cfRule>
  </conditionalFormatting>
  <dataValidations count="1">
    <dataValidation type="list" allowBlank="1" showInputMessage="1" showErrorMessage="1" sqref="F3:F107">
      <formula1>$G$1:$K$1</formula1>
    </dataValidation>
  </dataValidations>
  <pageMargins left="0.7" right="0.7" top="0.75" bottom="0.75" header="0.3" footer="0.3"/>
  <pageSetup paperSize="9" scale="8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7" id="{B1AD8368-2EB0-4DCC-82E9-09CED5CBEF5E}">
            <xm:f>External!$F108="Fail"</xm:f>
            <x14:dxf>
              <font>
                <color rgb="FFFF0000"/>
              </font>
              <fill>
                <patternFill>
                  <bgColor theme="9" tint="0.59996337778862885"/>
                </patternFill>
              </fill>
            </x14:dxf>
          </x14:cfRule>
          <xm:sqref>B107 D107:E107 G107:L107</xm:sqref>
        </x14:conditionalFormatting>
        <x14:conditionalFormatting xmlns:xm="http://schemas.microsoft.com/office/excel/2006/main">
          <x14:cfRule type="expression" priority="522" id="{B1AD8368-2EB0-4DCC-82E9-09CED5CBEF5E}">
            <xm:f>External!$F28="Fail"</xm:f>
            <x14:dxf>
              <font>
                <color rgb="FFFF0000"/>
              </font>
              <fill>
                <patternFill>
                  <bgColor theme="9" tint="0.59996337778862885"/>
                </patternFill>
              </fill>
            </x14:dxf>
          </x14:cfRule>
          <xm:sqref>B29</xm:sqref>
        </x14:conditionalFormatting>
        <x14:conditionalFormatting xmlns:xm="http://schemas.microsoft.com/office/excel/2006/main">
          <x14:cfRule type="expression" priority="525" id="{B1AD8368-2EB0-4DCC-82E9-09CED5CBEF5E}">
            <xm:f>External!$F29="Fail"</xm:f>
            <x14:dxf>
              <font>
                <color rgb="FFFF0000"/>
              </font>
              <fill>
                <patternFill>
                  <bgColor theme="9" tint="0.59996337778862885"/>
                </patternFill>
              </fill>
            </x14:dxf>
          </x14:cfRule>
          <xm:sqref>A98:L98 A99:E104 G99:L104 E105:L105 G106:L106 C29:E29 G29:L29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L89"/>
  <sheetViews>
    <sheetView tabSelected="1" topLeftCell="B1" zoomScale="80" zoomScaleNormal="80" workbookViewId="0">
      <pane ySplit="1" topLeftCell="A50" activePane="bottomLeft" state="frozen"/>
      <selection activeCell="C11" sqref="C11"/>
      <selection pane="bottomLeft" activeCell="D1" sqref="D1:D1048576"/>
    </sheetView>
  </sheetViews>
  <sheetFormatPr defaultRowHeight="15" x14ac:dyDescent="0.25"/>
  <cols>
    <col min="1" max="1" width="11.28515625" style="4" bestFit="1" customWidth="1"/>
    <col min="2" max="2" width="59.42578125" style="1" customWidth="1"/>
    <col min="3" max="3" width="64.140625" style="1" customWidth="1"/>
    <col min="4" max="4" width="45.140625" style="164" customWidth="1"/>
    <col min="5" max="5" width="5.285156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59" t="s">
        <v>1183</v>
      </c>
      <c r="E1" s="12" t="s">
        <v>3</v>
      </c>
      <c r="F1" s="11" t="s">
        <v>0</v>
      </c>
      <c r="G1" s="12" t="s">
        <v>5</v>
      </c>
      <c r="H1" s="12" t="s">
        <v>6</v>
      </c>
      <c r="I1" s="12"/>
      <c r="J1" s="12" t="s">
        <v>7</v>
      </c>
      <c r="K1" s="12" t="s">
        <v>8</v>
      </c>
      <c r="L1" s="12" t="s">
        <v>13</v>
      </c>
    </row>
    <row r="2" spans="1:12" s="102" customFormat="1" ht="30" customHeight="1" x14ac:dyDescent="0.25">
      <c r="A2" s="99"/>
      <c r="B2" s="179" t="s">
        <v>1062</v>
      </c>
      <c r="C2" s="180"/>
      <c r="D2" s="160" t="s">
        <v>1074</v>
      </c>
      <c r="E2" s="11"/>
      <c r="F2" s="11"/>
      <c r="G2" s="101"/>
      <c r="H2" s="101"/>
      <c r="I2" s="101"/>
      <c r="J2" s="101"/>
      <c r="K2" s="101"/>
      <c r="L2" s="101"/>
    </row>
    <row r="3" spans="1:12" s="20" customFormat="1" ht="21.75" customHeight="1" x14ac:dyDescent="0.25">
      <c r="A3" s="16">
        <v>1</v>
      </c>
      <c r="B3" s="17" t="s">
        <v>830</v>
      </c>
      <c r="C3" s="18"/>
      <c r="D3" s="161"/>
      <c r="E3" s="17"/>
      <c r="F3" s="19"/>
      <c r="G3" s="8"/>
      <c r="H3" s="8"/>
      <c r="I3" s="8"/>
      <c r="J3" s="8"/>
      <c r="K3" s="19"/>
      <c r="L3" s="17"/>
    </row>
    <row r="4" spans="1:12" ht="25.5" x14ac:dyDescent="0.25">
      <c r="A4" s="5">
        <v>1.0001</v>
      </c>
      <c r="B4" s="6" t="s">
        <v>1021</v>
      </c>
      <c r="C4" s="9"/>
      <c r="D4" s="162"/>
      <c r="E4" s="6"/>
      <c r="F4" s="8" t="s">
        <v>5</v>
      </c>
      <c r="G4" s="8">
        <f t="shared" ref="G4:J20" si="0">IF($F4=G$1,1,0)</f>
        <v>1</v>
      </c>
      <c r="H4" s="8">
        <f t="shared" si="0"/>
        <v>0</v>
      </c>
      <c r="I4" s="8">
        <f t="shared" si="0"/>
        <v>0</v>
      </c>
      <c r="J4" s="8">
        <f t="shared" si="0"/>
        <v>0</v>
      </c>
      <c r="K4" s="8"/>
      <c r="L4" s="77"/>
    </row>
    <row r="5" spans="1:12" ht="25.5" x14ac:dyDescent="0.25">
      <c r="A5" s="5">
        <v>1.0002</v>
      </c>
      <c r="B5" s="72" t="s">
        <v>780</v>
      </c>
      <c r="C5" s="9" t="s">
        <v>781</v>
      </c>
      <c r="D5" s="162"/>
      <c r="E5" s="6"/>
      <c r="F5" s="8" t="s">
        <v>5</v>
      </c>
      <c r="G5" s="8">
        <f t="shared" si="0"/>
        <v>1</v>
      </c>
      <c r="H5" s="8">
        <f t="shared" si="0"/>
        <v>0</v>
      </c>
      <c r="I5" s="8">
        <f t="shared" si="0"/>
        <v>0</v>
      </c>
      <c r="J5" s="8">
        <f t="shared" si="0"/>
        <v>0</v>
      </c>
      <c r="K5" s="8"/>
      <c r="L5" s="77"/>
    </row>
    <row r="6" spans="1:12" x14ac:dyDescent="0.25">
      <c r="A6" s="5">
        <v>1.0003</v>
      </c>
      <c r="B6" s="82" t="s">
        <v>783</v>
      </c>
      <c r="C6" s="78" t="s">
        <v>784</v>
      </c>
      <c r="D6" s="162"/>
      <c r="E6" s="6"/>
      <c r="F6" s="8" t="s">
        <v>5</v>
      </c>
      <c r="G6" s="8">
        <f t="shared" si="0"/>
        <v>1</v>
      </c>
      <c r="H6" s="8">
        <f t="shared" si="0"/>
        <v>0</v>
      </c>
      <c r="I6" s="8">
        <f t="shared" si="0"/>
        <v>0</v>
      </c>
      <c r="J6" s="8">
        <f t="shared" si="0"/>
        <v>0</v>
      </c>
      <c r="K6" s="8"/>
      <c r="L6" s="77"/>
    </row>
    <row r="7" spans="1:12" x14ac:dyDescent="0.25">
      <c r="A7" s="5">
        <v>1.0004</v>
      </c>
      <c r="B7" s="76"/>
      <c r="C7" s="78" t="s">
        <v>1022</v>
      </c>
      <c r="D7" s="162"/>
      <c r="E7" s="6"/>
      <c r="F7" s="8" t="s">
        <v>5</v>
      </c>
      <c r="G7" s="8">
        <f t="shared" si="0"/>
        <v>1</v>
      </c>
      <c r="H7" s="8">
        <f t="shared" si="0"/>
        <v>0</v>
      </c>
      <c r="I7" s="8">
        <f t="shared" si="0"/>
        <v>0</v>
      </c>
      <c r="J7" s="8">
        <f t="shared" si="0"/>
        <v>0</v>
      </c>
      <c r="K7" s="8"/>
      <c r="L7" s="77"/>
    </row>
    <row r="8" spans="1:12" x14ac:dyDescent="0.25">
      <c r="A8" s="5">
        <v>1.0004999999999999</v>
      </c>
      <c r="B8" s="76"/>
      <c r="C8" s="78" t="s">
        <v>787</v>
      </c>
      <c r="D8" s="162"/>
      <c r="E8" s="6"/>
      <c r="F8" s="8" t="s">
        <v>5</v>
      </c>
      <c r="G8" s="8">
        <f t="shared" si="0"/>
        <v>1</v>
      </c>
      <c r="H8" s="8">
        <f t="shared" si="0"/>
        <v>0</v>
      </c>
      <c r="I8" s="8">
        <f t="shared" si="0"/>
        <v>0</v>
      </c>
      <c r="J8" s="8">
        <f t="shared" si="0"/>
        <v>0</v>
      </c>
      <c r="K8" s="8"/>
      <c r="L8" s="77"/>
    </row>
    <row r="9" spans="1:12" x14ac:dyDescent="0.25">
      <c r="A9" s="5">
        <v>1.0005999999999999</v>
      </c>
      <c r="B9" s="76" t="s">
        <v>767</v>
      </c>
      <c r="C9" s="78"/>
      <c r="D9" s="162"/>
      <c r="E9" s="7"/>
      <c r="F9" s="8" t="s">
        <v>5</v>
      </c>
      <c r="G9" s="8">
        <f t="shared" si="0"/>
        <v>1</v>
      </c>
      <c r="H9" s="8">
        <f t="shared" si="0"/>
        <v>0</v>
      </c>
      <c r="I9" s="8">
        <f t="shared" si="0"/>
        <v>0</v>
      </c>
      <c r="J9" s="8">
        <f t="shared" si="0"/>
        <v>0</v>
      </c>
      <c r="K9" s="8"/>
      <c r="L9" s="77"/>
    </row>
    <row r="10" spans="1:12" x14ac:dyDescent="0.25">
      <c r="A10" s="5">
        <v>1.0006999999999999</v>
      </c>
      <c r="B10" s="76" t="s">
        <v>756</v>
      </c>
      <c r="C10" s="78"/>
      <c r="D10" s="162"/>
      <c r="E10" s="7"/>
      <c r="F10" s="8" t="s">
        <v>5</v>
      </c>
      <c r="G10" s="8">
        <f t="shared" si="0"/>
        <v>1</v>
      </c>
      <c r="H10" s="8">
        <f t="shared" si="0"/>
        <v>0</v>
      </c>
      <c r="I10" s="8">
        <f t="shared" si="0"/>
        <v>0</v>
      </c>
      <c r="J10" s="8">
        <f t="shared" si="0"/>
        <v>0</v>
      </c>
      <c r="K10" s="8"/>
      <c r="L10" s="77"/>
    </row>
    <row r="11" spans="1:12" s="20" customFormat="1" x14ac:dyDescent="0.25">
      <c r="A11" s="16">
        <v>2</v>
      </c>
      <c r="B11" s="79" t="s">
        <v>1023</v>
      </c>
      <c r="C11" s="18"/>
      <c r="D11" s="161"/>
      <c r="E11" s="17"/>
      <c r="F11" s="19"/>
      <c r="G11" s="19"/>
      <c r="H11" s="19"/>
      <c r="I11" s="19"/>
      <c r="J11" s="19"/>
      <c r="K11" s="19"/>
      <c r="L11" s="17"/>
    </row>
    <row r="12" spans="1:12" ht="25.5" x14ac:dyDescent="0.25">
      <c r="A12" s="5">
        <f t="shared" ref="A12:A51" si="1">A11+0.0001</f>
        <v>2.0001000000000002</v>
      </c>
      <c r="B12" s="72" t="s">
        <v>757</v>
      </c>
      <c r="C12" s="9" t="s">
        <v>1026</v>
      </c>
      <c r="D12" s="162"/>
      <c r="E12" s="6"/>
      <c r="F12" s="8" t="s">
        <v>5</v>
      </c>
      <c r="G12" s="8">
        <f t="shared" si="0"/>
        <v>1</v>
      </c>
      <c r="H12" s="8">
        <f t="shared" si="0"/>
        <v>0</v>
      </c>
      <c r="I12" s="8">
        <f t="shared" si="0"/>
        <v>0</v>
      </c>
      <c r="J12" s="8">
        <f t="shared" si="0"/>
        <v>0</v>
      </c>
      <c r="K12" s="8"/>
      <c r="L12" s="77"/>
    </row>
    <row r="13" spans="1:12" x14ac:dyDescent="0.25">
      <c r="A13" s="5">
        <f t="shared" si="1"/>
        <v>2.0002000000000004</v>
      </c>
      <c r="B13" s="78" t="s">
        <v>1028</v>
      </c>
      <c r="C13" s="78" t="s">
        <v>1029</v>
      </c>
      <c r="D13" s="162"/>
      <c r="E13" s="76"/>
      <c r="F13" s="8" t="s">
        <v>5</v>
      </c>
      <c r="G13" s="8">
        <f t="shared" si="0"/>
        <v>1</v>
      </c>
      <c r="H13" s="8">
        <f t="shared" si="0"/>
        <v>0</v>
      </c>
      <c r="I13" s="8">
        <f t="shared" si="0"/>
        <v>0</v>
      </c>
      <c r="J13" s="8">
        <f t="shared" si="0"/>
        <v>0</v>
      </c>
      <c r="K13" s="8"/>
      <c r="L13" s="77"/>
    </row>
    <row r="14" spans="1:12" x14ac:dyDescent="0.25">
      <c r="A14" s="5">
        <f t="shared" si="1"/>
        <v>2.0003000000000006</v>
      </c>
      <c r="B14" s="89" t="s">
        <v>1030</v>
      </c>
      <c r="C14" s="76" t="s">
        <v>1031</v>
      </c>
      <c r="D14" s="162"/>
      <c r="E14" s="6"/>
      <c r="F14" s="8" t="s">
        <v>5</v>
      </c>
      <c r="G14" s="8">
        <f t="shared" si="0"/>
        <v>1</v>
      </c>
      <c r="H14" s="8">
        <f t="shared" si="0"/>
        <v>0</v>
      </c>
      <c r="I14" s="8">
        <f t="shared" si="0"/>
        <v>0</v>
      </c>
      <c r="J14" s="8">
        <f t="shared" si="0"/>
        <v>0</v>
      </c>
      <c r="K14" s="8"/>
      <c r="L14" s="77"/>
    </row>
    <row r="15" spans="1:12" x14ac:dyDescent="0.25">
      <c r="A15" s="5">
        <f t="shared" si="1"/>
        <v>2.0004000000000008</v>
      </c>
      <c r="B15" s="89" t="s">
        <v>1027</v>
      </c>
      <c r="C15" s="82" t="s">
        <v>1032</v>
      </c>
      <c r="D15" s="162"/>
      <c r="E15" s="6"/>
      <c r="F15" s="8" t="s">
        <v>5</v>
      </c>
      <c r="G15" s="8">
        <f t="shared" si="0"/>
        <v>1</v>
      </c>
      <c r="H15" s="8">
        <f t="shared" si="0"/>
        <v>0</v>
      </c>
      <c r="I15" s="8">
        <f t="shared" si="0"/>
        <v>0</v>
      </c>
      <c r="J15" s="8">
        <f t="shared" si="0"/>
        <v>0</v>
      </c>
      <c r="K15" s="8"/>
      <c r="L15" s="77"/>
    </row>
    <row r="16" spans="1:12" x14ac:dyDescent="0.25">
      <c r="A16" s="5">
        <f t="shared" si="1"/>
        <v>2.0005000000000011</v>
      </c>
      <c r="B16" s="6"/>
      <c r="C16" s="83" t="s">
        <v>1033</v>
      </c>
      <c r="D16" s="162"/>
      <c r="E16" s="6"/>
      <c r="F16" s="8" t="s">
        <v>5</v>
      </c>
      <c r="G16" s="8">
        <f t="shared" si="0"/>
        <v>1</v>
      </c>
      <c r="H16" s="8">
        <f t="shared" si="0"/>
        <v>0</v>
      </c>
      <c r="I16" s="8">
        <f t="shared" si="0"/>
        <v>0</v>
      </c>
      <c r="J16" s="8">
        <f t="shared" si="0"/>
        <v>0</v>
      </c>
      <c r="K16" s="8"/>
      <c r="L16" s="77"/>
    </row>
    <row r="17" spans="1:12" x14ac:dyDescent="0.25">
      <c r="A17" s="5">
        <f t="shared" si="1"/>
        <v>2.0006000000000013</v>
      </c>
      <c r="B17" s="6"/>
      <c r="C17" s="76" t="s">
        <v>1079</v>
      </c>
      <c r="D17" s="162"/>
      <c r="E17" s="7"/>
      <c r="F17" s="8" t="s">
        <v>5</v>
      </c>
      <c r="G17" s="8">
        <f t="shared" si="0"/>
        <v>1</v>
      </c>
      <c r="H17" s="8">
        <f t="shared" si="0"/>
        <v>0</v>
      </c>
      <c r="I17" s="8">
        <f t="shared" si="0"/>
        <v>0</v>
      </c>
      <c r="J17" s="8">
        <f t="shared" si="0"/>
        <v>0</v>
      </c>
      <c r="K17" s="8"/>
      <c r="L17" s="77"/>
    </row>
    <row r="18" spans="1:12" x14ac:dyDescent="0.25">
      <c r="A18" s="5">
        <f t="shared" si="1"/>
        <v>2.0007000000000015</v>
      </c>
      <c r="B18" s="82"/>
      <c r="C18" s="82" t="s">
        <v>1035</v>
      </c>
      <c r="D18" s="162" t="s">
        <v>1034</v>
      </c>
      <c r="E18" s="7"/>
      <c r="F18" s="8" t="s">
        <v>5</v>
      </c>
      <c r="G18" s="8">
        <f t="shared" si="0"/>
        <v>1</v>
      </c>
      <c r="H18" s="8">
        <f t="shared" si="0"/>
        <v>0</v>
      </c>
      <c r="I18" s="8">
        <f t="shared" si="0"/>
        <v>0</v>
      </c>
      <c r="J18" s="8">
        <f t="shared" si="0"/>
        <v>0</v>
      </c>
      <c r="K18" s="8"/>
      <c r="L18" s="77"/>
    </row>
    <row r="19" spans="1:12" x14ac:dyDescent="0.25">
      <c r="A19" s="5">
        <f t="shared" si="1"/>
        <v>2.0008000000000017</v>
      </c>
      <c r="B19" s="7" t="s">
        <v>763</v>
      </c>
      <c r="C19" s="6" t="s">
        <v>1024</v>
      </c>
      <c r="D19" s="162"/>
      <c r="E19" s="7"/>
      <c r="F19" s="8" t="s">
        <v>5</v>
      </c>
      <c r="G19" s="8">
        <f t="shared" si="0"/>
        <v>1</v>
      </c>
      <c r="H19" s="8">
        <f t="shared" si="0"/>
        <v>0</v>
      </c>
      <c r="I19" s="8">
        <f t="shared" si="0"/>
        <v>0</v>
      </c>
      <c r="J19" s="8">
        <f t="shared" si="0"/>
        <v>0</v>
      </c>
      <c r="K19" s="8"/>
      <c r="L19" s="77"/>
    </row>
    <row r="20" spans="1:12" x14ac:dyDescent="0.25">
      <c r="A20" s="5">
        <f t="shared" si="1"/>
        <v>2.0009000000000019</v>
      </c>
      <c r="B20" s="7" t="s">
        <v>1036</v>
      </c>
      <c r="C20" s="6" t="s">
        <v>1025</v>
      </c>
      <c r="D20" s="162"/>
      <c r="E20" s="7"/>
      <c r="F20" s="8" t="s">
        <v>5</v>
      </c>
      <c r="G20" s="8">
        <f t="shared" si="0"/>
        <v>1</v>
      </c>
      <c r="H20" s="8">
        <f t="shared" si="0"/>
        <v>0</v>
      </c>
      <c r="I20" s="8">
        <f t="shared" si="0"/>
        <v>0</v>
      </c>
      <c r="J20" s="8">
        <f t="shared" si="0"/>
        <v>0</v>
      </c>
      <c r="K20" s="8"/>
      <c r="L20" s="77"/>
    </row>
    <row r="21" spans="1:12" x14ac:dyDescent="0.25">
      <c r="A21" s="5">
        <f t="shared" si="1"/>
        <v>2.0010000000000021</v>
      </c>
      <c r="C21" s="76" t="s">
        <v>1038</v>
      </c>
      <c r="D21" s="162"/>
      <c r="E21" s="77"/>
      <c r="F21" s="8" t="s">
        <v>5</v>
      </c>
      <c r="G21" s="8">
        <f t="shared" ref="G21:J51" si="2">IF($F21=G$1,1,0)</f>
        <v>1</v>
      </c>
      <c r="H21" s="8">
        <f t="shared" si="2"/>
        <v>0</v>
      </c>
      <c r="I21" s="8">
        <f t="shared" si="2"/>
        <v>0</v>
      </c>
      <c r="J21" s="8">
        <f t="shared" si="2"/>
        <v>0</v>
      </c>
      <c r="K21" s="8"/>
      <c r="L21" s="77"/>
    </row>
    <row r="22" spans="1:12" x14ac:dyDescent="0.25">
      <c r="A22" s="5">
        <f t="shared" si="1"/>
        <v>2.0011000000000023</v>
      </c>
      <c r="C22" s="6" t="s">
        <v>769</v>
      </c>
      <c r="D22" s="162"/>
      <c r="E22" s="7"/>
      <c r="F22" s="8" t="s">
        <v>5</v>
      </c>
      <c r="G22" s="8">
        <f t="shared" si="2"/>
        <v>1</v>
      </c>
      <c r="H22" s="8">
        <f t="shared" si="2"/>
        <v>0</v>
      </c>
      <c r="I22" s="8">
        <f t="shared" si="2"/>
        <v>0</v>
      </c>
      <c r="J22" s="8">
        <f t="shared" si="2"/>
        <v>0</v>
      </c>
      <c r="K22" s="8"/>
      <c r="L22" s="77"/>
    </row>
    <row r="23" spans="1:12" x14ac:dyDescent="0.25">
      <c r="A23" s="5">
        <f t="shared" si="1"/>
        <v>2.0012000000000025</v>
      </c>
      <c r="B23" s="6"/>
      <c r="C23" s="6" t="s">
        <v>770</v>
      </c>
      <c r="D23" s="162"/>
      <c r="E23" s="7"/>
      <c r="F23" s="8" t="s">
        <v>5</v>
      </c>
      <c r="G23" s="8">
        <f t="shared" si="2"/>
        <v>1</v>
      </c>
      <c r="H23" s="8">
        <f t="shared" si="2"/>
        <v>0</v>
      </c>
      <c r="I23" s="8">
        <f t="shared" si="2"/>
        <v>0</v>
      </c>
      <c r="J23" s="8">
        <f t="shared" si="2"/>
        <v>0</v>
      </c>
      <c r="K23" s="8"/>
      <c r="L23" s="77"/>
    </row>
    <row r="24" spans="1:12" x14ac:dyDescent="0.25">
      <c r="A24" s="5">
        <f t="shared" si="1"/>
        <v>2.0013000000000027</v>
      </c>
      <c r="B24" s="6"/>
      <c r="C24" s="6" t="s">
        <v>771</v>
      </c>
      <c r="D24" s="162"/>
      <c r="E24" s="7"/>
      <c r="F24" s="8" t="s">
        <v>5</v>
      </c>
      <c r="G24" s="8">
        <f t="shared" si="2"/>
        <v>1</v>
      </c>
      <c r="H24" s="8">
        <f t="shared" si="2"/>
        <v>0</v>
      </c>
      <c r="I24" s="8">
        <f t="shared" si="2"/>
        <v>0</v>
      </c>
      <c r="J24" s="8">
        <f t="shared" si="2"/>
        <v>0</v>
      </c>
      <c r="K24" s="8"/>
      <c r="L24" s="77"/>
    </row>
    <row r="25" spans="1:12" x14ac:dyDescent="0.25">
      <c r="A25" s="5">
        <f t="shared" si="1"/>
        <v>2.001400000000003</v>
      </c>
      <c r="B25" s="6"/>
      <c r="C25" s="6" t="s">
        <v>772</v>
      </c>
      <c r="D25" s="162"/>
      <c r="E25" s="7"/>
      <c r="F25" s="8" t="s">
        <v>5</v>
      </c>
      <c r="G25" s="8">
        <f t="shared" si="2"/>
        <v>1</v>
      </c>
      <c r="H25" s="8">
        <f t="shared" si="2"/>
        <v>0</v>
      </c>
      <c r="I25" s="8">
        <f t="shared" si="2"/>
        <v>0</v>
      </c>
      <c r="J25" s="8">
        <f t="shared" si="2"/>
        <v>0</v>
      </c>
      <c r="K25" s="8"/>
      <c r="L25" s="77"/>
    </row>
    <row r="26" spans="1:12" x14ac:dyDescent="0.25">
      <c r="A26" s="5">
        <f t="shared" si="1"/>
        <v>2.0015000000000032</v>
      </c>
      <c r="B26" s="6"/>
      <c r="C26" s="6" t="s">
        <v>1039</v>
      </c>
      <c r="D26" s="162"/>
      <c r="E26" s="7"/>
      <c r="F26" s="8" t="s">
        <v>5</v>
      </c>
      <c r="G26" s="8">
        <f t="shared" si="2"/>
        <v>1</v>
      </c>
      <c r="H26" s="8">
        <f t="shared" si="2"/>
        <v>0</v>
      </c>
      <c r="I26" s="8">
        <f t="shared" si="2"/>
        <v>0</v>
      </c>
      <c r="J26" s="8">
        <f t="shared" si="2"/>
        <v>0</v>
      </c>
      <c r="K26" s="8"/>
      <c r="L26" s="77"/>
    </row>
    <row r="27" spans="1:12" x14ac:dyDescent="0.25">
      <c r="A27" s="5">
        <f t="shared" si="1"/>
        <v>2.0016000000000034</v>
      </c>
      <c r="B27" s="6"/>
      <c r="C27" s="6" t="s">
        <v>774</v>
      </c>
      <c r="D27" s="162"/>
      <c r="E27" s="7"/>
      <c r="F27" s="8" t="s">
        <v>5</v>
      </c>
      <c r="G27" s="8">
        <f t="shared" si="2"/>
        <v>1</v>
      </c>
      <c r="H27" s="8">
        <f t="shared" si="2"/>
        <v>0</v>
      </c>
      <c r="I27" s="8">
        <f t="shared" si="2"/>
        <v>0</v>
      </c>
      <c r="J27" s="8">
        <f t="shared" si="2"/>
        <v>0</v>
      </c>
      <c r="K27" s="8"/>
      <c r="L27" s="77"/>
    </row>
    <row r="28" spans="1:12" x14ac:dyDescent="0.25">
      <c r="A28" s="5">
        <f t="shared" si="1"/>
        <v>2.0017000000000036</v>
      </c>
      <c r="B28" s="72" t="s">
        <v>776</v>
      </c>
      <c r="C28" s="6" t="s">
        <v>779</v>
      </c>
      <c r="D28" s="162"/>
      <c r="E28" s="7"/>
      <c r="F28" s="8" t="s">
        <v>5</v>
      </c>
      <c r="G28" s="8">
        <f t="shared" si="2"/>
        <v>1</v>
      </c>
      <c r="H28" s="8">
        <f t="shared" si="2"/>
        <v>0</v>
      </c>
      <c r="I28" s="8">
        <f t="shared" si="2"/>
        <v>0</v>
      </c>
      <c r="J28" s="8">
        <f t="shared" si="2"/>
        <v>0</v>
      </c>
      <c r="K28" s="8"/>
      <c r="L28" s="77"/>
    </row>
    <row r="29" spans="1:12" x14ac:dyDescent="0.25">
      <c r="A29" s="5">
        <f t="shared" si="1"/>
        <v>2.0018000000000038</v>
      </c>
      <c r="B29" s="96" t="s">
        <v>418</v>
      </c>
      <c r="C29" s="76" t="s">
        <v>1037</v>
      </c>
      <c r="D29" s="162"/>
      <c r="E29" s="77"/>
      <c r="F29" s="8" t="s">
        <v>5</v>
      </c>
      <c r="G29" s="8">
        <f t="shared" si="2"/>
        <v>1</v>
      </c>
      <c r="H29" s="8">
        <f t="shared" si="2"/>
        <v>0</v>
      </c>
      <c r="I29" s="8">
        <f t="shared" si="2"/>
        <v>0</v>
      </c>
      <c r="J29" s="8">
        <f t="shared" si="2"/>
        <v>0</v>
      </c>
      <c r="K29" s="8"/>
      <c r="L29" s="77"/>
    </row>
    <row r="30" spans="1:12" x14ac:dyDescent="0.25">
      <c r="A30" s="5">
        <f t="shared" si="1"/>
        <v>2.001900000000004</v>
      </c>
      <c r="B30" s="83" t="s">
        <v>1040</v>
      </c>
      <c r="C30" s="76" t="s">
        <v>791</v>
      </c>
      <c r="D30" s="162"/>
      <c r="E30" s="77"/>
      <c r="F30" s="8" t="s">
        <v>5</v>
      </c>
      <c r="G30" s="8">
        <f t="shared" si="2"/>
        <v>1</v>
      </c>
      <c r="H30" s="8">
        <f t="shared" si="2"/>
        <v>0</v>
      </c>
      <c r="I30" s="8">
        <f t="shared" si="2"/>
        <v>0</v>
      </c>
      <c r="J30" s="8">
        <f t="shared" si="2"/>
        <v>0</v>
      </c>
      <c r="K30" s="8"/>
      <c r="L30" s="77"/>
    </row>
    <row r="31" spans="1:12" x14ac:dyDescent="0.25">
      <c r="A31" s="5">
        <f t="shared" si="1"/>
        <v>2.0020000000000042</v>
      </c>
      <c r="B31" s="77"/>
      <c r="C31" s="76" t="s">
        <v>1041</v>
      </c>
      <c r="D31" s="162" t="s">
        <v>1047</v>
      </c>
      <c r="E31" s="77"/>
      <c r="F31" s="8" t="s">
        <v>5</v>
      </c>
      <c r="G31" s="8">
        <f t="shared" si="2"/>
        <v>1</v>
      </c>
      <c r="H31" s="8">
        <f t="shared" si="2"/>
        <v>0</v>
      </c>
      <c r="I31" s="8">
        <f t="shared" si="2"/>
        <v>0</v>
      </c>
      <c r="J31" s="8">
        <f t="shared" si="2"/>
        <v>0</v>
      </c>
      <c r="K31" s="8"/>
      <c r="L31" s="77"/>
    </row>
    <row r="32" spans="1:12" x14ac:dyDescent="0.25">
      <c r="A32" s="5">
        <f t="shared" si="1"/>
        <v>2.0021000000000044</v>
      </c>
      <c r="B32" s="77"/>
      <c r="C32" s="76" t="s">
        <v>793</v>
      </c>
      <c r="D32" s="162"/>
      <c r="E32" s="77"/>
      <c r="F32" s="8" t="s">
        <v>5</v>
      </c>
      <c r="G32" s="8">
        <f t="shared" si="2"/>
        <v>1</v>
      </c>
      <c r="H32" s="8">
        <f t="shared" si="2"/>
        <v>0</v>
      </c>
      <c r="I32" s="8">
        <f t="shared" si="2"/>
        <v>0</v>
      </c>
      <c r="J32" s="8">
        <f t="shared" si="2"/>
        <v>0</v>
      </c>
      <c r="K32" s="8"/>
      <c r="L32" s="77"/>
    </row>
    <row r="33" spans="1:12" x14ac:dyDescent="0.25">
      <c r="A33" s="5">
        <f t="shared" si="1"/>
        <v>2.0022000000000046</v>
      </c>
      <c r="B33" s="77"/>
      <c r="C33" s="76" t="s">
        <v>1042</v>
      </c>
      <c r="D33" s="162"/>
      <c r="E33" s="77"/>
      <c r="F33" s="8" t="s">
        <v>5</v>
      </c>
      <c r="G33" s="8">
        <f t="shared" si="2"/>
        <v>1</v>
      </c>
      <c r="H33" s="8">
        <f t="shared" si="2"/>
        <v>0</v>
      </c>
      <c r="I33" s="8">
        <f t="shared" si="2"/>
        <v>0</v>
      </c>
      <c r="J33" s="8">
        <f t="shared" si="2"/>
        <v>0</v>
      </c>
      <c r="K33" s="8"/>
      <c r="L33" s="77"/>
    </row>
    <row r="34" spans="1:12" x14ac:dyDescent="0.25">
      <c r="A34" s="5">
        <f t="shared" si="1"/>
        <v>2.0023000000000049</v>
      </c>
      <c r="B34" s="77"/>
      <c r="C34" s="76" t="s">
        <v>795</v>
      </c>
      <c r="D34" s="162"/>
      <c r="E34" s="77"/>
      <c r="F34" s="8" t="s">
        <v>5</v>
      </c>
      <c r="G34" s="8">
        <f t="shared" si="2"/>
        <v>1</v>
      </c>
      <c r="H34" s="8">
        <f t="shared" si="2"/>
        <v>0</v>
      </c>
      <c r="I34" s="8">
        <f t="shared" si="2"/>
        <v>0</v>
      </c>
      <c r="J34" s="8">
        <f t="shared" si="2"/>
        <v>0</v>
      </c>
      <c r="K34" s="8"/>
      <c r="L34" s="77"/>
    </row>
    <row r="35" spans="1:12" x14ac:dyDescent="0.25">
      <c r="A35" s="5">
        <f t="shared" si="1"/>
        <v>2.0024000000000051</v>
      </c>
      <c r="B35" s="77"/>
      <c r="C35" s="76" t="s">
        <v>1044</v>
      </c>
      <c r="D35" s="162"/>
      <c r="E35" s="77"/>
      <c r="F35" s="8" t="s">
        <v>5</v>
      </c>
      <c r="G35" s="8">
        <f t="shared" si="2"/>
        <v>1</v>
      </c>
      <c r="H35" s="8">
        <f t="shared" si="2"/>
        <v>0</v>
      </c>
      <c r="I35" s="8">
        <f t="shared" si="2"/>
        <v>0</v>
      </c>
      <c r="J35" s="8">
        <f t="shared" si="2"/>
        <v>0</v>
      </c>
      <c r="K35" s="8"/>
      <c r="L35" s="77"/>
    </row>
    <row r="36" spans="1:12" x14ac:dyDescent="0.25">
      <c r="A36" s="5">
        <f t="shared" si="1"/>
        <v>2.0025000000000053</v>
      </c>
      <c r="B36" s="77"/>
      <c r="C36" s="76" t="s">
        <v>1043</v>
      </c>
      <c r="D36" s="162"/>
      <c r="E36" s="77"/>
      <c r="F36" s="8" t="s">
        <v>5</v>
      </c>
      <c r="G36" s="8">
        <f t="shared" si="2"/>
        <v>1</v>
      </c>
      <c r="H36" s="8">
        <f t="shared" si="2"/>
        <v>0</v>
      </c>
      <c r="I36" s="8">
        <f t="shared" si="2"/>
        <v>0</v>
      </c>
      <c r="J36" s="8">
        <f t="shared" si="2"/>
        <v>0</v>
      </c>
      <c r="K36" s="8"/>
      <c r="L36" s="77"/>
    </row>
    <row r="37" spans="1:12" x14ac:dyDescent="0.25">
      <c r="A37" s="5">
        <f t="shared" si="1"/>
        <v>2.0026000000000055</v>
      </c>
      <c r="B37" s="77"/>
      <c r="C37" s="76" t="s">
        <v>1045</v>
      </c>
      <c r="D37" s="162"/>
      <c r="E37" s="77"/>
      <c r="F37" s="8" t="s">
        <v>5</v>
      </c>
      <c r="G37" s="8">
        <f t="shared" si="2"/>
        <v>1</v>
      </c>
      <c r="H37" s="8">
        <f t="shared" si="2"/>
        <v>0</v>
      </c>
      <c r="I37" s="8">
        <f t="shared" si="2"/>
        <v>0</v>
      </c>
      <c r="J37" s="8">
        <f t="shared" si="2"/>
        <v>0</v>
      </c>
      <c r="K37" s="8"/>
      <c r="L37" s="77"/>
    </row>
    <row r="38" spans="1:12" x14ac:dyDescent="0.25">
      <c r="A38" s="5">
        <f t="shared" si="1"/>
        <v>2.0027000000000057</v>
      </c>
      <c r="B38" s="77"/>
      <c r="C38" s="76" t="s">
        <v>1046</v>
      </c>
      <c r="D38" s="162" t="s">
        <v>1048</v>
      </c>
      <c r="E38" s="77"/>
      <c r="F38" s="8" t="s">
        <v>5</v>
      </c>
      <c r="G38" s="8">
        <f t="shared" si="2"/>
        <v>1</v>
      </c>
      <c r="H38" s="8">
        <f t="shared" si="2"/>
        <v>0</v>
      </c>
      <c r="I38" s="8">
        <f t="shared" si="2"/>
        <v>0</v>
      </c>
      <c r="J38" s="8">
        <f t="shared" si="2"/>
        <v>0</v>
      </c>
      <c r="K38" s="8"/>
      <c r="L38" s="77"/>
    </row>
    <row r="39" spans="1:12" x14ac:dyDescent="0.25">
      <c r="A39" s="5">
        <f t="shared" si="1"/>
        <v>2.0028000000000059</v>
      </c>
      <c r="B39" s="76"/>
      <c r="C39" s="76" t="s">
        <v>1049</v>
      </c>
      <c r="D39" s="162"/>
      <c r="E39" s="7"/>
      <c r="F39" s="8" t="s">
        <v>5</v>
      </c>
      <c r="G39" s="8">
        <f t="shared" si="2"/>
        <v>1</v>
      </c>
      <c r="H39" s="8">
        <f t="shared" si="2"/>
        <v>0</v>
      </c>
      <c r="I39" s="8">
        <f t="shared" si="2"/>
        <v>0</v>
      </c>
      <c r="J39" s="8">
        <f t="shared" si="2"/>
        <v>0</v>
      </c>
      <c r="K39" s="8"/>
      <c r="L39" s="77"/>
    </row>
    <row r="40" spans="1:12" x14ac:dyDescent="0.25">
      <c r="A40" s="5">
        <f t="shared" si="1"/>
        <v>2.0029000000000061</v>
      </c>
      <c r="B40" s="83" t="s">
        <v>811</v>
      </c>
      <c r="C40" s="82" t="s">
        <v>812</v>
      </c>
      <c r="D40" s="162"/>
      <c r="E40" s="77"/>
      <c r="F40" s="8" t="s">
        <v>5</v>
      </c>
      <c r="G40" s="8">
        <f t="shared" si="2"/>
        <v>1</v>
      </c>
      <c r="H40" s="8">
        <f t="shared" si="2"/>
        <v>0</v>
      </c>
      <c r="I40" s="8">
        <f t="shared" si="2"/>
        <v>0</v>
      </c>
      <c r="J40" s="8">
        <f t="shared" si="2"/>
        <v>0</v>
      </c>
      <c r="K40" s="8"/>
      <c r="L40" s="77"/>
    </row>
    <row r="41" spans="1:12" x14ac:dyDescent="0.25">
      <c r="A41" s="5">
        <f t="shared" si="1"/>
        <v>2.0030000000000063</v>
      </c>
      <c r="B41" s="77"/>
      <c r="C41" s="76" t="s">
        <v>814</v>
      </c>
      <c r="D41" s="162"/>
      <c r="E41" s="77"/>
      <c r="F41" s="8" t="s">
        <v>5</v>
      </c>
      <c r="G41" s="8">
        <f t="shared" si="2"/>
        <v>1</v>
      </c>
      <c r="H41" s="8">
        <f t="shared" si="2"/>
        <v>0</v>
      </c>
      <c r="I41" s="8">
        <f t="shared" si="2"/>
        <v>0</v>
      </c>
      <c r="J41" s="8">
        <f t="shared" si="2"/>
        <v>0</v>
      </c>
      <c r="K41" s="8"/>
      <c r="L41" s="77"/>
    </row>
    <row r="42" spans="1:12" x14ac:dyDescent="0.25">
      <c r="A42" s="5">
        <f t="shared" si="1"/>
        <v>2.0031000000000065</v>
      </c>
      <c r="B42" s="77"/>
      <c r="C42" s="76" t="s">
        <v>816</v>
      </c>
      <c r="D42" s="162"/>
      <c r="E42" s="77"/>
      <c r="F42" s="8" t="s">
        <v>5</v>
      </c>
      <c r="G42" s="8">
        <f t="shared" si="2"/>
        <v>1</v>
      </c>
      <c r="H42" s="8">
        <f t="shared" si="2"/>
        <v>0</v>
      </c>
      <c r="I42" s="8">
        <f t="shared" si="2"/>
        <v>0</v>
      </c>
      <c r="J42" s="8">
        <f t="shared" si="2"/>
        <v>0</v>
      </c>
      <c r="K42" s="8"/>
      <c r="L42" s="77"/>
    </row>
    <row r="43" spans="1:12" x14ac:dyDescent="0.25">
      <c r="A43" s="5">
        <f t="shared" si="1"/>
        <v>2.0032000000000068</v>
      </c>
      <c r="B43" s="77"/>
      <c r="C43" s="76" t="s">
        <v>815</v>
      </c>
      <c r="D43" s="162"/>
      <c r="E43" s="77"/>
      <c r="F43" s="8" t="s">
        <v>5</v>
      </c>
      <c r="G43" s="8">
        <f t="shared" si="2"/>
        <v>1</v>
      </c>
      <c r="H43" s="8">
        <f t="shared" si="2"/>
        <v>0</v>
      </c>
      <c r="I43" s="8">
        <f t="shared" si="2"/>
        <v>0</v>
      </c>
      <c r="J43" s="8">
        <f t="shared" si="2"/>
        <v>0</v>
      </c>
      <c r="K43" s="8"/>
      <c r="L43" s="77"/>
    </row>
    <row r="44" spans="1:12" x14ac:dyDescent="0.25">
      <c r="A44" s="5">
        <f t="shared" si="1"/>
        <v>2.003300000000007</v>
      </c>
      <c r="B44" s="77"/>
      <c r="C44" s="76" t="s">
        <v>1050</v>
      </c>
      <c r="D44" s="162"/>
      <c r="E44" s="77"/>
      <c r="F44" s="8" t="s">
        <v>5</v>
      </c>
      <c r="G44" s="8">
        <f t="shared" si="2"/>
        <v>1</v>
      </c>
      <c r="H44" s="8">
        <f t="shared" si="2"/>
        <v>0</v>
      </c>
      <c r="I44" s="8">
        <f t="shared" si="2"/>
        <v>0</v>
      </c>
      <c r="J44" s="8">
        <f t="shared" si="2"/>
        <v>0</v>
      </c>
      <c r="K44" s="8"/>
      <c r="L44" s="77"/>
    </row>
    <row r="45" spans="1:12" x14ac:dyDescent="0.25">
      <c r="A45" s="5">
        <f t="shared" si="1"/>
        <v>2.0034000000000072</v>
      </c>
      <c r="B45" s="77"/>
      <c r="C45" s="76" t="s">
        <v>817</v>
      </c>
      <c r="D45" s="162"/>
      <c r="E45" s="77"/>
      <c r="F45" s="8" t="s">
        <v>5</v>
      </c>
      <c r="G45" s="8">
        <f t="shared" si="2"/>
        <v>1</v>
      </c>
      <c r="H45" s="8">
        <f t="shared" si="2"/>
        <v>0</v>
      </c>
      <c r="I45" s="8">
        <f t="shared" si="2"/>
        <v>0</v>
      </c>
      <c r="J45" s="8">
        <f t="shared" si="2"/>
        <v>0</v>
      </c>
      <c r="K45" s="8"/>
      <c r="L45" s="77"/>
    </row>
    <row r="46" spans="1:12" x14ac:dyDescent="0.25">
      <c r="A46" s="5">
        <f t="shared" si="1"/>
        <v>2.0035000000000074</v>
      </c>
      <c r="B46" s="77"/>
      <c r="C46" s="76" t="s">
        <v>818</v>
      </c>
      <c r="D46" s="162"/>
      <c r="E46" s="77"/>
      <c r="F46" s="8" t="s">
        <v>5</v>
      </c>
      <c r="G46" s="8">
        <f t="shared" si="2"/>
        <v>1</v>
      </c>
      <c r="H46" s="8">
        <f t="shared" si="2"/>
        <v>0</v>
      </c>
      <c r="I46" s="8">
        <f t="shared" si="2"/>
        <v>0</v>
      </c>
      <c r="J46" s="8">
        <f t="shared" si="2"/>
        <v>0</v>
      </c>
      <c r="K46" s="8"/>
      <c r="L46" s="77"/>
    </row>
    <row r="47" spans="1:12" x14ac:dyDescent="0.25">
      <c r="A47" s="5">
        <f t="shared" si="1"/>
        <v>2.0036000000000076</v>
      </c>
      <c r="B47" s="77"/>
      <c r="C47" s="76" t="s">
        <v>819</v>
      </c>
      <c r="D47" s="162" t="s">
        <v>820</v>
      </c>
      <c r="E47" s="77"/>
      <c r="F47" s="8" t="s">
        <v>5</v>
      </c>
      <c r="G47" s="8">
        <f t="shared" si="2"/>
        <v>1</v>
      </c>
      <c r="H47" s="8">
        <f t="shared" si="2"/>
        <v>0</v>
      </c>
      <c r="I47" s="8">
        <f t="shared" si="2"/>
        <v>0</v>
      </c>
      <c r="J47" s="8">
        <f t="shared" si="2"/>
        <v>0</v>
      </c>
      <c r="K47" s="8"/>
      <c r="L47" s="77"/>
    </row>
    <row r="48" spans="1:12" x14ac:dyDescent="0.25">
      <c r="A48" s="5">
        <f t="shared" si="1"/>
        <v>2.0037000000000078</v>
      </c>
      <c r="B48" s="77"/>
      <c r="C48" s="76" t="s">
        <v>813</v>
      </c>
      <c r="D48" s="162"/>
      <c r="E48" s="77"/>
      <c r="F48" s="8" t="s">
        <v>5</v>
      </c>
      <c r="G48" s="8">
        <f t="shared" si="2"/>
        <v>1</v>
      </c>
      <c r="H48" s="8">
        <f t="shared" si="2"/>
        <v>0</v>
      </c>
      <c r="I48" s="8">
        <f t="shared" si="2"/>
        <v>0</v>
      </c>
      <c r="J48" s="8">
        <f t="shared" si="2"/>
        <v>0</v>
      </c>
      <c r="K48" s="8"/>
      <c r="L48" s="77"/>
    </row>
    <row r="49" spans="1:12" x14ac:dyDescent="0.25">
      <c r="A49" s="5">
        <f t="shared" si="1"/>
        <v>2.003800000000008</v>
      </c>
      <c r="B49" s="77"/>
      <c r="C49" s="76" t="s">
        <v>821</v>
      </c>
      <c r="D49" s="162"/>
      <c r="E49" s="77"/>
      <c r="F49" s="8" t="s">
        <v>5</v>
      </c>
      <c r="G49" s="8">
        <f t="shared" si="2"/>
        <v>1</v>
      </c>
      <c r="H49" s="8">
        <f t="shared" si="2"/>
        <v>0</v>
      </c>
      <c r="I49" s="8">
        <f t="shared" si="2"/>
        <v>0</v>
      </c>
      <c r="J49" s="8">
        <f t="shared" si="2"/>
        <v>0</v>
      </c>
      <c r="K49" s="8"/>
      <c r="L49" s="77"/>
    </row>
    <row r="50" spans="1:12" x14ac:dyDescent="0.25">
      <c r="A50" s="5">
        <f t="shared" si="1"/>
        <v>2.0039000000000082</v>
      </c>
      <c r="B50" s="77"/>
      <c r="C50" s="76" t="s">
        <v>822</v>
      </c>
      <c r="D50" s="162"/>
      <c r="E50" s="77"/>
      <c r="F50" s="8" t="s">
        <v>5</v>
      </c>
      <c r="G50" s="8">
        <f t="shared" si="2"/>
        <v>1</v>
      </c>
      <c r="H50" s="8">
        <f t="shared" si="2"/>
        <v>0</v>
      </c>
      <c r="I50" s="8">
        <f t="shared" si="2"/>
        <v>0</v>
      </c>
      <c r="J50" s="8">
        <f t="shared" si="2"/>
        <v>0</v>
      </c>
      <c r="K50" s="8"/>
      <c r="L50" s="77"/>
    </row>
    <row r="51" spans="1:12" x14ac:dyDescent="0.25">
      <c r="A51" s="5">
        <f t="shared" si="1"/>
        <v>2.0040000000000084</v>
      </c>
      <c r="B51" s="76"/>
      <c r="C51" s="76" t="s">
        <v>823</v>
      </c>
      <c r="D51" s="162"/>
      <c r="E51" s="77"/>
      <c r="F51" s="8" t="s">
        <v>5</v>
      </c>
      <c r="G51" s="8">
        <f t="shared" si="2"/>
        <v>1</v>
      </c>
      <c r="H51" s="8">
        <f t="shared" si="2"/>
        <v>0</v>
      </c>
      <c r="I51" s="8">
        <f t="shared" si="2"/>
        <v>0</v>
      </c>
      <c r="J51" s="8">
        <f t="shared" si="2"/>
        <v>0</v>
      </c>
      <c r="K51" s="8"/>
      <c r="L51" s="77"/>
    </row>
    <row r="52" spans="1:12" s="20" customFormat="1" x14ac:dyDescent="0.25">
      <c r="A52" s="16">
        <v>4</v>
      </c>
      <c r="B52" s="79" t="s">
        <v>832</v>
      </c>
      <c r="C52" s="80"/>
      <c r="D52" s="161"/>
      <c r="E52" s="79"/>
      <c r="F52" s="19"/>
      <c r="G52" s="19"/>
      <c r="H52" s="19"/>
      <c r="I52" s="19"/>
      <c r="J52" s="19"/>
      <c r="K52" s="19"/>
      <c r="L52" s="79"/>
    </row>
    <row r="53" spans="1:12" ht="15.75" customHeight="1" x14ac:dyDescent="0.25">
      <c r="A53" s="5">
        <v>4.0000999999999998</v>
      </c>
      <c r="B53" s="76" t="s">
        <v>1051</v>
      </c>
      <c r="C53" s="76" t="s">
        <v>833</v>
      </c>
      <c r="D53" s="162"/>
      <c r="E53" s="77"/>
      <c r="F53" s="8" t="s">
        <v>5</v>
      </c>
      <c r="G53" s="8">
        <f t="shared" ref="G53:J55" si="3">IF($F53=G$1,1,0)</f>
        <v>1</v>
      </c>
      <c r="H53" s="8">
        <f t="shared" si="3"/>
        <v>0</v>
      </c>
      <c r="I53" s="8">
        <f t="shared" si="3"/>
        <v>0</v>
      </c>
      <c r="J53" s="8">
        <f t="shared" si="3"/>
        <v>0</v>
      </c>
      <c r="K53" s="8"/>
      <c r="L53" s="77"/>
    </row>
    <row r="54" spans="1:12" x14ac:dyDescent="0.25">
      <c r="A54" s="5">
        <v>4.0002000000000004</v>
      </c>
      <c r="B54" s="76" t="s">
        <v>834</v>
      </c>
      <c r="C54" s="76" t="s">
        <v>1052</v>
      </c>
      <c r="D54" s="162"/>
      <c r="E54" s="77"/>
      <c r="F54" s="8" t="s">
        <v>5</v>
      </c>
      <c r="G54" s="8">
        <f t="shared" si="3"/>
        <v>1</v>
      </c>
      <c r="H54" s="8">
        <f t="shared" si="3"/>
        <v>0</v>
      </c>
      <c r="I54" s="8">
        <f t="shared" si="3"/>
        <v>0</v>
      </c>
      <c r="J54" s="8">
        <f t="shared" si="3"/>
        <v>0</v>
      </c>
      <c r="K54" s="8"/>
      <c r="L54" s="77"/>
    </row>
    <row r="55" spans="1:12" x14ac:dyDescent="0.25">
      <c r="A55" s="5">
        <v>4.0003000000000002</v>
      </c>
      <c r="B55" s="76" t="s">
        <v>835</v>
      </c>
      <c r="C55" s="76" t="s">
        <v>837</v>
      </c>
      <c r="D55" s="162"/>
      <c r="E55" s="77"/>
      <c r="F55" s="8" t="s">
        <v>5</v>
      </c>
      <c r="G55" s="8">
        <f t="shared" si="3"/>
        <v>1</v>
      </c>
      <c r="H55" s="8">
        <f t="shared" si="3"/>
        <v>0</v>
      </c>
      <c r="I55" s="8">
        <f t="shared" si="3"/>
        <v>0</v>
      </c>
      <c r="J55" s="8">
        <f t="shared" si="3"/>
        <v>0</v>
      </c>
      <c r="K55" s="8"/>
      <c r="L55" s="77"/>
    </row>
    <row r="56" spans="1:12" ht="25.5" x14ac:dyDescent="0.25">
      <c r="A56" s="5">
        <v>4.0004</v>
      </c>
      <c r="B56" s="76" t="s">
        <v>1053</v>
      </c>
      <c r="C56" s="76" t="s">
        <v>833</v>
      </c>
      <c r="D56" s="162"/>
      <c r="E56" s="7"/>
      <c r="F56" s="8" t="s">
        <v>5</v>
      </c>
      <c r="G56" s="8">
        <f t="shared" ref="G56:J58" si="4">IF($F56=G$1,1,0)</f>
        <v>1</v>
      </c>
      <c r="H56" s="8">
        <f t="shared" si="4"/>
        <v>0</v>
      </c>
      <c r="I56" s="8">
        <f t="shared" si="4"/>
        <v>0</v>
      </c>
      <c r="J56" s="8">
        <f t="shared" si="4"/>
        <v>0</v>
      </c>
      <c r="K56" s="8"/>
      <c r="L56" s="7"/>
    </row>
    <row r="57" spans="1:12" x14ac:dyDescent="0.25">
      <c r="A57" s="5">
        <v>4.0004999999999997</v>
      </c>
      <c r="B57" s="76" t="s">
        <v>834</v>
      </c>
      <c r="C57" s="76" t="s">
        <v>1054</v>
      </c>
      <c r="D57" s="162"/>
      <c r="E57" s="7"/>
      <c r="F57" s="8" t="s">
        <v>5</v>
      </c>
      <c r="G57" s="8">
        <f t="shared" si="4"/>
        <v>1</v>
      </c>
      <c r="H57" s="8">
        <f t="shared" si="4"/>
        <v>0</v>
      </c>
      <c r="I57" s="8">
        <f t="shared" si="4"/>
        <v>0</v>
      </c>
      <c r="J57" s="8">
        <f t="shared" si="4"/>
        <v>0</v>
      </c>
      <c r="K57" s="8"/>
      <c r="L57" s="7"/>
    </row>
    <row r="58" spans="1:12" x14ac:dyDescent="0.25">
      <c r="A58" s="45">
        <v>4.0006000000000004</v>
      </c>
      <c r="B58" s="26" t="s">
        <v>835</v>
      </c>
      <c r="C58" s="26" t="s">
        <v>837</v>
      </c>
      <c r="D58" s="163"/>
      <c r="E58" s="30"/>
      <c r="F58" s="8" t="s">
        <v>5</v>
      </c>
      <c r="G58" s="122">
        <f t="shared" si="4"/>
        <v>1</v>
      </c>
      <c r="H58" s="122">
        <f t="shared" si="4"/>
        <v>0</v>
      </c>
      <c r="I58" s="122">
        <f t="shared" si="4"/>
        <v>0</v>
      </c>
      <c r="J58" s="122">
        <f t="shared" si="4"/>
        <v>0</v>
      </c>
      <c r="K58" s="122"/>
      <c r="L58" s="30"/>
    </row>
    <row r="59" spans="1:12" s="20" customFormat="1" x14ac:dyDescent="0.25">
      <c r="A59" s="16">
        <v>5</v>
      </c>
      <c r="B59" s="79" t="s">
        <v>1086</v>
      </c>
      <c r="C59" s="80" t="s">
        <v>1065</v>
      </c>
      <c r="D59" s="161"/>
      <c r="E59" s="79"/>
      <c r="F59" s="19"/>
      <c r="G59" s="19"/>
      <c r="H59" s="19"/>
      <c r="I59" s="19"/>
      <c r="J59" s="19"/>
      <c r="K59" s="19"/>
      <c r="L59" s="79"/>
    </row>
    <row r="60" spans="1:12" s="108" customFormat="1" ht="51" x14ac:dyDescent="0.25">
      <c r="A60" s="5">
        <f>+A59+0.0001</f>
        <v>5.0000999999999998</v>
      </c>
      <c r="B60" s="113" t="s">
        <v>1063</v>
      </c>
      <c r="C60" s="114" t="s">
        <v>1072</v>
      </c>
      <c r="D60" s="162" t="s">
        <v>1090</v>
      </c>
      <c r="E60" s="106"/>
      <c r="F60" s="111" t="s">
        <v>7</v>
      </c>
      <c r="G60" s="8">
        <f>IF($F60=G$1,1,0)</f>
        <v>0</v>
      </c>
      <c r="H60" s="8">
        <f>IF($F60=H$1,1,0)</f>
        <v>0</v>
      </c>
      <c r="I60" s="8">
        <f>IF($F60=I$1,1,0)</f>
        <v>0</v>
      </c>
      <c r="J60" s="8">
        <f>IF($F60=J$1,1,0)</f>
        <v>1</v>
      </c>
      <c r="K60" s="107"/>
      <c r="L60" s="106"/>
    </row>
    <row r="61" spans="1:12" ht="15.75" thickBot="1" x14ac:dyDescent="0.3">
      <c r="A61" s="84"/>
      <c r="B61" s="98"/>
      <c r="C61" s="86"/>
      <c r="G61" s="123">
        <f>SUM(G3:G58)</f>
        <v>53</v>
      </c>
      <c r="H61" s="123">
        <f>SUM(H3:H58)</f>
        <v>0</v>
      </c>
      <c r="I61" s="123">
        <f>SUM(I3:I58)</f>
        <v>0</v>
      </c>
      <c r="J61" s="123">
        <f>SUM(J3:J58)</f>
        <v>0</v>
      </c>
      <c r="K61" s="123">
        <f>SUM(K3:K58)</f>
        <v>0</v>
      </c>
    </row>
    <row r="62" spans="1:12" ht="15.75" thickTop="1" x14ac:dyDescent="0.25">
      <c r="A62" s="84"/>
      <c r="B62" s="85"/>
      <c r="C62" s="86"/>
    </row>
    <row r="63" spans="1:12" x14ac:dyDescent="0.25">
      <c r="A63" s="84"/>
      <c r="B63" s="86"/>
      <c r="C63" s="86"/>
    </row>
    <row r="64" spans="1:12" x14ac:dyDescent="0.25">
      <c r="A64" s="84"/>
      <c r="B64" s="87"/>
      <c r="C64" s="87"/>
    </row>
    <row r="65" spans="1:3" x14ac:dyDescent="0.25">
      <c r="A65" s="84"/>
      <c r="B65" s="87"/>
      <c r="C65" s="87"/>
    </row>
    <row r="66" spans="1:3" x14ac:dyDescent="0.25">
      <c r="A66" s="84"/>
    </row>
    <row r="67" spans="1:3" x14ac:dyDescent="0.25">
      <c r="A67" s="84"/>
    </row>
    <row r="68" spans="1:3" x14ac:dyDescent="0.25">
      <c r="A68" s="84"/>
    </row>
    <row r="69" spans="1:3" x14ac:dyDescent="0.25">
      <c r="A69" s="84"/>
    </row>
    <row r="70" spans="1:3" x14ac:dyDescent="0.25">
      <c r="A70" s="84"/>
    </row>
    <row r="71" spans="1:3" x14ac:dyDescent="0.25">
      <c r="A71" s="84"/>
    </row>
    <row r="72" spans="1:3" x14ac:dyDescent="0.25">
      <c r="A72" s="84"/>
    </row>
    <row r="73" spans="1:3" x14ac:dyDescent="0.25">
      <c r="A73" s="84"/>
    </row>
    <row r="74" spans="1:3" x14ac:dyDescent="0.25">
      <c r="A74" s="84"/>
    </row>
    <row r="75" spans="1:3" x14ac:dyDescent="0.25">
      <c r="A75" s="84"/>
    </row>
    <row r="76" spans="1:3" x14ac:dyDescent="0.25">
      <c r="A76" s="84"/>
    </row>
    <row r="77" spans="1:3" x14ac:dyDescent="0.25">
      <c r="A77" s="84"/>
    </row>
    <row r="78" spans="1:3" x14ac:dyDescent="0.25">
      <c r="A78" s="84"/>
    </row>
    <row r="79" spans="1:3" x14ac:dyDescent="0.25">
      <c r="A79" s="84"/>
    </row>
    <row r="80" spans="1:3" x14ac:dyDescent="0.25">
      <c r="A80" s="84"/>
    </row>
    <row r="81" spans="1:1" x14ac:dyDescent="0.25">
      <c r="A81" s="84"/>
    </row>
    <row r="82" spans="1:1" x14ac:dyDescent="0.25">
      <c r="A82" s="84"/>
    </row>
    <row r="83" spans="1:1" x14ac:dyDescent="0.25">
      <c r="A83" s="84"/>
    </row>
    <row r="84" spans="1:1" x14ac:dyDescent="0.25">
      <c r="A84" s="84"/>
    </row>
    <row r="85" spans="1:1" x14ac:dyDescent="0.25">
      <c r="A85" s="84"/>
    </row>
    <row r="86" spans="1:1" x14ac:dyDescent="0.25">
      <c r="A86" s="84"/>
    </row>
    <row r="87" spans="1:1" x14ac:dyDescent="0.25">
      <c r="A87" s="84"/>
    </row>
    <row r="88" spans="1:1" x14ac:dyDescent="0.25">
      <c r="A88" s="97"/>
    </row>
    <row r="89" spans="1:1" x14ac:dyDescent="0.25">
      <c r="A89" s="97"/>
    </row>
  </sheetData>
  <mergeCells count="1">
    <mergeCell ref="B2:C2"/>
  </mergeCells>
  <conditionalFormatting sqref="D3:F3 K3:L3 D20:E20 B19:C20 B16:C16 B17:E18 B23:C24 C22 C21:E21 B61:L80 B42:E43 D44:D50 B44:C51 E44:E51 B10:L10 K56:L58 B56:E58 B30:E39 A3:A51 A61:A87 D4:E9 G8:L9 G12:L51">
    <cfRule type="expression" dxfId="413" priority="153">
      <formula>$F3="Fail"</formula>
    </cfRule>
  </conditionalFormatting>
  <conditionalFormatting sqref="D12:E14 D11:K11 D19:E19">
    <cfRule type="expression" dxfId="412" priority="152">
      <formula>$F11="Fail"</formula>
    </cfRule>
  </conditionalFormatting>
  <conditionalFormatting sqref="D28:E28 E40:E41">
    <cfRule type="expression" dxfId="411" priority="150">
      <formula>$F28="Fail"</formula>
    </cfRule>
  </conditionalFormatting>
  <conditionalFormatting sqref="D22:E27">
    <cfRule type="expression" dxfId="410" priority="148">
      <formula>$F22="Fail"</formula>
    </cfRule>
  </conditionalFormatting>
  <conditionalFormatting sqref="D16:E16">
    <cfRule type="expression" dxfId="409" priority="147">
      <formula>$F16="Fail"</formula>
    </cfRule>
  </conditionalFormatting>
  <conditionalFormatting sqref="D15:E15">
    <cfRule type="expression" dxfId="408" priority="146">
      <formula>$F15="Fail"</formula>
    </cfRule>
  </conditionalFormatting>
  <conditionalFormatting sqref="L11">
    <cfRule type="expression" dxfId="407" priority="141">
      <formula>$F11="Fail"</formula>
    </cfRule>
  </conditionalFormatting>
  <conditionalFormatting sqref="B3:C3">
    <cfRule type="expression" dxfId="406" priority="134">
      <formula>$F3="Fail"</formula>
    </cfRule>
  </conditionalFormatting>
  <conditionalFormatting sqref="B23:C28">
    <cfRule type="expression" dxfId="405" priority="116">
      <formula>$F23="Fail"</formula>
    </cfRule>
  </conditionalFormatting>
  <conditionalFormatting sqref="B16:C16">
    <cfRule type="expression" dxfId="404" priority="115">
      <formula>$F16="Fail"</formula>
    </cfRule>
  </conditionalFormatting>
  <conditionalFormatting sqref="B15">
    <cfRule type="expression" dxfId="403" priority="114">
      <formula>$F15="Fail"</formula>
    </cfRule>
  </conditionalFormatting>
  <conditionalFormatting sqref="C10">
    <cfRule type="expression" dxfId="402" priority="110">
      <formula>$F10="Fail"</formula>
    </cfRule>
  </conditionalFormatting>
  <conditionalFormatting sqref="B4:C5 B9:C9 B15">
    <cfRule type="expression" dxfId="401" priority="120">
      <formula>$F4="Fail"</formula>
    </cfRule>
  </conditionalFormatting>
  <conditionalFormatting sqref="C11 B12:C13 B13:B14">
    <cfRule type="expression" dxfId="400" priority="119">
      <formula>$F11="Fail"</formula>
    </cfRule>
  </conditionalFormatting>
  <conditionalFormatting sqref="B9:B10">
    <cfRule type="expression" dxfId="399" priority="111">
      <formula>$F9="Fail"</formula>
    </cfRule>
  </conditionalFormatting>
  <conditionalFormatting sqref="B6:C8">
    <cfRule type="expression" dxfId="398" priority="109">
      <formula>$F6="Fail"</formula>
    </cfRule>
  </conditionalFormatting>
  <conditionalFormatting sqref="C9">
    <cfRule type="expression" dxfId="397" priority="108">
      <formula>$F9="Fail"</formula>
    </cfRule>
  </conditionalFormatting>
  <conditionalFormatting sqref="B62:C63">
    <cfRule type="expression" dxfId="396" priority="96">
      <formula>$F62="Fail"</formula>
    </cfRule>
  </conditionalFormatting>
  <conditionalFormatting sqref="B40:D41">
    <cfRule type="expression" dxfId="395" priority="78">
      <formula>$F40="Fail"</formula>
    </cfRule>
  </conditionalFormatting>
  <conditionalFormatting sqref="B11">
    <cfRule type="expression" dxfId="394" priority="79">
      <formula>$F11="Fail"</formula>
    </cfRule>
  </conditionalFormatting>
  <conditionalFormatting sqref="G3:J3">
    <cfRule type="expression" dxfId="393" priority="87">
      <formula>$F3="Fail"</formula>
    </cfRule>
  </conditionalFormatting>
  <conditionalFormatting sqref="B51:D51">
    <cfRule type="expression" dxfId="392" priority="77">
      <formula>$F51="Fail"</formula>
    </cfRule>
  </conditionalFormatting>
  <conditionalFormatting sqref="C40:C41">
    <cfRule type="expression" dxfId="391" priority="76">
      <formula>$F40="Fail"</formula>
    </cfRule>
  </conditionalFormatting>
  <conditionalFormatting sqref="G56:J56">
    <cfRule type="expression" dxfId="390" priority="57">
      <formula>$F56="Fail"</formula>
    </cfRule>
  </conditionalFormatting>
  <conditionalFormatting sqref="G57:J57">
    <cfRule type="expression" dxfId="389" priority="56">
      <formula>$F57="Fail"</formula>
    </cfRule>
  </conditionalFormatting>
  <conditionalFormatting sqref="G58:J58">
    <cfRule type="expression" dxfId="388" priority="54">
      <formula>$F58="Fail"</formula>
    </cfRule>
  </conditionalFormatting>
  <conditionalFormatting sqref="C14">
    <cfRule type="expression" dxfId="387" priority="52">
      <formula>$F14="Fail"</formula>
    </cfRule>
  </conditionalFormatting>
  <conditionalFormatting sqref="C14">
    <cfRule type="expression" dxfId="386" priority="53">
      <formula>$F14="Fail"</formula>
    </cfRule>
  </conditionalFormatting>
  <conditionalFormatting sqref="C15">
    <cfRule type="expression" dxfId="385" priority="50">
      <formula>$F15="Fail"</formula>
    </cfRule>
  </conditionalFormatting>
  <conditionalFormatting sqref="C15">
    <cfRule type="expression" dxfId="384" priority="51">
      <formula>$F15="Fail"</formula>
    </cfRule>
  </conditionalFormatting>
  <conditionalFormatting sqref="C29:E29">
    <cfRule type="expression" dxfId="383" priority="45">
      <formula>$F29="Fail"</formula>
    </cfRule>
  </conditionalFormatting>
  <conditionalFormatting sqref="B29">
    <cfRule type="expression" dxfId="382" priority="46">
      <formula>$F28="Fail"</formula>
    </cfRule>
  </conditionalFormatting>
  <conditionalFormatting sqref="A52">
    <cfRule type="expression" dxfId="381" priority="37">
      <formula>$F52="Fail"</formula>
    </cfRule>
  </conditionalFormatting>
  <conditionalFormatting sqref="D52:K52">
    <cfRule type="expression" dxfId="380" priority="36">
      <formula>$F52="Fail"</formula>
    </cfRule>
  </conditionalFormatting>
  <conditionalFormatting sqref="L52">
    <cfRule type="expression" dxfId="379" priority="35">
      <formula>$F52="Fail"</formula>
    </cfRule>
  </conditionalFormatting>
  <conditionalFormatting sqref="C52">
    <cfRule type="expression" dxfId="378" priority="34">
      <formula>$F52="Fail"</formula>
    </cfRule>
  </conditionalFormatting>
  <conditionalFormatting sqref="B52">
    <cfRule type="expression" dxfId="377" priority="33">
      <formula>$F52="Fail"</formula>
    </cfRule>
  </conditionalFormatting>
  <conditionalFormatting sqref="F4">
    <cfRule type="expression" dxfId="376" priority="31">
      <formula>$F4="Fail"</formula>
    </cfRule>
  </conditionalFormatting>
  <conditionalFormatting sqref="G4:L4">
    <cfRule type="expression" dxfId="375" priority="30">
      <formula>$F4="Fail"</formula>
    </cfRule>
  </conditionalFormatting>
  <conditionalFormatting sqref="G5:L7">
    <cfRule type="expression" dxfId="374" priority="28">
      <formula>$F5="Fail"</formula>
    </cfRule>
  </conditionalFormatting>
  <conditionalFormatting sqref="K53:L55 A53:E53 B54:E55 A54:A58">
    <cfRule type="expression" dxfId="373" priority="25">
      <formula>$F53="Fail"</formula>
    </cfRule>
  </conditionalFormatting>
  <conditionalFormatting sqref="G53:J53">
    <cfRule type="expression" dxfId="372" priority="24">
      <formula>$F53="Fail"</formula>
    </cfRule>
  </conditionalFormatting>
  <conditionalFormatting sqref="G54:J54">
    <cfRule type="expression" dxfId="371" priority="23">
      <formula>$F54="Fail"</formula>
    </cfRule>
  </conditionalFormatting>
  <conditionalFormatting sqref="G55:J55">
    <cfRule type="expression" dxfId="370" priority="22">
      <formula>$F55="Fail"</formula>
    </cfRule>
  </conditionalFormatting>
  <conditionalFormatting sqref="A59">
    <cfRule type="expression" dxfId="369" priority="15">
      <formula>$F59="Fail"</formula>
    </cfRule>
  </conditionalFormatting>
  <conditionalFormatting sqref="D59:K59 E60:F60 K60">
    <cfRule type="expression" dxfId="368" priority="14">
      <formula>$F59="Fail"</formula>
    </cfRule>
  </conditionalFormatting>
  <conditionalFormatting sqref="L59:L60">
    <cfRule type="expression" dxfId="367" priority="13">
      <formula>$F59="Fail"</formula>
    </cfRule>
  </conditionalFormatting>
  <conditionalFormatting sqref="B59">
    <cfRule type="expression" dxfId="366" priority="12">
      <formula>$F59="Fail"</formula>
    </cfRule>
  </conditionalFormatting>
  <conditionalFormatting sqref="C60">
    <cfRule type="expression" dxfId="365" priority="11">
      <formula>$F60="Fail"</formula>
    </cfRule>
  </conditionalFormatting>
  <conditionalFormatting sqref="B60">
    <cfRule type="expression" dxfId="364" priority="10">
      <formula>$F60="Fail"</formula>
    </cfRule>
  </conditionalFormatting>
  <conditionalFormatting sqref="D60">
    <cfRule type="expression" dxfId="363" priority="8">
      <formula>$F60="Fail"</formula>
    </cfRule>
  </conditionalFormatting>
  <conditionalFormatting sqref="C59">
    <cfRule type="expression" dxfId="362" priority="9">
      <formula>$F59="Fail"</formula>
    </cfRule>
  </conditionalFormatting>
  <conditionalFormatting sqref="G60:J60">
    <cfRule type="expression" dxfId="361" priority="7">
      <formula>$F60="Fail"</formula>
    </cfRule>
  </conditionalFormatting>
  <conditionalFormatting sqref="A60">
    <cfRule type="expression" dxfId="360" priority="6">
      <formula>$F60="Fail"</formula>
    </cfRule>
  </conditionalFormatting>
  <conditionalFormatting sqref="F5:F9">
    <cfRule type="expression" dxfId="359" priority="5">
      <formula>$F5="Fail"</formula>
    </cfRule>
  </conditionalFormatting>
  <conditionalFormatting sqref="F12:F50">
    <cfRule type="expression" dxfId="358" priority="4">
      <formula>$F12="Fail"</formula>
    </cfRule>
  </conditionalFormatting>
  <conditionalFormatting sqref="F51">
    <cfRule type="expression" dxfId="357" priority="2">
      <formula>$F51="Fail"</formula>
    </cfRule>
  </conditionalFormatting>
  <conditionalFormatting sqref="F53:F58">
    <cfRule type="expression" dxfId="356" priority="1">
      <formula>$F53="Fail"</formula>
    </cfRule>
  </conditionalFormatting>
  <dataValidations count="1">
    <dataValidation type="list" allowBlank="1" showInputMessage="1" showErrorMessage="1" sqref="F3:F60">
      <formula1>$G$1:$K$1</formula1>
    </dataValidation>
  </dataValidations>
  <pageMargins left="0.7" right="0.7" top="0.75" bottom="0.75" header="0.3" footer="0.3"/>
  <pageSetup paperSize="9"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L89"/>
  <sheetViews>
    <sheetView topLeftCell="D1" zoomScaleNormal="100" workbookViewId="0">
      <pane ySplit="1" topLeftCell="A50" activePane="bottomLeft" state="frozen"/>
      <selection activeCell="C11" sqref="C11"/>
      <selection pane="bottomLeft" activeCell="L67" sqref="L67"/>
    </sheetView>
  </sheetViews>
  <sheetFormatPr defaultRowHeight="15" x14ac:dyDescent="0.25"/>
  <cols>
    <col min="1" max="1" width="11.28515625" style="4" bestFit="1" customWidth="1"/>
    <col min="2" max="2" width="59.42578125" style="1" customWidth="1"/>
    <col min="3" max="3" width="64.140625" style="1" customWidth="1"/>
    <col min="4" max="4" width="41.42578125" style="1" bestFit="1" customWidth="1"/>
    <col min="5" max="5" width="5.285156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13</v>
      </c>
    </row>
    <row r="2" spans="1:12" s="102" customFormat="1" ht="30" customHeight="1" x14ac:dyDescent="0.25">
      <c r="A2" s="99"/>
      <c r="B2" s="179" t="s">
        <v>1073</v>
      </c>
      <c r="C2" s="180"/>
      <c r="D2" s="118" t="s">
        <v>1075</v>
      </c>
      <c r="E2" s="101"/>
      <c r="F2" s="100"/>
      <c r="G2" s="101"/>
      <c r="H2" s="101"/>
      <c r="I2" s="101"/>
      <c r="J2" s="101"/>
      <c r="K2" s="101"/>
      <c r="L2" s="101"/>
    </row>
    <row r="3" spans="1:12" s="20" customFormat="1" x14ac:dyDescent="0.25">
      <c r="A3" s="16">
        <v>1</v>
      </c>
      <c r="B3" s="79" t="s">
        <v>830</v>
      </c>
      <c r="C3" s="80"/>
      <c r="D3" s="79"/>
      <c r="E3" s="79"/>
      <c r="F3" s="19"/>
      <c r="G3" s="8"/>
      <c r="H3" s="8"/>
      <c r="I3" s="8"/>
      <c r="J3" s="8"/>
      <c r="K3" s="19"/>
      <c r="L3" s="79"/>
    </row>
    <row r="4" spans="1:12" ht="25.5" x14ac:dyDescent="0.25">
      <c r="A4" s="5">
        <v>1.0001</v>
      </c>
      <c r="B4" s="76" t="s">
        <v>1021</v>
      </c>
      <c r="C4" s="78"/>
      <c r="D4" s="77"/>
      <c r="E4" s="76"/>
      <c r="F4" s="8" t="s">
        <v>5</v>
      </c>
      <c r="G4" s="8">
        <f t="shared" ref="G4:J20" si="0">IF($F4=G$1,1,0)</f>
        <v>1</v>
      </c>
      <c r="H4" s="8">
        <f t="shared" si="0"/>
        <v>0</v>
      </c>
      <c r="I4" s="8">
        <f t="shared" si="0"/>
        <v>0</v>
      </c>
      <c r="J4" s="8">
        <f t="shared" si="0"/>
        <v>0</v>
      </c>
      <c r="K4" s="8"/>
      <c r="L4" s="77"/>
    </row>
    <row r="5" spans="1:12" ht="25.5" x14ac:dyDescent="0.25">
      <c r="A5" s="5">
        <v>1.0002</v>
      </c>
      <c r="B5" s="82" t="s">
        <v>780</v>
      </c>
      <c r="C5" s="78" t="s">
        <v>781</v>
      </c>
      <c r="D5" s="77"/>
      <c r="E5" s="76"/>
      <c r="F5" s="8" t="s">
        <v>5</v>
      </c>
      <c r="G5" s="8">
        <f t="shared" si="0"/>
        <v>1</v>
      </c>
      <c r="H5" s="8">
        <f t="shared" si="0"/>
        <v>0</v>
      </c>
      <c r="I5" s="8">
        <f t="shared" si="0"/>
        <v>0</v>
      </c>
      <c r="J5" s="8">
        <f t="shared" si="0"/>
        <v>0</v>
      </c>
      <c r="K5" s="8"/>
      <c r="L5" s="77"/>
    </row>
    <row r="6" spans="1:12" x14ac:dyDescent="0.25">
      <c r="A6" s="5">
        <v>1.0003</v>
      </c>
      <c r="B6" s="82" t="s">
        <v>783</v>
      </c>
      <c r="C6" s="78" t="s">
        <v>784</v>
      </c>
      <c r="D6" s="77"/>
      <c r="E6" s="76"/>
      <c r="F6" s="8" t="s">
        <v>5</v>
      </c>
      <c r="G6" s="8">
        <f t="shared" si="0"/>
        <v>1</v>
      </c>
      <c r="H6" s="8">
        <f t="shared" si="0"/>
        <v>0</v>
      </c>
      <c r="I6" s="8">
        <f t="shared" si="0"/>
        <v>0</v>
      </c>
      <c r="J6" s="8">
        <f t="shared" si="0"/>
        <v>0</v>
      </c>
      <c r="K6" s="8"/>
      <c r="L6" s="77"/>
    </row>
    <row r="7" spans="1:12" x14ac:dyDescent="0.25">
      <c r="A7" s="5">
        <v>1.0004</v>
      </c>
      <c r="B7" s="76"/>
      <c r="C7" s="78" t="s">
        <v>1022</v>
      </c>
      <c r="D7" s="83" t="s">
        <v>1076</v>
      </c>
      <c r="E7" s="76"/>
      <c r="F7" s="8" t="s">
        <v>5</v>
      </c>
      <c r="G7" s="8">
        <f t="shared" si="0"/>
        <v>1</v>
      </c>
      <c r="H7" s="8">
        <f t="shared" si="0"/>
        <v>0</v>
      </c>
      <c r="I7" s="8">
        <f t="shared" si="0"/>
        <v>0</v>
      </c>
      <c r="J7" s="8">
        <f t="shared" si="0"/>
        <v>0</v>
      </c>
      <c r="K7" s="8"/>
      <c r="L7" s="77"/>
    </row>
    <row r="8" spans="1:12" x14ac:dyDescent="0.25">
      <c r="A8" s="5">
        <v>1.0004999999999999</v>
      </c>
      <c r="B8" s="76"/>
      <c r="C8" s="78" t="s">
        <v>787</v>
      </c>
      <c r="D8" s="77"/>
      <c r="E8" s="76"/>
      <c r="F8" s="8" t="s">
        <v>7</v>
      </c>
      <c r="G8" s="8">
        <f t="shared" si="0"/>
        <v>0</v>
      </c>
      <c r="H8" s="8">
        <f t="shared" si="0"/>
        <v>0</v>
      </c>
      <c r="I8" s="8">
        <f t="shared" si="0"/>
        <v>0</v>
      </c>
      <c r="J8" s="8">
        <f t="shared" si="0"/>
        <v>1</v>
      </c>
      <c r="K8" s="8"/>
      <c r="L8" s="77"/>
    </row>
    <row r="9" spans="1:12" x14ac:dyDescent="0.25">
      <c r="A9" s="5">
        <v>1.0005999999999999</v>
      </c>
      <c r="B9" s="76" t="s">
        <v>767</v>
      </c>
      <c r="C9" s="78"/>
      <c r="D9" s="77"/>
      <c r="E9" s="77"/>
      <c r="F9" s="8" t="s">
        <v>7</v>
      </c>
      <c r="G9" s="8">
        <f t="shared" si="0"/>
        <v>0</v>
      </c>
      <c r="H9" s="8">
        <f t="shared" si="0"/>
        <v>0</v>
      </c>
      <c r="I9" s="8">
        <f t="shared" si="0"/>
        <v>0</v>
      </c>
      <c r="J9" s="8">
        <f t="shared" si="0"/>
        <v>1</v>
      </c>
      <c r="K9" s="8"/>
      <c r="L9" s="77"/>
    </row>
    <row r="10" spans="1:12" x14ac:dyDescent="0.25">
      <c r="A10" s="5">
        <v>1.0006999999999999</v>
      </c>
      <c r="B10" s="76" t="s">
        <v>756</v>
      </c>
      <c r="C10" s="78"/>
      <c r="D10" s="77"/>
      <c r="E10" s="77"/>
      <c r="F10" s="8" t="s">
        <v>7</v>
      </c>
      <c r="G10" s="8">
        <f t="shared" si="0"/>
        <v>0</v>
      </c>
      <c r="H10" s="8">
        <f t="shared" si="0"/>
        <v>0</v>
      </c>
      <c r="I10" s="8">
        <f t="shared" si="0"/>
        <v>0</v>
      </c>
      <c r="J10" s="8">
        <f t="shared" si="0"/>
        <v>1</v>
      </c>
      <c r="K10" s="8"/>
      <c r="L10" s="77"/>
    </row>
    <row r="11" spans="1:12" s="20" customFormat="1" x14ac:dyDescent="0.25">
      <c r="A11" s="16">
        <v>2</v>
      </c>
      <c r="B11" s="79" t="s">
        <v>1023</v>
      </c>
      <c r="C11" s="80"/>
      <c r="D11" s="79"/>
      <c r="E11" s="79"/>
      <c r="F11" s="19"/>
      <c r="G11" s="19"/>
      <c r="H11" s="19"/>
      <c r="I11" s="19"/>
      <c r="J11" s="19"/>
      <c r="K11" s="19"/>
      <c r="L11" s="79"/>
    </row>
    <row r="12" spans="1:12" ht="25.5" x14ac:dyDescent="0.25">
      <c r="A12" s="5">
        <f t="shared" ref="A12:A51" si="1">A11+0.0001</f>
        <v>2.0001000000000002</v>
      </c>
      <c r="B12" s="82" t="s">
        <v>757</v>
      </c>
      <c r="C12" s="78" t="s">
        <v>1026</v>
      </c>
      <c r="D12" s="77"/>
      <c r="E12" s="76"/>
      <c r="F12" s="8" t="s">
        <v>5</v>
      </c>
      <c r="G12" s="8">
        <f t="shared" si="0"/>
        <v>1</v>
      </c>
      <c r="H12" s="8">
        <f t="shared" si="0"/>
        <v>0</v>
      </c>
      <c r="I12" s="8">
        <f t="shared" si="0"/>
        <v>0</v>
      </c>
      <c r="J12" s="8">
        <f t="shared" si="0"/>
        <v>0</v>
      </c>
      <c r="K12" s="8"/>
      <c r="L12" s="77"/>
    </row>
    <row r="13" spans="1:12" x14ac:dyDescent="0.25">
      <c r="A13" s="5">
        <f t="shared" si="1"/>
        <v>2.0002000000000004</v>
      </c>
      <c r="B13" s="78" t="s">
        <v>1028</v>
      </c>
      <c r="C13" s="78" t="s">
        <v>1029</v>
      </c>
      <c r="D13" s="77"/>
      <c r="E13" s="76"/>
      <c r="F13" s="8" t="s">
        <v>5</v>
      </c>
      <c r="G13" s="8">
        <f t="shared" si="0"/>
        <v>1</v>
      </c>
      <c r="H13" s="8">
        <f t="shared" si="0"/>
        <v>0</v>
      </c>
      <c r="I13" s="8">
        <f t="shared" si="0"/>
        <v>0</v>
      </c>
      <c r="J13" s="8">
        <f t="shared" si="0"/>
        <v>0</v>
      </c>
      <c r="K13" s="8"/>
      <c r="L13" s="77"/>
    </row>
    <row r="14" spans="1:12" x14ac:dyDescent="0.25">
      <c r="A14" s="5">
        <f t="shared" si="1"/>
        <v>2.0003000000000006</v>
      </c>
      <c r="B14" s="89" t="s">
        <v>1030</v>
      </c>
      <c r="C14" s="76" t="s">
        <v>1031</v>
      </c>
      <c r="D14" s="77"/>
      <c r="E14" s="76"/>
      <c r="F14" s="8" t="s">
        <v>5</v>
      </c>
      <c r="G14" s="8">
        <f t="shared" si="0"/>
        <v>1</v>
      </c>
      <c r="H14" s="8">
        <f t="shared" si="0"/>
        <v>0</v>
      </c>
      <c r="I14" s="8">
        <f t="shared" si="0"/>
        <v>0</v>
      </c>
      <c r="J14" s="8">
        <f t="shared" si="0"/>
        <v>0</v>
      </c>
      <c r="K14" s="8"/>
      <c r="L14" s="77"/>
    </row>
    <row r="15" spans="1:12" x14ac:dyDescent="0.25">
      <c r="A15" s="5">
        <f t="shared" si="1"/>
        <v>2.0004000000000008</v>
      </c>
      <c r="B15" s="89" t="s">
        <v>1027</v>
      </c>
      <c r="C15" s="82" t="s">
        <v>1100</v>
      </c>
      <c r="D15" s="77"/>
      <c r="E15" s="76"/>
      <c r="F15" s="8" t="s">
        <v>5</v>
      </c>
      <c r="G15" s="8">
        <f t="shared" si="0"/>
        <v>1</v>
      </c>
      <c r="H15" s="8">
        <f t="shared" si="0"/>
        <v>0</v>
      </c>
      <c r="I15" s="8">
        <f t="shared" si="0"/>
        <v>0</v>
      </c>
      <c r="J15" s="8">
        <f t="shared" si="0"/>
        <v>0</v>
      </c>
      <c r="K15" s="8"/>
      <c r="L15" s="77"/>
    </row>
    <row r="16" spans="1:12" x14ac:dyDescent="0.25">
      <c r="A16" s="5">
        <f t="shared" si="1"/>
        <v>2.0005000000000011</v>
      </c>
      <c r="B16" s="76"/>
      <c r="C16" s="83" t="s">
        <v>1033</v>
      </c>
      <c r="D16" s="77"/>
      <c r="E16" s="76"/>
      <c r="F16" s="8" t="s">
        <v>5</v>
      </c>
      <c r="G16" s="8">
        <f t="shared" si="0"/>
        <v>1</v>
      </c>
      <c r="H16" s="8">
        <f t="shared" si="0"/>
        <v>0</v>
      </c>
      <c r="I16" s="8">
        <f t="shared" si="0"/>
        <v>0</v>
      </c>
      <c r="J16" s="8">
        <f t="shared" si="0"/>
        <v>0</v>
      </c>
      <c r="K16" s="8"/>
      <c r="L16" s="77"/>
    </row>
    <row r="17" spans="1:12" x14ac:dyDescent="0.25">
      <c r="A17" s="5">
        <f t="shared" si="1"/>
        <v>2.0006000000000013</v>
      </c>
      <c r="B17" s="76"/>
      <c r="C17" s="76" t="s">
        <v>1077</v>
      </c>
      <c r="D17" s="83" t="s">
        <v>1078</v>
      </c>
      <c r="E17" s="77"/>
      <c r="F17" s="8" t="s">
        <v>5</v>
      </c>
      <c r="G17" s="8">
        <f t="shared" si="0"/>
        <v>1</v>
      </c>
      <c r="H17" s="8">
        <f t="shared" si="0"/>
        <v>0</v>
      </c>
      <c r="I17" s="8">
        <f t="shared" si="0"/>
        <v>0</v>
      </c>
      <c r="J17" s="8">
        <f t="shared" si="0"/>
        <v>0</v>
      </c>
      <c r="K17" s="8"/>
      <c r="L17" s="77"/>
    </row>
    <row r="18" spans="1:12" x14ac:dyDescent="0.25">
      <c r="A18" s="5">
        <f t="shared" si="1"/>
        <v>2.0007000000000015</v>
      </c>
      <c r="B18" s="82"/>
      <c r="C18" s="82" t="s">
        <v>1035</v>
      </c>
      <c r="D18" s="77" t="s">
        <v>1099</v>
      </c>
      <c r="E18" s="77"/>
      <c r="F18" s="8" t="s">
        <v>5</v>
      </c>
      <c r="G18" s="8">
        <f t="shared" si="0"/>
        <v>1</v>
      </c>
      <c r="H18" s="8">
        <f t="shared" si="0"/>
        <v>0</v>
      </c>
      <c r="I18" s="8">
        <f t="shared" si="0"/>
        <v>0</v>
      </c>
      <c r="J18" s="8">
        <f t="shared" si="0"/>
        <v>0</v>
      </c>
      <c r="K18" s="8"/>
      <c r="L18" s="77"/>
    </row>
    <row r="19" spans="1:12" x14ac:dyDescent="0.25">
      <c r="A19" s="5">
        <f t="shared" si="1"/>
        <v>2.0008000000000017</v>
      </c>
      <c r="B19" s="77" t="s">
        <v>763</v>
      </c>
      <c r="C19" s="76" t="s">
        <v>1024</v>
      </c>
      <c r="D19" s="77"/>
      <c r="E19" s="77"/>
      <c r="F19" s="8" t="s">
        <v>5</v>
      </c>
      <c r="G19" s="8">
        <f t="shared" si="0"/>
        <v>1</v>
      </c>
      <c r="H19" s="8">
        <f t="shared" si="0"/>
        <v>0</v>
      </c>
      <c r="I19" s="8">
        <f t="shared" si="0"/>
        <v>0</v>
      </c>
      <c r="J19" s="8">
        <f t="shared" si="0"/>
        <v>0</v>
      </c>
      <c r="K19" s="8"/>
      <c r="L19" s="77"/>
    </row>
    <row r="20" spans="1:12" x14ac:dyDescent="0.25">
      <c r="A20" s="5">
        <f t="shared" si="1"/>
        <v>2.0009000000000019</v>
      </c>
      <c r="B20" s="77" t="s">
        <v>1036</v>
      </c>
      <c r="C20" s="76" t="s">
        <v>1025</v>
      </c>
      <c r="D20" s="77"/>
      <c r="E20" s="77"/>
      <c r="F20" s="8" t="s">
        <v>5</v>
      </c>
      <c r="G20" s="8">
        <f t="shared" si="0"/>
        <v>1</v>
      </c>
      <c r="H20" s="8">
        <f t="shared" si="0"/>
        <v>0</v>
      </c>
      <c r="I20" s="8">
        <f t="shared" si="0"/>
        <v>0</v>
      </c>
      <c r="J20" s="8">
        <f t="shared" si="0"/>
        <v>0</v>
      </c>
      <c r="K20" s="8"/>
      <c r="L20" s="77"/>
    </row>
    <row r="21" spans="1:12" x14ac:dyDescent="0.25">
      <c r="A21" s="5">
        <f t="shared" si="1"/>
        <v>2.0010000000000021</v>
      </c>
      <c r="C21" s="76" t="s">
        <v>1038</v>
      </c>
      <c r="D21" s="77"/>
      <c r="E21" s="77"/>
      <c r="F21" s="8" t="s">
        <v>5</v>
      </c>
      <c r="G21" s="8">
        <f t="shared" ref="G21:J51" si="2">IF($F21=G$1,1,0)</f>
        <v>1</v>
      </c>
      <c r="H21" s="8">
        <f t="shared" si="2"/>
        <v>0</v>
      </c>
      <c r="I21" s="8">
        <f t="shared" si="2"/>
        <v>0</v>
      </c>
      <c r="J21" s="8">
        <f t="shared" si="2"/>
        <v>0</v>
      </c>
      <c r="K21" s="8"/>
      <c r="L21" s="77"/>
    </row>
    <row r="22" spans="1:12" x14ac:dyDescent="0.25">
      <c r="A22" s="5">
        <f t="shared" si="1"/>
        <v>2.0011000000000023</v>
      </c>
      <c r="C22" s="76" t="s">
        <v>769</v>
      </c>
      <c r="D22" s="77"/>
      <c r="E22" s="77"/>
      <c r="F22" s="8" t="s">
        <v>5</v>
      </c>
      <c r="G22" s="8">
        <f t="shared" si="2"/>
        <v>1</v>
      </c>
      <c r="H22" s="8">
        <f t="shared" si="2"/>
        <v>0</v>
      </c>
      <c r="I22" s="8">
        <f t="shared" si="2"/>
        <v>0</v>
      </c>
      <c r="J22" s="8">
        <f t="shared" si="2"/>
        <v>0</v>
      </c>
      <c r="K22" s="8"/>
      <c r="L22" s="77"/>
    </row>
    <row r="23" spans="1:12" x14ac:dyDescent="0.25">
      <c r="A23" s="5">
        <f t="shared" si="1"/>
        <v>2.0012000000000025</v>
      </c>
      <c r="B23" s="76"/>
      <c r="C23" s="76" t="s">
        <v>770</v>
      </c>
      <c r="D23" s="77"/>
      <c r="E23" s="77"/>
      <c r="F23" s="8" t="s">
        <v>5</v>
      </c>
      <c r="G23" s="8">
        <f t="shared" si="2"/>
        <v>1</v>
      </c>
      <c r="H23" s="8">
        <f t="shared" si="2"/>
        <v>0</v>
      </c>
      <c r="I23" s="8">
        <f t="shared" si="2"/>
        <v>0</v>
      </c>
      <c r="J23" s="8">
        <f t="shared" si="2"/>
        <v>0</v>
      </c>
      <c r="K23" s="8"/>
      <c r="L23" s="77"/>
    </row>
    <row r="24" spans="1:12" x14ac:dyDescent="0.25">
      <c r="A24" s="5">
        <f t="shared" si="1"/>
        <v>2.0013000000000027</v>
      </c>
      <c r="B24" s="76"/>
      <c r="C24" s="76" t="s">
        <v>771</v>
      </c>
      <c r="D24" s="77"/>
      <c r="E24" s="77"/>
      <c r="F24" s="8" t="s">
        <v>5</v>
      </c>
      <c r="G24" s="8">
        <f t="shared" si="2"/>
        <v>1</v>
      </c>
      <c r="H24" s="8">
        <f t="shared" si="2"/>
        <v>0</v>
      </c>
      <c r="I24" s="8">
        <f t="shared" si="2"/>
        <v>0</v>
      </c>
      <c r="J24" s="8">
        <f t="shared" si="2"/>
        <v>0</v>
      </c>
      <c r="K24" s="8"/>
      <c r="L24" s="77"/>
    </row>
    <row r="25" spans="1:12" x14ac:dyDescent="0.25">
      <c r="A25" s="5">
        <f t="shared" si="1"/>
        <v>2.001400000000003</v>
      </c>
      <c r="B25" s="76"/>
      <c r="C25" s="76" t="s">
        <v>772</v>
      </c>
      <c r="D25" s="77"/>
      <c r="E25" s="77"/>
      <c r="F25" s="8" t="s">
        <v>5</v>
      </c>
      <c r="G25" s="8">
        <f t="shared" si="2"/>
        <v>1</v>
      </c>
      <c r="H25" s="8">
        <f t="shared" si="2"/>
        <v>0</v>
      </c>
      <c r="I25" s="8">
        <f t="shared" si="2"/>
        <v>0</v>
      </c>
      <c r="J25" s="8">
        <f t="shared" si="2"/>
        <v>0</v>
      </c>
      <c r="K25" s="8"/>
      <c r="L25" s="77"/>
    </row>
    <row r="26" spans="1:12" x14ac:dyDescent="0.25">
      <c r="A26" s="5">
        <f t="shared" si="1"/>
        <v>2.0015000000000032</v>
      </c>
      <c r="B26" s="76"/>
      <c r="C26" s="76" t="s">
        <v>1039</v>
      </c>
      <c r="D26" s="77"/>
      <c r="E26" s="77"/>
      <c r="F26" s="8" t="s">
        <v>5</v>
      </c>
      <c r="G26" s="8">
        <f t="shared" si="2"/>
        <v>1</v>
      </c>
      <c r="H26" s="8">
        <f t="shared" si="2"/>
        <v>0</v>
      </c>
      <c r="I26" s="8">
        <f t="shared" si="2"/>
        <v>0</v>
      </c>
      <c r="J26" s="8">
        <f t="shared" si="2"/>
        <v>0</v>
      </c>
      <c r="K26" s="8"/>
      <c r="L26" s="77"/>
    </row>
    <row r="27" spans="1:12" x14ac:dyDescent="0.25">
      <c r="A27" s="5">
        <f t="shared" si="1"/>
        <v>2.0016000000000034</v>
      </c>
      <c r="B27" s="76"/>
      <c r="C27" s="76" t="s">
        <v>774</v>
      </c>
      <c r="D27" s="77"/>
      <c r="E27" s="77"/>
      <c r="F27" s="8" t="s">
        <v>5</v>
      </c>
      <c r="G27" s="8">
        <f t="shared" si="2"/>
        <v>1</v>
      </c>
      <c r="H27" s="8">
        <f t="shared" si="2"/>
        <v>0</v>
      </c>
      <c r="I27" s="8">
        <f t="shared" si="2"/>
        <v>0</v>
      </c>
      <c r="J27" s="8">
        <f t="shared" si="2"/>
        <v>0</v>
      </c>
      <c r="K27" s="8"/>
      <c r="L27" s="77"/>
    </row>
    <row r="28" spans="1:12" x14ac:dyDescent="0.25">
      <c r="A28" s="5">
        <f t="shared" si="1"/>
        <v>2.0017000000000036</v>
      </c>
      <c r="B28" s="82" t="s">
        <v>776</v>
      </c>
      <c r="C28" s="76" t="s">
        <v>779</v>
      </c>
      <c r="D28" s="77"/>
      <c r="E28" s="77"/>
      <c r="F28" s="8" t="s">
        <v>5</v>
      </c>
      <c r="G28" s="8">
        <f t="shared" si="2"/>
        <v>1</v>
      </c>
      <c r="H28" s="8">
        <f t="shared" si="2"/>
        <v>0</v>
      </c>
      <c r="I28" s="8">
        <f t="shared" si="2"/>
        <v>0</v>
      </c>
      <c r="J28" s="8">
        <f t="shared" si="2"/>
        <v>0</v>
      </c>
      <c r="K28" s="8"/>
      <c r="L28" s="77"/>
    </row>
    <row r="29" spans="1:12" x14ac:dyDescent="0.25">
      <c r="A29" s="5">
        <f t="shared" si="1"/>
        <v>2.0018000000000038</v>
      </c>
      <c r="B29" s="96" t="s">
        <v>418</v>
      </c>
      <c r="C29" s="76" t="s">
        <v>1037</v>
      </c>
      <c r="D29" s="77"/>
      <c r="E29" s="77"/>
      <c r="F29" s="8" t="s">
        <v>5</v>
      </c>
      <c r="G29" s="8">
        <f t="shared" si="2"/>
        <v>1</v>
      </c>
      <c r="H29" s="8">
        <f t="shared" si="2"/>
        <v>0</v>
      </c>
      <c r="I29" s="8">
        <f t="shared" si="2"/>
        <v>0</v>
      </c>
      <c r="J29" s="8">
        <f t="shared" si="2"/>
        <v>0</v>
      </c>
      <c r="K29" s="8"/>
      <c r="L29" s="77"/>
    </row>
    <row r="30" spans="1:12" x14ac:dyDescent="0.25">
      <c r="A30" s="5">
        <f t="shared" si="1"/>
        <v>2.001900000000004</v>
      </c>
      <c r="B30" s="83" t="s">
        <v>1040</v>
      </c>
      <c r="C30" s="76" t="s">
        <v>791</v>
      </c>
      <c r="D30" s="77"/>
      <c r="E30" s="77"/>
      <c r="F30" s="8" t="s">
        <v>5</v>
      </c>
      <c r="G30" s="8">
        <f t="shared" si="2"/>
        <v>1</v>
      </c>
      <c r="H30" s="8">
        <f t="shared" si="2"/>
        <v>0</v>
      </c>
      <c r="I30" s="8">
        <f t="shared" si="2"/>
        <v>0</v>
      </c>
      <c r="J30" s="8">
        <f t="shared" si="2"/>
        <v>0</v>
      </c>
      <c r="K30" s="8"/>
      <c r="L30" s="77"/>
    </row>
    <row r="31" spans="1:12" x14ac:dyDescent="0.25">
      <c r="A31" s="5">
        <f t="shared" si="1"/>
        <v>2.0020000000000042</v>
      </c>
      <c r="B31" s="77"/>
      <c r="C31" s="76" t="s">
        <v>1041</v>
      </c>
      <c r="D31" s="77" t="s">
        <v>1047</v>
      </c>
      <c r="E31" s="77"/>
      <c r="F31" s="8" t="s">
        <v>5</v>
      </c>
      <c r="G31" s="8">
        <f t="shared" si="2"/>
        <v>1</v>
      </c>
      <c r="H31" s="8">
        <f t="shared" si="2"/>
        <v>0</v>
      </c>
      <c r="I31" s="8">
        <f t="shared" si="2"/>
        <v>0</v>
      </c>
      <c r="J31" s="8">
        <f t="shared" si="2"/>
        <v>0</v>
      </c>
      <c r="K31" s="8"/>
      <c r="L31" s="77"/>
    </row>
    <row r="32" spans="1:12" x14ac:dyDescent="0.25">
      <c r="A32" s="5">
        <f t="shared" si="1"/>
        <v>2.0021000000000044</v>
      </c>
      <c r="B32" s="77"/>
      <c r="C32" s="76" t="s">
        <v>793</v>
      </c>
      <c r="D32" s="77"/>
      <c r="E32" s="77"/>
      <c r="F32" s="8" t="s">
        <v>5</v>
      </c>
      <c r="G32" s="8">
        <f t="shared" si="2"/>
        <v>1</v>
      </c>
      <c r="H32" s="8">
        <f t="shared" si="2"/>
        <v>0</v>
      </c>
      <c r="I32" s="8">
        <f t="shared" si="2"/>
        <v>0</v>
      </c>
      <c r="J32" s="8">
        <f t="shared" si="2"/>
        <v>0</v>
      </c>
      <c r="K32" s="8"/>
      <c r="L32" s="77"/>
    </row>
    <row r="33" spans="1:12" x14ac:dyDescent="0.25">
      <c r="A33" s="5">
        <f t="shared" si="1"/>
        <v>2.0022000000000046</v>
      </c>
      <c r="B33" s="77"/>
      <c r="C33" s="76" t="s">
        <v>1042</v>
      </c>
      <c r="D33" s="77"/>
      <c r="E33" s="77"/>
      <c r="F33" s="8" t="s">
        <v>5</v>
      </c>
      <c r="G33" s="8">
        <f t="shared" si="2"/>
        <v>1</v>
      </c>
      <c r="H33" s="8">
        <f t="shared" si="2"/>
        <v>0</v>
      </c>
      <c r="I33" s="8">
        <f t="shared" si="2"/>
        <v>0</v>
      </c>
      <c r="J33" s="8">
        <f t="shared" si="2"/>
        <v>0</v>
      </c>
      <c r="K33" s="8"/>
      <c r="L33" s="77"/>
    </row>
    <row r="34" spans="1:12" x14ac:dyDescent="0.25">
      <c r="A34" s="5">
        <f t="shared" si="1"/>
        <v>2.0023000000000049</v>
      </c>
      <c r="B34" s="77"/>
      <c r="C34" s="76" t="s">
        <v>1096</v>
      </c>
      <c r="D34" s="77"/>
      <c r="E34" s="77"/>
      <c r="F34" s="8" t="s">
        <v>5</v>
      </c>
      <c r="G34" s="8">
        <f t="shared" si="2"/>
        <v>1</v>
      </c>
      <c r="H34" s="8">
        <f t="shared" si="2"/>
        <v>0</v>
      </c>
      <c r="I34" s="8">
        <f t="shared" si="2"/>
        <v>0</v>
      </c>
      <c r="J34" s="8">
        <f t="shared" si="2"/>
        <v>0</v>
      </c>
      <c r="K34" s="8"/>
      <c r="L34" s="77"/>
    </row>
    <row r="35" spans="1:12" x14ac:dyDescent="0.25">
      <c r="A35" s="5">
        <f t="shared" si="1"/>
        <v>2.0024000000000051</v>
      </c>
      <c r="B35" s="77"/>
      <c r="C35" s="76" t="s">
        <v>1097</v>
      </c>
      <c r="D35" s="77"/>
      <c r="E35" s="77"/>
      <c r="F35" s="8" t="s">
        <v>5</v>
      </c>
      <c r="G35" s="8">
        <f t="shared" si="2"/>
        <v>1</v>
      </c>
      <c r="H35" s="8">
        <f t="shared" si="2"/>
        <v>0</v>
      </c>
      <c r="I35" s="8">
        <f t="shared" si="2"/>
        <v>0</v>
      </c>
      <c r="J35" s="8">
        <f t="shared" si="2"/>
        <v>0</v>
      </c>
      <c r="K35" s="8"/>
      <c r="L35" s="77"/>
    </row>
    <row r="36" spans="1:12" x14ac:dyDescent="0.25">
      <c r="A36" s="5">
        <f t="shared" si="1"/>
        <v>2.0025000000000053</v>
      </c>
      <c r="B36" s="77"/>
      <c r="C36" s="76" t="s">
        <v>1095</v>
      </c>
      <c r="D36" s="77"/>
      <c r="E36" s="77"/>
      <c r="F36" s="8" t="s">
        <v>5</v>
      </c>
      <c r="G36" s="8">
        <f t="shared" si="2"/>
        <v>1</v>
      </c>
      <c r="H36" s="8">
        <f t="shared" si="2"/>
        <v>0</v>
      </c>
      <c r="I36" s="8">
        <f t="shared" si="2"/>
        <v>0</v>
      </c>
      <c r="J36" s="8">
        <f t="shared" si="2"/>
        <v>0</v>
      </c>
      <c r="K36" s="8"/>
      <c r="L36" s="77"/>
    </row>
    <row r="37" spans="1:12" x14ac:dyDescent="0.25">
      <c r="A37" s="5">
        <f t="shared" si="1"/>
        <v>2.0026000000000055</v>
      </c>
      <c r="B37" s="77"/>
      <c r="C37" s="76" t="s">
        <v>1045</v>
      </c>
      <c r="D37" s="77"/>
      <c r="E37" s="77"/>
      <c r="F37" s="8" t="s">
        <v>5</v>
      </c>
      <c r="G37" s="8">
        <f t="shared" si="2"/>
        <v>1</v>
      </c>
      <c r="H37" s="8">
        <f t="shared" si="2"/>
        <v>0</v>
      </c>
      <c r="I37" s="8">
        <f t="shared" si="2"/>
        <v>0</v>
      </c>
      <c r="J37" s="8">
        <f t="shared" si="2"/>
        <v>0</v>
      </c>
      <c r="K37" s="8"/>
      <c r="L37" s="77"/>
    </row>
    <row r="38" spans="1:12" x14ac:dyDescent="0.25">
      <c r="A38" s="5">
        <f t="shared" si="1"/>
        <v>2.0027000000000057</v>
      </c>
      <c r="B38" s="77"/>
      <c r="C38" s="76" t="s">
        <v>1046</v>
      </c>
      <c r="D38" s="77" t="s">
        <v>1048</v>
      </c>
      <c r="E38" s="77"/>
      <c r="F38" s="8" t="s">
        <v>5</v>
      </c>
      <c r="G38" s="8">
        <f t="shared" si="2"/>
        <v>1</v>
      </c>
      <c r="H38" s="8">
        <f t="shared" si="2"/>
        <v>0</v>
      </c>
      <c r="I38" s="8">
        <f t="shared" si="2"/>
        <v>0</v>
      </c>
      <c r="J38" s="8">
        <f t="shared" si="2"/>
        <v>0</v>
      </c>
      <c r="K38" s="8"/>
      <c r="L38" s="77"/>
    </row>
    <row r="39" spans="1:12" x14ac:dyDescent="0.25">
      <c r="A39" s="5">
        <f t="shared" si="1"/>
        <v>2.0028000000000059</v>
      </c>
      <c r="B39" s="76"/>
      <c r="C39" s="76" t="s">
        <v>1049</v>
      </c>
      <c r="D39" s="77"/>
      <c r="E39" s="77"/>
      <c r="F39" s="8" t="s">
        <v>5</v>
      </c>
      <c r="G39" s="8">
        <f t="shared" si="2"/>
        <v>1</v>
      </c>
      <c r="H39" s="8">
        <f t="shared" si="2"/>
        <v>0</v>
      </c>
      <c r="I39" s="8">
        <f t="shared" si="2"/>
        <v>0</v>
      </c>
      <c r="J39" s="8">
        <f t="shared" si="2"/>
        <v>0</v>
      </c>
      <c r="K39" s="8"/>
      <c r="L39" s="77"/>
    </row>
    <row r="40" spans="1:12" x14ac:dyDescent="0.25">
      <c r="A40" s="5">
        <f t="shared" si="1"/>
        <v>2.0029000000000061</v>
      </c>
      <c r="B40" s="83" t="s">
        <v>811</v>
      </c>
      <c r="C40" s="82" t="s">
        <v>812</v>
      </c>
      <c r="D40" s="77"/>
      <c r="E40" s="77"/>
      <c r="F40" s="8" t="s">
        <v>5</v>
      </c>
      <c r="G40" s="8">
        <f t="shared" si="2"/>
        <v>1</v>
      </c>
      <c r="H40" s="8">
        <f t="shared" si="2"/>
        <v>0</v>
      </c>
      <c r="I40" s="8">
        <f t="shared" si="2"/>
        <v>0</v>
      </c>
      <c r="J40" s="8">
        <f t="shared" si="2"/>
        <v>0</v>
      </c>
      <c r="K40" s="8"/>
      <c r="L40" s="77"/>
    </row>
    <row r="41" spans="1:12" x14ac:dyDescent="0.25">
      <c r="A41" s="5">
        <f t="shared" si="1"/>
        <v>2.0030000000000063</v>
      </c>
      <c r="B41" s="77"/>
      <c r="C41" s="76" t="s">
        <v>814</v>
      </c>
      <c r="D41" s="77"/>
      <c r="E41" s="77"/>
      <c r="F41" s="8" t="s">
        <v>5</v>
      </c>
      <c r="G41" s="8">
        <f t="shared" si="2"/>
        <v>1</v>
      </c>
      <c r="H41" s="8">
        <f t="shared" si="2"/>
        <v>0</v>
      </c>
      <c r="I41" s="8">
        <f t="shared" si="2"/>
        <v>0</v>
      </c>
      <c r="J41" s="8">
        <f t="shared" si="2"/>
        <v>0</v>
      </c>
      <c r="K41" s="8"/>
      <c r="L41" s="77"/>
    </row>
    <row r="42" spans="1:12" x14ac:dyDescent="0.25">
      <c r="A42" s="5">
        <f t="shared" si="1"/>
        <v>2.0031000000000065</v>
      </c>
      <c r="B42" s="77"/>
      <c r="C42" s="76" t="s">
        <v>816</v>
      </c>
      <c r="D42" s="77"/>
      <c r="E42" s="77"/>
      <c r="F42" s="8" t="s">
        <v>5</v>
      </c>
      <c r="G42" s="8">
        <f t="shared" si="2"/>
        <v>1</v>
      </c>
      <c r="H42" s="8">
        <f t="shared" si="2"/>
        <v>0</v>
      </c>
      <c r="I42" s="8">
        <f t="shared" si="2"/>
        <v>0</v>
      </c>
      <c r="J42" s="8">
        <f t="shared" si="2"/>
        <v>0</v>
      </c>
      <c r="K42" s="8"/>
      <c r="L42" s="77"/>
    </row>
    <row r="43" spans="1:12" x14ac:dyDescent="0.25">
      <c r="A43" s="5">
        <f t="shared" si="1"/>
        <v>2.0032000000000068</v>
      </c>
      <c r="B43" s="77"/>
      <c r="C43" s="76" t="s">
        <v>815</v>
      </c>
      <c r="D43" s="77"/>
      <c r="E43" s="77"/>
      <c r="F43" s="8" t="s">
        <v>5</v>
      </c>
      <c r="G43" s="8">
        <f t="shared" si="2"/>
        <v>1</v>
      </c>
      <c r="H43" s="8">
        <f t="shared" si="2"/>
        <v>0</v>
      </c>
      <c r="I43" s="8">
        <f t="shared" si="2"/>
        <v>0</v>
      </c>
      <c r="J43" s="8">
        <f t="shared" si="2"/>
        <v>0</v>
      </c>
      <c r="K43" s="8"/>
      <c r="L43" s="77"/>
    </row>
    <row r="44" spans="1:12" x14ac:dyDescent="0.25">
      <c r="A44" s="5">
        <f t="shared" si="1"/>
        <v>2.003300000000007</v>
      </c>
      <c r="B44" s="77"/>
      <c r="C44" s="76" t="s">
        <v>1098</v>
      </c>
      <c r="D44" s="77"/>
      <c r="E44" s="77"/>
      <c r="F44" s="8" t="s">
        <v>5</v>
      </c>
      <c r="G44" s="8">
        <f t="shared" si="2"/>
        <v>1</v>
      </c>
      <c r="H44" s="8">
        <f t="shared" si="2"/>
        <v>0</v>
      </c>
      <c r="I44" s="8">
        <f t="shared" si="2"/>
        <v>0</v>
      </c>
      <c r="J44" s="8">
        <f t="shared" si="2"/>
        <v>0</v>
      </c>
      <c r="K44" s="8"/>
      <c r="L44" s="77"/>
    </row>
    <row r="45" spans="1:12" x14ac:dyDescent="0.25">
      <c r="A45" s="5">
        <f t="shared" si="1"/>
        <v>2.0034000000000072</v>
      </c>
      <c r="B45" s="77"/>
      <c r="C45" s="76" t="s">
        <v>817</v>
      </c>
      <c r="D45" s="77"/>
      <c r="E45" s="77"/>
      <c r="F45" s="8" t="s">
        <v>5</v>
      </c>
      <c r="G45" s="8">
        <f t="shared" si="2"/>
        <v>1</v>
      </c>
      <c r="H45" s="8">
        <f t="shared" si="2"/>
        <v>0</v>
      </c>
      <c r="I45" s="8">
        <f t="shared" si="2"/>
        <v>0</v>
      </c>
      <c r="J45" s="8">
        <f t="shared" si="2"/>
        <v>0</v>
      </c>
      <c r="K45" s="8"/>
      <c r="L45" s="77"/>
    </row>
    <row r="46" spans="1:12" x14ac:dyDescent="0.25">
      <c r="A46" s="5">
        <f t="shared" si="1"/>
        <v>2.0035000000000074</v>
      </c>
      <c r="B46" s="77"/>
      <c r="C46" s="76" t="s">
        <v>818</v>
      </c>
      <c r="D46" s="77"/>
      <c r="E46" s="77"/>
      <c r="F46" s="8" t="s">
        <v>5</v>
      </c>
      <c r="G46" s="8">
        <f t="shared" si="2"/>
        <v>1</v>
      </c>
      <c r="H46" s="8">
        <f t="shared" si="2"/>
        <v>0</v>
      </c>
      <c r="I46" s="8">
        <f t="shared" si="2"/>
        <v>0</v>
      </c>
      <c r="J46" s="8">
        <f t="shared" si="2"/>
        <v>0</v>
      </c>
      <c r="K46" s="8"/>
      <c r="L46" s="77"/>
    </row>
    <row r="47" spans="1:12" x14ac:dyDescent="0.25">
      <c r="A47" s="5">
        <f t="shared" si="1"/>
        <v>2.0036000000000076</v>
      </c>
      <c r="B47" s="77"/>
      <c r="C47" s="76" t="s">
        <v>819</v>
      </c>
      <c r="D47" s="77" t="s">
        <v>820</v>
      </c>
      <c r="E47" s="77"/>
      <c r="F47" s="8" t="s">
        <v>5</v>
      </c>
      <c r="G47" s="8">
        <f t="shared" si="2"/>
        <v>1</v>
      </c>
      <c r="H47" s="8">
        <f t="shared" si="2"/>
        <v>0</v>
      </c>
      <c r="I47" s="8">
        <f t="shared" si="2"/>
        <v>0</v>
      </c>
      <c r="J47" s="8">
        <f t="shared" si="2"/>
        <v>0</v>
      </c>
      <c r="K47" s="8"/>
      <c r="L47" s="77"/>
    </row>
    <row r="48" spans="1:12" x14ac:dyDescent="0.25">
      <c r="A48" s="5">
        <f t="shared" si="1"/>
        <v>2.0037000000000078</v>
      </c>
      <c r="B48" s="77"/>
      <c r="C48" s="76" t="s">
        <v>813</v>
      </c>
      <c r="D48" s="77"/>
      <c r="E48" s="77"/>
      <c r="F48" s="8" t="s">
        <v>5</v>
      </c>
      <c r="G48" s="8">
        <f t="shared" si="2"/>
        <v>1</v>
      </c>
      <c r="H48" s="8">
        <f t="shared" si="2"/>
        <v>0</v>
      </c>
      <c r="I48" s="8">
        <f t="shared" si="2"/>
        <v>0</v>
      </c>
      <c r="J48" s="8">
        <f t="shared" si="2"/>
        <v>0</v>
      </c>
      <c r="K48" s="8"/>
      <c r="L48" s="77"/>
    </row>
    <row r="49" spans="1:12" x14ac:dyDescent="0.25">
      <c r="A49" s="5">
        <f t="shared" si="1"/>
        <v>2.003800000000008</v>
      </c>
      <c r="B49" s="77"/>
      <c r="C49" s="76" t="s">
        <v>821</v>
      </c>
      <c r="D49" s="77"/>
      <c r="E49" s="77"/>
      <c r="F49" s="8" t="s">
        <v>5</v>
      </c>
      <c r="G49" s="8">
        <f t="shared" si="2"/>
        <v>1</v>
      </c>
      <c r="H49" s="8">
        <f t="shared" si="2"/>
        <v>0</v>
      </c>
      <c r="I49" s="8">
        <f t="shared" si="2"/>
        <v>0</v>
      </c>
      <c r="J49" s="8">
        <f t="shared" si="2"/>
        <v>0</v>
      </c>
      <c r="K49" s="8"/>
      <c r="L49" s="77"/>
    </row>
    <row r="50" spans="1:12" x14ac:dyDescent="0.25">
      <c r="A50" s="5">
        <f t="shared" si="1"/>
        <v>2.0039000000000082</v>
      </c>
      <c r="B50" s="77"/>
      <c r="C50" s="76" t="s">
        <v>822</v>
      </c>
      <c r="D50" s="77"/>
      <c r="E50" s="77"/>
      <c r="F50" s="8" t="s">
        <v>5</v>
      </c>
      <c r="G50" s="8">
        <f t="shared" si="2"/>
        <v>1</v>
      </c>
      <c r="H50" s="8">
        <f t="shared" si="2"/>
        <v>0</v>
      </c>
      <c r="I50" s="8">
        <f t="shared" si="2"/>
        <v>0</v>
      </c>
      <c r="J50" s="8">
        <f t="shared" si="2"/>
        <v>0</v>
      </c>
      <c r="K50" s="8"/>
      <c r="L50" s="77"/>
    </row>
    <row r="51" spans="1:12" x14ac:dyDescent="0.25">
      <c r="A51" s="5">
        <f t="shared" si="1"/>
        <v>2.0040000000000084</v>
      </c>
      <c r="B51" s="76"/>
      <c r="C51" s="76" t="s">
        <v>823</v>
      </c>
      <c r="D51" s="77"/>
      <c r="E51" s="77"/>
      <c r="F51" s="8" t="s">
        <v>5</v>
      </c>
      <c r="G51" s="8">
        <f t="shared" si="2"/>
        <v>1</v>
      </c>
      <c r="H51" s="8">
        <f t="shared" si="2"/>
        <v>0</v>
      </c>
      <c r="I51" s="8">
        <f t="shared" si="2"/>
        <v>0</v>
      </c>
      <c r="J51" s="8">
        <f t="shared" si="2"/>
        <v>0</v>
      </c>
      <c r="K51" s="8"/>
      <c r="L51" s="77"/>
    </row>
    <row r="52" spans="1:12" s="20" customFormat="1" x14ac:dyDescent="0.25">
      <c r="A52" s="16">
        <v>3</v>
      </c>
      <c r="B52" s="79" t="s">
        <v>1064</v>
      </c>
      <c r="C52" s="80" t="s">
        <v>1065</v>
      </c>
      <c r="D52" s="79"/>
      <c r="E52" s="79"/>
      <c r="F52" s="19"/>
      <c r="G52" s="19"/>
      <c r="H52" s="19"/>
      <c r="I52" s="19"/>
      <c r="J52" s="19"/>
      <c r="K52" s="19"/>
      <c r="L52" s="79"/>
    </row>
    <row r="53" spans="1:12" s="108" customFormat="1" ht="38.25" x14ac:dyDescent="0.25">
      <c r="A53" s="5">
        <f>A52+0.0001</f>
        <v>3.0001000000000002</v>
      </c>
      <c r="B53" s="113" t="s">
        <v>1092</v>
      </c>
      <c r="C53" s="114" t="s">
        <v>1080</v>
      </c>
      <c r="D53" s="77" t="s">
        <v>1090</v>
      </c>
      <c r="E53" s="106"/>
      <c r="F53" s="8" t="s">
        <v>7</v>
      </c>
      <c r="G53" s="8">
        <f>IF($F53=G$1,1,0)</f>
        <v>0</v>
      </c>
      <c r="H53" s="8">
        <f>IF($F53=H$1,1,0)</f>
        <v>0</v>
      </c>
      <c r="I53" s="8">
        <f>IF($F53=I$1,1,0)</f>
        <v>0</v>
      </c>
      <c r="J53" s="8">
        <f>IF($F53=J$1,1,0)</f>
        <v>1</v>
      </c>
      <c r="K53" s="8"/>
      <c r="L53" s="77"/>
    </row>
    <row r="54" spans="1:12" s="20" customFormat="1" x14ac:dyDescent="0.25">
      <c r="A54" s="16">
        <v>4</v>
      </c>
      <c r="B54" s="79" t="s">
        <v>832</v>
      </c>
      <c r="C54" s="80"/>
      <c r="D54" s="79"/>
      <c r="E54" s="79"/>
      <c r="F54" s="19"/>
      <c r="G54" s="19"/>
      <c r="H54" s="19"/>
      <c r="I54" s="19"/>
      <c r="J54" s="19"/>
      <c r="K54" s="19"/>
      <c r="L54" s="79"/>
    </row>
    <row r="55" spans="1:12" ht="15.75" customHeight="1" x14ac:dyDescent="0.25">
      <c r="A55" s="5">
        <v>4.0000999999999998</v>
      </c>
      <c r="B55" s="76" t="s">
        <v>1051</v>
      </c>
      <c r="C55" s="76" t="s">
        <v>833</v>
      </c>
      <c r="D55" s="77"/>
      <c r="E55" s="77"/>
      <c r="F55" s="8" t="s">
        <v>5</v>
      </c>
      <c r="G55" s="8">
        <f t="shared" ref="G55:J60" si="3">IF($F55=G$1,1,0)</f>
        <v>1</v>
      </c>
      <c r="H55" s="8">
        <f t="shared" si="3"/>
        <v>0</v>
      </c>
      <c r="I55" s="8">
        <f t="shared" si="3"/>
        <v>0</v>
      </c>
      <c r="J55" s="8">
        <f t="shared" si="3"/>
        <v>0</v>
      </c>
      <c r="K55" s="8"/>
      <c r="L55" s="77"/>
    </row>
    <row r="56" spans="1:12" x14ac:dyDescent="0.25">
      <c r="A56" s="5">
        <v>4.0002000000000004</v>
      </c>
      <c r="B56" s="76" t="s">
        <v>834</v>
      </c>
      <c r="C56" s="76" t="s">
        <v>1052</v>
      </c>
      <c r="D56" s="77"/>
      <c r="E56" s="77"/>
      <c r="F56" s="8" t="s">
        <v>5</v>
      </c>
      <c r="G56" s="8">
        <f t="shared" si="3"/>
        <v>1</v>
      </c>
      <c r="H56" s="8">
        <f t="shared" si="3"/>
        <v>0</v>
      </c>
      <c r="I56" s="8">
        <f t="shared" si="3"/>
        <v>0</v>
      </c>
      <c r="J56" s="8">
        <f t="shared" si="3"/>
        <v>0</v>
      </c>
      <c r="K56" s="8"/>
      <c r="L56" s="77"/>
    </row>
    <row r="57" spans="1:12" x14ac:dyDescent="0.25">
      <c r="A57" s="5">
        <v>4.0003000000000002</v>
      </c>
      <c r="B57" s="76" t="s">
        <v>835</v>
      </c>
      <c r="C57" s="76" t="s">
        <v>837</v>
      </c>
      <c r="D57" s="77"/>
      <c r="E57" s="77"/>
      <c r="F57" s="8" t="s">
        <v>5</v>
      </c>
      <c r="G57" s="8">
        <f t="shared" si="3"/>
        <v>1</v>
      </c>
      <c r="H57" s="8">
        <f t="shared" si="3"/>
        <v>0</v>
      </c>
      <c r="I57" s="8">
        <f t="shared" si="3"/>
        <v>0</v>
      </c>
      <c r="J57" s="8">
        <f t="shared" si="3"/>
        <v>0</v>
      </c>
      <c r="K57" s="8"/>
      <c r="L57" s="77"/>
    </row>
    <row r="58" spans="1:12" ht="25.5" x14ac:dyDescent="0.25">
      <c r="A58" s="5">
        <v>4.0004</v>
      </c>
      <c r="B58" s="76" t="s">
        <v>1053</v>
      </c>
      <c r="C58" s="76" t="s">
        <v>833</v>
      </c>
      <c r="D58" s="77"/>
      <c r="E58" s="77"/>
      <c r="F58" s="8" t="s">
        <v>5</v>
      </c>
      <c r="G58" s="8">
        <f t="shared" si="3"/>
        <v>1</v>
      </c>
      <c r="H58" s="8">
        <f t="shared" si="3"/>
        <v>0</v>
      </c>
      <c r="I58" s="8">
        <f t="shared" si="3"/>
        <v>0</v>
      </c>
      <c r="J58" s="8">
        <f t="shared" si="3"/>
        <v>0</v>
      </c>
      <c r="K58" s="8"/>
      <c r="L58" s="77"/>
    </row>
    <row r="59" spans="1:12" x14ac:dyDescent="0.25">
      <c r="A59" s="5">
        <v>4.0004999999999997</v>
      </c>
      <c r="B59" s="76" t="s">
        <v>834</v>
      </c>
      <c r="C59" s="76" t="s">
        <v>1054</v>
      </c>
      <c r="D59" s="77"/>
      <c r="E59" s="77"/>
      <c r="F59" s="8" t="s">
        <v>5</v>
      </c>
      <c r="G59" s="8">
        <f t="shared" si="3"/>
        <v>1</v>
      </c>
      <c r="H59" s="8">
        <f t="shared" si="3"/>
        <v>0</v>
      </c>
      <c r="I59" s="8">
        <f t="shared" si="3"/>
        <v>0</v>
      </c>
      <c r="J59" s="8">
        <f t="shared" si="3"/>
        <v>0</v>
      </c>
      <c r="K59" s="8"/>
      <c r="L59" s="77"/>
    </row>
    <row r="60" spans="1:12" x14ac:dyDescent="0.25">
      <c r="A60" s="5">
        <v>4.0006000000000004</v>
      </c>
      <c r="B60" s="76" t="s">
        <v>835</v>
      </c>
      <c r="C60" s="76" t="s">
        <v>837</v>
      </c>
      <c r="D60" s="77"/>
      <c r="E60" s="77"/>
      <c r="F60" s="8" t="s">
        <v>5</v>
      </c>
      <c r="G60" s="8">
        <f t="shared" si="3"/>
        <v>1</v>
      </c>
      <c r="H60" s="8">
        <f t="shared" si="3"/>
        <v>0</v>
      </c>
      <c r="I60" s="8">
        <f t="shared" si="3"/>
        <v>0</v>
      </c>
      <c r="J60" s="8">
        <f t="shared" si="3"/>
        <v>0</v>
      </c>
      <c r="K60" s="8"/>
      <c r="L60" s="77"/>
    </row>
    <row r="61" spans="1:12" ht="15.75" thickBot="1" x14ac:dyDescent="0.3">
      <c r="A61" s="84"/>
      <c r="B61" s="98"/>
      <c r="C61" s="86"/>
      <c r="G61" s="2">
        <f>SUM(G3:G60)</f>
        <v>50</v>
      </c>
      <c r="H61" s="2">
        <f>SUM(H3:H60)</f>
        <v>0</v>
      </c>
      <c r="I61" s="2">
        <f>SUM(I3:I60)</f>
        <v>0</v>
      </c>
      <c r="J61" s="2">
        <f>SUM(J3:J60)</f>
        <v>4</v>
      </c>
      <c r="K61" s="2">
        <f>SUM(K3:K60)</f>
        <v>0</v>
      </c>
    </row>
    <row r="62" spans="1:12" ht="15.75" thickTop="1" x14ac:dyDescent="0.25">
      <c r="A62" s="84"/>
      <c r="B62" s="85"/>
      <c r="C62" s="86"/>
    </row>
    <row r="63" spans="1:12" x14ac:dyDescent="0.25">
      <c r="A63" s="84"/>
      <c r="B63" s="86"/>
      <c r="C63" s="86"/>
    </row>
    <row r="64" spans="1:12" x14ac:dyDescent="0.25">
      <c r="A64" s="84"/>
      <c r="B64" s="87"/>
      <c r="C64" s="87"/>
    </row>
    <row r="65" spans="1:3" x14ac:dyDescent="0.25">
      <c r="A65" s="84"/>
      <c r="B65" s="87"/>
      <c r="C65" s="87"/>
    </row>
    <row r="66" spans="1:3" x14ac:dyDescent="0.25">
      <c r="A66" s="84"/>
    </row>
    <row r="67" spans="1:3" x14ac:dyDescent="0.25">
      <c r="A67" s="84"/>
    </row>
    <row r="68" spans="1:3" x14ac:dyDescent="0.25">
      <c r="A68" s="84"/>
    </row>
    <row r="69" spans="1:3" x14ac:dyDescent="0.25">
      <c r="A69" s="84"/>
    </row>
    <row r="70" spans="1:3" x14ac:dyDescent="0.25">
      <c r="A70" s="84"/>
    </row>
    <row r="71" spans="1:3" x14ac:dyDescent="0.25">
      <c r="A71" s="84"/>
    </row>
    <row r="72" spans="1:3" x14ac:dyDescent="0.25">
      <c r="A72" s="84"/>
    </row>
    <row r="73" spans="1:3" x14ac:dyDescent="0.25">
      <c r="A73" s="84"/>
    </row>
    <row r="74" spans="1:3" x14ac:dyDescent="0.25">
      <c r="A74" s="84"/>
    </row>
    <row r="75" spans="1:3" x14ac:dyDescent="0.25">
      <c r="A75" s="84"/>
    </row>
    <row r="76" spans="1:3" x14ac:dyDescent="0.25">
      <c r="A76" s="84"/>
    </row>
    <row r="77" spans="1:3" x14ac:dyDescent="0.25">
      <c r="A77" s="84"/>
    </row>
    <row r="78" spans="1:3" x14ac:dyDescent="0.25">
      <c r="A78" s="84"/>
    </row>
    <row r="79" spans="1:3" x14ac:dyDescent="0.25">
      <c r="A79" s="84"/>
    </row>
    <row r="80" spans="1:3" x14ac:dyDescent="0.25">
      <c r="A80" s="84"/>
    </row>
    <row r="81" spans="1:1" x14ac:dyDescent="0.25">
      <c r="A81" s="84"/>
    </row>
    <row r="82" spans="1:1" x14ac:dyDescent="0.25">
      <c r="A82" s="84"/>
    </row>
    <row r="83" spans="1:1" x14ac:dyDescent="0.25">
      <c r="A83" s="84"/>
    </row>
    <row r="84" spans="1:1" x14ac:dyDescent="0.25">
      <c r="A84" s="84"/>
    </row>
    <row r="85" spans="1:1" x14ac:dyDescent="0.25">
      <c r="A85" s="84"/>
    </row>
    <row r="86" spans="1:1" x14ac:dyDescent="0.25">
      <c r="A86" s="84"/>
    </row>
    <row r="87" spans="1:1" x14ac:dyDescent="0.25">
      <c r="A87" s="84"/>
    </row>
    <row r="88" spans="1:1" x14ac:dyDescent="0.25">
      <c r="A88" s="97"/>
    </row>
    <row r="89" spans="1:1" x14ac:dyDescent="0.25">
      <c r="A89" s="97"/>
    </row>
  </sheetData>
  <mergeCells count="1">
    <mergeCell ref="B2:C2"/>
  </mergeCells>
  <conditionalFormatting sqref="D3:F3 K3:L3 B10:C10 D20:E20 B19:C20 B16:C16 B17:E18 B23:C24 C22 C21:E21 B61:L80 B42:E43 D44:D50 B44:C51 E44:E51 D8:L10 D4:E7 K58:L60 B58:E60 B30:E39 A3:A51 F12:L51">
    <cfRule type="expression" dxfId="355" priority="67">
      <formula>$F3="Fail"</formula>
    </cfRule>
  </conditionalFormatting>
  <conditionalFormatting sqref="D12:E14 D11:K11 D19:E19">
    <cfRule type="expression" dxfId="354" priority="66">
      <formula>$F11="Fail"</formula>
    </cfRule>
  </conditionalFormatting>
  <conditionalFormatting sqref="D28:E28 E40:E41">
    <cfRule type="expression" dxfId="353" priority="65">
      <formula>$F28="Fail"</formula>
    </cfRule>
  </conditionalFormatting>
  <conditionalFormatting sqref="D22:E27">
    <cfRule type="expression" dxfId="352" priority="64">
      <formula>$F22="Fail"</formula>
    </cfRule>
  </conditionalFormatting>
  <conditionalFormatting sqref="D16:E16">
    <cfRule type="expression" dxfId="351" priority="63">
      <formula>$F16="Fail"</formula>
    </cfRule>
  </conditionalFormatting>
  <conditionalFormatting sqref="D15:E15">
    <cfRule type="expression" dxfId="350" priority="62">
      <formula>$F15="Fail"</formula>
    </cfRule>
  </conditionalFormatting>
  <conditionalFormatting sqref="L11">
    <cfRule type="expression" dxfId="349" priority="61">
      <formula>$F11="Fail"</formula>
    </cfRule>
  </conditionalFormatting>
  <conditionalFormatting sqref="B3:C3">
    <cfRule type="expression" dxfId="348" priority="60">
      <formula>$F3="Fail"</formula>
    </cfRule>
  </conditionalFormatting>
  <conditionalFormatting sqref="B23:C28">
    <cfRule type="expression" dxfId="347" priority="57">
      <formula>$F23="Fail"</formula>
    </cfRule>
  </conditionalFormatting>
  <conditionalFormatting sqref="B16:C16">
    <cfRule type="expression" dxfId="346" priority="56">
      <formula>$F16="Fail"</formula>
    </cfRule>
  </conditionalFormatting>
  <conditionalFormatting sqref="B15">
    <cfRule type="expression" dxfId="345" priority="55">
      <formula>$F15="Fail"</formula>
    </cfRule>
  </conditionalFormatting>
  <conditionalFormatting sqref="C10">
    <cfRule type="expression" dxfId="344" priority="53">
      <formula>$F10="Fail"</formula>
    </cfRule>
  </conditionalFormatting>
  <conditionalFormatting sqref="B4:C5 B9:C9 B15">
    <cfRule type="expression" dxfId="343" priority="59">
      <formula>$F4="Fail"</formula>
    </cfRule>
  </conditionalFormatting>
  <conditionalFormatting sqref="C11 B12:C13 B14">
    <cfRule type="expression" dxfId="342" priority="58">
      <formula>$F11="Fail"</formula>
    </cfRule>
  </conditionalFormatting>
  <conditionalFormatting sqref="B9:B10">
    <cfRule type="expression" dxfId="341" priority="54">
      <formula>$F9="Fail"</formula>
    </cfRule>
  </conditionalFormatting>
  <conditionalFormatting sqref="B6:C8">
    <cfRule type="expression" dxfId="340" priority="52">
      <formula>$F6="Fail"</formula>
    </cfRule>
  </conditionalFormatting>
  <conditionalFormatting sqref="C9">
    <cfRule type="expression" dxfId="339" priority="51">
      <formula>$F9="Fail"</formula>
    </cfRule>
  </conditionalFormatting>
  <conditionalFormatting sqref="B62:C63">
    <cfRule type="expression" dxfId="338" priority="50">
      <formula>$F62="Fail"</formula>
    </cfRule>
  </conditionalFormatting>
  <conditionalFormatting sqref="B40:D41">
    <cfRule type="expression" dxfId="337" priority="47">
      <formula>$F40="Fail"</formula>
    </cfRule>
  </conditionalFormatting>
  <conditionalFormatting sqref="B11">
    <cfRule type="expression" dxfId="336" priority="48">
      <formula>$F11="Fail"</formula>
    </cfRule>
  </conditionalFormatting>
  <conditionalFormatting sqref="G3:J3">
    <cfRule type="expression" dxfId="335" priority="49">
      <formula>$F3="Fail"</formula>
    </cfRule>
  </conditionalFormatting>
  <conditionalFormatting sqref="B51:D51">
    <cfRule type="expression" dxfId="334" priority="46">
      <formula>$F51="Fail"</formula>
    </cfRule>
  </conditionalFormatting>
  <conditionalFormatting sqref="C40:C41">
    <cfRule type="expression" dxfId="333" priority="45">
      <formula>$F40="Fail"</formula>
    </cfRule>
  </conditionalFormatting>
  <conditionalFormatting sqref="G58:J58">
    <cfRule type="expression" dxfId="332" priority="37">
      <formula>$F58="Fail"</formula>
    </cfRule>
  </conditionalFormatting>
  <conditionalFormatting sqref="G59:J59">
    <cfRule type="expression" dxfId="331" priority="36">
      <formula>$F59="Fail"</formula>
    </cfRule>
  </conditionalFormatting>
  <conditionalFormatting sqref="G60:J60">
    <cfRule type="expression" dxfId="330" priority="35">
      <formula>$F60="Fail"</formula>
    </cfRule>
  </conditionalFormatting>
  <conditionalFormatting sqref="C14">
    <cfRule type="expression" dxfId="329" priority="33">
      <formula>$F14="Fail"</formula>
    </cfRule>
  </conditionalFormatting>
  <conditionalFormatting sqref="C14">
    <cfRule type="expression" dxfId="328" priority="34">
      <formula>$F14="Fail"</formula>
    </cfRule>
  </conditionalFormatting>
  <conditionalFormatting sqref="C15">
    <cfRule type="expression" dxfId="327" priority="31">
      <formula>$F15="Fail"</formula>
    </cfRule>
  </conditionalFormatting>
  <conditionalFormatting sqref="C15">
    <cfRule type="expression" dxfId="326" priority="32">
      <formula>$F15="Fail"</formula>
    </cfRule>
  </conditionalFormatting>
  <conditionalFormatting sqref="C29:E29">
    <cfRule type="expression" dxfId="325" priority="29">
      <formula>$F29="Fail"</formula>
    </cfRule>
  </conditionalFormatting>
  <conditionalFormatting sqref="B29">
    <cfRule type="expression" dxfId="324" priority="30">
      <formula>$F28="Fail"</formula>
    </cfRule>
  </conditionalFormatting>
  <conditionalFormatting sqref="A52">
    <cfRule type="expression" dxfId="323" priority="28">
      <formula>$F52="Fail"</formula>
    </cfRule>
  </conditionalFormatting>
  <conditionalFormatting sqref="D52:K52 E53">
    <cfRule type="expression" dxfId="322" priority="27">
      <formula>$F52="Fail"</formula>
    </cfRule>
  </conditionalFormatting>
  <conditionalFormatting sqref="L52">
    <cfRule type="expression" dxfId="321" priority="26">
      <formula>$F52="Fail"</formula>
    </cfRule>
  </conditionalFormatting>
  <conditionalFormatting sqref="B52">
    <cfRule type="expression" dxfId="320" priority="24">
      <formula>$F52="Fail"</formula>
    </cfRule>
  </conditionalFormatting>
  <conditionalFormatting sqref="A54">
    <cfRule type="expression" dxfId="319" priority="23">
      <formula>$F54="Fail"</formula>
    </cfRule>
  </conditionalFormatting>
  <conditionalFormatting sqref="D54:K54">
    <cfRule type="expression" dxfId="318" priority="22">
      <formula>$F54="Fail"</formula>
    </cfRule>
  </conditionalFormatting>
  <conditionalFormatting sqref="L54">
    <cfRule type="expression" dxfId="317" priority="21">
      <formula>$F54="Fail"</formula>
    </cfRule>
  </conditionalFormatting>
  <conditionalFormatting sqref="C54">
    <cfRule type="expression" dxfId="316" priority="20">
      <formula>$F54="Fail"</formula>
    </cfRule>
  </conditionalFormatting>
  <conditionalFormatting sqref="B54">
    <cfRule type="expression" dxfId="315" priority="19">
      <formula>$F54="Fail"</formula>
    </cfRule>
  </conditionalFormatting>
  <conditionalFormatting sqref="F4">
    <cfRule type="expression" dxfId="314" priority="18">
      <formula>$F4="Fail"</formula>
    </cfRule>
  </conditionalFormatting>
  <conditionalFormatting sqref="G4:L4">
    <cfRule type="expression" dxfId="313" priority="17">
      <formula>$F4="Fail"</formula>
    </cfRule>
  </conditionalFormatting>
  <conditionalFormatting sqref="F5:F7">
    <cfRule type="expression" dxfId="312" priority="16">
      <formula>$F5="Fail"</formula>
    </cfRule>
  </conditionalFormatting>
  <conditionalFormatting sqref="G5:L7">
    <cfRule type="expression" dxfId="311" priority="15">
      <formula>$F5="Fail"</formula>
    </cfRule>
  </conditionalFormatting>
  <conditionalFormatting sqref="K55:L57 A55:F55 B56:E57 A56:A87 F56:F60">
    <cfRule type="expression" dxfId="310" priority="14">
      <formula>$F55="Fail"</formula>
    </cfRule>
  </conditionalFormatting>
  <conditionalFormatting sqref="G55:J55">
    <cfRule type="expression" dxfId="309" priority="13">
      <formula>$F55="Fail"</formula>
    </cfRule>
  </conditionalFormatting>
  <conditionalFormatting sqref="G56:J56">
    <cfRule type="expression" dxfId="308" priority="12">
      <formula>$F56="Fail"</formula>
    </cfRule>
  </conditionalFormatting>
  <conditionalFormatting sqref="G57:J57">
    <cfRule type="expression" dxfId="307" priority="11">
      <formula>$F57="Fail"</formula>
    </cfRule>
  </conditionalFormatting>
  <conditionalFormatting sqref="C53">
    <cfRule type="expression" dxfId="306" priority="10">
      <formula>$F53="Fail"</formula>
    </cfRule>
  </conditionalFormatting>
  <conditionalFormatting sqref="B53">
    <cfRule type="expression" dxfId="305" priority="9">
      <formula>$F53="Fail"</formula>
    </cfRule>
  </conditionalFormatting>
  <conditionalFormatting sqref="C52">
    <cfRule type="expression" dxfId="304" priority="7">
      <formula>$F52="Fail"</formula>
    </cfRule>
  </conditionalFormatting>
  <conditionalFormatting sqref="D53">
    <cfRule type="expression" dxfId="303" priority="6">
      <formula>$F53="Fail"</formula>
    </cfRule>
  </conditionalFormatting>
  <conditionalFormatting sqref="A53">
    <cfRule type="expression" dxfId="302" priority="5">
      <formula>$F53="Fail"</formula>
    </cfRule>
  </conditionalFormatting>
  <conditionalFormatting sqref="L53">
    <cfRule type="expression" dxfId="301" priority="4">
      <formula>$F53="Fail"</formula>
    </cfRule>
  </conditionalFormatting>
  <conditionalFormatting sqref="K53">
    <cfRule type="expression" dxfId="300" priority="3">
      <formula>$F53="Fail"</formula>
    </cfRule>
  </conditionalFormatting>
  <conditionalFormatting sqref="G53:J53">
    <cfRule type="expression" dxfId="299" priority="2">
      <formula>$F53="Fail"</formula>
    </cfRule>
  </conditionalFormatting>
  <conditionalFormatting sqref="F53">
    <cfRule type="expression" dxfId="298" priority="1">
      <formula>$F53="Fail"</formula>
    </cfRule>
  </conditionalFormatting>
  <dataValidations count="1">
    <dataValidation type="list" allowBlank="1" showInputMessage="1" showErrorMessage="1" sqref="F3:F60">
      <formula1>$G$1:$K$1</formula1>
    </dataValidation>
  </dataValidations>
  <pageMargins left="0.7" right="0.7" top="0.75" bottom="0.75" header="0.3" footer="0.3"/>
  <pageSetup paperSize="9" scale="7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5_Click">
                <anchor moveWithCells="1">
                  <from>
                    <xdr:col>0</xdr:col>
                    <xdr:colOff>47625</xdr:colOff>
                    <xdr:row>0</xdr:row>
                    <xdr:rowOff>19050</xdr:rowOff>
                  </from>
                  <to>
                    <xdr:col>0</xdr:col>
                    <xdr:colOff>542925</xdr:colOff>
                    <xdr:row>0</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L140"/>
  <sheetViews>
    <sheetView topLeftCell="C1" zoomScaleNormal="100" workbookViewId="0">
      <pane ySplit="1" topLeftCell="A2" activePane="bottomLeft" state="frozen"/>
      <selection activeCell="C11" sqref="C11"/>
      <selection pane="bottomLeft" activeCell="D14" sqref="D14"/>
    </sheetView>
  </sheetViews>
  <sheetFormatPr defaultRowHeight="15" x14ac:dyDescent="0.25"/>
  <cols>
    <col min="1" max="1" width="11.28515625" style="4" bestFit="1" customWidth="1"/>
    <col min="2" max="2" width="67" style="1" customWidth="1"/>
    <col min="3" max="3" width="72.42578125" style="1" bestFit="1" customWidth="1"/>
    <col min="4" max="4" width="36" style="1" customWidth="1"/>
    <col min="5" max="5" width="6.5703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13</v>
      </c>
    </row>
    <row r="2" spans="1:12" s="105" customFormat="1" x14ac:dyDescent="0.25">
      <c r="A2" s="179" t="s">
        <v>1084</v>
      </c>
      <c r="B2" s="181"/>
      <c r="C2" s="182"/>
      <c r="D2" s="118" t="s">
        <v>1069</v>
      </c>
      <c r="E2" s="11"/>
      <c r="F2" s="118"/>
      <c r="G2" s="118"/>
      <c r="H2" s="118"/>
      <c r="I2" s="118"/>
      <c r="J2" s="118"/>
      <c r="K2" s="118"/>
      <c r="L2" s="118"/>
    </row>
    <row r="3" spans="1:12" s="20" customFormat="1" x14ac:dyDescent="0.25">
      <c r="A3" s="16">
        <v>1</v>
      </c>
      <c r="B3" s="79" t="s">
        <v>798</v>
      </c>
      <c r="C3" s="80"/>
      <c r="D3" s="79"/>
      <c r="E3" s="79"/>
      <c r="F3" s="19"/>
      <c r="G3" s="19"/>
      <c r="H3" s="19"/>
      <c r="I3" s="19"/>
      <c r="J3" s="19"/>
      <c r="K3" s="19"/>
      <c r="L3" s="79"/>
    </row>
    <row r="4" spans="1:12" x14ac:dyDescent="0.25">
      <c r="A4" s="5">
        <f t="shared" ref="A4:A8" si="0">A3+0.0001</f>
        <v>1.0001</v>
      </c>
      <c r="B4" s="76" t="s">
        <v>785</v>
      </c>
      <c r="C4" s="78"/>
      <c r="D4" s="77"/>
      <c r="E4" s="76"/>
      <c r="F4" s="8" t="s">
        <v>7</v>
      </c>
      <c r="G4" s="8">
        <f t="shared" ref="G4:J15" si="1">IF($F4=G$1,1,0)</f>
        <v>0</v>
      </c>
      <c r="H4" s="8">
        <f t="shared" si="1"/>
        <v>0</v>
      </c>
      <c r="I4" s="8">
        <f t="shared" si="1"/>
        <v>0</v>
      </c>
      <c r="J4" s="8">
        <f t="shared" si="1"/>
        <v>1</v>
      </c>
      <c r="K4" s="8"/>
      <c r="L4" s="77"/>
    </row>
    <row r="5" spans="1:12" x14ac:dyDescent="0.25">
      <c r="A5" s="5">
        <f t="shared" si="0"/>
        <v>1.0002</v>
      </c>
      <c r="B5" s="82" t="s">
        <v>780</v>
      </c>
      <c r="C5" s="78" t="s">
        <v>781</v>
      </c>
      <c r="D5" s="77"/>
      <c r="E5" s="76"/>
      <c r="F5" s="8" t="s">
        <v>7</v>
      </c>
      <c r="G5" s="8">
        <f t="shared" si="1"/>
        <v>0</v>
      </c>
      <c r="H5" s="8">
        <f t="shared" si="1"/>
        <v>0</v>
      </c>
      <c r="I5" s="8">
        <f t="shared" si="1"/>
        <v>0</v>
      </c>
      <c r="J5" s="8">
        <f t="shared" si="1"/>
        <v>1</v>
      </c>
      <c r="K5" s="8"/>
      <c r="L5" s="77"/>
    </row>
    <row r="6" spans="1:12" x14ac:dyDescent="0.25">
      <c r="A6" s="5">
        <f t="shared" si="0"/>
        <v>1.0003</v>
      </c>
      <c r="B6" s="82" t="s">
        <v>783</v>
      </c>
      <c r="C6" s="78" t="s">
        <v>784</v>
      </c>
      <c r="D6" s="77"/>
      <c r="E6" s="76"/>
      <c r="F6" s="8" t="s">
        <v>7</v>
      </c>
      <c r="G6" s="8">
        <f t="shared" si="1"/>
        <v>0</v>
      </c>
      <c r="H6" s="8">
        <f t="shared" si="1"/>
        <v>0</v>
      </c>
      <c r="I6" s="8">
        <f t="shared" si="1"/>
        <v>0</v>
      </c>
      <c r="J6" s="8">
        <f t="shared" si="1"/>
        <v>1</v>
      </c>
      <c r="K6" s="8"/>
      <c r="L6" s="77"/>
    </row>
    <row r="7" spans="1:12" x14ac:dyDescent="0.25">
      <c r="A7" s="5">
        <f t="shared" si="0"/>
        <v>1.0004</v>
      </c>
      <c r="B7" s="76"/>
      <c r="C7" s="78" t="s">
        <v>782</v>
      </c>
      <c r="D7" s="77"/>
      <c r="E7" s="76"/>
      <c r="F7" s="8" t="s">
        <v>7</v>
      </c>
      <c r="G7" s="8">
        <f t="shared" si="1"/>
        <v>0</v>
      </c>
      <c r="H7" s="8">
        <f t="shared" si="1"/>
        <v>0</v>
      </c>
      <c r="I7" s="8">
        <f t="shared" si="1"/>
        <v>0</v>
      </c>
      <c r="J7" s="8">
        <f t="shared" si="1"/>
        <v>1</v>
      </c>
      <c r="K7" s="8"/>
      <c r="L7" s="77"/>
    </row>
    <row r="8" spans="1:12" x14ac:dyDescent="0.25">
      <c r="A8" s="5">
        <f t="shared" si="0"/>
        <v>1.0004999999999999</v>
      </c>
      <c r="B8" s="76"/>
      <c r="C8" s="78" t="s">
        <v>787</v>
      </c>
      <c r="D8" s="77"/>
      <c r="E8" s="76"/>
      <c r="F8" s="8" t="s">
        <v>7</v>
      </c>
      <c r="G8" s="8">
        <f t="shared" si="1"/>
        <v>0</v>
      </c>
      <c r="H8" s="8">
        <f t="shared" si="1"/>
        <v>0</v>
      </c>
      <c r="I8" s="8">
        <f t="shared" si="1"/>
        <v>0</v>
      </c>
      <c r="J8" s="8">
        <f t="shared" si="1"/>
        <v>1</v>
      </c>
      <c r="K8" s="8"/>
      <c r="L8" s="77"/>
    </row>
    <row r="9" spans="1:12" s="20" customFormat="1" x14ac:dyDescent="0.25">
      <c r="A9" s="16">
        <v>2</v>
      </c>
      <c r="B9" s="79" t="s">
        <v>800</v>
      </c>
      <c r="C9" s="80"/>
      <c r="D9" s="79"/>
      <c r="E9" s="79"/>
      <c r="F9" s="19"/>
      <c r="G9" s="19"/>
      <c r="H9" s="19"/>
      <c r="I9" s="19"/>
      <c r="J9" s="19"/>
      <c r="K9" s="19"/>
      <c r="L9" s="79"/>
    </row>
    <row r="10" spans="1:12" ht="27" customHeight="1" x14ac:dyDescent="0.25">
      <c r="A10" s="5">
        <f t="shared" ref="A10:A73" si="2">A9+0.0001</f>
        <v>2.0001000000000002</v>
      </c>
      <c r="B10" s="82" t="s">
        <v>757</v>
      </c>
      <c r="C10" s="78" t="s">
        <v>758</v>
      </c>
      <c r="D10" s="77"/>
      <c r="E10" s="76"/>
      <c r="F10" s="8" t="s">
        <v>7</v>
      </c>
      <c r="G10" s="8">
        <f t="shared" si="1"/>
        <v>0</v>
      </c>
      <c r="H10" s="8">
        <f t="shared" si="1"/>
        <v>0</v>
      </c>
      <c r="I10" s="8">
        <f t="shared" si="1"/>
        <v>0</v>
      </c>
      <c r="J10" s="8">
        <f t="shared" si="1"/>
        <v>1</v>
      </c>
      <c r="K10" s="8"/>
      <c r="L10" s="77"/>
    </row>
    <row r="11" spans="1:12" ht="24.75" customHeight="1" x14ac:dyDescent="0.25">
      <c r="A11" s="5">
        <f t="shared" si="2"/>
        <v>2.0002000000000004</v>
      </c>
      <c r="B11" s="76" t="s">
        <v>759</v>
      </c>
      <c r="C11" s="78" t="s">
        <v>760</v>
      </c>
      <c r="D11" s="77"/>
      <c r="E11" s="76"/>
      <c r="F11" s="8" t="s">
        <v>7</v>
      </c>
      <c r="G11" s="8">
        <f t="shared" si="1"/>
        <v>0</v>
      </c>
      <c r="H11" s="8">
        <f t="shared" si="1"/>
        <v>0</v>
      </c>
      <c r="I11" s="8">
        <f t="shared" si="1"/>
        <v>0</v>
      </c>
      <c r="J11" s="8">
        <f t="shared" si="1"/>
        <v>1</v>
      </c>
      <c r="K11" s="8"/>
      <c r="L11" s="77"/>
    </row>
    <row r="12" spans="1:12" x14ac:dyDescent="0.25">
      <c r="A12" s="5">
        <f t="shared" si="2"/>
        <v>2.0003000000000006</v>
      </c>
      <c r="B12" s="76" t="s">
        <v>801</v>
      </c>
      <c r="C12" s="78" t="s">
        <v>799</v>
      </c>
      <c r="D12" s="77"/>
      <c r="E12" s="76"/>
      <c r="F12" s="8" t="s">
        <v>7</v>
      </c>
      <c r="G12" s="8">
        <f t="shared" si="1"/>
        <v>0</v>
      </c>
      <c r="H12" s="8">
        <f t="shared" si="1"/>
        <v>0</v>
      </c>
      <c r="I12" s="8">
        <f t="shared" si="1"/>
        <v>0</v>
      </c>
      <c r="J12" s="8">
        <f t="shared" si="1"/>
        <v>1</v>
      </c>
      <c r="K12" s="8"/>
      <c r="L12" s="77"/>
    </row>
    <row r="13" spans="1:12" x14ac:dyDescent="0.25">
      <c r="A13" s="5">
        <f t="shared" si="2"/>
        <v>2.0004000000000008</v>
      </c>
      <c r="B13" s="76" t="s">
        <v>803</v>
      </c>
      <c r="C13" s="78" t="s">
        <v>802</v>
      </c>
      <c r="D13" s="77"/>
      <c r="E13" s="76"/>
      <c r="F13" s="8" t="s">
        <v>7</v>
      </c>
      <c r="G13" s="8">
        <f t="shared" si="1"/>
        <v>0</v>
      </c>
      <c r="H13" s="8">
        <f t="shared" si="1"/>
        <v>0</v>
      </c>
      <c r="I13" s="8">
        <f t="shared" si="1"/>
        <v>0</v>
      </c>
      <c r="J13" s="8">
        <f t="shared" si="1"/>
        <v>1</v>
      </c>
      <c r="K13" s="8"/>
      <c r="L13" s="77"/>
    </row>
    <row r="14" spans="1:12" x14ac:dyDescent="0.25">
      <c r="A14" s="5">
        <f t="shared" si="2"/>
        <v>2.0005000000000011</v>
      </c>
      <c r="B14" s="76" t="s">
        <v>806</v>
      </c>
      <c r="C14" s="78" t="s">
        <v>761</v>
      </c>
      <c r="D14" s="77"/>
      <c r="E14" s="76"/>
      <c r="F14" s="8" t="s">
        <v>7</v>
      </c>
      <c r="G14" s="8">
        <f t="shared" si="1"/>
        <v>0</v>
      </c>
      <c r="H14" s="8">
        <f t="shared" si="1"/>
        <v>0</v>
      </c>
      <c r="I14" s="8">
        <f t="shared" si="1"/>
        <v>0</v>
      </c>
      <c r="J14" s="8">
        <f t="shared" si="1"/>
        <v>1</v>
      </c>
      <c r="K14" s="8"/>
      <c r="L14" s="77"/>
    </row>
    <row r="15" spans="1:12" x14ac:dyDescent="0.25">
      <c r="A15" s="5">
        <f t="shared" si="2"/>
        <v>2.0006000000000013</v>
      </c>
      <c r="B15" s="76" t="s">
        <v>788</v>
      </c>
      <c r="C15" s="78">
        <v>123456</v>
      </c>
      <c r="D15" s="77"/>
      <c r="E15" s="76"/>
      <c r="F15" s="8" t="s">
        <v>7</v>
      </c>
      <c r="G15" s="8">
        <f t="shared" si="1"/>
        <v>0</v>
      </c>
      <c r="H15" s="8">
        <f t="shared" si="1"/>
        <v>0</v>
      </c>
      <c r="I15" s="8">
        <f t="shared" si="1"/>
        <v>0</v>
      </c>
      <c r="J15" s="8">
        <f t="shared" si="1"/>
        <v>1</v>
      </c>
      <c r="K15" s="8"/>
      <c r="L15" s="77"/>
    </row>
    <row r="16" spans="1:12" x14ac:dyDescent="0.25">
      <c r="A16" s="5">
        <f t="shared" si="2"/>
        <v>2.0007000000000015</v>
      </c>
      <c r="B16" s="77" t="s">
        <v>762</v>
      </c>
      <c r="C16" s="76" t="s">
        <v>765</v>
      </c>
      <c r="D16" s="21"/>
      <c r="E16" s="76"/>
      <c r="F16" s="8" t="s">
        <v>7</v>
      </c>
      <c r="G16" s="8">
        <f t="shared" ref="G16:J30" si="3">IF($F16=G$1,1,0)</f>
        <v>0</v>
      </c>
      <c r="H16" s="8">
        <f t="shared" si="3"/>
        <v>0</v>
      </c>
      <c r="I16" s="8">
        <f t="shared" si="3"/>
        <v>0</v>
      </c>
      <c r="J16" s="8">
        <f t="shared" si="3"/>
        <v>1</v>
      </c>
      <c r="K16" s="8"/>
      <c r="L16" s="77"/>
    </row>
    <row r="17" spans="1:12" x14ac:dyDescent="0.25">
      <c r="A17" s="5">
        <f t="shared" si="2"/>
        <v>2.0008000000000017</v>
      </c>
      <c r="B17" s="77" t="s">
        <v>763</v>
      </c>
      <c r="C17" s="76" t="s">
        <v>764</v>
      </c>
      <c r="D17" s="77"/>
      <c r="E17" s="77"/>
      <c r="F17" s="8" t="s">
        <v>7</v>
      </c>
      <c r="G17" s="8">
        <f t="shared" si="3"/>
        <v>0</v>
      </c>
      <c r="H17" s="8">
        <f t="shared" si="3"/>
        <v>0</v>
      </c>
      <c r="I17" s="8">
        <f t="shared" si="3"/>
        <v>0</v>
      </c>
      <c r="J17" s="8">
        <f t="shared" si="3"/>
        <v>1</v>
      </c>
      <c r="K17" s="8"/>
      <c r="L17" s="77"/>
    </row>
    <row r="18" spans="1:12" x14ac:dyDescent="0.25">
      <c r="A18" s="5">
        <f t="shared" si="2"/>
        <v>2.0009000000000019</v>
      </c>
      <c r="B18" s="77" t="s">
        <v>766</v>
      </c>
      <c r="C18" s="76" t="s">
        <v>764</v>
      </c>
      <c r="D18" s="77"/>
      <c r="E18" s="77"/>
      <c r="F18" s="8" t="s">
        <v>7</v>
      </c>
      <c r="G18" s="8">
        <f t="shared" si="3"/>
        <v>0</v>
      </c>
      <c r="H18" s="8">
        <f t="shared" si="3"/>
        <v>0</v>
      </c>
      <c r="I18" s="8">
        <f t="shared" si="3"/>
        <v>0</v>
      </c>
      <c r="J18" s="8">
        <f t="shared" si="3"/>
        <v>1</v>
      </c>
      <c r="K18" s="8"/>
      <c r="L18" s="77"/>
    </row>
    <row r="19" spans="1:12" ht="61.5" customHeight="1" x14ac:dyDescent="0.25">
      <c r="A19" s="5">
        <f t="shared" si="2"/>
        <v>2.0010000000000021</v>
      </c>
      <c r="B19" s="76" t="s">
        <v>777</v>
      </c>
      <c r="C19" s="81" t="s">
        <v>804</v>
      </c>
      <c r="D19" s="77" t="s">
        <v>768</v>
      </c>
      <c r="E19" s="77"/>
      <c r="F19" s="8" t="s">
        <v>7</v>
      </c>
      <c r="G19" s="8">
        <f t="shared" si="3"/>
        <v>0</v>
      </c>
      <c r="H19" s="8">
        <f t="shared" si="3"/>
        <v>0</v>
      </c>
      <c r="I19" s="8">
        <f t="shared" si="3"/>
        <v>0</v>
      </c>
      <c r="J19" s="8">
        <f t="shared" si="3"/>
        <v>1</v>
      </c>
      <c r="K19" s="8"/>
      <c r="L19" s="77"/>
    </row>
    <row r="20" spans="1:12" x14ac:dyDescent="0.25">
      <c r="A20" s="5">
        <f t="shared" si="2"/>
        <v>2.0011000000000023</v>
      </c>
      <c r="B20" s="76" t="s">
        <v>778</v>
      </c>
      <c r="C20" s="76" t="s">
        <v>805</v>
      </c>
      <c r="D20" s="77" t="s">
        <v>831</v>
      </c>
      <c r="E20" s="77"/>
      <c r="F20" s="8" t="s">
        <v>7</v>
      </c>
      <c r="G20" s="8">
        <f t="shared" si="3"/>
        <v>0</v>
      </c>
      <c r="H20" s="8">
        <f t="shared" si="3"/>
        <v>0</v>
      </c>
      <c r="I20" s="8">
        <f t="shared" si="3"/>
        <v>0</v>
      </c>
      <c r="J20" s="8">
        <f t="shared" si="3"/>
        <v>1</v>
      </c>
      <c r="K20" s="8"/>
      <c r="L20" s="77"/>
    </row>
    <row r="21" spans="1:12" x14ac:dyDescent="0.25">
      <c r="A21" s="5">
        <f t="shared" si="2"/>
        <v>2.0012000000000025</v>
      </c>
      <c r="B21" s="76"/>
      <c r="C21" s="76" t="s">
        <v>807</v>
      </c>
      <c r="D21" s="77"/>
      <c r="E21" s="77"/>
      <c r="F21" s="8" t="s">
        <v>7</v>
      </c>
      <c r="G21" s="8">
        <f t="shared" si="3"/>
        <v>0</v>
      </c>
      <c r="H21" s="8">
        <f t="shared" si="3"/>
        <v>0</v>
      </c>
      <c r="I21" s="8">
        <f t="shared" si="3"/>
        <v>0</v>
      </c>
      <c r="J21" s="8">
        <f t="shared" si="3"/>
        <v>1</v>
      </c>
      <c r="K21" s="8"/>
      <c r="L21" s="77"/>
    </row>
    <row r="22" spans="1:12" x14ac:dyDescent="0.25">
      <c r="A22" s="5">
        <f t="shared" si="2"/>
        <v>2.0013000000000027</v>
      </c>
      <c r="B22" s="82" t="s">
        <v>775</v>
      </c>
      <c r="C22" s="76" t="s">
        <v>769</v>
      </c>
      <c r="D22" s="77"/>
      <c r="E22" s="77"/>
      <c r="F22" s="8" t="s">
        <v>7</v>
      </c>
      <c r="G22" s="8">
        <f t="shared" si="3"/>
        <v>0</v>
      </c>
      <c r="H22" s="8">
        <f t="shared" si="3"/>
        <v>0</v>
      </c>
      <c r="I22" s="8">
        <f t="shared" si="3"/>
        <v>0</v>
      </c>
      <c r="J22" s="8">
        <f t="shared" si="3"/>
        <v>1</v>
      </c>
      <c r="K22" s="8"/>
      <c r="L22" s="77"/>
    </row>
    <row r="23" spans="1:12" x14ac:dyDescent="0.25">
      <c r="A23" s="5">
        <f t="shared" si="2"/>
        <v>2.001400000000003</v>
      </c>
      <c r="B23" s="82"/>
      <c r="C23" s="76" t="s">
        <v>808</v>
      </c>
      <c r="D23" s="77" t="s">
        <v>809</v>
      </c>
      <c r="E23" s="77"/>
      <c r="F23" s="8" t="s">
        <v>7</v>
      </c>
      <c r="G23" s="8">
        <f t="shared" si="3"/>
        <v>0</v>
      </c>
      <c r="H23" s="8">
        <f t="shared" si="3"/>
        <v>0</v>
      </c>
      <c r="I23" s="8">
        <f t="shared" si="3"/>
        <v>0</v>
      </c>
      <c r="J23" s="8">
        <f t="shared" si="3"/>
        <v>1</v>
      </c>
      <c r="K23" s="8"/>
      <c r="L23" s="77"/>
    </row>
    <row r="24" spans="1:12" x14ac:dyDescent="0.25">
      <c r="A24" s="5">
        <f t="shared" si="2"/>
        <v>2.0015000000000032</v>
      </c>
      <c r="B24" s="76"/>
      <c r="C24" s="76" t="s">
        <v>770</v>
      </c>
      <c r="D24" s="77"/>
      <c r="E24" s="77"/>
      <c r="F24" s="8" t="s">
        <v>7</v>
      </c>
      <c r="G24" s="8">
        <f t="shared" si="3"/>
        <v>0</v>
      </c>
      <c r="H24" s="8">
        <f t="shared" si="3"/>
        <v>0</v>
      </c>
      <c r="I24" s="8">
        <f t="shared" si="3"/>
        <v>0</v>
      </c>
      <c r="J24" s="8">
        <f t="shared" si="3"/>
        <v>1</v>
      </c>
      <c r="K24" s="8"/>
      <c r="L24" s="77"/>
    </row>
    <row r="25" spans="1:12" x14ac:dyDescent="0.25">
      <c r="A25" s="5">
        <f t="shared" si="2"/>
        <v>2.0016000000000034</v>
      </c>
      <c r="B25" s="76"/>
      <c r="C25" s="76" t="s">
        <v>771</v>
      </c>
      <c r="D25" s="77"/>
      <c r="E25" s="77"/>
      <c r="F25" s="8" t="s">
        <v>7</v>
      </c>
      <c r="G25" s="8">
        <f t="shared" si="3"/>
        <v>0</v>
      </c>
      <c r="H25" s="8">
        <f t="shared" si="3"/>
        <v>0</v>
      </c>
      <c r="I25" s="8">
        <f t="shared" si="3"/>
        <v>0</v>
      </c>
      <c r="J25" s="8">
        <f t="shared" si="3"/>
        <v>1</v>
      </c>
      <c r="K25" s="8"/>
      <c r="L25" s="77"/>
    </row>
    <row r="26" spans="1:12" x14ac:dyDescent="0.25">
      <c r="A26" s="5">
        <f t="shared" si="2"/>
        <v>2.0017000000000036</v>
      </c>
      <c r="B26" s="76"/>
      <c r="C26" s="76" t="s">
        <v>772</v>
      </c>
      <c r="D26" s="77"/>
      <c r="E26" s="77"/>
      <c r="F26" s="8" t="s">
        <v>7</v>
      </c>
      <c r="G26" s="8">
        <f t="shared" si="3"/>
        <v>0</v>
      </c>
      <c r="H26" s="8">
        <f t="shared" si="3"/>
        <v>0</v>
      </c>
      <c r="I26" s="8">
        <f t="shared" si="3"/>
        <v>0</v>
      </c>
      <c r="J26" s="8">
        <f t="shared" si="3"/>
        <v>1</v>
      </c>
      <c r="K26" s="8"/>
      <c r="L26" s="77"/>
    </row>
    <row r="27" spans="1:12" x14ac:dyDescent="0.25">
      <c r="A27" s="5">
        <f t="shared" si="2"/>
        <v>2.0018000000000038</v>
      </c>
      <c r="B27" s="76"/>
      <c r="C27" s="76" t="s">
        <v>773</v>
      </c>
      <c r="D27" s="77"/>
      <c r="E27" s="77"/>
      <c r="F27" s="8" t="s">
        <v>7</v>
      </c>
      <c r="G27" s="8">
        <f t="shared" si="3"/>
        <v>0</v>
      </c>
      <c r="H27" s="8">
        <f t="shared" si="3"/>
        <v>0</v>
      </c>
      <c r="I27" s="8">
        <f t="shared" si="3"/>
        <v>0</v>
      </c>
      <c r="J27" s="8">
        <f t="shared" si="3"/>
        <v>1</v>
      </c>
      <c r="K27" s="8"/>
      <c r="L27" s="77"/>
    </row>
    <row r="28" spans="1:12" x14ac:dyDescent="0.25">
      <c r="A28" s="5">
        <f t="shared" si="2"/>
        <v>2.001900000000004</v>
      </c>
      <c r="B28" s="76"/>
      <c r="C28" s="76" t="s">
        <v>774</v>
      </c>
      <c r="D28" s="77"/>
      <c r="E28" s="77"/>
      <c r="F28" s="8" t="s">
        <v>7</v>
      </c>
      <c r="G28" s="8">
        <f t="shared" si="3"/>
        <v>0</v>
      </c>
      <c r="H28" s="8">
        <f t="shared" si="3"/>
        <v>0</v>
      </c>
      <c r="I28" s="8">
        <f t="shared" si="3"/>
        <v>0</v>
      </c>
      <c r="J28" s="8">
        <f t="shared" si="3"/>
        <v>1</v>
      </c>
      <c r="K28" s="8"/>
      <c r="L28" s="77"/>
    </row>
    <row r="29" spans="1:12" x14ac:dyDescent="0.25">
      <c r="A29" s="5">
        <f t="shared" si="2"/>
        <v>2.0020000000000042</v>
      </c>
      <c r="B29" s="82" t="s">
        <v>776</v>
      </c>
      <c r="C29" s="76" t="s">
        <v>779</v>
      </c>
      <c r="D29" s="77"/>
      <c r="E29" s="77"/>
      <c r="F29" s="8" t="s">
        <v>7</v>
      </c>
      <c r="G29" s="8">
        <f t="shared" si="3"/>
        <v>0</v>
      </c>
      <c r="H29" s="8">
        <f t="shared" si="3"/>
        <v>0</v>
      </c>
      <c r="I29" s="8">
        <f t="shared" si="3"/>
        <v>0</v>
      </c>
      <c r="J29" s="8">
        <f t="shared" si="3"/>
        <v>1</v>
      </c>
      <c r="K29" s="8"/>
      <c r="L29" s="77"/>
    </row>
    <row r="30" spans="1:12" x14ac:dyDescent="0.25">
      <c r="A30" s="5">
        <f t="shared" si="2"/>
        <v>2.0021000000000044</v>
      </c>
      <c r="B30" s="83" t="s">
        <v>797</v>
      </c>
      <c r="C30" s="82" t="s">
        <v>791</v>
      </c>
      <c r="D30" s="77"/>
      <c r="E30" s="77"/>
      <c r="F30" s="8" t="s">
        <v>7</v>
      </c>
      <c r="G30" s="8">
        <f t="shared" si="3"/>
        <v>0</v>
      </c>
      <c r="H30" s="8">
        <f t="shared" si="3"/>
        <v>0</v>
      </c>
      <c r="I30" s="8">
        <f t="shared" si="3"/>
        <v>0</v>
      </c>
      <c r="J30" s="8">
        <f t="shared" si="3"/>
        <v>1</v>
      </c>
      <c r="K30" s="8"/>
      <c r="L30" s="77"/>
    </row>
    <row r="31" spans="1:12" x14ac:dyDescent="0.25">
      <c r="A31" s="5">
        <f t="shared" si="2"/>
        <v>2.0022000000000046</v>
      </c>
      <c r="B31" s="77"/>
      <c r="C31" s="76" t="s">
        <v>792</v>
      </c>
      <c r="D31" s="77"/>
      <c r="E31" s="77"/>
      <c r="F31" s="8" t="s">
        <v>7</v>
      </c>
      <c r="G31" s="8">
        <f t="shared" ref="G31:J46" si="4">IF($F31=G$1,1,0)</f>
        <v>0</v>
      </c>
      <c r="H31" s="8">
        <f t="shared" si="4"/>
        <v>0</v>
      </c>
      <c r="I31" s="8">
        <f t="shared" si="4"/>
        <v>0</v>
      </c>
      <c r="J31" s="8">
        <f t="shared" si="4"/>
        <v>1</v>
      </c>
      <c r="K31" s="8"/>
      <c r="L31" s="77"/>
    </row>
    <row r="32" spans="1:12" x14ac:dyDescent="0.25">
      <c r="A32" s="5">
        <f t="shared" si="2"/>
        <v>2.0023000000000049</v>
      </c>
      <c r="B32" s="77"/>
      <c r="C32" s="76" t="s">
        <v>793</v>
      </c>
      <c r="D32" s="77"/>
      <c r="E32" s="77"/>
      <c r="F32" s="8" t="s">
        <v>7</v>
      </c>
      <c r="G32" s="8">
        <f t="shared" si="4"/>
        <v>0</v>
      </c>
      <c r="H32" s="8">
        <f t="shared" si="4"/>
        <v>0</v>
      </c>
      <c r="I32" s="8">
        <f t="shared" si="4"/>
        <v>0</v>
      </c>
      <c r="J32" s="8">
        <f t="shared" si="4"/>
        <v>1</v>
      </c>
      <c r="K32" s="8"/>
      <c r="L32" s="77"/>
    </row>
    <row r="33" spans="1:12" x14ac:dyDescent="0.25">
      <c r="A33" s="5">
        <f t="shared" si="2"/>
        <v>2.0024000000000051</v>
      </c>
      <c r="B33" s="77"/>
      <c r="C33" s="76" t="s">
        <v>794</v>
      </c>
      <c r="D33" s="77"/>
      <c r="E33" s="77"/>
      <c r="F33" s="8" t="s">
        <v>7</v>
      </c>
      <c r="G33" s="8">
        <f t="shared" si="4"/>
        <v>0</v>
      </c>
      <c r="H33" s="8">
        <f t="shared" si="4"/>
        <v>0</v>
      </c>
      <c r="I33" s="8">
        <f t="shared" si="4"/>
        <v>0</v>
      </c>
      <c r="J33" s="8">
        <f t="shared" si="4"/>
        <v>1</v>
      </c>
      <c r="K33" s="8"/>
      <c r="L33" s="77"/>
    </row>
    <row r="34" spans="1:12" x14ac:dyDescent="0.25">
      <c r="A34" s="5">
        <f t="shared" si="2"/>
        <v>2.0025000000000053</v>
      </c>
      <c r="B34" s="77"/>
      <c r="C34" s="76" t="s">
        <v>795</v>
      </c>
      <c r="D34" s="77"/>
      <c r="E34" s="77"/>
      <c r="F34" s="8" t="s">
        <v>7</v>
      </c>
      <c r="G34" s="8">
        <f t="shared" si="4"/>
        <v>0</v>
      </c>
      <c r="H34" s="8">
        <f t="shared" si="4"/>
        <v>0</v>
      </c>
      <c r="I34" s="8">
        <f t="shared" si="4"/>
        <v>0</v>
      </c>
      <c r="J34" s="8">
        <f t="shared" si="4"/>
        <v>1</v>
      </c>
      <c r="K34" s="8"/>
      <c r="L34" s="77"/>
    </row>
    <row r="35" spans="1:12" x14ac:dyDescent="0.25">
      <c r="A35" s="5">
        <f t="shared" si="2"/>
        <v>2.0026000000000055</v>
      </c>
      <c r="B35" s="77"/>
      <c r="C35" s="76" t="s">
        <v>796</v>
      </c>
      <c r="D35" s="77"/>
      <c r="E35" s="77"/>
      <c r="F35" s="8" t="s">
        <v>7</v>
      </c>
      <c r="G35" s="8">
        <f t="shared" si="4"/>
        <v>0</v>
      </c>
      <c r="H35" s="8">
        <f t="shared" si="4"/>
        <v>0</v>
      </c>
      <c r="I35" s="8">
        <f t="shared" si="4"/>
        <v>0</v>
      </c>
      <c r="J35" s="8">
        <f t="shared" si="4"/>
        <v>1</v>
      </c>
      <c r="K35" s="8"/>
      <c r="L35" s="77"/>
    </row>
    <row r="36" spans="1:12" x14ac:dyDescent="0.25">
      <c r="A36" s="5">
        <f t="shared" si="2"/>
        <v>2.0027000000000057</v>
      </c>
      <c r="B36" s="77"/>
      <c r="C36" s="76" t="s">
        <v>810</v>
      </c>
      <c r="D36" s="77"/>
      <c r="E36" s="77"/>
      <c r="F36" s="8" t="s">
        <v>7</v>
      </c>
      <c r="G36" s="8">
        <f t="shared" si="4"/>
        <v>0</v>
      </c>
      <c r="H36" s="8">
        <f t="shared" si="4"/>
        <v>0</v>
      </c>
      <c r="I36" s="8">
        <f t="shared" si="4"/>
        <v>0</v>
      </c>
      <c r="J36" s="8">
        <f t="shared" si="4"/>
        <v>1</v>
      </c>
      <c r="K36" s="8"/>
      <c r="L36" s="77"/>
    </row>
    <row r="37" spans="1:12" x14ac:dyDescent="0.25">
      <c r="A37" s="5">
        <f t="shared" si="2"/>
        <v>2.0028000000000059</v>
      </c>
      <c r="B37" s="77"/>
      <c r="C37" s="76" t="s">
        <v>824</v>
      </c>
      <c r="D37" s="77"/>
      <c r="E37" s="77"/>
      <c r="F37" s="8" t="s">
        <v>7</v>
      </c>
      <c r="G37" s="8">
        <f t="shared" si="4"/>
        <v>0</v>
      </c>
      <c r="H37" s="8">
        <f t="shared" si="4"/>
        <v>0</v>
      </c>
      <c r="I37" s="8">
        <f t="shared" si="4"/>
        <v>0</v>
      </c>
      <c r="J37" s="8">
        <f t="shared" si="4"/>
        <v>1</v>
      </c>
      <c r="K37" s="8"/>
      <c r="L37" s="77"/>
    </row>
    <row r="38" spans="1:12" x14ac:dyDescent="0.25">
      <c r="A38" s="5">
        <f t="shared" si="2"/>
        <v>2.0029000000000061</v>
      </c>
      <c r="B38" s="77"/>
      <c r="C38" s="76" t="s">
        <v>825</v>
      </c>
      <c r="D38" s="77"/>
      <c r="E38" s="77"/>
      <c r="F38" s="8" t="s">
        <v>7</v>
      </c>
      <c r="G38" s="8">
        <f t="shared" si="4"/>
        <v>0</v>
      </c>
      <c r="H38" s="8">
        <f t="shared" si="4"/>
        <v>0</v>
      </c>
      <c r="I38" s="8">
        <f t="shared" si="4"/>
        <v>0</v>
      </c>
      <c r="J38" s="8">
        <f t="shared" si="4"/>
        <v>1</v>
      </c>
      <c r="K38" s="8"/>
      <c r="L38" s="77"/>
    </row>
    <row r="39" spans="1:12" x14ac:dyDescent="0.25">
      <c r="A39" s="5">
        <f t="shared" si="2"/>
        <v>2.0030000000000063</v>
      </c>
      <c r="B39" s="77"/>
      <c r="C39" s="76" t="s">
        <v>826</v>
      </c>
      <c r="D39" s="77"/>
      <c r="E39" s="77"/>
      <c r="F39" s="8" t="s">
        <v>7</v>
      </c>
      <c r="G39" s="8">
        <f t="shared" si="4"/>
        <v>0</v>
      </c>
      <c r="H39" s="8">
        <f t="shared" si="4"/>
        <v>0</v>
      </c>
      <c r="I39" s="8">
        <f t="shared" si="4"/>
        <v>0</v>
      </c>
      <c r="J39" s="8">
        <f t="shared" si="4"/>
        <v>1</v>
      </c>
      <c r="K39" s="8"/>
      <c r="L39" s="77"/>
    </row>
    <row r="40" spans="1:12" x14ac:dyDescent="0.25">
      <c r="A40" s="5">
        <f t="shared" si="2"/>
        <v>2.0031000000000065</v>
      </c>
      <c r="B40" s="83" t="s">
        <v>811</v>
      </c>
      <c r="C40" s="82" t="s">
        <v>812</v>
      </c>
      <c r="D40" s="77"/>
      <c r="E40" s="77"/>
      <c r="F40" s="8" t="s">
        <v>7</v>
      </c>
      <c r="G40" s="8">
        <f t="shared" si="4"/>
        <v>0</v>
      </c>
      <c r="H40" s="8">
        <f t="shared" si="4"/>
        <v>0</v>
      </c>
      <c r="I40" s="8">
        <f t="shared" si="4"/>
        <v>0</v>
      </c>
      <c r="J40" s="8">
        <f t="shared" si="4"/>
        <v>1</v>
      </c>
      <c r="K40" s="8"/>
      <c r="L40" s="77"/>
    </row>
    <row r="41" spans="1:12" x14ac:dyDescent="0.25">
      <c r="A41" s="5">
        <f t="shared" si="2"/>
        <v>2.0032000000000068</v>
      </c>
      <c r="B41" s="77"/>
      <c r="C41" s="76" t="s">
        <v>814</v>
      </c>
      <c r="D41" s="77"/>
      <c r="E41" s="77"/>
      <c r="F41" s="8" t="s">
        <v>7</v>
      </c>
      <c r="G41" s="8">
        <f t="shared" si="4"/>
        <v>0</v>
      </c>
      <c r="H41" s="8">
        <f t="shared" si="4"/>
        <v>0</v>
      </c>
      <c r="I41" s="8">
        <f t="shared" si="4"/>
        <v>0</v>
      </c>
      <c r="J41" s="8">
        <f t="shared" si="4"/>
        <v>1</v>
      </c>
      <c r="K41" s="8"/>
      <c r="L41" s="77"/>
    </row>
    <row r="42" spans="1:12" x14ac:dyDescent="0.25">
      <c r="A42" s="5">
        <f t="shared" si="2"/>
        <v>2.003300000000007</v>
      </c>
      <c r="B42" s="77"/>
      <c r="C42" s="76" t="s">
        <v>815</v>
      </c>
      <c r="D42" s="77"/>
      <c r="E42" s="77"/>
      <c r="F42" s="8" t="s">
        <v>7</v>
      </c>
      <c r="G42" s="8">
        <f t="shared" si="4"/>
        <v>0</v>
      </c>
      <c r="H42" s="8">
        <f t="shared" si="4"/>
        <v>0</v>
      </c>
      <c r="I42" s="8">
        <f t="shared" si="4"/>
        <v>0</v>
      </c>
      <c r="J42" s="8">
        <f t="shared" si="4"/>
        <v>1</v>
      </c>
      <c r="K42" s="8"/>
      <c r="L42" s="77"/>
    </row>
    <row r="43" spans="1:12" x14ac:dyDescent="0.25">
      <c r="A43" s="5">
        <f t="shared" si="2"/>
        <v>2.0034000000000072</v>
      </c>
      <c r="B43" s="77"/>
      <c r="C43" s="76" t="s">
        <v>816</v>
      </c>
      <c r="D43" s="77"/>
      <c r="E43" s="77"/>
      <c r="F43" s="8" t="s">
        <v>7</v>
      </c>
      <c r="G43" s="8">
        <f t="shared" si="4"/>
        <v>0</v>
      </c>
      <c r="H43" s="8">
        <f t="shared" si="4"/>
        <v>0</v>
      </c>
      <c r="I43" s="8">
        <f t="shared" si="4"/>
        <v>0</v>
      </c>
      <c r="J43" s="8">
        <f t="shared" si="4"/>
        <v>1</v>
      </c>
      <c r="K43" s="8"/>
      <c r="L43" s="77"/>
    </row>
    <row r="44" spans="1:12" x14ac:dyDescent="0.25">
      <c r="A44" s="5">
        <f t="shared" si="2"/>
        <v>2.0035000000000074</v>
      </c>
      <c r="B44" s="77"/>
      <c r="C44" s="76" t="s">
        <v>817</v>
      </c>
      <c r="D44" s="77"/>
      <c r="E44" s="77"/>
      <c r="F44" s="8" t="s">
        <v>7</v>
      </c>
      <c r="G44" s="8">
        <f t="shared" si="4"/>
        <v>0</v>
      </c>
      <c r="H44" s="8">
        <f t="shared" si="4"/>
        <v>0</v>
      </c>
      <c r="I44" s="8">
        <f t="shared" si="4"/>
        <v>0</v>
      </c>
      <c r="J44" s="8">
        <f t="shared" si="4"/>
        <v>1</v>
      </c>
      <c r="K44" s="8"/>
      <c r="L44" s="77"/>
    </row>
    <row r="45" spans="1:12" x14ac:dyDescent="0.25">
      <c r="A45" s="5">
        <f t="shared" si="2"/>
        <v>2.0036000000000076</v>
      </c>
      <c r="B45" s="77"/>
      <c r="C45" s="76" t="s">
        <v>818</v>
      </c>
      <c r="D45" s="77"/>
      <c r="E45" s="77"/>
      <c r="F45" s="8" t="s">
        <v>7</v>
      </c>
      <c r="G45" s="8">
        <f t="shared" si="4"/>
        <v>0</v>
      </c>
      <c r="H45" s="8">
        <f t="shared" si="4"/>
        <v>0</v>
      </c>
      <c r="I45" s="8">
        <f t="shared" si="4"/>
        <v>0</v>
      </c>
      <c r="J45" s="8">
        <f t="shared" si="4"/>
        <v>1</v>
      </c>
      <c r="K45" s="8"/>
      <c r="L45" s="77"/>
    </row>
    <row r="46" spans="1:12" x14ac:dyDescent="0.25">
      <c r="A46" s="5">
        <f t="shared" si="2"/>
        <v>2.0037000000000078</v>
      </c>
      <c r="B46" s="77"/>
      <c r="C46" s="76" t="s">
        <v>819</v>
      </c>
      <c r="D46" s="77" t="s">
        <v>820</v>
      </c>
      <c r="E46" s="77"/>
      <c r="F46" s="8" t="s">
        <v>7</v>
      </c>
      <c r="G46" s="8">
        <f t="shared" si="4"/>
        <v>0</v>
      </c>
      <c r="H46" s="8">
        <f t="shared" si="4"/>
        <v>0</v>
      </c>
      <c r="I46" s="8">
        <f t="shared" si="4"/>
        <v>0</v>
      </c>
      <c r="J46" s="8">
        <f t="shared" si="4"/>
        <v>1</v>
      </c>
      <c r="K46" s="8"/>
      <c r="L46" s="77"/>
    </row>
    <row r="47" spans="1:12" x14ac:dyDescent="0.25">
      <c r="A47" s="5">
        <f t="shared" si="2"/>
        <v>2.003800000000008</v>
      </c>
      <c r="B47" s="77"/>
      <c r="C47" s="76" t="s">
        <v>813</v>
      </c>
      <c r="D47" s="77"/>
      <c r="E47" s="77"/>
      <c r="F47" s="8" t="s">
        <v>7</v>
      </c>
      <c r="G47" s="8">
        <f t="shared" ref="G47:J52" si="5">IF($F47=G$1,1,0)</f>
        <v>0</v>
      </c>
      <c r="H47" s="8">
        <f t="shared" si="5"/>
        <v>0</v>
      </c>
      <c r="I47" s="8">
        <f t="shared" si="5"/>
        <v>0</v>
      </c>
      <c r="J47" s="8">
        <f t="shared" si="5"/>
        <v>1</v>
      </c>
      <c r="K47" s="8"/>
      <c r="L47" s="77"/>
    </row>
    <row r="48" spans="1:12" x14ac:dyDescent="0.25">
      <c r="A48" s="5">
        <f t="shared" si="2"/>
        <v>2.0039000000000082</v>
      </c>
      <c r="B48" s="77"/>
      <c r="C48" s="76" t="s">
        <v>821</v>
      </c>
      <c r="D48" s="77"/>
      <c r="E48" s="77"/>
      <c r="F48" s="8" t="s">
        <v>7</v>
      </c>
      <c r="G48" s="8">
        <f t="shared" si="5"/>
        <v>0</v>
      </c>
      <c r="H48" s="8">
        <f t="shared" si="5"/>
        <v>0</v>
      </c>
      <c r="I48" s="8">
        <f t="shared" si="5"/>
        <v>0</v>
      </c>
      <c r="J48" s="8">
        <f t="shared" si="5"/>
        <v>1</v>
      </c>
      <c r="K48" s="8"/>
      <c r="L48" s="77"/>
    </row>
    <row r="49" spans="1:12" x14ac:dyDescent="0.25">
      <c r="A49" s="5">
        <f t="shared" si="2"/>
        <v>2.0040000000000084</v>
      </c>
      <c r="B49" s="77"/>
      <c r="C49" s="76" t="s">
        <v>822</v>
      </c>
      <c r="D49" s="77"/>
      <c r="E49" s="77"/>
      <c r="F49" s="8" t="s">
        <v>7</v>
      </c>
      <c r="G49" s="8">
        <f t="shared" si="5"/>
        <v>0</v>
      </c>
      <c r="H49" s="8">
        <f t="shared" si="5"/>
        <v>0</v>
      </c>
      <c r="I49" s="8">
        <f t="shared" si="5"/>
        <v>0</v>
      </c>
      <c r="J49" s="8">
        <f t="shared" si="5"/>
        <v>1</v>
      </c>
      <c r="K49" s="8"/>
      <c r="L49" s="77"/>
    </row>
    <row r="50" spans="1:12" x14ac:dyDescent="0.25">
      <c r="A50" s="5">
        <f t="shared" si="2"/>
        <v>2.0041000000000087</v>
      </c>
      <c r="B50" s="77"/>
      <c r="C50" s="76" t="s">
        <v>823</v>
      </c>
      <c r="D50" s="77"/>
      <c r="E50" s="77"/>
      <c r="F50" s="8" t="s">
        <v>7</v>
      </c>
      <c r="G50" s="8">
        <f t="shared" si="5"/>
        <v>0</v>
      </c>
      <c r="H50" s="8">
        <f t="shared" si="5"/>
        <v>0</v>
      </c>
      <c r="I50" s="8">
        <f t="shared" si="5"/>
        <v>0</v>
      </c>
      <c r="J50" s="8">
        <f t="shared" si="5"/>
        <v>1</v>
      </c>
      <c r="K50" s="8"/>
      <c r="L50" s="77"/>
    </row>
    <row r="51" spans="1:12" s="20" customFormat="1" x14ac:dyDescent="0.25">
      <c r="A51" s="16">
        <v>3</v>
      </c>
      <c r="B51" s="79" t="s">
        <v>789</v>
      </c>
      <c r="C51" s="80"/>
      <c r="D51" s="79"/>
      <c r="E51" s="79"/>
      <c r="F51" s="19"/>
      <c r="G51" s="19"/>
      <c r="H51" s="19"/>
      <c r="I51" s="19"/>
      <c r="J51" s="19"/>
      <c r="K51" s="19"/>
      <c r="L51" s="79"/>
    </row>
    <row r="52" spans="1:12" s="105" customFormat="1" ht="38.25" x14ac:dyDescent="0.25">
      <c r="A52" s="119">
        <v>3.0001000000000002</v>
      </c>
      <c r="B52" s="113" t="s">
        <v>1063</v>
      </c>
      <c r="C52" s="114" t="s">
        <v>1068</v>
      </c>
      <c r="D52" s="77" t="s">
        <v>1090</v>
      </c>
      <c r="E52" s="106"/>
      <c r="F52" s="8" t="s">
        <v>8</v>
      </c>
      <c r="G52" s="8">
        <f t="shared" si="5"/>
        <v>0</v>
      </c>
      <c r="H52" s="8">
        <f t="shared" si="5"/>
        <v>0</v>
      </c>
      <c r="I52" s="8">
        <f t="shared" si="5"/>
        <v>0</v>
      </c>
      <c r="J52" s="8">
        <f t="shared" si="5"/>
        <v>0</v>
      </c>
      <c r="K52" s="120"/>
      <c r="L52" s="121"/>
    </row>
    <row r="53" spans="1:12" s="20" customFormat="1" x14ac:dyDescent="0.25">
      <c r="A53" s="16">
        <v>4</v>
      </c>
      <c r="B53" s="79" t="s">
        <v>1083</v>
      </c>
      <c r="C53" s="80"/>
      <c r="D53" s="79"/>
      <c r="E53" s="79"/>
      <c r="F53" s="19"/>
      <c r="G53" s="19"/>
      <c r="H53" s="19"/>
      <c r="I53" s="19"/>
      <c r="J53" s="19"/>
      <c r="K53" s="19"/>
      <c r="L53" s="79"/>
    </row>
    <row r="54" spans="1:12" x14ac:dyDescent="0.25">
      <c r="A54" s="5">
        <f t="shared" si="2"/>
        <v>4.0000999999999998</v>
      </c>
      <c r="B54" s="82" t="s">
        <v>827</v>
      </c>
      <c r="C54" s="78" t="s">
        <v>1061</v>
      </c>
      <c r="D54" s="77"/>
      <c r="E54" s="77"/>
      <c r="F54" s="8" t="s">
        <v>7</v>
      </c>
      <c r="G54" s="8">
        <f>IF($F54=G$1,1,0)</f>
        <v>0</v>
      </c>
      <c r="H54" s="8">
        <f>IF($F54=H$1,1,0)</f>
        <v>0</v>
      </c>
      <c r="I54" s="8">
        <f>IF($F54=I$1,1,0)</f>
        <v>0</v>
      </c>
      <c r="J54" s="8">
        <f>IF($F54=J$1,1,0)</f>
        <v>1</v>
      </c>
      <c r="K54" s="8"/>
      <c r="L54" s="77"/>
    </row>
    <row r="55" spans="1:12" x14ac:dyDescent="0.25">
      <c r="A55" s="5">
        <f t="shared" si="2"/>
        <v>4.0001999999999995</v>
      </c>
      <c r="B55" s="82" t="s">
        <v>757</v>
      </c>
      <c r="C55" s="78" t="s">
        <v>758</v>
      </c>
      <c r="D55" s="77"/>
      <c r="E55" s="77"/>
      <c r="F55" s="8" t="s">
        <v>7</v>
      </c>
      <c r="G55" s="8"/>
      <c r="H55" s="8"/>
      <c r="I55" s="8"/>
      <c r="J55" s="8"/>
      <c r="K55" s="8"/>
      <c r="L55" s="77"/>
    </row>
    <row r="56" spans="1:12" x14ac:dyDescent="0.25">
      <c r="A56" s="5">
        <f t="shared" si="2"/>
        <v>4.0002999999999993</v>
      </c>
      <c r="B56" s="76" t="s">
        <v>759</v>
      </c>
      <c r="C56" s="78" t="s">
        <v>760</v>
      </c>
      <c r="D56" s="77"/>
      <c r="E56" s="77"/>
      <c r="F56" s="8" t="s">
        <v>7</v>
      </c>
      <c r="G56" s="8">
        <f t="shared" ref="G56:J71" si="6">IF($F56=G$1,1,0)</f>
        <v>0</v>
      </c>
      <c r="H56" s="8">
        <f t="shared" si="6"/>
        <v>0</v>
      </c>
      <c r="I56" s="8">
        <f t="shared" si="6"/>
        <v>0</v>
      </c>
      <c r="J56" s="8">
        <f t="shared" si="6"/>
        <v>1</v>
      </c>
      <c r="K56" s="8"/>
      <c r="L56" s="77"/>
    </row>
    <row r="57" spans="1:12" x14ac:dyDescent="0.25">
      <c r="A57" s="5">
        <f t="shared" si="2"/>
        <v>4.0003999999999991</v>
      </c>
      <c r="B57" s="76" t="s">
        <v>801</v>
      </c>
      <c r="C57" s="78" t="s">
        <v>1101</v>
      </c>
      <c r="D57" s="77"/>
      <c r="E57" s="77"/>
      <c r="F57" s="8" t="s">
        <v>7</v>
      </c>
      <c r="G57" s="8">
        <f t="shared" si="6"/>
        <v>0</v>
      </c>
      <c r="H57" s="8">
        <f t="shared" si="6"/>
        <v>0</v>
      </c>
      <c r="I57" s="8">
        <f t="shared" si="6"/>
        <v>0</v>
      </c>
      <c r="J57" s="8">
        <f t="shared" si="6"/>
        <v>1</v>
      </c>
      <c r="K57" s="8"/>
      <c r="L57" s="77"/>
    </row>
    <row r="58" spans="1:12" x14ac:dyDescent="0.25">
      <c r="A58" s="5">
        <f t="shared" si="2"/>
        <v>4.0004999999999988</v>
      </c>
      <c r="B58" s="76" t="s">
        <v>803</v>
      </c>
      <c r="C58" s="78" t="s">
        <v>828</v>
      </c>
      <c r="D58" s="77"/>
      <c r="E58" s="77"/>
      <c r="F58" s="8" t="s">
        <v>7</v>
      </c>
      <c r="G58" s="8">
        <f t="shared" si="6"/>
        <v>0</v>
      </c>
      <c r="H58" s="8">
        <f t="shared" si="6"/>
        <v>0</v>
      </c>
      <c r="I58" s="8">
        <f t="shared" si="6"/>
        <v>0</v>
      </c>
      <c r="J58" s="8">
        <f t="shared" si="6"/>
        <v>1</v>
      </c>
      <c r="K58" s="8"/>
      <c r="L58" s="77"/>
    </row>
    <row r="59" spans="1:12" x14ac:dyDescent="0.25">
      <c r="A59" s="5">
        <f t="shared" si="2"/>
        <v>4.0005999999999986</v>
      </c>
      <c r="B59" s="76" t="s">
        <v>806</v>
      </c>
      <c r="C59" s="78" t="s">
        <v>761</v>
      </c>
      <c r="D59" s="77"/>
      <c r="E59" s="77"/>
      <c r="F59" s="8" t="s">
        <v>7</v>
      </c>
      <c r="G59" s="8">
        <f t="shared" si="6"/>
        <v>0</v>
      </c>
      <c r="H59" s="8">
        <f t="shared" si="6"/>
        <v>0</v>
      </c>
      <c r="I59" s="8">
        <f t="shared" si="6"/>
        <v>0</v>
      </c>
      <c r="J59" s="8">
        <f t="shared" si="6"/>
        <v>1</v>
      </c>
      <c r="K59" s="8"/>
      <c r="L59" s="77"/>
    </row>
    <row r="60" spans="1:12" x14ac:dyDescent="0.25">
      <c r="A60" s="5">
        <f t="shared" si="2"/>
        <v>4.0006999999999984</v>
      </c>
      <c r="B60" s="76" t="s">
        <v>788</v>
      </c>
      <c r="C60" s="78">
        <v>100</v>
      </c>
      <c r="D60" s="77"/>
      <c r="E60" s="77"/>
      <c r="F60" s="8" t="s">
        <v>7</v>
      </c>
      <c r="G60" s="8">
        <f t="shared" si="6"/>
        <v>0</v>
      </c>
      <c r="H60" s="8">
        <f t="shared" si="6"/>
        <v>0</v>
      </c>
      <c r="I60" s="8">
        <f t="shared" si="6"/>
        <v>0</v>
      </c>
      <c r="J60" s="8">
        <f t="shared" si="6"/>
        <v>1</v>
      </c>
      <c r="K60" s="8"/>
      <c r="L60" s="77"/>
    </row>
    <row r="61" spans="1:12" x14ac:dyDescent="0.25">
      <c r="A61" s="5">
        <f t="shared" si="2"/>
        <v>4.0007999999999981</v>
      </c>
      <c r="B61" s="77" t="s">
        <v>762</v>
      </c>
      <c r="C61" s="76" t="s">
        <v>765</v>
      </c>
      <c r="D61" s="21"/>
      <c r="E61" s="77"/>
      <c r="F61" s="8" t="s">
        <v>7</v>
      </c>
      <c r="G61" s="8">
        <f t="shared" si="6"/>
        <v>0</v>
      </c>
      <c r="H61" s="8">
        <f t="shared" si="6"/>
        <v>0</v>
      </c>
      <c r="I61" s="8">
        <f t="shared" si="6"/>
        <v>0</v>
      </c>
      <c r="J61" s="8">
        <f t="shared" si="6"/>
        <v>1</v>
      </c>
      <c r="K61" s="8"/>
      <c r="L61" s="77"/>
    </row>
    <row r="62" spans="1:12" x14ac:dyDescent="0.25">
      <c r="A62" s="5">
        <f t="shared" si="2"/>
        <v>4.0008999999999979</v>
      </c>
      <c r="B62" s="77" t="s">
        <v>763</v>
      </c>
      <c r="C62" s="76" t="s">
        <v>764</v>
      </c>
      <c r="D62" s="77"/>
      <c r="E62" s="77"/>
      <c r="F62" s="8" t="s">
        <v>7</v>
      </c>
      <c r="G62" s="8">
        <f t="shared" si="6"/>
        <v>0</v>
      </c>
      <c r="H62" s="8">
        <f t="shared" si="6"/>
        <v>0</v>
      </c>
      <c r="I62" s="8">
        <f t="shared" si="6"/>
        <v>0</v>
      </c>
      <c r="J62" s="8">
        <f t="shared" si="6"/>
        <v>1</v>
      </c>
      <c r="K62" s="8"/>
      <c r="L62" s="77"/>
    </row>
    <row r="63" spans="1:12" x14ac:dyDescent="0.25">
      <c r="A63" s="5">
        <f t="shared" si="2"/>
        <v>4.0009999999999977</v>
      </c>
      <c r="B63" s="77" t="s">
        <v>766</v>
      </c>
      <c r="C63" s="76" t="s">
        <v>764</v>
      </c>
      <c r="D63" s="77"/>
      <c r="E63" s="77"/>
      <c r="F63" s="8" t="s">
        <v>7</v>
      </c>
      <c r="G63" s="8">
        <f t="shared" si="6"/>
        <v>0</v>
      </c>
      <c r="H63" s="8">
        <f t="shared" si="6"/>
        <v>0</v>
      </c>
      <c r="I63" s="8">
        <f t="shared" si="6"/>
        <v>0</v>
      </c>
      <c r="J63" s="8">
        <f t="shared" si="6"/>
        <v>1</v>
      </c>
      <c r="K63" s="8"/>
      <c r="L63" s="77"/>
    </row>
    <row r="64" spans="1:12" x14ac:dyDescent="0.25">
      <c r="A64" s="5">
        <f t="shared" si="2"/>
        <v>4.0010999999999974</v>
      </c>
      <c r="B64" s="76" t="s">
        <v>777</v>
      </c>
      <c r="C64" s="81" t="s">
        <v>804</v>
      </c>
      <c r="D64" s="77" t="s">
        <v>768</v>
      </c>
      <c r="E64" s="77"/>
      <c r="F64" s="8" t="s">
        <v>7</v>
      </c>
      <c r="G64" s="8">
        <f t="shared" si="6"/>
        <v>0</v>
      </c>
      <c r="H64" s="8">
        <f t="shared" si="6"/>
        <v>0</v>
      </c>
      <c r="I64" s="8">
        <f t="shared" si="6"/>
        <v>0</v>
      </c>
      <c r="J64" s="8">
        <f t="shared" si="6"/>
        <v>1</v>
      </c>
      <c r="K64" s="8"/>
      <c r="L64" s="77"/>
    </row>
    <row r="65" spans="1:12" x14ac:dyDescent="0.25">
      <c r="A65" s="5">
        <f t="shared" si="2"/>
        <v>4.0011999999999972</v>
      </c>
      <c r="B65" s="76" t="s">
        <v>778</v>
      </c>
      <c r="C65" s="76" t="s">
        <v>805</v>
      </c>
      <c r="D65" s="77"/>
      <c r="E65" s="77"/>
      <c r="F65" s="8" t="s">
        <v>7</v>
      </c>
      <c r="G65" s="8">
        <f t="shared" si="6"/>
        <v>0</v>
      </c>
      <c r="H65" s="8">
        <f t="shared" si="6"/>
        <v>0</v>
      </c>
      <c r="I65" s="8">
        <f t="shared" si="6"/>
        <v>0</v>
      </c>
      <c r="J65" s="8">
        <f t="shared" si="6"/>
        <v>1</v>
      </c>
      <c r="K65" s="8"/>
      <c r="L65" s="77"/>
    </row>
    <row r="66" spans="1:12" x14ac:dyDescent="0.25">
      <c r="A66" s="5">
        <f t="shared" si="2"/>
        <v>4.001299999999997</v>
      </c>
      <c r="B66" s="76"/>
      <c r="C66" s="76" t="s">
        <v>807</v>
      </c>
      <c r="D66" s="77"/>
      <c r="E66" s="77"/>
      <c r="F66" s="8" t="s">
        <v>7</v>
      </c>
      <c r="G66" s="8">
        <f t="shared" si="6"/>
        <v>0</v>
      </c>
      <c r="H66" s="8">
        <f t="shared" si="6"/>
        <v>0</v>
      </c>
      <c r="I66" s="8">
        <f t="shared" si="6"/>
        <v>0</v>
      </c>
      <c r="J66" s="8">
        <f t="shared" si="6"/>
        <v>1</v>
      </c>
      <c r="K66" s="8"/>
      <c r="L66" s="77"/>
    </row>
    <row r="67" spans="1:12" x14ac:dyDescent="0.25">
      <c r="A67" s="5">
        <f t="shared" si="2"/>
        <v>4.0013999999999967</v>
      </c>
      <c r="B67" s="82" t="s">
        <v>775</v>
      </c>
      <c r="C67" s="76" t="s">
        <v>769</v>
      </c>
      <c r="D67" s="77"/>
      <c r="E67" s="77"/>
      <c r="F67" s="8" t="s">
        <v>7</v>
      </c>
      <c r="G67" s="8">
        <f t="shared" si="6"/>
        <v>0</v>
      </c>
      <c r="H67" s="8">
        <f t="shared" si="6"/>
        <v>0</v>
      </c>
      <c r="I67" s="8">
        <f t="shared" si="6"/>
        <v>0</v>
      </c>
      <c r="J67" s="8">
        <f t="shared" si="6"/>
        <v>1</v>
      </c>
      <c r="K67" s="8"/>
      <c r="L67" s="77"/>
    </row>
    <row r="68" spans="1:12" x14ac:dyDescent="0.25">
      <c r="A68" s="5">
        <f t="shared" si="2"/>
        <v>4.0014999999999965</v>
      </c>
      <c r="B68" s="82"/>
      <c r="C68" s="76" t="s">
        <v>808</v>
      </c>
      <c r="D68" s="77" t="s">
        <v>809</v>
      </c>
      <c r="E68" s="77"/>
      <c r="F68" s="8" t="s">
        <v>7</v>
      </c>
      <c r="G68" s="8">
        <f t="shared" si="6"/>
        <v>0</v>
      </c>
      <c r="H68" s="8">
        <f t="shared" si="6"/>
        <v>0</v>
      </c>
      <c r="I68" s="8">
        <f t="shared" si="6"/>
        <v>0</v>
      </c>
      <c r="J68" s="8">
        <f t="shared" si="6"/>
        <v>1</v>
      </c>
      <c r="K68" s="8"/>
      <c r="L68" s="77"/>
    </row>
    <row r="69" spans="1:12" x14ac:dyDescent="0.25">
      <c r="A69" s="5">
        <f t="shared" si="2"/>
        <v>4.0015999999999963</v>
      </c>
      <c r="B69" s="76"/>
      <c r="C69" s="76" t="s">
        <v>770</v>
      </c>
      <c r="D69" s="77"/>
      <c r="E69" s="77"/>
      <c r="F69" s="8" t="s">
        <v>7</v>
      </c>
      <c r="G69" s="8">
        <f t="shared" si="6"/>
        <v>0</v>
      </c>
      <c r="H69" s="8">
        <f t="shared" si="6"/>
        <v>0</v>
      </c>
      <c r="I69" s="8">
        <f t="shared" si="6"/>
        <v>0</v>
      </c>
      <c r="J69" s="8">
        <f t="shared" si="6"/>
        <v>1</v>
      </c>
      <c r="K69" s="8"/>
      <c r="L69" s="77"/>
    </row>
    <row r="70" spans="1:12" x14ac:dyDescent="0.25">
      <c r="A70" s="5">
        <f t="shared" si="2"/>
        <v>4.001699999999996</v>
      </c>
      <c r="B70" s="76"/>
      <c r="C70" s="76" t="s">
        <v>771</v>
      </c>
      <c r="D70" s="77"/>
      <c r="E70" s="77"/>
      <c r="F70" s="8" t="s">
        <v>7</v>
      </c>
      <c r="G70" s="8">
        <f t="shared" si="6"/>
        <v>0</v>
      </c>
      <c r="H70" s="8">
        <f t="shared" si="6"/>
        <v>0</v>
      </c>
      <c r="I70" s="8">
        <f t="shared" si="6"/>
        <v>0</v>
      </c>
      <c r="J70" s="8">
        <f t="shared" si="6"/>
        <v>1</v>
      </c>
      <c r="K70" s="8"/>
      <c r="L70" s="77"/>
    </row>
    <row r="71" spans="1:12" x14ac:dyDescent="0.25">
      <c r="A71" s="5">
        <f t="shared" si="2"/>
        <v>4.0017999999999958</v>
      </c>
      <c r="B71" s="76"/>
      <c r="C71" s="76" t="s">
        <v>772</v>
      </c>
      <c r="D71" s="77"/>
      <c r="E71" s="77"/>
      <c r="F71" s="8" t="s">
        <v>7</v>
      </c>
      <c r="G71" s="8">
        <f t="shared" si="6"/>
        <v>0</v>
      </c>
      <c r="H71" s="8">
        <f t="shared" si="6"/>
        <v>0</v>
      </c>
      <c r="I71" s="8">
        <f t="shared" si="6"/>
        <v>0</v>
      </c>
      <c r="J71" s="8">
        <f t="shared" si="6"/>
        <v>1</v>
      </c>
      <c r="K71" s="8"/>
      <c r="L71" s="77"/>
    </row>
    <row r="72" spans="1:12" x14ac:dyDescent="0.25">
      <c r="A72" s="5">
        <f t="shared" si="2"/>
        <v>4.0018999999999956</v>
      </c>
      <c r="B72" s="76"/>
      <c r="C72" s="76" t="s">
        <v>773</v>
      </c>
      <c r="D72" s="77"/>
      <c r="E72" s="77"/>
      <c r="F72" s="8" t="s">
        <v>7</v>
      </c>
      <c r="G72" s="8">
        <f t="shared" ref="G72:J84" si="7">IF($F72=G$1,1,0)</f>
        <v>0</v>
      </c>
      <c r="H72" s="8">
        <f t="shared" si="7"/>
        <v>0</v>
      </c>
      <c r="I72" s="8">
        <f t="shared" si="7"/>
        <v>0</v>
      </c>
      <c r="J72" s="8">
        <f t="shared" si="7"/>
        <v>1</v>
      </c>
      <c r="K72" s="8"/>
      <c r="L72" s="77"/>
    </row>
    <row r="73" spans="1:12" x14ac:dyDescent="0.25">
      <c r="A73" s="5">
        <f t="shared" si="2"/>
        <v>4.0019999999999953</v>
      </c>
      <c r="B73" s="76"/>
      <c r="C73" s="76" t="s">
        <v>774</v>
      </c>
      <c r="D73" s="77"/>
      <c r="E73" s="77"/>
      <c r="F73" s="8" t="s">
        <v>7</v>
      </c>
      <c r="G73" s="8">
        <f t="shared" si="7"/>
        <v>0</v>
      </c>
      <c r="H73" s="8">
        <f t="shared" si="7"/>
        <v>0</v>
      </c>
      <c r="I73" s="8">
        <f t="shared" si="7"/>
        <v>0</v>
      </c>
      <c r="J73" s="8">
        <f t="shared" si="7"/>
        <v>1</v>
      </c>
      <c r="K73" s="8"/>
      <c r="L73" s="77"/>
    </row>
    <row r="74" spans="1:12" x14ac:dyDescent="0.25">
      <c r="A74" s="5">
        <f t="shared" ref="A74" si="8">A73+0.0001</f>
        <v>4.0020999999999951</v>
      </c>
      <c r="B74" s="82" t="s">
        <v>776</v>
      </c>
      <c r="C74" s="76" t="s">
        <v>779</v>
      </c>
      <c r="D74" s="77"/>
      <c r="E74" s="77"/>
      <c r="F74" s="8" t="s">
        <v>7</v>
      </c>
      <c r="G74" s="8">
        <f t="shared" si="7"/>
        <v>0</v>
      </c>
      <c r="H74" s="8">
        <f t="shared" si="7"/>
        <v>0</v>
      </c>
      <c r="I74" s="8">
        <f t="shared" si="7"/>
        <v>0</v>
      </c>
      <c r="J74" s="8">
        <f t="shared" si="7"/>
        <v>1</v>
      </c>
      <c r="K74" s="8"/>
      <c r="L74" s="77"/>
    </row>
    <row r="75" spans="1:12" s="20" customFormat="1" x14ac:dyDescent="0.25">
      <c r="A75" s="16">
        <v>5</v>
      </c>
      <c r="B75" s="79" t="s">
        <v>857</v>
      </c>
      <c r="C75" s="80"/>
      <c r="D75" s="79"/>
      <c r="E75" s="79"/>
      <c r="F75" s="19"/>
      <c r="G75" s="19"/>
      <c r="H75" s="19"/>
      <c r="I75" s="19"/>
      <c r="J75" s="19"/>
      <c r="K75" s="19"/>
      <c r="L75" s="79"/>
    </row>
    <row r="76" spans="1:12" x14ac:dyDescent="0.25">
      <c r="A76" s="5">
        <f t="shared" ref="A76:A130" si="9">A75+0.0001</f>
        <v>5.0000999999999998</v>
      </c>
      <c r="B76" s="76" t="s">
        <v>1051</v>
      </c>
      <c r="C76" s="76" t="s">
        <v>833</v>
      </c>
      <c r="D76" s="77"/>
      <c r="E76" s="77"/>
      <c r="F76" s="8" t="s">
        <v>7</v>
      </c>
      <c r="G76" s="8">
        <f t="shared" si="7"/>
        <v>0</v>
      </c>
      <c r="H76" s="8">
        <f t="shared" si="7"/>
        <v>0</v>
      </c>
      <c r="I76" s="8">
        <f t="shared" si="7"/>
        <v>0</v>
      </c>
      <c r="J76" s="8">
        <f t="shared" si="7"/>
        <v>1</v>
      </c>
      <c r="K76" s="8"/>
      <c r="L76" s="77"/>
    </row>
    <row r="77" spans="1:12" x14ac:dyDescent="0.25">
      <c r="A77" s="5">
        <f t="shared" si="9"/>
        <v>5.0001999999999995</v>
      </c>
      <c r="B77" s="76" t="s">
        <v>834</v>
      </c>
      <c r="C77" s="76"/>
      <c r="D77" s="77"/>
      <c r="E77" s="77"/>
      <c r="F77" s="8" t="s">
        <v>7</v>
      </c>
      <c r="G77" s="8">
        <f t="shared" si="7"/>
        <v>0</v>
      </c>
      <c r="H77" s="8">
        <f t="shared" si="7"/>
        <v>0</v>
      </c>
      <c r="I77" s="8">
        <f t="shared" si="7"/>
        <v>0</v>
      </c>
      <c r="J77" s="8">
        <f t="shared" si="7"/>
        <v>1</v>
      </c>
      <c r="K77" s="8"/>
      <c r="L77" s="77"/>
    </row>
    <row r="78" spans="1:12" x14ac:dyDescent="0.25">
      <c r="A78" s="5">
        <f t="shared" si="9"/>
        <v>5.0002999999999993</v>
      </c>
      <c r="B78" s="76" t="s">
        <v>856</v>
      </c>
      <c r="C78" s="76" t="s">
        <v>836</v>
      </c>
      <c r="D78" s="77"/>
      <c r="E78" s="77"/>
      <c r="F78" s="8" t="s">
        <v>7</v>
      </c>
      <c r="G78" s="8">
        <f t="shared" si="7"/>
        <v>0</v>
      </c>
      <c r="H78" s="8">
        <f t="shared" si="7"/>
        <v>0</v>
      </c>
      <c r="I78" s="8">
        <f t="shared" si="7"/>
        <v>0</v>
      </c>
      <c r="J78" s="8">
        <f t="shared" si="7"/>
        <v>1</v>
      </c>
      <c r="K78" s="8"/>
      <c r="L78" s="77"/>
    </row>
    <row r="79" spans="1:12" x14ac:dyDescent="0.25">
      <c r="A79" s="5">
        <f t="shared" si="9"/>
        <v>5.0003999999999991</v>
      </c>
      <c r="B79" s="76" t="s">
        <v>835</v>
      </c>
      <c r="C79" s="76" t="s">
        <v>837</v>
      </c>
      <c r="D79" s="77"/>
      <c r="E79" s="77"/>
      <c r="F79" s="8" t="s">
        <v>7</v>
      </c>
      <c r="G79" s="8">
        <f t="shared" si="7"/>
        <v>0</v>
      </c>
      <c r="H79" s="8">
        <f t="shared" si="7"/>
        <v>0</v>
      </c>
      <c r="I79" s="8">
        <f t="shared" si="7"/>
        <v>0</v>
      </c>
      <c r="J79" s="8">
        <f t="shared" si="7"/>
        <v>1</v>
      </c>
      <c r="K79" s="8"/>
      <c r="L79" s="77"/>
    </row>
    <row r="80" spans="1:12" s="20" customFormat="1" x14ac:dyDescent="0.25">
      <c r="A80" s="16">
        <v>6</v>
      </c>
      <c r="B80" s="79" t="s">
        <v>832</v>
      </c>
      <c r="C80" s="80"/>
      <c r="D80" s="79"/>
      <c r="E80" s="79"/>
      <c r="F80" s="19"/>
      <c r="G80" s="19"/>
      <c r="H80" s="19"/>
      <c r="I80" s="19"/>
      <c r="J80" s="19"/>
      <c r="K80" s="19"/>
      <c r="L80" s="79"/>
    </row>
    <row r="81" spans="1:12" x14ac:dyDescent="0.25">
      <c r="A81" s="5">
        <f t="shared" si="9"/>
        <v>6.0000999999999998</v>
      </c>
      <c r="B81" s="76" t="s">
        <v>858</v>
      </c>
      <c r="C81" s="76" t="s">
        <v>833</v>
      </c>
      <c r="D81" s="77"/>
      <c r="E81" s="77"/>
      <c r="F81" s="8" t="s">
        <v>7</v>
      </c>
      <c r="G81" s="8">
        <f t="shared" si="7"/>
        <v>0</v>
      </c>
      <c r="H81" s="8">
        <f t="shared" si="7"/>
        <v>0</v>
      </c>
      <c r="I81" s="8">
        <f t="shared" si="7"/>
        <v>0</v>
      </c>
      <c r="J81" s="8">
        <f t="shared" si="7"/>
        <v>1</v>
      </c>
      <c r="K81" s="8"/>
      <c r="L81" s="77"/>
    </row>
    <row r="82" spans="1:12" x14ac:dyDescent="0.25">
      <c r="A82" s="5">
        <f t="shared" si="9"/>
        <v>6.0001999999999995</v>
      </c>
      <c r="B82" s="76" t="s">
        <v>901</v>
      </c>
      <c r="C82" s="76"/>
      <c r="D82" s="77"/>
      <c r="E82" s="77"/>
      <c r="F82" s="8" t="s">
        <v>7</v>
      </c>
      <c r="G82" s="8">
        <f t="shared" si="7"/>
        <v>0</v>
      </c>
      <c r="H82" s="8">
        <f t="shared" si="7"/>
        <v>0</v>
      </c>
      <c r="I82" s="8">
        <f t="shared" si="7"/>
        <v>0</v>
      </c>
      <c r="J82" s="8">
        <f t="shared" si="7"/>
        <v>1</v>
      </c>
      <c r="K82" s="8"/>
      <c r="L82" s="77"/>
    </row>
    <row r="83" spans="1:12" x14ac:dyDescent="0.25">
      <c r="A83" s="5">
        <f t="shared" si="9"/>
        <v>6.0002999999999993</v>
      </c>
      <c r="B83" s="76" t="s">
        <v>856</v>
      </c>
      <c r="C83" s="76" t="s">
        <v>836</v>
      </c>
      <c r="D83" s="77"/>
      <c r="E83" s="77"/>
      <c r="F83" s="8" t="s">
        <v>7</v>
      </c>
      <c r="G83" s="8">
        <f t="shared" si="7"/>
        <v>0</v>
      </c>
      <c r="H83" s="8">
        <f t="shared" si="7"/>
        <v>0</v>
      </c>
      <c r="I83" s="8">
        <f t="shared" si="7"/>
        <v>0</v>
      </c>
      <c r="J83" s="8">
        <f t="shared" si="7"/>
        <v>1</v>
      </c>
      <c r="K83" s="8"/>
      <c r="L83" s="77"/>
    </row>
    <row r="84" spans="1:12" x14ac:dyDescent="0.25">
      <c r="A84" s="5">
        <f t="shared" si="9"/>
        <v>6.0003999999999991</v>
      </c>
      <c r="B84" s="76" t="s">
        <v>835</v>
      </c>
      <c r="C84" s="76" t="s">
        <v>837</v>
      </c>
      <c r="D84" s="77"/>
      <c r="E84" s="77"/>
      <c r="F84" s="8" t="s">
        <v>7</v>
      </c>
      <c r="G84" s="8">
        <f t="shared" si="7"/>
        <v>0</v>
      </c>
      <c r="H84" s="8">
        <f t="shared" si="7"/>
        <v>0</v>
      </c>
      <c r="I84" s="8">
        <f t="shared" si="7"/>
        <v>0</v>
      </c>
      <c r="J84" s="8">
        <f t="shared" si="7"/>
        <v>1</v>
      </c>
      <c r="K84" s="8"/>
      <c r="L84" s="77"/>
    </row>
    <row r="85" spans="1:12" s="20" customFormat="1" x14ac:dyDescent="0.25">
      <c r="A85" s="16">
        <v>7</v>
      </c>
      <c r="B85" s="79" t="s">
        <v>895</v>
      </c>
      <c r="C85" s="80"/>
      <c r="D85" s="79"/>
      <c r="E85" s="79"/>
      <c r="F85" s="19"/>
      <c r="G85" s="19"/>
      <c r="H85" s="19"/>
      <c r="I85" s="19"/>
      <c r="J85" s="19"/>
      <c r="K85" s="19"/>
      <c r="L85" s="79"/>
    </row>
    <row r="86" spans="1:12" ht="25.5" x14ac:dyDescent="0.25">
      <c r="A86" s="5">
        <f t="shared" si="9"/>
        <v>7.0000999999999998</v>
      </c>
      <c r="B86" s="77" t="s">
        <v>896</v>
      </c>
      <c r="C86" s="76" t="s">
        <v>897</v>
      </c>
      <c r="D86" s="77"/>
      <c r="E86" s="77"/>
      <c r="F86" s="8" t="s">
        <v>7</v>
      </c>
      <c r="G86" s="8">
        <f t="shared" ref="G86:J89" si="10">IF($F86=G$1,1,0)</f>
        <v>0</v>
      </c>
      <c r="H86" s="8">
        <f t="shared" si="10"/>
        <v>0</v>
      </c>
      <c r="I86" s="8">
        <f t="shared" si="10"/>
        <v>0</v>
      </c>
      <c r="J86" s="8">
        <f t="shared" si="10"/>
        <v>1</v>
      </c>
      <c r="K86" s="8"/>
      <c r="L86" s="77"/>
    </row>
    <row r="87" spans="1:12" x14ac:dyDescent="0.25">
      <c r="A87" s="5">
        <f t="shared" si="9"/>
        <v>7.0001999999999995</v>
      </c>
      <c r="B87" s="77"/>
      <c r="C87" s="76" t="s">
        <v>900</v>
      </c>
      <c r="D87" s="77"/>
      <c r="E87" s="77"/>
      <c r="F87" s="8" t="s">
        <v>7</v>
      </c>
      <c r="G87" s="8">
        <f t="shared" si="10"/>
        <v>0</v>
      </c>
      <c r="H87" s="8">
        <f t="shared" si="10"/>
        <v>0</v>
      </c>
      <c r="I87" s="8">
        <f t="shared" si="10"/>
        <v>0</v>
      </c>
      <c r="J87" s="8">
        <f t="shared" si="10"/>
        <v>1</v>
      </c>
      <c r="K87" s="8"/>
      <c r="L87" s="77"/>
    </row>
    <row r="88" spans="1:12" x14ac:dyDescent="0.25">
      <c r="A88" s="5">
        <f t="shared" si="9"/>
        <v>7.0002999999999993</v>
      </c>
      <c r="B88" s="77"/>
      <c r="C88" s="76" t="s">
        <v>899</v>
      </c>
      <c r="D88" s="77"/>
      <c r="E88" s="77"/>
      <c r="F88" s="8" t="s">
        <v>7</v>
      </c>
      <c r="G88" s="8">
        <f t="shared" si="10"/>
        <v>0</v>
      </c>
      <c r="H88" s="8">
        <f t="shared" si="10"/>
        <v>0</v>
      </c>
      <c r="I88" s="8">
        <f t="shared" si="10"/>
        <v>0</v>
      </c>
      <c r="J88" s="8">
        <f t="shared" si="10"/>
        <v>1</v>
      </c>
      <c r="K88" s="8"/>
      <c r="L88" s="77"/>
    </row>
    <row r="89" spans="1:12" x14ac:dyDescent="0.25">
      <c r="A89" s="5">
        <f t="shared" si="9"/>
        <v>7.0003999999999991</v>
      </c>
      <c r="B89" s="77"/>
      <c r="C89" s="76" t="s">
        <v>898</v>
      </c>
      <c r="D89" s="77"/>
      <c r="E89" s="77"/>
      <c r="F89" s="8" t="s">
        <v>7</v>
      </c>
      <c r="G89" s="8">
        <f t="shared" si="10"/>
        <v>0</v>
      </c>
      <c r="H89" s="8">
        <f t="shared" si="10"/>
        <v>0</v>
      </c>
      <c r="I89" s="8">
        <f t="shared" si="10"/>
        <v>0</v>
      </c>
      <c r="J89" s="8">
        <f t="shared" si="10"/>
        <v>1</v>
      </c>
      <c r="K89" s="8"/>
      <c r="L89" s="77"/>
    </row>
    <row r="90" spans="1:12" s="20" customFormat="1" x14ac:dyDescent="0.25">
      <c r="A90" s="16">
        <v>8</v>
      </c>
      <c r="B90" s="79" t="s">
        <v>789</v>
      </c>
      <c r="C90" s="80"/>
      <c r="D90" s="79"/>
      <c r="E90" s="79"/>
      <c r="F90" s="19"/>
      <c r="G90" s="19"/>
      <c r="H90" s="19"/>
      <c r="I90" s="19"/>
      <c r="J90" s="19"/>
      <c r="K90" s="19"/>
      <c r="L90" s="79"/>
    </row>
    <row r="91" spans="1:12" ht="38.25" x14ac:dyDescent="0.25">
      <c r="A91" s="5">
        <v>8.0000999999999998</v>
      </c>
      <c r="B91" s="113" t="s">
        <v>1063</v>
      </c>
      <c r="C91" s="114" t="s">
        <v>1068</v>
      </c>
      <c r="D91" s="77" t="s">
        <v>1090</v>
      </c>
      <c r="E91" s="106"/>
      <c r="F91" s="8" t="s">
        <v>8</v>
      </c>
      <c r="G91" s="8">
        <f t="shared" ref="G91:J94" si="11">IF($F91=G$1,1,0)</f>
        <v>0</v>
      </c>
      <c r="H91" s="8">
        <f t="shared" si="11"/>
        <v>0</v>
      </c>
      <c r="I91" s="8">
        <f t="shared" si="11"/>
        <v>0</v>
      </c>
      <c r="J91" s="8">
        <f t="shared" si="11"/>
        <v>0</v>
      </c>
      <c r="K91" s="8"/>
      <c r="L91" s="77"/>
    </row>
    <row r="92" spans="1:12" s="20" customFormat="1" x14ac:dyDescent="0.25">
      <c r="A92" s="16">
        <v>9</v>
      </c>
      <c r="B92" s="79" t="s">
        <v>1081</v>
      </c>
      <c r="C92" s="80" t="s">
        <v>1082</v>
      </c>
      <c r="D92" s="79"/>
      <c r="E92" s="79"/>
      <c r="F92" s="19"/>
      <c r="G92" s="19"/>
      <c r="H92" s="19"/>
      <c r="I92" s="19"/>
      <c r="J92" s="19"/>
      <c r="K92" s="19"/>
      <c r="L92" s="79"/>
    </row>
    <row r="93" spans="1:12" x14ac:dyDescent="0.25">
      <c r="A93" s="5">
        <f t="shared" si="9"/>
        <v>9.0000999999999998</v>
      </c>
      <c r="B93" s="77" t="s">
        <v>859</v>
      </c>
      <c r="C93" s="76" t="s">
        <v>860</v>
      </c>
      <c r="D93" s="77"/>
      <c r="E93" s="77"/>
      <c r="F93" s="8" t="s">
        <v>7</v>
      </c>
      <c r="G93" s="8">
        <f t="shared" si="11"/>
        <v>0</v>
      </c>
      <c r="H93" s="8">
        <f t="shared" si="11"/>
        <v>0</v>
      </c>
      <c r="I93" s="8">
        <f t="shared" si="11"/>
        <v>0</v>
      </c>
      <c r="J93" s="8">
        <f t="shared" si="11"/>
        <v>1</v>
      </c>
      <c r="K93" s="8"/>
      <c r="L93" s="77"/>
    </row>
    <row r="94" spans="1:12" x14ac:dyDescent="0.25">
      <c r="A94" s="5">
        <f t="shared" si="9"/>
        <v>9.0001999999999995</v>
      </c>
      <c r="B94" s="77" t="s">
        <v>1102</v>
      </c>
      <c r="C94" s="76" t="s">
        <v>872</v>
      </c>
      <c r="D94" s="77"/>
      <c r="E94" s="77"/>
      <c r="F94" s="8" t="s">
        <v>7</v>
      </c>
      <c r="G94" s="8">
        <f t="shared" si="11"/>
        <v>0</v>
      </c>
      <c r="H94" s="8">
        <f t="shared" si="11"/>
        <v>0</v>
      </c>
      <c r="I94" s="8">
        <f t="shared" si="11"/>
        <v>0</v>
      </c>
      <c r="J94" s="8">
        <f t="shared" si="11"/>
        <v>1</v>
      </c>
      <c r="K94" s="8"/>
      <c r="L94" s="77"/>
    </row>
    <row r="95" spans="1:12" x14ac:dyDescent="0.25">
      <c r="A95" s="5">
        <f t="shared" si="9"/>
        <v>9.0002999999999993</v>
      </c>
      <c r="B95" s="77" t="s">
        <v>871</v>
      </c>
      <c r="C95" s="82" t="s">
        <v>861</v>
      </c>
      <c r="D95" s="77"/>
      <c r="E95" s="77"/>
      <c r="F95" s="8" t="s">
        <v>7</v>
      </c>
      <c r="G95" s="8">
        <f t="shared" ref="G95:J102" si="12">IF($F95=G$1,1,0)</f>
        <v>0</v>
      </c>
      <c r="H95" s="8">
        <f t="shared" si="12"/>
        <v>0</v>
      </c>
      <c r="I95" s="8">
        <f t="shared" si="12"/>
        <v>0</v>
      </c>
      <c r="J95" s="8">
        <f t="shared" si="12"/>
        <v>1</v>
      </c>
      <c r="K95" s="8"/>
      <c r="L95" s="77"/>
    </row>
    <row r="96" spans="1:12" x14ac:dyDescent="0.25">
      <c r="A96" s="5">
        <f t="shared" si="9"/>
        <v>9.0003999999999991</v>
      </c>
      <c r="B96" s="77"/>
      <c r="C96" s="82" t="s">
        <v>865</v>
      </c>
      <c r="D96" s="77"/>
      <c r="E96" s="77"/>
      <c r="F96" s="8" t="s">
        <v>7</v>
      </c>
      <c r="G96" s="8">
        <f t="shared" si="12"/>
        <v>0</v>
      </c>
      <c r="H96" s="8">
        <f t="shared" si="12"/>
        <v>0</v>
      </c>
      <c r="I96" s="8">
        <f t="shared" si="12"/>
        <v>0</v>
      </c>
      <c r="J96" s="8">
        <f t="shared" si="12"/>
        <v>1</v>
      </c>
      <c r="K96" s="8"/>
      <c r="L96" s="77"/>
    </row>
    <row r="97" spans="1:12" ht="25.5" x14ac:dyDescent="0.25">
      <c r="A97" s="5">
        <f t="shared" si="9"/>
        <v>9.0004999999999988</v>
      </c>
      <c r="B97" s="77"/>
      <c r="C97" s="76" t="s">
        <v>862</v>
      </c>
      <c r="D97" s="77" t="s">
        <v>863</v>
      </c>
      <c r="E97" s="77"/>
      <c r="F97" s="8" t="s">
        <v>7</v>
      </c>
      <c r="G97" s="8">
        <f t="shared" si="12"/>
        <v>0</v>
      </c>
      <c r="H97" s="8">
        <f t="shared" si="12"/>
        <v>0</v>
      </c>
      <c r="I97" s="8">
        <f t="shared" si="12"/>
        <v>0</v>
      </c>
      <c r="J97" s="8">
        <f t="shared" si="12"/>
        <v>1</v>
      </c>
      <c r="K97" s="8"/>
      <c r="L97" s="77"/>
    </row>
    <row r="98" spans="1:12" x14ac:dyDescent="0.25">
      <c r="A98" s="5">
        <f t="shared" si="9"/>
        <v>9.0005999999999986</v>
      </c>
      <c r="B98" s="77"/>
      <c r="C98" s="82" t="s">
        <v>864</v>
      </c>
      <c r="D98" s="77"/>
      <c r="E98" s="77"/>
      <c r="F98" s="8" t="s">
        <v>7</v>
      </c>
      <c r="G98" s="8">
        <f t="shared" si="12"/>
        <v>0</v>
      </c>
      <c r="H98" s="8">
        <f t="shared" si="12"/>
        <v>0</v>
      </c>
      <c r="I98" s="8">
        <f t="shared" si="12"/>
        <v>0</v>
      </c>
      <c r="J98" s="8">
        <f t="shared" si="12"/>
        <v>1</v>
      </c>
      <c r="K98" s="8"/>
      <c r="L98" s="77"/>
    </row>
    <row r="99" spans="1:12" x14ac:dyDescent="0.25">
      <c r="A99" s="5">
        <f t="shared" si="9"/>
        <v>9.0006999999999984</v>
      </c>
      <c r="B99" s="76"/>
      <c r="C99" s="82" t="s">
        <v>866</v>
      </c>
      <c r="D99" s="77"/>
      <c r="E99" s="77"/>
      <c r="F99" s="8" t="s">
        <v>7</v>
      </c>
      <c r="G99" s="8">
        <f t="shared" si="12"/>
        <v>0</v>
      </c>
      <c r="H99" s="8">
        <f t="shared" si="12"/>
        <v>0</v>
      </c>
      <c r="I99" s="8">
        <f t="shared" si="12"/>
        <v>0</v>
      </c>
      <c r="J99" s="8">
        <f t="shared" si="12"/>
        <v>1</v>
      </c>
      <c r="K99" s="8"/>
      <c r="L99" s="77"/>
    </row>
    <row r="100" spans="1:12" x14ac:dyDescent="0.25">
      <c r="A100" s="5">
        <f t="shared" si="9"/>
        <v>9.0007999999999981</v>
      </c>
      <c r="B100" s="76"/>
      <c r="C100" s="76" t="s">
        <v>867</v>
      </c>
      <c r="D100" s="77">
        <v>654321</v>
      </c>
      <c r="E100" s="77"/>
      <c r="F100" s="8" t="s">
        <v>7</v>
      </c>
      <c r="G100" s="8">
        <f t="shared" si="12"/>
        <v>0</v>
      </c>
      <c r="H100" s="8">
        <f t="shared" si="12"/>
        <v>0</v>
      </c>
      <c r="I100" s="8">
        <f t="shared" si="12"/>
        <v>0</v>
      </c>
      <c r="J100" s="8">
        <f t="shared" si="12"/>
        <v>1</v>
      </c>
      <c r="K100" s="8"/>
      <c r="L100" s="77"/>
    </row>
    <row r="101" spans="1:12" x14ac:dyDescent="0.25">
      <c r="A101" s="5">
        <f t="shared" si="9"/>
        <v>9.0008999999999979</v>
      </c>
      <c r="B101" s="76"/>
      <c r="C101" s="76" t="s">
        <v>868</v>
      </c>
      <c r="D101" s="77"/>
      <c r="E101" s="77"/>
      <c r="F101" s="8" t="s">
        <v>7</v>
      </c>
      <c r="G101" s="8">
        <f t="shared" si="12"/>
        <v>0</v>
      </c>
      <c r="H101" s="8">
        <f t="shared" si="12"/>
        <v>0</v>
      </c>
      <c r="I101" s="8">
        <f t="shared" si="12"/>
        <v>0</v>
      </c>
      <c r="J101" s="8">
        <f t="shared" si="12"/>
        <v>1</v>
      </c>
      <c r="K101" s="8"/>
      <c r="L101" s="77"/>
    </row>
    <row r="102" spans="1:12" x14ac:dyDescent="0.25">
      <c r="A102" s="5">
        <f t="shared" si="9"/>
        <v>9.0009999999999977</v>
      </c>
      <c r="B102" s="76"/>
      <c r="C102" s="76" t="s">
        <v>869</v>
      </c>
      <c r="D102" s="77"/>
      <c r="E102" s="77"/>
      <c r="F102" s="8" t="s">
        <v>7</v>
      </c>
      <c r="G102" s="8">
        <f t="shared" si="12"/>
        <v>0</v>
      </c>
      <c r="H102" s="8">
        <f t="shared" si="12"/>
        <v>0</v>
      </c>
      <c r="I102" s="8">
        <f t="shared" si="12"/>
        <v>0</v>
      </c>
      <c r="J102" s="8">
        <f t="shared" si="12"/>
        <v>1</v>
      </c>
      <c r="K102" s="8"/>
      <c r="L102" s="77"/>
    </row>
    <row r="103" spans="1:12" x14ac:dyDescent="0.25">
      <c r="A103" s="5">
        <f t="shared" si="9"/>
        <v>9.0010999999999974</v>
      </c>
      <c r="B103" s="76" t="s">
        <v>873</v>
      </c>
      <c r="C103" s="76" t="s">
        <v>874</v>
      </c>
      <c r="D103" s="77"/>
      <c r="E103" s="77"/>
      <c r="F103" s="8" t="s">
        <v>7</v>
      </c>
      <c r="G103" s="8">
        <f t="shared" ref="G103:J117" si="13">IF($F103=G$1,1,0)</f>
        <v>0</v>
      </c>
      <c r="H103" s="8">
        <f t="shared" si="13"/>
        <v>0</v>
      </c>
      <c r="I103" s="8">
        <f t="shared" si="13"/>
        <v>0</v>
      </c>
      <c r="J103" s="8">
        <f t="shared" si="13"/>
        <v>1</v>
      </c>
      <c r="K103" s="8"/>
      <c r="L103" s="77"/>
    </row>
    <row r="104" spans="1:12" x14ac:dyDescent="0.25">
      <c r="A104" s="5">
        <f t="shared" si="9"/>
        <v>9.0011999999999972</v>
      </c>
      <c r="B104" s="76" t="s">
        <v>1103</v>
      </c>
      <c r="C104" s="82" t="s">
        <v>875</v>
      </c>
      <c r="D104" s="77"/>
      <c r="E104" s="77"/>
      <c r="F104" s="8" t="s">
        <v>7</v>
      </c>
      <c r="G104" s="8">
        <f t="shared" si="13"/>
        <v>0</v>
      </c>
      <c r="H104" s="8">
        <f t="shared" si="13"/>
        <v>0</v>
      </c>
      <c r="I104" s="8">
        <f t="shared" si="13"/>
        <v>0</v>
      </c>
      <c r="J104" s="8">
        <f t="shared" si="13"/>
        <v>1</v>
      </c>
      <c r="K104" s="8"/>
      <c r="L104" s="77"/>
    </row>
    <row r="105" spans="1:12" x14ac:dyDescent="0.25">
      <c r="A105" s="5">
        <f t="shared" si="9"/>
        <v>9.001299999999997</v>
      </c>
      <c r="B105" s="76"/>
      <c r="C105" s="76" t="s">
        <v>876</v>
      </c>
      <c r="D105" s="77"/>
      <c r="E105" s="77"/>
      <c r="F105" s="8" t="s">
        <v>7</v>
      </c>
      <c r="G105" s="8">
        <f t="shared" si="13"/>
        <v>0</v>
      </c>
      <c r="H105" s="8">
        <f t="shared" si="13"/>
        <v>0</v>
      </c>
      <c r="I105" s="8">
        <f t="shared" si="13"/>
        <v>0</v>
      </c>
      <c r="J105" s="8">
        <f t="shared" si="13"/>
        <v>1</v>
      </c>
      <c r="K105" s="8"/>
      <c r="L105" s="77"/>
    </row>
    <row r="106" spans="1:12" x14ac:dyDescent="0.25">
      <c r="A106" s="5">
        <f t="shared" si="9"/>
        <v>9.0013999999999967</v>
      </c>
      <c r="B106" s="76"/>
      <c r="C106" s="76" t="s">
        <v>877</v>
      </c>
      <c r="D106" s="77"/>
      <c r="E106" s="77"/>
      <c r="F106" s="8" t="s">
        <v>7</v>
      </c>
      <c r="G106" s="8">
        <f t="shared" si="13"/>
        <v>0</v>
      </c>
      <c r="H106" s="8">
        <f t="shared" si="13"/>
        <v>0</v>
      </c>
      <c r="I106" s="8">
        <f t="shared" si="13"/>
        <v>0</v>
      </c>
      <c r="J106" s="8">
        <f t="shared" si="13"/>
        <v>1</v>
      </c>
      <c r="K106" s="8"/>
      <c r="L106" s="77"/>
    </row>
    <row r="107" spans="1:12" x14ac:dyDescent="0.25">
      <c r="A107" s="5">
        <f t="shared" si="9"/>
        <v>9.0014999999999965</v>
      </c>
      <c r="B107" s="76"/>
      <c r="C107" s="82" t="s">
        <v>1104</v>
      </c>
      <c r="D107" s="77"/>
      <c r="E107" s="77"/>
      <c r="F107" s="8" t="s">
        <v>7</v>
      </c>
      <c r="G107" s="8">
        <f t="shared" si="13"/>
        <v>0</v>
      </c>
      <c r="H107" s="8">
        <f t="shared" si="13"/>
        <v>0</v>
      </c>
      <c r="I107" s="8">
        <f t="shared" si="13"/>
        <v>0</v>
      </c>
      <c r="J107" s="8">
        <f t="shared" si="13"/>
        <v>1</v>
      </c>
      <c r="K107" s="8"/>
      <c r="L107" s="77"/>
    </row>
    <row r="108" spans="1:12" x14ac:dyDescent="0.25">
      <c r="A108" s="5">
        <f t="shared" si="9"/>
        <v>9.0015999999999963</v>
      </c>
      <c r="B108" s="76"/>
      <c r="C108" s="76" t="s">
        <v>1105</v>
      </c>
      <c r="D108" s="77"/>
      <c r="E108" s="77"/>
      <c r="F108" s="8" t="s">
        <v>7</v>
      </c>
      <c r="G108" s="8">
        <f t="shared" si="13"/>
        <v>0</v>
      </c>
      <c r="H108" s="8">
        <f t="shared" si="13"/>
        <v>0</v>
      </c>
      <c r="I108" s="8">
        <f t="shared" si="13"/>
        <v>0</v>
      </c>
      <c r="J108" s="8">
        <f t="shared" si="13"/>
        <v>1</v>
      </c>
      <c r="K108" s="8"/>
      <c r="L108" s="77"/>
    </row>
    <row r="109" spans="1:12" x14ac:dyDescent="0.25">
      <c r="A109" s="5">
        <f t="shared" si="9"/>
        <v>9.001699999999996</v>
      </c>
      <c r="B109" s="83" t="s">
        <v>797</v>
      </c>
      <c r="C109" s="82" t="s">
        <v>791</v>
      </c>
      <c r="D109" s="77"/>
      <c r="E109" s="77"/>
      <c r="F109" s="8" t="s">
        <v>7</v>
      </c>
      <c r="G109" s="8">
        <f t="shared" si="13"/>
        <v>0</v>
      </c>
      <c r="H109" s="8">
        <f t="shared" si="13"/>
        <v>0</v>
      </c>
      <c r="I109" s="8">
        <f t="shared" si="13"/>
        <v>0</v>
      </c>
      <c r="J109" s="8">
        <f t="shared" si="13"/>
        <v>1</v>
      </c>
      <c r="K109" s="8"/>
      <c r="L109" s="77"/>
    </row>
    <row r="110" spans="1:12" x14ac:dyDescent="0.25">
      <c r="A110" s="5">
        <f t="shared" si="9"/>
        <v>9.0017999999999958</v>
      </c>
      <c r="B110" s="77"/>
      <c r="C110" s="76" t="s">
        <v>792</v>
      </c>
      <c r="D110" s="77"/>
      <c r="E110" s="77"/>
      <c r="F110" s="8" t="s">
        <v>7</v>
      </c>
      <c r="G110" s="8">
        <f t="shared" si="13"/>
        <v>0</v>
      </c>
      <c r="H110" s="8">
        <f t="shared" si="13"/>
        <v>0</v>
      </c>
      <c r="I110" s="8">
        <f t="shared" si="13"/>
        <v>0</v>
      </c>
      <c r="J110" s="8">
        <f t="shared" si="13"/>
        <v>1</v>
      </c>
      <c r="K110" s="8"/>
      <c r="L110" s="77"/>
    </row>
    <row r="111" spans="1:12" x14ac:dyDescent="0.25">
      <c r="A111" s="5">
        <f t="shared" si="9"/>
        <v>9.0018999999999956</v>
      </c>
      <c r="B111" s="77"/>
      <c r="C111" s="76" t="s">
        <v>883</v>
      </c>
      <c r="D111" s="77"/>
      <c r="E111" s="77"/>
      <c r="F111" s="8" t="s">
        <v>7</v>
      </c>
      <c r="G111" s="8">
        <f t="shared" si="13"/>
        <v>0</v>
      </c>
      <c r="H111" s="8">
        <f t="shared" si="13"/>
        <v>0</v>
      </c>
      <c r="I111" s="8">
        <f t="shared" si="13"/>
        <v>0</v>
      </c>
      <c r="J111" s="8">
        <f t="shared" si="13"/>
        <v>1</v>
      </c>
      <c r="K111" s="8"/>
      <c r="L111" s="77"/>
    </row>
    <row r="112" spans="1:12" x14ac:dyDescent="0.25">
      <c r="A112" s="5">
        <f t="shared" si="9"/>
        <v>9.0019999999999953</v>
      </c>
      <c r="B112" s="77"/>
      <c r="C112" s="76" t="s">
        <v>884</v>
      </c>
      <c r="D112" s="77"/>
      <c r="E112" s="77"/>
      <c r="F112" s="8" t="s">
        <v>7</v>
      </c>
      <c r="G112" s="8">
        <f t="shared" si="13"/>
        <v>0</v>
      </c>
      <c r="H112" s="8">
        <f t="shared" si="13"/>
        <v>0</v>
      </c>
      <c r="I112" s="8">
        <f t="shared" si="13"/>
        <v>0</v>
      </c>
      <c r="J112" s="8">
        <f t="shared" si="13"/>
        <v>1</v>
      </c>
      <c r="K112" s="8"/>
      <c r="L112" s="77"/>
    </row>
    <row r="113" spans="1:12" x14ac:dyDescent="0.25">
      <c r="A113" s="5">
        <f t="shared" si="9"/>
        <v>9.0020999999999951</v>
      </c>
      <c r="B113" s="77"/>
      <c r="C113" s="76" t="s">
        <v>882</v>
      </c>
      <c r="D113" s="77"/>
      <c r="E113" s="77"/>
      <c r="F113" s="8" t="s">
        <v>7</v>
      </c>
      <c r="G113" s="8">
        <f t="shared" si="13"/>
        <v>0</v>
      </c>
      <c r="H113" s="8">
        <f t="shared" si="13"/>
        <v>0</v>
      </c>
      <c r="I113" s="8">
        <f t="shared" si="13"/>
        <v>0</v>
      </c>
      <c r="J113" s="8">
        <f t="shared" si="13"/>
        <v>1</v>
      </c>
      <c r="K113" s="8"/>
      <c r="L113" s="77"/>
    </row>
    <row r="114" spans="1:12" x14ac:dyDescent="0.25">
      <c r="A114" s="5">
        <f t="shared" si="9"/>
        <v>9.0021999999999949</v>
      </c>
      <c r="B114" s="77"/>
      <c r="C114" s="76" t="s">
        <v>879</v>
      </c>
      <c r="D114" s="77"/>
      <c r="E114" s="77"/>
      <c r="F114" s="8" t="s">
        <v>7</v>
      </c>
      <c r="G114" s="8">
        <f t="shared" si="13"/>
        <v>0</v>
      </c>
      <c r="H114" s="8">
        <f t="shared" si="13"/>
        <v>0</v>
      </c>
      <c r="I114" s="8">
        <f t="shared" si="13"/>
        <v>0</v>
      </c>
      <c r="J114" s="8">
        <f t="shared" si="13"/>
        <v>1</v>
      </c>
      <c r="K114" s="8"/>
      <c r="L114" s="77"/>
    </row>
    <row r="115" spans="1:12" x14ac:dyDescent="0.25">
      <c r="A115" s="5">
        <f t="shared" si="9"/>
        <v>9.0022999999999946</v>
      </c>
      <c r="B115" s="77"/>
      <c r="C115" s="76" t="s">
        <v>878</v>
      </c>
      <c r="D115" s="77"/>
      <c r="E115" s="77"/>
      <c r="F115" s="8" t="s">
        <v>7</v>
      </c>
      <c r="G115" s="8">
        <f t="shared" si="13"/>
        <v>0</v>
      </c>
      <c r="H115" s="8">
        <f t="shared" si="13"/>
        <v>0</v>
      </c>
      <c r="I115" s="8">
        <f t="shared" si="13"/>
        <v>0</v>
      </c>
      <c r="J115" s="8">
        <f t="shared" si="13"/>
        <v>1</v>
      </c>
      <c r="K115" s="8"/>
      <c r="L115" s="77"/>
    </row>
    <row r="116" spans="1:12" x14ac:dyDescent="0.25">
      <c r="A116" s="5">
        <f t="shared" si="9"/>
        <v>9.0023999999999944</v>
      </c>
      <c r="B116" s="77"/>
      <c r="C116" s="76" t="s">
        <v>881</v>
      </c>
      <c r="D116" s="77"/>
      <c r="E116" s="77"/>
      <c r="F116" s="8" t="s">
        <v>7</v>
      </c>
      <c r="G116" s="8">
        <f t="shared" si="13"/>
        <v>0</v>
      </c>
      <c r="H116" s="8">
        <f t="shared" si="13"/>
        <v>0</v>
      </c>
      <c r="I116" s="8">
        <f t="shared" si="13"/>
        <v>0</v>
      </c>
      <c r="J116" s="8">
        <f t="shared" si="13"/>
        <v>1</v>
      </c>
      <c r="K116" s="8"/>
      <c r="L116" s="77"/>
    </row>
    <row r="117" spans="1:12" ht="16.5" customHeight="1" x14ac:dyDescent="0.25">
      <c r="A117" s="5">
        <f t="shared" si="9"/>
        <v>9.0024999999999942</v>
      </c>
      <c r="B117" s="77"/>
      <c r="C117" s="76" t="s">
        <v>885</v>
      </c>
      <c r="D117" s="77"/>
      <c r="E117" s="77"/>
      <c r="F117" s="8" t="s">
        <v>7</v>
      </c>
      <c r="G117" s="8">
        <f t="shared" si="13"/>
        <v>0</v>
      </c>
      <c r="H117" s="8">
        <f t="shared" si="13"/>
        <v>0</v>
      </c>
      <c r="I117" s="8">
        <f t="shared" si="13"/>
        <v>0</v>
      </c>
      <c r="J117" s="8">
        <f t="shared" si="13"/>
        <v>1</v>
      </c>
      <c r="K117" s="8"/>
      <c r="L117" s="77"/>
    </row>
    <row r="118" spans="1:12" ht="25.5" x14ac:dyDescent="0.25">
      <c r="A118" s="5">
        <f t="shared" si="9"/>
        <v>9.0025999999999939</v>
      </c>
      <c r="B118" s="77"/>
      <c r="C118" s="76" t="s">
        <v>1106</v>
      </c>
      <c r="D118" s="77"/>
      <c r="E118" s="77"/>
      <c r="F118" s="8" t="s">
        <v>7</v>
      </c>
      <c r="G118" s="8">
        <f t="shared" ref="G118:J119" si="14">IF($F118=G$1,1,0)</f>
        <v>0</v>
      </c>
      <c r="H118" s="8">
        <f t="shared" si="14"/>
        <v>0</v>
      </c>
      <c r="I118" s="8">
        <f t="shared" si="14"/>
        <v>0</v>
      </c>
      <c r="J118" s="8">
        <f t="shared" si="14"/>
        <v>1</v>
      </c>
      <c r="K118" s="8"/>
      <c r="L118" s="77"/>
    </row>
    <row r="119" spans="1:12" x14ac:dyDescent="0.25">
      <c r="A119" s="5">
        <f t="shared" si="9"/>
        <v>9.0026999999999937</v>
      </c>
      <c r="B119" s="83" t="s">
        <v>888</v>
      </c>
      <c r="C119" s="82" t="s">
        <v>880</v>
      </c>
      <c r="D119" s="77"/>
      <c r="E119" s="77"/>
      <c r="F119" s="8" t="s">
        <v>7</v>
      </c>
      <c r="G119" s="8">
        <f t="shared" si="14"/>
        <v>0</v>
      </c>
      <c r="H119" s="8">
        <f t="shared" si="14"/>
        <v>0</v>
      </c>
      <c r="I119" s="8">
        <f t="shared" si="14"/>
        <v>0</v>
      </c>
      <c r="J119" s="8">
        <f t="shared" si="14"/>
        <v>1</v>
      </c>
      <c r="K119" s="8"/>
      <c r="L119" s="77"/>
    </row>
    <row r="120" spans="1:12" x14ac:dyDescent="0.25">
      <c r="A120" s="5">
        <f t="shared" si="9"/>
        <v>9.0027999999999935</v>
      </c>
      <c r="B120" s="77"/>
      <c r="C120" s="76" t="s">
        <v>889</v>
      </c>
      <c r="D120" s="77"/>
      <c r="E120" s="77"/>
      <c r="F120" s="8" t="s">
        <v>7</v>
      </c>
      <c r="G120" s="8">
        <f t="shared" ref="G120:J137" si="15">IF($F120=G$1,1,0)</f>
        <v>0</v>
      </c>
      <c r="H120" s="8">
        <f t="shared" si="15"/>
        <v>0</v>
      </c>
      <c r="I120" s="8">
        <f t="shared" si="15"/>
        <v>0</v>
      </c>
      <c r="J120" s="8">
        <f t="shared" si="15"/>
        <v>1</v>
      </c>
      <c r="K120" s="8"/>
      <c r="L120" s="77"/>
    </row>
    <row r="121" spans="1:12" x14ac:dyDescent="0.25">
      <c r="A121" s="5">
        <f t="shared" si="9"/>
        <v>9.0028999999999932</v>
      </c>
      <c r="B121" s="77"/>
      <c r="C121" s="76" t="s">
        <v>815</v>
      </c>
      <c r="D121" s="77"/>
      <c r="E121" s="77"/>
      <c r="F121" s="8" t="s">
        <v>7</v>
      </c>
      <c r="G121" s="8">
        <f t="shared" si="15"/>
        <v>0</v>
      </c>
      <c r="H121" s="8">
        <f t="shared" si="15"/>
        <v>0</v>
      </c>
      <c r="I121" s="8">
        <f t="shared" si="15"/>
        <v>0</v>
      </c>
      <c r="J121" s="8">
        <f t="shared" si="15"/>
        <v>1</v>
      </c>
      <c r="K121" s="8"/>
      <c r="L121" s="77"/>
    </row>
    <row r="122" spans="1:12" x14ac:dyDescent="0.25">
      <c r="A122" s="5">
        <f t="shared" si="9"/>
        <v>9.002999999999993</v>
      </c>
      <c r="B122" s="77"/>
      <c r="C122" s="76" t="s">
        <v>816</v>
      </c>
      <c r="D122" s="77"/>
      <c r="E122" s="77"/>
      <c r="F122" s="8" t="s">
        <v>7</v>
      </c>
      <c r="G122" s="8">
        <f t="shared" si="15"/>
        <v>0</v>
      </c>
      <c r="H122" s="8">
        <f t="shared" si="15"/>
        <v>0</v>
      </c>
      <c r="I122" s="8">
        <f t="shared" si="15"/>
        <v>0</v>
      </c>
      <c r="J122" s="8">
        <f t="shared" si="15"/>
        <v>1</v>
      </c>
      <c r="K122" s="8"/>
      <c r="L122" s="77"/>
    </row>
    <row r="123" spans="1:12" x14ac:dyDescent="0.25">
      <c r="A123" s="5">
        <f t="shared" si="9"/>
        <v>9.0030999999999928</v>
      </c>
      <c r="B123" s="77"/>
      <c r="C123" s="76" t="s">
        <v>886</v>
      </c>
      <c r="D123" s="77"/>
      <c r="E123" s="77"/>
      <c r="F123" s="8" t="s">
        <v>7</v>
      </c>
      <c r="G123" s="8">
        <f t="shared" si="15"/>
        <v>0</v>
      </c>
      <c r="H123" s="8">
        <f t="shared" si="15"/>
        <v>0</v>
      </c>
      <c r="I123" s="8">
        <f t="shared" si="15"/>
        <v>0</v>
      </c>
      <c r="J123" s="8">
        <f t="shared" si="15"/>
        <v>1</v>
      </c>
      <c r="K123" s="8"/>
      <c r="L123" s="77"/>
    </row>
    <row r="124" spans="1:12" x14ac:dyDescent="0.25">
      <c r="A124" s="5">
        <f t="shared" si="9"/>
        <v>9.0031999999999925</v>
      </c>
      <c r="B124" s="77"/>
      <c r="C124" s="76" t="s">
        <v>1107</v>
      </c>
      <c r="D124" s="77"/>
      <c r="E124" s="77"/>
      <c r="F124" s="8" t="s">
        <v>7</v>
      </c>
      <c r="G124" s="8">
        <f t="shared" si="15"/>
        <v>0</v>
      </c>
      <c r="H124" s="8">
        <f t="shared" si="15"/>
        <v>0</v>
      </c>
      <c r="I124" s="8">
        <f t="shared" si="15"/>
        <v>0</v>
      </c>
      <c r="J124" s="8">
        <f t="shared" si="15"/>
        <v>1</v>
      </c>
      <c r="K124" s="8"/>
      <c r="L124" s="77"/>
    </row>
    <row r="125" spans="1:12" x14ac:dyDescent="0.25">
      <c r="A125" s="5">
        <f t="shared" si="9"/>
        <v>9.0032999999999923</v>
      </c>
      <c r="B125" s="77"/>
      <c r="C125" s="76" t="s">
        <v>819</v>
      </c>
      <c r="D125" s="77"/>
      <c r="E125" s="77"/>
      <c r="F125" s="8" t="s">
        <v>7</v>
      </c>
      <c r="G125" s="8">
        <f t="shared" si="15"/>
        <v>0</v>
      </c>
      <c r="H125" s="8">
        <f t="shared" si="15"/>
        <v>0</v>
      </c>
      <c r="I125" s="8">
        <f t="shared" si="15"/>
        <v>0</v>
      </c>
      <c r="J125" s="8">
        <f t="shared" si="15"/>
        <v>1</v>
      </c>
      <c r="K125" s="8"/>
      <c r="L125" s="77"/>
    </row>
    <row r="126" spans="1:12" x14ac:dyDescent="0.25">
      <c r="A126" s="5">
        <f t="shared" si="9"/>
        <v>9.0033999999999921</v>
      </c>
      <c r="B126" s="77"/>
      <c r="C126" s="76" t="s">
        <v>894</v>
      </c>
      <c r="D126" s="77"/>
      <c r="E126" s="77"/>
      <c r="F126" s="8" t="s">
        <v>7</v>
      </c>
      <c r="G126" s="8">
        <f t="shared" si="15"/>
        <v>0</v>
      </c>
      <c r="H126" s="8">
        <f t="shared" si="15"/>
        <v>0</v>
      </c>
      <c r="I126" s="8">
        <f t="shared" si="15"/>
        <v>0</v>
      </c>
      <c r="J126" s="8">
        <f t="shared" si="15"/>
        <v>1</v>
      </c>
      <c r="K126" s="8"/>
      <c r="L126" s="77"/>
    </row>
    <row r="127" spans="1:12" x14ac:dyDescent="0.25">
      <c r="A127" s="5">
        <f t="shared" si="9"/>
        <v>9.0034999999999918</v>
      </c>
      <c r="B127" s="77"/>
      <c r="C127" s="76" t="s">
        <v>893</v>
      </c>
      <c r="D127" s="77"/>
      <c r="E127" s="77"/>
      <c r="F127" s="8" t="s">
        <v>7</v>
      </c>
      <c r="G127" s="8">
        <f t="shared" si="15"/>
        <v>0</v>
      </c>
      <c r="H127" s="8">
        <f t="shared" si="15"/>
        <v>0</v>
      </c>
      <c r="I127" s="8">
        <f t="shared" si="15"/>
        <v>0</v>
      </c>
      <c r="J127" s="8">
        <f t="shared" si="15"/>
        <v>1</v>
      </c>
      <c r="K127" s="8"/>
      <c r="L127" s="77"/>
    </row>
    <row r="128" spans="1:12" x14ac:dyDescent="0.25">
      <c r="A128" s="5">
        <f t="shared" si="9"/>
        <v>9.0035999999999916</v>
      </c>
      <c r="B128" s="76"/>
      <c r="C128" s="76" t="s">
        <v>892</v>
      </c>
      <c r="D128" s="77"/>
      <c r="E128" s="77"/>
      <c r="F128" s="8" t="s">
        <v>7</v>
      </c>
      <c r="G128" s="8">
        <f t="shared" si="15"/>
        <v>0</v>
      </c>
      <c r="H128" s="8">
        <f t="shared" si="15"/>
        <v>0</v>
      </c>
      <c r="I128" s="8">
        <f t="shared" si="15"/>
        <v>0</v>
      </c>
      <c r="J128" s="8">
        <f t="shared" si="15"/>
        <v>1</v>
      </c>
      <c r="K128" s="8"/>
      <c r="L128" s="77"/>
    </row>
    <row r="129" spans="1:12" x14ac:dyDescent="0.25">
      <c r="A129" s="5">
        <f t="shared" si="9"/>
        <v>9.0036999999999914</v>
      </c>
      <c r="B129" s="77"/>
      <c r="C129" s="76" t="s">
        <v>891</v>
      </c>
      <c r="D129" s="77"/>
      <c r="E129" s="77"/>
      <c r="F129" s="8" t="s">
        <v>7</v>
      </c>
      <c r="G129" s="8">
        <f t="shared" si="15"/>
        <v>0</v>
      </c>
      <c r="H129" s="8">
        <f t="shared" si="15"/>
        <v>0</v>
      </c>
      <c r="I129" s="8">
        <f t="shared" si="15"/>
        <v>0</v>
      </c>
      <c r="J129" s="8">
        <f t="shared" si="15"/>
        <v>1</v>
      </c>
      <c r="K129" s="8"/>
      <c r="L129" s="77"/>
    </row>
    <row r="130" spans="1:12" x14ac:dyDescent="0.25">
      <c r="A130" s="5">
        <f t="shared" si="9"/>
        <v>9.0037999999999911</v>
      </c>
      <c r="B130" s="77"/>
      <c r="C130" s="76" t="s">
        <v>890</v>
      </c>
      <c r="D130" s="77"/>
      <c r="E130" s="77"/>
      <c r="F130" s="8" t="s">
        <v>7</v>
      </c>
      <c r="G130" s="8">
        <f t="shared" si="15"/>
        <v>0</v>
      </c>
      <c r="H130" s="8">
        <f t="shared" si="15"/>
        <v>0</v>
      </c>
      <c r="I130" s="8">
        <f t="shared" si="15"/>
        <v>0</v>
      </c>
      <c r="J130" s="8">
        <f t="shared" si="15"/>
        <v>1</v>
      </c>
      <c r="K130" s="8"/>
      <c r="L130" s="77"/>
    </row>
    <row r="131" spans="1:12" s="20" customFormat="1" x14ac:dyDescent="0.25">
      <c r="A131" s="16">
        <v>10</v>
      </c>
      <c r="B131" s="79" t="s">
        <v>895</v>
      </c>
      <c r="C131" s="80"/>
      <c r="D131" s="79"/>
      <c r="E131" s="79"/>
      <c r="F131" s="19"/>
      <c r="G131" s="19"/>
      <c r="H131" s="19"/>
      <c r="I131" s="19"/>
      <c r="J131" s="19"/>
      <c r="K131" s="19"/>
      <c r="L131" s="79"/>
    </row>
    <row r="132" spans="1:12" ht="25.5" x14ac:dyDescent="0.25">
      <c r="A132" s="5">
        <f t="shared" ref="A132:A135" si="16">A131+0.0001</f>
        <v>10.0001</v>
      </c>
      <c r="B132" s="77" t="s">
        <v>896</v>
      </c>
      <c r="C132" s="76" t="s">
        <v>897</v>
      </c>
      <c r="D132" s="77"/>
      <c r="E132" s="77"/>
      <c r="F132" s="8" t="s">
        <v>7</v>
      </c>
      <c r="G132" s="8">
        <f t="shared" si="15"/>
        <v>0</v>
      </c>
      <c r="H132" s="8">
        <f t="shared" si="15"/>
        <v>0</v>
      </c>
      <c r="I132" s="8">
        <f t="shared" si="15"/>
        <v>0</v>
      </c>
      <c r="J132" s="8">
        <f t="shared" si="15"/>
        <v>1</v>
      </c>
      <c r="K132" s="8"/>
      <c r="L132" s="77"/>
    </row>
    <row r="133" spans="1:12" x14ac:dyDescent="0.25">
      <c r="A133" s="5">
        <f t="shared" si="16"/>
        <v>10.0002</v>
      </c>
      <c r="B133" s="77"/>
      <c r="C133" s="76" t="s">
        <v>900</v>
      </c>
      <c r="D133" s="77"/>
      <c r="E133" s="77"/>
      <c r="F133" s="8" t="s">
        <v>7</v>
      </c>
      <c r="G133" s="8">
        <f t="shared" si="15"/>
        <v>0</v>
      </c>
      <c r="H133" s="8">
        <f t="shared" si="15"/>
        <v>0</v>
      </c>
      <c r="I133" s="8">
        <f t="shared" si="15"/>
        <v>0</v>
      </c>
      <c r="J133" s="8">
        <f t="shared" si="15"/>
        <v>1</v>
      </c>
      <c r="K133" s="8"/>
      <c r="L133" s="77"/>
    </row>
    <row r="134" spans="1:12" x14ac:dyDescent="0.25">
      <c r="A134" s="5">
        <f t="shared" si="16"/>
        <v>10.000299999999999</v>
      </c>
      <c r="B134" s="77"/>
      <c r="C134" s="76" t="s">
        <v>899</v>
      </c>
      <c r="D134" s="77"/>
      <c r="E134" s="77"/>
      <c r="F134" s="8" t="s">
        <v>7</v>
      </c>
      <c r="G134" s="8">
        <f t="shared" si="15"/>
        <v>0</v>
      </c>
      <c r="H134" s="8">
        <f t="shared" si="15"/>
        <v>0</v>
      </c>
      <c r="I134" s="8">
        <f t="shared" si="15"/>
        <v>0</v>
      </c>
      <c r="J134" s="8">
        <f t="shared" si="15"/>
        <v>1</v>
      </c>
      <c r="K134" s="8"/>
      <c r="L134" s="77"/>
    </row>
    <row r="135" spans="1:12" x14ac:dyDescent="0.25">
      <c r="A135" s="5">
        <f t="shared" si="16"/>
        <v>10.000399999999999</v>
      </c>
      <c r="B135" s="77"/>
      <c r="C135" s="76" t="s">
        <v>902</v>
      </c>
      <c r="D135" s="77"/>
      <c r="E135" s="77"/>
      <c r="F135" s="8" t="s">
        <v>7</v>
      </c>
      <c r="G135" s="8">
        <f t="shared" si="15"/>
        <v>0</v>
      </c>
      <c r="H135" s="8">
        <f t="shared" si="15"/>
        <v>0</v>
      </c>
      <c r="I135" s="8">
        <f t="shared" si="15"/>
        <v>0</v>
      </c>
      <c r="J135" s="8">
        <f t="shared" si="15"/>
        <v>1</v>
      </c>
      <c r="K135" s="8"/>
      <c r="L135" s="77"/>
    </row>
    <row r="136" spans="1:12" s="20" customFormat="1" x14ac:dyDescent="0.25">
      <c r="A136" s="16">
        <v>11</v>
      </c>
      <c r="B136" s="79" t="s">
        <v>1085</v>
      </c>
      <c r="C136" s="80" t="s">
        <v>1087</v>
      </c>
      <c r="D136" s="79"/>
      <c r="E136" s="79"/>
      <c r="F136" s="19"/>
      <c r="G136" s="19"/>
      <c r="H136" s="19"/>
      <c r="I136" s="19"/>
      <c r="J136" s="19"/>
      <c r="K136" s="19"/>
      <c r="L136" s="79"/>
    </row>
    <row r="137" spans="1:12" ht="38.25" x14ac:dyDescent="0.25">
      <c r="A137" s="5">
        <v>11.0001</v>
      </c>
      <c r="B137" s="113" t="s">
        <v>1063</v>
      </c>
      <c r="C137" s="114" t="s">
        <v>1068</v>
      </c>
      <c r="D137" s="77" t="s">
        <v>1090</v>
      </c>
      <c r="E137" s="77"/>
      <c r="F137" s="8" t="s">
        <v>8</v>
      </c>
      <c r="G137" s="8">
        <f t="shared" si="15"/>
        <v>0</v>
      </c>
      <c r="H137" s="8">
        <f t="shared" si="15"/>
        <v>0</v>
      </c>
      <c r="I137" s="8">
        <f t="shared" si="15"/>
        <v>0</v>
      </c>
      <c r="J137" s="8">
        <f t="shared" si="15"/>
        <v>0</v>
      </c>
      <c r="K137" s="8"/>
      <c r="L137" s="77"/>
    </row>
    <row r="138" spans="1:12" x14ac:dyDescent="0.25">
      <c r="A138" s="84"/>
      <c r="B138" s="85"/>
      <c r="C138" s="86"/>
      <c r="D138" s="85"/>
      <c r="E138" s="85"/>
      <c r="F138" s="87"/>
      <c r="G138" s="88"/>
      <c r="H138" s="88"/>
      <c r="I138" s="88"/>
      <c r="J138" s="88"/>
      <c r="K138" s="88"/>
      <c r="L138" s="85"/>
    </row>
    <row r="139" spans="1:12" ht="15.75" thickBot="1" x14ac:dyDescent="0.3">
      <c r="G139" s="2">
        <f>SUM(G3:G137)</f>
        <v>0</v>
      </c>
      <c r="H139" s="2">
        <f>SUM(H3:H137)</f>
        <v>0</v>
      </c>
      <c r="I139" s="2">
        <f>SUM(I3:I137)</f>
        <v>0</v>
      </c>
      <c r="J139" s="2">
        <f>SUM(J3:J137)</f>
        <v>120</v>
      </c>
      <c r="K139" s="2">
        <f>SUM(K3:K137)</f>
        <v>0</v>
      </c>
    </row>
    <row r="140" spans="1:12" ht="15.75" thickTop="1" x14ac:dyDescent="0.25"/>
  </sheetData>
  <mergeCells count="1">
    <mergeCell ref="A2:C2"/>
  </mergeCells>
  <conditionalFormatting sqref="A3:K3 C4:F4 E12:E14 B12:C14 K12:L14 B93:C100 D93:D98 E137 G135:J135 K127:L130 G108:J118 B108:D128 B102:D104 G89:J89 K52:L52 K25:L49 A11 D25:E50 B24:C50 G19:J49 A52 K86:L89 A91 K93:L118 K132:L135 A137 A138:L158 A13 A15 A17 A19 A21 A31 A23 A33 A25 A35 A27 A29 A37 A39 A41 A43 A45 A47 A49 A93:A130 A132:E135 A4:A8 L3:L8 G4:K8 D70:D74 E56:E74 K54:L74 A54:A74 B69:C74 A76:A79 B5:F8 G56:J74 E93:F93 G120:L125 G127:J128 B129:E130 G130:J130 E94:E128 D76:L79 A81:L84 A86:F89 F94:F130">
    <cfRule type="expression" dxfId="297" priority="259">
      <formula>$F3="Fail"</formula>
    </cfRule>
  </conditionalFormatting>
  <conditionalFormatting sqref="B15:C15 K10:K11 B19:C19 B16:E18 K16:K18 B10:E11">
    <cfRule type="expression" dxfId="296" priority="258">
      <formula>$F10="Fail"</formula>
    </cfRule>
  </conditionalFormatting>
  <conditionalFormatting sqref="B25:C25 B17:C19 E19 K19:K24 B20:E24">
    <cfRule type="expression" dxfId="295" priority="256">
      <formula>$F17="Fail"</formula>
    </cfRule>
  </conditionalFormatting>
  <conditionalFormatting sqref="B15:E15 K15">
    <cfRule type="expression" dxfId="294" priority="255">
      <formula>$F15="Fail"</formula>
    </cfRule>
  </conditionalFormatting>
  <conditionalFormatting sqref="L16:L18 L10:L11">
    <cfRule type="expression" dxfId="293" priority="253">
      <formula>$F10="Fail"</formula>
    </cfRule>
  </conditionalFormatting>
  <conditionalFormatting sqref="L19:L24">
    <cfRule type="expression" dxfId="292" priority="252">
      <formula>$F19="Fail"</formula>
    </cfRule>
  </conditionalFormatting>
  <conditionalFormatting sqref="L15">
    <cfRule type="expression" dxfId="291" priority="251">
      <formula>$F15="Fail"</formula>
    </cfRule>
  </conditionalFormatting>
  <conditionalFormatting sqref="B19:C19">
    <cfRule type="expression" dxfId="290" priority="250">
      <formula>$F19="Fail"</formula>
    </cfRule>
  </conditionalFormatting>
  <conditionalFormatting sqref="D19">
    <cfRule type="expression" dxfId="289" priority="260">
      <formula>$F12="Fail"</formula>
    </cfRule>
  </conditionalFormatting>
  <conditionalFormatting sqref="B4">
    <cfRule type="expression" dxfId="288" priority="248">
      <formula>$F4="Fail"</formula>
    </cfRule>
  </conditionalFormatting>
  <conditionalFormatting sqref="E54:E55">
    <cfRule type="expression" dxfId="287" priority="233">
      <formula>$F54="Fail"</formula>
    </cfRule>
  </conditionalFormatting>
  <conditionalFormatting sqref="G55:J55">
    <cfRule type="expression" dxfId="286" priority="227">
      <formula>$F55="Fail"</formula>
    </cfRule>
  </conditionalFormatting>
  <conditionalFormatting sqref="B57:B59 C101 B105:B107">
    <cfRule type="expression" dxfId="285" priority="225">
      <formula>$F57="Fail"</formula>
    </cfRule>
  </conditionalFormatting>
  <conditionalFormatting sqref="B60:B64 B54:B56 D54 D61:D63">
    <cfRule type="expression" dxfId="284" priority="224">
      <formula>$F54="Fail"</formula>
    </cfRule>
  </conditionalFormatting>
  <conditionalFormatting sqref="B99:D100 C101:D101 B105:B107 D105:D107">
    <cfRule type="expression" dxfId="283" priority="223">
      <formula>$F99="Fail"</formula>
    </cfRule>
  </conditionalFormatting>
  <conditionalFormatting sqref="B70:C70 B66:D69 B62:B65 D65">
    <cfRule type="expression" dxfId="282" priority="222">
      <formula>$F62="Fail"</formula>
    </cfRule>
  </conditionalFormatting>
  <conditionalFormatting sqref="B60">
    <cfRule type="expression" dxfId="281" priority="221">
      <formula>$F60="Fail"</formula>
    </cfRule>
  </conditionalFormatting>
  <conditionalFormatting sqref="B64">
    <cfRule type="expression" dxfId="280" priority="220">
      <formula>$F64="Fail"</formula>
    </cfRule>
  </conditionalFormatting>
  <conditionalFormatting sqref="D64">
    <cfRule type="expression" dxfId="279" priority="226">
      <formula>$F57="Fail"</formula>
    </cfRule>
  </conditionalFormatting>
  <conditionalFormatting sqref="B76:C79">
    <cfRule type="expression" dxfId="278" priority="199">
      <formula>$F76="Fail"</formula>
    </cfRule>
  </conditionalFormatting>
  <conditionalFormatting sqref="G10:J18">
    <cfRule type="expression" dxfId="277" priority="207">
      <formula>$F10="Fail"</formula>
    </cfRule>
  </conditionalFormatting>
  <conditionalFormatting sqref="G54:J54">
    <cfRule type="expression" dxfId="276" priority="203">
      <formula>$F54="Fail"</formula>
    </cfRule>
  </conditionalFormatting>
  <conditionalFormatting sqref="B76:C79">
    <cfRule type="expression" dxfId="275" priority="200">
      <formula>$F76="Fail"</formula>
    </cfRule>
  </conditionalFormatting>
  <conditionalFormatting sqref="G97:J97">
    <cfRule type="expression" dxfId="274" priority="180">
      <formula>$F97="Fail"</formula>
    </cfRule>
  </conditionalFormatting>
  <conditionalFormatting sqref="G98:J98">
    <cfRule type="expression" dxfId="273" priority="179">
      <formula>$F98="Fail"</formula>
    </cfRule>
  </conditionalFormatting>
  <conditionalFormatting sqref="G93:J93">
    <cfRule type="expression" dxfId="272" priority="184">
      <formula>$F93="Fail"</formula>
    </cfRule>
  </conditionalFormatting>
  <conditionalFormatting sqref="B101">
    <cfRule type="expression" dxfId="271" priority="193">
      <formula>$F101="Fail"</formula>
    </cfRule>
  </conditionalFormatting>
  <conditionalFormatting sqref="B101">
    <cfRule type="expression" dxfId="270" priority="192">
      <formula>$F101="Fail"</formula>
    </cfRule>
  </conditionalFormatting>
  <conditionalFormatting sqref="C106:C107">
    <cfRule type="expression" dxfId="269" priority="191">
      <formula>$F106="Fail"</formula>
    </cfRule>
  </conditionalFormatting>
  <conditionalFormatting sqref="C106:C107">
    <cfRule type="expression" dxfId="268" priority="190">
      <formula>$F106="Fail"</formula>
    </cfRule>
  </conditionalFormatting>
  <conditionalFormatting sqref="C105">
    <cfRule type="expression" dxfId="267" priority="189">
      <formula>$F105="Fail"</formula>
    </cfRule>
  </conditionalFormatting>
  <conditionalFormatting sqref="C105">
    <cfRule type="expression" dxfId="266" priority="188">
      <formula>$F105="Fail"</formula>
    </cfRule>
  </conditionalFormatting>
  <conditionalFormatting sqref="G107:J107">
    <cfRule type="expression" dxfId="265" priority="169">
      <formula>$F107="Fail"</formula>
    </cfRule>
  </conditionalFormatting>
  <conditionalFormatting sqref="G106:J106">
    <cfRule type="expression" dxfId="264" priority="170">
      <formula>$F106="Fail"</formula>
    </cfRule>
  </conditionalFormatting>
  <conditionalFormatting sqref="G103:J104">
    <cfRule type="expression" dxfId="263" priority="175">
      <formula>$F103="Fail"</formula>
    </cfRule>
  </conditionalFormatting>
  <conditionalFormatting sqref="G94:J94">
    <cfRule type="expression" dxfId="262" priority="183">
      <formula>$F94="Fail"</formula>
    </cfRule>
  </conditionalFormatting>
  <conditionalFormatting sqref="G95:J95">
    <cfRule type="expression" dxfId="261" priority="182">
      <formula>$F95="Fail"</formula>
    </cfRule>
  </conditionalFormatting>
  <conditionalFormatting sqref="G99:J99">
    <cfRule type="expression" dxfId="260" priority="178">
      <formula>$F99="Fail"</formula>
    </cfRule>
  </conditionalFormatting>
  <conditionalFormatting sqref="G100:J101">
    <cfRule type="expression" dxfId="259" priority="177">
      <formula>$F100="Fail"</formula>
    </cfRule>
  </conditionalFormatting>
  <conditionalFormatting sqref="G102:J102">
    <cfRule type="expression" dxfId="258" priority="176">
      <formula>$F102="Fail"</formula>
    </cfRule>
  </conditionalFormatting>
  <conditionalFormatting sqref="G96:J96">
    <cfRule type="expression" dxfId="257" priority="172">
      <formula>$F96="Fail"</formula>
    </cfRule>
  </conditionalFormatting>
  <conditionalFormatting sqref="G105:J105">
    <cfRule type="expression" dxfId="256" priority="171">
      <formula>$F105="Fail"</formula>
    </cfRule>
  </conditionalFormatting>
  <conditionalFormatting sqref="B128:C128">
    <cfRule type="expression" dxfId="255" priority="166">
      <formula>$F128="Fail"</formula>
    </cfRule>
  </conditionalFormatting>
  <conditionalFormatting sqref="G129:J129">
    <cfRule type="expression" dxfId="254" priority="163">
      <formula>$F129="Fail"</formula>
    </cfRule>
  </conditionalFormatting>
  <conditionalFormatting sqref="G132:J134">
    <cfRule type="expression" dxfId="253" priority="162">
      <formula>$F132="Fail"</formula>
    </cfRule>
  </conditionalFormatting>
  <conditionalFormatting sqref="G86:J86">
    <cfRule type="expression" dxfId="252" priority="114">
      <formula>$F86="Fail"</formula>
    </cfRule>
  </conditionalFormatting>
  <conditionalFormatting sqref="G87:J87">
    <cfRule type="expression" dxfId="251" priority="113">
      <formula>$F87="Fail"</formula>
    </cfRule>
  </conditionalFormatting>
  <conditionalFormatting sqref="E52">
    <cfRule type="expression" dxfId="250" priority="147">
      <formula>$F52="Fail"</formula>
    </cfRule>
  </conditionalFormatting>
  <conditionalFormatting sqref="G88:J88">
    <cfRule type="expression" dxfId="249" priority="112">
      <formula>$F88="Fail"</formula>
    </cfRule>
  </conditionalFormatting>
  <conditionalFormatting sqref="E91">
    <cfRule type="expression" dxfId="248" priority="94">
      <formula>$F91="Fail"</formula>
    </cfRule>
  </conditionalFormatting>
  <conditionalFormatting sqref="B52:C52">
    <cfRule type="expression" dxfId="247" priority="99">
      <formula>$F52="Fail"</formula>
    </cfRule>
  </conditionalFormatting>
  <conditionalFormatting sqref="B91:C91">
    <cfRule type="expression" dxfId="246" priority="93">
      <formula>$F91="Fail"</formula>
    </cfRule>
  </conditionalFormatting>
  <conditionalFormatting sqref="B137:C137">
    <cfRule type="expression" dxfId="245" priority="52">
      <formula>$F137="Fail"</formula>
    </cfRule>
  </conditionalFormatting>
  <conditionalFormatting sqref="F52">
    <cfRule type="expression" dxfId="244" priority="47">
      <formula>$F52="Fail"</formula>
    </cfRule>
  </conditionalFormatting>
  <conditionalFormatting sqref="D52">
    <cfRule type="expression" dxfId="243" priority="45">
      <formula>$F52="Fail"</formula>
    </cfRule>
  </conditionalFormatting>
  <conditionalFormatting sqref="D137">
    <cfRule type="expression" dxfId="242" priority="43">
      <formula>$F137="Fail"</formula>
    </cfRule>
  </conditionalFormatting>
  <conditionalFormatting sqref="G52:J52">
    <cfRule type="expression" dxfId="241" priority="46">
      <formula>$F52="Fail"</formula>
    </cfRule>
  </conditionalFormatting>
  <conditionalFormatting sqref="D91">
    <cfRule type="expression" dxfId="240" priority="44">
      <formula>$F91="Fail"</formula>
    </cfRule>
  </conditionalFormatting>
  <conditionalFormatting sqref="G126:L126">
    <cfRule type="expression" dxfId="239" priority="42">
      <formula>$F126="Fail"</formula>
    </cfRule>
  </conditionalFormatting>
  <conditionalFormatting sqref="K119:L119">
    <cfRule type="expression" dxfId="238" priority="41">
      <formula>$F119="Fail"</formula>
    </cfRule>
  </conditionalFormatting>
  <conditionalFormatting sqref="G119:J119">
    <cfRule type="expression" dxfId="237" priority="40">
      <formula>$F119="Fail"</formula>
    </cfRule>
  </conditionalFormatting>
  <conditionalFormatting sqref="G50:L50">
    <cfRule type="expression" dxfId="236" priority="39">
      <formula>$F50="Fail"</formula>
    </cfRule>
  </conditionalFormatting>
  <conditionalFormatting sqref="A9:K9">
    <cfRule type="expression" dxfId="235" priority="38">
      <formula>$F9="Fail"</formula>
    </cfRule>
  </conditionalFormatting>
  <conditionalFormatting sqref="L9">
    <cfRule type="expression" dxfId="234" priority="37">
      <formula>$F9="Fail"</formula>
    </cfRule>
  </conditionalFormatting>
  <conditionalFormatting sqref="A51:K51">
    <cfRule type="expression" dxfId="233" priority="36">
      <formula>$F51="Fail"</formula>
    </cfRule>
  </conditionalFormatting>
  <conditionalFormatting sqref="L51">
    <cfRule type="expression" dxfId="232" priority="35">
      <formula>$F51="Fail"</formula>
    </cfRule>
  </conditionalFormatting>
  <conditionalFormatting sqref="A53:K53">
    <cfRule type="expression" dxfId="231" priority="34">
      <formula>$F53="Fail"</formula>
    </cfRule>
  </conditionalFormatting>
  <conditionalFormatting sqref="L53">
    <cfRule type="expression" dxfId="230" priority="33">
      <formula>$F53="Fail"</formula>
    </cfRule>
  </conditionalFormatting>
  <conditionalFormatting sqref="A75:K75">
    <cfRule type="expression" dxfId="229" priority="32">
      <formula>$F75="Fail"</formula>
    </cfRule>
  </conditionalFormatting>
  <conditionalFormatting sqref="L75">
    <cfRule type="expression" dxfId="228" priority="31">
      <formula>$F75="Fail"</formula>
    </cfRule>
  </conditionalFormatting>
  <conditionalFormatting sqref="A80:K80">
    <cfRule type="expression" dxfId="227" priority="30">
      <formula>$F80="Fail"</formula>
    </cfRule>
  </conditionalFormatting>
  <conditionalFormatting sqref="L80">
    <cfRule type="expression" dxfId="226" priority="29">
      <formula>$F80="Fail"</formula>
    </cfRule>
  </conditionalFormatting>
  <conditionalFormatting sqref="A85:K85">
    <cfRule type="expression" dxfId="225" priority="28">
      <formula>$F85="Fail"</formula>
    </cfRule>
  </conditionalFormatting>
  <conditionalFormatting sqref="L85">
    <cfRule type="expression" dxfId="224" priority="27">
      <formula>$F85="Fail"</formula>
    </cfRule>
  </conditionalFormatting>
  <conditionalFormatting sqref="A90:K90">
    <cfRule type="expression" dxfId="223" priority="26">
      <formula>$F90="Fail"</formula>
    </cfRule>
  </conditionalFormatting>
  <conditionalFormatting sqref="L90">
    <cfRule type="expression" dxfId="222" priority="25">
      <formula>$F90="Fail"</formula>
    </cfRule>
  </conditionalFormatting>
  <conditionalFormatting sqref="A92:K92">
    <cfRule type="expression" dxfId="221" priority="24">
      <formula>$F92="Fail"</formula>
    </cfRule>
  </conditionalFormatting>
  <conditionalFormatting sqref="L92">
    <cfRule type="expression" dxfId="220" priority="23">
      <formula>$F92="Fail"</formula>
    </cfRule>
  </conditionalFormatting>
  <conditionalFormatting sqref="A131:K131">
    <cfRule type="expression" dxfId="219" priority="22">
      <formula>$F131="Fail"</formula>
    </cfRule>
  </conditionalFormatting>
  <conditionalFormatting sqref="L131">
    <cfRule type="expression" dxfId="218" priority="21">
      <formula>$F131="Fail"</formula>
    </cfRule>
  </conditionalFormatting>
  <conditionalFormatting sqref="A136:K136">
    <cfRule type="expression" dxfId="217" priority="20">
      <formula>$F136="Fail"</formula>
    </cfRule>
  </conditionalFormatting>
  <conditionalFormatting sqref="L136">
    <cfRule type="expression" dxfId="216" priority="19">
      <formula>$F136="Fail"</formula>
    </cfRule>
  </conditionalFormatting>
  <conditionalFormatting sqref="A10 A12 A14 A16 A18 A20 A30 A22 A32 A24 A34 A26 A28 A36 A38 A40 A42 A44 A46 A48 A50">
    <cfRule type="expression" dxfId="215" priority="18">
      <formula>$F10="Fail"</formula>
    </cfRule>
  </conditionalFormatting>
  <conditionalFormatting sqref="F137:L137">
    <cfRule type="expression" dxfId="214" priority="17">
      <formula>$F137="Fail"</formula>
    </cfRule>
  </conditionalFormatting>
  <conditionalFormatting sqref="F91 K91:L91">
    <cfRule type="expression" dxfId="213" priority="16">
      <formula>$F91="Fail"</formula>
    </cfRule>
  </conditionalFormatting>
  <conditionalFormatting sqref="G91:J91">
    <cfRule type="expression" dxfId="212" priority="15">
      <formula>$F91="Fail"</formula>
    </cfRule>
  </conditionalFormatting>
  <conditionalFormatting sqref="D12:D14">
    <cfRule type="expression" dxfId="211" priority="14">
      <formula>$F12="Fail"</formula>
    </cfRule>
  </conditionalFormatting>
  <conditionalFormatting sqref="D55:D60">
    <cfRule type="expression" dxfId="210" priority="13">
      <formula>$F55="Fail"</formula>
    </cfRule>
  </conditionalFormatting>
  <conditionalFormatting sqref="C60:C64 C54:C56">
    <cfRule type="expression" dxfId="209" priority="11">
      <formula>$F54="Fail"</formula>
    </cfRule>
  </conditionalFormatting>
  <conditionalFormatting sqref="C58:C59">
    <cfRule type="expression" dxfId="208" priority="12">
      <formula>$F58="Fail"</formula>
    </cfRule>
  </conditionalFormatting>
  <conditionalFormatting sqref="C62:C65">
    <cfRule type="expression" dxfId="207" priority="10">
      <formula>$F62="Fail"</formula>
    </cfRule>
  </conditionalFormatting>
  <conditionalFormatting sqref="C60">
    <cfRule type="expression" dxfId="206" priority="9">
      <formula>$F60="Fail"</formula>
    </cfRule>
  </conditionalFormatting>
  <conditionalFormatting sqref="C64">
    <cfRule type="expression" dxfId="205" priority="8">
      <formula>$F64="Fail"</formula>
    </cfRule>
  </conditionalFormatting>
  <conditionalFormatting sqref="C57">
    <cfRule type="expression" dxfId="204" priority="7">
      <formula>$F57="Fail"</formula>
    </cfRule>
  </conditionalFormatting>
  <conditionalFormatting sqref="F54:F74">
    <cfRule type="expression" dxfId="203" priority="5">
      <formula>$F54="Fail"</formula>
    </cfRule>
  </conditionalFormatting>
  <conditionalFormatting sqref="F132:F135">
    <cfRule type="expression" dxfId="202" priority="2">
      <formula>$F132="Fail"</formula>
    </cfRule>
  </conditionalFormatting>
  <conditionalFormatting sqref="F10:F50">
    <cfRule type="expression" dxfId="201" priority="1">
      <formula>$F10="Fail"</formula>
    </cfRule>
  </conditionalFormatting>
  <dataValidations count="1">
    <dataValidation type="list" allowBlank="1" showInputMessage="1" showErrorMessage="1" sqref="F52 F81:F84 F93:F130 F86:F89 F54:F74 F76:F79 F3:F50 F91 F132:F138">
      <formula1>$G$1:$K$1</formula1>
    </dataValidation>
  </dataValidations>
  <pageMargins left="0.7" right="0.7" top="0.75" bottom="0.75" header="0.3" footer="0.3"/>
  <pageSetup paperSize="9"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L233"/>
  <sheetViews>
    <sheetView zoomScale="69" zoomScaleNormal="69" workbookViewId="0">
      <pane ySplit="1" topLeftCell="A158" activePane="bottomLeft" state="frozen"/>
      <selection activeCell="C11" sqref="C11"/>
      <selection pane="bottomLeft" activeCell="C232" sqref="C232"/>
    </sheetView>
  </sheetViews>
  <sheetFormatPr defaultRowHeight="15" x14ac:dyDescent="0.25"/>
  <cols>
    <col min="1" max="1" width="11.28515625" style="4" bestFit="1" customWidth="1"/>
    <col min="2" max="2" width="70" style="1" customWidth="1"/>
    <col min="3" max="3" width="70.28515625" style="1" bestFit="1" customWidth="1"/>
    <col min="4" max="4" width="24.5703125" style="1" customWidth="1"/>
    <col min="5" max="5" width="6.5703125" style="1" customWidth="1"/>
    <col min="6" max="6" width="14.7109375" style="1" customWidth="1"/>
    <col min="7" max="10" width="9.140625" style="1"/>
    <col min="11" max="11" width="16.5703125" style="1" customWidth="1"/>
    <col min="12" max="12" width="39" style="1" customWidth="1"/>
    <col min="13" max="16384" width="9.140625" style="1"/>
  </cols>
  <sheetData>
    <row r="1" spans="1:12" ht="30" x14ac:dyDescent="0.25">
      <c r="A1" s="10" t="s">
        <v>1</v>
      </c>
      <c r="B1" s="11" t="s">
        <v>11</v>
      </c>
      <c r="C1" s="11" t="s">
        <v>2</v>
      </c>
      <c r="D1" s="12" t="s">
        <v>4</v>
      </c>
      <c r="E1" s="12" t="s">
        <v>3</v>
      </c>
      <c r="F1" s="11" t="s">
        <v>0</v>
      </c>
      <c r="G1" s="12" t="s">
        <v>5</v>
      </c>
      <c r="H1" s="12" t="s">
        <v>6</v>
      </c>
      <c r="I1" s="12"/>
      <c r="J1" s="12" t="s">
        <v>7</v>
      </c>
      <c r="K1" s="12" t="s">
        <v>8</v>
      </c>
      <c r="L1" s="12" t="s">
        <v>13</v>
      </c>
    </row>
    <row r="2" spans="1:12" s="20" customFormat="1" x14ac:dyDescent="0.25">
      <c r="A2" s="16">
        <v>1</v>
      </c>
      <c r="B2" s="79" t="s">
        <v>798</v>
      </c>
      <c r="C2" s="80"/>
      <c r="D2" s="79"/>
      <c r="E2" s="79"/>
      <c r="F2" s="19"/>
      <c r="G2" s="19"/>
      <c r="H2" s="19"/>
      <c r="I2" s="19"/>
      <c r="J2" s="19"/>
      <c r="K2" s="19"/>
      <c r="L2" s="79"/>
    </row>
    <row r="3" spans="1:12" x14ac:dyDescent="0.25">
      <c r="A3" s="5">
        <f t="shared" ref="A3:A9" si="0">A2+0.0001</f>
        <v>1.0001</v>
      </c>
      <c r="B3" s="76" t="s">
        <v>785</v>
      </c>
      <c r="C3" s="78"/>
      <c r="D3" s="77"/>
      <c r="E3" s="76"/>
      <c r="F3" s="8" t="s">
        <v>5</v>
      </c>
      <c r="G3" s="8">
        <f t="shared" ref="G3:J16" si="1">IF($F3=G$1,1,0)</f>
        <v>1</v>
      </c>
      <c r="H3" s="8">
        <f t="shared" si="1"/>
        <v>0</v>
      </c>
      <c r="I3" s="8">
        <f t="shared" si="1"/>
        <v>0</v>
      </c>
      <c r="J3" s="8">
        <f t="shared" si="1"/>
        <v>0</v>
      </c>
      <c r="K3" s="8"/>
      <c r="L3" s="77"/>
    </row>
    <row r="4" spans="1:12" x14ac:dyDescent="0.25">
      <c r="A4" s="5">
        <f t="shared" si="0"/>
        <v>1.0002</v>
      </c>
      <c r="B4" s="82" t="s">
        <v>780</v>
      </c>
      <c r="C4" s="78" t="s">
        <v>781</v>
      </c>
      <c r="D4" s="77"/>
      <c r="E4" s="76"/>
      <c r="F4" s="8" t="s">
        <v>5</v>
      </c>
      <c r="G4" s="8">
        <f t="shared" si="1"/>
        <v>1</v>
      </c>
      <c r="H4" s="8">
        <f t="shared" si="1"/>
        <v>0</v>
      </c>
      <c r="I4" s="8">
        <f t="shared" si="1"/>
        <v>0</v>
      </c>
      <c r="J4" s="8">
        <f t="shared" si="1"/>
        <v>0</v>
      </c>
      <c r="K4" s="8"/>
      <c r="L4" s="77"/>
    </row>
    <row r="5" spans="1:12" x14ac:dyDescent="0.25">
      <c r="A5" s="5">
        <f t="shared" si="0"/>
        <v>1.0003</v>
      </c>
      <c r="B5" s="82" t="s">
        <v>783</v>
      </c>
      <c r="C5" s="78" t="s">
        <v>784</v>
      </c>
      <c r="D5" s="77"/>
      <c r="E5" s="76"/>
      <c r="F5" s="8" t="s">
        <v>5</v>
      </c>
      <c r="G5" s="8">
        <f t="shared" si="1"/>
        <v>1</v>
      </c>
      <c r="H5" s="8">
        <f t="shared" si="1"/>
        <v>0</v>
      </c>
      <c r="I5" s="8">
        <f t="shared" si="1"/>
        <v>0</v>
      </c>
      <c r="J5" s="8">
        <f t="shared" si="1"/>
        <v>0</v>
      </c>
      <c r="K5" s="8"/>
      <c r="L5" s="77"/>
    </row>
    <row r="6" spans="1:12" x14ac:dyDescent="0.25">
      <c r="A6" s="5">
        <f t="shared" si="0"/>
        <v>1.0004</v>
      </c>
      <c r="B6" s="76"/>
      <c r="C6" s="78" t="s">
        <v>782</v>
      </c>
      <c r="D6" s="77"/>
      <c r="E6" s="76"/>
      <c r="F6" s="8" t="s">
        <v>5</v>
      </c>
      <c r="G6" s="8">
        <f t="shared" si="1"/>
        <v>1</v>
      </c>
      <c r="H6" s="8">
        <f t="shared" si="1"/>
        <v>0</v>
      </c>
      <c r="I6" s="8">
        <f t="shared" si="1"/>
        <v>0</v>
      </c>
      <c r="J6" s="8">
        <f t="shared" si="1"/>
        <v>0</v>
      </c>
      <c r="K6" s="8"/>
      <c r="L6" s="77"/>
    </row>
    <row r="7" spans="1:12" x14ac:dyDescent="0.25">
      <c r="A7" s="5">
        <f t="shared" si="0"/>
        <v>1.0004999999999999</v>
      </c>
      <c r="B7" s="76"/>
      <c r="C7" s="78" t="s">
        <v>787</v>
      </c>
      <c r="D7" s="77"/>
      <c r="E7" s="76"/>
      <c r="F7" s="8" t="s">
        <v>7</v>
      </c>
      <c r="G7" s="8">
        <f t="shared" si="1"/>
        <v>0</v>
      </c>
      <c r="H7" s="8">
        <f t="shared" si="1"/>
        <v>0</v>
      </c>
      <c r="I7" s="8">
        <f t="shared" si="1"/>
        <v>0</v>
      </c>
      <c r="J7" s="8">
        <f t="shared" si="1"/>
        <v>1</v>
      </c>
      <c r="K7" s="8"/>
      <c r="L7" s="77"/>
    </row>
    <row r="8" spans="1:12" x14ac:dyDescent="0.25">
      <c r="A8" s="5">
        <f t="shared" si="0"/>
        <v>1.0005999999999999</v>
      </c>
      <c r="B8" s="76" t="s">
        <v>786</v>
      </c>
      <c r="C8" s="78"/>
      <c r="D8" s="77"/>
      <c r="E8" s="76"/>
      <c r="F8" s="8" t="s">
        <v>7</v>
      </c>
      <c r="G8" s="8">
        <f t="shared" si="1"/>
        <v>0</v>
      </c>
      <c r="H8" s="8">
        <f t="shared" si="1"/>
        <v>0</v>
      </c>
      <c r="I8" s="8">
        <f t="shared" si="1"/>
        <v>0</v>
      </c>
      <c r="J8" s="8">
        <f t="shared" si="1"/>
        <v>1</v>
      </c>
      <c r="K8" s="8"/>
      <c r="L8" s="77"/>
    </row>
    <row r="9" spans="1:12" x14ac:dyDescent="0.25">
      <c r="A9" s="5">
        <f t="shared" si="0"/>
        <v>1.0006999999999999</v>
      </c>
      <c r="B9" s="76" t="s">
        <v>790</v>
      </c>
      <c r="C9" s="78"/>
      <c r="D9" s="77"/>
      <c r="E9" s="77"/>
      <c r="F9" s="8" t="s">
        <v>7</v>
      </c>
      <c r="G9" s="8">
        <f t="shared" si="1"/>
        <v>0</v>
      </c>
      <c r="H9" s="8">
        <f t="shared" si="1"/>
        <v>0</v>
      </c>
      <c r="I9" s="8">
        <f t="shared" si="1"/>
        <v>0</v>
      </c>
      <c r="J9" s="8">
        <f t="shared" si="1"/>
        <v>1</v>
      </c>
      <c r="K9" s="8"/>
      <c r="L9" s="77"/>
    </row>
    <row r="10" spans="1:12" s="20" customFormat="1" x14ac:dyDescent="0.25">
      <c r="A10" s="16">
        <v>2</v>
      </c>
      <c r="B10" s="79" t="s">
        <v>800</v>
      </c>
      <c r="C10" s="80"/>
      <c r="D10" s="79"/>
      <c r="E10" s="79"/>
      <c r="F10" s="19"/>
      <c r="G10" s="19"/>
      <c r="H10" s="19"/>
      <c r="I10" s="19"/>
      <c r="J10" s="19"/>
      <c r="K10" s="19"/>
      <c r="L10" s="79"/>
    </row>
    <row r="11" spans="1:12" x14ac:dyDescent="0.25">
      <c r="A11" s="5">
        <f t="shared" ref="A11:A74" si="2">A10+0.0001</f>
        <v>2.0001000000000002</v>
      </c>
      <c r="B11" s="82" t="s">
        <v>1108</v>
      </c>
      <c r="C11" s="78" t="s">
        <v>758</v>
      </c>
      <c r="D11" s="77"/>
      <c r="E11" s="76"/>
      <c r="F11" s="8" t="s">
        <v>5</v>
      </c>
      <c r="G11" s="8">
        <f t="shared" si="1"/>
        <v>1</v>
      </c>
      <c r="H11" s="8">
        <f t="shared" si="1"/>
        <v>0</v>
      </c>
      <c r="I11" s="8">
        <f t="shared" si="1"/>
        <v>0</v>
      </c>
      <c r="J11" s="8">
        <f t="shared" si="1"/>
        <v>0</v>
      </c>
      <c r="K11" s="8"/>
      <c r="L11" s="77"/>
    </row>
    <row r="12" spans="1:12" x14ac:dyDescent="0.25">
      <c r="A12" s="5">
        <f t="shared" si="2"/>
        <v>2.0002000000000004</v>
      </c>
      <c r="B12" s="76" t="s">
        <v>759</v>
      </c>
      <c r="C12" s="78" t="s">
        <v>760</v>
      </c>
      <c r="D12" s="77"/>
      <c r="E12" s="76"/>
      <c r="F12" s="8" t="s">
        <v>5</v>
      </c>
      <c r="G12" s="8">
        <f t="shared" si="1"/>
        <v>1</v>
      </c>
      <c r="H12" s="8">
        <f t="shared" si="1"/>
        <v>0</v>
      </c>
      <c r="I12" s="8">
        <f t="shared" si="1"/>
        <v>0</v>
      </c>
      <c r="J12" s="8">
        <f t="shared" si="1"/>
        <v>0</v>
      </c>
      <c r="K12" s="8"/>
      <c r="L12" s="77"/>
    </row>
    <row r="13" spans="1:12" x14ac:dyDescent="0.25">
      <c r="A13" s="5">
        <f t="shared" si="2"/>
        <v>2.0003000000000006</v>
      </c>
      <c r="B13" s="76" t="s">
        <v>801</v>
      </c>
      <c r="C13" s="78" t="s">
        <v>799</v>
      </c>
      <c r="D13" s="77"/>
      <c r="E13" s="76"/>
      <c r="F13" s="8" t="s">
        <v>5</v>
      </c>
      <c r="G13" s="8">
        <f t="shared" si="1"/>
        <v>1</v>
      </c>
      <c r="H13" s="8">
        <f t="shared" si="1"/>
        <v>0</v>
      </c>
      <c r="I13" s="8">
        <f t="shared" si="1"/>
        <v>0</v>
      </c>
      <c r="J13" s="8">
        <f t="shared" si="1"/>
        <v>0</v>
      </c>
      <c r="K13" s="8"/>
      <c r="L13" s="77"/>
    </row>
    <row r="14" spans="1:12" x14ac:dyDescent="0.25">
      <c r="A14" s="5">
        <f t="shared" si="2"/>
        <v>2.0004000000000008</v>
      </c>
      <c r="B14" s="76" t="s">
        <v>803</v>
      </c>
      <c r="C14" s="78" t="s">
        <v>802</v>
      </c>
      <c r="D14" s="77"/>
      <c r="E14" s="76"/>
      <c r="F14" s="8" t="s">
        <v>5</v>
      </c>
      <c r="G14" s="8">
        <f t="shared" si="1"/>
        <v>1</v>
      </c>
      <c r="H14" s="8">
        <f t="shared" si="1"/>
        <v>0</v>
      </c>
      <c r="I14" s="8">
        <f t="shared" si="1"/>
        <v>0</v>
      </c>
      <c r="J14" s="8">
        <f t="shared" si="1"/>
        <v>0</v>
      </c>
      <c r="K14" s="8"/>
      <c r="L14" s="77"/>
    </row>
    <row r="15" spans="1:12" x14ac:dyDescent="0.25">
      <c r="A15" s="5">
        <f t="shared" si="2"/>
        <v>2.0005000000000011</v>
      </c>
      <c r="B15" s="76" t="s">
        <v>1109</v>
      </c>
      <c r="C15" s="78" t="s">
        <v>761</v>
      </c>
      <c r="D15" s="77"/>
      <c r="E15" s="76"/>
      <c r="F15" s="8" t="s">
        <v>5</v>
      </c>
      <c r="G15" s="8">
        <f t="shared" si="1"/>
        <v>1</v>
      </c>
      <c r="H15" s="8">
        <f t="shared" si="1"/>
        <v>0</v>
      </c>
      <c r="I15" s="8">
        <f t="shared" si="1"/>
        <v>0</v>
      </c>
      <c r="J15" s="8">
        <f t="shared" si="1"/>
        <v>0</v>
      </c>
      <c r="K15" s="8"/>
      <c r="L15" s="77"/>
    </row>
    <row r="16" spans="1:12" x14ac:dyDescent="0.25">
      <c r="A16" s="5">
        <f t="shared" si="2"/>
        <v>2.0006000000000013</v>
      </c>
      <c r="B16" s="76" t="s">
        <v>788</v>
      </c>
      <c r="C16" s="78">
        <v>1001</v>
      </c>
      <c r="D16" s="77"/>
      <c r="E16" s="76"/>
      <c r="F16" s="8" t="s">
        <v>5</v>
      </c>
      <c r="G16" s="8">
        <f t="shared" si="1"/>
        <v>1</v>
      </c>
      <c r="H16" s="8">
        <f t="shared" si="1"/>
        <v>0</v>
      </c>
      <c r="I16" s="8">
        <f t="shared" si="1"/>
        <v>0</v>
      </c>
      <c r="J16" s="8">
        <f t="shared" si="1"/>
        <v>0</v>
      </c>
      <c r="K16" s="8"/>
      <c r="L16" s="77"/>
    </row>
    <row r="17" spans="1:12" x14ac:dyDescent="0.25">
      <c r="A17" s="5">
        <f t="shared" si="2"/>
        <v>2.0007000000000015</v>
      </c>
      <c r="B17" s="77" t="s">
        <v>762</v>
      </c>
      <c r="C17" s="76" t="s">
        <v>765</v>
      </c>
      <c r="D17" s="77"/>
      <c r="E17" s="76"/>
      <c r="F17" s="8" t="s">
        <v>5</v>
      </c>
      <c r="G17" s="8">
        <f t="shared" ref="G17:J31" si="3">IF($F17=G$1,1,0)</f>
        <v>1</v>
      </c>
      <c r="H17" s="8">
        <f t="shared" si="3"/>
        <v>0</v>
      </c>
      <c r="I17" s="8">
        <f t="shared" si="3"/>
        <v>0</v>
      </c>
      <c r="J17" s="8">
        <f t="shared" si="3"/>
        <v>0</v>
      </c>
      <c r="K17" s="8"/>
      <c r="L17" s="77"/>
    </row>
    <row r="18" spans="1:12" x14ac:dyDescent="0.25">
      <c r="A18" s="5">
        <f t="shared" si="2"/>
        <v>2.0008000000000017</v>
      </c>
      <c r="B18" s="77" t="s">
        <v>763</v>
      </c>
      <c r="C18" s="76" t="s">
        <v>764</v>
      </c>
      <c r="D18" s="77"/>
      <c r="E18" s="77"/>
      <c r="F18" s="8" t="s">
        <v>5</v>
      </c>
      <c r="G18" s="8">
        <f t="shared" si="3"/>
        <v>1</v>
      </c>
      <c r="H18" s="8">
        <f t="shared" si="3"/>
        <v>0</v>
      </c>
      <c r="I18" s="8">
        <f t="shared" si="3"/>
        <v>0</v>
      </c>
      <c r="J18" s="8">
        <f t="shared" si="3"/>
        <v>0</v>
      </c>
      <c r="K18" s="8"/>
      <c r="L18" s="77"/>
    </row>
    <row r="19" spans="1:12" x14ac:dyDescent="0.25">
      <c r="A19" s="5">
        <f t="shared" si="2"/>
        <v>2.0009000000000019</v>
      </c>
      <c r="B19" s="77" t="s">
        <v>766</v>
      </c>
      <c r="C19" s="76" t="s">
        <v>764</v>
      </c>
      <c r="D19" s="77"/>
      <c r="E19" s="77"/>
      <c r="F19" s="8" t="s">
        <v>5</v>
      </c>
      <c r="G19" s="8">
        <f t="shared" si="3"/>
        <v>1</v>
      </c>
      <c r="H19" s="8">
        <f t="shared" si="3"/>
        <v>0</v>
      </c>
      <c r="I19" s="8">
        <f t="shared" si="3"/>
        <v>0</v>
      </c>
      <c r="J19" s="8">
        <f t="shared" si="3"/>
        <v>0</v>
      </c>
      <c r="K19" s="8"/>
      <c r="L19" s="77"/>
    </row>
    <row r="20" spans="1:12" x14ac:dyDescent="0.25">
      <c r="A20" s="5">
        <f t="shared" si="2"/>
        <v>2.0010000000000021</v>
      </c>
      <c r="B20" s="76" t="s">
        <v>777</v>
      </c>
      <c r="C20" s="81" t="s">
        <v>804</v>
      </c>
      <c r="D20" s="77" t="s">
        <v>768</v>
      </c>
      <c r="E20" s="77"/>
      <c r="F20" s="8" t="s">
        <v>5</v>
      </c>
      <c r="G20" s="8">
        <f t="shared" si="3"/>
        <v>1</v>
      </c>
      <c r="H20" s="8">
        <f t="shared" si="3"/>
        <v>0</v>
      </c>
      <c r="I20" s="8">
        <f t="shared" si="3"/>
        <v>0</v>
      </c>
      <c r="J20" s="8">
        <f t="shared" si="3"/>
        <v>0</v>
      </c>
      <c r="K20" s="8"/>
      <c r="L20" s="77"/>
    </row>
    <row r="21" spans="1:12" x14ac:dyDescent="0.25">
      <c r="A21" s="5">
        <f t="shared" si="2"/>
        <v>2.0011000000000023</v>
      </c>
      <c r="B21" s="76" t="s">
        <v>778</v>
      </c>
      <c r="C21" s="76" t="s">
        <v>805</v>
      </c>
      <c r="D21" s="77" t="s">
        <v>831</v>
      </c>
      <c r="E21" s="77"/>
      <c r="F21" s="8" t="s">
        <v>5</v>
      </c>
      <c r="G21" s="8">
        <f t="shared" si="3"/>
        <v>1</v>
      </c>
      <c r="H21" s="8">
        <f t="shared" si="3"/>
        <v>0</v>
      </c>
      <c r="I21" s="8">
        <f t="shared" si="3"/>
        <v>0</v>
      </c>
      <c r="J21" s="8">
        <f t="shared" si="3"/>
        <v>0</v>
      </c>
      <c r="K21" s="8"/>
      <c r="L21" s="77"/>
    </row>
    <row r="22" spans="1:12" x14ac:dyDescent="0.25">
      <c r="A22" s="5">
        <f t="shared" si="2"/>
        <v>2.0012000000000025</v>
      </c>
      <c r="B22" s="76"/>
      <c r="C22" s="76" t="s">
        <v>807</v>
      </c>
      <c r="D22" s="77"/>
      <c r="E22" s="77"/>
      <c r="F22" s="8" t="s">
        <v>5</v>
      </c>
      <c r="G22" s="8">
        <f t="shared" si="3"/>
        <v>1</v>
      </c>
      <c r="H22" s="8">
        <f t="shared" si="3"/>
        <v>0</v>
      </c>
      <c r="I22" s="8">
        <f t="shared" si="3"/>
        <v>0</v>
      </c>
      <c r="J22" s="8">
        <f t="shared" si="3"/>
        <v>0</v>
      </c>
      <c r="K22" s="8"/>
      <c r="L22" s="77"/>
    </row>
    <row r="23" spans="1:12" x14ac:dyDescent="0.25">
      <c r="A23" s="5">
        <f t="shared" si="2"/>
        <v>2.0013000000000027</v>
      </c>
      <c r="B23" s="82" t="s">
        <v>775</v>
      </c>
      <c r="C23" s="76" t="s">
        <v>769</v>
      </c>
      <c r="D23" s="77"/>
      <c r="E23" s="77"/>
      <c r="F23" s="8" t="s">
        <v>5</v>
      </c>
      <c r="G23" s="8">
        <f t="shared" si="3"/>
        <v>1</v>
      </c>
      <c r="H23" s="8">
        <f t="shared" si="3"/>
        <v>0</v>
      </c>
      <c r="I23" s="8">
        <f t="shared" si="3"/>
        <v>0</v>
      </c>
      <c r="J23" s="8">
        <f t="shared" si="3"/>
        <v>0</v>
      </c>
      <c r="K23" s="8"/>
      <c r="L23" s="77"/>
    </row>
    <row r="24" spans="1:12" x14ac:dyDescent="0.25">
      <c r="A24" s="5">
        <f t="shared" si="2"/>
        <v>2.001400000000003</v>
      </c>
      <c r="B24" s="82"/>
      <c r="C24" s="76" t="s">
        <v>808</v>
      </c>
      <c r="D24" s="77" t="s">
        <v>809</v>
      </c>
      <c r="E24" s="77"/>
      <c r="F24" s="8" t="s">
        <v>5</v>
      </c>
      <c r="G24" s="8">
        <f t="shared" si="3"/>
        <v>1</v>
      </c>
      <c r="H24" s="8">
        <f t="shared" si="3"/>
        <v>0</v>
      </c>
      <c r="I24" s="8">
        <f t="shared" si="3"/>
        <v>0</v>
      </c>
      <c r="J24" s="8">
        <f t="shared" si="3"/>
        <v>0</v>
      </c>
      <c r="K24" s="8"/>
      <c r="L24" s="77"/>
    </row>
    <row r="25" spans="1:12" x14ac:dyDescent="0.25">
      <c r="A25" s="5">
        <f t="shared" si="2"/>
        <v>2.0015000000000032</v>
      </c>
      <c r="B25" s="76"/>
      <c r="C25" s="76" t="s">
        <v>770</v>
      </c>
      <c r="D25" s="77"/>
      <c r="E25" s="77"/>
      <c r="F25" s="8" t="s">
        <v>5</v>
      </c>
      <c r="G25" s="8">
        <f t="shared" si="3"/>
        <v>1</v>
      </c>
      <c r="H25" s="8">
        <f t="shared" si="3"/>
        <v>0</v>
      </c>
      <c r="I25" s="8">
        <f t="shared" si="3"/>
        <v>0</v>
      </c>
      <c r="J25" s="8">
        <f t="shared" si="3"/>
        <v>0</v>
      </c>
      <c r="K25" s="8"/>
      <c r="L25" s="77"/>
    </row>
    <row r="26" spans="1:12" x14ac:dyDescent="0.25">
      <c r="A26" s="5">
        <f t="shared" si="2"/>
        <v>2.0016000000000034</v>
      </c>
      <c r="B26" s="76"/>
      <c r="C26" s="76" t="s">
        <v>771</v>
      </c>
      <c r="D26" s="77"/>
      <c r="E26" s="77"/>
      <c r="F26" s="8" t="s">
        <v>5</v>
      </c>
      <c r="G26" s="8">
        <f t="shared" si="3"/>
        <v>1</v>
      </c>
      <c r="H26" s="8">
        <f t="shared" si="3"/>
        <v>0</v>
      </c>
      <c r="I26" s="8">
        <f t="shared" si="3"/>
        <v>0</v>
      </c>
      <c r="J26" s="8">
        <f t="shared" si="3"/>
        <v>0</v>
      </c>
      <c r="K26" s="8"/>
      <c r="L26" s="77"/>
    </row>
    <row r="27" spans="1:12" x14ac:dyDescent="0.25">
      <c r="A27" s="5">
        <f t="shared" si="2"/>
        <v>2.0017000000000036</v>
      </c>
      <c r="B27" s="76"/>
      <c r="C27" s="76" t="s">
        <v>772</v>
      </c>
      <c r="D27" s="77"/>
      <c r="E27" s="77"/>
      <c r="F27" s="8" t="s">
        <v>5</v>
      </c>
      <c r="G27" s="8">
        <f t="shared" si="3"/>
        <v>1</v>
      </c>
      <c r="H27" s="8">
        <f t="shared" si="3"/>
        <v>0</v>
      </c>
      <c r="I27" s="8">
        <f t="shared" si="3"/>
        <v>0</v>
      </c>
      <c r="J27" s="8">
        <f t="shared" si="3"/>
        <v>0</v>
      </c>
      <c r="K27" s="8"/>
      <c r="L27" s="77"/>
    </row>
    <row r="28" spans="1:12" x14ac:dyDescent="0.25">
      <c r="A28" s="5">
        <f t="shared" si="2"/>
        <v>2.0018000000000038</v>
      </c>
      <c r="B28" s="76"/>
      <c r="C28" s="76" t="s">
        <v>773</v>
      </c>
      <c r="D28" s="77"/>
      <c r="E28" s="77"/>
      <c r="F28" s="8" t="s">
        <v>5</v>
      </c>
      <c r="G28" s="8">
        <f t="shared" si="3"/>
        <v>1</v>
      </c>
      <c r="H28" s="8">
        <f t="shared" si="3"/>
        <v>0</v>
      </c>
      <c r="I28" s="8">
        <f t="shared" si="3"/>
        <v>0</v>
      </c>
      <c r="J28" s="8">
        <f t="shared" si="3"/>
        <v>0</v>
      </c>
      <c r="K28" s="8"/>
      <c r="L28" s="77"/>
    </row>
    <row r="29" spans="1:12" x14ac:dyDescent="0.25">
      <c r="A29" s="5">
        <f t="shared" si="2"/>
        <v>2.001900000000004</v>
      </c>
      <c r="B29" s="76"/>
      <c r="C29" s="76" t="s">
        <v>774</v>
      </c>
      <c r="D29" s="77"/>
      <c r="E29" s="77"/>
      <c r="F29" s="8" t="s">
        <v>5</v>
      </c>
      <c r="G29" s="8">
        <f t="shared" si="3"/>
        <v>1</v>
      </c>
      <c r="H29" s="8">
        <f t="shared" si="3"/>
        <v>0</v>
      </c>
      <c r="I29" s="8">
        <f t="shared" si="3"/>
        <v>0</v>
      </c>
      <c r="J29" s="8">
        <f t="shared" si="3"/>
        <v>0</v>
      </c>
      <c r="K29" s="8"/>
      <c r="L29" s="77"/>
    </row>
    <row r="30" spans="1:12" x14ac:dyDescent="0.25">
      <c r="A30" s="5">
        <f t="shared" si="2"/>
        <v>2.0020000000000042</v>
      </c>
      <c r="B30" s="82" t="s">
        <v>776</v>
      </c>
      <c r="C30" s="76" t="s">
        <v>779</v>
      </c>
      <c r="D30" s="77"/>
      <c r="E30" s="77"/>
      <c r="F30" s="8" t="s">
        <v>5</v>
      </c>
      <c r="G30" s="8">
        <f t="shared" si="3"/>
        <v>1</v>
      </c>
      <c r="H30" s="8">
        <f t="shared" si="3"/>
        <v>0</v>
      </c>
      <c r="I30" s="8">
        <f t="shared" si="3"/>
        <v>0</v>
      </c>
      <c r="J30" s="8">
        <f t="shared" si="3"/>
        <v>0</v>
      </c>
      <c r="K30" s="8"/>
      <c r="L30" s="77"/>
    </row>
    <row r="31" spans="1:12" x14ac:dyDescent="0.25">
      <c r="A31" s="5">
        <f t="shared" si="2"/>
        <v>2.0021000000000044</v>
      </c>
      <c r="B31" s="83" t="s">
        <v>797</v>
      </c>
      <c r="C31" s="82" t="s">
        <v>791</v>
      </c>
      <c r="D31" s="77"/>
      <c r="E31" s="77"/>
      <c r="F31" s="8" t="s">
        <v>5</v>
      </c>
      <c r="G31" s="8">
        <f t="shared" si="3"/>
        <v>1</v>
      </c>
      <c r="H31" s="8">
        <f t="shared" si="3"/>
        <v>0</v>
      </c>
      <c r="I31" s="8">
        <f t="shared" si="3"/>
        <v>0</v>
      </c>
      <c r="J31" s="8">
        <f t="shared" si="3"/>
        <v>0</v>
      </c>
      <c r="K31" s="8"/>
      <c r="L31" s="77"/>
    </row>
    <row r="32" spans="1:12" x14ac:dyDescent="0.25">
      <c r="A32" s="5">
        <f t="shared" si="2"/>
        <v>2.0022000000000046</v>
      </c>
      <c r="B32" s="77"/>
      <c r="C32" s="76" t="s">
        <v>792</v>
      </c>
      <c r="D32" s="77"/>
      <c r="E32" s="77"/>
      <c r="F32" s="8" t="s">
        <v>5</v>
      </c>
      <c r="G32" s="8">
        <f t="shared" ref="G32:J47" si="4">IF($F32=G$1,1,0)</f>
        <v>1</v>
      </c>
      <c r="H32" s="8">
        <f t="shared" si="4"/>
        <v>0</v>
      </c>
      <c r="I32" s="8">
        <f t="shared" si="4"/>
        <v>0</v>
      </c>
      <c r="J32" s="8">
        <f t="shared" si="4"/>
        <v>0</v>
      </c>
      <c r="K32" s="8"/>
      <c r="L32" s="77"/>
    </row>
    <row r="33" spans="1:12" x14ac:dyDescent="0.25">
      <c r="A33" s="5">
        <f t="shared" si="2"/>
        <v>2.0023000000000049</v>
      </c>
      <c r="B33" s="77"/>
      <c r="C33" s="76" t="s">
        <v>793</v>
      </c>
      <c r="D33" s="77"/>
      <c r="E33" s="77"/>
      <c r="F33" s="8" t="s">
        <v>5</v>
      </c>
      <c r="G33" s="8">
        <f t="shared" si="4"/>
        <v>1</v>
      </c>
      <c r="H33" s="8">
        <f t="shared" si="4"/>
        <v>0</v>
      </c>
      <c r="I33" s="8">
        <f t="shared" si="4"/>
        <v>0</v>
      </c>
      <c r="J33" s="8">
        <f t="shared" si="4"/>
        <v>0</v>
      </c>
      <c r="K33" s="8"/>
      <c r="L33" s="77"/>
    </row>
    <row r="34" spans="1:12" x14ac:dyDescent="0.25">
      <c r="A34" s="5">
        <f t="shared" si="2"/>
        <v>2.0024000000000051</v>
      </c>
      <c r="B34" s="77"/>
      <c r="C34" s="76" t="s">
        <v>794</v>
      </c>
      <c r="D34" s="77"/>
      <c r="E34" s="77"/>
      <c r="F34" s="8" t="s">
        <v>5</v>
      </c>
      <c r="G34" s="8">
        <f t="shared" si="4"/>
        <v>1</v>
      </c>
      <c r="H34" s="8">
        <f t="shared" si="4"/>
        <v>0</v>
      </c>
      <c r="I34" s="8">
        <f t="shared" si="4"/>
        <v>0</v>
      </c>
      <c r="J34" s="8">
        <f t="shared" si="4"/>
        <v>0</v>
      </c>
      <c r="K34" s="8"/>
      <c r="L34" s="77"/>
    </row>
    <row r="35" spans="1:12" x14ac:dyDescent="0.25">
      <c r="A35" s="5">
        <f t="shared" si="2"/>
        <v>2.0025000000000053</v>
      </c>
      <c r="B35" s="77"/>
      <c r="C35" s="76" t="s">
        <v>795</v>
      </c>
      <c r="D35" s="77"/>
      <c r="E35" s="77"/>
      <c r="F35" s="8" t="s">
        <v>5</v>
      </c>
      <c r="G35" s="8">
        <f t="shared" si="4"/>
        <v>1</v>
      </c>
      <c r="H35" s="8">
        <f t="shared" si="4"/>
        <v>0</v>
      </c>
      <c r="I35" s="8">
        <f t="shared" si="4"/>
        <v>0</v>
      </c>
      <c r="J35" s="8">
        <f t="shared" si="4"/>
        <v>0</v>
      </c>
      <c r="K35" s="8"/>
      <c r="L35" s="77"/>
    </row>
    <row r="36" spans="1:12" x14ac:dyDescent="0.25">
      <c r="A36" s="5">
        <f t="shared" si="2"/>
        <v>2.0026000000000055</v>
      </c>
      <c r="B36" s="77"/>
      <c r="C36" s="76" t="s">
        <v>796</v>
      </c>
      <c r="D36" s="77"/>
      <c r="E36" s="77"/>
      <c r="F36" s="8" t="s">
        <v>5</v>
      </c>
      <c r="G36" s="8">
        <f t="shared" si="4"/>
        <v>1</v>
      </c>
      <c r="H36" s="8">
        <f t="shared" si="4"/>
        <v>0</v>
      </c>
      <c r="I36" s="8">
        <f t="shared" si="4"/>
        <v>0</v>
      </c>
      <c r="J36" s="8">
        <f t="shared" si="4"/>
        <v>0</v>
      </c>
      <c r="K36" s="8"/>
      <c r="L36" s="77"/>
    </row>
    <row r="37" spans="1:12" x14ac:dyDescent="0.25">
      <c r="A37" s="5">
        <f t="shared" si="2"/>
        <v>2.0027000000000057</v>
      </c>
      <c r="B37" s="77"/>
      <c r="C37" s="76" t="s">
        <v>810</v>
      </c>
      <c r="D37" s="77"/>
      <c r="E37" s="77"/>
      <c r="F37" s="8" t="s">
        <v>5</v>
      </c>
      <c r="G37" s="8">
        <f t="shared" si="4"/>
        <v>1</v>
      </c>
      <c r="H37" s="8">
        <f t="shared" si="4"/>
        <v>0</v>
      </c>
      <c r="I37" s="8">
        <f t="shared" si="4"/>
        <v>0</v>
      </c>
      <c r="J37" s="8">
        <f t="shared" si="4"/>
        <v>0</v>
      </c>
      <c r="K37" s="8"/>
      <c r="L37" s="77"/>
    </row>
    <row r="38" spans="1:12" x14ac:dyDescent="0.25">
      <c r="A38" s="5">
        <f t="shared" si="2"/>
        <v>2.0028000000000059</v>
      </c>
      <c r="B38" s="77"/>
      <c r="C38" s="76" t="s">
        <v>824</v>
      </c>
      <c r="D38" s="77"/>
      <c r="E38" s="77"/>
      <c r="F38" s="8" t="s">
        <v>5</v>
      </c>
      <c r="G38" s="8">
        <f t="shared" si="4"/>
        <v>1</v>
      </c>
      <c r="H38" s="8">
        <f t="shared" si="4"/>
        <v>0</v>
      </c>
      <c r="I38" s="8">
        <f t="shared" si="4"/>
        <v>0</v>
      </c>
      <c r="J38" s="8">
        <f t="shared" si="4"/>
        <v>0</v>
      </c>
      <c r="K38" s="8"/>
      <c r="L38" s="77"/>
    </row>
    <row r="39" spans="1:12" x14ac:dyDescent="0.25">
      <c r="A39" s="5">
        <f t="shared" si="2"/>
        <v>2.0029000000000061</v>
      </c>
      <c r="B39" s="77"/>
      <c r="C39" s="76" t="s">
        <v>825</v>
      </c>
      <c r="D39" s="77"/>
      <c r="E39" s="77"/>
      <c r="F39" s="8" t="s">
        <v>5</v>
      </c>
      <c r="G39" s="8">
        <f t="shared" si="4"/>
        <v>1</v>
      </c>
      <c r="H39" s="8">
        <f t="shared" si="4"/>
        <v>0</v>
      </c>
      <c r="I39" s="8">
        <f t="shared" si="4"/>
        <v>0</v>
      </c>
      <c r="J39" s="8">
        <f t="shared" si="4"/>
        <v>0</v>
      </c>
      <c r="K39" s="8"/>
      <c r="L39" s="77"/>
    </row>
    <row r="40" spans="1:12" x14ac:dyDescent="0.25">
      <c r="A40" s="5">
        <f t="shared" si="2"/>
        <v>2.0030000000000063</v>
      </c>
      <c r="B40" s="77"/>
      <c r="C40" s="76" t="s">
        <v>826</v>
      </c>
      <c r="D40" s="77"/>
      <c r="E40" s="77"/>
      <c r="F40" s="8" t="s">
        <v>5</v>
      </c>
      <c r="G40" s="8">
        <f t="shared" si="4"/>
        <v>1</v>
      </c>
      <c r="H40" s="8">
        <f t="shared" si="4"/>
        <v>0</v>
      </c>
      <c r="I40" s="8">
        <f t="shared" si="4"/>
        <v>0</v>
      </c>
      <c r="J40" s="8">
        <f t="shared" si="4"/>
        <v>0</v>
      </c>
      <c r="K40" s="8"/>
      <c r="L40" s="77"/>
    </row>
    <row r="41" spans="1:12" x14ac:dyDescent="0.25">
      <c r="A41" s="5">
        <f t="shared" si="2"/>
        <v>2.0031000000000065</v>
      </c>
      <c r="B41" s="83" t="s">
        <v>811</v>
      </c>
      <c r="C41" s="82" t="s">
        <v>812</v>
      </c>
      <c r="D41" s="77"/>
      <c r="E41" s="77"/>
      <c r="F41" s="8" t="s">
        <v>5</v>
      </c>
      <c r="G41" s="8">
        <f t="shared" si="4"/>
        <v>1</v>
      </c>
      <c r="H41" s="8">
        <f t="shared" si="4"/>
        <v>0</v>
      </c>
      <c r="I41" s="8">
        <f t="shared" si="4"/>
        <v>0</v>
      </c>
      <c r="J41" s="8">
        <f t="shared" si="4"/>
        <v>0</v>
      </c>
      <c r="K41" s="8"/>
      <c r="L41" s="77"/>
    </row>
    <row r="42" spans="1:12" x14ac:dyDescent="0.25">
      <c r="A42" s="5">
        <f t="shared" si="2"/>
        <v>2.0032000000000068</v>
      </c>
      <c r="B42" s="77"/>
      <c r="C42" s="76" t="s">
        <v>814</v>
      </c>
      <c r="D42" s="77"/>
      <c r="E42" s="77"/>
      <c r="F42" s="8" t="s">
        <v>5</v>
      </c>
      <c r="G42" s="8">
        <f t="shared" si="4"/>
        <v>1</v>
      </c>
      <c r="H42" s="8">
        <f t="shared" si="4"/>
        <v>0</v>
      </c>
      <c r="I42" s="8">
        <f t="shared" si="4"/>
        <v>0</v>
      </c>
      <c r="J42" s="8">
        <f t="shared" si="4"/>
        <v>0</v>
      </c>
      <c r="K42" s="8"/>
      <c r="L42" s="77"/>
    </row>
    <row r="43" spans="1:12" x14ac:dyDescent="0.25">
      <c r="A43" s="5">
        <f t="shared" si="2"/>
        <v>2.003300000000007</v>
      </c>
      <c r="B43" s="77"/>
      <c r="C43" s="76" t="s">
        <v>815</v>
      </c>
      <c r="D43" s="77"/>
      <c r="E43" s="77"/>
      <c r="F43" s="8" t="s">
        <v>5</v>
      </c>
      <c r="G43" s="8">
        <f t="shared" si="4"/>
        <v>1</v>
      </c>
      <c r="H43" s="8">
        <f t="shared" si="4"/>
        <v>0</v>
      </c>
      <c r="I43" s="8">
        <f t="shared" si="4"/>
        <v>0</v>
      </c>
      <c r="J43" s="8">
        <f t="shared" si="4"/>
        <v>0</v>
      </c>
      <c r="K43" s="8"/>
      <c r="L43" s="77"/>
    </row>
    <row r="44" spans="1:12" x14ac:dyDescent="0.25">
      <c r="A44" s="5">
        <f t="shared" si="2"/>
        <v>2.0034000000000072</v>
      </c>
      <c r="B44" s="77"/>
      <c r="C44" s="76" t="s">
        <v>816</v>
      </c>
      <c r="D44" s="77"/>
      <c r="E44" s="77"/>
      <c r="F44" s="8" t="s">
        <v>5</v>
      </c>
      <c r="G44" s="8">
        <f t="shared" si="4"/>
        <v>1</v>
      </c>
      <c r="H44" s="8">
        <f t="shared" si="4"/>
        <v>0</v>
      </c>
      <c r="I44" s="8">
        <f t="shared" si="4"/>
        <v>0</v>
      </c>
      <c r="J44" s="8">
        <f t="shared" si="4"/>
        <v>0</v>
      </c>
      <c r="K44" s="8"/>
      <c r="L44" s="77"/>
    </row>
    <row r="45" spans="1:12" x14ac:dyDescent="0.25">
      <c r="A45" s="5">
        <f t="shared" si="2"/>
        <v>2.0035000000000074</v>
      </c>
      <c r="B45" s="77"/>
      <c r="C45" s="76" t="s">
        <v>817</v>
      </c>
      <c r="D45" s="77"/>
      <c r="E45" s="77"/>
      <c r="F45" s="8" t="s">
        <v>5</v>
      </c>
      <c r="G45" s="8">
        <f t="shared" si="4"/>
        <v>1</v>
      </c>
      <c r="H45" s="8">
        <f t="shared" si="4"/>
        <v>0</v>
      </c>
      <c r="I45" s="8">
        <f t="shared" si="4"/>
        <v>0</v>
      </c>
      <c r="J45" s="8">
        <f t="shared" si="4"/>
        <v>0</v>
      </c>
      <c r="K45" s="8"/>
      <c r="L45" s="77"/>
    </row>
    <row r="46" spans="1:12" x14ac:dyDescent="0.25">
      <c r="A46" s="5">
        <f t="shared" si="2"/>
        <v>2.0036000000000076</v>
      </c>
      <c r="B46" s="77"/>
      <c r="C46" s="76" t="s">
        <v>818</v>
      </c>
      <c r="D46" s="77"/>
      <c r="E46" s="77"/>
      <c r="F46" s="8" t="s">
        <v>5</v>
      </c>
      <c r="G46" s="8">
        <f t="shared" si="4"/>
        <v>1</v>
      </c>
      <c r="H46" s="8">
        <f t="shared" si="4"/>
        <v>0</v>
      </c>
      <c r="I46" s="8">
        <f t="shared" si="4"/>
        <v>0</v>
      </c>
      <c r="J46" s="8">
        <f t="shared" si="4"/>
        <v>0</v>
      </c>
      <c r="K46" s="8"/>
      <c r="L46" s="77"/>
    </row>
    <row r="47" spans="1:12" x14ac:dyDescent="0.25">
      <c r="A47" s="5">
        <f t="shared" si="2"/>
        <v>2.0037000000000078</v>
      </c>
      <c r="B47" s="77"/>
      <c r="C47" s="76" t="s">
        <v>819</v>
      </c>
      <c r="D47" s="77" t="s">
        <v>820</v>
      </c>
      <c r="E47" s="77"/>
      <c r="F47" s="8" t="s">
        <v>5</v>
      </c>
      <c r="G47" s="8">
        <f t="shared" si="4"/>
        <v>1</v>
      </c>
      <c r="H47" s="8">
        <f t="shared" si="4"/>
        <v>0</v>
      </c>
      <c r="I47" s="8">
        <f t="shared" si="4"/>
        <v>0</v>
      </c>
      <c r="J47" s="8">
        <f t="shared" si="4"/>
        <v>0</v>
      </c>
      <c r="K47" s="8"/>
      <c r="L47" s="77"/>
    </row>
    <row r="48" spans="1:12" x14ac:dyDescent="0.25">
      <c r="A48" s="5">
        <f t="shared" si="2"/>
        <v>2.003800000000008</v>
      </c>
      <c r="B48" s="77"/>
      <c r="C48" s="76" t="s">
        <v>813</v>
      </c>
      <c r="D48" s="77"/>
      <c r="E48" s="77"/>
      <c r="F48" s="8" t="s">
        <v>5</v>
      </c>
      <c r="G48" s="8">
        <f t="shared" ref="G48:J51" si="5">IF($F48=G$1,1,0)</f>
        <v>1</v>
      </c>
      <c r="H48" s="8">
        <f t="shared" si="5"/>
        <v>0</v>
      </c>
      <c r="I48" s="8">
        <f t="shared" si="5"/>
        <v>0</v>
      </c>
      <c r="J48" s="8">
        <f t="shared" si="5"/>
        <v>0</v>
      </c>
      <c r="K48" s="8"/>
      <c r="L48" s="77"/>
    </row>
    <row r="49" spans="1:12" x14ac:dyDescent="0.25">
      <c r="A49" s="5">
        <f t="shared" si="2"/>
        <v>2.0039000000000082</v>
      </c>
      <c r="B49" s="77"/>
      <c r="C49" s="76" t="s">
        <v>821</v>
      </c>
      <c r="D49" s="77"/>
      <c r="E49" s="77"/>
      <c r="F49" s="8" t="s">
        <v>5</v>
      </c>
      <c r="G49" s="8">
        <f t="shared" si="5"/>
        <v>1</v>
      </c>
      <c r="H49" s="8">
        <f t="shared" si="5"/>
        <v>0</v>
      </c>
      <c r="I49" s="8">
        <f t="shared" si="5"/>
        <v>0</v>
      </c>
      <c r="J49" s="8">
        <f t="shared" si="5"/>
        <v>0</v>
      </c>
      <c r="K49" s="8"/>
      <c r="L49" s="77"/>
    </row>
    <row r="50" spans="1:12" x14ac:dyDescent="0.25">
      <c r="A50" s="5">
        <f t="shared" si="2"/>
        <v>2.0040000000000084</v>
      </c>
      <c r="B50" s="77"/>
      <c r="C50" s="76" t="s">
        <v>822</v>
      </c>
      <c r="D50" s="77"/>
      <c r="E50" s="77"/>
      <c r="F50" s="8" t="s">
        <v>5</v>
      </c>
      <c r="G50" s="8">
        <f t="shared" si="5"/>
        <v>1</v>
      </c>
      <c r="H50" s="8">
        <f t="shared" si="5"/>
        <v>0</v>
      </c>
      <c r="I50" s="8">
        <f t="shared" si="5"/>
        <v>0</v>
      </c>
      <c r="J50" s="8">
        <f t="shared" si="5"/>
        <v>0</v>
      </c>
      <c r="K50" s="8"/>
      <c r="L50" s="77"/>
    </row>
    <row r="51" spans="1:12" x14ac:dyDescent="0.25">
      <c r="A51" s="5">
        <f t="shared" si="2"/>
        <v>2.0041000000000087</v>
      </c>
      <c r="B51" s="77"/>
      <c r="C51" s="76" t="s">
        <v>1110</v>
      </c>
      <c r="D51" s="77"/>
      <c r="E51" s="77"/>
      <c r="F51" s="8" t="s">
        <v>5</v>
      </c>
      <c r="G51" s="8">
        <f t="shared" si="5"/>
        <v>1</v>
      </c>
      <c r="H51" s="8">
        <f t="shared" si="5"/>
        <v>0</v>
      </c>
      <c r="I51" s="8">
        <f t="shared" si="5"/>
        <v>0</v>
      </c>
      <c r="J51" s="8">
        <f t="shared" si="5"/>
        <v>0</v>
      </c>
      <c r="K51" s="8"/>
      <c r="L51" s="77"/>
    </row>
    <row r="52" spans="1:12" s="20" customFormat="1" x14ac:dyDescent="0.25">
      <c r="A52" s="16">
        <v>3</v>
      </c>
      <c r="B52" s="79" t="s">
        <v>928</v>
      </c>
      <c r="C52" s="80"/>
      <c r="D52" s="79"/>
      <c r="E52" s="79"/>
      <c r="F52" s="19"/>
      <c r="G52" s="19"/>
      <c r="H52" s="19"/>
      <c r="I52" s="19"/>
      <c r="J52" s="19"/>
      <c r="K52" s="19"/>
      <c r="L52" s="79"/>
    </row>
    <row r="53" spans="1:12" x14ac:dyDescent="0.25">
      <c r="A53" s="5">
        <f t="shared" si="2"/>
        <v>3.0001000000000002</v>
      </c>
      <c r="B53" s="77" t="s">
        <v>929</v>
      </c>
      <c r="C53" s="76"/>
      <c r="D53" s="77"/>
      <c r="E53" s="77"/>
      <c r="F53" s="8"/>
      <c r="G53" s="8"/>
      <c r="H53" s="8"/>
      <c r="I53" s="8"/>
      <c r="J53" s="8"/>
      <c r="K53" s="8"/>
      <c r="L53" s="77"/>
    </row>
    <row r="54" spans="1:12" s="20" customFormat="1" x14ac:dyDescent="0.25">
      <c r="A54" s="16">
        <v>4</v>
      </c>
      <c r="B54" s="79" t="s">
        <v>800</v>
      </c>
      <c r="C54" s="80"/>
      <c r="D54" s="79"/>
      <c r="E54" s="79"/>
      <c r="F54" s="19"/>
      <c r="G54" s="19"/>
      <c r="H54" s="19"/>
      <c r="I54" s="19"/>
      <c r="J54" s="19"/>
      <c r="K54" s="19"/>
      <c r="L54" s="79"/>
    </row>
    <row r="55" spans="1:12" x14ac:dyDescent="0.25">
      <c r="A55" s="5">
        <f t="shared" si="2"/>
        <v>4.0000999999999998</v>
      </c>
      <c r="B55" s="82" t="s">
        <v>827</v>
      </c>
      <c r="C55" s="78" t="s">
        <v>1112</v>
      </c>
      <c r="D55" s="77"/>
      <c r="E55" s="77"/>
      <c r="F55" s="8" t="s">
        <v>5</v>
      </c>
      <c r="G55" s="8">
        <f t="shared" ref="G55:J56" si="6">IF($F55=G$1,1,0)</f>
        <v>1</v>
      </c>
      <c r="H55" s="8">
        <f t="shared" si="6"/>
        <v>0</v>
      </c>
      <c r="I55" s="8">
        <f t="shared" si="6"/>
        <v>0</v>
      </c>
      <c r="J55" s="8">
        <f t="shared" si="6"/>
        <v>0</v>
      </c>
      <c r="K55" s="8"/>
      <c r="L55" s="77"/>
    </row>
    <row r="56" spans="1:12" x14ac:dyDescent="0.25">
      <c r="A56" s="5">
        <f t="shared" si="2"/>
        <v>4.0001999999999995</v>
      </c>
      <c r="B56" s="82" t="s">
        <v>757</v>
      </c>
      <c r="C56" s="78" t="s">
        <v>758</v>
      </c>
      <c r="D56" s="77"/>
      <c r="E56" s="77"/>
      <c r="F56" s="8" t="s">
        <v>5</v>
      </c>
      <c r="G56" s="8">
        <f t="shared" si="6"/>
        <v>1</v>
      </c>
      <c r="H56" s="8">
        <f t="shared" si="6"/>
        <v>0</v>
      </c>
      <c r="I56" s="8">
        <f t="shared" si="6"/>
        <v>0</v>
      </c>
      <c r="J56" s="8">
        <f t="shared" si="6"/>
        <v>0</v>
      </c>
      <c r="K56" s="8"/>
      <c r="L56" s="77"/>
    </row>
    <row r="57" spans="1:12" x14ac:dyDescent="0.25">
      <c r="A57" s="5">
        <f t="shared" si="2"/>
        <v>4.0002999999999993</v>
      </c>
      <c r="B57" s="76" t="s">
        <v>759</v>
      </c>
      <c r="C57" s="78" t="s">
        <v>760</v>
      </c>
      <c r="D57" s="77"/>
      <c r="E57" s="77"/>
      <c r="F57" s="8" t="s">
        <v>5</v>
      </c>
      <c r="G57" s="8">
        <f t="shared" ref="G57:J72" si="7">IF($F57=G$1,1,0)</f>
        <v>1</v>
      </c>
      <c r="H57" s="8">
        <f t="shared" si="7"/>
        <v>0</v>
      </c>
      <c r="I57" s="8">
        <f t="shared" si="7"/>
        <v>0</v>
      </c>
      <c r="J57" s="8">
        <f t="shared" si="7"/>
        <v>0</v>
      </c>
      <c r="K57" s="8"/>
      <c r="L57" s="77"/>
    </row>
    <row r="58" spans="1:12" x14ac:dyDescent="0.25">
      <c r="A58" s="5">
        <f t="shared" si="2"/>
        <v>4.0003999999999991</v>
      </c>
      <c r="B58" s="76" t="s">
        <v>801</v>
      </c>
      <c r="C58" s="78" t="s">
        <v>799</v>
      </c>
      <c r="D58" s="77"/>
      <c r="E58" s="77"/>
      <c r="F58" s="8" t="s">
        <v>5</v>
      </c>
      <c r="G58" s="8">
        <f t="shared" si="7"/>
        <v>1</v>
      </c>
      <c r="H58" s="8">
        <f t="shared" si="7"/>
        <v>0</v>
      </c>
      <c r="I58" s="8">
        <f t="shared" si="7"/>
        <v>0</v>
      </c>
      <c r="J58" s="8">
        <f t="shared" si="7"/>
        <v>0</v>
      </c>
      <c r="K58" s="8"/>
      <c r="L58" s="77"/>
    </row>
    <row r="59" spans="1:12" x14ac:dyDescent="0.25">
      <c r="A59" s="5">
        <f t="shared" si="2"/>
        <v>4.0004999999999988</v>
      </c>
      <c r="B59" s="76" t="s">
        <v>803</v>
      </c>
      <c r="C59" s="89" t="s">
        <v>1111</v>
      </c>
      <c r="D59" s="77"/>
      <c r="E59" s="77"/>
      <c r="F59" s="8" t="s">
        <v>5</v>
      </c>
      <c r="G59" s="8">
        <f t="shared" si="7"/>
        <v>1</v>
      </c>
      <c r="H59" s="8">
        <f t="shared" si="7"/>
        <v>0</v>
      </c>
      <c r="I59" s="8">
        <f t="shared" si="7"/>
        <v>0</v>
      </c>
      <c r="J59" s="8">
        <f t="shared" si="7"/>
        <v>0</v>
      </c>
      <c r="K59" s="8"/>
      <c r="L59" s="77"/>
    </row>
    <row r="60" spans="1:12" x14ac:dyDescent="0.25">
      <c r="A60" s="5">
        <f t="shared" si="2"/>
        <v>4.0005999999999986</v>
      </c>
      <c r="B60" s="76" t="s">
        <v>806</v>
      </c>
      <c r="C60" s="78" t="s">
        <v>761</v>
      </c>
      <c r="D60" s="77"/>
      <c r="E60" s="77"/>
      <c r="F60" s="8" t="s">
        <v>5</v>
      </c>
      <c r="G60" s="8">
        <f t="shared" si="7"/>
        <v>1</v>
      </c>
      <c r="H60" s="8">
        <f t="shared" si="7"/>
        <v>0</v>
      </c>
      <c r="I60" s="8">
        <f t="shared" si="7"/>
        <v>0</v>
      </c>
      <c r="J60" s="8">
        <f t="shared" si="7"/>
        <v>0</v>
      </c>
      <c r="K60" s="8"/>
      <c r="L60" s="77"/>
    </row>
    <row r="61" spans="1:12" x14ac:dyDescent="0.25">
      <c r="A61" s="5">
        <f t="shared" si="2"/>
        <v>4.0006999999999984</v>
      </c>
      <c r="B61" s="76" t="s">
        <v>788</v>
      </c>
      <c r="C61" s="78">
        <v>100</v>
      </c>
      <c r="D61" s="77"/>
      <c r="E61" s="77"/>
      <c r="F61" s="8" t="s">
        <v>5</v>
      </c>
      <c r="G61" s="8">
        <f t="shared" si="7"/>
        <v>1</v>
      </c>
      <c r="H61" s="8">
        <f t="shared" si="7"/>
        <v>0</v>
      </c>
      <c r="I61" s="8">
        <f t="shared" si="7"/>
        <v>0</v>
      </c>
      <c r="J61" s="8">
        <f t="shared" si="7"/>
        <v>0</v>
      </c>
      <c r="K61" s="8"/>
      <c r="L61" s="77"/>
    </row>
    <row r="62" spans="1:12" x14ac:dyDescent="0.25">
      <c r="A62" s="5">
        <f t="shared" si="2"/>
        <v>4.0007999999999981</v>
      </c>
      <c r="B62" s="77" t="s">
        <v>762</v>
      </c>
      <c r="C62" s="76" t="s">
        <v>765</v>
      </c>
      <c r="D62" s="77"/>
      <c r="E62" s="77"/>
      <c r="F62" s="8" t="s">
        <v>5</v>
      </c>
      <c r="G62" s="8">
        <f t="shared" si="7"/>
        <v>1</v>
      </c>
      <c r="H62" s="8">
        <f t="shared" si="7"/>
        <v>0</v>
      </c>
      <c r="I62" s="8">
        <f t="shared" si="7"/>
        <v>0</v>
      </c>
      <c r="J62" s="8">
        <f t="shared" si="7"/>
        <v>0</v>
      </c>
      <c r="K62" s="8"/>
      <c r="L62" s="77"/>
    </row>
    <row r="63" spans="1:12" x14ac:dyDescent="0.25">
      <c r="A63" s="5">
        <f t="shared" si="2"/>
        <v>4.0008999999999979</v>
      </c>
      <c r="B63" s="77" t="s">
        <v>763</v>
      </c>
      <c r="C63" s="76" t="s">
        <v>764</v>
      </c>
      <c r="D63" s="77"/>
      <c r="E63" s="77"/>
      <c r="F63" s="8" t="s">
        <v>5</v>
      </c>
      <c r="G63" s="8">
        <f t="shared" si="7"/>
        <v>1</v>
      </c>
      <c r="H63" s="8">
        <f t="shared" si="7"/>
        <v>0</v>
      </c>
      <c r="I63" s="8">
        <f t="shared" si="7"/>
        <v>0</v>
      </c>
      <c r="J63" s="8">
        <f t="shared" si="7"/>
        <v>0</v>
      </c>
      <c r="K63" s="8"/>
      <c r="L63" s="77"/>
    </row>
    <row r="64" spans="1:12" x14ac:dyDescent="0.25">
      <c r="A64" s="5">
        <f t="shared" si="2"/>
        <v>4.0009999999999977</v>
      </c>
      <c r="B64" s="77" t="s">
        <v>766</v>
      </c>
      <c r="C64" s="76" t="s">
        <v>764</v>
      </c>
      <c r="D64" s="77"/>
      <c r="E64" s="77"/>
      <c r="F64" s="8" t="s">
        <v>5</v>
      </c>
      <c r="G64" s="8">
        <f t="shared" si="7"/>
        <v>1</v>
      </c>
      <c r="H64" s="8">
        <f t="shared" si="7"/>
        <v>0</v>
      </c>
      <c r="I64" s="8">
        <f t="shared" si="7"/>
        <v>0</v>
      </c>
      <c r="J64" s="8">
        <f t="shared" si="7"/>
        <v>0</v>
      </c>
      <c r="K64" s="8"/>
      <c r="L64" s="77"/>
    </row>
    <row r="65" spans="1:12" x14ac:dyDescent="0.25">
      <c r="A65" s="5">
        <f t="shared" si="2"/>
        <v>4.0010999999999974</v>
      </c>
      <c r="B65" s="76" t="s">
        <v>777</v>
      </c>
      <c r="C65" s="81" t="s">
        <v>804</v>
      </c>
      <c r="D65" s="77" t="s">
        <v>768</v>
      </c>
      <c r="E65" s="77"/>
      <c r="F65" s="8" t="s">
        <v>5</v>
      </c>
      <c r="G65" s="8">
        <f t="shared" si="7"/>
        <v>1</v>
      </c>
      <c r="H65" s="8">
        <f t="shared" si="7"/>
        <v>0</v>
      </c>
      <c r="I65" s="8">
        <f t="shared" si="7"/>
        <v>0</v>
      </c>
      <c r="J65" s="8">
        <f t="shared" si="7"/>
        <v>0</v>
      </c>
      <c r="K65" s="8"/>
      <c r="L65" s="77"/>
    </row>
    <row r="66" spans="1:12" x14ac:dyDescent="0.25">
      <c r="A66" s="5">
        <f t="shared" si="2"/>
        <v>4.0011999999999972</v>
      </c>
      <c r="B66" s="76" t="s">
        <v>778</v>
      </c>
      <c r="C66" s="76" t="s">
        <v>805</v>
      </c>
      <c r="D66" s="77"/>
      <c r="E66" s="77"/>
      <c r="F66" s="8" t="s">
        <v>5</v>
      </c>
      <c r="G66" s="8">
        <f t="shared" si="7"/>
        <v>1</v>
      </c>
      <c r="H66" s="8">
        <f t="shared" si="7"/>
        <v>0</v>
      </c>
      <c r="I66" s="8">
        <f t="shared" si="7"/>
        <v>0</v>
      </c>
      <c r="J66" s="8">
        <f t="shared" si="7"/>
        <v>0</v>
      </c>
      <c r="K66" s="8"/>
      <c r="L66" s="77"/>
    </row>
    <row r="67" spans="1:12" x14ac:dyDescent="0.25">
      <c r="A67" s="5">
        <f t="shared" si="2"/>
        <v>4.001299999999997</v>
      </c>
      <c r="B67" s="76"/>
      <c r="C67" s="76" t="s">
        <v>807</v>
      </c>
      <c r="D67" s="77"/>
      <c r="E67" s="77"/>
      <c r="F67" s="8" t="s">
        <v>5</v>
      </c>
      <c r="G67" s="8">
        <f t="shared" si="7"/>
        <v>1</v>
      </c>
      <c r="H67" s="8">
        <f t="shared" si="7"/>
        <v>0</v>
      </c>
      <c r="I67" s="8">
        <f t="shared" si="7"/>
        <v>0</v>
      </c>
      <c r="J67" s="8">
        <f t="shared" si="7"/>
        <v>0</v>
      </c>
      <c r="K67" s="8"/>
      <c r="L67" s="77"/>
    </row>
    <row r="68" spans="1:12" x14ac:dyDescent="0.25">
      <c r="A68" s="5">
        <f t="shared" si="2"/>
        <v>4.0013999999999967</v>
      </c>
      <c r="B68" s="82" t="s">
        <v>775</v>
      </c>
      <c r="C68" s="76" t="s">
        <v>769</v>
      </c>
      <c r="D68" s="77"/>
      <c r="E68" s="77"/>
      <c r="F68" s="8" t="s">
        <v>5</v>
      </c>
      <c r="G68" s="8">
        <f t="shared" si="7"/>
        <v>1</v>
      </c>
      <c r="H68" s="8">
        <f t="shared" si="7"/>
        <v>0</v>
      </c>
      <c r="I68" s="8">
        <f t="shared" si="7"/>
        <v>0</v>
      </c>
      <c r="J68" s="8">
        <f t="shared" si="7"/>
        <v>0</v>
      </c>
      <c r="K68" s="8"/>
      <c r="L68" s="77"/>
    </row>
    <row r="69" spans="1:12" x14ac:dyDescent="0.25">
      <c r="A69" s="5">
        <f t="shared" si="2"/>
        <v>4.0014999999999965</v>
      </c>
      <c r="B69" s="82"/>
      <c r="C69" s="76" t="s">
        <v>808</v>
      </c>
      <c r="D69" s="77" t="s">
        <v>809</v>
      </c>
      <c r="E69" s="77"/>
      <c r="F69" s="8" t="s">
        <v>5</v>
      </c>
      <c r="G69" s="8">
        <f t="shared" si="7"/>
        <v>1</v>
      </c>
      <c r="H69" s="8">
        <f t="shared" si="7"/>
        <v>0</v>
      </c>
      <c r="I69" s="8">
        <f t="shared" si="7"/>
        <v>0</v>
      </c>
      <c r="J69" s="8">
        <f t="shared" si="7"/>
        <v>0</v>
      </c>
      <c r="K69" s="8"/>
      <c r="L69" s="77"/>
    </row>
    <row r="70" spans="1:12" x14ac:dyDescent="0.25">
      <c r="A70" s="5">
        <f t="shared" si="2"/>
        <v>4.0015999999999963</v>
      </c>
      <c r="B70" s="76"/>
      <c r="C70" s="76" t="s">
        <v>770</v>
      </c>
      <c r="D70" s="77"/>
      <c r="E70" s="77"/>
      <c r="F70" s="8" t="s">
        <v>5</v>
      </c>
      <c r="G70" s="8">
        <f t="shared" si="7"/>
        <v>1</v>
      </c>
      <c r="H70" s="8">
        <f t="shared" si="7"/>
        <v>0</v>
      </c>
      <c r="I70" s="8">
        <f t="shared" si="7"/>
        <v>0</v>
      </c>
      <c r="J70" s="8">
        <f t="shared" si="7"/>
        <v>0</v>
      </c>
      <c r="K70" s="8"/>
      <c r="L70" s="77"/>
    </row>
    <row r="71" spans="1:12" x14ac:dyDescent="0.25">
      <c r="A71" s="5">
        <f t="shared" si="2"/>
        <v>4.001699999999996</v>
      </c>
      <c r="B71" s="76"/>
      <c r="C71" s="76" t="s">
        <v>771</v>
      </c>
      <c r="D71" s="77"/>
      <c r="E71" s="77"/>
      <c r="F71" s="8" t="s">
        <v>5</v>
      </c>
      <c r="G71" s="8">
        <f t="shared" si="7"/>
        <v>1</v>
      </c>
      <c r="H71" s="8">
        <f t="shared" si="7"/>
        <v>0</v>
      </c>
      <c r="I71" s="8">
        <f t="shared" si="7"/>
        <v>0</v>
      </c>
      <c r="J71" s="8">
        <f t="shared" si="7"/>
        <v>0</v>
      </c>
      <c r="K71" s="8"/>
      <c r="L71" s="77"/>
    </row>
    <row r="72" spans="1:12" x14ac:dyDescent="0.25">
      <c r="A72" s="5">
        <f t="shared" si="2"/>
        <v>4.0017999999999958</v>
      </c>
      <c r="B72" s="76"/>
      <c r="C72" s="76" t="s">
        <v>772</v>
      </c>
      <c r="D72" s="77"/>
      <c r="E72" s="77"/>
      <c r="F72" s="8" t="s">
        <v>5</v>
      </c>
      <c r="G72" s="8">
        <f t="shared" si="7"/>
        <v>1</v>
      </c>
      <c r="H72" s="8">
        <f t="shared" si="7"/>
        <v>0</v>
      </c>
      <c r="I72" s="8">
        <f t="shared" si="7"/>
        <v>0</v>
      </c>
      <c r="J72" s="8">
        <f t="shared" si="7"/>
        <v>0</v>
      </c>
      <c r="K72" s="8"/>
      <c r="L72" s="77"/>
    </row>
    <row r="73" spans="1:12" x14ac:dyDescent="0.25">
      <c r="A73" s="5">
        <f t="shared" si="2"/>
        <v>4.0018999999999956</v>
      </c>
      <c r="B73" s="76"/>
      <c r="C73" s="76" t="s">
        <v>773</v>
      </c>
      <c r="D73" s="77"/>
      <c r="E73" s="77"/>
      <c r="F73" s="8" t="s">
        <v>5</v>
      </c>
      <c r="G73" s="8">
        <f t="shared" ref="G73:J85" si="8">IF($F73=G$1,1,0)</f>
        <v>1</v>
      </c>
      <c r="H73" s="8">
        <f t="shared" si="8"/>
        <v>0</v>
      </c>
      <c r="I73" s="8">
        <f t="shared" si="8"/>
        <v>0</v>
      </c>
      <c r="J73" s="8">
        <f t="shared" si="8"/>
        <v>0</v>
      </c>
      <c r="K73" s="8"/>
      <c r="L73" s="77"/>
    </row>
    <row r="74" spans="1:12" x14ac:dyDescent="0.25">
      <c r="A74" s="5">
        <f t="shared" si="2"/>
        <v>4.0019999999999953</v>
      </c>
      <c r="B74" s="76"/>
      <c r="C74" s="76" t="s">
        <v>774</v>
      </c>
      <c r="D74" s="77"/>
      <c r="E74" s="77"/>
      <c r="F74" s="8" t="s">
        <v>5</v>
      </c>
      <c r="G74" s="8">
        <f t="shared" si="8"/>
        <v>1</v>
      </c>
      <c r="H74" s="8">
        <f t="shared" si="8"/>
        <v>0</v>
      </c>
      <c r="I74" s="8">
        <f t="shared" si="8"/>
        <v>0</v>
      </c>
      <c r="J74" s="8">
        <f t="shared" si="8"/>
        <v>0</v>
      </c>
      <c r="K74" s="8"/>
      <c r="L74" s="77"/>
    </row>
    <row r="75" spans="1:12" x14ac:dyDescent="0.25">
      <c r="A75" s="5">
        <f t="shared" ref="A75" si="9">A74+0.0001</f>
        <v>4.0020999999999951</v>
      </c>
      <c r="B75" s="82" t="s">
        <v>776</v>
      </c>
      <c r="C75" s="76" t="s">
        <v>779</v>
      </c>
      <c r="D75" s="77"/>
      <c r="E75" s="77"/>
      <c r="F75" s="8" t="s">
        <v>5</v>
      </c>
      <c r="G75" s="8">
        <f t="shared" si="8"/>
        <v>1</v>
      </c>
      <c r="H75" s="8">
        <f t="shared" si="8"/>
        <v>0</v>
      </c>
      <c r="I75" s="8">
        <f t="shared" si="8"/>
        <v>0</v>
      </c>
      <c r="J75" s="8">
        <f t="shared" si="8"/>
        <v>0</v>
      </c>
      <c r="K75" s="8"/>
      <c r="L75" s="77"/>
    </row>
    <row r="76" spans="1:12" s="20" customFormat="1" x14ac:dyDescent="0.25">
      <c r="A76" s="16">
        <v>5</v>
      </c>
      <c r="B76" s="79" t="s">
        <v>857</v>
      </c>
      <c r="C76" s="80"/>
      <c r="D76" s="79"/>
      <c r="E76" s="79"/>
      <c r="F76" s="19"/>
      <c r="G76" s="19"/>
      <c r="H76" s="19"/>
      <c r="I76" s="19"/>
      <c r="J76" s="19"/>
      <c r="K76" s="19"/>
      <c r="L76" s="79"/>
    </row>
    <row r="77" spans="1:12" x14ac:dyDescent="0.25">
      <c r="A77" s="5">
        <f t="shared" ref="A77:A140" si="10">A76+0.0001</f>
        <v>5.0000999999999998</v>
      </c>
      <c r="B77" s="76" t="s">
        <v>1051</v>
      </c>
      <c r="C77" s="76" t="s">
        <v>833</v>
      </c>
      <c r="D77" s="77"/>
      <c r="E77" s="77"/>
      <c r="F77" s="8" t="s">
        <v>5</v>
      </c>
      <c r="G77" s="8">
        <f t="shared" si="8"/>
        <v>1</v>
      </c>
      <c r="H77" s="8">
        <f t="shared" si="8"/>
        <v>0</v>
      </c>
      <c r="I77" s="8">
        <f t="shared" si="8"/>
        <v>0</v>
      </c>
      <c r="J77" s="8">
        <f t="shared" si="8"/>
        <v>0</v>
      </c>
      <c r="K77" s="8"/>
      <c r="L77" s="77"/>
    </row>
    <row r="78" spans="1:12" x14ac:dyDescent="0.25">
      <c r="A78" s="5">
        <f t="shared" si="10"/>
        <v>5.0001999999999995</v>
      </c>
      <c r="B78" s="76" t="s">
        <v>834</v>
      </c>
      <c r="C78" s="76"/>
      <c r="D78" s="77"/>
      <c r="E78" s="77"/>
      <c r="F78" s="8" t="s">
        <v>5</v>
      </c>
      <c r="G78" s="8">
        <f t="shared" si="8"/>
        <v>1</v>
      </c>
      <c r="H78" s="8">
        <f t="shared" si="8"/>
        <v>0</v>
      </c>
      <c r="I78" s="8">
        <f t="shared" si="8"/>
        <v>0</v>
      </c>
      <c r="J78" s="8">
        <f t="shared" si="8"/>
        <v>0</v>
      </c>
      <c r="K78" s="8"/>
      <c r="L78" s="77"/>
    </row>
    <row r="79" spans="1:12" x14ac:dyDescent="0.25">
      <c r="A79" s="5">
        <f t="shared" si="10"/>
        <v>5.0002999999999993</v>
      </c>
      <c r="B79" s="76" t="s">
        <v>856</v>
      </c>
      <c r="C79" s="76" t="s">
        <v>836</v>
      </c>
      <c r="D79" s="77"/>
      <c r="E79" s="77"/>
      <c r="F79" s="8" t="s">
        <v>5</v>
      </c>
      <c r="G79" s="8">
        <f t="shared" si="8"/>
        <v>1</v>
      </c>
      <c r="H79" s="8">
        <f t="shared" si="8"/>
        <v>0</v>
      </c>
      <c r="I79" s="8">
        <f t="shared" si="8"/>
        <v>0</v>
      </c>
      <c r="J79" s="8">
        <f t="shared" si="8"/>
        <v>0</v>
      </c>
      <c r="K79" s="8"/>
      <c r="L79" s="77"/>
    </row>
    <row r="80" spans="1:12" x14ac:dyDescent="0.25">
      <c r="A80" s="5">
        <f t="shared" si="10"/>
        <v>5.0003999999999991</v>
      </c>
      <c r="B80" s="76" t="s">
        <v>835</v>
      </c>
      <c r="C80" s="76" t="s">
        <v>837</v>
      </c>
      <c r="D80" s="77"/>
      <c r="E80" s="77"/>
      <c r="F80" s="8" t="s">
        <v>5</v>
      </c>
      <c r="G80" s="8">
        <f t="shared" si="8"/>
        <v>1</v>
      </c>
      <c r="H80" s="8">
        <f t="shared" si="8"/>
        <v>0</v>
      </c>
      <c r="I80" s="8">
        <f t="shared" si="8"/>
        <v>0</v>
      </c>
      <c r="J80" s="8">
        <f t="shared" si="8"/>
        <v>0</v>
      </c>
      <c r="K80" s="8"/>
      <c r="L80" s="77"/>
    </row>
    <row r="81" spans="1:12" s="20" customFormat="1" x14ac:dyDescent="0.25">
      <c r="A81" s="16">
        <v>6</v>
      </c>
      <c r="B81" s="79" t="s">
        <v>832</v>
      </c>
      <c r="C81" s="80"/>
      <c r="D81" s="79"/>
      <c r="E81" s="79"/>
      <c r="F81" s="19"/>
      <c r="G81" s="19"/>
      <c r="H81" s="19"/>
      <c r="I81" s="19"/>
      <c r="J81" s="19"/>
      <c r="K81" s="19"/>
      <c r="L81" s="79"/>
    </row>
    <row r="82" spans="1:12" x14ac:dyDescent="0.25">
      <c r="A82" s="5">
        <f t="shared" si="10"/>
        <v>6.0000999999999998</v>
      </c>
      <c r="B82" s="76" t="s">
        <v>858</v>
      </c>
      <c r="C82" s="76" t="s">
        <v>833</v>
      </c>
      <c r="D82" s="77"/>
      <c r="E82" s="77"/>
      <c r="F82" s="8" t="s">
        <v>5</v>
      </c>
      <c r="G82" s="8">
        <f t="shared" si="8"/>
        <v>1</v>
      </c>
      <c r="H82" s="8">
        <f t="shared" si="8"/>
        <v>0</v>
      </c>
      <c r="I82" s="8">
        <f t="shared" si="8"/>
        <v>0</v>
      </c>
      <c r="J82" s="8">
        <f t="shared" si="8"/>
        <v>0</v>
      </c>
      <c r="K82" s="8"/>
      <c r="L82" s="77"/>
    </row>
    <row r="83" spans="1:12" x14ac:dyDescent="0.25">
      <c r="A83" s="5">
        <f t="shared" si="10"/>
        <v>6.0001999999999995</v>
      </c>
      <c r="B83" s="76" t="s">
        <v>901</v>
      </c>
      <c r="C83" s="76"/>
      <c r="D83" s="77"/>
      <c r="E83" s="77"/>
      <c r="F83" s="8" t="s">
        <v>5</v>
      </c>
      <c r="G83" s="8">
        <f t="shared" si="8"/>
        <v>1</v>
      </c>
      <c r="H83" s="8">
        <f t="shared" si="8"/>
        <v>0</v>
      </c>
      <c r="I83" s="8">
        <f t="shared" si="8"/>
        <v>0</v>
      </c>
      <c r="J83" s="8">
        <f t="shared" si="8"/>
        <v>0</v>
      </c>
      <c r="K83" s="8"/>
      <c r="L83" s="77"/>
    </row>
    <row r="84" spans="1:12" x14ac:dyDescent="0.25">
      <c r="A84" s="5">
        <f t="shared" si="10"/>
        <v>6.0002999999999993</v>
      </c>
      <c r="B84" s="76" t="s">
        <v>856</v>
      </c>
      <c r="C84" s="76" t="s">
        <v>836</v>
      </c>
      <c r="D84" s="77"/>
      <c r="E84" s="77"/>
      <c r="F84" s="8" t="s">
        <v>5</v>
      </c>
      <c r="G84" s="8">
        <f t="shared" si="8"/>
        <v>1</v>
      </c>
      <c r="H84" s="8">
        <f t="shared" si="8"/>
        <v>0</v>
      </c>
      <c r="I84" s="8">
        <f t="shared" si="8"/>
        <v>0</v>
      </c>
      <c r="J84" s="8">
        <f t="shared" si="8"/>
        <v>0</v>
      </c>
      <c r="K84" s="8"/>
      <c r="L84" s="77"/>
    </row>
    <row r="85" spans="1:12" x14ac:dyDescent="0.25">
      <c r="A85" s="5">
        <f t="shared" si="10"/>
        <v>6.0003999999999991</v>
      </c>
      <c r="B85" s="76" t="s">
        <v>835</v>
      </c>
      <c r="C85" s="76" t="s">
        <v>837</v>
      </c>
      <c r="D85" s="77"/>
      <c r="E85" s="77"/>
      <c r="F85" s="8" t="s">
        <v>5</v>
      </c>
      <c r="G85" s="8">
        <f t="shared" si="8"/>
        <v>1</v>
      </c>
      <c r="H85" s="8">
        <f t="shared" si="8"/>
        <v>0</v>
      </c>
      <c r="I85" s="8">
        <f t="shared" si="8"/>
        <v>0</v>
      </c>
      <c r="J85" s="8">
        <f t="shared" si="8"/>
        <v>0</v>
      </c>
      <c r="K85" s="8"/>
      <c r="L85" s="77"/>
    </row>
    <row r="86" spans="1:12" s="20" customFormat="1" x14ac:dyDescent="0.25">
      <c r="A86" s="16">
        <v>7</v>
      </c>
      <c r="B86" s="79" t="s">
        <v>895</v>
      </c>
      <c r="C86" s="80"/>
      <c r="D86" s="79"/>
      <c r="E86" s="79"/>
      <c r="F86" s="19"/>
      <c r="G86" s="19"/>
      <c r="H86" s="19"/>
      <c r="I86" s="19"/>
      <c r="J86" s="19"/>
      <c r="K86" s="19"/>
      <c r="L86" s="79"/>
    </row>
    <row r="87" spans="1:12" ht="25.5" x14ac:dyDescent="0.25">
      <c r="A87" s="5">
        <f t="shared" si="10"/>
        <v>7.0000999999999998</v>
      </c>
      <c r="B87" s="77" t="s">
        <v>896</v>
      </c>
      <c r="C87" s="76" t="s">
        <v>897</v>
      </c>
      <c r="D87" s="77"/>
      <c r="E87" s="77"/>
      <c r="F87" s="8" t="s">
        <v>5</v>
      </c>
      <c r="G87" s="8">
        <f t="shared" ref="G87:J90" si="11">IF($F87=G$1,1,0)</f>
        <v>1</v>
      </c>
      <c r="H87" s="8">
        <f t="shared" si="11"/>
        <v>0</v>
      </c>
      <c r="I87" s="8">
        <f t="shared" si="11"/>
        <v>0</v>
      </c>
      <c r="J87" s="8">
        <f t="shared" si="11"/>
        <v>0</v>
      </c>
      <c r="K87" s="8"/>
      <c r="L87" s="77"/>
    </row>
    <row r="88" spans="1:12" x14ac:dyDescent="0.25">
      <c r="A88" s="5">
        <f t="shared" si="10"/>
        <v>7.0001999999999995</v>
      </c>
      <c r="B88" s="77"/>
      <c r="C88" s="76" t="s">
        <v>900</v>
      </c>
      <c r="D88" s="77"/>
      <c r="E88" s="77"/>
      <c r="F88" s="8" t="s">
        <v>5</v>
      </c>
      <c r="G88" s="8">
        <f t="shared" si="11"/>
        <v>1</v>
      </c>
      <c r="H88" s="8">
        <f t="shared" si="11"/>
        <v>0</v>
      </c>
      <c r="I88" s="8">
        <f t="shared" si="11"/>
        <v>0</v>
      </c>
      <c r="J88" s="8">
        <f t="shared" si="11"/>
        <v>0</v>
      </c>
      <c r="K88" s="8"/>
      <c r="L88" s="77"/>
    </row>
    <row r="89" spans="1:12" x14ac:dyDescent="0.25">
      <c r="A89" s="5">
        <f t="shared" si="10"/>
        <v>7.0002999999999993</v>
      </c>
      <c r="B89" s="77"/>
      <c r="C89" s="76" t="s">
        <v>899</v>
      </c>
      <c r="D89" s="77"/>
      <c r="E89" s="77"/>
      <c r="F89" s="8" t="s">
        <v>5</v>
      </c>
      <c r="G89" s="8">
        <f t="shared" si="11"/>
        <v>1</v>
      </c>
      <c r="H89" s="8">
        <f t="shared" si="11"/>
        <v>0</v>
      </c>
      <c r="I89" s="8">
        <f t="shared" si="11"/>
        <v>0</v>
      </c>
      <c r="J89" s="8">
        <f t="shared" si="11"/>
        <v>0</v>
      </c>
      <c r="K89" s="8"/>
      <c r="L89" s="77"/>
    </row>
    <row r="90" spans="1:12" x14ac:dyDescent="0.25">
      <c r="A90" s="5">
        <f t="shared" si="10"/>
        <v>7.0003999999999991</v>
      </c>
      <c r="B90" s="77"/>
      <c r="C90" s="76" t="s">
        <v>898</v>
      </c>
      <c r="D90" s="77"/>
      <c r="E90" s="77"/>
      <c r="F90" s="8" t="s">
        <v>5</v>
      </c>
      <c r="G90" s="8">
        <f t="shared" si="11"/>
        <v>1</v>
      </c>
      <c r="H90" s="8">
        <f t="shared" si="11"/>
        <v>0</v>
      </c>
      <c r="I90" s="8">
        <f t="shared" si="11"/>
        <v>0</v>
      </c>
      <c r="J90" s="8">
        <f t="shared" si="11"/>
        <v>0</v>
      </c>
      <c r="K90" s="8"/>
      <c r="L90" s="77"/>
    </row>
    <row r="91" spans="1:12" s="20" customFormat="1" x14ac:dyDescent="0.25">
      <c r="A91" s="16">
        <v>8</v>
      </c>
      <c r="B91" s="79" t="s">
        <v>942</v>
      </c>
      <c r="C91" s="80"/>
      <c r="D91" s="79"/>
      <c r="E91" s="79"/>
      <c r="F91" s="19"/>
      <c r="G91" s="19"/>
      <c r="H91" s="19"/>
      <c r="I91" s="19"/>
      <c r="J91" s="19"/>
      <c r="K91" s="19"/>
      <c r="L91" s="79"/>
    </row>
    <row r="92" spans="1:12" x14ac:dyDescent="0.25">
      <c r="A92" s="5">
        <f t="shared" si="10"/>
        <v>8.0000999999999998</v>
      </c>
      <c r="B92" s="83" t="s">
        <v>903</v>
      </c>
      <c r="C92" s="76" t="s">
        <v>1113</v>
      </c>
      <c r="D92" s="77"/>
      <c r="E92" s="77"/>
      <c r="F92" s="8" t="s">
        <v>5</v>
      </c>
      <c r="G92" s="8">
        <f t="shared" ref="G92:J101" si="12">IF($F92=G$1,1,0)</f>
        <v>1</v>
      </c>
      <c r="H92" s="8">
        <f t="shared" si="12"/>
        <v>0</v>
      </c>
      <c r="I92" s="8">
        <f t="shared" si="12"/>
        <v>0</v>
      </c>
      <c r="J92" s="8">
        <f t="shared" si="12"/>
        <v>0</v>
      </c>
      <c r="K92" s="8"/>
      <c r="L92" s="77"/>
    </row>
    <row r="93" spans="1:12" x14ac:dyDescent="0.25">
      <c r="A93" s="5">
        <f t="shared" si="10"/>
        <v>8.0001999999999995</v>
      </c>
      <c r="B93" s="77" t="s">
        <v>870</v>
      </c>
      <c r="C93" s="76" t="s">
        <v>872</v>
      </c>
      <c r="D93" s="77"/>
      <c r="E93" s="77"/>
      <c r="F93" s="8" t="s">
        <v>5</v>
      </c>
      <c r="G93" s="8">
        <f t="shared" si="12"/>
        <v>1</v>
      </c>
      <c r="H93" s="8">
        <f t="shared" si="12"/>
        <v>0</v>
      </c>
      <c r="I93" s="8">
        <f t="shared" si="12"/>
        <v>0</v>
      </c>
      <c r="J93" s="8">
        <f t="shared" si="12"/>
        <v>0</v>
      </c>
      <c r="K93" s="8"/>
      <c r="L93" s="77"/>
    </row>
    <row r="94" spans="1:12" x14ac:dyDescent="0.25">
      <c r="A94" s="5">
        <f t="shared" si="10"/>
        <v>8.0002999999999993</v>
      </c>
      <c r="B94" s="77" t="s">
        <v>871</v>
      </c>
      <c r="C94" s="82" t="s">
        <v>861</v>
      </c>
      <c r="D94" s="77"/>
      <c r="E94" s="77"/>
      <c r="F94" s="8" t="s">
        <v>5</v>
      </c>
      <c r="G94" s="8">
        <f t="shared" si="12"/>
        <v>1</v>
      </c>
      <c r="H94" s="8">
        <f t="shared" si="12"/>
        <v>0</v>
      </c>
      <c r="I94" s="8">
        <f t="shared" si="12"/>
        <v>0</v>
      </c>
      <c r="J94" s="8">
        <f t="shared" si="12"/>
        <v>0</v>
      </c>
      <c r="K94" s="8"/>
      <c r="L94" s="77"/>
    </row>
    <row r="95" spans="1:12" x14ac:dyDescent="0.25">
      <c r="A95" s="5">
        <f t="shared" si="10"/>
        <v>8.0003999999999991</v>
      </c>
      <c r="B95" s="77"/>
      <c r="C95" s="82" t="s">
        <v>865</v>
      </c>
      <c r="D95" s="77"/>
      <c r="E95" s="77"/>
      <c r="F95" s="8" t="s">
        <v>5</v>
      </c>
      <c r="G95" s="8">
        <f t="shared" si="12"/>
        <v>1</v>
      </c>
      <c r="H95" s="8">
        <f t="shared" si="12"/>
        <v>0</v>
      </c>
      <c r="I95" s="8">
        <f t="shared" si="12"/>
        <v>0</v>
      </c>
      <c r="J95" s="8">
        <f t="shared" si="12"/>
        <v>0</v>
      </c>
      <c r="K95" s="8"/>
      <c r="L95" s="77"/>
    </row>
    <row r="96" spans="1:12" ht="38.25" x14ac:dyDescent="0.25">
      <c r="A96" s="5">
        <f t="shared" si="10"/>
        <v>8.0004999999999988</v>
      </c>
      <c r="B96" s="77"/>
      <c r="C96" s="76" t="s">
        <v>862</v>
      </c>
      <c r="D96" s="77" t="s">
        <v>863</v>
      </c>
      <c r="E96" s="77"/>
      <c r="F96" s="8" t="s">
        <v>5</v>
      </c>
      <c r="G96" s="8">
        <f t="shared" si="12"/>
        <v>1</v>
      </c>
      <c r="H96" s="8">
        <f t="shared" si="12"/>
        <v>0</v>
      </c>
      <c r="I96" s="8">
        <f t="shared" si="12"/>
        <v>0</v>
      </c>
      <c r="J96" s="8">
        <f t="shared" si="12"/>
        <v>0</v>
      </c>
      <c r="K96" s="8"/>
      <c r="L96" s="77"/>
    </row>
    <row r="97" spans="1:12" x14ac:dyDescent="0.25">
      <c r="A97" s="5">
        <f t="shared" si="10"/>
        <v>8.0005999999999986</v>
      </c>
      <c r="B97" s="77"/>
      <c r="C97" s="82" t="s">
        <v>864</v>
      </c>
      <c r="D97" s="77"/>
      <c r="E97" s="77"/>
      <c r="F97" s="8" t="s">
        <v>5</v>
      </c>
      <c r="G97" s="8">
        <f t="shared" si="12"/>
        <v>1</v>
      </c>
      <c r="H97" s="8">
        <f t="shared" si="12"/>
        <v>0</v>
      </c>
      <c r="I97" s="8">
        <f t="shared" si="12"/>
        <v>0</v>
      </c>
      <c r="J97" s="8">
        <f t="shared" si="12"/>
        <v>0</v>
      </c>
      <c r="K97" s="8"/>
      <c r="L97" s="77"/>
    </row>
    <row r="98" spans="1:12" x14ac:dyDescent="0.25">
      <c r="A98" s="5">
        <f t="shared" si="10"/>
        <v>8.0006999999999984</v>
      </c>
      <c r="B98" s="76"/>
      <c r="C98" s="82" t="s">
        <v>866</v>
      </c>
      <c r="D98" s="77">
        <v>1001</v>
      </c>
      <c r="E98" s="77"/>
      <c r="F98" s="8" t="s">
        <v>5</v>
      </c>
      <c r="G98" s="8">
        <f t="shared" si="12"/>
        <v>1</v>
      </c>
      <c r="H98" s="8">
        <f t="shared" si="12"/>
        <v>0</v>
      </c>
      <c r="I98" s="8">
        <f t="shared" si="12"/>
        <v>0</v>
      </c>
      <c r="J98" s="8">
        <f t="shared" si="12"/>
        <v>0</v>
      </c>
      <c r="K98" s="8"/>
      <c r="L98" s="77"/>
    </row>
    <row r="99" spans="1:12" x14ac:dyDescent="0.25">
      <c r="A99" s="5">
        <f t="shared" si="10"/>
        <v>8.0007999999999981</v>
      </c>
      <c r="B99" s="76"/>
      <c r="C99" s="76" t="s">
        <v>867</v>
      </c>
      <c r="D99" s="77"/>
      <c r="E99" s="77"/>
      <c r="F99" s="8" t="s">
        <v>5</v>
      </c>
      <c r="G99" s="8">
        <f t="shared" si="12"/>
        <v>1</v>
      </c>
      <c r="H99" s="8">
        <f t="shared" si="12"/>
        <v>0</v>
      </c>
      <c r="I99" s="8">
        <f t="shared" si="12"/>
        <v>0</v>
      </c>
      <c r="J99" s="8">
        <f t="shared" si="12"/>
        <v>0</v>
      </c>
      <c r="K99" s="8"/>
      <c r="L99" s="77"/>
    </row>
    <row r="100" spans="1:12" x14ac:dyDescent="0.25">
      <c r="A100" s="5">
        <f t="shared" si="10"/>
        <v>8.0008999999999979</v>
      </c>
      <c r="B100" s="76"/>
      <c r="C100" s="76" t="s">
        <v>868</v>
      </c>
      <c r="D100" s="77"/>
      <c r="E100" s="77"/>
      <c r="F100" s="8" t="s">
        <v>5</v>
      </c>
      <c r="G100" s="8">
        <f t="shared" si="12"/>
        <v>1</v>
      </c>
      <c r="H100" s="8">
        <f t="shared" si="12"/>
        <v>0</v>
      </c>
      <c r="I100" s="8">
        <f t="shared" si="12"/>
        <v>0</v>
      </c>
      <c r="J100" s="8">
        <f t="shared" si="12"/>
        <v>0</v>
      </c>
      <c r="K100" s="8"/>
      <c r="L100" s="77"/>
    </row>
    <row r="101" spans="1:12" x14ac:dyDescent="0.25">
      <c r="A101" s="5">
        <f t="shared" si="10"/>
        <v>8.0009999999999977</v>
      </c>
      <c r="B101" s="76"/>
      <c r="C101" s="76" t="s">
        <v>869</v>
      </c>
      <c r="D101" s="77"/>
      <c r="E101" s="77"/>
      <c r="F101" s="8" t="s">
        <v>5</v>
      </c>
      <c r="G101" s="8">
        <f t="shared" si="12"/>
        <v>1</v>
      </c>
      <c r="H101" s="8">
        <f t="shared" si="12"/>
        <v>0</v>
      </c>
      <c r="I101" s="8">
        <f t="shared" si="12"/>
        <v>0</v>
      </c>
      <c r="J101" s="8">
        <f t="shared" si="12"/>
        <v>0</v>
      </c>
      <c r="K101" s="8"/>
      <c r="L101" s="77"/>
    </row>
    <row r="102" spans="1:12" x14ac:dyDescent="0.25">
      <c r="A102" s="5">
        <f t="shared" si="10"/>
        <v>8.0010999999999974</v>
      </c>
      <c r="B102" s="76" t="s">
        <v>904</v>
      </c>
      <c r="C102" s="76" t="s">
        <v>874</v>
      </c>
      <c r="D102" s="77"/>
      <c r="E102" s="77"/>
      <c r="F102" s="8" t="s">
        <v>5</v>
      </c>
      <c r="G102" s="8">
        <f t="shared" ref="G102:J153" si="13">IF($F102=G$1,1,0)</f>
        <v>1</v>
      </c>
      <c r="H102" s="8">
        <f t="shared" si="13"/>
        <v>0</v>
      </c>
      <c r="I102" s="8">
        <f t="shared" si="13"/>
        <v>0</v>
      </c>
      <c r="J102" s="8">
        <f t="shared" si="13"/>
        <v>0</v>
      </c>
      <c r="K102" s="8"/>
      <c r="L102" s="77"/>
    </row>
    <row r="103" spans="1:12" x14ac:dyDescent="0.25">
      <c r="A103" s="5">
        <f t="shared" si="10"/>
        <v>8.0011999999999972</v>
      </c>
      <c r="B103" s="76" t="s">
        <v>905</v>
      </c>
      <c r="C103" s="82" t="s">
        <v>906</v>
      </c>
      <c r="D103" s="77"/>
      <c r="E103" s="77"/>
      <c r="F103" s="8" t="s">
        <v>5</v>
      </c>
      <c r="G103" s="8">
        <f t="shared" si="13"/>
        <v>1</v>
      </c>
      <c r="H103" s="8">
        <f t="shared" si="13"/>
        <v>0</v>
      </c>
      <c r="I103" s="8">
        <f t="shared" si="13"/>
        <v>0</v>
      </c>
      <c r="J103" s="8">
        <f t="shared" si="13"/>
        <v>0</v>
      </c>
      <c r="K103" s="8"/>
      <c r="L103" s="77"/>
    </row>
    <row r="104" spans="1:12" x14ac:dyDescent="0.25">
      <c r="A104" s="5">
        <f t="shared" si="10"/>
        <v>8.001299999999997</v>
      </c>
      <c r="B104" s="76"/>
      <c r="C104" s="76" t="s">
        <v>907</v>
      </c>
      <c r="D104" s="77"/>
      <c r="E104" s="77"/>
      <c r="F104" s="8" t="s">
        <v>5</v>
      </c>
      <c r="G104" s="8">
        <f t="shared" si="13"/>
        <v>1</v>
      </c>
      <c r="H104" s="8">
        <f t="shared" si="13"/>
        <v>0</v>
      </c>
      <c r="I104" s="8">
        <f t="shared" si="13"/>
        <v>0</v>
      </c>
      <c r="J104" s="8">
        <f t="shared" si="13"/>
        <v>0</v>
      </c>
      <c r="K104" s="8"/>
      <c r="L104" s="77"/>
    </row>
    <row r="105" spans="1:12" x14ac:dyDescent="0.25">
      <c r="A105" s="5">
        <f t="shared" si="10"/>
        <v>8.0013999999999967</v>
      </c>
      <c r="B105" s="76"/>
      <c r="C105" s="76" t="s">
        <v>908</v>
      </c>
      <c r="D105" s="77"/>
      <c r="E105" s="77"/>
      <c r="F105" s="8" t="s">
        <v>5</v>
      </c>
      <c r="G105" s="8">
        <f t="shared" si="13"/>
        <v>1</v>
      </c>
      <c r="H105" s="8">
        <f t="shared" si="13"/>
        <v>0</v>
      </c>
      <c r="I105" s="8">
        <f t="shared" si="13"/>
        <v>0</v>
      </c>
      <c r="J105" s="8">
        <f t="shared" si="13"/>
        <v>0</v>
      </c>
      <c r="K105" s="8"/>
      <c r="L105" s="77"/>
    </row>
    <row r="106" spans="1:12" x14ac:dyDescent="0.25">
      <c r="A106" s="5">
        <f t="shared" si="10"/>
        <v>8.0014999999999965</v>
      </c>
      <c r="B106" s="76"/>
      <c r="C106" s="76" t="s">
        <v>770</v>
      </c>
      <c r="D106" s="77"/>
      <c r="E106" s="77"/>
      <c r="F106" s="8" t="s">
        <v>5</v>
      </c>
      <c r="G106" s="8">
        <f t="shared" si="13"/>
        <v>1</v>
      </c>
      <c r="H106" s="8">
        <f t="shared" si="13"/>
        <v>0</v>
      </c>
      <c r="I106" s="8">
        <f t="shared" si="13"/>
        <v>0</v>
      </c>
      <c r="J106" s="8">
        <f t="shared" si="13"/>
        <v>0</v>
      </c>
      <c r="K106" s="8"/>
      <c r="L106" s="77"/>
    </row>
    <row r="107" spans="1:12" x14ac:dyDescent="0.25">
      <c r="A107" s="5">
        <f t="shared" si="10"/>
        <v>8.0015999999999963</v>
      </c>
      <c r="B107" s="76"/>
      <c r="C107" s="76" t="s">
        <v>909</v>
      </c>
      <c r="D107" s="77"/>
      <c r="E107" s="77"/>
      <c r="F107" s="8" t="s">
        <v>5</v>
      </c>
      <c r="G107" s="8">
        <f t="shared" si="13"/>
        <v>1</v>
      </c>
      <c r="H107" s="8">
        <f t="shared" si="13"/>
        <v>0</v>
      </c>
      <c r="I107" s="8">
        <f t="shared" si="13"/>
        <v>0</v>
      </c>
      <c r="J107" s="8">
        <f t="shared" si="13"/>
        <v>0</v>
      </c>
      <c r="K107" s="8"/>
      <c r="L107" s="77"/>
    </row>
    <row r="108" spans="1:12" x14ac:dyDescent="0.25">
      <c r="A108" s="5">
        <f t="shared" si="10"/>
        <v>8.001699999999996</v>
      </c>
      <c r="B108" s="76"/>
      <c r="C108" s="76" t="s">
        <v>910</v>
      </c>
      <c r="D108" s="77"/>
      <c r="E108" s="77"/>
      <c r="F108" s="8" t="s">
        <v>5</v>
      </c>
      <c r="G108" s="8">
        <f t="shared" si="13"/>
        <v>1</v>
      </c>
      <c r="H108" s="8">
        <f t="shared" si="13"/>
        <v>0</v>
      </c>
      <c r="I108" s="8">
        <f t="shared" si="13"/>
        <v>0</v>
      </c>
      <c r="J108" s="8">
        <f t="shared" si="13"/>
        <v>0</v>
      </c>
      <c r="K108" s="8"/>
      <c r="L108" s="77"/>
    </row>
    <row r="109" spans="1:12" x14ac:dyDescent="0.25">
      <c r="A109" s="5">
        <f t="shared" si="10"/>
        <v>8.0017999999999958</v>
      </c>
      <c r="B109" s="76"/>
      <c r="C109" s="76" t="s">
        <v>911</v>
      </c>
      <c r="D109" s="77"/>
      <c r="E109" s="77"/>
      <c r="F109" s="8" t="s">
        <v>5</v>
      </c>
      <c r="G109" s="8">
        <f t="shared" si="13"/>
        <v>1</v>
      </c>
      <c r="H109" s="8">
        <f t="shared" si="13"/>
        <v>0</v>
      </c>
      <c r="I109" s="8">
        <f t="shared" si="13"/>
        <v>0</v>
      </c>
      <c r="J109" s="8">
        <f t="shared" si="13"/>
        <v>0</v>
      </c>
      <c r="K109" s="8"/>
      <c r="L109" s="77"/>
    </row>
    <row r="110" spans="1:12" x14ac:dyDescent="0.25">
      <c r="A110" s="5">
        <f t="shared" si="10"/>
        <v>8.0018999999999956</v>
      </c>
      <c r="B110" s="76"/>
      <c r="C110" s="76" t="s">
        <v>912</v>
      </c>
      <c r="D110" s="77"/>
      <c r="E110" s="77"/>
      <c r="F110" s="8" t="s">
        <v>5</v>
      </c>
      <c r="G110" s="8">
        <f t="shared" si="13"/>
        <v>1</v>
      </c>
      <c r="H110" s="8">
        <f t="shared" si="13"/>
        <v>0</v>
      </c>
      <c r="I110" s="8">
        <f t="shared" si="13"/>
        <v>0</v>
      </c>
      <c r="J110" s="8">
        <f t="shared" si="13"/>
        <v>0</v>
      </c>
      <c r="K110" s="8"/>
      <c r="L110" s="77"/>
    </row>
    <row r="111" spans="1:12" x14ac:dyDescent="0.25">
      <c r="A111" s="5">
        <f t="shared" si="10"/>
        <v>8.0019999999999953</v>
      </c>
      <c r="B111" s="76"/>
      <c r="C111" s="76" t="s">
        <v>913</v>
      </c>
      <c r="D111" s="77"/>
      <c r="E111" s="77"/>
      <c r="F111" s="8" t="s">
        <v>5</v>
      </c>
      <c r="G111" s="8">
        <f t="shared" si="13"/>
        <v>1</v>
      </c>
      <c r="H111" s="8">
        <f t="shared" si="13"/>
        <v>0</v>
      </c>
      <c r="I111" s="8">
        <f t="shared" si="13"/>
        <v>0</v>
      </c>
      <c r="J111" s="8">
        <f t="shared" si="13"/>
        <v>0</v>
      </c>
      <c r="K111" s="8"/>
      <c r="L111" s="77"/>
    </row>
    <row r="112" spans="1:12" x14ac:dyDescent="0.25">
      <c r="A112" s="5">
        <f t="shared" si="10"/>
        <v>8.0020999999999951</v>
      </c>
      <c r="B112" s="76"/>
      <c r="C112" s="76" t="s">
        <v>914</v>
      </c>
      <c r="D112" s="77"/>
      <c r="E112" s="77"/>
      <c r="F112" s="8" t="s">
        <v>5</v>
      </c>
      <c r="G112" s="8">
        <f t="shared" si="13"/>
        <v>1</v>
      </c>
      <c r="H112" s="8">
        <f t="shared" si="13"/>
        <v>0</v>
      </c>
      <c r="I112" s="8">
        <f t="shared" si="13"/>
        <v>0</v>
      </c>
      <c r="J112" s="8">
        <f t="shared" si="13"/>
        <v>0</v>
      </c>
      <c r="K112" s="8"/>
      <c r="L112" s="77"/>
    </row>
    <row r="113" spans="1:12" x14ac:dyDescent="0.25">
      <c r="A113" s="5">
        <f t="shared" si="10"/>
        <v>8.0021999999999949</v>
      </c>
      <c r="B113" s="76"/>
      <c r="C113" s="76" t="s">
        <v>916</v>
      </c>
      <c r="D113" s="77"/>
      <c r="E113" s="77"/>
      <c r="F113" s="8" t="s">
        <v>5</v>
      </c>
      <c r="G113" s="8">
        <f t="shared" si="13"/>
        <v>1</v>
      </c>
      <c r="H113" s="8">
        <f t="shared" si="13"/>
        <v>0</v>
      </c>
      <c r="I113" s="8">
        <f t="shared" si="13"/>
        <v>0</v>
      </c>
      <c r="J113" s="8">
        <f t="shared" si="13"/>
        <v>0</v>
      </c>
      <c r="K113" s="8"/>
      <c r="L113" s="77"/>
    </row>
    <row r="114" spans="1:12" x14ac:dyDescent="0.25">
      <c r="A114" s="5">
        <f t="shared" si="10"/>
        <v>8.0022999999999946</v>
      </c>
      <c r="B114" s="76"/>
      <c r="C114" s="76" t="s">
        <v>917</v>
      </c>
      <c r="D114" s="77"/>
      <c r="E114" s="77"/>
      <c r="F114" s="8" t="s">
        <v>5</v>
      </c>
      <c r="G114" s="8">
        <f t="shared" si="13"/>
        <v>1</v>
      </c>
      <c r="H114" s="8">
        <f t="shared" si="13"/>
        <v>0</v>
      </c>
      <c r="I114" s="8">
        <f t="shared" si="13"/>
        <v>0</v>
      </c>
      <c r="J114" s="8">
        <f t="shared" si="13"/>
        <v>0</v>
      </c>
      <c r="K114" s="8"/>
      <c r="L114" s="77"/>
    </row>
    <row r="115" spans="1:12" x14ac:dyDescent="0.25">
      <c r="A115" s="5">
        <f t="shared" si="10"/>
        <v>8.0023999999999944</v>
      </c>
      <c r="B115" s="76"/>
      <c r="C115" s="76" t="s">
        <v>918</v>
      </c>
      <c r="D115" s="77"/>
      <c r="E115" s="77"/>
      <c r="F115" s="8" t="s">
        <v>5</v>
      </c>
      <c r="G115" s="8">
        <f t="shared" si="13"/>
        <v>1</v>
      </c>
      <c r="H115" s="8">
        <f t="shared" si="13"/>
        <v>0</v>
      </c>
      <c r="I115" s="8">
        <f t="shared" si="13"/>
        <v>0</v>
      </c>
      <c r="J115" s="8">
        <f t="shared" si="13"/>
        <v>0</v>
      </c>
      <c r="K115" s="8"/>
      <c r="L115" s="77"/>
    </row>
    <row r="116" spans="1:12" x14ac:dyDescent="0.25">
      <c r="A116" s="5">
        <f t="shared" si="10"/>
        <v>8.0024999999999942</v>
      </c>
      <c r="B116" s="76"/>
      <c r="C116" s="76" t="s">
        <v>919</v>
      </c>
      <c r="D116" s="77"/>
      <c r="E116" s="77"/>
      <c r="F116" s="8" t="s">
        <v>5</v>
      </c>
      <c r="G116" s="8">
        <f t="shared" si="13"/>
        <v>1</v>
      </c>
      <c r="H116" s="8">
        <f t="shared" si="13"/>
        <v>0</v>
      </c>
      <c r="I116" s="8">
        <f t="shared" si="13"/>
        <v>0</v>
      </c>
      <c r="J116" s="8">
        <f t="shared" si="13"/>
        <v>0</v>
      </c>
      <c r="K116" s="8"/>
      <c r="L116" s="77"/>
    </row>
    <row r="117" spans="1:12" x14ac:dyDescent="0.25">
      <c r="A117" s="5">
        <f t="shared" si="10"/>
        <v>8.0025999999999939</v>
      </c>
      <c r="B117" s="76"/>
      <c r="C117" s="76" t="s">
        <v>920</v>
      </c>
      <c r="D117" s="77"/>
      <c r="E117" s="77"/>
      <c r="F117" s="8" t="s">
        <v>5</v>
      </c>
      <c r="G117" s="8">
        <f t="shared" si="13"/>
        <v>1</v>
      </c>
      <c r="H117" s="8">
        <f t="shared" si="13"/>
        <v>0</v>
      </c>
      <c r="I117" s="8">
        <f t="shared" si="13"/>
        <v>0</v>
      </c>
      <c r="J117" s="8">
        <f t="shared" si="13"/>
        <v>0</v>
      </c>
      <c r="K117" s="8"/>
      <c r="L117" s="77"/>
    </row>
    <row r="118" spans="1:12" x14ac:dyDescent="0.25">
      <c r="A118" s="5">
        <f t="shared" si="10"/>
        <v>8.0026999999999937</v>
      </c>
      <c r="B118" s="76"/>
      <c r="C118" s="76" t="s">
        <v>921</v>
      </c>
      <c r="D118" s="77"/>
      <c r="E118" s="77"/>
      <c r="F118" s="8" t="s">
        <v>5</v>
      </c>
      <c r="G118" s="8">
        <f t="shared" si="13"/>
        <v>1</v>
      </c>
      <c r="H118" s="8">
        <f t="shared" si="13"/>
        <v>0</v>
      </c>
      <c r="I118" s="8">
        <f t="shared" si="13"/>
        <v>0</v>
      </c>
      <c r="J118" s="8">
        <f t="shared" si="13"/>
        <v>0</v>
      </c>
      <c r="K118" s="8"/>
      <c r="L118" s="77"/>
    </row>
    <row r="119" spans="1:12" x14ac:dyDescent="0.25">
      <c r="A119" s="5">
        <f t="shared" si="10"/>
        <v>8.0027999999999935</v>
      </c>
      <c r="B119" s="76"/>
      <c r="C119" s="76" t="s">
        <v>922</v>
      </c>
      <c r="D119" s="77"/>
      <c r="E119" s="77"/>
      <c r="F119" s="8" t="s">
        <v>5</v>
      </c>
      <c r="G119" s="8">
        <f t="shared" si="13"/>
        <v>1</v>
      </c>
      <c r="H119" s="8">
        <f t="shared" si="13"/>
        <v>0</v>
      </c>
      <c r="I119" s="8">
        <f t="shared" si="13"/>
        <v>0</v>
      </c>
      <c r="J119" s="8">
        <f t="shared" si="13"/>
        <v>0</v>
      </c>
      <c r="K119" s="8"/>
      <c r="L119" s="77"/>
    </row>
    <row r="120" spans="1:12" x14ac:dyDescent="0.25">
      <c r="A120" s="5">
        <f t="shared" si="10"/>
        <v>8.0028999999999932</v>
      </c>
      <c r="B120" s="76"/>
      <c r="C120" s="76" t="s">
        <v>923</v>
      </c>
      <c r="D120" s="77"/>
      <c r="E120" s="77"/>
      <c r="F120" s="8" t="s">
        <v>5</v>
      </c>
      <c r="G120" s="8">
        <f t="shared" si="13"/>
        <v>1</v>
      </c>
      <c r="H120" s="8">
        <f t="shared" si="13"/>
        <v>0</v>
      </c>
      <c r="I120" s="8">
        <f t="shared" si="13"/>
        <v>0</v>
      </c>
      <c r="J120" s="8">
        <f t="shared" si="13"/>
        <v>0</v>
      </c>
      <c r="K120" s="8"/>
      <c r="L120" s="77"/>
    </row>
    <row r="121" spans="1:12" x14ac:dyDescent="0.25">
      <c r="A121" s="5">
        <f t="shared" si="10"/>
        <v>8.002999999999993</v>
      </c>
      <c r="B121" s="76"/>
      <c r="C121" s="76" t="s">
        <v>921</v>
      </c>
      <c r="D121" s="77"/>
      <c r="E121" s="77"/>
      <c r="F121" s="8" t="s">
        <v>5</v>
      </c>
      <c r="G121" s="8">
        <f t="shared" si="13"/>
        <v>1</v>
      </c>
      <c r="H121" s="8">
        <f t="shared" si="13"/>
        <v>0</v>
      </c>
      <c r="I121" s="8">
        <f t="shared" si="13"/>
        <v>0</v>
      </c>
      <c r="J121" s="8">
        <f t="shared" si="13"/>
        <v>0</v>
      </c>
      <c r="K121" s="8"/>
      <c r="L121" s="77"/>
    </row>
    <row r="122" spans="1:12" x14ac:dyDescent="0.25">
      <c r="A122" s="5">
        <f t="shared" si="10"/>
        <v>8.0030999999999928</v>
      </c>
      <c r="B122" s="76"/>
      <c r="C122" s="76" t="s">
        <v>924</v>
      </c>
      <c r="D122" s="77"/>
      <c r="E122" s="77"/>
      <c r="F122" s="8" t="s">
        <v>5</v>
      </c>
      <c r="G122" s="8">
        <f t="shared" si="13"/>
        <v>1</v>
      </c>
      <c r="H122" s="8">
        <f t="shared" si="13"/>
        <v>0</v>
      </c>
      <c r="I122" s="8">
        <f t="shared" si="13"/>
        <v>0</v>
      </c>
      <c r="J122" s="8">
        <f t="shared" si="13"/>
        <v>0</v>
      </c>
      <c r="K122" s="8"/>
      <c r="L122" s="77"/>
    </row>
    <row r="123" spans="1:12" x14ac:dyDescent="0.25">
      <c r="A123" s="5">
        <f t="shared" si="10"/>
        <v>8.0031999999999925</v>
      </c>
      <c r="B123" s="76" t="s">
        <v>925</v>
      </c>
      <c r="C123" s="76" t="s">
        <v>926</v>
      </c>
      <c r="D123" s="77"/>
      <c r="E123" s="77"/>
      <c r="F123" s="8" t="s">
        <v>5</v>
      </c>
      <c r="G123" s="8">
        <f t="shared" si="13"/>
        <v>1</v>
      </c>
      <c r="H123" s="8">
        <f t="shared" si="13"/>
        <v>0</v>
      </c>
      <c r="I123" s="8">
        <f t="shared" si="13"/>
        <v>0</v>
      </c>
      <c r="J123" s="8">
        <f t="shared" si="13"/>
        <v>0</v>
      </c>
      <c r="K123" s="8"/>
      <c r="L123" s="77"/>
    </row>
    <row r="124" spans="1:12" x14ac:dyDescent="0.25">
      <c r="A124" s="5">
        <f t="shared" si="10"/>
        <v>8.0032999999999923</v>
      </c>
      <c r="B124" s="76" t="s">
        <v>835</v>
      </c>
      <c r="C124" s="76" t="s">
        <v>927</v>
      </c>
      <c r="D124" s="77"/>
      <c r="E124" s="77"/>
      <c r="F124" s="8" t="s">
        <v>5</v>
      </c>
      <c r="G124" s="8">
        <f t="shared" si="13"/>
        <v>1</v>
      </c>
      <c r="H124" s="8">
        <f t="shared" si="13"/>
        <v>0</v>
      </c>
      <c r="I124" s="8">
        <f t="shared" si="13"/>
        <v>0</v>
      </c>
      <c r="J124" s="8">
        <f t="shared" si="13"/>
        <v>0</v>
      </c>
      <c r="K124" s="8"/>
      <c r="L124" s="77"/>
    </row>
    <row r="125" spans="1:12" x14ac:dyDescent="0.25">
      <c r="A125" s="5">
        <f t="shared" si="10"/>
        <v>8.0033999999999921</v>
      </c>
      <c r="B125" s="83" t="s">
        <v>797</v>
      </c>
      <c r="C125" s="82" t="s">
        <v>930</v>
      </c>
      <c r="D125" s="77"/>
      <c r="E125" s="77"/>
      <c r="F125" s="8" t="s">
        <v>5</v>
      </c>
      <c r="G125" s="8">
        <f t="shared" si="13"/>
        <v>1</v>
      </c>
      <c r="H125" s="8">
        <f t="shared" si="13"/>
        <v>0</v>
      </c>
      <c r="I125" s="8">
        <f t="shared" si="13"/>
        <v>0</v>
      </c>
      <c r="J125" s="8">
        <f t="shared" si="13"/>
        <v>0</v>
      </c>
      <c r="K125" s="8"/>
      <c r="L125" s="77"/>
    </row>
    <row r="126" spans="1:12" x14ac:dyDescent="0.25">
      <c r="A126" s="5">
        <f t="shared" si="10"/>
        <v>8.0034999999999918</v>
      </c>
      <c r="B126" s="83" t="s">
        <v>934</v>
      </c>
      <c r="C126" s="82" t="s">
        <v>792</v>
      </c>
      <c r="D126" s="77">
        <v>2001</v>
      </c>
      <c r="E126" s="77"/>
      <c r="F126" s="8" t="s">
        <v>5</v>
      </c>
      <c r="G126" s="8">
        <f t="shared" si="13"/>
        <v>1</v>
      </c>
      <c r="H126" s="8">
        <f t="shared" si="13"/>
        <v>0</v>
      </c>
      <c r="I126" s="8">
        <f t="shared" si="13"/>
        <v>0</v>
      </c>
      <c r="J126" s="8">
        <f t="shared" si="13"/>
        <v>0</v>
      </c>
      <c r="K126" s="8"/>
      <c r="L126" s="77"/>
    </row>
    <row r="127" spans="1:12" x14ac:dyDescent="0.25">
      <c r="A127" s="5">
        <f t="shared" si="10"/>
        <v>8.0035999999999916</v>
      </c>
      <c r="B127" s="77"/>
      <c r="C127" s="76" t="s">
        <v>883</v>
      </c>
      <c r="D127" s="77"/>
      <c r="E127" s="77"/>
      <c r="F127" s="8" t="s">
        <v>5</v>
      </c>
      <c r="G127" s="8">
        <f t="shared" si="13"/>
        <v>1</v>
      </c>
      <c r="H127" s="8">
        <f t="shared" si="13"/>
        <v>0</v>
      </c>
      <c r="I127" s="8">
        <f t="shared" si="13"/>
        <v>0</v>
      </c>
      <c r="J127" s="8">
        <f t="shared" si="13"/>
        <v>0</v>
      </c>
      <c r="K127" s="8"/>
      <c r="L127" s="77"/>
    </row>
    <row r="128" spans="1:12" x14ac:dyDescent="0.25">
      <c r="A128" s="5">
        <f t="shared" si="10"/>
        <v>8.0036999999999914</v>
      </c>
      <c r="B128" s="77"/>
      <c r="C128" s="76" t="s">
        <v>884</v>
      </c>
      <c r="D128" s="77"/>
      <c r="E128" s="77"/>
      <c r="F128" s="8" t="s">
        <v>5</v>
      </c>
      <c r="G128" s="8">
        <f t="shared" si="13"/>
        <v>1</v>
      </c>
      <c r="H128" s="8">
        <f t="shared" si="13"/>
        <v>0</v>
      </c>
      <c r="I128" s="8">
        <f t="shared" si="13"/>
        <v>0</v>
      </c>
      <c r="J128" s="8">
        <f t="shared" si="13"/>
        <v>0</v>
      </c>
      <c r="K128" s="8"/>
      <c r="L128" s="77"/>
    </row>
    <row r="129" spans="1:12" x14ac:dyDescent="0.25">
      <c r="A129" s="5">
        <f t="shared" si="10"/>
        <v>8.0037999999999911</v>
      </c>
      <c r="B129" s="77"/>
      <c r="C129" s="76" t="s">
        <v>1115</v>
      </c>
      <c r="D129" s="77"/>
      <c r="E129" s="77"/>
      <c r="F129" s="8" t="s">
        <v>5</v>
      </c>
      <c r="G129" s="8">
        <f t="shared" si="13"/>
        <v>1</v>
      </c>
      <c r="H129" s="8">
        <f t="shared" si="13"/>
        <v>0</v>
      </c>
      <c r="I129" s="8">
        <f t="shared" si="13"/>
        <v>0</v>
      </c>
      <c r="J129" s="8">
        <f t="shared" si="13"/>
        <v>0</v>
      </c>
      <c r="K129" s="8"/>
      <c r="L129" s="77"/>
    </row>
    <row r="130" spans="1:12" x14ac:dyDescent="0.25">
      <c r="A130" s="5">
        <f t="shared" si="10"/>
        <v>8.0038999999999909</v>
      </c>
      <c r="B130" s="77"/>
      <c r="C130" s="76" t="s">
        <v>931</v>
      </c>
      <c r="D130" s="77"/>
      <c r="E130" s="77"/>
      <c r="F130" s="8" t="s">
        <v>5</v>
      </c>
      <c r="G130" s="8">
        <f t="shared" si="13"/>
        <v>1</v>
      </c>
      <c r="H130" s="8">
        <f t="shared" si="13"/>
        <v>0</v>
      </c>
      <c r="I130" s="8">
        <f t="shared" si="13"/>
        <v>0</v>
      </c>
      <c r="J130" s="8">
        <f t="shared" si="13"/>
        <v>0</v>
      </c>
      <c r="K130" s="8"/>
      <c r="L130" s="77"/>
    </row>
    <row r="131" spans="1:12" x14ac:dyDescent="0.25">
      <c r="A131" s="5">
        <f t="shared" si="10"/>
        <v>8.0039999999999907</v>
      </c>
      <c r="B131" s="77"/>
      <c r="C131" s="76" t="s">
        <v>932</v>
      </c>
      <c r="D131" s="77"/>
      <c r="E131" s="77"/>
      <c r="F131" s="8" t="s">
        <v>5</v>
      </c>
      <c r="G131" s="8">
        <f t="shared" si="13"/>
        <v>1</v>
      </c>
      <c r="H131" s="8">
        <f t="shared" si="13"/>
        <v>0</v>
      </c>
      <c r="I131" s="8">
        <f t="shared" si="13"/>
        <v>0</v>
      </c>
      <c r="J131" s="8">
        <f t="shared" si="13"/>
        <v>0</v>
      </c>
      <c r="K131" s="8"/>
      <c r="L131" s="77"/>
    </row>
    <row r="132" spans="1:12" x14ac:dyDescent="0.25">
      <c r="A132" s="5">
        <f t="shared" si="10"/>
        <v>8.0040999999999904</v>
      </c>
      <c r="B132" s="77"/>
      <c r="C132" s="76" t="s">
        <v>1117</v>
      </c>
      <c r="D132" s="77"/>
      <c r="E132" s="77"/>
      <c r="F132" s="8" t="s">
        <v>5</v>
      </c>
      <c r="G132" s="8">
        <f t="shared" si="13"/>
        <v>1</v>
      </c>
      <c r="H132" s="8">
        <f t="shared" si="13"/>
        <v>0</v>
      </c>
      <c r="I132" s="8">
        <f t="shared" si="13"/>
        <v>0</v>
      </c>
      <c r="J132" s="8">
        <f t="shared" si="13"/>
        <v>0</v>
      </c>
      <c r="K132" s="8"/>
      <c r="L132" s="77"/>
    </row>
    <row r="133" spans="1:12" x14ac:dyDescent="0.25">
      <c r="A133" s="5">
        <f t="shared" si="10"/>
        <v>8.0041999999999902</v>
      </c>
      <c r="B133" s="77"/>
      <c r="C133" s="76" t="s">
        <v>1120</v>
      </c>
      <c r="D133" s="77"/>
      <c r="E133" s="77"/>
      <c r="F133" s="8" t="s">
        <v>5</v>
      </c>
      <c r="G133" s="8">
        <f t="shared" si="13"/>
        <v>1</v>
      </c>
      <c r="H133" s="8">
        <f t="shared" si="13"/>
        <v>0</v>
      </c>
      <c r="I133" s="8">
        <f t="shared" si="13"/>
        <v>0</v>
      </c>
      <c r="J133" s="8">
        <f t="shared" si="13"/>
        <v>0</v>
      </c>
      <c r="K133" s="8"/>
      <c r="L133" s="77"/>
    </row>
    <row r="134" spans="1:12" x14ac:dyDescent="0.25">
      <c r="A134" s="5">
        <f t="shared" si="10"/>
        <v>8.00429999999999</v>
      </c>
      <c r="B134" s="77"/>
      <c r="C134" s="76" t="s">
        <v>933</v>
      </c>
      <c r="D134" s="77"/>
      <c r="E134" s="77"/>
      <c r="F134" s="8" t="s">
        <v>5</v>
      </c>
      <c r="G134" s="8">
        <f t="shared" si="13"/>
        <v>1</v>
      </c>
      <c r="H134" s="8">
        <f t="shared" si="13"/>
        <v>0</v>
      </c>
      <c r="I134" s="8">
        <f t="shared" si="13"/>
        <v>0</v>
      </c>
      <c r="J134" s="8">
        <f t="shared" si="13"/>
        <v>0</v>
      </c>
      <c r="K134" s="8"/>
      <c r="L134" s="77"/>
    </row>
    <row r="135" spans="1:12" x14ac:dyDescent="0.25">
      <c r="A135" s="5">
        <f t="shared" si="10"/>
        <v>8.0043999999999897</v>
      </c>
      <c r="B135" s="83" t="s">
        <v>935</v>
      </c>
      <c r="C135" s="82" t="s">
        <v>792</v>
      </c>
      <c r="D135" s="77"/>
      <c r="E135" s="77"/>
      <c r="F135" s="8" t="s">
        <v>5</v>
      </c>
      <c r="G135" s="8">
        <f t="shared" si="13"/>
        <v>1</v>
      </c>
      <c r="H135" s="8">
        <f t="shared" si="13"/>
        <v>0</v>
      </c>
      <c r="I135" s="8">
        <f t="shared" si="13"/>
        <v>0</v>
      </c>
      <c r="J135" s="8">
        <f t="shared" si="13"/>
        <v>0</v>
      </c>
      <c r="K135" s="8"/>
      <c r="L135" s="77"/>
    </row>
    <row r="136" spans="1:12" x14ac:dyDescent="0.25">
      <c r="A136" s="5">
        <f t="shared" si="10"/>
        <v>8.0044999999999895</v>
      </c>
      <c r="B136" s="77"/>
      <c r="C136" s="76" t="s">
        <v>883</v>
      </c>
      <c r="D136" s="77"/>
      <c r="E136" s="77"/>
      <c r="F136" s="8" t="s">
        <v>5</v>
      </c>
      <c r="G136" s="8">
        <f t="shared" si="13"/>
        <v>1</v>
      </c>
      <c r="H136" s="8">
        <f t="shared" si="13"/>
        <v>0</v>
      </c>
      <c r="I136" s="8">
        <f t="shared" si="13"/>
        <v>0</v>
      </c>
      <c r="J136" s="8">
        <f t="shared" si="13"/>
        <v>0</v>
      </c>
      <c r="K136" s="8"/>
      <c r="L136" s="77"/>
    </row>
    <row r="137" spans="1:12" x14ac:dyDescent="0.25">
      <c r="A137" s="5">
        <f t="shared" si="10"/>
        <v>8.0045999999999893</v>
      </c>
      <c r="B137" s="77"/>
      <c r="C137" s="76" t="s">
        <v>884</v>
      </c>
      <c r="D137" s="77"/>
      <c r="E137" s="77"/>
      <c r="F137" s="8" t="s">
        <v>5</v>
      </c>
      <c r="G137" s="8">
        <f t="shared" si="13"/>
        <v>1</v>
      </c>
      <c r="H137" s="8">
        <f t="shared" si="13"/>
        <v>0</v>
      </c>
      <c r="I137" s="8">
        <f t="shared" si="13"/>
        <v>0</v>
      </c>
      <c r="J137" s="8">
        <f t="shared" si="13"/>
        <v>0</v>
      </c>
      <c r="K137" s="8"/>
      <c r="L137" s="77"/>
    </row>
    <row r="138" spans="1:12" x14ac:dyDescent="0.25">
      <c r="A138" s="5">
        <f t="shared" si="10"/>
        <v>8.004699999999989</v>
      </c>
      <c r="B138" s="77"/>
      <c r="C138" s="76" t="s">
        <v>1116</v>
      </c>
      <c r="D138" s="77"/>
      <c r="E138" s="77"/>
      <c r="F138" s="8" t="s">
        <v>5</v>
      </c>
      <c r="G138" s="8">
        <f t="shared" si="13"/>
        <v>1</v>
      </c>
      <c r="H138" s="8">
        <f t="shared" si="13"/>
        <v>0</v>
      </c>
      <c r="I138" s="8">
        <f t="shared" si="13"/>
        <v>0</v>
      </c>
      <c r="J138" s="8">
        <f t="shared" si="13"/>
        <v>0</v>
      </c>
      <c r="K138" s="8"/>
      <c r="L138" s="77"/>
    </row>
    <row r="139" spans="1:12" x14ac:dyDescent="0.25">
      <c r="A139" s="5">
        <f t="shared" si="10"/>
        <v>8.0047999999999888</v>
      </c>
      <c r="B139" s="77"/>
      <c r="C139" s="76" t="s">
        <v>879</v>
      </c>
      <c r="D139" s="77"/>
      <c r="E139" s="77"/>
      <c r="F139" s="8" t="s">
        <v>5</v>
      </c>
      <c r="G139" s="8">
        <f t="shared" si="13"/>
        <v>1</v>
      </c>
      <c r="H139" s="8">
        <f t="shared" si="13"/>
        <v>0</v>
      </c>
      <c r="I139" s="8">
        <f t="shared" si="13"/>
        <v>0</v>
      </c>
      <c r="J139" s="8">
        <f t="shared" si="13"/>
        <v>0</v>
      </c>
      <c r="K139" s="8"/>
      <c r="L139" s="77"/>
    </row>
    <row r="140" spans="1:12" x14ac:dyDescent="0.25">
      <c r="A140" s="5">
        <f t="shared" si="10"/>
        <v>8.0048999999999886</v>
      </c>
      <c r="B140" s="77"/>
      <c r="C140" s="76" t="s">
        <v>878</v>
      </c>
      <c r="D140" s="77"/>
      <c r="E140" s="77"/>
      <c r="F140" s="8" t="s">
        <v>5</v>
      </c>
      <c r="G140" s="8">
        <f t="shared" si="13"/>
        <v>1</v>
      </c>
      <c r="H140" s="8">
        <f t="shared" si="13"/>
        <v>0</v>
      </c>
      <c r="I140" s="8">
        <f t="shared" si="13"/>
        <v>0</v>
      </c>
      <c r="J140" s="8">
        <f t="shared" si="13"/>
        <v>0</v>
      </c>
      <c r="K140" s="8"/>
      <c r="L140" s="77"/>
    </row>
    <row r="141" spans="1:12" x14ac:dyDescent="0.25">
      <c r="A141" s="5">
        <f t="shared" ref="A141:A153" si="14">A140+0.0001</f>
        <v>8.0049999999999883</v>
      </c>
      <c r="B141" s="77"/>
      <c r="C141" s="76" t="s">
        <v>881</v>
      </c>
      <c r="D141" s="77"/>
      <c r="E141" s="77"/>
      <c r="F141" s="8" t="s">
        <v>5</v>
      </c>
      <c r="G141" s="8">
        <f t="shared" si="13"/>
        <v>1</v>
      </c>
      <c r="H141" s="8">
        <f t="shared" si="13"/>
        <v>0</v>
      </c>
      <c r="I141" s="8">
        <f t="shared" si="13"/>
        <v>0</v>
      </c>
      <c r="J141" s="8">
        <f t="shared" si="13"/>
        <v>0</v>
      </c>
      <c r="K141" s="8"/>
      <c r="L141" s="77"/>
    </row>
    <row r="142" spans="1:12" x14ac:dyDescent="0.25">
      <c r="A142" s="5">
        <f t="shared" si="14"/>
        <v>8.0050999999999881</v>
      </c>
      <c r="B142" s="77"/>
      <c r="C142" s="76" t="s">
        <v>885</v>
      </c>
      <c r="D142" s="77"/>
      <c r="E142" s="77"/>
      <c r="F142" s="8" t="s">
        <v>5</v>
      </c>
      <c r="G142" s="8">
        <f t="shared" si="13"/>
        <v>1</v>
      </c>
      <c r="H142" s="8">
        <f t="shared" si="13"/>
        <v>0</v>
      </c>
      <c r="I142" s="8">
        <f t="shared" si="13"/>
        <v>0</v>
      </c>
      <c r="J142" s="8">
        <f t="shared" si="13"/>
        <v>0</v>
      </c>
      <c r="K142" s="8"/>
      <c r="L142" s="77"/>
    </row>
    <row r="143" spans="1:12" x14ac:dyDescent="0.25">
      <c r="A143" s="5">
        <f t="shared" si="14"/>
        <v>8.0051999999999879</v>
      </c>
      <c r="B143" s="77"/>
      <c r="C143" s="76" t="s">
        <v>939</v>
      </c>
      <c r="D143" s="77"/>
      <c r="E143" s="77"/>
      <c r="F143" s="8" t="s">
        <v>5</v>
      </c>
      <c r="G143" s="8">
        <f t="shared" si="13"/>
        <v>1</v>
      </c>
      <c r="H143" s="8">
        <f t="shared" si="13"/>
        <v>0</v>
      </c>
      <c r="I143" s="8">
        <f t="shared" si="13"/>
        <v>0</v>
      </c>
      <c r="J143" s="8">
        <f t="shared" si="13"/>
        <v>0</v>
      </c>
      <c r="K143" s="8"/>
      <c r="L143" s="77"/>
    </row>
    <row r="144" spans="1:12" x14ac:dyDescent="0.25">
      <c r="A144" s="5">
        <f t="shared" si="14"/>
        <v>8.0052999999999876</v>
      </c>
      <c r="B144" s="83" t="s">
        <v>936</v>
      </c>
      <c r="C144" s="82" t="s">
        <v>792</v>
      </c>
      <c r="D144" s="77"/>
      <c r="E144" s="77"/>
      <c r="F144" s="8" t="s">
        <v>5</v>
      </c>
      <c r="G144" s="8">
        <f t="shared" si="13"/>
        <v>1</v>
      </c>
      <c r="H144" s="8">
        <f t="shared" si="13"/>
        <v>0</v>
      </c>
      <c r="I144" s="8">
        <f t="shared" si="13"/>
        <v>0</v>
      </c>
      <c r="J144" s="8">
        <f t="shared" si="13"/>
        <v>0</v>
      </c>
      <c r="K144" s="8"/>
      <c r="L144" s="77"/>
    </row>
    <row r="145" spans="1:12" x14ac:dyDescent="0.25">
      <c r="A145" s="5">
        <f t="shared" si="14"/>
        <v>8.0053999999999874</v>
      </c>
      <c r="B145" s="77"/>
      <c r="C145" s="76" t="s">
        <v>883</v>
      </c>
      <c r="D145" s="77"/>
      <c r="E145" s="77"/>
      <c r="F145" s="8" t="s">
        <v>5</v>
      </c>
      <c r="G145" s="8">
        <f t="shared" si="13"/>
        <v>1</v>
      </c>
      <c r="H145" s="8">
        <f t="shared" si="13"/>
        <v>0</v>
      </c>
      <c r="I145" s="8">
        <f t="shared" si="13"/>
        <v>0</v>
      </c>
      <c r="J145" s="8">
        <f t="shared" si="13"/>
        <v>0</v>
      </c>
      <c r="K145" s="8"/>
      <c r="L145" s="77"/>
    </row>
    <row r="146" spans="1:12" x14ac:dyDescent="0.25">
      <c r="A146" s="5">
        <f t="shared" si="14"/>
        <v>8.0054999999999872</v>
      </c>
      <c r="B146" s="77"/>
      <c r="C146" s="76" t="s">
        <v>884</v>
      </c>
      <c r="D146" s="77"/>
      <c r="E146" s="77"/>
      <c r="F146" s="8" t="s">
        <v>5</v>
      </c>
      <c r="G146" s="8">
        <f t="shared" si="13"/>
        <v>1</v>
      </c>
      <c r="H146" s="8">
        <f t="shared" si="13"/>
        <v>0</v>
      </c>
      <c r="I146" s="8">
        <f t="shared" si="13"/>
        <v>0</v>
      </c>
      <c r="J146" s="8">
        <f t="shared" si="13"/>
        <v>0</v>
      </c>
      <c r="K146" s="8"/>
      <c r="L146" s="77"/>
    </row>
    <row r="147" spans="1:12" x14ac:dyDescent="0.25">
      <c r="A147" s="5">
        <f t="shared" si="14"/>
        <v>8.0055999999999869</v>
      </c>
      <c r="B147" s="77"/>
      <c r="C147" s="76" t="s">
        <v>1115</v>
      </c>
      <c r="D147" s="77"/>
      <c r="E147" s="77"/>
      <c r="F147" s="8" t="s">
        <v>5</v>
      </c>
      <c r="G147" s="8">
        <f t="shared" si="13"/>
        <v>1</v>
      </c>
      <c r="H147" s="8">
        <f t="shared" si="13"/>
        <v>0</v>
      </c>
      <c r="I147" s="8">
        <f t="shared" si="13"/>
        <v>0</v>
      </c>
      <c r="J147" s="8">
        <f t="shared" si="13"/>
        <v>0</v>
      </c>
      <c r="K147" s="8"/>
      <c r="L147" s="77"/>
    </row>
    <row r="148" spans="1:12" x14ac:dyDescent="0.25">
      <c r="A148" s="5">
        <f t="shared" si="14"/>
        <v>8.0056999999999867</v>
      </c>
      <c r="B148" s="77"/>
      <c r="C148" s="76" t="s">
        <v>937</v>
      </c>
      <c r="D148" s="77"/>
      <c r="E148" s="77"/>
      <c r="F148" s="8" t="s">
        <v>5</v>
      </c>
      <c r="G148" s="8">
        <f t="shared" si="13"/>
        <v>1</v>
      </c>
      <c r="H148" s="8">
        <f t="shared" si="13"/>
        <v>0</v>
      </c>
      <c r="I148" s="8">
        <f t="shared" si="13"/>
        <v>0</v>
      </c>
      <c r="J148" s="8">
        <f t="shared" si="13"/>
        <v>0</v>
      </c>
      <c r="K148" s="8"/>
      <c r="L148" s="77"/>
    </row>
    <row r="149" spans="1:12" x14ac:dyDescent="0.25">
      <c r="A149" s="5">
        <f t="shared" si="14"/>
        <v>8.0057999999999865</v>
      </c>
      <c r="B149" s="77"/>
      <c r="C149" s="76" t="s">
        <v>938</v>
      </c>
      <c r="D149" s="77"/>
      <c r="E149" s="77"/>
      <c r="F149" s="8" t="s">
        <v>5</v>
      </c>
      <c r="G149" s="8">
        <f t="shared" si="13"/>
        <v>1</v>
      </c>
      <c r="H149" s="8">
        <f t="shared" si="13"/>
        <v>0</v>
      </c>
      <c r="I149" s="8">
        <f t="shared" si="13"/>
        <v>0</v>
      </c>
      <c r="J149" s="8">
        <f t="shared" si="13"/>
        <v>0</v>
      </c>
      <c r="K149" s="8"/>
      <c r="L149" s="77"/>
    </row>
    <row r="150" spans="1:12" x14ac:dyDescent="0.25">
      <c r="A150" s="5">
        <f t="shared" si="14"/>
        <v>8.0058999999999862</v>
      </c>
      <c r="B150" s="77"/>
      <c r="C150" s="76" t="s">
        <v>1118</v>
      </c>
      <c r="D150" s="77"/>
      <c r="E150" s="77"/>
      <c r="F150" s="8" t="s">
        <v>5</v>
      </c>
      <c r="G150" s="8">
        <f t="shared" si="13"/>
        <v>1</v>
      </c>
      <c r="H150" s="8">
        <f t="shared" si="13"/>
        <v>0</v>
      </c>
      <c r="I150" s="8">
        <f t="shared" si="13"/>
        <v>0</v>
      </c>
      <c r="J150" s="8">
        <f t="shared" si="13"/>
        <v>0</v>
      </c>
      <c r="K150" s="8"/>
      <c r="L150" s="77"/>
    </row>
    <row r="151" spans="1:12" x14ac:dyDescent="0.25">
      <c r="A151" s="5">
        <f t="shared" si="14"/>
        <v>8.005999999999986</v>
      </c>
      <c r="B151" s="77"/>
      <c r="C151" s="76" t="s">
        <v>1119</v>
      </c>
      <c r="D151" s="77"/>
      <c r="E151" s="77"/>
      <c r="F151" s="8" t="s">
        <v>5</v>
      </c>
      <c r="G151" s="8">
        <f t="shared" si="13"/>
        <v>1</v>
      </c>
      <c r="H151" s="8">
        <f t="shared" si="13"/>
        <v>0</v>
      </c>
      <c r="I151" s="8">
        <f t="shared" si="13"/>
        <v>0</v>
      </c>
      <c r="J151" s="8">
        <f t="shared" si="13"/>
        <v>0</v>
      </c>
      <c r="K151" s="8"/>
      <c r="L151" s="77"/>
    </row>
    <row r="152" spans="1:12" x14ac:dyDescent="0.25">
      <c r="A152" s="5">
        <f t="shared" si="14"/>
        <v>8.0060999999999858</v>
      </c>
      <c r="B152" s="77"/>
      <c r="C152" s="76" t="s">
        <v>940</v>
      </c>
      <c r="D152" s="77"/>
      <c r="E152" s="77"/>
      <c r="F152" s="8" t="s">
        <v>5</v>
      </c>
      <c r="G152" s="8">
        <f t="shared" si="13"/>
        <v>1</v>
      </c>
      <c r="H152" s="8">
        <f t="shared" si="13"/>
        <v>0</v>
      </c>
      <c r="I152" s="8">
        <f t="shared" si="13"/>
        <v>0</v>
      </c>
      <c r="J152" s="8">
        <f t="shared" si="13"/>
        <v>0</v>
      </c>
      <c r="K152" s="8"/>
      <c r="L152" s="77"/>
    </row>
    <row r="153" spans="1:12" x14ac:dyDescent="0.25">
      <c r="A153" s="5">
        <f t="shared" si="14"/>
        <v>8.0061999999999856</v>
      </c>
      <c r="B153" s="83" t="s">
        <v>888</v>
      </c>
      <c r="C153" s="82" t="s">
        <v>941</v>
      </c>
      <c r="D153" s="77"/>
      <c r="E153" s="77"/>
      <c r="F153" s="8" t="s">
        <v>5</v>
      </c>
      <c r="G153" s="8">
        <f t="shared" si="13"/>
        <v>1</v>
      </c>
      <c r="H153" s="8">
        <f t="shared" si="13"/>
        <v>0</v>
      </c>
      <c r="I153" s="8">
        <f t="shared" si="13"/>
        <v>0</v>
      </c>
      <c r="J153" s="8">
        <f t="shared" si="13"/>
        <v>0</v>
      </c>
      <c r="K153" s="8"/>
      <c r="L153" s="77"/>
    </row>
    <row r="154" spans="1:12" x14ac:dyDescent="0.25">
      <c r="A154" s="5">
        <f t="shared" ref="A154:A164" si="15">A153+0.0001</f>
        <v>8.0062999999999853</v>
      </c>
      <c r="B154" s="77"/>
      <c r="C154" s="76" t="s">
        <v>889</v>
      </c>
      <c r="D154" s="77"/>
      <c r="E154" s="77"/>
      <c r="F154" s="8" t="s">
        <v>5</v>
      </c>
      <c r="G154" s="8">
        <f t="shared" ref="G154:J226" si="16">IF($F154=G$1,1,0)</f>
        <v>1</v>
      </c>
      <c r="H154" s="8">
        <f t="shared" si="16"/>
        <v>0</v>
      </c>
      <c r="I154" s="8">
        <f t="shared" si="16"/>
        <v>0</v>
      </c>
      <c r="J154" s="8">
        <f t="shared" si="16"/>
        <v>0</v>
      </c>
      <c r="K154" s="8"/>
      <c r="L154" s="77"/>
    </row>
    <row r="155" spans="1:12" x14ac:dyDescent="0.25">
      <c r="A155" s="5">
        <f t="shared" si="15"/>
        <v>8.0063999999999851</v>
      </c>
      <c r="B155" s="77"/>
      <c r="C155" s="76" t="s">
        <v>815</v>
      </c>
      <c r="D155" s="77"/>
      <c r="E155" s="77"/>
      <c r="F155" s="8" t="s">
        <v>5</v>
      </c>
      <c r="G155" s="8">
        <f t="shared" si="16"/>
        <v>1</v>
      </c>
      <c r="H155" s="8">
        <f t="shared" si="16"/>
        <v>0</v>
      </c>
      <c r="I155" s="8">
        <f t="shared" si="16"/>
        <v>0</v>
      </c>
      <c r="J155" s="8">
        <f t="shared" si="16"/>
        <v>0</v>
      </c>
      <c r="K155" s="8"/>
      <c r="L155" s="77"/>
    </row>
    <row r="156" spans="1:12" x14ac:dyDescent="0.25">
      <c r="A156" s="5">
        <f t="shared" si="15"/>
        <v>8.0064999999999849</v>
      </c>
      <c r="B156" s="77"/>
      <c r="C156" s="76" t="s">
        <v>816</v>
      </c>
      <c r="D156" s="77"/>
      <c r="E156" s="77"/>
      <c r="F156" s="8" t="s">
        <v>5</v>
      </c>
      <c r="G156" s="8">
        <f t="shared" si="16"/>
        <v>1</v>
      </c>
      <c r="H156" s="8">
        <f t="shared" si="16"/>
        <v>0</v>
      </c>
      <c r="I156" s="8">
        <f t="shared" si="16"/>
        <v>0</v>
      </c>
      <c r="J156" s="8">
        <f t="shared" si="16"/>
        <v>0</v>
      </c>
      <c r="K156" s="8"/>
      <c r="L156" s="77"/>
    </row>
    <row r="157" spans="1:12" x14ac:dyDescent="0.25">
      <c r="A157" s="5">
        <f t="shared" si="15"/>
        <v>8.0065999999999846</v>
      </c>
      <c r="B157" s="77"/>
      <c r="C157" s="76" t="s">
        <v>886</v>
      </c>
      <c r="D157" s="77"/>
      <c r="E157" s="77"/>
      <c r="F157" s="8" t="s">
        <v>5</v>
      </c>
      <c r="G157" s="8">
        <f t="shared" si="16"/>
        <v>1</v>
      </c>
      <c r="H157" s="8">
        <f t="shared" si="16"/>
        <v>0</v>
      </c>
      <c r="I157" s="8">
        <f t="shared" si="16"/>
        <v>0</v>
      </c>
      <c r="J157" s="8">
        <f t="shared" si="16"/>
        <v>0</v>
      </c>
      <c r="K157" s="8"/>
      <c r="L157" s="77"/>
    </row>
    <row r="158" spans="1:12" x14ac:dyDescent="0.25">
      <c r="A158" s="5">
        <f t="shared" si="15"/>
        <v>8.0066999999999844</v>
      </c>
      <c r="B158" s="77"/>
      <c r="C158" s="76" t="s">
        <v>887</v>
      </c>
      <c r="D158" s="77"/>
      <c r="E158" s="77"/>
      <c r="F158" s="8" t="s">
        <v>5</v>
      </c>
      <c r="G158" s="8">
        <f t="shared" si="16"/>
        <v>1</v>
      </c>
      <c r="H158" s="8">
        <f t="shared" si="16"/>
        <v>0</v>
      </c>
      <c r="I158" s="8">
        <f t="shared" si="16"/>
        <v>0</v>
      </c>
      <c r="J158" s="8">
        <f t="shared" si="16"/>
        <v>0</v>
      </c>
      <c r="K158" s="8"/>
      <c r="L158" s="77"/>
    </row>
    <row r="159" spans="1:12" x14ac:dyDescent="0.25">
      <c r="A159" s="5">
        <f t="shared" si="15"/>
        <v>8.0067999999999842</v>
      </c>
      <c r="B159" s="77"/>
      <c r="C159" s="76" t="s">
        <v>819</v>
      </c>
      <c r="D159" s="77"/>
      <c r="E159" s="77"/>
      <c r="F159" s="8" t="s">
        <v>5</v>
      </c>
      <c r="G159" s="8">
        <f t="shared" si="16"/>
        <v>1</v>
      </c>
      <c r="H159" s="8">
        <f t="shared" si="16"/>
        <v>0</v>
      </c>
      <c r="I159" s="8">
        <f t="shared" si="16"/>
        <v>0</v>
      </c>
      <c r="J159" s="8">
        <f t="shared" si="16"/>
        <v>0</v>
      </c>
      <c r="K159" s="8"/>
      <c r="L159" s="77"/>
    </row>
    <row r="160" spans="1:12" x14ac:dyDescent="0.25">
      <c r="A160" s="5">
        <f t="shared" si="15"/>
        <v>8.0068999999999839</v>
      </c>
      <c r="B160" s="77"/>
      <c r="C160" s="76" t="s">
        <v>894</v>
      </c>
      <c r="D160" s="77"/>
      <c r="E160" s="77"/>
      <c r="F160" s="8" t="s">
        <v>5</v>
      </c>
      <c r="G160" s="8">
        <f t="shared" si="16"/>
        <v>1</v>
      </c>
      <c r="H160" s="8">
        <f t="shared" si="16"/>
        <v>0</v>
      </c>
      <c r="I160" s="8">
        <f t="shared" si="16"/>
        <v>0</v>
      </c>
      <c r="J160" s="8">
        <f t="shared" si="16"/>
        <v>0</v>
      </c>
      <c r="K160" s="8"/>
      <c r="L160" s="77"/>
    </row>
    <row r="161" spans="1:12" x14ac:dyDescent="0.25">
      <c r="A161" s="5">
        <f t="shared" si="15"/>
        <v>8.0069999999999837</v>
      </c>
      <c r="B161" s="77"/>
      <c r="C161" s="76" t="s">
        <v>893</v>
      </c>
      <c r="D161" s="77"/>
      <c r="E161" s="77"/>
      <c r="F161" s="8" t="s">
        <v>5</v>
      </c>
      <c r="G161" s="8">
        <f t="shared" si="16"/>
        <v>1</v>
      </c>
      <c r="H161" s="8">
        <f t="shared" si="16"/>
        <v>0</v>
      </c>
      <c r="I161" s="8">
        <f t="shared" si="16"/>
        <v>0</v>
      </c>
      <c r="J161" s="8">
        <f t="shared" si="16"/>
        <v>0</v>
      </c>
      <c r="K161" s="8"/>
      <c r="L161" s="77"/>
    </row>
    <row r="162" spans="1:12" x14ac:dyDescent="0.25">
      <c r="A162" s="5">
        <f t="shared" si="15"/>
        <v>8.0070999999999835</v>
      </c>
      <c r="B162" s="76"/>
      <c r="C162" s="76" t="s">
        <v>892</v>
      </c>
      <c r="D162" s="77"/>
      <c r="E162" s="77"/>
      <c r="F162" s="8" t="s">
        <v>5</v>
      </c>
      <c r="G162" s="8">
        <f t="shared" si="16"/>
        <v>1</v>
      </c>
      <c r="H162" s="8">
        <f t="shared" si="16"/>
        <v>0</v>
      </c>
      <c r="I162" s="8">
        <f t="shared" si="16"/>
        <v>0</v>
      </c>
      <c r="J162" s="8">
        <f t="shared" si="16"/>
        <v>0</v>
      </c>
      <c r="K162" s="8"/>
      <c r="L162" s="77"/>
    </row>
    <row r="163" spans="1:12" x14ac:dyDescent="0.25">
      <c r="A163" s="5">
        <f t="shared" si="15"/>
        <v>8.0071999999999832</v>
      </c>
      <c r="B163" s="77"/>
      <c r="C163" s="76" t="s">
        <v>891</v>
      </c>
      <c r="D163" s="77"/>
      <c r="E163" s="77"/>
      <c r="F163" s="8" t="s">
        <v>5</v>
      </c>
      <c r="G163" s="8">
        <f t="shared" si="16"/>
        <v>1</v>
      </c>
      <c r="H163" s="8">
        <f t="shared" si="16"/>
        <v>0</v>
      </c>
      <c r="I163" s="8">
        <f t="shared" si="16"/>
        <v>0</v>
      </c>
      <c r="J163" s="8">
        <f t="shared" si="16"/>
        <v>0</v>
      </c>
      <c r="K163" s="8"/>
      <c r="L163" s="77"/>
    </row>
    <row r="164" spans="1:12" x14ac:dyDescent="0.25">
      <c r="A164" s="5">
        <f t="shared" si="15"/>
        <v>8.007299999999983</v>
      </c>
      <c r="B164" s="77"/>
      <c r="C164" s="76" t="s">
        <v>890</v>
      </c>
      <c r="D164" s="77"/>
      <c r="E164" s="77"/>
      <c r="F164" s="8" t="s">
        <v>5</v>
      </c>
      <c r="G164" s="8">
        <f t="shared" si="16"/>
        <v>1</v>
      </c>
      <c r="H164" s="8">
        <f t="shared" si="16"/>
        <v>0</v>
      </c>
      <c r="I164" s="8">
        <f t="shared" si="16"/>
        <v>0</v>
      </c>
      <c r="J164" s="8">
        <f t="shared" si="16"/>
        <v>0</v>
      </c>
      <c r="K164" s="8"/>
      <c r="L164" s="77"/>
    </row>
    <row r="165" spans="1:12" s="20" customFormat="1" x14ac:dyDescent="0.25">
      <c r="A165" s="16">
        <v>9</v>
      </c>
      <c r="B165" s="79" t="s">
        <v>1123</v>
      </c>
      <c r="C165" s="80"/>
      <c r="D165" s="79"/>
      <c r="E165" s="79"/>
      <c r="F165" s="19"/>
      <c r="G165" s="19"/>
      <c r="H165" s="19"/>
      <c r="I165" s="19"/>
      <c r="J165" s="19"/>
      <c r="K165" s="19"/>
      <c r="L165" s="79"/>
    </row>
    <row r="166" spans="1:12" x14ac:dyDescent="0.25">
      <c r="A166" s="5">
        <f t="shared" ref="A166:A200" si="17">A165+0.0001</f>
        <v>9.0000999999999998</v>
      </c>
      <c r="B166" s="83" t="s">
        <v>903</v>
      </c>
      <c r="C166" s="76" t="s">
        <v>1113</v>
      </c>
      <c r="D166" s="77"/>
      <c r="E166" s="77"/>
      <c r="F166" s="8" t="s">
        <v>5</v>
      </c>
      <c r="G166" s="8">
        <f t="shared" si="16"/>
        <v>1</v>
      </c>
      <c r="H166" s="8">
        <f t="shared" si="16"/>
        <v>0</v>
      </c>
      <c r="I166" s="8">
        <f t="shared" si="16"/>
        <v>0</v>
      </c>
      <c r="J166" s="8">
        <f t="shared" si="16"/>
        <v>0</v>
      </c>
      <c r="K166" s="8"/>
      <c r="L166" s="77"/>
    </row>
    <row r="167" spans="1:12" x14ac:dyDescent="0.25">
      <c r="A167" s="5">
        <f t="shared" si="17"/>
        <v>9.0001999999999995</v>
      </c>
      <c r="B167" s="77" t="s">
        <v>870</v>
      </c>
      <c r="C167" s="76" t="s">
        <v>872</v>
      </c>
      <c r="D167" s="77"/>
      <c r="E167" s="77"/>
      <c r="F167" s="8" t="s">
        <v>5</v>
      </c>
      <c r="G167" s="8">
        <f t="shared" si="16"/>
        <v>1</v>
      </c>
      <c r="H167" s="8">
        <f t="shared" si="16"/>
        <v>0</v>
      </c>
      <c r="I167" s="8">
        <f t="shared" si="16"/>
        <v>0</v>
      </c>
      <c r="J167" s="8">
        <f t="shared" si="16"/>
        <v>0</v>
      </c>
      <c r="K167" s="8"/>
      <c r="L167" s="77"/>
    </row>
    <row r="168" spans="1:12" x14ac:dyDescent="0.25">
      <c r="A168" s="5">
        <f t="shared" si="17"/>
        <v>9.0002999999999993</v>
      </c>
      <c r="B168" s="77" t="s">
        <v>871</v>
      </c>
      <c r="C168" s="82" t="s">
        <v>861</v>
      </c>
      <c r="D168" s="77"/>
      <c r="E168" s="77"/>
      <c r="F168" s="8" t="s">
        <v>5</v>
      </c>
      <c r="G168" s="8">
        <f t="shared" si="16"/>
        <v>1</v>
      </c>
      <c r="H168" s="8">
        <f t="shared" si="16"/>
        <v>0</v>
      </c>
      <c r="I168" s="8">
        <f t="shared" si="16"/>
        <v>0</v>
      </c>
      <c r="J168" s="8">
        <f t="shared" si="16"/>
        <v>0</v>
      </c>
      <c r="K168" s="8"/>
      <c r="L168" s="77"/>
    </row>
    <row r="169" spans="1:12" x14ac:dyDescent="0.25">
      <c r="A169" s="5">
        <f t="shared" si="17"/>
        <v>9.0003999999999991</v>
      </c>
      <c r="B169" s="77"/>
      <c r="C169" s="82" t="s">
        <v>865</v>
      </c>
      <c r="D169" s="77"/>
      <c r="E169" s="77"/>
      <c r="F169" s="8" t="s">
        <v>5</v>
      </c>
      <c r="G169" s="8">
        <f t="shared" si="16"/>
        <v>1</v>
      </c>
      <c r="H169" s="8">
        <f t="shared" si="16"/>
        <v>0</v>
      </c>
      <c r="I169" s="8">
        <f t="shared" si="16"/>
        <v>0</v>
      </c>
      <c r="J169" s="8">
        <f t="shared" si="16"/>
        <v>0</v>
      </c>
      <c r="K169" s="8"/>
      <c r="L169" s="77"/>
    </row>
    <row r="170" spans="1:12" x14ac:dyDescent="0.25">
      <c r="A170" s="5">
        <f t="shared" si="17"/>
        <v>9.0004999999999988</v>
      </c>
      <c r="B170" s="77"/>
      <c r="C170" s="76" t="s">
        <v>862</v>
      </c>
      <c r="D170" s="77"/>
      <c r="E170" s="77"/>
      <c r="F170" s="8" t="s">
        <v>5</v>
      </c>
      <c r="G170" s="8">
        <f t="shared" si="16"/>
        <v>1</v>
      </c>
      <c r="H170" s="8">
        <f t="shared" si="16"/>
        <v>0</v>
      </c>
      <c r="I170" s="8">
        <f t="shared" si="16"/>
        <v>0</v>
      </c>
      <c r="J170" s="8">
        <f t="shared" si="16"/>
        <v>0</v>
      </c>
      <c r="K170" s="8"/>
      <c r="L170" s="77"/>
    </row>
    <row r="171" spans="1:12" x14ac:dyDescent="0.25">
      <c r="A171" s="5">
        <f t="shared" si="17"/>
        <v>9.0005999999999986</v>
      </c>
      <c r="B171" s="77"/>
      <c r="C171" s="82" t="s">
        <v>864</v>
      </c>
      <c r="D171" s="77"/>
      <c r="E171" s="77"/>
      <c r="F171" s="8" t="s">
        <v>5</v>
      </c>
      <c r="G171" s="8">
        <f t="shared" si="16"/>
        <v>1</v>
      </c>
      <c r="H171" s="8">
        <f t="shared" si="16"/>
        <v>0</v>
      </c>
      <c r="I171" s="8">
        <f t="shared" si="16"/>
        <v>0</v>
      </c>
      <c r="J171" s="8">
        <f t="shared" si="16"/>
        <v>0</v>
      </c>
      <c r="K171" s="8"/>
      <c r="L171" s="77"/>
    </row>
    <row r="172" spans="1:12" x14ac:dyDescent="0.25">
      <c r="A172" s="5">
        <f t="shared" si="17"/>
        <v>9.0006999999999984</v>
      </c>
      <c r="B172" s="76"/>
      <c r="C172" s="82" t="s">
        <v>866</v>
      </c>
      <c r="D172" s="77"/>
      <c r="E172" s="77"/>
      <c r="F172" s="8" t="s">
        <v>5</v>
      </c>
      <c r="G172" s="8">
        <f t="shared" si="16"/>
        <v>1</v>
      </c>
      <c r="H172" s="8">
        <f t="shared" si="16"/>
        <v>0</v>
      </c>
      <c r="I172" s="8">
        <f t="shared" si="16"/>
        <v>0</v>
      </c>
      <c r="J172" s="8">
        <f t="shared" si="16"/>
        <v>0</v>
      </c>
      <c r="K172" s="8"/>
      <c r="L172" s="77"/>
    </row>
    <row r="173" spans="1:12" x14ac:dyDescent="0.25">
      <c r="A173" s="5">
        <f t="shared" si="17"/>
        <v>9.0007999999999981</v>
      </c>
      <c r="B173" s="76"/>
      <c r="C173" s="76" t="s">
        <v>867</v>
      </c>
      <c r="D173" s="77"/>
      <c r="E173" s="77"/>
      <c r="F173" s="8" t="s">
        <v>5</v>
      </c>
      <c r="G173" s="8">
        <f t="shared" si="16"/>
        <v>1</v>
      </c>
      <c r="H173" s="8">
        <f t="shared" si="16"/>
        <v>0</v>
      </c>
      <c r="I173" s="8">
        <f t="shared" si="16"/>
        <v>0</v>
      </c>
      <c r="J173" s="8">
        <f t="shared" si="16"/>
        <v>0</v>
      </c>
      <c r="K173" s="8"/>
      <c r="L173" s="77"/>
    </row>
    <row r="174" spans="1:12" x14ac:dyDescent="0.25">
      <c r="A174" s="5">
        <f t="shared" si="17"/>
        <v>9.0008999999999979</v>
      </c>
      <c r="B174" s="76"/>
      <c r="C174" s="76" t="s">
        <v>868</v>
      </c>
      <c r="D174" s="77"/>
      <c r="E174" s="77"/>
      <c r="F174" s="8" t="s">
        <v>5</v>
      </c>
      <c r="G174" s="8">
        <f t="shared" si="16"/>
        <v>1</v>
      </c>
      <c r="H174" s="8">
        <f t="shared" si="16"/>
        <v>0</v>
      </c>
      <c r="I174" s="8">
        <f t="shared" si="16"/>
        <v>0</v>
      </c>
      <c r="J174" s="8">
        <f t="shared" si="16"/>
        <v>0</v>
      </c>
      <c r="K174" s="8"/>
      <c r="L174" s="77"/>
    </row>
    <row r="175" spans="1:12" x14ac:dyDescent="0.25">
      <c r="A175" s="5">
        <f t="shared" si="17"/>
        <v>9.0009999999999977</v>
      </c>
      <c r="B175" s="76"/>
      <c r="C175" s="76" t="s">
        <v>869</v>
      </c>
      <c r="D175" s="77"/>
      <c r="E175" s="77"/>
      <c r="F175" s="8" t="s">
        <v>5</v>
      </c>
      <c r="G175" s="8">
        <f t="shared" si="16"/>
        <v>1</v>
      </c>
      <c r="H175" s="8">
        <f t="shared" si="16"/>
        <v>0</v>
      </c>
      <c r="I175" s="8">
        <f t="shared" si="16"/>
        <v>0</v>
      </c>
      <c r="J175" s="8">
        <f t="shared" si="16"/>
        <v>0</v>
      </c>
      <c r="K175" s="8"/>
      <c r="L175" s="77"/>
    </row>
    <row r="176" spans="1:12" ht="25.5" x14ac:dyDescent="0.25">
      <c r="A176" s="5">
        <f t="shared" si="17"/>
        <v>9.0010999999999974</v>
      </c>
      <c r="B176" s="76" t="s">
        <v>944</v>
      </c>
      <c r="C176" s="76" t="s">
        <v>943</v>
      </c>
      <c r="D176" s="77"/>
      <c r="E176" s="77"/>
      <c r="F176" s="8" t="s">
        <v>5</v>
      </c>
      <c r="G176" s="8">
        <f t="shared" si="16"/>
        <v>1</v>
      </c>
      <c r="H176" s="8">
        <f t="shared" si="16"/>
        <v>0</v>
      </c>
      <c r="I176" s="8">
        <f t="shared" si="16"/>
        <v>0</v>
      </c>
      <c r="J176" s="8">
        <f t="shared" si="16"/>
        <v>0</v>
      </c>
      <c r="K176" s="8"/>
      <c r="L176" s="77"/>
    </row>
    <row r="177" spans="1:12" x14ac:dyDescent="0.25">
      <c r="A177" s="5">
        <f t="shared" si="17"/>
        <v>9.0011999999999972</v>
      </c>
      <c r="B177" s="76" t="s">
        <v>905</v>
      </c>
      <c r="C177" s="82" t="s">
        <v>906</v>
      </c>
      <c r="D177" s="77"/>
      <c r="E177" s="77"/>
      <c r="F177" s="8" t="s">
        <v>5</v>
      </c>
      <c r="G177" s="8">
        <f t="shared" si="16"/>
        <v>1</v>
      </c>
      <c r="H177" s="8">
        <f t="shared" si="16"/>
        <v>0</v>
      </c>
      <c r="I177" s="8">
        <f t="shared" si="16"/>
        <v>0</v>
      </c>
      <c r="J177" s="8">
        <f t="shared" si="16"/>
        <v>0</v>
      </c>
      <c r="K177" s="8"/>
      <c r="L177" s="77"/>
    </row>
    <row r="178" spans="1:12" x14ac:dyDescent="0.25">
      <c r="A178" s="5">
        <f t="shared" si="17"/>
        <v>9.001299999999997</v>
      </c>
      <c r="B178" s="76"/>
      <c r="C178" s="76" t="s">
        <v>907</v>
      </c>
      <c r="D178" s="77"/>
      <c r="E178" s="77"/>
      <c r="F178" s="8" t="s">
        <v>5</v>
      </c>
      <c r="G178" s="8">
        <f t="shared" si="16"/>
        <v>1</v>
      </c>
      <c r="H178" s="8">
        <f t="shared" si="16"/>
        <v>0</v>
      </c>
      <c r="I178" s="8">
        <f t="shared" si="16"/>
        <v>0</v>
      </c>
      <c r="J178" s="8">
        <f t="shared" si="16"/>
        <v>0</v>
      </c>
      <c r="K178" s="8"/>
      <c r="L178" s="77"/>
    </row>
    <row r="179" spans="1:12" x14ac:dyDescent="0.25">
      <c r="A179" s="5">
        <f t="shared" si="17"/>
        <v>9.0013999999999967</v>
      </c>
      <c r="B179" s="76"/>
      <c r="C179" s="82" t="s">
        <v>908</v>
      </c>
      <c r="D179" s="77"/>
      <c r="E179" s="77"/>
      <c r="F179" s="8" t="s">
        <v>5</v>
      </c>
      <c r="G179" s="8">
        <f t="shared" si="16"/>
        <v>1</v>
      </c>
      <c r="H179" s="8">
        <f t="shared" si="16"/>
        <v>0</v>
      </c>
      <c r="I179" s="8">
        <f t="shared" si="16"/>
        <v>0</v>
      </c>
      <c r="J179" s="8">
        <f t="shared" si="16"/>
        <v>0</v>
      </c>
      <c r="K179" s="8"/>
      <c r="L179" s="77"/>
    </row>
    <row r="180" spans="1:12" x14ac:dyDescent="0.25">
      <c r="A180" s="5">
        <f t="shared" si="17"/>
        <v>9.0014999999999965</v>
      </c>
      <c r="B180" s="76"/>
      <c r="C180" s="76" t="s">
        <v>770</v>
      </c>
      <c r="D180" s="77"/>
      <c r="E180" s="77"/>
      <c r="F180" s="8" t="s">
        <v>5</v>
      </c>
      <c r="G180" s="8">
        <f t="shared" si="16"/>
        <v>1</v>
      </c>
      <c r="H180" s="8">
        <f t="shared" si="16"/>
        <v>0</v>
      </c>
      <c r="I180" s="8">
        <f t="shared" si="16"/>
        <v>0</v>
      </c>
      <c r="J180" s="8">
        <f t="shared" si="16"/>
        <v>0</v>
      </c>
      <c r="K180" s="8"/>
      <c r="L180" s="77"/>
    </row>
    <row r="181" spans="1:12" x14ac:dyDescent="0.25">
      <c r="A181" s="5">
        <f t="shared" si="17"/>
        <v>9.0015999999999963</v>
      </c>
      <c r="B181" s="76"/>
      <c r="C181" s="82" t="s">
        <v>945</v>
      </c>
      <c r="D181" s="77"/>
      <c r="E181" s="77"/>
      <c r="F181" s="8" t="s">
        <v>5</v>
      </c>
      <c r="G181" s="8">
        <f t="shared" si="16"/>
        <v>1</v>
      </c>
      <c r="H181" s="8">
        <f t="shared" si="16"/>
        <v>0</v>
      </c>
      <c r="I181" s="8">
        <f t="shared" si="16"/>
        <v>0</v>
      </c>
      <c r="J181" s="8">
        <f t="shared" si="16"/>
        <v>0</v>
      </c>
      <c r="K181" s="8"/>
      <c r="L181" s="77"/>
    </row>
    <row r="182" spans="1:12" x14ac:dyDescent="0.25">
      <c r="A182" s="5">
        <f t="shared" si="17"/>
        <v>9.001699999999996</v>
      </c>
      <c r="B182" s="76"/>
      <c r="C182" s="76" t="s">
        <v>910</v>
      </c>
      <c r="D182" s="77"/>
      <c r="E182" s="77"/>
      <c r="F182" s="8" t="s">
        <v>5</v>
      </c>
      <c r="G182" s="8">
        <f t="shared" si="16"/>
        <v>1</v>
      </c>
      <c r="H182" s="8">
        <f t="shared" si="16"/>
        <v>0</v>
      </c>
      <c r="I182" s="8">
        <f t="shared" si="16"/>
        <v>0</v>
      </c>
      <c r="J182" s="8">
        <f t="shared" si="16"/>
        <v>0</v>
      </c>
      <c r="K182" s="8"/>
      <c r="L182" s="77"/>
    </row>
    <row r="183" spans="1:12" x14ac:dyDescent="0.25">
      <c r="A183" s="5">
        <f t="shared" si="17"/>
        <v>9.0017999999999958</v>
      </c>
      <c r="B183" s="76"/>
      <c r="C183" s="76" t="s">
        <v>911</v>
      </c>
      <c r="D183" s="77"/>
      <c r="E183" s="77"/>
      <c r="F183" s="8" t="s">
        <v>5</v>
      </c>
      <c r="G183" s="8">
        <f t="shared" si="16"/>
        <v>1</v>
      </c>
      <c r="H183" s="8">
        <f t="shared" si="16"/>
        <v>0</v>
      </c>
      <c r="I183" s="8">
        <f t="shared" si="16"/>
        <v>0</v>
      </c>
      <c r="J183" s="8">
        <f t="shared" si="16"/>
        <v>0</v>
      </c>
      <c r="K183" s="8"/>
      <c r="L183" s="77"/>
    </row>
    <row r="184" spans="1:12" x14ac:dyDescent="0.25">
      <c r="A184" s="5">
        <f t="shared" si="17"/>
        <v>9.0018999999999956</v>
      </c>
      <c r="B184" s="76"/>
      <c r="C184" s="76" t="s">
        <v>912</v>
      </c>
      <c r="D184" s="77"/>
      <c r="E184" s="77"/>
      <c r="F184" s="8" t="s">
        <v>5</v>
      </c>
      <c r="G184" s="8">
        <f t="shared" si="16"/>
        <v>1</v>
      </c>
      <c r="H184" s="8">
        <f t="shared" si="16"/>
        <v>0</v>
      </c>
      <c r="I184" s="8">
        <f t="shared" si="16"/>
        <v>0</v>
      </c>
      <c r="J184" s="8">
        <f t="shared" si="16"/>
        <v>0</v>
      </c>
      <c r="K184" s="8"/>
      <c r="L184" s="77"/>
    </row>
    <row r="185" spans="1:12" x14ac:dyDescent="0.25">
      <c r="A185" s="5">
        <f t="shared" si="17"/>
        <v>9.0019999999999953</v>
      </c>
      <c r="B185" s="76"/>
      <c r="C185" s="76" t="s">
        <v>913</v>
      </c>
      <c r="D185" s="77"/>
      <c r="E185" s="77"/>
      <c r="F185" s="8" t="s">
        <v>5</v>
      </c>
      <c r="G185" s="8">
        <f t="shared" si="16"/>
        <v>1</v>
      </c>
      <c r="H185" s="8">
        <f t="shared" si="16"/>
        <v>0</v>
      </c>
      <c r="I185" s="8">
        <f t="shared" si="16"/>
        <v>0</v>
      </c>
      <c r="J185" s="8">
        <f t="shared" si="16"/>
        <v>0</v>
      </c>
      <c r="K185" s="8"/>
      <c r="L185" s="77"/>
    </row>
    <row r="186" spans="1:12" x14ac:dyDescent="0.25">
      <c r="A186" s="5">
        <f t="shared" si="17"/>
        <v>9.0020999999999951</v>
      </c>
      <c r="B186" s="76"/>
      <c r="C186" s="76" t="s">
        <v>914</v>
      </c>
      <c r="D186" s="77"/>
      <c r="E186" s="77"/>
      <c r="F186" s="8" t="s">
        <v>5</v>
      </c>
      <c r="G186" s="8">
        <f t="shared" si="16"/>
        <v>1</v>
      </c>
      <c r="H186" s="8">
        <f t="shared" si="16"/>
        <v>0</v>
      </c>
      <c r="I186" s="8">
        <f t="shared" si="16"/>
        <v>0</v>
      </c>
      <c r="J186" s="8">
        <f t="shared" si="16"/>
        <v>0</v>
      </c>
      <c r="K186" s="8"/>
      <c r="L186" s="77"/>
    </row>
    <row r="187" spans="1:12" x14ac:dyDescent="0.25">
      <c r="A187" s="5">
        <f t="shared" si="17"/>
        <v>9.0021999999999949</v>
      </c>
      <c r="B187" s="76"/>
      <c r="C187" s="76" t="s">
        <v>915</v>
      </c>
      <c r="D187" s="77"/>
      <c r="E187" s="77"/>
      <c r="F187" s="8" t="s">
        <v>5</v>
      </c>
      <c r="G187" s="8">
        <f t="shared" si="16"/>
        <v>1</v>
      </c>
      <c r="H187" s="8">
        <f t="shared" si="16"/>
        <v>0</v>
      </c>
      <c r="I187" s="8">
        <f t="shared" si="16"/>
        <v>0</v>
      </c>
      <c r="J187" s="8">
        <f t="shared" si="16"/>
        <v>0</v>
      </c>
      <c r="K187" s="8"/>
      <c r="L187" s="77"/>
    </row>
    <row r="188" spans="1:12" x14ac:dyDescent="0.25">
      <c r="A188" s="5">
        <f t="shared" si="17"/>
        <v>9.0022999999999946</v>
      </c>
      <c r="B188" s="76"/>
      <c r="C188" s="76" t="s">
        <v>916</v>
      </c>
      <c r="D188" s="77"/>
      <c r="E188" s="77"/>
      <c r="F188" s="8" t="s">
        <v>5</v>
      </c>
      <c r="G188" s="8">
        <f t="shared" si="16"/>
        <v>1</v>
      </c>
      <c r="H188" s="8">
        <f t="shared" si="16"/>
        <v>0</v>
      </c>
      <c r="I188" s="8">
        <f t="shared" si="16"/>
        <v>0</v>
      </c>
      <c r="J188" s="8">
        <f t="shared" si="16"/>
        <v>0</v>
      </c>
      <c r="K188" s="8"/>
      <c r="L188" s="77"/>
    </row>
    <row r="189" spans="1:12" x14ac:dyDescent="0.25">
      <c r="A189" s="5">
        <f t="shared" si="17"/>
        <v>9.0023999999999944</v>
      </c>
      <c r="B189" s="76"/>
      <c r="C189" s="76" t="s">
        <v>917</v>
      </c>
      <c r="D189" s="77"/>
      <c r="E189" s="77"/>
      <c r="F189" s="8" t="s">
        <v>5</v>
      </c>
      <c r="G189" s="8">
        <f t="shared" si="16"/>
        <v>1</v>
      </c>
      <c r="H189" s="8">
        <f t="shared" si="16"/>
        <v>0</v>
      </c>
      <c r="I189" s="8">
        <f t="shared" si="16"/>
        <v>0</v>
      </c>
      <c r="J189" s="8">
        <f t="shared" si="16"/>
        <v>0</v>
      </c>
      <c r="K189" s="8"/>
      <c r="L189" s="77"/>
    </row>
    <row r="190" spans="1:12" x14ac:dyDescent="0.25">
      <c r="A190" s="5">
        <f t="shared" si="17"/>
        <v>9.0024999999999942</v>
      </c>
      <c r="B190" s="76"/>
      <c r="C190" s="76" t="s">
        <v>918</v>
      </c>
      <c r="D190" s="77"/>
      <c r="E190" s="77"/>
      <c r="F190" s="8" t="s">
        <v>5</v>
      </c>
      <c r="G190" s="8">
        <f t="shared" si="16"/>
        <v>1</v>
      </c>
      <c r="H190" s="8">
        <f t="shared" si="16"/>
        <v>0</v>
      </c>
      <c r="I190" s="8">
        <f t="shared" si="16"/>
        <v>0</v>
      </c>
      <c r="J190" s="8">
        <f t="shared" si="16"/>
        <v>0</v>
      </c>
      <c r="K190" s="8"/>
      <c r="L190" s="77"/>
    </row>
    <row r="191" spans="1:12" x14ac:dyDescent="0.25">
      <c r="A191" s="5">
        <f t="shared" si="17"/>
        <v>9.0025999999999939</v>
      </c>
      <c r="B191" s="76"/>
      <c r="C191" s="76" t="s">
        <v>919</v>
      </c>
      <c r="D191" s="77"/>
      <c r="E191" s="77"/>
      <c r="F191" s="8" t="s">
        <v>5</v>
      </c>
      <c r="G191" s="8">
        <f t="shared" si="16"/>
        <v>1</v>
      </c>
      <c r="H191" s="8">
        <f t="shared" si="16"/>
        <v>0</v>
      </c>
      <c r="I191" s="8">
        <f t="shared" si="16"/>
        <v>0</v>
      </c>
      <c r="J191" s="8">
        <f t="shared" si="16"/>
        <v>0</v>
      </c>
      <c r="K191" s="8"/>
      <c r="L191" s="77"/>
    </row>
    <row r="192" spans="1:12" x14ac:dyDescent="0.25">
      <c r="A192" s="5">
        <f t="shared" si="17"/>
        <v>9.0026999999999937</v>
      </c>
      <c r="B192" s="76"/>
      <c r="C192" s="76" t="s">
        <v>920</v>
      </c>
      <c r="D192" s="77"/>
      <c r="E192" s="77"/>
      <c r="F192" s="8" t="s">
        <v>5</v>
      </c>
      <c r="G192" s="8">
        <f t="shared" si="16"/>
        <v>1</v>
      </c>
      <c r="H192" s="8">
        <f t="shared" si="16"/>
        <v>0</v>
      </c>
      <c r="I192" s="8">
        <f t="shared" si="16"/>
        <v>0</v>
      </c>
      <c r="J192" s="8">
        <f t="shared" si="16"/>
        <v>0</v>
      </c>
      <c r="K192" s="8"/>
      <c r="L192" s="77"/>
    </row>
    <row r="193" spans="1:12" x14ac:dyDescent="0.25">
      <c r="A193" s="5">
        <f t="shared" si="17"/>
        <v>9.0027999999999935</v>
      </c>
      <c r="B193" s="76"/>
      <c r="C193" s="76" t="s">
        <v>921</v>
      </c>
      <c r="D193" s="77"/>
      <c r="E193" s="77"/>
      <c r="F193" s="8" t="s">
        <v>5</v>
      </c>
      <c r="G193" s="8">
        <f t="shared" si="16"/>
        <v>1</v>
      </c>
      <c r="H193" s="8">
        <f t="shared" si="16"/>
        <v>0</v>
      </c>
      <c r="I193" s="8">
        <f t="shared" si="16"/>
        <v>0</v>
      </c>
      <c r="J193" s="8">
        <f t="shared" si="16"/>
        <v>0</v>
      </c>
      <c r="K193" s="8"/>
      <c r="L193" s="77"/>
    </row>
    <row r="194" spans="1:12" x14ac:dyDescent="0.25">
      <c r="A194" s="5">
        <f t="shared" si="17"/>
        <v>9.0028999999999932</v>
      </c>
      <c r="B194" s="76"/>
      <c r="C194" s="76" t="s">
        <v>922</v>
      </c>
      <c r="D194" s="77"/>
      <c r="E194" s="77"/>
      <c r="F194" s="8" t="s">
        <v>7</v>
      </c>
      <c r="G194" s="8">
        <f t="shared" si="16"/>
        <v>0</v>
      </c>
      <c r="H194" s="8">
        <f t="shared" si="16"/>
        <v>0</v>
      </c>
      <c r="I194" s="8">
        <f t="shared" si="16"/>
        <v>0</v>
      </c>
      <c r="J194" s="8">
        <f t="shared" si="16"/>
        <v>1</v>
      </c>
      <c r="K194" s="8"/>
      <c r="L194" s="77"/>
    </row>
    <row r="195" spans="1:12" x14ac:dyDescent="0.25">
      <c r="A195" s="5">
        <f t="shared" si="17"/>
        <v>9.002999999999993</v>
      </c>
      <c r="B195" s="76"/>
      <c r="C195" s="76" t="s">
        <v>923</v>
      </c>
      <c r="D195" s="77"/>
      <c r="E195" s="77"/>
      <c r="F195" s="8" t="s">
        <v>5</v>
      </c>
      <c r="G195" s="8">
        <f t="shared" si="16"/>
        <v>1</v>
      </c>
      <c r="H195" s="8">
        <f t="shared" si="16"/>
        <v>0</v>
      </c>
      <c r="I195" s="8">
        <f t="shared" si="16"/>
        <v>0</v>
      </c>
      <c r="J195" s="8">
        <f t="shared" si="16"/>
        <v>0</v>
      </c>
      <c r="K195" s="8"/>
      <c r="L195" s="77"/>
    </row>
    <row r="196" spans="1:12" x14ac:dyDescent="0.25">
      <c r="A196" s="5">
        <f t="shared" si="17"/>
        <v>9.0030999999999928</v>
      </c>
      <c r="B196" s="76"/>
      <c r="C196" s="76" t="s">
        <v>921</v>
      </c>
      <c r="D196" s="77"/>
      <c r="E196" s="77"/>
      <c r="F196" s="8" t="s">
        <v>5</v>
      </c>
      <c r="G196" s="8">
        <f t="shared" si="16"/>
        <v>1</v>
      </c>
      <c r="H196" s="8">
        <f t="shared" si="16"/>
        <v>0</v>
      </c>
      <c r="I196" s="8">
        <f t="shared" si="16"/>
        <v>0</v>
      </c>
      <c r="J196" s="8">
        <f t="shared" si="16"/>
        <v>0</v>
      </c>
      <c r="K196" s="8"/>
      <c r="L196" s="77"/>
    </row>
    <row r="197" spans="1:12" x14ac:dyDescent="0.25">
      <c r="A197" s="5">
        <f t="shared" si="17"/>
        <v>9.0031999999999925</v>
      </c>
      <c r="B197" s="76"/>
      <c r="C197" s="76" t="s">
        <v>924</v>
      </c>
      <c r="D197" s="77"/>
      <c r="E197" s="77"/>
      <c r="F197" s="8" t="s">
        <v>5</v>
      </c>
      <c r="G197" s="8">
        <f t="shared" si="16"/>
        <v>1</v>
      </c>
      <c r="H197" s="8">
        <f t="shared" si="16"/>
        <v>0</v>
      </c>
      <c r="I197" s="8">
        <f t="shared" si="16"/>
        <v>0</v>
      </c>
      <c r="J197" s="8">
        <f t="shared" si="16"/>
        <v>0</v>
      </c>
      <c r="K197" s="8"/>
      <c r="L197" s="77"/>
    </row>
    <row r="198" spans="1:12" x14ac:dyDescent="0.25">
      <c r="A198" s="5">
        <f t="shared" si="17"/>
        <v>9.0032999999999923</v>
      </c>
      <c r="B198" s="76" t="s">
        <v>948</v>
      </c>
      <c r="C198" s="82" t="s">
        <v>926</v>
      </c>
      <c r="D198" s="77"/>
      <c r="E198" s="77"/>
      <c r="F198" s="8" t="s">
        <v>5</v>
      </c>
      <c r="G198" s="8">
        <f>IF($F198=G$1,1,0)</f>
        <v>1</v>
      </c>
      <c r="H198" s="8">
        <f>IF($F198=H$1,1,0)</f>
        <v>0</v>
      </c>
      <c r="I198" s="8">
        <f>IF($F198=I$1,1,0)</f>
        <v>0</v>
      </c>
      <c r="J198" s="8">
        <f>IF($F198=J$1,1,0)</f>
        <v>0</v>
      </c>
      <c r="K198" s="8"/>
      <c r="L198" s="77"/>
    </row>
    <row r="199" spans="1:12" x14ac:dyDescent="0.25">
      <c r="A199" s="5">
        <f t="shared" si="17"/>
        <v>9.0033999999999921</v>
      </c>
      <c r="B199" s="76" t="s">
        <v>950</v>
      </c>
      <c r="C199" s="82" t="s">
        <v>946</v>
      </c>
      <c r="D199" s="77"/>
      <c r="E199" s="77"/>
      <c r="F199" s="8" t="s">
        <v>5</v>
      </c>
      <c r="G199" s="8">
        <f t="shared" si="16"/>
        <v>1</v>
      </c>
      <c r="H199" s="8">
        <f t="shared" si="16"/>
        <v>0</v>
      </c>
      <c r="I199" s="8">
        <f t="shared" si="16"/>
        <v>0</v>
      </c>
      <c r="J199" s="8">
        <f t="shared" si="16"/>
        <v>0</v>
      </c>
      <c r="K199" s="8"/>
      <c r="L199" s="77"/>
    </row>
    <row r="200" spans="1:12" x14ac:dyDescent="0.25">
      <c r="A200" s="5">
        <f t="shared" si="17"/>
        <v>9.0034999999999918</v>
      </c>
      <c r="B200" s="76" t="s">
        <v>947</v>
      </c>
      <c r="C200" s="76" t="s">
        <v>927</v>
      </c>
      <c r="D200" s="77"/>
      <c r="E200" s="77"/>
      <c r="F200" s="8" t="s">
        <v>5</v>
      </c>
      <c r="G200" s="8">
        <f t="shared" si="16"/>
        <v>1</v>
      </c>
      <c r="H200" s="8">
        <f t="shared" si="16"/>
        <v>0</v>
      </c>
      <c r="I200" s="8">
        <f t="shared" si="16"/>
        <v>0</v>
      </c>
      <c r="J200" s="8">
        <f t="shared" si="16"/>
        <v>0</v>
      </c>
      <c r="K200" s="8"/>
      <c r="L200" s="77"/>
    </row>
    <row r="201" spans="1:12" s="20" customFormat="1" x14ac:dyDescent="0.25">
      <c r="A201" s="16">
        <v>10</v>
      </c>
      <c r="B201" s="79" t="s">
        <v>949</v>
      </c>
      <c r="C201" s="80"/>
      <c r="D201" s="79"/>
      <c r="E201" s="79"/>
      <c r="F201" s="19"/>
      <c r="G201" s="19"/>
      <c r="H201" s="19"/>
      <c r="I201" s="19"/>
      <c r="J201" s="19"/>
      <c r="K201" s="19"/>
      <c r="L201" s="79"/>
    </row>
    <row r="202" spans="1:12" x14ac:dyDescent="0.25">
      <c r="A202" s="5">
        <f t="shared" ref="A202:A226" si="18">A201+0.0001</f>
        <v>10.0001</v>
      </c>
      <c r="B202" s="83" t="s">
        <v>797</v>
      </c>
      <c r="C202" s="76" t="s">
        <v>1121</v>
      </c>
      <c r="D202" s="77"/>
      <c r="E202" s="77"/>
      <c r="F202" s="8" t="s">
        <v>5</v>
      </c>
      <c r="G202" s="8">
        <f t="shared" si="16"/>
        <v>1</v>
      </c>
      <c r="H202" s="8">
        <f t="shared" si="16"/>
        <v>0</v>
      </c>
      <c r="I202" s="8">
        <f t="shared" si="16"/>
        <v>0</v>
      </c>
      <c r="J202" s="8">
        <f t="shared" si="16"/>
        <v>0</v>
      </c>
      <c r="K202" s="8"/>
      <c r="L202" s="77"/>
    </row>
    <row r="203" spans="1:12" x14ac:dyDescent="0.25">
      <c r="A203" s="5">
        <f t="shared" si="18"/>
        <v>10.0002</v>
      </c>
      <c r="B203" s="83" t="s">
        <v>951</v>
      </c>
      <c r="C203" s="82" t="s">
        <v>1122</v>
      </c>
      <c r="D203" s="77"/>
      <c r="E203" s="77"/>
      <c r="F203" s="8" t="s">
        <v>5</v>
      </c>
      <c r="G203" s="8">
        <f t="shared" si="16"/>
        <v>1</v>
      </c>
      <c r="H203" s="8">
        <f t="shared" si="16"/>
        <v>0</v>
      </c>
      <c r="I203" s="8">
        <f t="shared" si="16"/>
        <v>0</v>
      </c>
      <c r="J203" s="8">
        <f t="shared" si="16"/>
        <v>0</v>
      </c>
      <c r="K203" s="8"/>
      <c r="L203" s="77"/>
    </row>
    <row r="204" spans="1:12" x14ac:dyDescent="0.25">
      <c r="A204" s="5">
        <f t="shared" si="18"/>
        <v>10.000299999999999</v>
      </c>
      <c r="B204" s="83" t="s">
        <v>1125</v>
      </c>
      <c r="C204" s="82" t="s">
        <v>792</v>
      </c>
      <c r="D204" s="77"/>
      <c r="E204" s="77"/>
      <c r="F204" s="8" t="s">
        <v>5</v>
      </c>
      <c r="G204" s="8">
        <f t="shared" si="16"/>
        <v>1</v>
      </c>
      <c r="H204" s="8">
        <f t="shared" si="16"/>
        <v>0</v>
      </c>
      <c r="I204" s="8">
        <f t="shared" si="16"/>
        <v>0</v>
      </c>
      <c r="J204" s="8">
        <f t="shared" si="16"/>
        <v>0</v>
      </c>
      <c r="K204" s="8"/>
      <c r="L204" s="77"/>
    </row>
    <row r="205" spans="1:12" x14ac:dyDescent="0.25">
      <c r="A205" s="5">
        <f t="shared" si="18"/>
        <v>10.000399999999999</v>
      </c>
      <c r="B205" s="77"/>
      <c r="C205" s="76" t="s">
        <v>883</v>
      </c>
      <c r="D205" s="77"/>
      <c r="E205" s="77"/>
      <c r="F205" s="8" t="s">
        <v>5</v>
      </c>
      <c r="G205" s="8">
        <f t="shared" si="16"/>
        <v>1</v>
      </c>
      <c r="H205" s="8">
        <f t="shared" si="16"/>
        <v>0</v>
      </c>
      <c r="I205" s="8">
        <f t="shared" si="16"/>
        <v>0</v>
      </c>
      <c r="J205" s="8">
        <f t="shared" si="16"/>
        <v>0</v>
      </c>
      <c r="K205" s="8"/>
      <c r="L205" s="77"/>
    </row>
    <row r="206" spans="1:12" x14ac:dyDescent="0.25">
      <c r="A206" s="5">
        <f t="shared" si="18"/>
        <v>10.000499999999999</v>
      </c>
      <c r="B206" s="77"/>
      <c r="C206" s="76" t="s">
        <v>884</v>
      </c>
      <c r="D206" s="77"/>
      <c r="E206" s="77"/>
      <c r="F206" s="8" t="s">
        <v>5</v>
      </c>
      <c r="G206" s="8">
        <f t="shared" si="16"/>
        <v>1</v>
      </c>
      <c r="H206" s="8">
        <f t="shared" si="16"/>
        <v>0</v>
      </c>
      <c r="I206" s="8">
        <f t="shared" si="16"/>
        <v>0</v>
      </c>
      <c r="J206" s="8">
        <f t="shared" si="16"/>
        <v>0</v>
      </c>
      <c r="K206" s="8"/>
      <c r="L206" s="77"/>
    </row>
    <row r="207" spans="1:12" x14ac:dyDescent="0.25">
      <c r="A207" s="5">
        <f t="shared" si="18"/>
        <v>10.000599999999999</v>
      </c>
      <c r="B207" s="77"/>
      <c r="C207" s="76" t="s">
        <v>1114</v>
      </c>
      <c r="D207" s="77"/>
      <c r="E207" s="77"/>
      <c r="F207" s="8" t="s">
        <v>5</v>
      </c>
      <c r="G207" s="8">
        <f t="shared" si="16"/>
        <v>1</v>
      </c>
      <c r="H207" s="8">
        <f t="shared" si="16"/>
        <v>0</v>
      </c>
      <c r="I207" s="8">
        <f t="shared" si="16"/>
        <v>0</v>
      </c>
      <c r="J207" s="8">
        <f t="shared" si="16"/>
        <v>0</v>
      </c>
      <c r="K207" s="8"/>
      <c r="L207" s="77"/>
    </row>
    <row r="208" spans="1:12" x14ac:dyDescent="0.25">
      <c r="A208" s="5">
        <f t="shared" si="18"/>
        <v>10.000699999999998</v>
      </c>
      <c r="B208" s="77"/>
      <c r="C208" s="76" t="s">
        <v>1126</v>
      </c>
      <c r="D208" s="77"/>
      <c r="E208" s="77"/>
      <c r="F208" s="8" t="s">
        <v>5</v>
      </c>
      <c r="G208" s="8">
        <f t="shared" si="16"/>
        <v>1</v>
      </c>
      <c r="H208" s="8">
        <f t="shared" si="16"/>
        <v>0</v>
      </c>
      <c r="I208" s="8">
        <f t="shared" si="16"/>
        <v>0</v>
      </c>
      <c r="J208" s="8">
        <f t="shared" si="16"/>
        <v>0</v>
      </c>
      <c r="K208" s="8"/>
      <c r="L208" s="77"/>
    </row>
    <row r="209" spans="1:12" x14ac:dyDescent="0.25">
      <c r="A209" s="5">
        <f t="shared" si="18"/>
        <v>10.000799999999998</v>
      </c>
      <c r="B209" s="77"/>
      <c r="C209" s="76" t="s">
        <v>952</v>
      </c>
      <c r="D209" s="77" t="s">
        <v>953</v>
      </c>
      <c r="E209" s="77"/>
      <c r="F209" s="8" t="s">
        <v>5</v>
      </c>
      <c r="G209" s="8">
        <f t="shared" si="16"/>
        <v>1</v>
      </c>
      <c r="H209" s="8">
        <f t="shared" si="16"/>
        <v>0</v>
      </c>
      <c r="I209" s="8">
        <f t="shared" si="16"/>
        <v>0</v>
      </c>
      <c r="J209" s="8">
        <f t="shared" si="16"/>
        <v>0</v>
      </c>
      <c r="K209" s="8"/>
      <c r="L209" s="77"/>
    </row>
    <row r="210" spans="1:12" x14ac:dyDescent="0.25">
      <c r="A210" s="5">
        <f t="shared" si="18"/>
        <v>10.000899999999998</v>
      </c>
      <c r="B210" s="77"/>
      <c r="C210" s="76" t="s">
        <v>1117</v>
      </c>
      <c r="D210" s="77"/>
      <c r="E210" s="77"/>
      <c r="F210" s="8" t="s">
        <v>5</v>
      </c>
      <c r="G210" s="8">
        <f t="shared" si="16"/>
        <v>1</v>
      </c>
      <c r="H210" s="8">
        <f t="shared" si="16"/>
        <v>0</v>
      </c>
      <c r="I210" s="8">
        <f t="shared" si="16"/>
        <v>0</v>
      </c>
      <c r="J210" s="8">
        <f t="shared" si="16"/>
        <v>0</v>
      </c>
      <c r="K210" s="8"/>
      <c r="L210" s="77"/>
    </row>
    <row r="211" spans="1:12" x14ac:dyDescent="0.25">
      <c r="A211" s="5">
        <f t="shared" si="18"/>
        <v>10.000999999999998</v>
      </c>
      <c r="B211" s="77"/>
      <c r="C211" s="76" t="s">
        <v>1127</v>
      </c>
      <c r="D211" s="77"/>
      <c r="E211" s="77"/>
      <c r="F211" s="8" t="s">
        <v>5</v>
      </c>
      <c r="G211" s="8">
        <f t="shared" si="16"/>
        <v>1</v>
      </c>
      <c r="H211" s="8">
        <f t="shared" si="16"/>
        <v>0</v>
      </c>
      <c r="I211" s="8">
        <f t="shared" si="16"/>
        <v>0</v>
      </c>
      <c r="J211" s="8">
        <f t="shared" si="16"/>
        <v>0</v>
      </c>
      <c r="K211" s="8"/>
      <c r="L211" s="77"/>
    </row>
    <row r="212" spans="1:12" x14ac:dyDescent="0.25">
      <c r="A212" s="5">
        <f t="shared" si="18"/>
        <v>10.001099999999997</v>
      </c>
      <c r="B212" s="77"/>
      <c r="C212" s="76" t="s">
        <v>1128</v>
      </c>
      <c r="D212" s="77"/>
      <c r="E212" s="77"/>
      <c r="F212" s="8" t="s">
        <v>5</v>
      </c>
      <c r="G212" s="8">
        <f t="shared" si="16"/>
        <v>1</v>
      </c>
      <c r="H212" s="8">
        <f t="shared" si="16"/>
        <v>0</v>
      </c>
      <c r="I212" s="8">
        <f t="shared" si="16"/>
        <v>0</v>
      </c>
      <c r="J212" s="8">
        <f t="shared" si="16"/>
        <v>0</v>
      </c>
      <c r="K212" s="8"/>
      <c r="L212" s="77"/>
    </row>
    <row r="213" spans="1:12" x14ac:dyDescent="0.25">
      <c r="A213" s="5">
        <f t="shared" si="18"/>
        <v>10.001199999999997</v>
      </c>
      <c r="B213" s="83" t="s">
        <v>1124</v>
      </c>
      <c r="C213" s="82" t="s">
        <v>792</v>
      </c>
      <c r="D213" s="77"/>
      <c r="E213" s="77"/>
      <c r="F213" s="8" t="s">
        <v>5</v>
      </c>
      <c r="G213" s="8">
        <f>IF($F213=G$1,1,0)</f>
        <v>1</v>
      </c>
      <c r="H213" s="8">
        <f>IF($F213=H$1,1,0)</f>
        <v>0</v>
      </c>
      <c r="I213" s="8">
        <f>IF($F213=I$1,1,0)</f>
        <v>0</v>
      </c>
      <c r="J213" s="8">
        <f>IF($F213=J$1,1,0)</f>
        <v>0</v>
      </c>
      <c r="K213" s="8"/>
      <c r="L213" s="77"/>
    </row>
    <row r="214" spans="1:12" x14ac:dyDescent="0.25">
      <c r="A214" s="5">
        <f t="shared" si="18"/>
        <v>10.001299999999997</v>
      </c>
      <c r="B214" s="77"/>
      <c r="C214" s="76" t="s">
        <v>883</v>
      </c>
      <c r="D214" s="77"/>
      <c r="E214" s="77"/>
      <c r="F214" s="8" t="s">
        <v>5</v>
      </c>
      <c r="G214" s="8">
        <f t="shared" si="16"/>
        <v>1</v>
      </c>
      <c r="H214" s="8">
        <f t="shared" si="16"/>
        <v>0</v>
      </c>
      <c r="I214" s="8">
        <f t="shared" si="16"/>
        <v>0</v>
      </c>
      <c r="J214" s="8">
        <f t="shared" si="16"/>
        <v>0</v>
      </c>
      <c r="K214" s="8"/>
      <c r="L214" s="77"/>
    </row>
    <row r="215" spans="1:12" x14ac:dyDescent="0.25">
      <c r="A215" s="5">
        <f t="shared" si="18"/>
        <v>10.001399999999997</v>
      </c>
      <c r="B215" s="77"/>
      <c r="C215" s="76" t="s">
        <v>884</v>
      </c>
      <c r="D215" s="77"/>
      <c r="E215" s="77"/>
      <c r="F215" s="8" t="s">
        <v>5</v>
      </c>
      <c r="G215" s="8">
        <f t="shared" si="16"/>
        <v>1</v>
      </c>
      <c r="H215" s="8">
        <f t="shared" si="16"/>
        <v>0</v>
      </c>
      <c r="I215" s="8">
        <f t="shared" si="16"/>
        <v>0</v>
      </c>
      <c r="J215" s="8">
        <f t="shared" ref="G215:J221" si="19">IF($F215=J$1,1,0)</f>
        <v>0</v>
      </c>
      <c r="K215" s="8"/>
      <c r="L215" s="77"/>
    </row>
    <row r="216" spans="1:12" x14ac:dyDescent="0.25">
      <c r="A216" s="5">
        <f t="shared" si="18"/>
        <v>10.001499999999997</v>
      </c>
      <c r="B216" s="77"/>
      <c r="C216" s="76" t="s">
        <v>882</v>
      </c>
      <c r="D216" s="77"/>
      <c r="E216" s="77"/>
      <c r="F216" s="8" t="s">
        <v>5</v>
      </c>
      <c r="G216" s="8">
        <f t="shared" si="19"/>
        <v>1</v>
      </c>
      <c r="H216" s="8">
        <f t="shared" si="19"/>
        <v>0</v>
      </c>
      <c r="I216" s="8">
        <f t="shared" si="19"/>
        <v>0</v>
      </c>
      <c r="J216" s="8">
        <f t="shared" si="19"/>
        <v>0</v>
      </c>
      <c r="K216" s="8"/>
      <c r="L216" s="77"/>
    </row>
    <row r="217" spans="1:12" x14ac:dyDescent="0.25">
      <c r="A217" s="5">
        <f t="shared" si="18"/>
        <v>10.001599999999996</v>
      </c>
      <c r="B217" s="77"/>
      <c r="C217" s="76" t="s">
        <v>879</v>
      </c>
      <c r="D217" s="77"/>
      <c r="E217" s="77"/>
      <c r="F217" s="8" t="s">
        <v>5</v>
      </c>
      <c r="G217" s="8">
        <f t="shared" si="19"/>
        <v>1</v>
      </c>
      <c r="H217" s="8">
        <f t="shared" si="19"/>
        <v>0</v>
      </c>
      <c r="I217" s="8">
        <f t="shared" si="19"/>
        <v>0</v>
      </c>
      <c r="J217" s="8">
        <f t="shared" si="19"/>
        <v>0</v>
      </c>
      <c r="K217" s="8"/>
      <c r="L217" s="77"/>
    </row>
    <row r="218" spans="1:12" x14ac:dyDescent="0.25">
      <c r="A218" s="5">
        <f t="shared" si="18"/>
        <v>10.001699999999996</v>
      </c>
      <c r="B218" s="77"/>
      <c r="C218" s="76" t="s">
        <v>878</v>
      </c>
      <c r="D218" s="77" t="s">
        <v>954</v>
      </c>
      <c r="E218" s="77"/>
      <c r="F218" s="8" t="s">
        <v>5</v>
      </c>
      <c r="G218" s="8">
        <f t="shared" si="19"/>
        <v>1</v>
      </c>
      <c r="H218" s="8">
        <f t="shared" si="19"/>
        <v>0</v>
      </c>
      <c r="I218" s="8">
        <f t="shared" si="19"/>
        <v>0</v>
      </c>
      <c r="J218" s="8">
        <f t="shared" si="19"/>
        <v>0</v>
      </c>
      <c r="K218" s="8"/>
      <c r="L218" s="77"/>
    </row>
    <row r="219" spans="1:12" x14ac:dyDescent="0.25">
      <c r="A219" s="5">
        <f t="shared" si="18"/>
        <v>10.001799999999996</v>
      </c>
      <c r="B219" s="77"/>
      <c r="C219" s="76" t="s">
        <v>881</v>
      </c>
      <c r="D219" s="77"/>
      <c r="E219" s="77"/>
      <c r="F219" s="8" t="s">
        <v>5</v>
      </c>
      <c r="G219" s="8">
        <f t="shared" si="19"/>
        <v>1</v>
      </c>
      <c r="H219" s="8">
        <f t="shared" si="19"/>
        <v>0</v>
      </c>
      <c r="I219" s="8">
        <f t="shared" si="19"/>
        <v>0</v>
      </c>
      <c r="J219" s="8">
        <f t="shared" si="19"/>
        <v>0</v>
      </c>
      <c r="K219" s="8"/>
      <c r="L219" s="77"/>
    </row>
    <row r="220" spans="1:12" x14ac:dyDescent="0.25">
      <c r="A220" s="5">
        <f t="shared" si="18"/>
        <v>10.001899999999996</v>
      </c>
      <c r="B220" s="77"/>
      <c r="C220" s="76" t="s">
        <v>885</v>
      </c>
      <c r="D220" s="77"/>
      <c r="E220" s="77"/>
      <c r="F220" s="8" t="s">
        <v>5</v>
      </c>
      <c r="G220" s="8">
        <f t="shared" si="19"/>
        <v>1</v>
      </c>
      <c r="H220" s="8">
        <f t="shared" si="19"/>
        <v>0</v>
      </c>
      <c r="I220" s="8">
        <f t="shared" si="19"/>
        <v>0</v>
      </c>
      <c r="J220" s="8">
        <f t="shared" si="19"/>
        <v>0</v>
      </c>
      <c r="K220" s="8"/>
      <c r="L220" s="77"/>
    </row>
    <row r="221" spans="1:12" x14ac:dyDescent="0.25">
      <c r="A221" s="5">
        <f t="shared" si="18"/>
        <v>10.001999999999995</v>
      </c>
      <c r="B221" s="77"/>
      <c r="C221" s="82" t="s">
        <v>955</v>
      </c>
      <c r="D221" s="77"/>
      <c r="E221" s="77"/>
      <c r="F221" s="8" t="s">
        <v>5</v>
      </c>
      <c r="G221" s="8">
        <f t="shared" si="19"/>
        <v>1</v>
      </c>
      <c r="H221" s="8">
        <f t="shared" si="19"/>
        <v>0</v>
      </c>
      <c r="I221" s="8">
        <f t="shared" si="19"/>
        <v>0</v>
      </c>
      <c r="J221" s="8">
        <f t="shared" si="19"/>
        <v>0</v>
      </c>
      <c r="K221" s="8"/>
      <c r="L221" s="77"/>
    </row>
    <row r="222" spans="1:12" s="20" customFormat="1" x14ac:dyDescent="0.25">
      <c r="A222" s="16">
        <v>11</v>
      </c>
      <c r="B222" s="79" t="s">
        <v>895</v>
      </c>
      <c r="C222" s="80"/>
      <c r="D222" s="79"/>
      <c r="E222" s="79"/>
      <c r="F222" s="19"/>
      <c r="G222" s="19"/>
      <c r="H222" s="19"/>
      <c r="I222" s="19"/>
      <c r="J222" s="19"/>
      <c r="K222" s="19"/>
      <c r="L222" s="79"/>
    </row>
    <row r="223" spans="1:12" ht="25.5" x14ac:dyDescent="0.25">
      <c r="A223" s="5">
        <f t="shared" si="18"/>
        <v>11.0001</v>
      </c>
      <c r="B223" s="77" t="s">
        <v>896</v>
      </c>
      <c r="C223" s="76" t="s">
        <v>897</v>
      </c>
      <c r="D223" s="77"/>
      <c r="E223" s="77"/>
      <c r="F223" s="8" t="s">
        <v>5</v>
      </c>
      <c r="G223" s="8">
        <f t="shared" si="16"/>
        <v>1</v>
      </c>
      <c r="H223" s="8">
        <f t="shared" si="16"/>
        <v>0</v>
      </c>
      <c r="I223" s="8">
        <f t="shared" si="16"/>
        <v>0</v>
      </c>
      <c r="J223" s="8">
        <f t="shared" si="16"/>
        <v>0</v>
      </c>
      <c r="K223" s="8"/>
      <c r="L223" s="77"/>
    </row>
    <row r="224" spans="1:12" x14ac:dyDescent="0.25">
      <c r="A224" s="5">
        <f t="shared" si="18"/>
        <v>11.0002</v>
      </c>
      <c r="B224" s="77"/>
      <c r="C224" s="76" t="s">
        <v>900</v>
      </c>
      <c r="D224" s="77"/>
      <c r="E224" s="77"/>
      <c r="F224" s="8" t="s">
        <v>5</v>
      </c>
      <c r="G224" s="8">
        <f t="shared" si="16"/>
        <v>1</v>
      </c>
      <c r="H224" s="8">
        <f t="shared" si="16"/>
        <v>0</v>
      </c>
      <c r="I224" s="8">
        <f t="shared" si="16"/>
        <v>0</v>
      </c>
      <c r="J224" s="8">
        <f t="shared" si="16"/>
        <v>0</v>
      </c>
      <c r="K224" s="8"/>
      <c r="L224" s="77"/>
    </row>
    <row r="225" spans="1:12" x14ac:dyDescent="0.25">
      <c r="A225" s="5">
        <f t="shared" si="18"/>
        <v>11.000299999999999</v>
      </c>
      <c r="B225" s="77"/>
      <c r="C225" s="76" t="s">
        <v>899</v>
      </c>
      <c r="D225" s="77"/>
      <c r="E225" s="77"/>
      <c r="F225" s="8" t="s">
        <v>5</v>
      </c>
      <c r="G225" s="8">
        <f t="shared" si="16"/>
        <v>1</v>
      </c>
      <c r="H225" s="8">
        <f t="shared" si="16"/>
        <v>0</v>
      </c>
      <c r="I225" s="8">
        <f t="shared" si="16"/>
        <v>0</v>
      </c>
      <c r="J225" s="8">
        <f t="shared" si="16"/>
        <v>0</v>
      </c>
      <c r="K225" s="8"/>
      <c r="L225" s="77"/>
    </row>
    <row r="226" spans="1:12" x14ac:dyDescent="0.25">
      <c r="A226" s="5">
        <f t="shared" si="18"/>
        <v>11.000399999999999</v>
      </c>
      <c r="B226" s="77"/>
      <c r="C226" s="76" t="s">
        <v>902</v>
      </c>
      <c r="D226" s="77"/>
      <c r="E226" s="77"/>
      <c r="F226" s="8" t="s">
        <v>5</v>
      </c>
      <c r="G226" s="8">
        <f t="shared" si="16"/>
        <v>1</v>
      </c>
      <c r="H226" s="8">
        <f t="shared" si="16"/>
        <v>0</v>
      </c>
      <c r="I226" s="8">
        <f t="shared" si="16"/>
        <v>0</v>
      </c>
      <c r="J226" s="8">
        <f t="shared" si="16"/>
        <v>0</v>
      </c>
      <c r="K226" s="8"/>
      <c r="L226" s="77"/>
    </row>
    <row r="227" spans="1:12" x14ac:dyDescent="0.25">
      <c r="A227" s="84"/>
      <c r="B227" s="85"/>
      <c r="C227" s="86"/>
      <c r="D227" s="85"/>
      <c r="E227" s="85"/>
      <c r="F227" s="87"/>
      <c r="G227" s="88"/>
      <c r="H227" s="88"/>
      <c r="I227" s="88"/>
      <c r="J227" s="88"/>
      <c r="K227" s="88"/>
      <c r="L227" s="85"/>
    </row>
    <row r="228" spans="1:12" x14ac:dyDescent="0.25">
      <c r="A228" s="84"/>
      <c r="B228" s="85"/>
      <c r="C228" s="86"/>
      <c r="D228" s="85"/>
      <c r="E228" s="85"/>
      <c r="F228" s="87"/>
      <c r="G228" s="88"/>
      <c r="H228" s="88"/>
      <c r="I228" s="88"/>
      <c r="J228" s="88"/>
      <c r="K228" s="88"/>
      <c r="L228" s="85"/>
    </row>
    <row r="229" spans="1:12" x14ac:dyDescent="0.25">
      <c r="A229" s="84"/>
      <c r="B229" s="85"/>
      <c r="C229" s="86"/>
      <c r="D229" s="85"/>
      <c r="E229" s="85"/>
      <c r="F229" s="87"/>
      <c r="G229" s="88"/>
      <c r="H229" s="88"/>
      <c r="I229" s="88"/>
      <c r="J229" s="88"/>
      <c r="K229" s="88"/>
      <c r="L229" s="85"/>
    </row>
    <row r="230" spans="1:12" x14ac:dyDescent="0.25">
      <c r="A230" s="84"/>
      <c r="B230" s="85"/>
      <c r="C230" s="86"/>
      <c r="D230" s="85"/>
      <c r="E230" s="85"/>
      <c r="F230" s="87"/>
      <c r="G230" s="88"/>
      <c r="H230" s="88"/>
      <c r="I230" s="88"/>
      <c r="J230" s="88"/>
      <c r="K230" s="88"/>
      <c r="L230" s="85"/>
    </row>
    <row r="231" spans="1:12" x14ac:dyDescent="0.25">
      <c r="A231" s="84"/>
      <c r="B231" s="85"/>
      <c r="C231" s="86"/>
      <c r="D231" s="85"/>
      <c r="E231" s="85"/>
      <c r="F231" s="87"/>
      <c r="G231" s="88"/>
      <c r="H231" s="88"/>
      <c r="I231" s="88"/>
      <c r="J231" s="88"/>
      <c r="K231" s="88"/>
      <c r="L231" s="85"/>
    </row>
    <row r="232" spans="1:12" ht="15.75" thickBot="1" x14ac:dyDescent="0.3">
      <c r="G232" s="2">
        <f>SUM(G2:G226)</f>
        <v>209</v>
      </c>
      <c r="H232" s="2">
        <f>SUM(H2:H226)</f>
        <v>0</v>
      </c>
      <c r="I232" s="2">
        <f>SUM(I2:I226)</f>
        <v>0</v>
      </c>
      <c r="J232" s="2">
        <f>SUM(J2:J226)</f>
        <v>4</v>
      </c>
      <c r="K232" s="2">
        <f>SUM(K2:K226)</f>
        <v>0</v>
      </c>
    </row>
    <row r="233" spans="1:12" ht="15.75" thickTop="1" x14ac:dyDescent="0.25"/>
  </sheetData>
  <conditionalFormatting sqref="A232:K251 A2:K2 C3:F3 E13:E15 B13:C15 K13:L15 B92:C99 B104 D104 A12 D92:D97 L2:L9 B9 G3:K9 D7:E9 A3:A9 A14 A16 A18 A20 A22 A24 A26 A28 A30 K26:L51 D51:F51 B25:C51 A32 A34 A36 A38 A40 A42 A44 A46 A48 A50 K53:L53 A53:C53 D71:D75 E75:J75 K55:L75 A55:A75 B70:C75 A77:A80 A87:A90 K87:L90 B101:D103 B164:J164 B175:C177 B179:C200 A166:A200 G223:K231 L223:L251 A223:A231 B227:F231 G105:J122 G125:J162 K92:L164 A92:A164 B105:D162 D26:E50 E57:E74 G57:J74 B163:E163 G20:J51 D4:F6 D77:L80 A82:L85 D87:F90 D166:L200 D223:F226 E92:F143 E144:E162 F144:F163 A202:L221">
    <cfRule type="expression" dxfId="200" priority="169">
      <formula>$F2="Fail"</formula>
    </cfRule>
  </conditionalFormatting>
  <conditionalFormatting sqref="A10 K11:K12 B20:C20 B19:E19 K17:K19 C10:K10 B11:E11 B12:C12 E12 B16:C18 E17:E18">
    <cfRule type="expression" dxfId="199" priority="168">
      <formula>$F10="Fail"</formula>
    </cfRule>
  </conditionalFormatting>
  <conditionalFormatting sqref="B26:C26 B18:C20 E20 K20:K25 B21:E25">
    <cfRule type="expression" dxfId="198" priority="166">
      <formula>$F18="Fail"</formula>
    </cfRule>
  </conditionalFormatting>
  <conditionalFormatting sqref="B16:C16 K16 E16">
    <cfRule type="expression" dxfId="197" priority="165">
      <formula>$F16="Fail"</formula>
    </cfRule>
  </conditionalFormatting>
  <conditionalFormatting sqref="L17:L19 L10:L12">
    <cfRule type="expression" dxfId="196" priority="163">
      <formula>$F10="Fail"</formula>
    </cfRule>
  </conditionalFormatting>
  <conditionalFormatting sqref="L20:L25">
    <cfRule type="expression" dxfId="195" priority="162">
      <formula>$F20="Fail"</formula>
    </cfRule>
  </conditionalFormatting>
  <conditionalFormatting sqref="L16">
    <cfRule type="expression" dxfId="194" priority="161">
      <formula>$F16="Fail"</formula>
    </cfRule>
  </conditionalFormatting>
  <conditionalFormatting sqref="B20:C20">
    <cfRule type="expression" dxfId="193" priority="160">
      <formula>$F20="Fail"</formula>
    </cfRule>
  </conditionalFormatting>
  <conditionalFormatting sqref="D20">
    <cfRule type="expression" dxfId="192" priority="170">
      <formula>$F13="Fail"</formula>
    </cfRule>
  </conditionalFormatting>
  <conditionalFormatting sqref="B9">
    <cfRule type="expression" dxfId="191" priority="159">
      <formula>$F9="Fail"</formula>
    </cfRule>
  </conditionalFormatting>
  <conditionalFormatting sqref="B3">
    <cfRule type="expression" dxfId="190" priority="158">
      <formula>$F3="Fail"</formula>
    </cfRule>
  </conditionalFormatting>
  <conditionalFormatting sqref="B4:C8">
    <cfRule type="expression" dxfId="189" priority="154">
      <formula>$F4="Fail"</formula>
    </cfRule>
  </conditionalFormatting>
  <conditionalFormatting sqref="B9">
    <cfRule type="expression" dxfId="188" priority="153">
      <formula>$F9="Fail"</formula>
    </cfRule>
  </conditionalFormatting>
  <conditionalFormatting sqref="C9">
    <cfRule type="expression" dxfId="187" priority="152">
      <formula>$F9="Fail"</formula>
    </cfRule>
  </conditionalFormatting>
  <conditionalFormatting sqref="G11:J19">
    <cfRule type="expression" dxfId="186" priority="122">
      <formula>$F11="Fail"</formula>
    </cfRule>
  </conditionalFormatting>
  <conditionalFormatting sqref="B10">
    <cfRule type="expression" dxfId="185" priority="145">
      <formula>$F10="Fail"</formula>
    </cfRule>
  </conditionalFormatting>
  <conditionalFormatting sqref="E55:E56 D53:E53">
    <cfRule type="expression" dxfId="184" priority="143">
      <formula>$F53="Fail"</formula>
    </cfRule>
  </conditionalFormatting>
  <conditionalFormatting sqref="B58:C60 C100">
    <cfRule type="expression" dxfId="183" priority="136">
      <formula>$F58="Fail"</formula>
    </cfRule>
  </conditionalFormatting>
  <conditionalFormatting sqref="B65:C65 B63:D64 B55:D56 B57:C57 B61:C62">
    <cfRule type="expression" dxfId="182" priority="135">
      <formula>$F55="Fail"</formula>
    </cfRule>
  </conditionalFormatting>
  <conditionalFormatting sqref="B98:D99 C100:D100">
    <cfRule type="expression" dxfId="181" priority="134">
      <formula>$F98="Fail"</formula>
    </cfRule>
  </conditionalFormatting>
  <conditionalFormatting sqref="B71:C71 B63:C65 B66:D70">
    <cfRule type="expression" dxfId="180" priority="133">
      <formula>$F63="Fail"</formula>
    </cfRule>
  </conditionalFormatting>
  <conditionalFormatting sqref="B61:C61">
    <cfRule type="expression" dxfId="179" priority="132">
      <formula>$F61="Fail"</formula>
    </cfRule>
  </conditionalFormatting>
  <conditionalFormatting sqref="B65:C65">
    <cfRule type="expression" dxfId="178" priority="131">
      <formula>$F65="Fail"</formula>
    </cfRule>
  </conditionalFormatting>
  <conditionalFormatting sqref="D65">
    <cfRule type="expression" dxfId="177" priority="137">
      <formula>$F58="Fail"</formula>
    </cfRule>
  </conditionalFormatting>
  <conditionalFormatting sqref="F11:F50">
    <cfRule type="expression" dxfId="176" priority="129">
      <formula>$F11="Fail"</formula>
    </cfRule>
  </conditionalFormatting>
  <conditionalFormatting sqref="F55:F74">
    <cfRule type="expression" dxfId="175" priority="125">
      <formula>$F55="Fail"</formula>
    </cfRule>
  </conditionalFormatting>
  <conditionalFormatting sqref="F53">
    <cfRule type="expression" dxfId="174" priority="124">
      <formula>$F53="Fail"</formula>
    </cfRule>
  </conditionalFormatting>
  <conditionalFormatting sqref="G55:J55">
    <cfRule type="expression" dxfId="173" priority="118">
      <formula>$F55="Fail"</formula>
    </cfRule>
  </conditionalFormatting>
  <conditionalFormatting sqref="G53:J53">
    <cfRule type="expression" dxfId="172" priority="119">
      <formula>$F53="Fail"</formula>
    </cfRule>
  </conditionalFormatting>
  <conditionalFormatting sqref="B77:C80">
    <cfRule type="expression" dxfId="171" priority="116">
      <formula>$F77="Fail"</formula>
    </cfRule>
  </conditionalFormatting>
  <conditionalFormatting sqref="B77:C80">
    <cfRule type="expression" dxfId="170" priority="115">
      <formula>$F77="Fail"</formula>
    </cfRule>
  </conditionalFormatting>
  <conditionalFormatting sqref="G101:J101">
    <cfRule type="expression" dxfId="169" priority="93">
      <formula>$F101="Fail"</formula>
    </cfRule>
  </conditionalFormatting>
  <conditionalFormatting sqref="G94:J94">
    <cfRule type="expression" dxfId="168" priority="98">
      <formula>$F94="Fail"</formula>
    </cfRule>
  </conditionalFormatting>
  <conditionalFormatting sqref="B100">
    <cfRule type="expression" dxfId="167" priority="109">
      <formula>$F100="Fail"</formula>
    </cfRule>
  </conditionalFormatting>
  <conditionalFormatting sqref="B100">
    <cfRule type="expression" dxfId="166" priority="108">
      <formula>$F100="Fail"</formula>
    </cfRule>
  </conditionalFormatting>
  <conditionalFormatting sqref="G163:J163">
    <cfRule type="expression" dxfId="165" priority="82">
      <formula>$F163="Fail"</formula>
    </cfRule>
  </conditionalFormatting>
  <conditionalFormatting sqref="G92:J92">
    <cfRule type="expression" dxfId="164" priority="100">
      <formula>$F92="Fail"</formula>
    </cfRule>
  </conditionalFormatting>
  <conditionalFormatting sqref="G93:J93">
    <cfRule type="expression" dxfId="163" priority="99">
      <formula>$F93="Fail"</formula>
    </cfRule>
  </conditionalFormatting>
  <conditionalFormatting sqref="G96:J96">
    <cfRule type="expression" dxfId="162" priority="97">
      <formula>$F96="Fail"</formula>
    </cfRule>
  </conditionalFormatting>
  <conditionalFormatting sqref="G97:J97">
    <cfRule type="expression" dxfId="161" priority="96">
      <formula>$F97="Fail"</formula>
    </cfRule>
  </conditionalFormatting>
  <conditionalFormatting sqref="G98:J98">
    <cfRule type="expression" dxfId="160" priority="95">
      <formula>$F98="Fail"</formula>
    </cfRule>
  </conditionalFormatting>
  <conditionalFormatting sqref="G99:J100">
    <cfRule type="expression" dxfId="159" priority="94">
      <formula>$F99="Fail"</formula>
    </cfRule>
  </conditionalFormatting>
  <conditionalFormatting sqref="G102:J103">
    <cfRule type="expression" dxfId="158" priority="92">
      <formula>$F102="Fail"</formula>
    </cfRule>
  </conditionalFormatting>
  <conditionalFormatting sqref="G95:J95">
    <cfRule type="expression" dxfId="157" priority="91">
      <formula>$F95="Fail"</formula>
    </cfRule>
  </conditionalFormatting>
  <conditionalFormatting sqref="G104:J104">
    <cfRule type="expression" dxfId="156" priority="90">
      <formula>$F104="Fail"</formula>
    </cfRule>
  </conditionalFormatting>
  <conditionalFormatting sqref="B162:C162">
    <cfRule type="expression" dxfId="155" priority="85">
      <formula>$F162="Fail"</formula>
    </cfRule>
  </conditionalFormatting>
  <conditionalFormatting sqref="C223:C226">
    <cfRule type="expression" dxfId="154" priority="51">
      <formula>$F223="Fail"</formula>
    </cfRule>
  </conditionalFormatting>
  <conditionalFormatting sqref="C223:C226">
    <cfRule type="expression" dxfId="153" priority="52">
      <formula>$F223="Fail"</formula>
    </cfRule>
  </conditionalFormatting>
  <conditionalFormatting sqref="C104">
    <cfRule type="expression" dxfId="152" priority="47">
      <formula>$F104="Fail"</formula>
    </cfRule>
  </conditionalFormatting>
  <conditionalFormatting sqref="C104">
    <cfRule type="expression" dxfId="151" priority="46">
      <formula>$F104="Fail"</formula>
    </cfRule>
  </conditionalFormatting>
  <conditionalFormatting sqref="B166:C173 B178">
    <cfRule type="expression" dxfId="150" priority="45">
      <formula>$F166="Fail"</formula>
    </cfRule>
  </conditionalFormatting>
  <conditionalFormatting sqref="C174">
    <cfRule type="expression" dxfId="149" priority="44">
      <formula>$F174="Fail"</formula>
    </cfRule>
  </conditionalFormatting>
  <conditionalFormatting sqref="B172:C173 C174">
    <cfRule type="expression" dxfId="148" priority="43">
      <formula>$F172="Fail"</formula>
    </cfRule>
  </conditionalFormatting>
  <conditionalFormatting sqref="C226">
    <cfRule type="expression" dxfId="147" priority="48">
      <formula>$F226="Fail"</formula>
    </cfRule>
  </conditionalFormatting>
  <conditionalFormatting sqref="C87:C90">
    <cfRule type="expression" dxfId="146" priority="63">
      <formula>$F87="Fail"</formula>
    </cfRule>
  </conditionalFormatting>
  <conditionalFormatting sqref="C90">
    <cfRule type="expression" dxfId="145" priority="60">
      <formula>$F90="Fail"</formula>
    </cfRule>
  </conditionalFormatting>
  <conditionalFormatting sqref="C87:C90">
    <cfRule type="expression" dxfId="144" priority="64">
      <formula>$F87="Fail"</formula>
    </cfRule>
  </conditionalFormatting>
  <conditionalFormatting sqref="B87:C90">
    <cfRule type="expression" dxfId="143" priority="65">
      <formula>$F87="Fail"</formula>
    </cfRule>
  </conditionalFormatting>
  <conditionalFormatting sqref="G87:J87">
    <cfRule type="expression" dxfId="142" priority="59">
      <formula>$F87="Fail"</formula>
    </cfRule>
  </conditionalFormatting>
  <conditionalFormatting sqref="G88:J88">
    <cfRule type="expression" dxfId="141" priority="58">
      <formula>$F88="Fail"</formula>
    </cfRule>
  </conditionalFormatting>
  <conditionalFormatting sqref="G89:J89">
    <cfRule type="expression" dxfId="140" priority="57">
      <formula>$F89="Fail"</formula>
    </cfRule>
  </conditionalFormatting>
  <conditionalFormatting sqref="G90:J90">
    <cfRule type="expression" dxfId="139" priority="56">
      <formula>$F90="Fail"</formula>
    </cfRule>
  </conditionalFormatting>
  <conditionalFormatting sqref="B223:C226">
    <cfRule type="expression" dxfId="138" priority="53">
      <formula>$F223="Fail"</formula>
    </cfRule>
  </conditionalFormatting>
  <conditionalFormatting sqref="L52">
    <cfRule type="expression" dxfId="137" priority="30">
      <formula>$F52="Fail"</formula>
    </cfRule>
  </conditionalFormatting>
  <conditionalFormatting sqref="G124:J124">
    <cfRule type="expression" dxfId="136" priority="33">
      <formula>$F124="Fail"</formula>
    </cfRule>
  </conditionalFormatting>
  <conditionalFormatting sqref="B174">
    <cfRule type="expression" dxfId="135" priority="41">
      <formula>$F174="Fail"</formula>
    </cfRule>
  </conditionalFormatting>
  <conditionalFormatting sqref="B174">
    <cfRule type="expression" dxfId="134" priority="40">
      <formula>$F174="Fail"</formula>
    </cfRule>
  </conditionalFormatting>
  <conditionalFormatting sqref="C178">
    <cfRule type="expression" dxfId="133" priority="38">
      <formula>$F178="Fail"</formula>
    </cfRule>
  </conditionalFormatting>
  <conditionalFormatting sqref="C178">
    <cfRule type="expression" dxfId="132" priority="37">
      <formula>$F178="Fail"</formula>
    </cfRule>
  </conditionalFormatting>
  <conditionalFormatting sqref="G123:J123">
    <cfRule type="expression" dxfId="131" priority="34">
      <formula>$F123="Fail"</formula>
    </cfRule>
  </conditionalFormatting>
  <conditionalFormatting sqref="A11 A13 A15 A17 A19 A21 A23 A25 A27 A29 A31 A33 A35 A37 A39 A41 A43 A45 A47 A49 A51">
    <cfRule type="expression" dxfId="130" priority="32">
      <formula>$F11="Fail"</formula>
    </cfRule>
  </conditionalFormatting>
  <conditionalFormatting sqref="A52 C52:K52">
    <cfRule type="expression" dxfId="129" priority="31">
      <formula>$F52="Fail"</formula>
    </cfRule>
  </conditionalFormatting>
  <conditionalFormatting sqref="B52">
    <cfRule type="expression" dxfId="128" priority="29">
      <formula>$F52="Fail"</formula>
    </cfRule>
  </conditionalFormatting>
  <conditionalFormatting sqref="A54 C54:K54">
    <cfRule type="expression" dxfId="127" priority="28">
      <formula>$F54="Fail"</formula>
    </cfRule>
  </conditionalFormatting>
  <conditionalFormatting sqref="L54">
    <cfRule type="expression" dxfId="126" priority="27">
      <formula>$F54="Fail"</formula>
    </cfRule>
  </conditionalFormatting>
  <conditionalFormatting sqref="B54">
    <cfRule type="expression" dxfId="125" priority="26">
      <formula>$F54="Fail"</formula>
    </cfRule>
  </conditionalFormatting>
  <conditionalFormatting sqref="A76 C76:K76">
    <cfRule type="expression" dxfId="124" priority="25">
      <formula>$F76="Fail"</formula>
    </cfRule>
  </conditionalFormatting>
  <conditionalFormatting sqref="L76">
    <cfRule type="expression" dxfId="123" priority="24">
      <formula>$F76="Fail"</formula>
    </cfRule>
  </conditionalFormatting>
  <conditionalFormatting sqref="B76">
    <cfRule type="expression" dxfId="122" priority="23">
      <formula>$F76="Fail"</formula>
    </cfRule>
  </conditionalFormatting>
  <conditionalFormatting sqref="A81 C81:K81">
    <cfRule type="expression" dxfId="121" priority="22">
      <formula>$F81="Fail"</formula>
    </cfRule>
  </conditionalFormatting>
  <conditionalFormatting sqref="L81">
    <cfRule type="expression" dxfId="120" priority="21">
      <formula>$F81="Fail"</formula>
    </cfRule>
  </conditionalFormatting>
  <conditionalFormatting sqref="B81">
    <cfRule type="expression" dxfId="119" priority="20">
      <formula>$F81="Fail"</formula>
    </cfRule>
  </conditionalFormatting>
  <conditionalFormatting sqref="A86 C86:K86">
    <cfRule type="expression" dxfId="118" priority="19">
      <formula>$F86="Fail"</formula>
    </cfRule>
  </conditionalFormatting>
  <conditionalFormatting sqref="L86">
    <cfRule type="expression" dxfId="117" priority="18">
      <formula>$F86="Fail"</formula>
    </cfRule>
  </conditionalFormatting>
  <conditionalFormatting sqref="B86">
    <cfRule type="expression" dxfId="116" priority="17">
      <formula>$F86="Fail"</formula>
    </cfRule>
  </conditionalFormatting>
  <conditionalFormatting sqref="A91 C91:K91">
    <cfRule type="expression" dxfId="115" priority="16">
      <formula>$F91="Fail"</formula>
    </cfRule>
  </conditionalFormatting>
  <conditionalFormatting sqref="L91">
    <cfRule type="expression" dxfId="114" priority="15">
      <formula>$F91="Fail"</formula>
    </cfRule>
  </conditionalFormatting>
  <conditionalFormatting sqref="B91">
    <cfRule type="expression" dxfId="113" priority="14">
      <formula>$F91="Fail"</formula>
    </cfRule>
  </conditionalFormatting>
  <conditionalFormatting sqref="A165 C165:K165">
    <cfRule type="expression" dxfId="112" priority="13">
      <formula>$F165="Fail"</formula>
    </cfRule>
  </conditionalFormatting>
  <conditionalFormatting sqref="L165">
    <cfRule type="expression" dxfId="111" priority="12">
      <formula>$F165="Fail"</formula>
    </cfRule>
  </conditionalFormatting>
  <conditionalFormatting sqref="B165">
    <cfRule type="expression" dxfId="110" priority="11">
      <formula>$F165="Fail"</formula>
    </cfRule>
  </conditionalFormatting>
  <conditionalFormatting sqref="A201 C201:K201">
    <cfRule type="expression" dxfId="109" priority="10">
      <formula>$F201="Fail"</formula>
    </cfRule>
  </conditionalFormatting>
  <conditionalFormatting sqref="L201">
    <cfRule type="expression" dxfId="108" priority="9">
      <formula>$F201="Fail"</formula>
    </cfRule>
  </conditionalFormatting>
  <conditionalFormatting sqref="B201">
    <cfRule type="expression" dxfId="107" priority="8">
      <formula>$F201="Fail"</formula>
    </cfRule>
  </conditionalFormatting>
  <conditionalFormatting sqref="A222 C222:K222">
    <cfRule type="expression" dxfId="106" priority="7">
      <formula>$F222="Fail"</formula>
    </cfRule>
  </conditionalFormatting>
  <conditionalFormatting sqref="L222">
    <cfRule type="expression" dxfId="105" priority="6">
      <formula>$F222="Fail"</formula>
    </cfRule>
  </conditionalFormatting>
  <conditionalFormatting sqref="B222">
    <cfRule type="expression" dxfId="104" priority="5">
      <formula>$F222="Fail"</formula>
    </cfRule>
  </conditionalFormatting>
  <conditionalFormatting sqref="F7:F9">
    <cfRule type="expression" dxfId="103" priority="4">
      <formula>$F7="Fail"</formula>
    </cfRule>
  </conditionalFormatting>
  <conditionalFormatting sqref="D12:D18">
    <cfRule type="expression" dxfId="102" priority="3">
      <formula>$F12="Fail"</formula>
    </cfRule>
  </conditionalFormatting>
  <conditionalFormatting sqref="D57:D62">
    <cfRule type="expression" dxfId="101" priority="2">
      <formula>$F57="Fail"</formula>
    </cfRule>
  </conditionalFormatting>
  <conditionalFormatting sqref="G56:J56">
    <cfRule type="expression" dxfId="100" priority="1">
      <formula>$F56="Fail"</formula>
    </cfRule>
  </conditionalFormatting>
  <dataValidations count="1">
    <dataValidation type="list" allowBlank="1" showInputMessage="1" showErrorMessage="1" sqref="F53 F2:F51 F55:F231">
      <formula1>$G$1:$K$1</formula1>
    </dataValidation>
  </dataValidations>
  <pageMargins left="0.7" right="0.7" top="0.75" bottom="0.75" header="0.3" footer="0.3"/>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100"/>
  <sheetViews>
    <sheetView topLeftCell="C1" zoomScaleNormal="100" workbookViewId="0">
      <pane ySplit="1" topLeftCell="A71" activePane="bottomLeft" state="frozen"/>
      <selection activeCell="C11" sqref="C11"/>
      <selection pane="bottomLeft" activeCell="F1" sqref="F1:F1048576"/>
    </sheetView>
  </sheetViews>
  <sheetFormatPr defaultRowHeight="15" x14ac:dyDescent="0.25"/>
  <cols>
    <col min="1" max="1" width="11.28515625" style="4" bestFit="1" customWidth="1"/>
    <col min="2" max="2" width="63.7109375" style="1" customWidth="1"/>
    <col min="3" max="3" width="57.7109375" style="1" bestFit="1" customWidth="1"/>
    <col min="4" max="4" width="22.140625" style="1" bestFit="1" customWidth="1"/>
    <col min="5" max="5" width="10.1406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13</v>
      </c>
    </row>
    <row r="2" spans="1:12" s="105" customFormat="1" ht="30" customHeight="1" x14ac:dyDescent="0.25">
      <c r="A2" s="109"/>
      <c r="B2" s="179" t="s">
        <v>1150</v>
      </c>
      <c r="C2" s="180"/>
      <c r="D2" s="118" t="s">
        <v>1172</v>
      </c>
      <c r="E2" s="104"/>
      <c r="F2" s="103"/>
      <c r="G2" s="104"/>
      <c r="H2" s="104"/>
      <c r="I2" s="104"/>
      <c r="J2" s="104"/>
      <c r="K2" s="104"/>
      <c r="L2" s="104"/>
    </row>
    <row r="3" spans="1:12" s="20" customFormat="1" x14ac:dyDescent="0.25">
      <c r="A3" s="16">
        <v>1</v>
      </c>
      <c r="B3" s="79" t="s">
        <v>798</v>
      </c>
      <c r="C3" s="80"/>
      <c r="D3" s="79"/>
      <c r="E3" s="79"/>
      <c r="F3" s="19"/>
      <c r="G3" s="19"/>
      <c r="H3" s="19"/>
      <c r="I3" s="19"/>
      <c r="J3" s="19"/>
      <c r="K3" s="19"/>
      <c r="L3" s="79"/>
    </row>
    <row r="4" spans="1:12" x14ac:dyDescent="0.25">
      <c r="A4" s="5">
        <v>1.0001</v>
      </c>
      <c r="B4" s="76" t="s">
        <v>1155</v>
      </c>
      <c r="C4" s="78"/>
      <c r="D4" s="77"/>
      <c r="E4" s="76"/>
      <c r="F4" s="8"/>
      <c r="G4" s="8">
        <f t="shared" ref="G4:K10" si="0">IF($F4=G$1,1,0)</f>
        <v>0</v>
      </c>
      <c r="H4" s="8">
        <f t="shared" si="0"/>
        <v>0</v>
      </c>
      <c r="I4" s="8">
        <f t="shared" si="0"/>
        <v>1</v>
      </c>
      <c r="J4" s="8">
        <f t="shared" si="0"/>
        <v>0</v>
      </c>
      <c r="K4" s="8">
        <f t="shared" si="0"/>
        <v>0</v>
      </c>
      <c r="L4" s="77"/>
    </row>
    <row r="5" spans="1:12" ht="25.5" x14ac:dyDescent="0.25">
      <c r="A5" s="5">
        <v>1.0002</v>
      </c>
      <c r="B5" s="82" t="s">
        <v>780</v>
      </c>
      <c r="C5" s="78" t="s">
        <v>781</v>
      </c>
      <c r="D5" s="77"/>
      <c r="E5" s="76"/>
      <c r="F5" s="8"/>
      <c r="G5" s="8">
        <f t="shared" si="0"/>
        <v>0</v>
      </c>
      <c r="H5" s="8">
        <f t="shared" si="0"/>
        <v>0</v>
      </c>
      <c r="I5" s="8">
        <f t="shared" si="0"/>
        <v>1</v>
      </c>
      <c r="J5" s="8">
        <f t="shared" si="0"/>
        <v>0</v>
      </c>
      <c r="K5" s="8">
        <f t="shared" si="0"/>
        <v>0</v>
      </c>
      <c r="L5" s="77"/>
    </row>
    <row r="6" spans="1:12" ht="25.5" x14ac:dyDescent="0.25">
      <c r="A6" s="5">
        <v>1.0003</v>
      </c>
      <c r="B6" s="82" t="s">
        <v>783</v>
      </c>
      <c r="C6" s="78" t="s">
        <v>784</v>
      </c>
      <c r="D6" s="77"/>
      <c r="E6" s="76"/>
      <c r="F6" s="8"/>
      <c r="G6" s="8">
        <f t="shared" si="0"/>
        <v>0</v>
      </c>
      <c r="H6" s="8">
        <f t="shared" si="0"/>
        <v>0</v>
      </c>
      <c r="I6" s="8">
        <f t="shared" si="0"/>
        <v>1</v>
      </c>
      <c r="J6" s="8">
        <f t="shared" si="0"/>
        <v>0</v>
      </c>
      <c r="K6" s="8">
        <f t="shared" si="0"/>
        <v>0</v>
      </c>
      <c r="L6" s="77"/>
    </row>
    <row r="7" spans="1:12" x14ac:dyDescent="0.25">
      <c r="A7" s="5">
        <v>1.0004</v>
      </c>
      <c r="B7" s="76"/>
      <c r="C7" s="78" t="s">
        <v>1156</v>
      </c>
      <c r="D7" s="77"/>
      <c r="E7" s="76"/>
      <c r="F7" s="8"/>
      <c r="G7" s="8">
        <f t="shared" si="0"/>
        <v>0</v>
      </c>
      <c r="H7" s="8">
        <f t="shared" si="0"/>
        <v>0</v>
      </c>
      <c r="I7" s="8">
        <f t="shared" si="0"/>
        <v>1</v>
      </c>
      <c r="J7" s="8">
        <f t="shared" si="0"/>
        <v>0</v>
      </c>
      <c r="K7" s="8">
        <f t="shared" si="0"/>
        <v>0</v>
      </c>
      <c r="L7" s="77"/>
    </row>
    <row r="8" spans="1:12" ht="25.5" x14ac:dyDescent="0.25">
      <c r="A8" s="5">
        <v>1.0004999999999999</v>
      </c>
      <c r="B8" s="76"/>
      <c r="C8" s="78" t="s">
        <v>787</v>
      </c>
      <c r="D8" s="77"/>
      <c r="E8" s="76"/>
      <c r="F8" s="8" t="s">
        <v>7</v>
      </c>
      <c r="G8" s="8">
        <f t="shared" si="0"/>
        <v>0</v>
      </c>
      <c r="H8" s="8">
        <f t="shared" si="0"/>
        <v>0</v>
      </c>
      <c r="I8" s="8">
        <f t="shared" si="0"/>
        <v>0</v>
      </c>
      <c r="J8" s="8">
        <f t="shared" si="0"/>
        <v>1</v>
      </c>
      <c r="K8" s="8">
        <f t="shared" si="0"/>
        <v>0</v>
      </c>
      <c r="L8" s="77"/>
    </row>
    <row r="9" spans="1:12" x14ac:dyDescent="0.25">
      <c r="A9" s="5">
        <v>1.0005999999999999</v>
      </c>
      <c r="B9" s="76" t="s">
        <v>786</v>
      </c>
      <c r="C9" s="78"/>
      <c r="D9" s="77"/>
      <c r="E9" s="76"/>
      <c r="F9" s="8" t="s">
        <v>7</v>
      </c>
      <c r="G9" s="8">
        <f t="shared" si="0"/>
        <v>0</v>
      </c>
      <c r="H9" s="8">
        <f t="shared" si="0"/>
        <v>0</v>
      </c>
      <c r="I9" s="8">
        <f t="shared" si="0"/>
        <v>0</v>
      </c>
      <c r="J9" s="8">
        <f t="shared" si="0"/>
        <v>1</v>
      </c>
      <c r="K9" s="8">
        <f t="shared" si="0"/>
        <v>0</v>
      </c>
      <c r="L9" s="77"/>
    </row>
    <row r="10" spans="1:12" x14ac:dyDescent="0.25">
      <c r="A10" s="5">
        <v>1.0006999999999999</v>
      </c>
      <c r="B10" s="76" t="s">
        <v>790</v>
      </c>
      <c r="C10" s="78"/>
      <c r="D10" s="77"/>
      <c r="E10" s="77"/>
      <c r="F10" s="8" t="s">
        <v>7</v>
      </c>
      <c r="G10" s="8">
        <f t="shared" si="0"/>
        <v>0</v>
      </c>
      <c r="H10" s="8">
        <f t="shared" si="0"/>
        <v>0</v>
      </c>
      <c r="I10" s="8">
        <f t="shared" si="0"/>
        <v>0</v>
      </c>
      <c r="J10" s="8">
        <f t="shared" si="0"/>
        <v>1</v>
      </c>
      <c r="K10" s="8">
        <f t="shared" si="0"/>
        <v>0</v>
      </c>
      <c r="L10" s="77"/>
    </row>
    <row r="11" spans="1:12" s="20" customFormat="1" x14ac:dyDescent="0.25">
      <c r="A11" s="16">
        <v>2</v>
      </c>
      <c r="B11" s="79" t="s">
        <v>800</v>
      </c>
      <c r="C11" s="80" t="s">
        <v>1151</v>
      </c>
      <c r="D11" s="79"/>
      <c r="E11" s="79"/>
      <c r="F11" s="19"/>
      <c r="G11" s="19"/>
      <c r="H11" s="19"/>
      <c r="I11" s="19"/>
      <c r="J11" s="19"/>
      <c r="K11" s="19"/>
      <c r="L11" s="79"/>
    </row>
    <row r="12" spans="1:12" ht="27" customHeight="1" x14ac:dyDescent="0.25">
      <c r="A12" s="5">
        <f t="shared" ref="A12:A75" si="1">A11+0.0001</f>
        <v>2.0001000000000002</v>
      </c>
      <c r="B12" s="82" t="s">
        <v>757</v>
      </c>
      <c r="C12" s="78" t="s">
        <v>758</v>
      </c>
      <c r="D12" s="77"/>
      <c r="E12" s="76"/>
      <c r="F12" s="8"/>
      <c r="G12" s="8">
        <f t="shared" ref="G12:K28" si="2">IF($F12=G$1,1,0)</f>
        <v>0</v>
      </c>
      <c r="H12" s="8">
        <f t="shared" si="2"/>
        <v>0</v>
      </c>
      <c r="I12" s="8">
        <f t="shared" si="2"/>
        <v>1</v>
      </c>
      <c r="J12" s="8">
        <f t="shared" si="2"/>
        <v>0</v>
      </c>
      <c r="K12" s="8">
        <f t="shared" si="2"/>
        <v>0</v>
      </c>
      <c r="L12" s="77"/>
    </row>
    <row r="13" spans="1:12" ht="24.75" customHeight="1" x14ac:dyDescent="0.25">
      <c r="A13" s="5">
        <f t="shared" si="1"/>
        <v>2.0002000000000004</v>
      </c>
      <c r="B13" s="76" t="s">
        <v>759</v>
      </c>
      <c r="C13" s="78" t="s">
        <v>760</v>
      </c>
      <c r="D13" s="77"/>
      <c r="E13" s="76"/>
      <c r="F13" s="8"/>
      <c r="G13" s="8">
        <f t="shared" si="2"/>
        <v>0</v>
      </c>
      <c r="H13" s="8">
        <f t="shared" si="2"/>
        <v>0</v>
      </c>
      <c r="I13" s="8">
        <f t="shared" si="2"/>
        <v>1</v>
      </c>
      <c r="J13" s="8">
        <f t="shared" si="2"/>
        <v>0</v>
      </c>
      <c r="K13" s="8">
        <f t="shared" si="2"/>
        <v>0</v>
      </c>
      <c r="L13" s="77"/>
    </row>
    <row r="14" spans="1:12" x14ac:dyDescent="0.25">
      <c r="A14" s="5">
        <f t="shared" si="1"/>
        <v>2.0003000000000006</v>
      </c>
      <c r="B14" s="76" t="s">
        <v>801</v>
      </c>
      <c r="C14" s="78" t="s">
        <v>1055</v>
      </c>
      <c r="D14" s="8"/>
      <c r="E14" s="76"/>
      <c r="F14" s="8"/>
      <c r="G14" s="8">
        <f t="shared" si="2"/>
        <v>0</v>
      </c>
      <c r="H14" s="8">
        <f t="shared" si="2"/>
        <v>0</v>
      </c>
      <c r="I14" s="8">
        <f t="shared" si="2"/>
        <v>1</v>
      </c>
      <c r="J14" s="8">
        <f t="shared" si="2"/>
        <v>0</v>
      </c>
      <c r="K14" s="8">
        <f t="shared" si="2"/>
        <v>0</v>
      </c>
      <c r="L14" s="77"/>
    </row>
    <row r="15" spans="1:12" x14ac:dyDescent="0.25">
      <c r="A15" s="5">
        <f t="shared" si="1"/>
        <v>2.0004000000000008</v>
      </c>
      <c r="B15" s="76" t="s">
        <v>1027</v>
      </c>
      <c r="C15" s="78" t="s">
        <v>1057</v>
      </c>
      <c r="D15" s="8"/>
      <c r="E15" s="76"/>
      <c r="F15" s="8"/>
      <c r="G15" s="8">
        <f t="shared" si="2"/>
        <v>0</v>
      </c>
      <c r="H15" s="8">
        <f t="shared" si="2"/>
        <v>0</v>
      </c>
      <c r="I15" s="8">
        <f t="shared" si="2"/>
        <v>1</v>
      </c>
      <c r="J15" s="8">
        <f t="shared" si="2"/>
        <v>0</v>
      </c>
      <c r="K15" s="8">
        <f t="shared" si="2"/>
        <v>0</v>
      </c>
      <c r="L15" s="77"/>
    </row>
    <row r="16" spans="1:12" x14ac:dyDescent="0.25">
      <c r="A16" s="5">
        <f t="shared" si="1"/>
        <v>2.0005000000000011</v>
      </c>
      <c r="B16" s="76"/>
      <c r="C16" s="78" t="s">
        <v>1056</v>
      </c>
      <c r="D16" s="8"/>
      <c r="E16" s="76"/>
      <c r="F16" s="8"/>
      <c r="G16" s="8">
        <f t="shared" si="2"/>
        <v>0</v>
      </c>
      <c r="H16" s="8">
        <f t="shared" si="2"/>
        <v>0</v>
      </c>
      <c r="I16" s="8">
        <f t="shared" si="2"/>
        <v>1</v>
      </c>
      <c r="J16" s="8">
        <f t="shared" si="2"/>
        <v>0</v>
      </c>
      <c r="K16" s="8">
        <f t="shared" si="2"/>
        <v>0</v>
      </c>
      <c r="L16" s="77"/>
    </row>
    <row r="17" spans="1:12" x14ac:dyDescent="0.25">
      <c r="A17" s="5">
        <f t="shared" si="1"/>
        <v>2.0006000000000013</v>
      </c>
      <c r="B17" s="76"/>
      <c r="C17" s="78" t="s">
        <v>1152</v>
      </c>
      <c r="D17" s="77"/>
      <c r="E17" s="76"/>
      <c r="F17" s="8"/>
      <c r="G17" s="8">
        <f t="shared" si="2"/>
        <v>0</v>
      </c>
      <c r="H17" s="8">
        <f t="shared" si="2"/>
        <v>0</v>
      </c>
      <c r="I17" s="8">
        <f t="shared" si="2"/>
        <v>1</v>
      </c>
      <c r="J17" s="8">
        <f t="shared" si="2"/>
        <v>0</v>
      </c>
      <c r="K17" s="8">
        <f t="shared" si="2"/>
        <v>0</v>
      </c>
      <c r="L17" s="77"/>
    </row>
    <row r="18" spans="1:12" x14ac:dyDescent="0.25">
      <c r="A18" s="5">
        <f t="shared" si="1"/>
        <v>2.0007000000000015</v>
      </c>
      <c r="B18" s="149" t="s">
        <v>777</v>
      </c>
      <c r="C18" s="150" t="s">
        <v>1153</v>
      </c>
      <c r="D18" s="8"/>
      <c r="E18" s="76"/>
      <c r="F18" s="8"/>
      <c r="G18" s="8">
        <f t="shared" si="2"/>
        <v>0</v>
      </c>
      <c r="H18" s="8">
        <f t="shared" si="2"/>
        <v>0</v>
      </c>
      <c r="I18" s="8">
        <f t="shared" si="2"/>
        <v>1</v>
      </c>
      <c r="J18" s="8">
        <f t="shared" si="2"/>
        <v>0</v>
      </c>
      <c r="K18" s="8">
        <f t="shared" si="2"/>
        <v>0</v>
      </c>
      <c r="L18" s="77"/>
    </row>
    <row r="19" spans="1:12" x14ac:dyDescent="0.25">
      <c r="A19" s="5">
        <f t="shared" si="1"/>
        <v>2.0008000000000017</v>
      </c>
      <c r="B19" s="76" t="s">
        <v>778</v>
      </c>
      <c r="C19" s="147" t="s">
        <v>1154</v>
      </c>
      <c r="D19" s="77"/>
      <c r="E19" s="77"/>
      <c r="F19" s="8"/>
      <c r="G19" s="8">
        <f t="shared" si="2"/>
        <v>0</v>
      </c>
      <c r="H19" s="8">
        <f t="shared" si="2"/>
        <v>0</v>
      </c>
      <c r="I19" s="8">
        <f t="shared" si="2"/>
        <v>1</v>
      </c>
      <c r="J19" s="8">
        <f t="shared" si="2"/>
        <v>0</v>
      </c>
      <c r="K19" s="8">
        <f t="shared" si="2"/>
        <v>0</v>
      </c>
      <c r="L19" s="77"/>
    </row>
    <row r="20" spans="1:12" x14ac:dyDescent="0.25">
      <c r="A20" s="5">
        <f t="shared" si="1"/>
        <v>2.0009000000000019</v>
      </c>
      <c r="B20" s="76"/>
      <c r="C20" s="76" t="s">
        <v>807</v>
      </c>
      <c r="D20" s="77"/>
      <c r="E20" s="77"/>
      <c r="F20" s="8"/>
      <c r="G20" s="8">
        <f t="shared" si="2"/>
        <v>0</v>
      </c>
      <c r="H20" s="8">
        <f t="shared" si="2"/>
        <v>0</v>
      </c>
      <c r="I20" s="8">
        <f t="shared" si="2"/>
        <v>1</v>
      </c>
      <c r="J20" s="8">
        <f t="shared" si="2"/>
        <v>0</v>
      </c>
      <c r="K20" s="8">
        <f t="shared" si="2"/>
        <v>0</v>
      </c>
      <c r="L20" s="77"/>
    </row>
    <row r="21" spans="1:12" x14ac:dyDescent="0.25">
      <c r="A21" s="5">
        <f t="shared" si="1"/>
        <v>2.0010000000000021</v>
      </c>
      <c r="B21" s="82" t="s">
        <v>775</v>
      </c>
      <c r="C21" s="76" t="s">
        <v>769</v>
      </c>
      <c r="D21" s="77"/>
      <c r="E21" s="77"/>
      <c r="F21" s="8"/>
      <c r="G21" s="8">
        <f t="shared" si="2"/>
        <v>0</v>
      </c>
      <c r="H21" s="8">
        <f t="shared" si="2"/>
        <v>0</v>
      </c>
      <c r="I21" s="8">
        <f t="shared" si="2"/>
        <v>1</v>
      </c>
      <c r="J21" s="8">
        <f t="shared" si="2"/>
        <v>0</v>
      </c>
      <c r="K21" s="8">
        <f t="shared" si="2"/>
        <v>0</v>
      </c>
      <c r="L21" s="77"/>
    </row>
    <row r="22" spans="1:12" x14ac:dyDescent="0.25">
      <c r="A22" s="5">
        <f t="shared" si="1"/>
        <v>2.0011000000000023</v>
      </c>
      <c r="B22" s="82"/>
      <c r="C22" s="76" t="s">
        <v>808</v>
      </c>
      <c r="D22" s="77" t="s">
        <v>809</v>
      </c>
      <c r="E22" s="77"/>
      <c r="F22" s="8"/>
      <c r="G22" s="8">
        <f t="shared" si="2"/>
        <v>0</v>
      </c>
      <c r="H22" s="8">
        <f t="shared" si="2"/>
        <v>0</v>
      </c>
      <c r="I22" s="8">
        <f t="shared" si="2"/>
        <v>1</v>
      </c>
      <c r="J22" s="8">
        <f t="shared" si="2"/>
        <v>0</v>
      </c>
      <c r="K22" s="8">
        <f t="shared" si="2"/>
        <v>0</v>
      </c>
      <c r="L22" s="77"/>
    </row>
    <row r="23" spans="1:12" x14ac:dyDescent="0.25">
      <c r="A23" s="5">
        <f t="shared" si="1"/>
        <v>2.0012000000000025</v>
      </c>
      <c r="B23" s="76"/>
      <c r="C23" s="76" t="s">
        <v>770</v>
      </c>
      <c r="D23" s="77"/>
      <c r="E23" s="77"/>
      <c r="F23" s="8"/>
      <c r="G23" s="8">
        <f t="shared" si="2"/>
        <v>0</v>
      </c>
      <c r="H23" s="8">
        <f t="shared" si="2"/>
        <v>0</v>
      </c>
      <c r="I23" s="8">
        <f t="shared" si="2"/>
        <v>1</v>
      </c>
      <c r="J23" s="8">
        <f t="shared" si="2"/>
        <v>0</v>
      </c>
      <c r="K23" s="8">
        <f t="shared" si="2"/>
        <v>0</v>
      </c>
      <c r="L23" s="77"/>
    </row>
    <row r="24" spans="1:12" x14ac:dyDescent="0.25">
      <c r="A24" s="5">
        <f t="shared" si="1"/>
        <v>2.0013000000000027</v>
      </c>
      <c r="B24" s="76"/>
      <c r="C24" s="76" t="s">
        <v>771</v>
      </c>
      <c r="D24" s="77"/>
      <c r="E24" s="77"/>
      <c r="F24" s="8"/>
      <c r="G24" s="8">
        <f t="shared" si="2"/>
        <v>0</v>
      </c>
      <c r="H24" s="8">
        <f t="shared" si="2"/>
        <v>0</v>
      </c>
      <c r="I24" s="8">
        <f t="shared" si="2"/>
        <v>1</v>
      </c>
      <c r="J24" s="8">
        <f t="shared" si="2"/>
        <v>0</v>
      </c>
      <c r="K24" s="8">
        <f t="shared" si="2"/>
        <v>0</v>
      </c>
      <c r="L24" s="77"/>
    </row>
    <row r="25" spans="1:12" x14ac:dyDescent="0.25">
      <c r="A25" s="5">
        <f t="shared" si="1"/>
        <v>2.001400000000003</v>
      </c>
      <c r="B25" s="76"/>
      <c r="C25" s="76" t="s">
        <v>772</v>
      </c>
      <c r="D25" s="77"/>
      <c r="E25" s="77"/>
      <c r="F25" s="8"/>
      <c r="G25" s="8">
        <f t="shared" si="2"/>
        <v>0</v>
      </c>
      <c r="H25" s="8">
        <f t="shared" si="2"/>
        <v>0</v>
      </c>
      <c r="I25" s="8">
        <f t="shared" si="2"/>
        <v>1</v>
      </c>
      <c r="J25" s="8">
        <f t="shared" si="2"/>
        <v>0</v>
      </c>
      <c r="K25" s="8">
        <f t="shared" si="2"/>
        <v>0</v>
      </c>
      <c r="L25" s="77"/>
    </row>
    <row r="26" spans="1:12" x14ac:dyDescent="0.25">
      <c r="A26" s="5">
        <f t="shared" si="1"/>
        <v>2.0015000000000032</v>
      </c>
      <c r="B26" s="76"/>
      <c r="C26" s="76" t="s">
        <v>773</v>
      </c>
      <c r="D26" s="77"/>
      <c r="E26" s="77"/>
      <c r="F26" s="8"/>
      <c r="G26" s="8">
        <f t="shared" si="2"/>
        <v>0</v>
      </c>
      <c r="H26" s="8">
        <f t="shared" si="2"/>
        <v>0</v>
      </c>
      <c r="I26" s="8">
        <f t="shared" si="2"/>
        <v>1</v>
      </c>
      <c r="J26" s="8">
        <f t="shared" si="2"/>
        <v>0</v>
      </c>
      <c r="K26" s="8">
        <f t="shared" si="2"/>
        <v>0</v>
      </c>
      <c r="L26" s="77"/>
    </row>
    <row r="27" spans="1:12" x14ac:dyDescent="0.25">
      <c r="A27" s="5">
        <f t="shared" si="1"/>
        <v>2.0016000000000034</v>
      </c>
      <c r="B27" s="76"/>
      <c r="C27" s="76" t="s">
        <v>774</v>
      </c>
      <c r="D27" s="77"/>
      <c r="E27" s="77"/>
      <c r="F27" s="8"/>
      <c r="G27" s="8">
        <f t="shared" si="2"/>
        <v>0</v>
      </c>
      <c r="H27" s="8">
        <f t="shared" si="2"/>
        <v>0</v>
      </c>
      <c r="I27" s="8">
        <f t="shared" si="2"/>
        <v>1</v>
      </c>
      <c r="J27" s="8">
        <f t="shared" si="2"/>
        <v>0</v>
      </c>
      <c r="K27" s="8">
        <f t="shared" si="2"/>
        <v>0</v>
      </c>
      <c r="L27" s="77"/>
    </row>
    <row r="28" spans="1:12" x14ac:dyDescent="0.25">
      <c r="A28" s="5">
        <f t="shared" si="1"/>
        <v>2.0017000000000036</v>
      </c>
      <c r="B28" s="82" t="s">
        <v>776</v>
      </c>
      <c r="C28" s="76" t="s">
        <v>779</v>
      </c>
      <c r="D28" s="77"/>
      <c r="E28" s="77"/>
      <c r="F28" s="8"/>
      <c r="G28" s="8">
        <f t="shared" si="2"/>
        <v>0</v>
      </c>
      <c r="H28" s="8">
        <f t="shared" si="2"/>
        <v>0</v>
      </c>
      <c r="I28" s="8">
        <f t="shared" si="2"/>
        <v>1</v>
      </c>
      <c r="J28" s="8">
        <f t="shared" si="2"/>
        <v>0</v>
      </c>
      <c r="K28" s="8">
        <f t="shared" si="2"/>
        <v>0</v>
      </c>
      <c r="L28" s="77"/>
    </row>
    <row r="29" spans="1:12" x14ac:dyDescent="0.25">
      <c r="A29" s="5">
        <f t="shared" si="1"/>
        <v>2.0018000000000038</v>
      </c>
      <c r="B29" s="154"/>
      <c r="C29" s="121"/>
      <c r="D29" s="121"/>
      <c r="E29" s="121"/>
      <c r="F29" s="8"/>
      <c r="G29" s="8"/>
      <c r="H29" s="8"/>
      <c r="I29" s="8"/>
      <c r="J29" s="8"/>
      <c r="K29" s="8"/>
      <c r="L29" s="77"/>
    </row>
    <row r="30" spans="1:12" x14ac:dyDescent="0.25">
      <c r="A30" s="5">
        <f t="shared" si="1"/>
        <v>2.001900000000004</v>
      </c>
      <c r="B30" s="153" t="s">
        <v>1167</v>
      </c>
      <c r="C30" s="157"/>
      <c r="D30" s="156"/>
      <c r="E30" s="156"/>
      <c r="F30" s="8"/>
      <c r="G30" s="8"/>
      <c r="H30" s="8"/>
      <c r="I30" s="8"/>
      <c r="J30" s="8"/>
      <c r="K30" s="8"/>
      <c r="L30" s="77"/>
    </row>
    <row r="31" spans="1:12" x14ac:dyDescent="0.25">
      <c r="A31" s="5">
        <f t="shared" si="1"/>
        <v>2.0020000000000042</v>
      </c>
      <c r="B31" s="151" t="s">
        <v>1166</v>
      </c>
      <c r="C31" s="152" t="s">
        <v>1158</v>
      </c>
      <c r="D31" s="156"/>
      <c r="E31" s="156"/>
      <c r="F31" s="8"/>
      <c r="G31" s="8">
        <f t="shared" ref="G31:K32" si="3">IF($F31=G$1,1,0)</f>
        <v>0</v>
      </c>
      <c r="H31" s="8">
        <f t="shared" si="3"/>
        <v>0</v>
      </c>
      <c r="I31" s="8">
        <f t="shared" si="3"/>
        <v>1</v>
      </c>
      <c r="J31" s="8">
        <f t="shared" si="3"/>
        <v>0</v>
      </c>
      <c r="K31" s="8">
        <f t="shared" si="3"/>
        <v>0</v>
      </c>
      <c r="L31" s="77"/>
    </row>
    <row r="32" spans="1:12" x14ac:dyDescent="0.25">
      <c r="A32" s="5">
        <f t="shared" si="1"/>
        <v>2.0021000000000044</v>
      </c>
      <c r="B32" s="151" t="s">
        <v>1165</v>
      </c>
      <c r="C32" s="152" t="s">
        <v>1159</v>
      </c>
      <c r="D32" s="156"/>
      <c r="E32" s="156"/>
      <c r="F32" s="8"/>
      <c r="G32" s="8">
        <f t="shared" si="3"/>
        <v>0</v>
      </c>
      <c r="H32" s="8">
        <f t="shared" si="3"/>
        <v>0</v>
      </c>
      <c r="I32" s="8">
        <f t="shared" si="3"/>
        <v>1</v>
      </c>
      <c r="J32" s="8">
        <f t="shared" si="3"/>
        <v>0</v>
      </c>
      <c r="K32" s="8">
        <f t="shared" si="3"/>
        <v>0</v>
      </c>
      <c r="L32" s="77"/>
    </row>
    <row r="33" spans="1:12" x14ac:dyDescent="0.25">
      <c r="A33" s="5">
        <f t="shared" si="1"/>
        <v>2.0022000000000046</v>
      </c>
      <c r="B33" s="82"/>
      <c r="C33" s="76"/>
      <c r="D33" s="121"/>
      <c r="E33" s="121"/>
      <c r="F33" s="8"/>
      <c r="G33" s="8"/>
      <c r="H33" s="8"/>
      <c r="I33" s="8"/>
      <c r="J33" s="8"/>
      <c r="K33" s="8"/>
      <c r="L33" s="77"/>
    </row>
    <row r="34" spans="1:12" x14ac:dyDescent="0.25">
      <c r="A34" s="5">
        <f t="shared" si="1"/>
        <v>2.0023000000000049</v>
      </c>
      <c r="B34" s="79" t="s">
        <v>800</v>
      </c>
      <c r="C34" s="80" t="s">
        <v>1157</v>
      </c>
      <c r="D34" s="106"/>
      <c r="E34" s="106"/>
      <c r="F34" s="8"/>
      <c r="G34" s="8"/>
      <c r="H34" s="8"/>
      <c r="I34" s="8"/>
      <c r="J34" s="8"/>
      <c r="K34" s="8"/>
      <c r="L34" s="77"/>
    </row>
    <row r="35" spans="1:12" ht="25.5" x14ac:dyDescent="0.25">
      <c r="A35" s="5">
        <f t="shared" si="1"/>
        <v>2.0024000000000051</v>
      </c>
      <c r="B35" s="82" t="s">
        <v>757</v>
      </c>
      <c r="C35" s="78" t="s">
        <v>758</v>
      </c>
      <c r="D35" s="77"/>
      <c r="E35" s="77"/>
      <c r="F35" s="8"/>
      <c r="G35" s="8">
        <f t="shared" ref="G35:K54" si="4">IF($F35=G$1,1,0)</f>
        <v>0</v>
      </c>
      <c r="H35" s="8">
        <f t="shared" si="4"/>
        <v>0</v>
      </c>
      <c r="I35" s="8">
        <f t="shared" si="4"/>
        <v>1</v>
      </c>
      <c r="J35" s="8">
        <f t="shared" si="4"/>
        <v>0</v>
      </c>
      <c r="K35" s="8">
        <f t="shared" si="4"/>
        <v>0</v>
      </c>
      <c r="L35" s="77"/>
    </row>
    <row r="36" spans="1:12" x14ac:dyDescent="0.25">
      <c r="A36" s="5">
        <f t="shared" si="1"/>
        <v>2.0025000000000053</v>
      </c>
      <c r="B36" s="76" t="s">
        <v>759</v>
      </c>
      <c r="C36" s="78" t="s">
        <v>760</v>
      </c>
      <c r="D36" s="77"/>
      <c r="E36" s="77"/>
      <c r="F36" s="8"/>
      <c r="G36" s="8">
        <f t="shared" si="4"/>
        <v>0</v>
      </c>
      <c r="H36" s="8">
        <f t="shared" si="4"/>
        <v>0</v>
      </c>
      <c r="I36" s="8">
        <f t="shared" si="4"/>
        <v>1</v>
      </c>
      <c r="J36" s="8">
        <f t="shared" si="4"/>
        <v>0</v>
      </c>
      <c r="K36" s="8">
        <f t="shared" si="4"/>
        <v>0</v>
      </c>
      <c r="L36" s="77"/>
    </row>
    <row r="37" spans="1:12" x14ac:dyDescent="0.25">
      <c r="A37" s="5">
        <f t="shared" si="1"/>
        <v>2.0026000000000055</v>
      </c>
      <c r="B37" s="76" t="s">
        <v>801</v>
      </c>
      <c r="C37" s="78" t="s">
        <v>1143</v>
      </c>
      <c r="D37" s="77"/>
      <c r="E37" s="77"/>
      <c r="F37" s="8"/>
      <c r="G37" s="8">
        <f t="shared" si="4"/>
        <v>0</v>
      </c>
      <c r="H37" s="8">
        <f t="shared" si="4"/>
        <v>0</v>
      </c>
      <c r="I37" s="8">
        <f t="shared" si="4"/>
        <v>1</v>
      </c>
      <c r="J37" s="8">
        <f t="shared" si="4"/>
        <v>0</v>
      </c>
      <c r="K37" s="8">
        <f t="shared" si="4"/>
        <v>0</v>
      </c>
      <c r="L37" s="77"/>
    </row>
    <row r="38" spans="1:12" x14ac:dyDescent="0.25">
      <c r="A38" s="5">
        <f t="shared" si="1"/>
        <v>2.0027000000000057</v>
      </c>
      <c r="B38" s="76" t="s">
        <v>803</v>
      </c>
      <c r="C38" s="78" t="s">
        <v>1144</v>
      </c>
      <c r="D38" s="77"/>
      <c r="E38" s="77"/>
      <c r="F38" s="8"/>
      <c r="G38" s="8">
        <f t="shared" si="4"/>
        <v>0</v>
      </c>
      <c r="H38" s="8">
        <f t="shared" si="4"/>
        <v>0</v>
      </c>
      <c r="I38" s="8">
        <f t="shared" si="4"/>
        <v>1</v>
      </c>
      <c r="J38" s="8">
        <f t="shared" si="4"/>
        <v>0</v>
      </c>
      <c r="K38" s="8">
        <f t="shared" si="4"/>
        <v>0</v>
      </c>
      <c r="L38" s="77"/>
    </row>
    <row r="39" spans="1:12" x14ac:dyDescent="0.25">
      <c r="A39" s="5">
        <f t="shared" si="1"/>
        <v>2.0028000000000059</v>
      </c>
      <c r="B39" s="76" t="s">
        <v>806</v>
      </c>
      <c r="C39" s="78" t="s">
        <v>761</v>
      </c>
      <c r="D39" s="77"/>
      <c r="E39" s="77"/>
      <c r="F39" s="8"/>
      <c r="G39" s="8">
        <f t="shared" si="4"/>
        <v>0</v>
      </c>
      <c r="H39" s="8">
        <f t="shared" si="4"/>
        <v>0</v>
      </c>
      <c r="I39" s="8">
        <f t="shared" si="4"/>
        <v>1</v>
      </c>
      <c r="J39" s="8">
        <f t="shared" si="4"/>
        <v>0</v>
      </c>
      <c r="K39" s="8">
        <f t="shared" si="4"/>
        <v>0</v>
      </c>
      <c r="L39" s="77"/>
    </row>
    <row r="40" spans="1:12" x14ac:dyDescent="0.25">
      <c r="A40" s="5">
        <f t="shared" si="1"/>
        <v>2.0029000000000061</v>
      </c>
      <c r="B40" s="76" t="s">
        <v>788</v>
      </c>
      <c r="C40" s="78">
        <v>100</v>
      </c>
      <c r="D40" s="77"/>
      <c r="E40" s="77"/>
      <c r="F40" s="8"/>
      <c r="G40" s="8">
        <f t="shared" si="4"/>
        <v>0</v>
      </c>
      <c r="H40" s="8">
        <f t="shared" si="4"/>
        <v>0</v>
      </c>
      <c r="I40" s="8">
        <f t="shared" si="4"/>
        <v>1</v>
      </c>
      <c r="J40" s="8">
        <f t="shared" si="4"/>
        <v>0</v>
      </c>
      <c r="K40" s="8">
        <f t="shared" si="4"/>
        <v>0</v>
      </c>
      <c r="L40" s="77"/>
    </row>
    <row r="41" spans="1:12" x14ac:dyDescent="0.25">
      <c r="A41" s="5">
        <f t="shared" si="1"/>
        <v>2.0030000000000063</v>
      </c>
      <c r="B41" s="77" t="s">
        <v>762</v>
      </c>
      <c r="C41" s="76" t="s">
        <v>765</v>
      </c>
      <c r="D41" s="77"/>
      <c r="E41" s="77"/>
      <c r="F41" s="8"/>
      <c r="G41" s="8">
        <f t="shared" si="4"/>
        <v>0</v>
      </c>
      <c r="H41" s="8">
        <f t="shared" si="4"/>
        <v>0</v>
      </c>
      <c r="I41" s="8">
        <f t="shared" si="4"/>
        <v>1</v>
      </c>
      <c r="J41" s="8">
        <f t="shared" si="4"/>
        <v>0</v>
      </c>
      <c r="K41" s="8">
        <f t="shared" si="4"/>
        <v>0</v>
      </c>
      <c r="L41" s="77"/>
    </row>
    <row r="42" spans="1:12" x14ac:dyDescent="0.25">
      <c r="A42" s="5">
        <f t="shared" si="1"/>
        <v>2.0031000000000065</v>
      </c>
      <c r="B42" s="77" t="s">
        <v>763</v>
      </c>
      <c r="C42" s="76" t="s">
        <v>764</v>
      </c>
      <c r="D42" s="77"/>
      <c r="E42" s="77"/>
      <c r="F42" s="8"/>
      <c r="G42" s="8">
        <f t="shared" si="4"/>
        <v>0</v>
      </c>
      <c r="H42" s="8">
        <f t="shared" si="4"/>
        <v>0</v>
      </c>
      <c r="I42" s="8">
        <f t="shared" si="4"/>
        <v>1</v>
      </c>
      <c r="J42" s="8">
        <f t="shared" si="4"/>
        <v>0</v>
      </c>
      <c r="K42" s="8">
        <f t="shared" si="4"/>
        <v>0</v>
      </c>
      <c r="L42" s="77"/>
    </row>
    <row r="43" spans="1:12" x14ac:dyDescent="0.25">
      <c r="A43" s="5">
        <f t="shared" si="1"/>
        <v>2.0032000000000068</v>
      </c>
      <c r="B43" s="77" t="s">
        <v>766</v>
      </c>
      <c r="C43" s="76" t="s">
        <v>764</v>
      </c>
      <c r="D43" s="77"/>
      <c r="E43" s="77"/>
      <c r="F43" s="8"/>
      <c r="G43" s="8">
        <f t="shared" si="4"/>
        <v>0</v>
      </c>
      <c r="H43" s="8">
        <f t="shared" si="4"/>
        <v>0</v>
      </c>
      <c r="I43" s="8">
        <f t="shared" si="4"/>
        <v>1</v>
      </c>
      <c r="J43" s="8">
        <f t="shared" si="4"/>
        <v>0</v>
      </c>
      <c r="K43" s="8">
        <f t="shared" si="4"/>
        <v>0</v>
      </c>
      <c r="L43" s="77"/>
    </row>
    <row r="44" spans="1:12" x14ac:dyDescent="0.25">
      <c r="A44" s="5">
        <f t="shared" si="1"/>
        <v>2.003300000000007</v>
      </c>
      <c r="B44" s="147" t="s">
        <v>777</v>
      </c>
      <c r="C44" s="148" t="s">
        <v>1145</v>
      </c>
      <c r="D44" s="77"/>
      <c r="E44" s="77"/>
      <c r="F44" s="8"/>
      <c r="G44" s="8">
        <f t="shared" si="4"/>
        <v>0</v>
      </c>
      <c r="H44" s="8">
        <f t="shared" si="4"/>
        <v>0</v>
      </c>
      <c r="I44" s="8">
        <f t="shared" si="4"/>
        <v>1</v>
      </c>
      <c r="J44" s="8">
        <f t="shared" si="4"/>
        <v>0</v>
      </c>
      <c r="K44" s="8">
        <f t="shared" si="4"/>
        <v>0</v>
      </c>
      <c r="L44" s="77"/>
    </row>
    <row r="45" spans="1:12" x14ac:dyDescent="0.25">
      <c r="A45" s="5">
        <f t="shared" si="1"/>
        <v>2.0034000000000072</v>
      </c>
      <c r="B45" s="76" t="s">
        <v>778</v>
      </c>
      <c r="C45" s="147" t="s">
        <v>1146</v>
      </c>
      <c r="D45" s="77"/>
      <c r="E45" s="77"/>
      <c r="F45" s="8"/>
      <c r="G45" s="8">
        <f t="shared" si="4"/>
        <v>0</v>
      </c>
      <c r="H45" s="8">
        <f t="shared" si="4"/>
        <v>0</v>
      </c>
      <c r="I45" s="8">
        <f t="shared" si="4"/>
        <v>1</v>
      </c>
      <c r="J45" s="8">
        <f t="shared" si="4"/>
        <v>0</v>
      </c>
      <c r="K45" s="8">
        <f t="shared" si="4"/>
        <v>0</v>
      </c>
      <c r="L45" s="77"/>
    </row>
    <row r="46" spans="1:12" x14ac:dyDescent="0.25">
      <c r="A46" s="5">
        <f t="shared" si="1"/>
        <v>2.0035000000000074</v>
      </c>
      <c r="B46" s="76"/>
      <c r="C46" s="76" t="s">
        <v>807</v>
      </c>
      <c r="D46" s="77"/>
      <c r="E46" s="77"/>
      <c r="F46" s="8"/>
      <c r="G46" s="8">
        <f t="shared" si="4"/>
        <v>0</v>
      </c>
      <c r="H46" s="8">
        <f t="shared" si="4"/>
        <v>0</v>
      </c>
      <c r="I46" s="8">
        <f t="shared" si="4"/>
        <v>1</v>
      </c>
      <c r="J46" s="8">
        <f t="shared" si="4"/>
        <v>0</v>
      </c>
      <c r="K46" s="8">
        <f t="shared" si="4"/>
        <v>0</v>
      </c>
      <c r="L46" s="77"/>
    </row>
    <row r="47" spans="1:12" x14ac:dyDescent="0.25">
      <c r="A47" s="5">
        <f t="shared" si="1"/>
        <v>2.0036000000000076</v>
      </c>
      <c r="B47" s="82" t="s">
        <v>775</v>
      </c>
      <c r="C47" s="76" t="s">
        <v>769</v>
      </c>
      <c r="D47" s="77"/>
      <c r="E47" s="77"/>
      <c r="F47" s="8"/>
      <c r="G47" s="8">
        <f t="shared" si="4"/>
        <v>0</v>
      </c>
      <c r="H47" s="8">
        <f t="shared" si="4"/>
        <v>0</v>
      </c>
      <c r="I47" s="8">
        <f t="shared" si="4"/>
        <v>1</v>
      </c>
      <c r="J47" s="8">
        <f t="shared" si="4"/>
        <v>0</v>
      </c>
      <c r="K47" s="8">
        <f t="shared" si="4"/>
        <v>0</v>
      </c>
      <c r="L47" s="77"/>
    </row>
    <row r="48" spans="1:12" x14ac:dyDescent="0.25">
      <c r="A48" s="5">
        <f t="shared" si="1"/>
        <v>2.0037000000000078</v>
      </c>
      <c r="B48" s="82"/>
      <c r="C48" s="76" t="s">
        <v>808</v>
      </c>
      <c r="D48" s="77"/>
      <c r="E48" s="77"/>
      <c r="F48" s="8"/>
      <c r="G48" s="8">
        <f t="shared" si="4"/>
        <v>0</v>
      </c>
      <c r="H48" s="8">
        <f t="shared" si="4"/>
        <v>0</v>
      </c>
      <c r="I48" s="8">
        <f t="shared" si="4"/>
        <v>1</v>
      </c>
      <c r="J48" s="8">
        <f t="shared" si="4"/>
        <v>0</v>
      </c>
      <c r="K48" s="8">
        <f t="shared" si="4"/>
        <v>0</v>
      </c>
      <c r="L48" s="77"/>
    </row>
    <row r="49" spans="1:12" x14ac:dyDescent="0.25">
      <c r="A49" s="5">
        <f t="shared" si="1"/>
        <v>2.003800000000008</v>
      </c>
      <c r="B49" s="76"/>
      <c r="C49" s="76" t="s">
        <v>770</v>
      </c>
      <c r="D49" s="77"/>
      <c r="E49" s="77"/>
      <c r="F49" s="8"/>
      <c r="G49" s="8">
        <f t="shared" si="4"/>
        <v>0</v>
      </c>
      <c r="H49" s="8">
        <f t="shared" si="4"/>
        <v>0</v>
      </c>
      <c r="I49" s="8">
        <f t="shared" si="4"/>
        <v>1</v>
      </c>
      <c r="J49" s="8">
        <f t="shared" si="4"/>
        <v>0</v>
      </c>
      <c r="K49" s="8">
        <f t="shared" si="4"/>
        <v>0</v>
      </c>
      <c r="L49" s="77"/>
    </row>
    <row r="50" spans="1:12" x14ac:dyDescent="0.25">
      <c r="A50" s="5">
        <f t="shared" si="1"/>
        <v>2.0039000000000082</v>
      </c>
      <c r="B50" s="76"/>
      <c r="C50" s="76" t="s">
        <v>771</v>
      </c>
      <c r="D50" s="77"/>
      <c r="E50" s="77"/>
      <c r="F50" s="8"/>
      <c r="G50" s="8">
        <f t="shared" si="4"/>
        <v>0</v>
      </c>
      <c r="H50" s="8">
        <f t="shared" si="4"/>
        <v>0</v>
      </c>
      <c r="I50" s="8">
        <f t="shared" si="4"/>
        <v>1</v>
      </c>
      <c r="J50" s="8">
        <f t="shared" si="4"/>
        <v>0</v>
      </c>
      <c r="K50" s="8">
        <f t="shared" si="4"/>
        <v>0</v>
      </c>
      <c r="L50" s="77"/>
    </row>
    <row r="51" spans="1:12" x14ac:dyDescent="0.25">
      <c r="A51" s="5">
        <f t="shared" si="1"/>
        <v>2.0040000000000084</v>
      </c>
      <c r="B51" s="76"/>
      <c r="C51" s="76" t="s">
        <v>772</v>
      </c>
      <c r="D51" s="77"/>
      <c r="E51" s="77"/>
      <c r="F51" s="8"/>
      <c r="G51" s="8">
        <f t="shared" si="4"/>
        <v>0</v>
      </c>
      <c r="H51" s="8">
        <f t="shared" si="4"/>
        <v>0</v>
      </c>
      <c r="I51" s="8">
        <f t="shared" si="4"/>
        <v>1</v>
      </c>
      <c r="J51" s="8">
        <f t="shared" si="4"/>
        <v>0</v>
      </c>
      <c r="K51" s="8">
        <f t="shared" si="4"/>
        <v>0</v>
      </c>
      <c r="L51" s="77"/>
    </row>
    <row r="52" spans="1:12" x14ac:dyDescent="0.25">
      <c r="A52" s="5">
        <f t="shared" si="1"/>
        <v>2.0041000000000087</v>
      </c>
      <c r="B52" s="76"/>
      <c r="C52" s="76" t="s">
        <v>773</v>
      </c>
      <c r="D52" s="77"/>
      <c r="E52" s="77"/>
      <c r="F52" s="8"/>
      <c r="G52" s="8">
        <f t="shared" si="4"/>
        <v>0</v>
      </c>
      <c r="H52" s="8">
        <f t="shared" si="4"/>
        <v>0</v>
      </c>
      <c r="I52" s="8">
        <f t="shared" si="4"/>
        <v>1</v>
      </c>
      <c r="J52" s="8">
        <f t="shared" si="4"/>
        <v>0</v>
      </c>
      <c r="K52" s="8">
        <f t="shared" si="4"/>
        <v>0</v>
      </c>
      <c r="L52" s="77"/>
    </row>
    <row r="53" spans="1:12" x14ac:dyDescent="0.25">
      <c r="A53" s="5">
        <f t="shared" si="1"/>
        <v>2.0042000000000089</v>
      </c>
      <c r="B53" s="76"/>
      <c r="C53" s="76" t="s">
        <v>774</v>
      </c>
      <c r="D53" s="77"/>
      <c r="E53" s="77"/>
      <c r="F53" s="8"/>
      <c r="G53" s="8">
        <f t="shared" si="4"/>
        <v>0</v>
      </c>
      <c r="H53" s="8">
        <f t="shared" si="4"/>
        <v>0</v>
      </c>
      <c r="I53" s="8">
        <f t="shared" si="4"/>
        <v>1</v>
      </c>
      <c r="J53" s="8">
        <f t="shared" si="4"/>
        <v>0</v>
      </c>
      <c r="K53" s="8">
        <f t="shared" si="4"/>
        <v>0</v>
      </c>
      <c r="L53" s="77"/>
    </row>
    <row r="54" spans="1:12" x14ac:dyDescent="0.25">
      <c r="A54" s="5">
        <f t="shared" si="1"/>
        <v>2.0043000000000091</v>
      </c>
      <c r="B54" s="82" t="s">
        <v>776</v>
      </c>
      <c r="C54" s="76" t="s">
        <v>779</v>
      </c>
      <c r="D54" s="77"/>
      <c r="E54" s="77"/>
      <c r="F54" s="8"/>
      <c r="G54" s="8">
        <f t="shared" si="4"/>
        <v>0</v>
      </c>
      <c r="H54" s="8">
        <f t="shared" si="4"/>
        <v>0</v>
      </c>
      <c r="I54" s="8">
        <f t="shared" si="4"/>
        <v>1</v>
      </c>
      <c r="J54" s="8">
        <f t="shared" si="4"/>
        <v>0</v>
      </c>
      <c r="K54" s="8">
        <f t="shared" si="4"/>
        <v>0</v>
      </c>
      <c r="L54" s="77"/>
    </row>
    <row r="55" spans="1:12" x14ac:dyDescent="0.25">
      <c r="A55" s="5">
        <f t="shared" si="1"/>
        <v>2.0044000000000093</v>
      </c>
      <c r="B55" s="154"/>
      <c r="C55" s="121"/>
      <c r="D55" s="121"/>
      <c r="E55" s="121"/>
      <c r="F55" s="8"/>
      <c r="G55" s="8"/>
      <c r="H55" s="8"/>
      <c r="I55" s="8"/>
      <c r="J55" s="8"/>
      <c r="K55" s="8"/>
      <c r="L55" s="77"/>
    </row>
    <row r="56" spans="1:12" x14ac:dyDescent="0.25">
      <c r="A56" s="5">
        <f t="shared" si="1"/>
        <v>2.0045000000000095</v>
      </c>
      <c r="B56" s="153" t="s">
        <v>1167</v>
      </c>
      <c r="C56" s="147"/>
      <c r="D56" s="156"/>
      <c r="E56" s="156"/>
      <c r="F56" s="8"/>
      <c r="G56" s="8"/>
      <c r="H56" s="8"/>
      <c r="I56" s="8"/>
      <c r="J56" s="8"/>
      <c r="K56" s="8"/>
      <c r="L56" s="77"/>
    </row>
    <row r="57" spans="1:12" x14ac:dyDescent="0.25">
      <c r="A57" s="5">
        <f t="shared" si="1"/>
        <v>2.0046000000000097</v>
      </c>
      <c r="B57" s="151" t="s">
        <v>1166</v>
      </c>
      <c r="C57" s="152" t="s">
        <v>1158</v>
      </c>
      <c r="D57" s="156"/>
      <c r="E57" s="156"/>
      <c r="F57" s="8"/>
      <c r="G57" s="8">
        <f t="shared" ref="G57:K58" si="5">IF($F57=G$1,1,0)</f>
        <v>0</v>
      </c>
      <c r="H57" s="8">
        <f t="shared" si="5"/>
        <v>0</v>
      </c>
      <c r="I57" s="8">
        <f t="shared" si="5"/>
        <v>1</v>
      </c>
      <c r="J57" s="8">
        <f t="shared" si="5"/>
        <v>0</v>
      </c>
      <c r="K57" s="8">
        <f t="shared" si="5"/>
        <v>0</v>
      </c>
      <c r="L57" s="77"/>
    </row>
    <row r="58" spans="1:12" x14ac:dyDescent="0.25">
      <c r="A58" s="5">
        <f t="shared" si="1"/>
        <v>2.0047000000000099</v>
      </c>
      <c r="B58" s="151" t="s">
        <v>1165</v>
      </c>
      <c r="C58" s="152" t="s">
        <v>1159</v>
      </c>
      <c r="D58" s="156"/>
      <c r="E58" s="156"/>
      <c r="F58" s="8"/>
      <c r="G58" s="8">
        <f t="shared" si="5"/>
        <v>0</v>
      </c>
      <c r="H58" s="8">
        <f t="shared" si="5"/>
        <v>0</v>
      </c>
      <c r="I58" s="8">
        <f t="shared" si="5"/>
        <v>1</v>
      </c>
      <c r="J58" s="8">
        <f t="shared" si="5"/>
        <v>0</v>
      </c>
      <c r="K58" s="8">
        <f t="shared" si="5"/>
        <v>0</v>
      </c>
      <c r="L58" s="77"/>
    </row>
    <row r="59" spans="1:12" s="105" customFormat="1" x14ac:dyDescent="0.25">
      <c r="A59" s="5">
        <f t="shared" si="1"/>
        <v>2.0048000000000101</v>
      </c>
      <c r="B59" s="154"/>
      <c r="C59" s="155"/>
      <c r="D59" s="156"/>
      <c r="E59" s="156"/>
      <c r="F59" s="120"/>
      <c r="G59" s="120"/>
      <c r="H59" s="120"/>
      <c r="I59" s="120"/>
      <c r="J59" s="120"/>
      <c r="K59" s="120"/>
      <c r="L59" s="121"/>
    </row>
    <row r="60" spans="1:12" s="105" customFormat="1" x14ac:dyDescent="0.25">
      <c r="A60" s="5">
        <f t="shared" si="1"/>
        <v>2.0049000000000103</v>
      </c>
      <c r="B60" s="79" t="s">
        <v>1160</v>
      </c>
      <c r="C60" s="79"/>
      <c r="D60" s="156"/>
      <c r="E60" s="156"/>
      <c r="F60" s="120"/>
      <c r="G60" s="120"/>
      <c r="H60" s="120"/>
      <c r="I60" s="120"/>
      <c r="J60" s="120"/>
      <c r="K60" s="120"/>
      <c r="L60" s="121"/>
    </row>
    <row r="61" spans="1:12" s="105" customFormat="1" x14ac:dyDescent="0.25">
      <c r="A61" s="5">
        <f t="shared" si="1"/>
        <v>2.0050000000000106</v>
      </c>
      <c r="B61" s="83" t="s">
        <v>797</v>
      </c>
      <c r="C61" s="82" t="s">
        <v>791</v>
      </c>
      <c r="D61" s="156"/>
      <c r="E61" s="156"/>
      <c r="F61" s="120"/>
      <c r="G61" s="8">
        <f t="shared" ref="G61:K67" si="6">IF($F61=G$1,1,0)</f>
        <v>0</v>
      </c>
      <c r="H61" s="8">
        <f t="shared" si="6"/>
        <v>0</v>
      </c>
      <c r="I61" s="8">
        <f t="shared" si="6"/>
        <v>1</v>
      </c>
      <c r="J61" s="8">
        <f t="shared" si="6"/>
        <v>0</v>
      </c>
      <c r="K61" s="8">
        <f t="shared" si="6"/>
        <v>0</v>
      </c>
      <c r="L61" s="121"/>
    </row>
    <row r="62" spans="1:12" s="105" customFormat="1" x14ac:dyDescent="0.25">
      <c r="A62" s="5">
        <f t="shared" si="1"/>
        <v>2.0051000000000108</v>
      </c>
      <c r="B62" s="77"/>
      <c r="C62" s="76" t="s">
        <v>792</v>
      </c>
      <c r="D62" s="156"/>
      <c r="E62" s="156"/>
      <c r="F62" s="120"/>
      <c r="G62" s="8">
        <f t="shared" si="6"/>
        <v>0</v>
      </c>
      <c r="H62" s="8">
        <f t="shared" si="6"/>
        <v>0</v>
      </c>
      <c r="I62" s="8">
        <f t="shared" si="6"/>
        <v>1</v>
      </c>
      <c r="J62" s="8">
        <f t="shared" si="6"/>
        <v>0</v>
      </c>
      <c r="K62" s="8">
        <f t="shared" si="6"/>
        <v>0</v>
      </c>
      <c r="L62" s="121"/>
    </row>
    <row r="63" spans="1:12" s="105" customFormat="1" x14ac:dyDescent="0.25">
      <c r="A63" s="5">
        <f t="shared" si="1"/>
        <v>2.005200000000011</v>
      </c>
      <c r="B63" s="77"/>
      <c r="C63" s="76" t="s">
        <v>883</v>
      </c>
      <c r="D63" s="156"/>
      <c r="E63" s="156"/>
      <c r="F63" s="120"/>
      <c r="G63" s="8">
        <f t="shared" si="6"/>
        <v>0</v>
      </c>
      <c r="H63" s="8">
        <f t="shared" si="6"/>
        <v>0</v>
      </c>
      <c r="I63" s="8">
        <f t="shared" si="6"/>
        <v>1</v>
      </c>
      <c r="J63" s="8">
        <f t="shared" si="6"/>
        <v>0</v>
      </c>
      <c r="K63" s="8">
        <f t="shared" si="6"/>
        <v>0</v>
      </c>
      <c r="L63" s="121"/>
    </row>
    <row r="64" spans="1:12" s="105" customFormat="1" x14ac:dyDescent="0.25">
      <c r="A64" s="5">
        <f t="shared" si="1"/>
        <v>2.0053000000000112</v>
      </c>
      <c r="B64" s="77"/>
      <c r="C64" s="76" t="s">
        <v>884</v>
      </c>
      <c r="D64" s="156"/>
      <c r="E64" s="156"/>
      <c r="F64" s="120"/>
      <c r="G64" s="8">
        <f t="shared" si="6"/>
        <v>0</v>
      </c>
      <c r="H64" s="8">
        <f t="shared" si="6"/>
        <v>0</v>
      </c>
      <c r="I64" s="8">
        <f t="shared" si="6"/>
        <v>1</v>
      </c>
      <c r="J64" s="8">
        <f t="shared" si="6"/>
        <v>0</v>
      </c>
      <c r="K64" s="8">
        <f t="shared" si="6"/>
        <v>0</v>
      </c>
      <c r="L64" s="121"/>
    </row>
    <row r="65" spans="1:12" s="105" customFormat="1" x14ac:dyDescent="0.25">
      <c r="A65" s="5">
        <f t="shared" si="1"/>
        <v>2.0054000000000114</v>
      </c>
      <c r="B65" s="77"/>
      <c r="C65" s="76" t="s">
        <v>882</v>
      </c>
      <c r="D65" s="156"/>
      <c r="E65" s="156"/>
      <c r="F65" s="120"/>
      <c r="G65" s="8">
        <f t="shared" si="6"/>
        <v>0</v>
      </c>
      <c r="H65" s="8">
        <f t="shared" si="6"/>
        <v>0</v>
      </c>
      <c r="I65" s="8">
        <f t="shared" si="6"/>
        <v>1</v>
      </c>
      <c r="J65" s="8">
        <f t="shared" si="6"/>
        <v>0</v>
      </c>
      <c r="K65" s="8">
        <f t="shared" si="6"/>
        <v>0</v>
      </c>
      <c r="L65" s="121"/>
    </row>
    <row r="66" spans="1:12" s="105" customFormat="1" x14ac:dyDescent="0.25">
      <c r="A66" s="5">
        <f t="shared" si="1"/>
        <v>2.0055000000000116</v>
      </c>
      <c r="B66" s="147" t="s">
        <v>1163</v>
      </c>
      <c r="C66" s="147" t="s">
        <v>1161</v>
      </c>
      <c r="D66" s="156"/>
      <c r="E66" s="156"/>
      <c r="F66" s="120"/>
      <c r="G66" s="8">
        <f t="shared" si="6"/>
        <v>0</v>
      </c>
      <c r="H66" s="8">
        <f t="shared" si="6"/>
        <v>0</v>
      </c>
      <c r="I66" s="8">
        <f t="shared" si="6"/>
        <v>1</v>
      </c>
      <c r="J66" s="8">
        <f t="shared" si="6"/>
        <v>0</v>
      </c>
      <c r="K66" s="8">
        <f t="shared" si="6"/>
        <v>0</v>
      </c>
      <c r="L66" s="121"/>
    </row>
    <row r="67" spans="1:12" s="105" customFormat="1" x14ac:dyDescent="0.25">
      <c r="A67" s="5">
        <f t="shared" si="1"/>
        <v>2.0056000000000118</v>
      </c>
      <c r="B67" s="77"/>
      <c r="C67" s="147" t="s">
        <v>932</v>
      </c>
      <c r="D67" s="156"/>
      <c r="E67" s="156"/>
      <c r="F67" s="120"/>
      <c r="G67" s="8">
        <f t="shared" si="6"/>
        <v>0</v>
      </c>
      <c r="H67" s="8">
        <f t="shared" si="6"/>
        <v>0</v>
      </c>
      <c r="I67" s="8">
        <f t="shared" si="6"/>
        <v>1</v>
      </c>
      <c r="J67" s="8">
        <f t="shared" si="6"/>
        <v>0</v>
      </c>
      <c r="K67" s="8">
        <f t="shared" si="6"/>
        <v>0</v>
      </c>
      <c r="L67" s="121"/>
    </row>
    <row r="68" spans="1:12" s="105" customFormat="1" x14ac:dyDescent="0.25">
      <c r="A68" s="5">
        <f t="shared" si="1"/>
        <v>2.005700000000012</v>
      </c>
      <c r="B68" s="77"/>
      <c r="C68" s="76"/>
      <c r="D68" s="156"/>
      <c r="E68" s="156"/>
      <c r="F68" s="120"/>
      <c r="G68" s="120"/>
      <c r="H68" s="120"/>
      <c r="I68" s="120"/>
      <c r="J68" s="120"/>
      <c r="K68" s="120"/>
      <c r="L68" s="121"/>
    </row>
    <row r="69" spans="1:12" s="105" customFormat="1" x14ac:dyDescent="0.25">
      <c r="A69" s="5">
        <f t="shared" si="1"/>
        <v>2.0058000000000122</v>
      </c>
      <c r="B69" s="147" t="s">
        <v>1164</v>
      </c>
      <c r="C69" s="147" t="s">
        <v>1161</v>
      </c>
      <c r="D69" s="156"/>
      <c r="E69" s="156"/>
      <c r="F69" s="120"/>
      <c r="G69" s="8">
        <f t="shared" ref="G69:K70" si="7">IF($F69=G$1,1,0)</f>
        <v>0</v>
      </c>
      <c r="H69" s="8">
        <f t="shared" si="7"/>
        <v>0</v>
      </c>
      <c r="I69" s="8">
        <f t="shared" si="7"/>
        <v>1</v>
      </c>
      <c r="J69" s="8">
        <f t="shared" si="7"/>
        <v>0</v>
      </c>
      <c r="K69" s="8">
        <f t="shared" si="7"/>
        <v>0</v>
      </c>
      <c r="L69" s="121"/>
    </row>
    <row r="70" spans="1:12" s="105" customFormat="1" x14ac:dyDescent="0.25">
      <c r="A70" s="5">
        <f t="shared" si="1"/>
        <v>2.0059000000000125</v>
      </c>
      <c r="B70" s="77"/>
      <c r="C70" s="147" t="s">
        <v>1162</v>
      </c>
      <c r="D70" s="156"/>
      <c r="E70" s="156"/>
      <c r="F70" s="120"/>
      <c r="G70" s="8">
        <f t="shared" si="7"/>
        <v>0</v>
      </c>
      <c r="H70" s="8">
        <f t="shared" si="7"/>
        <v>0</v>
      </c>
      <c r="I70" s="8">
        <f t="shared" si="7"/>
        <v>1</v>
      </c>
      <c r="J70" s="8">
        <f t="shared" si="7"/>
        <v>0</v>
      </c>
      <c r="K70" s="8">
        <f t="shared" si="7"/>
        <v>0</v>
      </c>
      <c r="L70" s="121"/>
    </row>
    <row r="71" spans="1:12" s="105" customFormat="1" x14ac:dyDescent="0.25">
      <c r="A71" s="5">
        <f t="shared" si="1"/>
        <v>2.0060000000000127</v>
      </c>
      <c r="B71" s="77"/>
      <c r="C71" s="76"/>
      <c r="D71" s="156"/>
      <c r="E71" s="156"/>
      <c r="F71" s="120"/>
      <c r="G71" s="120"/>
      <c r="H71" s="120"/>
      <c r="I71" s="120"/>
      <c r="J71" s="120"/>
      <c r="K71" s="120"/>
      <c r="L71" s="121"/>
    </row>
    <row r="72" spans="1:12" s="105" customFormat="1" x14ac:dyDescent="0.25">
      <c r="A72" s="5">
        <f t="shared" si="1"/>
        <v>2.0061000000000129</v>
      </c>
      <c r="B72" s="77"/>
      <c r="C72" s="76"/>
      <c r="D72" s="156"/>
      <c r="E72" s="156"/>
      <c r="F72" s="120"/>
      <c r="G72" s="120"/>
      <c r="H72" s="120"/>
      <c r="I72" s="120"/>
      <c r="J72" s="120"/>
      <c r="K72" s="120"/>
      <c r="L72" s="121"/>
    </row>
    <row r="73" spans="1:12" s="105" customFormat="1" x14ac:dyDescent="0.25">
      <c r="A73" s="5">
        <f t="shared" si="1"/>
        <v>2.0062000000000131</v>
      </c>
      <c r="B73" s="77"/>
      <c r="C73" s="76" t="s">
        <v>881</v>
      </c>
      <c r="D73" s="156"/>
      <c r="E73" s="156"/>
      <c r="F73" s="120"/>
      <c r="G73" s="8">
        <f t="shared" ref="G73:K86" si="8">IF($F73=G$1,1,0)</f>
        <v>0</v>
      </c>
      <c r="H73" s="8">
        <f t="shared" si="8"/>
        <v>0</v>
      </c>
      <c r="I73" s="8">
        <f t="shared" si="8"/>
        <v>1</v>
      </c>
      <c r="J73" s="8">
        <f t="shared" si="8"/>
        <v>0</v>
      </c>
      <c r="K73" s="8">
        <f t="shared" si="8"/>
        <v>0</v>
      </c>
      <c r="L73" s="121"/>
    </row>
    <row r="74" spans="1:12" s="105" customFormat="1" ht="25.5" x14ac:dyDescent="0.25">
      <c r="A74" s="5">
        <f t="shared" si="1"/>
        <v>2.0063000000000133</v>
      </c>
      <c r="B74" s="77"/>
      <c r="C74" s="76" t="s">
        <v>1106</v>
      </c>
      <c r="D74" s="156"/>
      <c r="E74" s="156"/>
      <c r="F74" s="120"/>
      <c r="G74" s="8">
        <f t="shared" si="8"/>
        <v>0</v>
      </c>
      <c r="H74" s="8">
        <f t="shared" si="8"/>
        <v>0</v>
      </c>
      <c r="I74" s="8">
        <f t="shared" si="8"/>
        <v>1</v>
      </c>
      <c r="J74" s="8">
        <f t="shared" si="8"/>
        <v>0</v>
      </c>
      <c r="K74" s="8">
        <f t="shared" si="8"/>
        <v>0</v>
      </c>
      <c r="L74" s="121"/>
    </row>
    <row r="75" spans="1:12" s="105" customFormat="1" x14ac:dyDescent="0.25">
      <c r="A75" s="5">
        <f t="shared" si="1"/>
        <v>2.0064000000000135</v>
      </c>
      <c r="B75" s="83" t="s">
        <v>888</v>
      </c>
      <c r="C75" s="82" t="s">
        <v>880</v>
      </c>
      <c r="D75" s="156"/>
      <c r="E75" s="156"/>
      <c r="F75" s="120"/>
      <c r="G75" s="8">
        <f t="shared" si="8"/>
        <v>0</v>
      </c>
      <c r="H75" s="8">
        <f t="shared" si="8"/>
        <v>0</v>
      </c>
      <c r="I75" s="8">
        <f t="shared" si="8"/>
        <v>1</v>
      </c>
      <c r="J75" s="8">
        <f t="shared" si="8"/>
        <v>0</v>
      </c>
      <c r="K75" s="8">
        <f t="shared" si="8"/>
        <v>0</v>
      </c>
      <c r="L75" s="121"/>
    </row>
    <row r="76" spans="1:12" s="105" customFormat="1" x14ac:dyDescent="0.25">
      <c r="A76" s="5">
        <f t="shared" ref="A76:A98" si="9">A75+0.0001</f>
        <v>2.0065000000000137</v>
      </c>
      <c r="B76" s="77"/>
      <c r="C76" s="76" t="s">
        <v>889</v>
      </c>
      <c r="D76" s="156"/>
      <c r="E76" s="156"/>
      <c r="F76" s="120"/>
      <c r="G76" s="8">
        <f t="shared" si="8"/>
        <v>0</v>
      </c>
      <c r="H76" s="8">
        <f t="shared" si="8"/>
        <v>0</v>
      </c>
      <c r="I76" s="8">
        <f t="shared" si="8"/>
        <v>1</v>
      </c>
      <c r="J76" s="8">
        <f t="shared" si="8"/>
        <v>0</v>
      </c>
      <c r="K76" s="8">
        <f t="shared" si="8"/>
        <v>0</v>
      </c>
      <c r="L76" s="121"/>
    </row>
    <row r="77" spans="1:12" s="105" customFormat="1" x14ac:dyDescent="0.25">
      <c r="A77" s="5">
        <f t="shared" si="9"/>
        <v>2.0066000000000139</v>
      </c>
      <c r="B77" s="77"/>
      <c r="C77" s="76" t="s">
        <v>815</v>
      </c>
      <c r="D77" s="156"/>
      <c r="E77" s="156"/>
      <c r="F77" s="120"/>
      <c r="G77" s="8">
        <f t="shared" si="8"/>
        <v>0</v>
      </c>
      <c r="H77" s="8">
        <f t="shared" si="8"/>
        <v>0</v>
      </c>
      <c r="I77" s="8">
        <f t="shared" si="8"/>
        <v>1</v>
      </c>
      <c r="J77" s="8">
        <f t="shared" si="8"/>
        <v>0</v>
      </c>
      <c r="K77" s="8">
        <f t="shared" si="8"/>
        <v>0</v>
      </c>
      <c r="L77" s="121"/>
    </row>
    <row r="78" spans="1:12" s="105" customFormat="1" x14ac:dyDescent="0.25">
      <c r="A78" s="5">
        <f t="shared" si="9"/>
        <v>2.0067000000000141</v>
      </c>
      <c r="B78" s="77"/>
      <c r="C78" s="76" t="s">
        <v>816</v>
      </c>
      <c r="D78" s="156"/>
      <c r="E78" s="156"/>
      <c r="F78" s="120"/>
      <c r="G78" s="8">
        <f t="shared" si="8"/>
        <v>0</v>
      </c>
      <c r="H78" s="8">
        <f t="shared" si="8"/>
        <v>0</v>
      </c>
      <c r="I78" s="8">
        <f t="shared" si="8"/>
        <v>1</v>
      </c>
      <c r="J78" s="8">
        <f t="shared" si="8"/>
        <v>0</v>
      </c>
      <c r="K78" s="8">
        <f t="shared" si="8"/>
        <v>0</v>
      </c>
      <c r="L78" s="121"/>
    </row>
    <row r="79" spans="1:12" s="105" customFormat="1" x14ac:dyDescent="0.25">
      <c r="A79" s="5">
        <f t="shared" si="9"/>
        <v>2.0068000000000144</v>
      </c>
      <c r="B79" s="77"/>
      <c r="C79" s="76" t="s">
        <v>886</v>
      </c>
      <c r="D79" s="156"/>
      <c r="E79" s="156"/>
      <c r="F79" s="120"/>
      <c r="G79" s="8">
        <f t="shared" si="8"/>
        <v>0</v>
      </c>
      <c r="H79" s="8">
        <f t="shared" si="8"/>
        <v>0</v>
      </c>
      <c r="I79" s="8">
        <f t="shared" si="8"/>
        <v>1</v>
      </c>
      <c r="J79" s="8">
        <f t="shared" si="8"/>
        <v>0</v>
      </c>
      <c r="K79" s="8">
        <f t="shared" si="8"/>
        <v>0</v>
      </c>
      <c r="L79" s="121"/>
    </row>
    <row r="80" spans="1:12" s="105" customFormat="1" x14ac:dyDescent="0.25">
      <c r="A80" s="5">
        <f t="shared" si="9"/>
        <v>2.0069000000000146</v>
      </c>
      <c r="B80" s="77"/>
      <c r="C80" s="76" t="s">
        <v>1107</v>
      </c>
      <c r="D80" s="156"/>
      <c r="E80" s="156"/>
      <c r="F80" s="120"/>
      <c r="G80" s="8">
        <f t="shared" si="8"/>
        <v>0</v>
      </c>
      <c r="H80" s="8">
        <f t="shared" si="8"/>
        <v>0</v>
      </c>
      <c r="I80" s="8">
        <f t="shared" si="8"/>
        <v>1</v>
      </c>
      <c r="J80" s="8">
        <f t="shared" si="8"/>
        <v>0</v>
      </c>
      <c r="K80" s="8">
        <f t="shared" si="8"/>
        <v>0</v>
      </c>
      <c r="L80" s="121"/>
    </row>
    <row r="81" spans="1:12" s="105" customFormat="1" x14ac:dyDescent="0.25">
      <c r="A81" s="5">
        <f t="shared" si="9"/>
        <v>2.0070000000000148</v>
      </c>
      <c r="B81" s="77"/>
      <c r="C81" s="76" t="s">
        <v>819</v>
      </c>
      <c r="D81" s="156"/>
      <c r="E81" s="156"/>
      <c r="F81" s="120"/>
      <c r="G81" s="8">
        <f t="shared" si="8"/>
        <v>0</v>
      </c>
      <c r="H81" s="8">
        <f t="shared" si="8"/>
        <v>0</v>
      </c>
      <c r="I81" s="8">
        <f t="shared" si="8"/>
        <v>1</v>
      </c>
      <c r="J81" s="8">
        <f t="shared" si="8"/>
        <v>0</v>
      </c>
      <c r="K81" s="8">
        <f t="shared" si="8"/>
        <v>0</v>
      </c>
      <c r="L81" s="121"/>
    </row>
    <row r="82" spans="1:12" s="105" customFormat="1" x14ac:dyDescent="0.25">
      <c r="A82" s="5">
        <f t="shared" si="9"/>
        <v>2.007100000000015</v>
      </c>
      <c r="B82" s="77"/>
      <c r="C82" s="76" t="s">
        <v>894</v>
      </c>
      <c r="D82" s="156"/>
      <c r="E82" s="156"/>
      <c r="F82" s="120"/>
      <c r="G82" s="8">
        <f t="shared" si="8"/>
        <v>0</v>
      </c>
      <c r="H82" s="8">
        <f t="shared" si="8"/>
        <v>0</v>
      </c>
      <c r="I82" s="8">
        <f t="shared" si="8"/>
        <v>1</v>
      </c>
      <c r="J82" s="8">
        <f t="shared" si="8"/>
        <v>0</v>
      </c>
      <c r="K82" s="8">
        <f t="shared" si="8"/>
        <v>0</v>
      </c>
      <c r="L82" s="121"/>
    </row>
    <row r="83" spans="1:12" s="105" customFormat="1" x14ac:dyDescent="0.25">
      <c r="A83" s="5">
        <f t="shared" si="9"/>
        <v>2.0072000000000152</v>
      </c>
      <c r="B83" s="77"/>
      <c r="C83" s="76" t="s">
        <v>893</v>
      </c>
      <c r="D83" s="156"/>
      <c r="E83" s="156"/>
      <c r="F83" s="120"/>
      <c r="G83" s="8">
        <f t="shared" si="8"/>
        <v>0</v>
      </c>
      <c r="H83" s="8">
        <f t="shared" si="8"/>
        <v>0</v>
      </c>
      <c r="I83" s="8">
        <f t="shared" si="8"/>
        <v>1</v>
      </c>
      <c r="J83" s="8">
        <f t="shared" si="8"/>
        <v>0</v>
      </c>
      <c r="K83" s="8">
        <f t="shared" si="8"/>
        <v>0</v>
      </c>
      <c r="L83" s="121"/>
    </row>
    <row r="84" spans="1:12" s="105" customFormat="1" x14ac:dyDescent="0.25">
      <c r="A84" s="5">
        <f t="shared" si="9"/>
        <v>2.0073000000000154</v>
      </c>
      <c r="B84" s="76"/>
      <c r="C84" s="76" t="s">
        <v>892</v>
      </c>
      <c r="D84" s="156"/>
      <c r="E84" s="156"/>
      <c r="F84" s="120"/>
      <c r="G84" s="8">
        <f t="shared" si="8"/>
        <v>0</v>
      </c>
      <c r="H84" s="8">
        <f t="shared" si="8"/>
        <v>0</v>
      </c>
      <c r="I84" s="8">
        <f t="shared" si="8"/>
        <v>1</v>
      </c>
      <c r="J84" s="8">
        <f t="shared" si="8"/>
        <v>0</v>
      </c>
      <c r="K84" s="8">
        <f t="shared" si="8"/>
        <v>0</v>
      </c>
      <c r="L84" s="121"/>
    </row>
    <row r="85" spans="1:12" s="105" customFormat="1" x14ac:dyDescent="0.25">
      <c r="A85" s="5">
        <f t="shared" si="9"/>
        <v>2.0074000000000156</v>
      </c>
      <c r="B85" s="77"/>
      <c r="C85" s="76" t="s">
        <v>891</v>
      </c>
      <c r="D85" s="156"/>
      <c r="E85" s="156"/>
      <c r="F85" s="120"/>
      <c r="G85" s="8">
        <f t="shared" si="8"/>
        <v>0</v>
      </c>
      <c r="H85" s="8">
        <f t="shared" si="8"/>
        <v>0</v>
      </c>
      <c r="I85" s="8">
        <f t="shared" si="8"/>
        <v>1</v>
      </c>
      <c r="J85" s="8">
        <f t="shared" si="8"/>
        <v>0</v>
      </c>
      <c r="K85" s="8">
        <f t="shared" si="8"/>
        <v>0</v>
      </c>
      <c r="L85" s="121"/>
    </row>
    <row r="86" spans="1:12" s="105" customFormat="1" x14ac:dyDescent="0.25">
      <c r="A86" s="5">
        <f t="shared" si="9"/>
        <v>2.0075000000000158</v>
      </c>
      <c r="B86" s="77"/>
      <c r="C86" s="76" t="s">
        <v>890</v>
      </c>
      <c r="D86" s="156"/>
      <c r="E86" s="156"/>
      <c r="F86" s="120"/>
      <c r="G86" s="8">
        <f t="shared" si="8"/>
        <v>0</v>
      </c>
      <c r="H86" s="8">
        <f t="shared" si="8"/>
        <v>0</v>
      </c>
      <c r="I86" s="8">
        <f t="shared" si="8"/>
        <v>1</v>
      </c>
      <c r="J86" s="8">
        <f t="shared" si="8"/>
        <v>0</v>
      </c>
      <c r="K86" s="8">
        <f t="shared" si="8"/>
        <v>0</v>
      </c>
      <c r="L86" s="121"/>
    </row>
    <row r="87" spans="1:12" s="105" customFormat="1" x14ac:dyDescent="0.25">
      <c r="A87" s="5">
        <f t="shared" si="9"/>
        <v>2.007600000000016</v>
      </c>
      <c r="B87" s="77"/>
      <c r="C87" s="76"/>
      <c r="D87" s="156"/>
      <c r="E87" s="156"/>
      <c r="F87" s="120"/>
      <c r="G87" s="120"/>
      <c r="H87" s="120"/>
      <c r="I87" s="120"/>
      <c r="J87" s="120"/>
      <c r="K87" s="120"/>
      <c r="L87" s="121"/>
    </row>
    <row r="88" spans="1:12" x14ac:dyDescent="0.25">
      <c r="A88" s="5">
        <f t="shared" si="9"/>
        <v>2.0077000000000162</v>
      </c>
      <c r="B88" s="76"/>
      <c r="C88" s="76"/>
      <c r="D88" s="77"/>
      <c r="E88" s="77"/>
      <c r="F88" s="8"/>
      <c r="G88" s="8"/>
      <c r="H88" s="8"/>
      <c r="I88" s="8"/>
      <c r="J88" s="8"/>
      <c r="K88" s="8"/>
      <c r="L88" s="77"/>
    </row>
    <row r="89" spans="1:12" s="20" customFormat="1" x14ac:dyDescent="0.25">
      <c r="A89" s="5">
        <f t="shared" si="9"/>
        <v>2.0078000000000165</v>
      </c>
      <c r="B89" s="79" t="s">
        <v>1070</v>
      </c>
      <c r="C89" s="80"/>
      <c r="D89" s="79"/>
      <c r="E89" s="79"/>
      <c r="F89" s="19"/>
      <c r="G89" s="19"/>
      <c r="H89" s="19"/>
      <c r="I89" s="19"/>
      <c r="J89" s="19"/>
      <c r="K89" s="19"/>
      <c r="L89" s="79"/>
    </row>
    <row r="90" spans="1:12" ht="25.5" customHeight="1" x14ac:dyDescent="0.25">
      <c r="A90" s="5">
        <f t="shared" si="9"/>
        <v>2.0079000000000167</v>
      </c>
      <c r="B90" s="76" t="s">
        <v>1051</v>
      </c>
      <c r="C90" s="76" t="s">
        <v>833</v>
      </c>
      <c r="D90" s="77" t="s">
        <v>1071</v>
      </c>
      <c r="E90" s="77"/>
      <c r="F90" s="8" t="s">
        <v>7</v>
      </c>
      <c r="G90" s="8">
        <f t="shared" ref="G90:K95" si="10">IF($F90=G$1,1,0)</f>
        <v>0</v>
      </c>
      <c r="H90" s="8">
        <f t="shared" si="10"/>
        <v>0</v>
      </c>
      <c r="I90" s="8">
        <f t="shared" si="10"/>
        <v>0</v>
      </c>
      <c r="J90" s="8">
        <f t="shared" si="10"/>
        <v>1</v>
      </c>
      <c r="K90" s="8">
        <f t="shared" si="10"/>
        <v>0</v>
      </c>
      <c r="L90" s="77"/>
    </row>
    <row r="91" spans="1:12" x14ac:dyDescent="0.25">
      <c r="A91" s="5">
        <f t="shared" si="9"/>
        <v>2.0080000000000169</v>
      </c>
      <c r="B91" s="76" t="s">
        <v>834</v>
      </c>
      <c r="C91" s="76" t="s">
        <v>1052</v>
      </c>
      <c r="D91" s="77"/>
      <c r="E91" s="77"/>
      <c r="F91" s="8" t="s">
        <v>7</v>
      </c>
      <c r="G91" s="8">
        <f t="shared" si="10"/>
        <v>0</v>
      </c>
      <c r="H91" s="8">
        <f t="shared" si="10"/>
        <v>0</v>
      </c>
      <c r="I91" s="8">
        <f t="shared" si="10"/>
        <v>0</v>
      </c>
      <c r="J91" s="8">
        <f t="shared" si="10"/>
        <v>1</v>
      </c>
      <c r="K91" s="8">
        <f t="shared" si="10"/>
        <v>0</v>
      </c>
      <c r="L91" s="77"/>
    </row>
    <row r="92" spans="1:12" x14ac:dyDescent="0.25">
      <c r="A92" s="5">
        <f t="shared" si="9"/>
        <v>2.0081000000000171</v>
      </c>
      <c r="B92" s="76" t="s">
        <v>835</v>
      </c>
      <c r="C92" s="76" t="s">
        <v>837</v>
      </c>
      <c r="D92" s="77"/>
      <c r="E92" s="77"/>
      <c r="F92" s="8" t="s">
        <v>7</v>
      </c>
      <c r="G92" s="8">
        <f t="shared" si="10"/>
        <v>0</v>
      </c>
      <c r="H92" s="8">
        <f t="shared" si="10"/>
        <v>0</v>
      </c>
      <c r="I92" s="8">
        <f t="shared" si="10"/>
        <v>0</v>
      </c>
      <c r="J92" s="8">
        <f t="shared" si="10"/>
        <v>1</v>
      </c>
      <c r="K92" s="8">
        <f t="shared" si="10"/>
        <v>0</v>
      </c>
      <c r="L92" s="77"/>
    </row>
    <row r="93" spans="1:12" x14ac:dyDescent="0.25">
      <c r="A93" s="5">
        <f t="shared" si="9"/>
        <v>2.0082000000000173</v>
      </c>
      <c r="B93" s="76" t="s">
        <v>1053</v>
      </c>
      <c r="C93" s="76" t="s">
        <v>833</v>
      </c>
      <c r="D93" s="77"/>
      <c r="E93" s="77"/>
      <c r="F93" s="8"/>
      <c r="G93" s="8">
        <f t="shared" si="10"/>
        <v>0</v>
      </c>
      <c r="H93" s="8">
        <f t="shared" si="10"/>
        <v>0</v>
      </c>
      <c r="I93" s="8">
        <f t="shared" si="10"/>
        <v>1</v>
      </c>
      <c r="J93" s="8">
        <f t="shared" si="10"/>
        <v>0</v>
      </c>
      <c r="K93" s="8">
        <f t="shared" si="10"/>
        <v>0</v>
      </c>
      <c r="L93" s="77"/>
    </row>
    <row r="94" spans="1:12" x14ac:dyDescent="0.25">
      <c r="A94" s="5">
        <f t="shared" si="9"/>
        <v>2.0083000000000175</v>
      </c>
      <c r="B94" s="76" t="s">
        <v>834</v>
      </c>
      <c r="C94" s="76" t="s">
        <v>1054</v>
      </c>
      <c r="D94" s="77"/>
      <c r="E94" s="77"/>
      <c r="F94" s="8"/>
      <c r="G94" s="8">
        <f t="shared" si="10"/>
        <v>0</v>
      </c>
      <c r="H94" s="8">
        <f t="shared" si="10"/>
        <v>0</v>
      </c>
      <c r="I94" s="8">
        <f t="shared" si="10"/>
        <v>1</v>
      </c>
      <c r="J94" s="8">
        <f t="shared" si="10"/>
        <v>0</v>
      </c>
      <c r="K94" s="8">
        <f t="shared" si="10"/>
        <v>0</v>
      </c>
      <c r="L94" s="77"/>
    </row>
    <row r="95" spans="1:12" x14ac:dyDescent="0.25">
      <c r="A95" s="5">
        <f t="shared" si="9"/>
        <v>2.0084000000000177</v>
      </c>
      <c r="B95" s="76" t="s">
        <v>835</v>
      </c>
      <c r="C95" s="76" t="s">
        <v>837</v>
      </c>
      <c r="D95" s="77"/>
      <c r="E95" s="77"/>
      <c r="F95" s="8"/>
      <c r="G95" s="8">
        <f t="shared" si="10"/>
        <v>0</v>
      </c>
      <c r="H95" s="8">
        <f t="shared" si="10"/>
        <v>0</v>
      </c>
      <c r="I95" s="8">
        <f t="shared" si="10"/>
        <v>1</v>
      </c>
      <c r="J95" s="8">
        <f t="shared" si="10"/>
        <v>0</v>
      </c>
      <c r="K95" s="8">
        <f t="shared" si="10"/>
        <v>0</v>
      </c>
      <c r="L95" s="77"/>
    </row>
    <row r="96" spans="1:12" x14ac:dyDescent="0.25">
      <c r="A96" s="5">
        <f t="shared" si="9"/>
        <v>2.0085000000000179</v>
      </c>
      <c r="B96" s="116" t="s">
        <v>1064</v>
      </c>
      <c r="C96" s="117" t="s">
        <v>1065</v>
      </c>
      <c r="D96" s="116"/>
      <c r="E96" s="79"/>
      <c r="F96" s="19"/>
      <c r="G96" s="19"/>
      <c r="H96" s="19"/>
      <c r="I96" s="19"/>
      <c r="J96" s="19"/>
      <c r="K96" s="19"/>
      <c r="L96" s="79"/>
    </row>
    <row r="97" spans="1:12" ht="51" x14ac:dyDescent="0.25">
      <c r="A97" s="5">
        <f t="shared" si="9"/>
        <v>2.0086000000000181</v>
      </c>
      <c r="B97" s="113" t="s">
        <v>1091</v>
      </c>
      <c r="C97" s="114" t="s">
        <v>1173</v>
      </c>
      <c r="D97" s="77" t="s">
        <v>1090</v>
      </c>
      <c r="E97" s="110"/>
      <c r="F97" s="8" t="s">
        <v>8</v>
      </c>
      <c r="G97" s="8">
        <f t="shared" ref="G97:J98" si="11">IF($F97=G$1,1,0)</f>
        <v>0</v>
      </c>
      <c r="H97" s="8">
        <f t="shared" si="11"/>
        <v>0</v>
      </c>
      <c r="I97" s="8">
        <f t="shared" si="11"/>
        <v>0</v>
      </c>
      <c r="J97" s="8">
        <f t="shared" si="11"/>
        <v>0</v>
      </c>
      <c r="K97" s="88"/>
      <c r="L97" s="85"/>
    </row>
    <row r="98" spans="1:12" x14ac:dyDescent="0.25">
      <c r="A98" s="5">
        <f t="shared" si="9"/>
        <v>2.0087000000000184</v>
      </c>
      <c r="B98" s="76"/>
      <c r="C98" s="76" t="s">
        <v>1174</v>
      </c>
      <c r="D98" s="77"/>
      <c r="E98" s="77"/>
      <c r="F98" s="8" t="s">
        <v>8</v>
      </c>
      <c r="G98" s="8">
        <f t="shared" si="11"/>
        <v>0</v>
      </c>
      <c r="H98" s="8">
        <f t="shared" si="11"/>
        <v>0</v>
      </c>
      <c r="I98" s="8">
        <f t="shared" si="11"/>
        <v>0</v>
      </c>
      <c r="J98" s="8">
        <f t="shared" si="11"/>
        <v>0</v>
      </c>
      <c r="K98" s="88"/>
      <c r="L98" s="85"/>
    </row>
    <row r="99" spans="1:12" ht="15.75" thickBot="1" x14ac:dyDescent="0.3">
      <c r="A99" s="97"/>
      <c r="B99" s="87"/>
      <c r="C99" s="86"/>
      <c r="D99" s="87"/>
      <c r="E99" s="87"/>
      <c r="F99" s="87"/>
      <c r="G99" s="2">
        <f>SUM(G4:G95)</f>
        <v>0</v>
      </c>
      <c r="H99" s="2">
        <f t="shared" ref="H99:K99" si="12">SUM(H4:H95)</f>
        <v>0</v>
      </c>
      <c r="I99" s="2">
        <f t="shared" si="12"/>
        <v>71</v>
      </c>
      <c r="J99" s="2">
        <f t="shared" si="12"/>
        <v>6</v>
      </c>
      <c r="K99" s="2">
        <f t="shared" si="12"/>
        <v>0</v>
      </c>
    </row>
    <row r="100" spans="1:12" ht="15.75" thickTop="1" x14ac:dyDescent="0.25"/>
  </sheetData>
  <mergeCells count="1">
    <mergeCell ref="B2:C2"/>
  </mergeCells>
  <conditionalFormatting sqref="A3:K3 C4:F4 E14:E16 B14:C16 L14:L16 L88 A4:A10 L3:L10 B10 D21:E29 G33:L34 D35:E55 B88:C88 F90:F92 A99:L118 F97:F98 D5:F10 G55:L56 G29:L30 F12:F88 B33:E33 A13:A98 L21:L28 L31:L32 L35:L54 G59:L60 L57:L58 G68:L68 L61:L67 G71:L72 L69:L70 K87:L87 L73:L86 G87:J88">
    <cfRule type="expression" dxfId="99" priority="99">
      <formula>$F3="Fail"</formula>
    </cfRule>
  </conditionalFormatting>
  <conditionalFormatting sqref="A11 B17:C17 A12:E12 D19:E20 C11:K11 B13:E13 E18">
    <cfRule type="expression" dxfId="98" priority="98">
      <formula>$F11="Fail"</formula>
    </cfRule>
  </conditionalFormatting>
  <conditionalFormatting sqref="B88:E88 K88">
    <cfRule type="expression" dxfId="97" priority="97">
      <formula>$F88="Fail"</formula>
    </cfRule>
  </conditionalFormatting>
  <conditionalFormatting sqref="B17:E17">
    <cfRule type="expression" dxfId="96" priority="95">
      <formula>$F17="Fail"</formula>
    </cfRule>
  </conditionalFormatting>
  <conditionalFormatting sqref="L18:L20 L11:L13">
    <cfRule type="expression" dxfId="95" priority="94">
      <formula>$F11="Fail"</formula>
    </cfRule>
  </conditionalFormatting>
  <conditionalFormatting sqref="L17">
    <cfRule type="expression" dxfId="94" priority="93">
      <formula>$F17="Fail"</formula>
    </cfRule>
  </conditionalFormatting>
  <conditionalFormatting sqref="B10">
    <cfRule type="expression" dxfId="93" priority="92">
      <formula>$F10="Fail"</formula>
    </cfRule>
  </conditionalFormatting>
  <conditionalFormatting sqref="B4">
    <cfRule type="expression" dxfId="92" priority="91">
      <formula>$F4="Fail"</formula>
    </cfRule>
  </conditionalFormatting>
  <conditionalFormatting sqref="B5:C9">
    <cfRule type="expression" dxfId="91" priority="90">
      <formula>$F5="Fail"</formula>
    </cfRule>
  </conditionalFormatting>
  <conditionalFormatting sqref="B10">
    <cfRule type="expression" dxfId="90" priority="89">
      <formula>$F10="Fail"</formula>
    </cfRule>
  </conditionalFormatting>
  <conditionalFormatting sqref="C10">
    <cfRule type="expression" dxfId="89" priority="88">
      <formula>$F10="Fail"</formula>
    </cfRule>
  </conditionalFormatting>
  <conditionalFormatting sqref="B11">
    <cfRule type="expression" dxfId="88" priority="87">
      <formula>$F11="Fail"</formula>
    </cfRule>
  </conditionalFormatting>
  <conditionalFormatting sqref="B96:D96 B97:C97 E97">
    <cfRule type="expression" dxfId="87" priority="64">
      <formula>$F96="Fail"</formula>
    </cfRule>
  </conditionalFormatting>
  <conditionalFormatting sqref="C98">
    <cfRule type="expression" dxfId="86" priority="63">
      <formula>$F98="Fail"</formula>
    </cfRule>
  </conditionalFormatting>
  <conditionalFormatting sqref="D97">
    <cfRule type="expression" dxfId="85" priority="61">
      <formula>$F97="Fail"</formula>
    </cfRule>
  </conditionalFormatting>
  <conditionalFormatting sqref="F93:F95">
    <cfRule type="expression" dxfId="84" priority="54">
      <formula>$F93="Fail"</formula>
    </cfRule>
  </conditionalFormatting>
  <conditionalFormatting sqref="B44">
    <cfRule type="expression" dxfId="83" priority="48">
      <formula>$F44="Fail"</formula>
    </cfRule>
  </conditionalFormatting>
  <conditionalFormatting sqref="C42:C45">
    <cfRule type="expression" dxfId="82" priority="45">
      <formula>$F42="Fail"</formula>
    </cfRule>
  </conditionalFormatting>
  <conditionalFormatting sqref="B49:C55">
    <cfRule type="expression" dxfId="81" priority="53">
      <formula>$F49="Fail"</formula>
    </cfRule>
  </conditionalFormatting>
  <conditionalFormatting sqref="B37:B39">
    <cfRule type="expression" dxfId="80" priority="52">
      <formula>$F37="Fail"</formula>
    </cfRule>
  </conditionalFormatting>
  <conditionalFormatting sqref="B40:B44 B35:B36">
    <cfRule type="expression" dxfId="79" priority="51">
      <formula>$F35="Fail"</formula>
    </cfRule>
  </conditionalFormatting>
  <conditionalFormatting sqref="B46:C50 B42:B45">
    <cfRule type="expression" dxfId="78" priority="50">
      <formula>$F42="Fail"</formula>
    </cfRule>
  </conditionalFormatting>
  <conditionalFormatting sqref="B40">
    <cfRule type="expression" dxfId="77" priority="49">
      <formula>$F40="Fail"</formula>
    </cfRule>
  </conditionalFormatting>
  <conditionalFormatting sqref="C38:C39">
    <cfRule type="expression" dxfId="76" priority="47">
      <formula>$F38="Fail"</formula>
    </cfRule>
  </conditionalFormatting>
  <conditionalFormatting sqref="C40:C44 C35:C36">
    <cfRule type="expression" dxfId="75" priority="46">
      <formula>$F35="Fail"</formula>
    </cfRule>
  </conditionalFormatting>
  <conditionalFormatting sqref="C37">
    <cfRule type="expression" dxfId="74" priority="42">
      <formula>$F37="Fail"</formula>
    </cfRule>
  </conditionalFormatting>
  <conditionalFormatting sqref="C40">
    <cfRule type="expression" dxfId="73" priority="44">
      <formula>$F40="Fail"</formula>
    </cfRule>
  </conditionalFormatting>
  <conditionalFormatting sqref="C44">
    <cfRule type="expression" dxfId="72" priority="43">
      <formula>$F44="Fail"</formula>
    </cfRule>
  </conditionalFormatting>
  <conditionalFormatting sqref="B18">
    <cfRule type="expression" dxfId="71" priority="36">
      <formula>$F18="Fail"</formula>
    </cfRule>
  </conditionalFormatting>
  <conditionalFormatting sqref="C18:C19">
    <cfRule type="expression" dxfId="70" priority="34">
      <formula>$F18="Fail"</formula>
    </cfRule>
  </conditionalFormatting>
  <conditionalFormatting sqref="B23:C29">
    <cfRule type="expression" dxfId="69" priority="39">
      <formula>$F23="Fail"</formula>
    </cfRule>
  </conditionalFormatting>
  <conditionalFormatting sqref="B18">
    <cfRule type="expression" dxfId="68" priority="38">
      <formula>$F18="Fail"</formula>
    </cfRule>
  </conditionalFormatting>
  <conditionalFormatting sqref="B20:C24 B18:B19">
    <cfRule type="expression" dxfId="67" priority="37">
      <formula>$F18="Fail"</formula>
    </cfRule>
  </conditionalFormatting>
  <conditionalFormatting sqref="C18">
    <cfRule type="expression" dxfId="66" priority="35">
      <formula>$F18="Fail"</formula>
    </cfRule>
  </conditionalFormatting>
  <conditionalFormatting sqref="C18">
    <cfRule type="expression" dxfId="65" priority="33">
      <formula>$F18="Fail"</formula>
    </cfRule>
  </conditionalFormatting>
  <conditionalFormatting sqref="D34:E34">
    <cfRule type="expression" dxfId="64" priority="32">
      <formula>$F34="Fail"</formula>
    </cfRule>
  </conditionalFormatting>
  <conditionalFormatting sqref="B34">
    <cfRule type="expression" dxfId="63" priority="31">
      <formula>$F34="Fail"</formula>
    </cfRule>
  </conditionalFormatting>
  <conditionalFormatting sqref="C34">
    <cfRule type="expression" dxfId="62" priority="30">
      <formula>$F34="Fail"</formula>
    </cfRule>
  </conditionalFormatting>
  <conditionalFormatting sqref="B57:C57">
    <cfRule type="expression" dxfId="61" priority="29">
      <formula>$F57="Fail"</formula>
    </cfRule>
  </conditionalFormatting>
  <conditionalFormatting sqref="B57:C57">
    <cfRule type="expression" dxfId="60" priority="28">
      <formula>$F57="Fail"</formula>
    </cfRule>
  </conditionalFormatting>
  <conditionalFormatting sqref="B58:C59">
    <cfRule type="expression" dxfId="59" priority="27">
      <formula>$F58="Fail"</formula>
    </cfRule>
  </conditionalFormatting>
  <conditionalFormatting sqref="B58:C59">
    <cfRule type="expression" dxfId="58" priority="26">
      <formula>$F58="Fail"</formula>
    </cfRule>
  </conditionalFormatting>
  <conditionalFormatting sqref="B30:C30">
    <cfRule type="expression" dxfId="57" priority="25">
      <formula>$F30="Fail"</formula>
    </cfRule>
  </conditionalFormatting>
  <conditionalFormatting sqref="B30:C30">
    <cfRule type="expression" dxfId="56" priority="24">
      <formula>$F30="Fail"</formula>
    </cfRule>
  </conditionalFormatting>
  <conditionalFormatting sqref="G35:K54">
    <cfRule type="expression" dxfId="55" priority="7">
      <formula>$F35="Fail"</formula>
    </cfRule>
  </conditionalFormatting>
  <conditionalFormatting sqref="G57:K58">
    <cfRule type="expression" dxfId="54" priority="6">
      <formula>$F57="Fail"</formula>
    </cfRule>
  </conditionalFormatting>
  <conditionalFormatting sqref="B61:C87">
    <cfRule type="expression" dxfId="53" priority="21">
      <formula>$F61="Fail"</formula>
    </cfRule>
  </conditionalFormatting>
  <conditionalFormatting sqref="B84:C84">
    <cfRule type="expression" dxfId="52" priority="20">
      <formula>$F84="Fail"</formula>
    </cfRule>
  </conditionalFormatting>
  <conditionalFormatting sqref="B60">
    <cfRule type="expression" dxfId="51" priority="19">
      <formula>$F60="Fail"</formula>
    </cfRule>
  </conditionalFormatting>
  <conditionalFormatting sqref="C60">
    <cfRule type="expression" dxfId="50" priority="18">
      <formula>$F60="Fail"</formula>
    </cfRule>
  </conditionalFormatting>
  <conditionalFormatting sqref="C56">
    <cfRule type="expression" dxfId="49" priority="17">
      <formula>$F56="Fail"</formula>
    </cfRule>
  </conditionalFormatting>
  <conditionalFormatting sqref="B31:C31">
    <cfRule type="expression" dxfId="48" priority="16">
      <formula>$F31="Fail"</formula>
    </cfRule>
  </conditionalFormatting>
  <conditionalFormatting sqref="B31:C31">
    <cfRule type="expression" dxfId="47" priority="15">
      <formula>$F31="Fail"</formula>
    </cfRule>
  </conditionalFormatting>
  <conditionalFormatting sqref="B32:C32">
    <cfRule type="expression" dxfId="46" priority="14">
      <formula>$F32="Fail"</formula>
    </cfRule>
  </conditionalFormatting>
  <conditionalFormatting sqref="B32:C32">
    <cfRule type="expression" dxfId="45" priority="13">
      <formula>$F32="Fail"</formula>
    </cfRule>
  </conditionalFormatting>
  <conditionalFormatting sqref="B56">
    <cfRule type="expression" dxfId="44" priority="12">
      <formula>$F56="Fail"</formula>
    </cfRule>
  </conditionalFormatting>
  <conditionalFormatting sqref="B56">
    <cfRule type="expression" dxfId="43" priority="11">
      <formula>$F56="Fail"</formula>
    </cfRule>
  </conditionalFormatting>
  <conditionalFormatting sqref="G4:K10">
    <cfRule type="expression" dxfId="42" priority="10">
      <formula>$F4="Fail"</formula>
    </cfRule>
  </conditionalFormatting>
  <conditionalFormatting sqref="G12:K28">
    <cfRule type="expression" dxfId="41" priority="9">
      <formula>$F12="Fail"</formula>
    </cfRule>
  </conditionalFormatting>
  <conditionalFormatting sqref="G31:K32">
    <cfRule type="expression" dxfId="40" priority="8">
      <formula>$F31="Fail"</formula>
    </cfRule>
  </conditionalFormatting>
  <conditionalFormatting sqref="G61:K65">
    <cfRule type="expression" dxfId="39" priority="5">
      <formula>$F61="Fail"</formula>
    </cfRule>
  </conditionalFormatting>
  <conditionalFormatting sqref="G66:K67">
    <cfRule type="expression" dxfId="38" priority="4">
      <formula>$F66="Fail"</formula>
    </cfRule>
  </conditionalFormatting>
  <conditionalFormatting sqref="G69:K70">
    <cfRule type="expression" dxfId="37" priority="3">
      <formula>$F69="Fail"</formula>
    </cfRule>
  </conditionalFormatting>
  <conditionalFormatting sqref="G73:K86">
    <cfRule type="expression" dxfId="36" priority="2">
      <formula>$F73="Fail"</formula>
    </cfRule>
  </conditionalFormatting>
  <conditionalFormatting sqref="G90:K95">
    <cfRule type="expression" dxfId="35" priority="1">
      <formula>$F90="Fail"</formula>
    </cfRule>
  </conditionalFormatting>
  <dataValidations count="1">
    <dataValidation type="list" allowBlank="1" showInputMessage="1" showErrorMessage="1" sqref="F3:F98">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6" id="{E9025EEE-B779-4996-B452-2B85D4565532}">
            <xm:f>External!$F108="Fail"</xm:f>
            <x14:dxf>
              <font>
                <color rgb="FFFF0000"/>
              </font>
              <fill>
                <patternFill>
                  <bgColor theme="9" tint="0.59996337778862885"/>
                </patternFill>
              </fill>
            </x14:dxf>
          </x14:cfRule>
          <xm:sqref>B98 D98:E98 G98:L98</xm:sqref>
        </x14:conditionalFormatting>
        <x14:conditionalFormatting xmlns:xm="http://schemas.microsoft.com/office/excel/2006/main">
          <x14:cfRule type="expression" priority="100" id="{8B448612-4FE3-434E-9C51-2826EC7A7687}">
            <xm:f>External!$F98="Fail"</xm:f>
            <x14:dxf>
              <font>
                <color rgb="FFFF0000"/>
              </font>
              <fill>
                <patternFill>
                  <bgColor theme="9" tint="0.59996337778862885"/>
                </patternFill>
              </fill>
            </x14:dxf>
          </x14:cfRule>
          <xm:sqref>B90:E95 L90:L95 E96:L96 G97:L97 B89:L89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66"/>
  <sheetViews>
    <sheetView zoomScaleNormal="100" workbookViewId="0">
      <pane ySplit="1" topLeftCell="A2" activePane="bottomLeft" state="frozen"/>
      <selection activeCell="C11" sqref="C11"/>
      <selection pane="bottomLeft" activeCell="F1" sqref="F1:F1048576"/>
    </sheetView>
  </sheetViews>
  <sheetFormatPr defaultRowHeight="15" x14ac:dyDescent="0.25"/>
  <cols>
    <col min="1" max="1" width="11.28515625" style="4" bestFit="1" customWidth="1"/>
    <col min="2" max="2" width="63.7109375" style="1" customWidth="1"/>
    <col min="3" max="3" width="57.7109375" style="1" bestFit="1" customWidth="1"/>
    <col min="4" max="4" width="22.42578125" style="1" customWidth="1"/>
    <col min="5" max="5" width="10.1406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13</v>
      </c>
    </row>
    <row r="2" spans="1:12" s="105" customFormat="1" ht="30" customHeight="1" x14ac:dyDescent="0.25">
      <c r="A2" s="109"/>
      <c r="B2" s="179" t="s">
        <v>1168</v>
      </c>
      <c r="C2" s="180"/>
      <c r="D2" s="118" t="s">
        <v>1171</v>
      </c>
      <c r="E2" s="104"/>
      <c r="F2" s="103"/>
      <c r="G2" s="104"/>
      <c r="H2" s="104"/>
      <c r="I2" s="104"/>
      <c r="J2" s="104"/>
      <c r="K2" s="104"/>
      <c r="L2" s="104"/>
    </row>
    <row r="3" spans="1:12" s="20" customFormat="1" x14ac:dyDescent="0.25">
      <c r="A3" s="16">
        <v>1</v>
      </c>
      <c r="B3" s="79" t="s">
        <v>798</v>
      </c>
      <c r="C3" s="80"/>
      <c r="D3" s="79"/>
      <c r="E3" s="79"/>
      <c r="F3" s="19"/>
      <c r="G3" s="19"/>
      <c r="H3" s="19"/>
      <c r="I3" s="19"/>
      <c r="J3" s="19"/>
      <c r="K3" s="19"/>
      <c r="L3" s="79"/>
    </row>
    <row r="4" spans="1:12" x14ac:dyDescent="0.25">
      <c r="A4" s="5">
        <v>1.0001</v>
      </c>
      <c r="B4" s="76" t="s">
        <v>1169</v>
      </c>
      <c r="C4" s="78"/>
      <c r="D4" s="77"/>
      <c r="E4" s="76"/>
      <c r="F4" s="8"/>
      <c r="G4" s="8">
        <f t="shared" ref="G4:K10" si="0">IF($F4=G$1,1,0)</f>
        <v>0</v>
      </c>
      <c r="H4" s="8">
        <f t="shared" si="0"/>
        <v>0</v>
      </c>
      <c r="I4" s="8">
        <f t="shared" si="0"/>
        <v>1</v>
      </c>
      <c r="J4" s="8">
        <f t="shared" si="0"/>
        <v>0</v>
      </c>
      <c r="K4" s="8">
        <f t="shared" si="0"/>
        <v>0</v>
      </c>
      <c r="L4" s="77"/>
    </row>
    <row r="5" spans="1:12" ht="25.5" x14ac:dyDescent="0.25">
      <c r="A5" s="5">
        <v>1.0002</v>
      </c>
      <c r="B5" s="82" t="s">
        <v>780</v>
      </c>
      <c r="C5" s="78" t="s">
        <v>781</v>
      </c>
      <c r="D5" s="77"/>
      <c r="E5" s="76"/>
      <c r="F5" s="8"/>
      <c r="G5" s="8">
        <f t="shared" si="0"/>
        <v>0</v>
      </c>
      <c r="H5" s="8">
        <f t="shared" si="0"/>
        <v>0</v>
      </c>
      <c r="I5" s="8">
        <f t="shared" si="0"/>
        <v>1</v>
      </c>
      <c r="J5" s="8">
        <f t="shared" si="0"/>
        <v>0</v>
      </c>
      <c r="K5" s="8">
        <f t="shared" si="0"/>
        <v>0</v>
      </c>
      <c r="L5" s="77"/>
    </row>
    <row r="6" spans="1:12" ht="25.5" x14ac:dyDescent="0.25">
      <c r="A6" s="5">
        <v>1.0003</v>
      </c>
      <c r="B6" s="82" t="s">
        <v>783</v>
      </c>
      <c r="C6" s="78" t="s">
        <v>784</v>
      </c>
      <c r="D6" s="77"/>
      <c r="E6" s="76"/>
      <c r="F6" s="8"/>
      <c r="G6" s="8">
        <f t="shared" si="0"/>
        <v>0</v>
      </c>
      <c r="H6" s="8">
        <f t="shared" si="0"/>
        <v>0</v>
      </c>
      <c r="I6" s="8">
        <f t="shared" si="0"/>
        <v>1</v>
      </c>
      <c r="J6" s="8">
        <f t="shared" si="0"/>
        <v>0</v>
      </c>
      <c r="K6" s="8">
        <f t="shared" si="0"/>
        <v>0</v>
      </c>
      <c r="L6" s="77"/>
    </row>
    <row r="7" spans="1:12" x14ac:dyDescent="0.25">
      <c r="A7" s="5">
        <v>1.0004</v>
      </c>
      <c r="B7" s="76"/>
      <c r="C7" s="78" t="s">
        <v>782</v>
      </c>
      <c r="D7" s="77"/>
      <c r="E7" s="76"/>
      <c r="F7" s="8"/>
      <c r="G7" s="8">
        <f t="shared" si="0"/>
        <v>0</v>
      </c>
      <c r="H7" s="8">
        <f t="shared" si="0"/>
        <v>0</v>
      </c>
      <c r="I7" s="8">
        <f t="shared" si="0"/>
        <v>1</v>
      </c>
      <c r="J7" s="8">
        <f t="shared" si="0"/>
        <v>0</v>
      </c>
      <c r="K7" s="8">
        <f t="shared" si="0"/>
        <v>0</v>
      </c>
      <c r="L7" s="77"/>
    </row>
    <row r="8" spans="1:12" ht="25.5" x14ac:dyDescent="0.25">
      <c r="A8" s="5">
        <v>1.0004999999999999</v>
      </c>
      <c r="B8" s="76"/>
      <c r="C8" s="78" t="s">
        <v>787</v>
      </c>
      <c r="D8" s="77"/>
      <c r="E8" s="76"/>
      <c r="F8" s="8" t="s">
        <v>7</v>
      </c>
      <c r="G8" s="8">
        <f t="shared" si="0"/>
        <v>0</v>
      </c>
      <c r="H8" s="8">
        <f t="shared" si="0"/>
        <v>0</v>
      </c>
      <c r="I8" s="8">
        <f t="shared" si="0"/>
        <v>0</v>
      </c>
      <c r="J8" s="8">
        <f t="shared" si="0"/>
        <v>1</v>
      </c>
      <c r="K8" s="8">
        <f t="shared" si="0"/>
        <v>0</v>
      </c>
      <c r="L8" s="77"/>
    </row>
    <row r="9" spans="1:12" x14ac:dyDescent="0.25">
      <c r="A9" s="5">
        <v>1.0005999999999999</v>
      </c>
      <c r="B9" s="76" t="s">
        <v>786</v>
      </c>
      <c r="C9" s="78"/>
      <c r="D9" s="77"/>
      <c r="E9" s="76"/>
      <c r="F9" s="8" t="s">
        <v>7</v>
      </c>
      <c r="G9" s="8">
        <f t="shared" si="0"/>
        <v>0</v>
      </c>
      <c r="H9" s="8">
        <f t="shared" si="0"/>
        <v>0</v>
      </c>
      <c r="I9" s="8">
        <f t="shared" si="0"/>
        <v>0</v>
      </c>
      <c r="J9" s="8">
        <f t="shared" si="0"/>
        <v>1</v>
      </c>
      <c r="K9" s="8">
        <f t="shared" si="0"/>
        <v>0</v>
      </c>
      <c r="L9" s="77"/>
    </row>
    <row r="10" spans="1:12" x14ac:dyDescent="0.25">
      <c r="A10" s="5">
        <v>1.0006999999999999</v>
      </c>
      <c r="B10" s="76" t="s">
        <v>790</v>
      </c>
      <c r="C10" s="78"/>
      <c r="D10" s="77"/>
      <c r="E10" s="77"/>
      <c r="F10" s="8" t="s">
        <v>7</v>
      </c>
      <c r="G10" s="8">
        <f t="shared" si="0"/>
        <v>0</v>
      </c>
      <c r="H10" s="8">
        <f t="shared" si="0"/>
        <v>0</v>
      </c>
      <c r="I10" s="8">
        <f t="shared" si="0"/>
        <v>0</v>
      </c>
      <c r="J10" s="8">
        <f t="shared" si="0"/>
        <v>1</v>
      </c>
      <c r="K10" s="8">
        <f t="shared" si="0"/>
        <v>0</v>
      </c>
      <c r="L10" s="77"/>
    </row>
    <row r="11" spans="1:12" s="20" customFormat="1" x14ac:dyDescent="0.25">
      <c r="A11" s="16">
        <v>2</v>
      </c>
      <c r="B11" s="79" t="s">
        <v>800</v>
      </c>
      <c r="C11" s="80" t="s">
        <v>1149</v>
      </c>
      <c r="D11" s="79"/>
      <c r="E11" s="79"/>
      <c r="F11" s="19"/>
      <c r="G11" s="19"/>
      <c r="H11" s="19"/>
      <c r="I11" s="19"/>
      <c r="J11" s="19"/>
      <c r="K11" s="19"/>
      <c r="L11" s="79"/>
    </row>
    <row r="12" spans="1:12" ht="27" customHeight="1" x14ac:dyDescent="0.25">
      <c r="A12" s="5">
        <f t="shared" ref="A12:A64" si="1">A11+0.0001</f>
        <v>2.0001000000000002</v>
      </c>
      <c r="B12" s="82" t="s">
        <v>757</v>
      </c>
      <c r="C12" s="78" t="s">
        <v>758</v>
      </c>
      <c r="D12" s="77"/>
      <c r="E12" s="76"/>
      <c r="F12" s="8"/>
      <c r="G12" s="8">
        <f t="shared" ref="G12:K28" si="2">IF($F12=G$1,1,0)</f>
        <v>0</v>
      </c>
      <c r="H12" s="8">
        <f t="shared" si="2"/>
        <v>0</v>
      </c>
      <c r="I12" s="8">
        <f t="shared" si="2"/>
        <v>1</v>
      </c>
      <c r="J12" s="8">
        <f t="shared" si="2"/>
        <v>0</v>
      </c>
      <c r="K12" s="8">
        <f t="shared" si="2"/>
        <v>0</v>
      </c>
      <c r="L12" s="77"/>
    </row>
    <row r="13" spans="1:12" ht="24.75" customHeight="1" x14ac:dyDescent="0.25">
      <c r="A13" s="5">
        <f t="shared" si="1"/>
        <v>2.0002000000000004</v>
      </c>
      <c r="B13" s="76" t="s">
        <v>759</v>
      </c>
      <c r="C13" s="78" t="s">
        <v>760</v>
      </c>
      <c r="D13" s="77"/>
      <c r="E13" s="76"/>
      <c r="F13" s="8"/>
      <c r="G13" s="8">
        <f t="shared" si="2"/>
        <v>0</v>
      </c>
      <c r="H13" s="8">
        <f t="shared" si="2"/>
        <v>0</v>
      </c>
      <c r="I13" s="8">
        <f t="shared" si="2"/>
        <v>1</v>
      </c>
      <c r="J13" s="8">
        <f t="shared" si="2"/>
        <v>0</v>
      </c>
      <c r="K13" s="8">
        <f t="shared" si="2"/>
        <v>0</v>
      </c>
      <c r="L13" s="77"/>
    </row>
    <row r="14" spans="1:12" x14ac:dyDescent="0.25">
      <c r="A14" s="5">
        <f t="shared" si="1"/>
        <v>2.0003000000000006</v>
      </c>
      <c r="B14" s="76" t="s">
        <v>801</v>
      </c>
      <c r="C14" s="78" t="s">
        <v>1055</v>
      </c>
      <c r="D14" s="8"/>
      <c r="E14" s="76"/>
      <c r="F14" s="8"/>
      <c r="G14" s="8">
        <f t="shared" si="2"/>
        <v>0</v>
      </c>
      <c r="H14" s="8">
        <f t="shared" si="2"/>
        <v>0</v>
      </c>
      <c r="I14" s="8">
        <f t="shared" si="2"/>
        <v>1</v>
      </c>
      <c r="J14" s="8">
        <f t="shared" si="2"/>
        <v>0</v>
      </c>
      <c r="K14" s="8">
        <f t="shared" si="2"/>
        <v>0</v>
      </c>
      <c r="L14" s="77"/>
    </row>
    <row r="15" spans="1:12" x14ac:dyDescent="0.25">
      <c r="A15" s="5">
        <f t="shared" si="1"/>
        <v>2.0004000000000008</v>
      </c>
      <c r="B15" s="76" t="s">
        <v>1027</v>
      </c>
      <c r="C15" s="78" t="s">
        <v>1057</v>
      </c>
      <c r="D15" s="8"/>
      <c r="E15" s="76"/>
      <c r="F15" s="8"/>
      <c r="G15" s="8">
        <f t="shared" si="2"/>
        <v>0</v>
      </c>
      <c r="H15" s="8">
        <f t="shared" si="2"/>
        <v>0</v>
      </c>
      <c r="I15" s="8">
        <f t="shared" si="2"/>
        <v>1</v>
      </c>
      <c r="J15" s="8">
        <f t="shared" si="2"/>
        <v>0</v>
      </c>
      <c r="K15" s="8">
        <f t="shared" si="2"/>
        <v>0</v>
      </c>
      <c r="L15" s="77"/>
    </row>
    <row r="16" spans="1:12" x14ac:dyDescent="0.25">
      <c r="A16" s="5">
        <f t="shared" si="1"/>
        <v>2.0005000000000011</v>
      </c>
      <c r="B16" s="76"/>
      <c r="C16" s="78" t="s">
        <v>1056</v>
      </c>
      <c r="D16" s="8"/>
      <c r="E16" s="76"/>
      <c r="F16" s="8"/>
      <c r="G16" s="8">
        <f t="shared" si="2"/>
        <v>0</v>
      </c>
      <c r="H16" s="8">
        <f t="shared" si="2"/>
        <v>0</v>
      </c>
      <c r="I16" s="8">
        <f t="shared" si="2"/>
        <v>1</v>
      </c>
      <c r="J16" s="8">
        <f t="shared" si="2"/>
        <v>0</v>
      </c>
      <c r="K16" s="8">
        <f t="shared" si="2"/>
        <v>0</v>
      </c>
      <c r="L16" s="77"/>
    </row>
    <row r="17" spans="1:12" x14ac:dyDescent="0.25">
      <c r="A17" s="5">
        <f t="shared" si="1"/>
        <v>2.0006000000000013</v>
      </c>
      <c r="B17" s="76"/>
      <c r="C17" s="78" t="s">
        <v>1088</v>
      </c>
      <c r="D17" s="77"/>
      <c r="E17" s="76"/>
      <c r="F17" s="8"/>
      <c r="G17" s="8">
        <f t="shared" si="2"/>
        <v>0</v>
      </c>
      <c r="H17" s="8">
        <f t="shared" si="2"/>
        <v>0</v>
      </c>
      <c r="I17" s="8">
        <f t="shared" si="2"/>
        <v>1</v>
      </c>
      <c r="J17" s="8">
        <f t="shared" si="2"/>
        <v>0</v>
      </c>
      <c r="K17" s="8">
        <f t="shared" si="2"/>
        <v>0</v>
      </c>
      <c r="L17" s="77"/>
    </row>
    <row r="18" spans="1:12" x14ac:dyDescent="0.25">
      <c r="A18" s="5">
        <f t="shared" si="1"/>
        <v>2.0007000000000015</v>
      </c>
      <c r="B18" s="149" t="s">
        <v>777</v>
      </c>
      <c r="C18" s="150" t="s">
        <v>1147</v>
      </c>
      <c r="D18" s="8"/>
      <c r="E18" s="76"/>
      <c r="F18" s="8"/>
      <c r="G18" s="8">
        <f t="shared" si="2"/>
        <v>0</v>
      </c>
      <c r="H18" s="8">
        <f t="shared" si="2"/>
        <v>0</v>
      </c>
      <c r="I18" s="8">
        <f t="shared" si="2"/>
        <v>1</v>
      </c>
      <c r="J18" s="8">
        <f t="shared" si="2"/>
        <v>0</v>
      </c>
      <c r="K18" s="8">
        <f t="shared" si="2"/>
        <v>0</v>
      </c>
      <c r="L18" s="77"/>
    </row>
    <row r="19" spans="1:12" x14ac:dyDescent="0.25">
      <c r="A19" s="5">
        <f t="shared" si="1"/>
        <v>2.0008000000000017</v>
      </c>
      <c r="B19" s="76" t="s">
        <v>778</v>
      </c>
      <c r="C19" s="147" t="s">
        <v>1148</v>
      </c>
      <c r="D19" s="77"/>
      <c r="E19" s="77"/>
      <c r="F19" s="8"/>
      <c r="G19" s="8">
        <f t="shared" si="2"/>
        <v>0</v>
      </c>
      <c r="H19" s="8">
        <f t="shared" si="2"/>
        <v>0</v>
      </c>
      <c r="I19" s="8">
        <f t="shared" si="2"/>
        <v>1</v>
      </c>
      <c r="J19" s="8">
        <f t="shared" si="2"/>
        <v>0</v>
      </c>
      <c r="K19" s="8">
        <f t="shared" si="2"/>
        <v>0</v>
      </c>
      <c r="L19" s="77"/>
    </row>
    <row r="20" spans="1:12" x14ac:dyDescent="0.25">
      <c r="A20" s="5">
        <f t="shared" si="1"/>
        <v>2.0009000000000019</v>
      </c>
      <c r="B20" s="76"/>
      <c r="C20" s="76" t="s">
        <v>807</v>
      </c>
      <c r="D20" s="77"/>
      <c r="E20" s="77"/>
      <c r="F20" s="8"/>
      <c r="G20" s="8">
        <f t="shared" si="2"/>
        <v>0</v>
      </c>
      <c r="H20" s="8">
        <f t="shared" si="2"/>
        <v>0</v>
      </c>
      <c r="I20" s="8">
        <f t="shared" si="2"/>
        <v>1</v>
      </c>
      <c r="J20" s="8">
        <f t="shared" si="2"/>
        <v>0</v>
      </c>
      <c r="K20" s="8">
        <f t="shared" si="2"/>
        <v>0</v>
      </c>
      <c r="L20" s="77"/>
    </row>
    <row r="21" spans="1:12" x14ac:dyDescent="0.25">
      <c r="A21" s="5">
        <f t="shared" si="1"/>
        <v>2.0010000000000021</v>
      </c>
      <c r="B21" s="82" t="s">
        <v>775</v>
      </c>
      <c r="C21" s="76" t="s">
        <v>769</v>
      </c>
      <c r="D21" s="77"/>
      <c r="E21" s="77"/>
      <c r="F21" s="8"/>
      <c r="G21" s="8">
        <f t="shared" si="2"/>
        <v>0</v>
      </c>
      <c r="H21" s="8">
        <f t="shared" si="2"/>
        <v>0</v>
      </c>
      <c r="I21" s="8">
        <f t="shared" si="2"/>
        <v>1</v>
      </c>
      <c r="J21" s="8">
        <f t="shared" si="2"/>
        <v>0</v>
      </c>
      <c r="K21" s="8">
        <f t="shared" si="2"/>
        <v>0</v>
      </c>
      <c r="L21" s="77"/>
    </row>
    <row r="22" spans="1:12" x14ac:dyDescent="0.25">
      <c r="A22" s="5">
        <f t="shared" si="1"/>
        <v>2.0011000000000023</v>
      </c>
      <c r="B22" s="82"/>
      <c r="C22" s="76" t="s">
        <v>808</v>
      </c>
      <c r="D22" s="77" t="s">
        <v>809</v>
      </c>
      <c r="E22" s="77"/>
      <c r="F22" s="8"/>
      <c r="G22" s="8">
        <f t="shared" si="2"/>
        <v>0</v>
      </c>
      <c r="H22" s="8">
        <f t="shared" si="2"/>
        <v>0</v>
      </c>
      <c r="I22" s="8">
        <f t="shared" si="2"/>
        <v>1</v>
      </c>
      <c r="J22" s="8">
        <f t="shared" si="2"/>
        <v>0</v>
      </c>
      <c r="K22" s="8">
        <f t="shared" si="2"/>
        <v>0</v>
      </c>
      <c r="L22" s="77"/>
    </row>
    <row r="23" spans="1:12" x14ac:dyDescent="0.25">
      <c r="A23" s="5">
        <f t="shared" si="1"/>
        <v>2.0012000000000025</v>
      </c>
      <c r="B23" s="76"/>
      <c r="C23" s="76" t="s">
        <v>770</v>
      </c>
      <c r="D23" s="77"/>
      <c r="E23" s="77"/>
      <c r="F23" s="8"/>
      <c r="G23" s="8">
        <f t="shared" si="2"/>
        <v>0</v>
      </c>
      <c r="H23" s="8">
        <f t="shared" si="2"/>
        <v>0</v>
      </c>
      <c r="I23" s="8">
        <f t="shared" si="2"/>
        <v>1</v>
      </c>
      <c r="J23" s="8">
        <f t="shared" si="2"/>
        <v>0</v>
      </c>
      <c r="K23" s="8">
        <f t="shared" si="2"/>
        <v>0</v>
      </c>
      <c r="L23" s="77"/>
    </row>
    <row r="24" spans="1:12" x14ac:dyDescent="0.25">
      <c r="A24" s="5">
        <f t="shared" si="1"/>
        <v>2.0013000000000027</v>
      </c>
      <c r="B24" s="76"/>
      <c r="C24" s="76" t="s">
        <v>771</v>
      </c>
      <c r="D24" s="77"/>
      <c r="E24" s="77"/>
      <c r="F24" s="8"/>
      <c r="G24" s="8">
        <f t="shared" si="2"/>
        <v>0</v>
      </c>
      <c r="H24" s="8">
        <f t="shared" si="2"/>
        <v>0</v>
      </c>
      <c r="I24" s="8">
        <f t="shared" si="2"/>
        <v>1</v>
      </c>
      <c r="J24" s="8">
        <f t="shared" si="2"/>
        <v>0</v>
      </c>
      <c r="K24" s="8">
        <f t="shared" si="2"/>
        <v>0</v>
      </c>
      <c r="L24" s="77"/>
    </row>
    <row r="25" spans="1:12" x14ac:dyDescent="0.25">
      <c r="A25" s="5">
        <f t="shared" si="1"/>
        <v>2.001400000000003</v>
      </c>
      <c r="B25" s="76"/>
      <c r="C25" s="76" t="s">
        <v>772</v>
      </c>
      <c r="D25" s="77"/>
      <c r="E25" s="77"/>
      <c r="F25" s="8"/>
      <c r="G25" s="8">
        <f t="shared" si="2"/>
        <v>0</v>
      </c>
      <c r="H25" s="8">
        <f t="shared" si="2"/>
        <v>0</v>
      </c>
      <c r="I25" s="8">
        <f t="shared" si="2"/>
        <v>1</v>
      </c>
      <c r="J25" s="8">
        <f t="shared" si="2"/>
        <v>0</v>
      </c>
      <c r="K25" s="8">
        <f t="shared" si="2"/>
        <v>0</v>
      </c>
      <c r="L25" s="77"/>
    </row>
    <row r="26" spans="1:12" x14ac:dyDescent="0.25">
      <c r="A26" s="5">
        <f t="shared" si="1"/>
        <v>2.0015000000000032</v>
      </c>
      <c r="B26" s="76"/>
      <c r="C26" s="76" t="s">
        <v>773</v>
      </c>
      <c r="D26" s="77"/>
      <c r="E26" s="77"/>
      <c r="F26" s="8"/>
      <c r="G26" s="8">
        <f t="shared" si="2"/>
        <v>0</v>
      </c>
      <c r="H26" s="8">
        <f t="shared" si="2"/>
        <v>0</v>
      </c>
      <c r="I26" s="8">
        <f t="shared" si="2"/>
        <v>1</v>
      </c>
      <c r="J26" s="8">
        <f t="shared" si="2"/>
        <v>0</v>
      </c>
      <c r="K26" s="8">
        <f t="shared" si="2"/>
        <v>0</v>
      </c>
      <c r="L26" s="77"/>
    </row>
    <row r="27" spans="1:12" x14ac:dyDescent="0.25">
      <c r="A27" s="5">
        <f t="shared" si="1"/>
        <v>2.0016000000000034</v>
      </c>
      <c r="B27" s="76"/>
      <c r="C27" s="76" t="s">
        <v>774</v>
      </c>
      <c r="D27" s="77"/>
      <c r="E27" s="77"/>
      <c r="F27" s="8"/>
      <c r="G27" s="8">
        <f t="shared" si="2"/>
        <v>0</v>
      </c>
      <c r="H27" s="8">
        <f t="shared" si="2"/>
        <v>0</v>
      </c>
      <c r="I27" s="8">
        <f t="shared" si="2"/>
        <v>1</v>
      </c>
      <c r="J27" s="8">
        <f t="shared" si="2"/>
        <v>0</v>
      </c>
      <c r="K27" s="8">
        <f t="shared" si="2"/>
        <v>0</v>
      </c>
      <c r="L27" s="77"/>
    </row>
    <row r="28" spans="1:12" x14ac:dyDescent="0.25">
      <c r="A28" s="5">
        <f t="shared" si="1"/>
        <v>2.0017000000000036</v>
      </c>
      <c r="B28" s="82" t="s">
        <v>776</v>
      </c>
      <c r="C28" s="76" t="s">
        <v>779</v>
      </c>
      <c r="D28" s="77"/>
      <c r="E28" s="77"/>
      <c r="F28" s="8"/>
      <c r="G28" s="8">
        <f t="shared" si="2"/>
        <v>0</v>
      </c>
      <c r="H28" s="8">
        <f t="shared" si="2"/>
        <v>0</v>
      </c>
      <c r="I28" s="8">
        <f t="shared" si="2"/>
        <v>1</v>
      </c>
      <c r="J28" s="8">
        <f t="shared" si="2"/>
        <v>0</v>
      </c>
      <c r="K28" s="8">
        <f t="shared" si="2"/>
        <v>0</v>
      </c>
      <c r="L28" s="77"/>
    </row>
    <row r="29" spans="1:12" x14ac:dyDescent="0.25">
      <c r="A29" s="5">
        <f t="shared" si="1"/>
        <v>2.0018000000000038</v>
      </c>
      <c r="B29" s="154"/>
      <c r="C29" s="121"/>
      <c r="D29" s="121"/>
      <c r="E29" s="121"/>
      <c r="F29" s="8"/>
      <c r="G29" s="8"/>
      <c r="H29" s="8"/>
      <c r="I29" s="8"/>
      <c r="J29" s="8"/>
      <c r="K29" s="8"/>
      <c r="L29" s="77"/>
    </row>
    <row r="30" spans="1:12" s="105" customFormat="1" x14ac:dyDescent="0.25">
      <c r="A30" s="5">
        <f t="shared" si="1"/>
        <v>2.001900000000004</v>
      </c>
      <c r="B30" s="154"/>
      <c r="C30" s="155"/>
      <c r="D30" s="156"/>
      <c r="E30" s="156"/>
      <c r="F30" s="120"/>
      <c r="G30" s="120"/>
      <c r="H30" s="120"/>
      <c r="I30" s="120"/>
      <c r="J30" s="120"/>
      <c r="K30" s="120"/>
      <c r="L30" s="121"/>
    </row>
    <row r="31" spans="1:12" s="105" customFormat="1" x14ac:dyDescent="0.25">
      <c r="A31" s="5">
        <f t="shared" si="1"/>
        <v>2.0020000000000042</v>
      </c>
      <c r="B31" s="79" t="s">
        <v>1160</v>
      </c>
      <c r="C31" s="79"/>
      <c r="D31" s="156"/>
      <c r="E31" s="156"/>
      <c r="F31" s="120"/>
      <c r="G31" s="120"/>
      <c r="H31" s="120"/>
      <c r="I31" s="120"/>
      <c r="J31" s="120"/>
      <c r="K31" s="120"/>
      <c r="L31" s="121"/>
    </row>
    <row r="32" spans="1:12" s="105" customFormat="1" x14ac:dyDescent="0.25">
      <c r="A32" s="5">
        <f t="shared" si="1"/>
        <v>2.0021000000000044</v>
      </c>
      <c r="B32" s="83" t="s">
        <v>797</v>
      </c>
      <c r="C32" s="82" t="s">
        <v>791</v>
      </c>
      <c r="D32" s="156"/>
      <c r="E32" s="156"/>
      <c r="F32" s="120"/>
      <c r="G32" s="8">
        <f t="shared" ref="G32:K38" si="3">IF($F32=G$1,1,0)</f>
        <v>0</v>
      </c>
      <c r="H32" s="8">
        <f t="shared" si="3"/>
        <v>0</v>
      </c>
      <c r="I32" s="8">
        <f t="shared" si="3"/>
        <v>1</v>
      </c>
      <c r="J32" s="8">
        <f t="shared" si="3"/>
        <v>0</v>
      </c>
      <c r="K32" s="8">
        <f t="shared" si="3"/>
        <v>0</v>
      </c>
      <c r="L32" s="121"/>
    </row>
    <row r="33" spans="1:12" s="105" customFormat="1" x14ac:dyDescent="0.25">
      <c r="A33" s="5">
        <f t="shared" si="1"/>
        <v>2.0022000000000046</v>
      </c>
      <c r="B33" s="77"/>
      <c r="C33" s="76" t="s">
        <v>792</v>
      </c>
      <c r="D33" s="156"/>
      <c r="E33" s="156"/>
      <c r="F33" s="120"/>
      <c r="G33" s="8">
        <f t="shared" si="3"/>
        <v>0</v>
      </c>
      <c r="H33" s="8">
        <f t="shared" si="3"/>
        <v>0</v>
      </c>
      <c r="I33" s="8">
        <f t="shared" si="3"/>
        <v>1</v>
      </c>
      <c r="J33" s="8">
        <f t="shared" si="3"/>
        <v>0</v>
      </c>
      <c r="K33" s="8">
        <f t="shared" si="3"/>
        <v>0</v>
      </c>
      <c r="L33" s="121"/>
    </row>
    <row r="34" spans="1:12" s="105" customFormat="1" x14ac:dyDescent="0.25">
      <c r="A34" s="5">
        <f t="shared" si="1"/>
        <v>2.0023000000000049</v>
      </c>
      <c r="B34" s="77"/>
      <c r="C34" s="76" t="s">
        <v>883</v>
      </c>
      <c r="D34" s="156"/>
      <c r="E34" s="156"/>
      <c r="F34" s="120"/>
      <c r="G34" s="8">
        <f t="shared" si="3"/>
        <v>0</v>
      </c>
      <c r="H34" s="8">
        <f t="shared" si="3"/>
        <v>0</v>
      </c>
      <c r="I34" s="8">
        <f t="shared" si="3"/>
        <v>1</v>
      </c>
      <c r="J34" s="8">
        <f t="shared" si="3"/>
        <v>0</v>
      </c>
      <c r="K34" s="8">
        <f t="shared" si="3"/>
        <v>0</v>
      </c>
      <c r="L34" s="121"/>
    </row>
    <row r="35" spans="1:12" s="105" customFormat="1" x14ac:dyDescent="0.25">
      <c r="A35" s="5">
        <f t="shared" si="1"/>
        <v>2.0024000000000051</v>
      </c>
      <c r="B35" s="77"/>
      <c r="C35" s="76" t="s">
        <v>884</v>
      </c>
      <c r="D35" s="156"/>
      <c r="E35" s="156"/>
      <c r="F35" s="120"/>
      <c r="G35" s="8">
        <f t="shared" si="3"/>
        <v>0</v>
      </c>
      <c r="H35" s="8">
        <f t="shared" si="3"/>
        <v>0</v>
      </c>
      <c r="I35" s="8">
        <f t="shared" si="3"/>
        <v>1</v>
      </c>
      <c r="J35" s="8">
        <f t="shared" si="3"/>
        <v>0</v>
      </c>
      <c r="K35" s="8">
        <f t="shared" si="3"/>
        <v>0</v>
      </c>
      <c r="L35" s="121"/>
    </row>
    <row r="36" spans="1:12" s="105" customFormat="1" x14ac:dyDescent="0.25">
      <c r="A36" s="5">
        <f t="shared" si="1"/>
        <v>2.0025000000000053</v>
      </c>
      <c r="B36" s="77"/>
      <c r="C36" s="76" t="s">
        <v>882</v>
      </c>
      <c r="D36" s="156"/>
      <c r="E36" s="156"/>
      <c r="F36" s="120"/>
      <c r="G36" s="8">
        <f t="shared" si="3"/>
        <v>0</v>
      </c>
      <c r="H36" s="8">
        <f t="shared" si="3"/>
        <v>0</v>
      </c>
      <c r="I36" s="8">
        <f t="shared" si="3"/>
        <v>1</v>
      </c>
      <c r="J36" s="8">
        <f t="shared" si="3"/>
        <v>0</v>
      </c>
      <c r="K36" s="8">
        <f t="shared" si="3"/>
        <v>0</v>
      </c>
      <c r="L36" s="121"/>
    </row>
    <row r="37" spans="1:12" s="105" customFormat="1" x14ac:dyDescent="0.25">
      <c r="A37" s="5">
        <f t="shared" si="1"/>
        <v>2.0026000000000055</v>
      </c>
      <c r="B37" s="147" t="s">
        <v>1163</v>
      </c>
      <c r="C37" s="147" t="s">
        <v>1161</v>
      </c>
      <c r="D37" s="156"/>
      <c r="E37" s="156"/>
      <c r="F37" s="120"/>
      <c r="G37" s="8">
        <f t="shared" si="3"/>
        <v>0</v>
      </c>
      <c r="H37" s="8">
        <f t="shared" si="3"/>
        <v>0</v>
      </c>
      <c r="I37" s="8">
        <f t="shared" si="3"/>
        <v>1</v>
      </c>
      <c r="J37" s="8">
        <f t="shared" si="3"/>
        <v>0</v>
      </c>
      <c r="K37" s="8">
        <f t="shared" si="3"/>
        <v>0</v>
      </c>
      <c r="L37" s="121"/>
    </row>
    <row r="38" spans="1:12" s="105" customFormat="1" x14ac:dyDescent="0.25">
      <c r="A38" s="5">
        <f t="shared" si="1"/>
        <v>2.0027000000000057</v>
      </c>
      <c r="B38" s="77"/>
      <c r="C38" s="147" t="s">
        <v>878</v>
      </c>
      <c r="D38" s="156"/>
      <c r="E38" s="156"/>
      <c r="F38" s="120"/>
      <c r="G38" s="8">
        <f t="shared" si="3"/>
        <v>0</v>
      </c>
      <c r="H38" s="8">
        <f t="shared" si="3"/>
        <v>0</v>
      </c>
      <c r="I38" s="8">
        <f t="shared" si="3"/>
        <v>1</v>
      </c>
      <c r="J38" s="8">
        <f t="shared" si="3"/>
        <v>0</v>
      </c>
      <c r="K38" s="8">
        <f t="shared" si="3"/>
        <v>0</v>
      </c>
      <c r="L38" s="121"/>
    </row>
    <row r="39" spans="1:12" s="105" customFormat="1" x14ac:dyDescent="0.25">
      <c r="A39" s="5">
        <f t="shared" si="1"/>
        <v>2.0028000000000059</v>
      </c>
      <c r="B39" s="77"/>
      <c r="C39" s="76"/>
      <c r="D39" s="156"/>
      <c r="E39" s="156"/>
      <c r="F39" s="120"/>
      <c r="G39" s="120"/>
      <c r="H39" s="120"/>
      <c r="I39" s="120"/>
      <c r="J39" s="120"/>
      <c r="K39" s="120"/>
      <c r="L39" s="121"/>
    </row>
    <row r="40" spans="1:12" s="105" customFormat="1" x14ac:dyDescent="0.25">
      <c r="A40" s="5">
        <f t="shared" si="1"/>
        <v>2.0029000000000061</v>
      </c>
      <c r="B40" s="77"/>
      <c r="C40" s="76" t="s">
        <v>881</v>
      </c>
      <c r="D40" s="156"/>
      <c r="E40" s="156"/>
      <c r="F40" s="120"/>
      <c r="G40" s="8">
        <f t="shared" ref="G40:K53" si="4">IF($F40=G$1,1,0)</f>
        <v>0</v>
      </c>
      <c r="H40" s="8">
        <f t="shared" si="4"/>
        <v>0</v>
      </c>
      <c r="I40" s="8">
        <f t="shared" si="4"/>
        <v>1</v>
      </c>
      <c r="J40" s="8">
        <f t="shared" si="4"/>
        <v>0</v>
      </c>
      <c r="K40" s="8">
        <f t="shared" si="4"/>
        <v>0</v>
      </c>
      <c r="L40" s="121"/>
    </row>
    <row r="41" spans="1:12" s="105" customFormat="1" ht="25.5" x14ac:dyDescent="0.25">
      <c r="A41" s="5">
        <f t="shared" si="1"/>
        <v>2.0030000000000063</v>
      </c>
      <c r="B41" s="77"/>
      <c r="C41" s="76" t="s">
        <v>1106</v>
      </c>
      <c r="D41" s="156"/>
      <c r="E41" s="156"/>
      <c r="F41" s="120"/>
      <c r="G41" s="8">
        <f t="shared" si="4"/>
        <v>0</v>
      </c>
      <c r="H41" s="8">
        <f t="shared" si="4"/>
        <v>0</v>
      </c>
      <c r="I41" s="8">
        <f t="shared" si="4"/>
        <v>1</v>
      </c>
      <c r="J41" s="8">
        <f t="shared" si="4"/>
        <v>0</v>
      </c>
      <c r="K41" s="8">
        <f t="shared" si="4"/>
        <v>0</v>
      </c>
      <c r="L41" s="121"/>
    </row>
    <row r="42" spans="1:12" s="105" customFormat="1" x14ac:dyDescent="0.25">
      <c r="A42" s="5">
        <f t="shared" si="1"/>
        <v>2.0031000000000065</v>
      </c>
      <c r="B42" s="83" t="s">
        <v>888</v>
      </c>
      <c r="C42" s="82" t="s">
        <v>880</v>
      </c>
      <c r="D42" s="156"/>
      <c r="E42" s="156"/>
      <c r="F42" s="120"/>
      <c r="G42" s="8">
        <f t="shared" si="4"/>
        <v>0</v>
      </c>
      <c r="H42" s="8">
        <f t="shared" si="4"/>
        <v>0</v>
      </c>
      <c r="I42" s="8">
        <f t="shared" si="4"/>
        <v>1</v>
      </c>
      <c r="J42" s="8">
        <f t="shared" si="4"/>
        <v>0</v>
      </c>
      <c r="K42" s="8">
        <f t="shared" si="4"/>
        <v>0</v>
      </c>
      <c r="L42" s="121"/>
    </row>
    <row r="43" spans="1:12" s="105" customFormat="1" x14ac:dyDescent="0.25">
      <c r="A43" s="5">
        <f t="shared" si="1"/>
        <v>2.0032000000000068</v>
      </c>
      <c r="B43" s="77"/>
      <c r="C43" s="76" t="s">
        <v>889</v>
      </c>
      <c r="D43" s="156"/>
      <c r="E43" s="156"/>
      <c r="F43" s="120"/>
      <c r="G43" s="8">
        <f t="shared" si="4"/>
        <v>0</v>
      </c>
      <c r="H43" s="8">
        <f t="shared" si="4"/>
        <v>0</v>
      </c>
      <c r="I43" s="8">
        <f t="shared" si="4"/>
        <v>1</v>
      </c>
      <c r="J43" s="8">
        <f t="shared" si="4"/>
        <v>0</v>
      </c>
      <c r="K43" s="8">
        <f t="shared" si="4"/>
        <v>0</v>
      </c>
      <c r="L43" s="121"/>
    </row>
    <row r="44" spans="1:12" s="105" customFormat="1" x14ac:dyDescent="0.25">
      <c r="A44" s="5">
        <f t="shared" si="1"/>
        <v>2.003300000000007</v>
      </c>
      <c r="B44" s="77"/>
      <c r="C44" s="76" t="s">
        <v>815</v>
      </c>
      <c r="D44" s="156"/>
      <c r="E44" s="156"/>
      <c r="F44" s="120"/>
      <c r="G44" s="8">
        <f t="shared" si="4"/>
        <v>0</v>
      </c>
      <c r="H44" s="8">
        <f t="shared" si="4"/>
        <v>0</v>
      </c>
      <c r="I44" s="8">
        <f t="shared" si="4"/>
        <v>1</v>
      </c>
      <c r="J44" s="8">
        <f t="shared" si="4"/>
        <v>0</v>
      </c>
      <c r="K44" s="8">
        <f t="shared" si="4"/>
        <v>0</v>
      </c>
      <c r="L44" s="121"/>
    </row>
    <row r="45" spans="1:12" s="105" customFormat="1" x14ac:dyDescent="0.25">
      <c r="A45" s="5">
        <f t="shared" si="1"/>
        <v>2.0034000000000072</v>
      </c>
      <c r="B45" s="77"/>
      <c r="C45" s="76" t="s">
        <v>816</v>
      </c>
      <c r="D45" s="156"/>
      <c r="E45" s="156"/>
      <c r="F45" s="120"/>
      <c r="G45" s="8">
        <f t="shared" si="4"/>
        <v>0</v>
      </c>
      <c r="H45" s="8">
        <f t="shared" si="4"/>
        <v>0</v>
      </c>
      <c r="I45" s="8">
        <f t="shared" si="4"/>
        <v>1</v>
      </c>
      <c r="J45" s="8">
        <f t="shared" si="4"/>
        <v>0</v>
      </c>
      <c r="K45" s="8">
        <f t="shared" si="4"/>
        <v>0</v>
      </c>
      <c r="L45" s="121"/>
    </row>
    <row r="46" spans="1:12" s="105" customFormat="1" x14ac:dyDescent="0.25">
      <c r="A46" s="5">
        <f t="shared" si="1"/>
        <v>2.0035000000000074</v>
      </c>
      <c r="B46" s="77"/>
      <c r="C46" s="76" t="s">
        <v>886</v>
      </c>
      <c r="D46" s="156"/>
      <c r="E46" s="156"/>
      <c r="F46" s="120"/>
      <c r="G46" s="8">
        <f t="shared" si="4"/>
        <v>0</v>
      </c>
      <c r="H46" s="8">
        <f t="shared" si="4"/>
        <v>0</v>
      </c>
      <c r="I46" s="8">
        <f t="shared" si="4"/>
        <v>1</v>
      </c>
      <c r="J46" s="8">
        <f t="shared" si="4"/>
        <v>0</v>
      </c>
      <c r="K46" s="8">
        <f t="shared" si="4"/>
        <v>0</v>
      </c>
      <c r="L46" s="121"/>
    </row>
    <row r="47" spans="1:12" s="105" customFormat="1" x14ac:dyDescent="0.25">
      <c r="A47" s="5">
        <f t="shared" si="1"/>
        <v>2.0036000000000076</v>
      </c>
      <c r="B47" s="77"/>
      <c r="C47" s="76" t="s">
        <v>1107</v>
      </c>
      <c r="D47" s="156"/>
      <c r="E47" s="156"/>
      <c r="F47" s="120"/>
      <c r="G47" s="8">
        <f t="shared" si="4"/>
        <v>0</v>
      </c>
      <c r="H47" s="8">
        <f t="shared" si="4"/>
        <v>0</v>
      </c>
      <c r="I47" s="8">
        <f t="shared" si="4"/>
        <v>1</v>
      </c>
      <c r="J47" s="8">
        <f t="shared" si="4"/>
        <v>0</v>
      </c>
      <c r="K47" s="8">
        <f t="shared" si="4"/>
        <v>0</v>
      </c>
      <c r="L47" s="121"/>
    </row>
    <row r="48" spans="1:12" s="105" customFormat="1" x14ac:dyDescent="0.25">
      <c r="A48" s="5">
        <f t="shared" si="1"/>
        <v>2.0037000000000078</v>
      </c>
      <c r="B48" s="77"/>
      <c r="C48" s="76" t="s">
        <v>819</v>
      </c>
      <c r="D48" s="156"/>
      <c r="E48" s="156"/>
      <c r="F48" s="120"/>
      <c r="G48" s="8">
        <f t="shared" si="4"/>
        <v>0</v>
      </c>
      <c r="H48" s="8">
        <f t="shared" si="4"/>
        <v>0</v>
      </c>
      <c r="I48" s="8">
        <f t="shared" si="4"/>
        <v>1</v>
      </c>
      <c r="J48" s="8">
        <f t="shared" si="4"/>
        <v>0</v>
      </c>
      <c r="K48" s="8">
        <f t="shared" si="4"/>
        <v>0</v>
      </c>
      <c r="L48" s="121"/>
    </row>
    <row r="49" spans="1:12" s="105" customFormat="1" x14ac:dyDescent="0.25">
      <c r="A49" s="5">
        <f t="shared" si="1"/>
        <v>2.003800000000008</v>
      </c>
      <c r="B49" s="77"/>
      <c r="C49" s="76" t="s">
        <v>894</v>
      </c>
      <c r="D49" s="156"/>
      <c r="E49" s="156"/>
      <c r="F49" s="120"/>
      <c r="G49" s="8">
        <f t="shared" si="4"/>
        <v>0</v>
      </c>
      <c r="H49" s="8">
        <f t="shared" si="4"/>
        <v>0</v>
      </c>
      <c r="I49" s="8">
        <f t="shared" si="4"/>
        <v>1</v>
      </c>
      <c r="J49" s="8">
        <f t="shared" si="4"/>
        <v>0</v>
      </c>
      <c r="K49" s="8">
        <f t="shared" si="4"/>
        <v>0</v>
      </c>
      <c r="L49" s="121"/>
    </row>
    <row r="50" spans="1:12" s="105" customFormat="1" x14ac:dyDescent="0.25">
      <c r="A50" s="5">
        <f t="shared" si="1"/>
        <v>2.0039000000000082</v>
      </c>
      <c r="B50" s="77"/>
      <c r="C50" s="76" t="s">
        <v>893</v>
      </c>
      <c r="D50" s="156"/>
      <c r="E50" s="156"/>
      <c r="F50" s="120"/>
      <c r="G50" s="8">
        <f t="shared" si="4"/>
        <v>0</v>
      </c>
      <c r="H50" s="8">
        <f t="shared" si="4"/>
        <v>0</v>
      </c>
      <c r="I50" s="8">
        <f t="shared" si="4"/>
        <v>1</v>
      </c>
      <c r="J50" s="8">
        <f t="shared" si="4"/>
        <v>0</v>
      </c>
      <c r="K50" s="8">
        <f t="shared" si="4"/>
        <v>0</v>
      </c>
      <c r="L50" s="121"/>
    </row>
    <row r="51" spans="1:12" s="105" customFormat="1" x14ac:dyDescent="0.25">
      <c r="A51" s="5">
        <f t="shared" si="1"/>
        <v>2.0040000000000084</v>
      </c>
      <c r="B51" s="76"/>
      <c r="C51" s="76" t="s">
        <v>892</v>
      </c>
      <c r="D51" s="156"/>
      <c r="E51" s="156"/>
      <c r="F51" s="120"/>
      <c r="G51" s="8">
        <f t="shared" si="4"/>
        <v>0</v>
      </c>
      <c r="H51" s="8">
        <f t="shared" si="4"/>
        <v>0</v>
      </c>
      <c r="I51" s="8">
        <f t="shared" si="4"/>
        <v>1</v>
      </c>
      <c r="J51" s="8">
        <f t="shared" si="4"/>
        <v>0</v>
      </c>
      <c r="K51" s="8">
        <f t="shared" si="4"/>
        <v>0</v>
      </c>
      <c r="L51" s="121"/>
    </row>
    <row r="52" spans="1:12" s="105" customFormat="1" x14ac:dyDescent="0.25">
      <c r="A52" s="5">
        <f t="shared" si="1"/>
        <v>2.0041000000000087</v>
      </c>
      <c r="B52" s="77"/>
      <c r="C52" s="76" t="s">
        <v>891</v>
      </c>
      <c r="D52" s="156"/>
      <c r="E52" s="156"/>
      <c r="F52" s="120"/>
      <c r="G52" s="8">
        <f t="shared" si="4"/>
        <v>0</v>
      </c>
      <c r="H52" s="8">
        <f t="shared" si="4"/>
        <v>0</v>
      </c>
      <c r="I52" s="8">
        <f t="shared" si="4"/>
        <v>1</v>
      </c>
      <c r="J52" s="8">
        <f t="shared" si="4"/>
        <v>0</v>
      </c>
      <c r="K52" s="8">
        <f t="shared" si="4"/>
        <v>0</v>
      </c>
      <c r="L52" s="121"/>
    </row>
    <row r="53" spans="1:12" s="105" customFormat="1" x14ac:dyDescent="0.25">
      <c r="A53" s="5">
        <f t="shared" si="1"/>
        <v>2.0042000000000089</v>
      </c>
      <c r="B53" s="77"/>
      <c r="C53" s="76" t="s">
        <v>890</v>
      </c>
      <c r="D53" s="156"/>
      <c r="E53" s="156"/>
      <c r="F53" s="120"/>
      <c r="G53" s="8">
        <f t="shared" si="4"/>
        <v>0</v>
      </c>
      <c r="H53" s="8">
        <f t="shared" si="4"/>
        <v>0</v>
      </c>
      <c r="I53" s="8">
        <f t="shared" si="4"/>
        <v>1</v>
      </c>
      <c r="J53" s="8">
        <f t="shared" si="4"/>
        <v>0</v>
      </c>
      <c r="K53" s="8">
        <f t="shared" si="4"/>
        <v>0</v>
      </c>
      <c r="L53" s="121"/>
    </row>
    <row r="54" spans="1:12" s="105" customFormat="1" x14ac:dyDescent="0.25">
      <c r="A54" s="5">
        <f t="shared" si="1"/>
        <v>2.0043000000000091</v>
      </c>
      <c r="B54" s="77"/>
      <c r="C54" s="76"/>
      <c r="D54" s="156"/>
      <c r="E54" s="156"/>
      <c r="F54" s="120"/>
      <c r="G54" s="120"/>
      <c r="H54" s="120"/>
      <c r="I54" s="120"/>
      <c r="J54" s="120"/>
      <c r="K54" s="120"/>
      <c r="L54" s="121"/>
    </row>
    <row r="55" spans="1:12" s="20" customFormat="1" x14ac:dyDescent="0.25">
      <c r="A55" s="5">
        <f t="shared" si="1"/>
        <v>2.0044000000000093</v>
      </c>
      <c r="B55" s="79" t="s">
        <v>1070</v>
      </c>
      <c r="C55" s="80"/>
      <c r="D55" s="79"/>
      <c r="E55" s="79"/>
      <c r="F55" s="19"/>
      <c r="G55" s="19"/>
      <c r="H55" s="19"/>
      <c r="I55" s="19"/>
      <c r="J55" s="19"/>
      <c r="K55" s="19"/>
      <c r="L55" s="79"/>
    </row>
    <row r="56" spans="1:12" ht="25.5" customHeight="1" x14ac:dyDescent="0.25">
      <c r="A56" s="5">
        <f t="shared" si="1"/>
        <v>2.0045000000000095</v>
      </c>
      <c r="B56" s="76" t="s">
        <v>1051</v>
      </c>
      <c r="C56" s="76" t="s">
        <v>833</v>
      </c>
      <c r="D56" s="77" t="s">
        <v>1071</v>
      </c>
      <c r="E56" s="77"/>
      <c r="F56" s="8" t="s">
        <v>7</v>
      </c>
      <c r="G56" s="8">
        <f t="shared" ref="G56:K61" si="5">IF($F56=G$1,1,0)</f>
        <v>0</v>
      </c>
      <c r="H56" s="8">
        <f t="shared" si="5"/>
        <v>0</v>
      </c>
      <c r="I56" s="8">
        <f t="shared" si="5"/>
        <v>0</v>
      </c>
      <c r="J56" s="8">
        <f t="shared" si="5"/>
        <v>1</v>
      </c>
      <c r="K56" s="8">
        <f t="shared" si="5"/>
        <v>0</v>
      </c>
      <c r="L56" s="77"/>
    </row>
    <row r="57" spans="1:12" x14ac:dyDescent="0.25">
      <c r="A57" s="5">
        <f t="shared" si="1"/>
        <v>2.0046000000000097</v>
      </c>
      <c r="B57" s="76" t="s">
        <v>834</v>
      </c>
      <c r="C57" s="76" t="s">
        <v>1052</v>
      </c>
      <c r="D57" s="77"/>
      <c r="E57" s="77"/>
      <c r="F57" s="8" t="s">
        <v>7</v>
      </c>
      <c r="G57" s="8">
        <f t="shared" si="5"/>
        <v>0</v>
      </c>
      <c r="H57" s="8">
        <f t="shared" si="5"/>
        <v>0</v>
      </c>
      <c r="I57" s="8">
        <f t="shared" si="5"/>
        <v>0</v>
      </c>
      <c r="J57" s="8">
        <f t="shared" si="5"/>
        <v>1</v>
      </c>
      <c r="K57" s="8">
        <f t="shared" si="5"/>
        <v>0</v>
      </c>
      <c r="L57" s="77"/>
    </row>
    <row r="58" spans="1:12" x14ac:dyDescent="0.25">
      <c r="A58" s="5">
        <f t="shared" si="1"/>
        <v>2.0047000000000099</v>
      </c>
      <c r="B58" s="76" t="s">
        <v>835</v>
      </c>
      <c r="C58" s="76" t="s">
        <v>837</v>
      </c>
      <c r="D58" s="77"/>
      <c r="E58" s="77"/>
      <c r="F58" s="8" t="s">
        <v>7</v>
      </c>
      <c r="G58" s="8">
        <f t="shared" si="5"/>
        <v>0</v>
      </c>
      <c r="H58" s="8">
        <f t="shared" si="5"/>
        <v>0</v>
      </c>
      <c r="I58" s="8">
        <f t="shared" si="5"/>
        <v>0</v>
      </c>
      <c r="J58" s="8">
        <f t="shared" si="5"/>
        <v>1</v>
      </c>
      <c r="K58" s="8">
        <f t="shared" si="5"/>
        <v>0</v>
      </c>
      <c r="L58" s="77"/>
    </row>
    <row r="59" spans="1:12" x14ac:dyDescent="0.25">
      <c r="A59" s="5">
        <f t="shared" si="1"/>
        <v>2.0048000000000101</v>
      </c>
      <c r="B59" s="76" t="s">
        <v>1053</v>
      </c>
      <c r="C59" s="76" t="s">
        <v>833</v>
      </c>
      <c r="D59" s="77"/>
      <c r="E59" s="77"/>
      <c r="F59" s="8"/>
      <c r="G59" s="8">
        <f t="shared" si="5"/>
        <v>0</v>
      </c>
      <c r="H59" s="8">
        <f t="shared" si="5"/>
        <v>0</v>
      </c>
      <c r="I59" s="8">
        <f t="shared" si="5"/>
        <v>1</v>
      </c>
      <c r="J59" s="8">
        <f t="shared" si="5"/>
        <v>0</v>
      </c>
      <c r="K59" s="8">
        <f t="shared" si="5"/>
        <v>0</v>
      </c>
      <c r="L59" s="77"/>
    </row>
    <row r="60" spans="1:12" x14ac:dyDescent="0.25">
      <c r="A60" s="5">
        <f t="shared" si="1"/>
        <v>2.0049000000000103</v>
      </c>
      <c r="B60" s="76" t="s">
        <v>834</v>
      </c>
      <c r="C60" s="76" t="s">
        <v>1054</v>
      </c>
      <c r="D60" s="77"/>
      <c r="E60" s="77"/>
      <c r="F60" s="8"/>
      <c r="G60" s="8">
        <f t="shared" si="5"/>
        <v>0</v>
      </c>
      <c r="H60" s="8">
        <f t="shared" si="5"/>
        <v>0</v>
      </c>
      <c r="I60" s="8">
        <f t="shared" si="5"/>
        <v>1</v>
      </c>
      <c r="J60" s="8">
        <f t="shared" si="5"/>
        <v>0</v>
      </c>
      <c r="K60" s="8">
        <f t="shared" si="5"/>
        <v>0</v>
      </c>
      <c r="L60" s="77"/>
    </row>
    <row r="61" spans="1:12" x14ac:dyDescent="0.25">
      <c r="A61" s="5">
        <f t="shared" si="1"/>
        <v>2.0050000000000106</v>
      </c>
      <c r="B61" s="76" t="s">
        <v>835</v>
      </c>
      <c r="C61" s="76" t="s">
        <v>837</v>
      </c>
      <c r="D61" s="77"/>
      <c r="E61" s="77"/>
      <c r="F61" s="8"/>
      <c r="G61" s="8">
        <f t="shared" si="5"/>
        <v>0</v>
      </c>
      <c r="H61" s="8">
        <f t="shared" si="5"/>
        <v>0</v>
      </c>
      <c r="I61" s="8">
        <f t="shared" si="5"/>
        <v>1</v>
      </c>
      <c r="J61" s="8">
        <f t="shared" si="5"/>
        <v>0</v>
      </c>
      <c r="K61" s="8">
        <f t="shared" si="5"/>
        <v>0</v>
      </c>
      <c r="L61" s="77"/>
    </row>
    <row r="62" spans="1:12" x14ac:dyDescent="0.25">
      <c r="A62" s="5">
        <f t="shared" si="1"/>
        <v>2.0051000000000108</v>
      </c>
      <c r="B62" s="116" t="s">
        <v>1064</v>
      </c>
      <c r="C62" s="117" t="s">
        <v>1065</v>
      </c>
      <c r="D62" s="116"/>
      <c r="E62" s="79"/>
      <c r="F62" s="19"/>
      <c r="G62" s="19"/>
      <c r="H62" s="19"/>
      <c r="I62" s="19"/>
      <c r="J62" s="19"/>
      <c r="K62" s="19"/>
      <c r="L62" s="79"/>
    </row>
    <row r="63" spans="1:12" ht="37.5" customHeight="1" x14ac:dyDescent="0.25">
      <c r="A63" s="5">
        <f t="shared" si="1"/>
        <v>2.005200000000011</v>
      </c>
      <c r="B63" s="113" t="s">
        <v>1170</v>
      </c>
      <c r="C63" s="114" t="s">
        <v>1068</v>
      </c>
      <c r="D63" s="77" t="s">
        <v>1090</v>
      </c>
      <c r="E63" s="110"/>
      <c r="F63" s="8" t="s">
        <v>8</v>
      </c>
      <c r="G63" s="8">
        <f t="shared" ref="G63:J64" si="6">IF($F63=G$1,1,0)</f>
        <v>0</v>
      </c>
      <c r="H63" s="8">
        <f t="shared" si="6"/>
        <v>0</v>
      </c>
      <c r="I63" s="8">
        <f t="shared" si="6"/>
        <v>0</v>
      </c>
      <c r="J63" s="8">
        <f t="shared" si="6"/>
        <v>0</v>
      </c>
      <c r="K63" s="88"/>
      <c r="L63" s="85"/>
    </row>
    <row r="64" spans="1:12" x14ac:dyDescent="0.25">
      <c r="A64" s="5">
        <f t="shared" si="1"/>
        <v>2.0053000000000112</v>
      </c>
      <c r="B64" s="76"/>
      <c r="C64" s="76" t="s">
        <v>1067</v>
      </c>
      <c r="D64" s="77"/>
      <c r="E64" s="77"/>
      <c r="F64" s="8" t="s">
        <v>8</v>
      </c>
      <c r="G64" s="8">
        <f t="shared" si="6"/>
        <v>0</v>
      </c>
      <c r="H64" s="8">
        <f t="shared" si="6"/>
        <v>0</v>
      </c>
      <c r="I64" s="8">
        <f t="shared" si="6"/>
        <v>0</v>
      </c>
      <c r="J64" s="8">
        <f t="shared" si="6"/>
        <v>0</v>
      </c>
      <c r="K64" s="88"/>
      <c r="L64" s="85"/>
    </row>
    <row r="65" spans="1:11" ht="15.75" thickBot="1" x14ac:dyDescent="0.3">
      <c r="A65" s="97"/>
      <c r="B65" s="87"/>
      <c r="C65" s="86"/>
      <c r="D65" s="87"/>
      <c r="E65" s="87"/>
      <c r="F65" s="87"/>
      <c r="G65" s="2">
        <f>SUM(G4:G61)</f>
        <v>0</v>
      </c>
      <c r="H65" s="2">
        <f t="shared" ref="H65:K65" si="7">SUM(H4:H61)</f>
        <v>0</v>
      </c>
      <c r="I65" s="2">
        <f t="shared" si="7"/>
        <v>45</v>
      </c>
      <c r="J65" s="2">
        <f t="shared" si="7"/>
        <v>6</v>
      </c>
      <c r="K65" s="2">
        <f t="shared" si="7"/>
        <v>0</v>
      </c>
    </row>
    <row r="66" spans="1:11" ht="15.75" thickTop="1" x14ac:dyDescent="0.25"/>
  </sheetData>
  <mergeCells count="1">
    <mergeCell ref="B2:C2"/>
  </mergeCells>
  <conditionalFormatting sqref="A3:K3 C4:F4 E14:E16 B14:C16 L14:L16 A4:A10 L3:L10 B10 D21:E29 F56:F58 A65:L84 F63:F64 D5:F10 L21:L28 G39:L39 L32:L38 L40:L53 G29:L31 B30:C30 G54:L54 F12:F54 B32:C54 A13:A64">
    <cfRule type="expression" dxfId="32" priority="66">
      <formula>$F3="Fail"</formula>
    </cfRule>
  </conditionalFormatting>
  <conditionalFormatting sqref="A11 B17:C17 A12:E12 D19:E20 C11:K11 B13:E13 E18">
    <cfRule type="expression" dxfId="31" priority="65">
      <formula>$F11="Fail"</formula>
    </cfRule>
  </conditionalFormatting>
  <conditionalFormatting sqref="B17:E17">
    <cfRule type="expression" dxfId="30" priority="63">
      <formula>$F17="Fail"</formula>
    </cfRule>
  </conditionalFormatting>
  <conditionalFormatting sqref="L18:L20 L11:L13">
    <cfRule type="expression" dxfId="29" priority="62">
      <formula>$F11="Fail"</formula>
    </cfRule>
  </conditionalFormatting>
  <conditionalFormatting sqref="L17">
    <cfRule type="expression" dxfId="28" priority="61">
      <formula>$F17="Fail"</formula>
    </cfRule>
  </conditionalFormatting>
  <conditionalFormatting sqref="B10">
    <cfRule type="expression" dxfId="27" priority="60">
      <formula>$F10="Fail"</formula>
    </cfRule>
  </conditionalFormatting>
  <conditionalFormatting sqref="B4">
    <cfRule type="expression" dxfId="26" priority="59">
      <formula>$F4="Fail"</formula>
    </cfRule>
  </conditionalFormatting>
  <conditionalFormatting sqref="B5:C9">
    <cfRule type="expression" dxfId="25" priority="58">
      <formula>$F5="Fail"</formula>
    </cfRule>
  </conditionalFormatting>
  <conditionalFormatting sqref="B10">
    <cfRule type="expression" dxfId="24" priority="57">
      <formula>$F10="Fail"</formula>
    </cfRule>
  </conditionalFormatting>
  <conditionalFormatting sqref="C10">
    <cfRule type="expression" dxfId="23" priority="56">
      <formula>$F10="Fail"</formula>
    </cfRule>
  </conditionalFormatting>
  <conditionalFormatting sqref="B11">
    <cfRule type="expression" dxfId="22" priority="55">
      <formula>$F11="Fail"</formula>
    </cfRule>
  </conditionalFormatting>
  <conditionalFormatting sqref="B62:D62 B63:C63 E63">
    <cfRule type="expression" dxfId="21" priority="53">
      <formula>$F62="Fail"</formula>
    </cfRule>
  </conditionalFormatting>
  <conditionalFormatting sqref="C64">
    <cfRule type="expression" dxfId="20" priority="52">
      <formula>$F64="Fail"</formula>
    </cfRule>
  </conditionalFormatting>
  <conditionalFormatting sqref="D63">
    <cfRule type="expression" dxfId="19" priority="51">
      <formula>$F63="Fail"</formula>
    </cfRule>
  </conditionalFormatting>
  <conditionalFormatting sqref="F59:F61">
    <cfRule type="expression" dxfId="18" priority="50">
      <formula>$F59="Fail"</formula>
    </cfRule>
  </conditionalFormatting>
  <conditionalFormatting sqref="B18">
    <cfRule type="expression" dxfId="17" priority="34">
      <formula>$F18="Fail"</formula>
    </cfRule>
  </conditionalFormatting>
  <conditionalFormatting sqref="C18:C19">
    <cfRule type="expression" dxfId="16" priority="32">
      <formula>$F18="Fail"</formula>
    </cfRule>
  </conditionalFormatting>
  <conditionalFormatting sqref="B23:C29">
    <cfRule type="expression" dxfId="15" priority="37">
      <formula>$F23="Fail"</formula>
    </cfRule>
  </conditionalFormatting>
  <conditionalFormatting sqref="B18">
    <cfRule type="expression" dxfId="14" priority="36">
      <formula>$F18="Fail"</formula>
    </cfRule>
  </conditionalFormatting>
  <conditionalFormatting sqref="B20:C24 B18:B19">
    <cfRule type="expression" dxfId="13" priority="35">
      <formula>$F18="Fail"</formula>
    </cfRule>
  </conditionalFormatting>
  <conditionalFormatting sqref="C18">
    <cfRule type="expression" dxfId="12" priority="33">
      <formula>$F18="Fail"</formula>
    </cfRule>
  </conditionalFormatting>
  <conditionalFormatting sqref="C18">
    <cfRule type="expression" dxfId="11" priority="31">
      <formula>$F18="Fail"</formula>
    </cfRule>
  </conditionalFormatting>
  <conditionalFormatting sqref="B51:C51">
    <cfRule type="expression" dxfId="10" priority="20">
      <formula>$F51="Fail"</formula>
    </cfRule>
  </conditionalFormatting>
  <conditionalFormatting sqref="B31">
    <cfRule type="expression" dxfId="9" priority="19">
      <formula>$F31="Fail"</formula>
    </cfRule>
  </conditionalFormatting>
  <conditionalFormatting sqref="C31">
    <cfRule type="expression" dxfId="8" priority="18">
      <formula>$F31="Fail"</formula>
    </cfRule>
  </conditionalFormatting>
  <conditionalFormatting sqref="G4:K10">
    <cfRule type="expression" dxfId="7" priority="10">
      <formula>$F4="Fail"</formula>
    </cfRule>
  </conditionalFormatting>
  <conditionalFormatting sqref="G12:K28">
    <cfRule type="expression" dxfId="6" priority="9">
      <formula>$F12="Fail"</formula>
    </cfRule>
  </conditionalFormatting>
  <conditionalFormatting sqref="G32:K36">
    <cfRule type="expression" dxfId="5" priority="5">
      <formula>$F32="Fail"</formula>
    </cfRule>
  </conditionalFormatting>
  <conditionalFormatting sqref="G37:K38">
    <cfRule type="expression" dxfId="4" priority="4">
      <formula>$F37="Fail"</formula>
    </cfRule>
  </conditionalFormatting>
  <conditionalFormatting sqref="G40:K53">
    <cfRule type="expression" dxfId="3" priority="2">
      <formula>$F40="Fail"</formula>
    </cfRule>
  </conditionalFormatting>
  <conditionalFormatting sqref="G56:K61">
    <cfRule type="expression" dxfId="2" priority="1">
      <formula>$F56="Fail"</formula>
    </cfRule>
  </conditionalFormatting>
  <dataValidations count="1">
    <dataValidation type="list" allowBlank="1" showInputMessage="1" showErrorMessage="1" sqref="F3:F64">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C6E3101B-FCE6-49A1-9FBF-191C299FD536}">
            <xm:f>External!$F108="Fail"</xm:f>
            <x14:dxf>
              <font>
                <color rgb="FFFF0000"/>
              </font>
              <fill>
                <patternFill>
                  <bgColor theme="9" tint="0.59996337778862885"/>
                </patternFill>
              </fill>
            </x14:dxf>
          </x14:cfRule>
          <xm:sqref>B64 D64:E64 G64:L64</xm:sqref>
        </x14:conditionalFormatting>
        <x14:conditionalFormatting xmlns:xm="http://schemas.microsoft.com/office/excel/2006/main">
          <x14:cfRule type="expression" priority="67" id="{EE8CC722-0F05-43A6-B4D6-9FE1FDFF697B}">
            <xm:f>External!$F98="Fail"</xm:f>
            <x14:dxf>
              <font>
                <color rgb="FFFF0000"/>
              </font>
              <fill>
                <patternFill>
                  <bgColor theme="9" tint="0.59996337778862885"/>
                </patternFill>
              </fill>
            </x14:dxf>
          </x14:cfRule>
          <xm:sqref>B55:L55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67"/>
  <sheetViews>
    <sheetView workbookViewId="0">
      <selection activeCell="D27" sqref="D27"/>
    </sheetView>
  </sheetViews>
  <sheetFormatPr defaultRowHeight="15" x14ac:dyDescent="0.25"/>
  <cols>
    <col min="1" max="5" width="37.42578125" customWidth="1"/>
  </cols>
  <sheetData>
    <row r="1" spans="1:5" ht="15.75" thickBot="1" x14ac:dyDescent="0.3">
      <c r="A1" s="46" t="s">
        <v>461</v>
      </c>
      <c r="B1" s="47"/>
      <c r="C1" s="47"/>
      <c r="D1" s="48"/>
      <c r="E1" s="47"/>
    </row>
    <row r="2" spans="1:5" x14ac:dyDescent="0.25">
      <c r="A2" s="49" t="s">
        <v>462</v>
      </c>
      <c r="B2" s="49" t="s">
        <v>463</v>
      </c>
      <c r="C2" s="50" t="s">
        <v>464</v>
      </c>
      <c r="D2" s="49"/>
      <c r="E2" s="49"/>
    </row>
    <row r="3" spans="1:5" ht="15.75" thickBot="1" x14ac:dyDescent="0.3">
      <c r="A3" s="51"/>
      <c r="B3" s="51"/>
      <c r="C3" s="52" t="s">
        <v>465</v>
      </c>
      <c r="D3" s="51"/>
      <c r="E3" s="51"/>
    </row>
    <row r="4" spans="1:5" x14ac:dyDescent="0.25">
      <c r="A4" s="49" t="s">
        <v>466</v>
      </c>
      <c r="B4" s="53" t="s">
        <v>20</v>
      </c>
      <c r="C4" s="49" t="s">
        <v>467</v>
      </c>
      <c r="D4" s="49"/>
      <c r="E4" s="49"/>
    </row>
    <row r="5" spans="1:5" x14ac:dyDescent="0.25">
      <c r="A5" s="54"/>
      <c r="B5" s="50" t="s">
        <v>22</v>
      </c>
      <c r="C5" s="54"/>
      <c r="D5" s="54"/>
      <c r="E5" s="54"/>
    </row>
    <row r="6" spans="1:5" x14ac:dyDescent="0.25">
      <c r="A6" s="54"/>
      <c r="B6" s="50" t="s">
        <v>25</v>
      </c>
      <c r="C6" s="54"/>
      <c r="D6" s="54"/>
      <c r="E6" s="54"/>
    </row>
    <row r="7" spans="1:5" x14ac:dyDescent="0.25">
      <c r="A7" s="54"/>
      <c r="B7" s="50" t="s">
        <v>468</v>
      </c>
      <c r="C7" s="54"/>
      <c r="D7" s="54"/>
      <c r="E7" s="54"/>
    </row>
    <row r="8" spans="1:5" ht="15.75" thickBot="1" x14ac:dyDescent="0.3">
      <c r="A8" s="51"/>
      <c r="B8" s="52" t="s">
        <v>24</v>
      </c>
      <c r="C8" s="51"/>
      <c r="D8" s="51"/>
      <c r="E8" s="51"/>
    </row>
    <row r="9" spans="1:5" x14ac:dyDescent="0.25">
      <c r="A9" s="49" t="s">
        <v>469</v>
      </c>
      <c r="B9" s="53" t="s">
        <v>20</v>
      </c>
      <c r="C9" s="49" t="s">
        <v>470</v>
      </c>
      <c r="D9" s="49"/>
      <c r="E9" s="49"/>
    </row>
    <row r="10" spans="1:5" x14ac:dyDescent="0.25">
      <c r="A10" s="54"/>
      <c r="B10" s="50" t="s">
        <v>22</v>
      </c>
      <c r="C10" s="54"/>
      <c r="D10" s="54"/>
      <c r="E10" s="54"/>
    </row>
    <row r="11" spans="1:5" x14ac:dyDescent="0.25">
      <c r="A11" s="54"/>
      <c r="B11" s="50" t="s">
        <v>25</v>
      </c>
      <c r="C11" s="54"/>
      <c r="D11" s="54"/>
      <c r="E11" s="54"/>
    </row>
    <row r="12" spans="1:5" x14ac:dyDescent="0.25">
      <c r="A12" s="54"/>
      <c r="B12" s="50" t="s">
        <v>471</v>
      </c>
      <c r="C12" s="54"/>
      <c r="D12" s="54"/>
      <c r="E12" s="54"/>
    </row>
    <row r="13" spans="1:5" ht="15.75" thickBot="1" x14ac:dyDescent="0.3">
      <c r="A13" s="51"/>
      <c r="B13" s="52" t="s">
        <v>24</v>
      </c>
      <c r="C13" s="51"/>
      <c r="D13" s="51"/>
      <c r="E13" s="51"/>
    </row>
    <row r="14" spans="1:5" x14ac:dyDescent="0.25">
      <c r="A14" s="49" t="s">
        <v>472</v>
      </c>
      <c r="B14" s="49" t="s">
        <v>473</v>
      </c>
      <c r="C14" s="55" t="s">
        <v>474</v>
      </c>
      <c r="D14" s="49"/>
      <c r="E14" s="49"/>
    </row>
    <row r="15" spans="1:5" ht="15.75" thickBot="1" x14ac:dyDescent="0.3">
      <c r="A15" s="51"/>
      <c r="B15" s="51"/>
      <c r="C15" s="56" t="s">
        <v>475</v>
      </c>
      <c r="D15" s="51"/>
      <c r="E15" s="51"/>
    </row>
    <row r="16" spans="1:5" ht="15.75" thickBot="1" x14ac:dyDescent="0.3">
      <c r="A16" s="57" t="s">
        <v>476</v>
      </c>
      <c r="B16" s="52" t="s">
        <v>477</v>
      </c>
      <c r="C16" s="52" t="s">
        <v>478</v>
      </c>
      <c r="D16" s="52"/>
      <c r="E16" s="52"/>
    </row>
    <row r="17" spans="1:5" ht="15.75" thickBot="1" x14ac:dyDescent="0.3">
      <c r="A17" s="57" t="s">
        <v>479</v>
      </c>
      <c r="B17" s="52" t="s">
        <v>480</v>
      </c>
      <c r="C17" s="52" t="s">
        <v>481</v>
      </c>
      <c r="D17" s="52"/>
      <c r="E17" s="52"/>
    </row>
    <row r="18" spans="1:5" ht="15.75" thickBot="1" x14ac:dyDescent="0.3">
      <c r="A18" s="57" t="s">
        <v>482</v>
      </c>
      <c r="B18" s="52" t="s">
        <v>483</v>
      </c>
      <c r="C18" s="52" t="s">
        <v>484</v>
      </c>
      <c r="D18" s="52"/>
      <c r="E18" s="52"/>
    </row>
    <row r="19" spans="1:5" x14ac:dyDescent="0.25">
      <c r="A19" s="49" t="s">
        <v>485</v>
      </c>
      <c r="B19" s="49" t="s">
        <v>486</v>
      </c>
      <c r="C19" s="58" t="s">
        <v>31</v>
      </c>
      <c r="D19" s="49"/>
      <c r="E19" s="49"/>
    </row>
    <row r="20" spans="1:5" ht="15.75" thickBot="1" x14ac:dyDescent="0.3">
      <c r="A20" s="51"/>
      <c r="B20" s="51"/>
      <c r="C20" s="52" t="s">
        <v>487</v>
      </c>
      <c r="D20" s="51"/>
      <c r="E20" s="51"/>
    </row>
    <row r="21" spans="1:5" x14ac:dyDescent="0.25">
      <c r="A21" s="49" t="s">
        <v>488</v>
      </c>
      <c r="B21" s="53" t="s">
        <v>20</v>
      </c>
      <c r="C21" s="49" t="s">
        <v>489</v>
      </c>
      <c r="D21" s="49"/>
      <c r="E21" s="49"/>
    </row>
    <row r="22" spans="1:5" x14ac:dyDescent="0.25">
      <c r="A22" s="54"/>
      <c r="B22" s="50" t="s">
        <v>22</v>
      </c>
      <c r="C22" s="54"/>
      <c r="D22" s="54"/>
      <c r="E22" s="54"/>
    </row>
    <row r="23" spans="1:5" x14ac:dyDescent="0.25">
      <c r="A23" s="54"/>
      <c r="B23" s="50" t="s">
        <v>490</v>
      </c>
      <c r="C23" s="54"/>
      <c r="D23" s="54"/>
      <c r="E23" s="54"/>
    </row>
    <row r="24" spans="1:5" x14ac:dyDescent="0.25">
      <c r="A24" s="54"/>
      <c r="B24" s="50" t="s">
        <v>491</v>
      </c>
      <c r="C24" s="54"/>
      <c r="D24" s="54"/>
      <c r="E24" s="54"/>
    </row>
    <row r="25" spans="1:5" ht="15.75" thickBot="1" x14ac:dyDescent="0.3">
      <c r="A25" s="51"/>
      <c r="B25" s="52" t="s">
        <v>24</v>
      </c>
      <c r="C25" s="51"/>
      <c r="D25" s="51"/>
      <c r="E25" s="51"/>
    </row>
    <row r="26" spans="1:5" x14ac:dyDescent="0.25">
      <c r="A26" s="49" t="s">
        <v>492</v>
      </c>
      <c r="B26" s="50" t="s">
        <v>493</v>
      </c>
      <c r="C26" s="58" t="s">
        <v>146</v>
      </c>
      <c r="D26" s="49"/>
      <c r="E26" s="49"/>
    </row>
    <row r="27" spans="1:5" x14ac:dyDescent="0.25">
      <c r="A27" s="54"/>
      <c r="B27" s="50" t="s">
        <v>494</v>
      </c>
      <c r="C27" s="50" t="s">
        <v>495</v>
      </c>
      <c r="D27" s="54"/>
      <c r="E27" s="54"/>
    </row>
    <row r="28" spans="1:5" ht="15.75" thickBot="1" x14ac:dyDescent="0.3">
      <c r="A28" s="51"/>
      <c r="B28" s="52" t="s">
        <v>496</v>
      </c>
      <c r="C28" s="59"/>
      <c r="D28" s="51"/>
      <c r="E28" s="51"/>
    </row>
    <row r="29" spans="1:5" x14ac:dyDescent="0.25">
      <c r="A29" s="49" t="s">
        <v>497</v>
      </c>
      <c r="B29" s="49" t="s">
        <v>498</v>
      </c>
      <c r="C29" s="53" t="s">
        <v>499</v>
      </c>
      <c r="D29" s="49"/>
      <c r="E29" s="49"/>
    </row>
    <row r="30" spans="1:5" ht="15.75" thickBot="1" x14ac:dyDescent="0.3">
      <c r="A30" s="51"/>
      <c r="B30" s="51"/>
      <c r="C30" s="60" t="s">
        <v>500</v>
      </c>
      <c r="D30" s="51"/>
      <c r="E30" s="51"/>
    </row>
    <row r="31" spans="1:5" x14ac:dyDescent="0.25">
      <c r="A31" s="49" t="s">
        <v>501</v>
      </c>
      <c r="B31" s="49" t="s">
        <v>502</v>
      </c>
      <c r="C31" s="55" t="s">
        <v>503</v>
      </c>
      <c r="D31" s="49"/>
      <c r="E31" s="49"/>
    </row>
    <row r="32" spans="1:5" x14ac:dyDescent="0.25">
      <c r="A32" s="54"/>
      <c r="B32" s="54"/>
      <c r="C32" s="55" t="s">
        <v>504</v>
      </c>
      <c r="D32" s="54"/>
      <c r="E32" s="54"/>
    </row>
    <row r="33" spans="1:5" x14ac:dyDescent="0.25">
      <c r="A33" s="54"/>
      <c r="B33" s="54"/>
      <c r="C33" s="55" t="s">
        <v>505</v>
      </c>
      <c r="D33" s="54"/>
      <c r="E33" s="54"/>
    </row>
    <row r="34" spans="1:5" ht="15.75" thickBot="1" x14ac:dyDescent="0.3">
      <c r="A34" s="51"/>
      <c r="B34" s="51"/>
      <c r="C34" s="56" t="s">
        <v>506</v>
      </c>
      <c r="D34" s="51"/>
      <c r="E34" s="51"/>
    </row>
    <row r="35" spans="1:5" x14ac:dyDescent="0.25">
      <c r="A35" s="49" t="s">
        <v>507</v>
      </c>
      <c r="B35" s="49" t="s">
        <v>508</v>
      </c>
      <c r="C35" s="55" t="s">
        <v>509</v>
      </c>
      <c r="D35" s="49"/>
      <c r="E35" s="49"/>
    </row>
    <row r="36" spans="1:5" x14ac:dyDescent="0.25">
      <c r="A36" s="54"/>
      <c r="B36" s="54"/>
      <c r="C36" s="55" t="s">
        <v>510</v>
      </c>
      <c r="D36" s="54"/>
      <c r="E36" s="54"/>
    </row>
    <row r="37" spans="1:5" x14ac:dyDescent="0.25">
      <c r="A37" s="54"/>
      <c r="B37" s="54"/>
      <c r="C37" s="55" t="s">
        <v>511</v>
      </c>
      <c r="D37" s="54"/>
      <c r="E37" s="54"/>
    </row>
    <row r="38" spans="1:5" x14ac:dyDescent="0.25">
      <c r="A38" s="54"/>
      <c r="B38" s="54"/>
      <c r="C38" s="55" t="s">
        <v>512</v>
      </c>
      <c r="D38" s="54"/>
      <c r="E38" s="54"/>
    </row>
    <row r="39" spans="1:5" ht="15.75" thickBot="1" x14ac:dyDescent="0.3">
      <c r="A39" s="51"/>
      <c r="B39" s="51"/>
      <c r="C39" s="52" t="s">
        <v>513</v>
      </c>
      <c r="D39" s="51"/>
      <c r="E39" s="51"/>
    </row>
    <row r="40" spans="1:5" x14ac:dyDescent="0.25">
      <c r="A40" s="49" t="s">
        <v>514</v>
      </c>
      <c r="B40" s="49" t="s">
        <v>515</v>
      </c>
      <c r="C40" s="55" t="s">
        <v>516</v>
      </c>
      <c r="D40" s="49"/>
      <c r="E40" s="49"/>
    </row>
    <row r="41" spans="1:5" x14ac:dyDescent="0.25">
      <c r="A41" s="54"/>
      <c r="B41" s="54"/>
      <c r="C41" s="55" t="s">
        <v>517</v>
      </c>
      <c r="D41" s="54"/>
      <c r="E41" s="54"/>
    </row>
    <row r="42" spans="1:5" x14ac:dyDescent="0.25">
      <c r="A42" s="54"/>
      <c r="B42" s="54"/>
      <c r="C42" s="55" t="s">
        <v>518</v>
      </c>
      <c r="D42" s="54"/>
      <c r="E42" s="54"/>
    </row>
    <row r="43" spans="1:5" x14ac:dyDescent="0.25">
      <c r="A43" s="54"/>
      <c r="B43" s="54"/>
      <c r="C43" s="55" t="s">
        <v>512</v>
      </c>
      <c r="D43" s="54"/>
      <c r="E43" s="54"/>
    </row>
    <row r="44" spans="1:5" ht="15.75" thickBot="1" x14ac:dyDescent="0.3">
      <c r="A44" s="51"/>
      <c r="B44" s="51"/>
      <c r="C44" s="52" t="s">
        <v>513</v>
      </c>
      <c r="D44" s="51"/>
      <c r="E44" s="51"/>
    </row>
    <row r="45" spans="1:5" x14ac:dyDescent="0.25">
      <c r="A45" s="49" t="s">
        <v>519</v>
      </c>
      <c r="B45" s="49" t="s">
        <v>520</v>
      </c>
      <c r="C45" s="55" t="s">
        <v>521</v>
      </c>
      <c r="D45" s="49"/>
      <c r="E45" s="49"/>
    </row>
    <row r="46" spans="1:5" x14ac:dyDescent="0.25">
      <c r="A46" s="54"/>
      <c r="B46" s="54"/>
      <c r="C46" s="55" t="s">
        <v>522</v>
      </c>
      <c r="D46" s="54"/>
      <c r="E46" s="54"/>
    </row>
    <row r="47" spans="1:5" x14ac:dyDescent="0.25">
      <c r="A47" s="54"/>
      <c r="B47" s="54"/>
      <c r="C47" s="61" t="s">
        <v>523</v>
      </c>
      <c r="D47" s="54"/>
      <c r="E47" s="54"/>
    </row>
    <row r="48" spans="1:5" x14ac:dyDescent="0.25">
      <c r="A48" s="54"/>
      <c r="B48" s="54"/>
      <c r="C48" s="55" t="s">
        <v>524</v>
      </c>
      <c r="D48" s="54"/>
      <c r="E48" s="54"/>
    </row>
    <row r="49" spans="1:5" x14ac:dyDescent="0.25">
      <c r="A49" s="54"/>
      <c r="B49" s="54"/>
      <c r="C49" s="55" t="s">
        <v>525</v>
      </c>
      <c r="D49" s="54"/>
      <c r="E49" s="54"/>
    </row>
    <row r="50" spans="1:5" x14ac:dyDescent="0.25">
      <c r="A50" s="54"/>
      <c r="B50" s="54"/>
      <c r="C50" s="55" t="s">
        <v>526</v>
      </c>
      <c r="D50" s="54"/>
      <c r="E50" s="54"/>
    </row>
    <row r="51" spans="1:5" x14ac:dyDescent="0.25">
      <c r="A51" s="54"/>
      <c r="B51" s="54"/>
      <c r="C51" s="55" t="s">
        <v>527</v>
      </c>
      <c r="D51" s="54"/>
      <c r="E51" s="54"/>
    </row>
    <row r="52" spans="1:5" x14ac:dyDescent="0.25">
      <c r="A52" s="54"/>
      <c r="B52" s="54"/>
      <c r="C52" s="55" t="s">
        <v>512</v>
      </c>
      <c r="D52" s="54"/>
      <c r="E52" s="54"/>
    </row>
    <row r="53" spans="1:5" ht="15.75" thickBot="1" x14ac:dyDescent="0.3">
      <c r="A53" s="51"/>
      <c r="B53" s="51"/>
      <c r="C53" s="52" t="s">
        <v>513</v>
      </c>
      <c r="D53" s="51"/>
      <c r="E53" s="51"/>
    </row>
    <row r="54" spans="1:5" x14ac:dyDescent="0.25">
      <c r="A54" s="49" t="s">
        <v>528</v>
      </c>
      <c r="B54" s="49" t="s">
        <v>529</v>
      </c>
      <c r="C54" s="55" t="s">
        <v>530</v>
      </c>
      <c r="D54" s="49"/>
      <c r="E54" s="49"/>
    </row>
    <row r="55" spans="1:5" x14ac:dyDescent="0.25">
      <c r="A55" s="54"/>
      <c r="B55" s="54"/>
      <c r="C55" s="55" t="s">
        <v>522</v>
      </c>
      <c r="D55" s="54"/>
      <c r="E55" s="54"/>
    </row>
    <row r="56" spans="1:5" x14ac:dyDescent="0.25">
      <c r="A56" s="54"/>
      <c r="B56" s="54"/>
      <c r="C56" s="55" t="s">
        <v>531</v>
      </c>
      <c r="D56" s="54"/>
      <c r="E56" s="54"/>
    </row>
    <row r="57" spans="1:5" x14ac:dyDescent="0.25">
      <c r="A57" s="54"/>
      <c r="B57" s="54"/>
      <c r="C57" s="55" t="s">
        <v>512</v>
      </c>
      <c r="D57" s="54"/>
      <c r="E57" s="54"/>
    </row>
    <row r="58" spans="1:5" ht="15.75" thickBot="1" x14ac:dyDescent="0.3">
      <c r="A58" s="51"/>
      <c r="B58" s="51"/>
      <c r="C58" s="52" t="s">
        <v>513</v>
      </c>
      <c r="D58" s="51"/>
      <c r="E58" s="51"/>
    </row>
    <row r="59" spans="1:5" x14ac:dyDescent="0.25">
      <c r="A59" s="49" t="s">
        <v>532</v>
      </c>
      <c r="B59" s="53" t="s">
        <v>20</v>
      </c>
      <c r="C59" s="49" t="s">
        <v>533</v>
      </c>
      <c r="D59" s="49"/>
      <c r="E59" s="49"/>
    </row>
    <row r="60" spans="1:5" x14ac:dyDescent="0.25">
      <c r="A60" s="54"/>
      <c r="B60" s="50" t="s">
        <v>22</v>
      </c>
      <c r="C60" s="54"/>
      <c r="D60" s="54"/>
      <c r="E60" s="54"/>
    </row>
    <row r="61" spans="1:5" x14ac:dyDescent="0.25">
      <c r="A61" s="54"/>
      <c r="B61" s="50" t="s">
        <v>534</v>
      </c>
      <c r="C61" s="54"/>
      <c r="D61" s="54"/>
      <c r="E61" s="54"/>
    </row>
    <row r="62" spans="1:5" ht="15.75" thickBot="1" x14ac:dyDescent="0.3">
      <c r="A62" s="51"/>
      <c r="B62" s="52" t="s">
        <v>24</v>
      </c>
      <c r="C62" s="51"/>
      <c r="D62" s="51"/>
      <c r="E62" s="51"/>
    </row>
    <row r="63" spans="1:5" x14ac:dyDescent="0.25">
      <c r="A63" s="49" t="s">
        <v>535</v>
      </c>
      <c r="B63" s="53" t="s">
        <v>20</v>
      </c>
      <c r="C63" s="49" t="s">
        <v>536</v>
      </c>
      <c r="D63" s="49"/>
      <c r="E63" s="49"/>
    </row>
    <row r="64" spans="1:5" x14ac:dyDescent="0.25">
      <c r="A64" s="54"/>
      <c r="B64" s="50" t="s">
        <v>22</v>
      </c>
      <c r="C64" s="54"/>
      <c r="D64" s="54"/>
      <c r="E64" s="54"/>
    </row>
    <row r="65" spans="1:5" x14ac:dyDescent="0.25">
      <c r="A65" s="54"/>
      <c r="B65" s="50" t="s">
        <v>537</v>
      </c>
      <c r="C65" s="54"/>
      <c r="D65" s="54"/>
      <c r="E65" s="54"/>
    </row>
    <row r="66" spans="1:5" ht="15.75" thickBot="1" x14ac:dyDescent="0.3">
      <c r="A66" s="51"/>
      <c r="B66" s="52" t="s">
        <v>24</v>
      </c>
      <c r="C66" s="51"/>
      <c r="D66" s="51"/>
      <c r="E66" s="51"/>
    </row>
    <row r="67" spans="1:5" x14ac:dyDescent="0.25">
      <c r="A67" s="49" t="s">
        <v>538</v>
      </c>
      <c r="B67" s="49" t="s">
        <v>539</v>
      </c>
      <c r="C67" s="55" t="s">
        <v>540</v>
      </c>
      <c r="D67" s="49"/>
      <c r="E67" s="49"/>
    </row>
    <row r="68" spans="1:5" x14ac:dyDescent="0.25">
      <c r="A68" s="54"/>
      <c r="B68" s="54"/>
      <c r="C68" s="55" t="s">
        <v>541</v>
      </c>
      <c r="D68" s="54"/>
      <c r="E68" s="54"/>
    </row>
    <row r="69" spans="1:5" x14ac:dyDescent="0.25">
      <c r="A69" s="54"/>
      <c r="B69" s="54"/>
      <c r="C69" s="55" t="s">
        <v>542</v>
      </c>
      <c r="D69" s="54"/>
      <c r="E69" s="54"/>
    </row>
    <row r="70" spans="1:5" x14ac:dyDescent="0.25">
      <c r="A70" s="54"/>
      <c r="B70" s="54"/>
      <c r="C70" s="55" t="s">
        <v>543</v>
      </c>
      <c r="D70" s="54"/>
      <c r="E70" s="54"/>
    </row>
    <row r="71" spans="1:5" x14ac:dyDescent="0.25">
      <c r="A71" s="54"/>
      <c r="B71" s="54"/>
      <c r="C71" s="55" t="s">
        <v>544</v>
      </c>
      <c r="D71" s="54"/>
      <c r="E71" s="54"/>
    </row>
    <row r="72" spans="1:5" ht="15.75" thickBot="1" x14ac:dyDescent="0.3">
      <c r="A72" s="51"/>
      <c r="B72" s="51"/>
      <c r="C72" s="56" t="s">
        <v>545</v>
      </c>
      <c r="D72" s="51"/>
      <c r="E72" s="51"/>
    </row>
    <row r="73" spans="1:5" x14ac:dyDescent="0.25">
      <c r="A73" s="49" t="s">
        <v>546</v>
      </c>
      <c r="B73" s="49" t="s">
        <v>547</v>
      </c>
      <c r="C73" s="58" t="s">
        <v>31</v>
      </c>
      <c r="D73" s="49"/>
      <c r="E73" s="49"/>
    </row>
    <row r="74" spans="1:5" ht="15.75" thickBot="1" x14ac:dyDescent="0.3">
      <c r="A74" s="51"/>
      <c r="B74" s="51"/>
      <c r="C74" s="52" t="s">
        <v>548</v>
      </c>
      <c r="D74" s="51"/>
      <c r="E74" s="51"/>
    </row>
    <row r="75" spans="1:5" x14ac:dyDescent="0.25">
      <c r="A75" s="49" t="s">
        <v>549</v>
      </c>
      <c r="B75" s="53" t="s">
        <v>20</v>
      </c>
      <c r="C75" s="49" t="s">
        <v>550</v>
      </c>
      <c r="D75" s="49"/>
      <c r="E75" s="49"/>
    </row>
    <row r="76" spans="1:5" x14ac:dyDescent="0.25">
      <c r="A76" s="54"/>
      <c r="B76" s="50" t="s">
        <v>22</v>
      </c>
      <c r="C76" s="54"/>
      <c r="D76" s="54"/>
      <c r="E76" s="54"/>
    </row>
    <row r="77" spans="1:5" x14ac:dyDescent="0.25">
      <c r="A77" s="54"/>
      <c r="B77" s="50" t="s">
        <v>551</v>
      </c>
      <c r="C77" s="54"/>
      <c r="D77" s="54"/>
      <c r="E77" s="54"/>
    </row>
    <row r="78" spans="1:5" x14ac:dyDescent="0.25">
      <c r="A78" s="54"/>
      <c r="B78" s="50" t="s">
        <v>552</v>
      </c>
      <c r="C78" s="54"/>
      <c r="D78" s="54"/>
      <c r="E78" s="54"/>
    </row>
    <row r="79" spans="1:5" ht="15.75" thickBot="1" x14ac:dyDescent="0.3">
      <c r="A79" s="51"/>
      <c r="B79" s="52" t="s">
        <v>24</v>
      </c>
      <c r="C79" s="51"/>
      <c r="D79" s="51"/>
      <c r="E79" s="51"/>
    </row>
    <row r="80" spans="1:5" x14ac:dyDescent="0.25">
      <c r="A80" s="49" t="s">
        <v>553</v>
      </c>
      <c r="B80" s="49" t="s">
        <v>554</v>
      </c>
      <c r="C80" s="58" t="s">
        <v>31</v>
      </c>
      <c r="D80" s="49"/>
      <c r="E80" s="49"/>
    </row>
    <row r="81" spans="1:5" ht="15.75" thickBot="1" x14ac:dyDescent="0.3">
      <c r="A81" s="51"/>
      <c r="B81" s="51"/>
      <c r="C81" s="52" t="s">
        <v>555</v>
      </c>
      <c r="D81" s="51"/>
      <c r="E81" s="51"/>
    </row>
    <row r="82" spans="1:5" x14ac:dyDescent="0.25">
      <c r="A82" s="49" t="s">
        <v>556</v>
      </c>
      <c r="B82" s="53" t="s">
        <v>20</v>
      </c>
      <c r="C82" s="50" t="s">
        <v>557</v>
      </c>
      <c r="D82" s="49"/>
      <c r="E82" s="49"/>
    </row>
    <row r="83" spans="1:5" x14ac:dyDescent="0.25">
      <c r="A83" s="54"/>
      <c r="B83" s="50" t="s">
        <v>22</v>
      </c>
      <c r="C83" s="50" t="s">
        <v>558</v>
      </c>
      <c r="D83" s="54"/>
      <c r="E83" s="54"/>
    </row>
    <row r="84" spans="1:5" x14ac:dyDescent="0.25">
      <c r="A84" s="54"/>
      <c r="B84" s="50" t="s">
        <v>551</v>
      </c>
      <c r="C84" s="62"/>
      <c r="D84" s="54"/>
      <c r="E84" s="54"/>
    </row>
    <row r="85" spans="1:5" x14ac:dyDescent="0.25">
      <c r="A85" s="54"/>
      <c r="B85" s="50" t="s">
        <v>559</v>
      </c>
      <c r="C85" s="62"/>
      <c r="D85" s="54"/>
      <c r="E85" s="54"/>
    </row>
    <row r="86" spans="1:5" ht="15.75" thickBot="1" x14ac:dyDescent="0.3">
      <c r="A86" s="51"/>
      <c r="B86" s="52" t="s">
        <v>24</v>
      </c>
      <c r="C86" s="59"/>
      <c r="D86" s="51"/>
      <c r="E86" s="51"/>
    </row>
    <row r="87" spans="1:5" ht="15.75" thickBot="1" x14ac:dyDescent="0.3">
      <c r="A87" s="57" t="s">
        <v>560</v>
      </c>
      <c r="B87" s="52" t="s">
        <v>561</v>
      </c>
      <c r="C87" s="52"/>
      <c r="D87" s="52"/>
      <c r="E87" s="52"/>
    </row>
    <row r="88" spans="1:5" ht="15.75" thickBot="1" x14ac:dyDescent="0.3">
      <c r="A88" s="57" t="s">
        <v>562</v>
      </c>
      <c r="B88" s="52" t="s">
        <v>563</v>
      </c>
      <c r="C88" s="63" t="s">
        <v>564</v>
      </c>
      <c r="D88" s="52"/>
      <c r="E88" s="52"/>
    </row>
    <row r="89" spans="1:5" x14ac:dyDescent="0.25">
      <c r="A89" s="49" t="s">
        <v>565</v>
      </c>
      <c r="B89" s="49" t="s">
        <v>566</v>
      </c>
      <c r="C89" s="55" t="s">
        <v>249</v>
      </c>
      <c r="D89" s="49"/>
      <c r="E89" s="49"/>
    </row>
    <row r="90" spans="1:5" x14ac:dyDescent="0.25">
      <c r="A90" s="54"/>
      <c r="B90" s="54"/>
      <c r="C90" s="55" t="s">
        <v>339</v>
      </c>
      <c r="D90" s="54"/>
      <c r="E90" s="54"/>
    </row>
    <row r="91" spans="1:5" x14ac:dyDescent="0.25">
      <c r="A91" s="54"/>
      <c r="B91" s="54"/>
      <c r="C91" s="55" t="s">
        <v>251</v>
      </c>
      <c r="D91" s="54"/>
      <c r="E91" s="54"/>
    </row>
    <row r="92" spans="1:5" x14ac:dyDescent="0.25">
      <c r="A92" s="54"/>
      <c r="B92" s="54"/>
      <c r="C92" s="55" t="s">
        <v>567</v>
      </c>
      <c r="D92" s="54"/>
      <c r="E92" s="54"/>
    </row>
    <row r="93" spans="1:5" x14ac:dyDescent="0.25">
      <c r="A93" s="54"/>
      <c r="B93" s="54"/>
      <c r="C93" s="55" t="s">
        <v>568</v>
      </c>
      <c r="D93" s="54"/>
      <c r="E93" s="54"/>
    </row>
    <row r="94" spans="1:5" x14ac:dyDescent="0.25">
      <c r="A94" s="54"/>
      <c r="B94" s="54"/>
      <c r="C94" s="55" t="s">
        <v>569</v>
      </c>
      <c r="D94" s="54"/>
      <c r="E94" s="54"/>
    </row>
    <row r="95" spans="1:5" x14ac:dyDescent="0.25">
      <c r="A95" s="54"/>
      <c r="B95" s="54"/>
      <c r="C95" s="61" t="s">
        <v>570</v>
      </c>
      <c r="D95" s="54"/>
      <c r="E95" s="54"/>
    </row>
    <row r="96" spans="1:5" x14ac:dyDescent="0.25">
      <c r="A96" s="54"/>
      <c r="B96" s="54"/>
      <c r="C96" s="55" t="s">
        <v>571</v>
      </c>
      <c r="D96" s="54"/>
      <c r="E96" s="54"/>
    </row>
    <row r="97" spans="1:5" ht="15.75" thickBot="1" x14ac:dyDescent="0.3">
      <c r="A97" s="51"/>
      <c r="B97" s="51"/>
      <c r="C97" s="56" t="s">
        <v>572</v>
      </c>
      <c r="D97" s="51"/>
      <c r="E97" s="51"/>
    </row>
    <row r="98" spans="1:5" x14ac:dyDescent="0.25">
      <c r="A98" s="49" t="s">
        <v>573</v>
      </c>
      <c r="B98" s="49" t="s">
        <v>574</v>
      </c>
      <c r="C98" s="55" t="s">
        <v>155</v>
      </c>
      <c r="D98" s="49"/>
      <c r="E98" s="49"/>
    </row>
    <row r="99" spans="1:5" x14ac:dyDescent="0.25">
      <c r="A99" s="54"/>
      <c r="B99" s="54"/>
      <c r="C99" s="55" t="s">
        <v>156</v>
      </c>
      <c r="D99" s="54"/>
      <c r="E99" s="54"/>
    </row>
    <row r="100" spans="1:5" ht="15.75" thickBot="1" x14ac:dyDescent="0.3">
      <c r="A100" s="51"/>
      <c r="B100" s="51"/>
      <c r="C100" s="56" t="s">
        <v>157</v>
      </c>
      <c r="D100" s="51"/>
      <c r="E100" s="51"/>
    </row>
    <row r="101" spans="1:5" x14ac:dyDescent="0.25">
      <c r="A101" s="49" t="s">
        <v>575</v>
      </c>
      <c r="B101" s="49" t="s">
        <v>576</v>
      </c>
      <c r="C101" s="58" t="s">
        <v>31</v>
      </c>
      <c r="D101" s="49"/>
      <c r="E101" s="49"/>
    </row>
    <row r="102" spans="1:5" ht="15.75" thickBot="1" x14ac:dyDescent="0.3">
      <c r="A102" s="51"/>
      <c r="B102" s="51"/>
      <c r="C102" s="52" t="s">
        <v>577</v>
      </c>
      <c r="D102" s="51"/>
      <c r="E102" s="51"/>
    </row>
    <row r="103" spans="1:5" x14ac:dyDescent="0.25">
      <c r="A103" s="49" t="s">
        <v>578</v>
      </c>
      <c r="B103" s="49" t="s">
        <v>579</v>
      </c>
      <c r="C103" s="55" t="s">
        <v>580</v>
      </c>
      <c r="D103" s="49"/>
      <c r="E103" s="49"/>
    </row>
    <row r="104" spans="1:5" x14ac:dyDescent="0.25">
      <c r="A104" s="54"/>
      <c r="B104" s="54"/>
      <c r="C104" s="55" t="s">
        <v>249</v>
      </c>
      <c r="D104" s="54"/>
      <c r="E104" s="54"/>
    </row>
    <row r="105" spans="1:5" x14ac:dyDescent="0.25">
      <c r="A105" s="54"/>
      <c r="B105" s="54"/>
      <c r="C105" s="55" t="s">
        <v>339</v>
      </c>
      <c r="D105" s="54"/>
      <c r="E105" s="54"/>
    </row>
    <row r="106" spans="1:5" x14ac:dyDescent="0.25">
      <c r="A106" s="54"/>
      <c r="B106" s="54"/>
      <c r="C106" s="55" t="s">
        <v>581</v>
      </c>
      <c r="D106" s="54"/>
      <c r="E106" s="54"/>
    </row>
    <row r="107" spans="1:5" x14ac:dyDescent="0.25">
      <c r="A107" s="54"/>
      <c r="B107" s="54"/>
      <c r="C107" s="55" t="s">
        <v>582</v>
      </c>
      <c r="D107" s="54"/>
      <c r="E107" s="54"/>
    </row>
    <row r="108" spans="1:5" x14ac:dyDescent="0.25">
      <c r="A108" s="54"/>
      <c r="B108" s="54"/>
      <c r="C108" s="55" t="s">
        <v>583</v>
      </c>
      <c r="D108" s="54"/>
      <c r="E108" s="54"/>
    </row>
    <row r="109" spans="1:5" x14ac:dyDescent="0.25">
      <c r="A109" s="54"/>
      <c r="B109" s="54"/>
      <c r="C109" s="55" t="s">
        <v>584</v>
      </c>
      <c r="D109" s="54"/>
      <c r="E109" s="54"/>
    </row>
    <row r="110" spans="1:5" x14ac:dyDescent="0.25">
      <c r="A110" s="54"/>
      <c r="B110" s="54"/>
      <c r="C110" s="55" t="s">
        <v>251</v>
      </c>
      <c r="D110" s="54"/>
      <c r="E110" s="54"/>
    </row>
    <row r="111" spans="1:5" x14ac:dyDescent="0.25">
      <c r="A111" s="54"/>
      <c r="B111" s="54"/>
      <c r="C111" s="55" t="s">
        <v>585</v>
      </c>
      <c r="D111" s="54"/>
      <c r="E111" s="54"/>
    </row>
    <row r="112" spans="1:5" x14ac:dyDescent="0.25">
      <c r="A112" s="54"/>
      <c r="B112" s="54"/>
      <c r="C112" s="55" t="s">
        <v>586</v>
      </c>
      <c r="D112" s="54"/>
      <c r="E112" s="54"/>
    </row>
    <row r="113" spans="1:5" x14ac:dyDescent="0.25">
      <c r="A113" s="54"/>
      <c r="B113" s="54"/>
      <c r="C113" s="55" t="s">
        <v>583</v>
      </c>
      <c r="D113" s="54"/>
      <c r="E113" s="54"/>
    </row>
    <row r="114" spans="1:5" x14ac:dyDescent="0.25">
      <c r="A114" s="54"/>
      <c r="B114" s="54"/>
      <c r="C114" s="55" t="s">
        <v>587</v>
      </c>
      <c r="D114" s="54"/>
      <c r="E114" s="54"/>
    </row>
    <row r="115" spans="1:5" x14ac:dyDescent="0.25">
      <c r="A115" s="54"/>
      <c r="B115" s="54"/>
      <c r="C115" s="61" t="s">
        <v>570</v>
      </c>
      <c r="D115" s="54"/>
      <c r="E115" s="54"/>
    </row>
    <row r="116" spans="1:5" x14ac:dyDescent="0.25">
      <c r="A116" s="54"/>
      <c r="B116" s="54"/>
      <c r="C116" s="55" t="s">
        <v>588</v>
      </c>
      <c r="D116" s="54"/>
      <c r="E116" s="54"/>
    </row>
    <row r="117" spans="1:5" ht="15.75" thickBot="1" x14ac:dyDescent="0.3">
      <c r="A117" s="51"/>
      <c r="B117" s="51"/>
      <c r="C117" s="56" t="s">
        <v>589</v>
      </c>
      <c r="D117" s="51"/>
      <c r="E117" s="51"/>
    </row>
    <row r="118" spans="1:5" x14ac:dyDescent="0.25">
      <c r="A118" s="49" t="s">
        <v>590</v>
      </c>
      <c r="B118" s="49" t="s">
        <v>591</v>
      </c>
      <c r="C118" s="55" t="s">
        <v>155</v>
      </c>
      <c r="D118" s="49"/>
      <c r="E118" s="49"/>
    </row>
    <row r="119" spans="1:5" x14ac:dyDescent="0.25">
      <c r="A119" s="54"/>
      <c r="B119" s="54"/>
      <c r="C119" s="55" t="s">
        <v>156</v>
      </c>
      <c r="D119" s="54"/>
      <c r="E119" s="54"/>
    </row>
    <row r="120" spans="1:5" ht="15.75" thickBot="1" x14ac:dyDescent="0.3">
      <c r="A120" s="51"/>
      <c r="B120" s="51"/>
      <c r="C120" s="56" t="s">
        <v>157</v>
      </c>
      <c r="D120" s="51"/>
      <c r="E120" s="51"/>
    </row>
    <row r="121" spans="1:5" x14ac:dyDescent="0.25">
      <c r="A121" s="49" t="s">
        <v>592</v>
      </c>
      <c r="B121" s="49" t="s">
        <v>593</v>
      </c>
      <c r="C121" s="58" t="s">
        <v>31</v>
      </c>
      <c r="D121" s="49"/>
      <c r="E121" s="49"/>
    </row>
    <row r="122" spans="1:5" ht="15.75" thickBot="1" x14ac:dyDescent="0.3">
      <c r="A122" s="51"/>
      <c r="B122" s="51"/>
      <c r="C122" s="52" t="s">
        <v>594</v>
      </c>
      <c r="D122" s="51"/>
      <c r="E122" s="51"/>
    </row>
    <row r="123" spans="1:5" x14ac:dyDescent="0.25">
      <c r="A123" s="49" t="s">
        <v>595</v>
      </c>
      <c r="B123" s="49" t="s">
        <v>596</v>
      </c>
      <c r="C123" s="55" t="s">
        <v>597</v>
      </c>
      <c r="D123" s="49"/>
      <c r="E123" s="49"/>
    </row>
    <row r="124" spans="1:5" x14ac:dyDescent="0.25">
      <c r="A124" s="54"/>
      <c r="B124" s="54"/>
      <c r="C124" s="55" t="s">
        <v>583</v>
      </c>
      <c r="D124" s="54"/>
      <c r="E124" s="54"/>
    </row>
    <row r="125" spans="1:5" ht="15.75" thickBot="1" x14ac:dyDescent="0.3">
      <c r="A125" s="51"/>
      <c r="B125" s="51"/>
      <c r="C125" s="56" t="s">
        <v>598</v>
      </c>
      <c r="D125" s="51"/>
      <c r="E125" s="51"/>
    </row>
    <row r="126" spans="1:5" x14ac:dyDescent="0.25">
      <c r="A126" s="49" t="s">
        <v>599</v>
      </c>
      <c r="B126" s="49" t="s">
        <v>600</v>
      </c>
      <c r="C126" s="55" t="s">
        <v>155</v>
      </c>
      <c r="D126" s="49"/>
      <c r="E126" s="49"/>
    </row>
    <row r="127" spans="1:5" x14ac:dyDescent="0.25">
      <c r="A127" s="54"/>
      <c r="B127" s="54"/>
      <c r="C127" s="55" t="s">
        <v>156</v>
      </c>
      <c r="D127" s="54"/>
      <c r="E127" s="54"/>
    </row>
    <row r="128" spans="1:5" ht="15.75" thickBot="1" x14ac:dyDescent="0.3">
      <c r="A128" s="51"/>
      <c r="B128" s="51"/>
      <c r="C128" s="56" t="s">
        <v>157</v>
      </c>
      <c r="D128" s="51"/>
      <c r="E128" s="51"/>
    </row>
    <row r="129" spans="1:5" x14ac:dyDescent="0.25">
      <c r="A129" s="49" t="s">
        <v>601</v>
      </c>
      <c r="B129" s="49" t="s">
        <v>602</v>
      </c>
      <c r="C129" s="58" t="s">
        <v>31</v>
      </c>
      <c r="D129" s="49"/>
      <c r="E129" s="49"/>
    </row>
    <row r="130" spans="1:5" ht="15.75" thickBot="1" x14ac:dyDescent="0.3">
      <c r="A130" s="51"/>
      <c r="B130" s="51"/>
      <c r="C130" s="52" t="s">
        <v>603</v>
      </c>
      <c r="D130" s="51"/>
      <c r="E130" s="51"/>
    </row>
    <row r="131" spans="1:5" x14ac:dyDescent="0.25">
      <c r="A131" s="49" t="s">
        <v>604</v>
      </c>
      <c r="B131" s="49" t="s">
        <v>605</v>
      </c>
      <c r="C131" s="58" t="s">
        <v>31</v>
      </c>
      <c r="D131" s="49"/>
      <c r="E131" s="49"/>
    </row>
    <row r="132" spans="1:5" ht="15.75" thickBot="1" x14ac:dyDescent="0.3">
      <c r="A132" s="51"/>
      <c r="B132" s="51"/>
      <c r="C132" s="52" t="s">
        <v>606</v>
      </c>
      <c r="D132" s="51"/>
      <c r="E132" s="51"/>
    </row>
    <row r="133" spans="1:5" x14ac:dyDescent="0.25">
      <c r="A133" s="49" t="s">
        <v>607</v>
      </c>
      <c r="B133" s="49" t="s">
        <v>608</v>
      </c>
      <c r="C133" s="58" t="s">
        <v>31</v>
      </c>
      <c r="D133" s="49"/>
      <c r="E133" s="49"/>
    </row>
    <row r="134" spans="1:5" ht="15.75" thickBot="1" x14ac:dyDescent="0.3">
      <c r="A134" s="51"/>
      <c r="B134" s="51"/>
      <c r="C134" s="52" t="s">
        <v>609</v>
      </c>
      <c r="D134" s="51"/>
      <c r="E134" s="51"/>
    </row>
    <row r="135" spans="1:5" x14ac:dyDescent="0.25">
      <c r="A135" s="49" t="s">
        <v>610</v>
      </c>
      <c r="B135" s="49" t="s">
        <v>611</v>
      </c>
      <c r="C135" s="58" t="s">
        <v>31</v>
      </c>
      <c r="D135" s="49"/>
      <c r="E135" s="49"/>
    </row>
    <row r="136" spans="1:5" ht="15.75" thickBot="1" x14ac:dyDescent="0.3">
      <c r="A136" s="51"/>
      <c r="B136" s="51"/>
      <c r="C136" s="52" t="s">
        <v>612</v>
      </c>
      <c r="D136" s="51"/>
      <c r="E136" s="51"/>
    </row>
    <row r="137" spans="1:5" x14ac:dyDescent="0.25">
      <c r="A137" s="49" t="s">
        <v>613</v>
      </c>
      <c r="B137" s="49" t="s">
        <v>614</v>
      </c>
      <c r="C137" s="58" t="s">
        <v>31</v>
      </c>
      <c r="D137" s="49"/>
      <c r="E137" s="49"/>
    </row>
    <row r="138" spans="1:5" ht="15.75" thickBot="1" x14ac:dyDescent="0.3">
      <c r="A138" s="51"/>
      <c r="B138" s="51"/>
      <c r="C138" s="52" t="s">
        <v>615</v>
      </c>
      <c r="D138" s="51"/>
      <c r="E138" s="51"/>
    </row>
    <row r="139" spans="1:5" x14ac:dyDescent="0.25">
      <c r="A139" s="49" t="s">
        <v>616</v>
      </c>
      <c r="B139" s="49" t="s">
        <v>617</v>
      </c>
      <c r="C139" s="58" t="s">
        <v>31</v>
      </c>
      <c r="D139" s="49"/>
      <c r="E139" s="49"/>
    </row>
    <row r="140" spans="1:5" ht="15.75" thickBot="1" x14ac:dyDescent="0.3">
      <c r="A140" s="51"/>
      <c r="B140" s="51"/>
      <c r="C140" s="63" t="s">
        <v>618</v>
      </c>
      <c r="D140" s="51"/>
      <c r="E140" s="51"/>
    </row>
    <row r="141" spans="1:5" x14ac:dyDescent="0.25">
      <c r="A141" s="49" t="s">
        <v>619</v>
      </c>
      <c r="B141" s="49" t="s">
        <v>620</v>
      </c>
      <c r="C141" s="58" t="s">
        <v>31</v>
      </c>
      <c r="D141" s="49"/>
      <c r="E141" s="49"/>
    </row>
    <row r="142" spans="1:5" ht="15.75" thickBot="1" x14ac:dyDescent="0.3">
      <c r="A142" s="51"/>
      <c r="B142" s="51"/>
      <c r="C142" s="52" t="s">
        <v>621</v>
      </c>
      <c r="D142" s="51"/>
      <c r="E142" s="51"/>
    </row>
    <row r="143" spans="1:5" x14ac:dyDescent="0.25">
      <c r="A143" s="49" t="s">
        <v>622</v>
      </c>
      <c r="B143" s="49" t="s">
        <v>303</v>
      </c>
      <c r="C143" s="55" t="s">
        <v>293</v>
      </c>
      <c r="D143" s="49"/>
      <c r="E143" s="49"/>
    </row>
    <row r="144" spans="1:5" x14ac:dyDescent="0.25">
      <c r="A144" s="54"/>
      <c r="B144" s="54"/>
      <c r="C144" s="55" t="s">
        <v>254</v>
      </c>
      <c r="D144" s="54"/>
      <c r="E144" s="54"/>
    </row>
    <row r="145" spans="1:5" x14ac:dyDescent="0.25">
      <c r="A145" s="54"/>
      <c r="B145" s="54"/>
      <c r="C145" s="55" t="s">
        <v>304</v>
      </c>
      <c r="D145" s="54"/>
      <c r="E145" s="54"/>
    </row>
    <row r="146" spans="1:5" ht="15.75" thickBot="1" x14ac:dyDescent="0.3">
      <c r="A146" s="51"/>
      <c r="B146" s="51"/>
      <c r="C146" s="56" t="s">
        <v>305</v>
      </c>
      <c r="D146" s="51"/>
      <c r="E146" s="51"/>
    </row>
    <row r="147" spans="1:5" x14ac:dyDescent="0.25">
      <c r="A147" s="49" t="s">
        <v>623</v>
      </c>
      <c r="B147" s="49" t="s">
        <v>306</v>
      </c>
      <c r="C147" s="50" t="s">
        <v>307</v>
      </c>
      <c r="D147" s="49"/>
      <c r="E147" s="49"/>
    </row>
    <row r="148" spans="1:5" x14ac:dyDescent="0.25">
      <c r="A148" s="54"/>
      <c r="B148" s="54"/>
      <c r="C148" s="55" t="s">
        <v>308</v>
      </c>
      <c r="D148" s="54"/>
      <c r="E148" s="54"/>
    </row>
    <row r="149" spans="1:5" x14ac:dyDescent="0.25">
      <c r="A149" s="54"/>
      <c r="B149" s="54"/>
      <c r="C149" s="55" t="s">
        <v>309</v>
      </c>
      <c r="D149" s="54"/>
      <c r="E149" s="54"/>
    </row>
    <row r="150" spans="1:5" x14ac:dyDescent="0.25">
      <c r="A150" s="54"/>
      <c r="B150" s="54"/>
      <c r="C150" s="55" t="s">
        <v>310</v>
      </c>
      <c r="D150" s="54"/>
      <c r="E150" s="54"/>
    </row>
    <row r="151" spans="1:5" x14ac:dyDescent="0.25">
      <c r="A151" s="54"/>
      <c r="B151" s="54"/>
      <c r="C151" s="50" t="s">
        <v>311</v>
      </c>
      <c r="D151" s="54"/>
      <c r="E151" s="54"/>
    </row>
    <row r="152" spans="1:5" ht="15.75" thickBot="1" x14ac:dyDescent="0.3">
      <c r="A152" s="51"/>
      <c r="B152" s="51"/>
      <c r="C152" s="52" t="s">
        <v>624</v>
      </c>
      <c r="D152" s="51"/>
      <c r="E152" s="51"/>
    </row>
    <row r="153" spans="1:5" x14ac:dyDescent="0.25">
      <c r="A153" s="49" t="s">
        <v>625</v>
      </c>
      <c r="B153" s="49" t="s">
        <v>313</v>
      </c>
      <c r="C153" s="55" t="s">
        <v>314</v>
      </c>
      <c r="D153" s="49"/>
      <c r="E153" s="49"/>
    </row>
    <row r="154" spans="1:5" x14ac:dyDescent="0.25">
      <c r="A154" s="54"/>
      <c r="B154" s="54"/>
      <c r="C154" s="55" t="s">
        <v>315</v>
      </c>
      <c r="D154" s="54"/>
      <c r="E154" s="54"/>
    </row>
    <row r="155" spans="1:5" x14ac:dyDescent="0.25">
      <c r="A155" s="54"/>
      <c r="B155" s="54"/>
      <c r="C155" s="55" t="s">
        <v>316</v>
      </c>
      <c r="D155" s="54"/>
      <c r="E155" s="54"/>
    </row>
    <row r="156" spans="1:5" ht="15.75" thickBot="1" x14ac:dyDescent="0.3">
      <c r="A156" s="51"/>
      <c r="B156" s="51"/>
      <c r="C156" s="56" t="s">
        <v>317</v>
      </c>
      <c r="D156" s="51"/>
      <c r="E156" s="51"/>
    </row>
    <row r="157" spans="1:5" x14ac:dyDescent="0.25">
      <c r="A157" s="49" t="s">
        <v>626</v>
      </c>
      <c r="B157" s="49" t="s">
        <v>318</v>
      </c>
      <c r="C157" s="58" t="s">
        <v>31</v>
      </c>
      <c r="D157" s="49"/>
      <c r="E157" s="49"/>
    </row>
    <row r="158" spans="1:5" ht="15.75" thickBot="1" x14ac:dyDescent="0.3">
      <c r="A158" s="51"/>
      <c r="B158" s="51"/>
      <c r="C158" s="52" t="s">
        <v>319</v>
      </c>
      <c r="D158" s="51"/>
      <c r="E158" s="51"/>
    </row>
    <row r="159" spans="1:5" x14ac:dyDescent="0.25">
      <c r="A159" s="49" t="s">
        <v>627</v>
      </c>
      <c r="B159" s="49" t="s">
        <v>320</v>
      </c>
      <c r="C159" s="58" t="s">
        <v>31</v>
      </c>
      <c r="D159" s="49"/>
      <c r="E159" s="49"/>
    </row>
    <row r="160" spans="1:5" ht="15.75" thickBot="1" x14ac:dyDescent="0.3">
      <c r="A160" s="51"/>
      <c r="B160" s="51"/>
      <c r="C160" s="52" t="s">
        <v>321</v>
      </c>
      <c r="D160" s="51"/>
      <c r="E160" s="51"/>
    </row>
    <row r="161" spans="1:5" x14ac:dyDescent="0.25">
      <c r="A161" s="49" t="s">
        <v>628</v>
      </c>
      <c r="B161" s="49" t="s">
        <v>322</v>
      </c>
      <c r="C161" s="58" t="s">
        <v>31</v>
      </c>
      <c r="D161" s="49"/>
      <c r="E161" s="49"/>
    </row>
    <row r="162" spans="1:5" ht="15.75" thickBot="1" x14ac:dyDescent="0.3">
      <c r="A162" s="51"/>
      <c r="B162" s="51"/>
      <c r="C162" s="52" t="s">
        <v>323</v>
      </c>
      <c r="D162" s="51"/>
      <c r="E162" s="51"/>
    </row>
    <row r="163" spans="1:5" x14ac:dyDescent="0.25">
      <c r="A163" s="49" t="s">
        <v>629</v>
      </c>
      <c r="B163" s="49" t="s">
        <v>324</v>
      </c>
      <c r="C163" s="58" t="s">
        <v>31</v>
      </c>
      <c r="D163" s="49"/>
      <c r="E163" s="49"/>
    </row>
    <row r="164" spans="1:5" ht="15.75" thickBot="1" x14ac:dyDescent="0.3">
      <c r="A164" s="51"/>
      <c r="B164" s="51"/>
      <c r="C164" s="52" t="s">
        <v>325</v>
      </c>
      <c r="D164" s="51"/>
      <c r="E164" s="51"/>
    </row>
    <row r="165" spans="1:5" x14ac:dyDescent="0.25">
      <c r="A165" s="49" t="s">
        <v>630</v>
      </c>
      <c r="B165" s="53" t="s">
        <v>20</v>
      </c>
      <c r="C165" s="49" t="s">
        <v>326</v>
      </c>
      <c r="D165" s="49"/>
      <c r="E165" s="49"/>
    </row>
    <row r="166" spans="1:5" x14ac:dyDescent="0.25">
      <c r="A166" s="54"/>
      <c r="B166" s="50" t="s">
        <v>22</v>
      </c>
      <c r="C166" s="54"/>
      <c r="D166" s="54"/>
      <c r="E166" s="54"/>
    </row>
    <row r="167" spans="1:5" x14ac:dyDescent="0.25">
      <c r="A167" s="54"/>
      <c r="B167" s="50" t="s">
        <v>28</v>
      </c>
      <c r="C167" s="54"/>
      <c r="D167" s="54"/>
      <c r="E167" s="54"/>
    </row>
    <row r="168" spans="1:5" ht="15.75" thickBot="1" x14ac:dyDescent="0.3">
      <c r="A168" s="51"/>
      <c r="B168" s="52" t="s">
        <v>24</v>
      </c>
      <c r="C168" s="51"/>
      <c r="D168" s="51"/>
      <c r="E168" s="51"/>
    </row>
    <row r="169" spans="1:5" x14ac:dyDescent="0.25">
      <c r="A169" s="49" t="s">
        <v>631</v>
      </c>
      <c r="B169" s="49" t="s">
        <v>327</v>
      </c>
      <c r="C169" s="55" t="s">
        <v>328</v>
      </c>
      <c r="D169" s="49"/>
      <c r="E169" s="49"/>
    </row>
    <row r="170" spans="1:5" x14ac:dyDescent="0.25">
      <c r="A170" s="54"/>
      <c r="B170" s="54"/>
      <c r="C170" s="55" t="s">
        <v>329</v>
      </c>
      <c r="D170" s="54"/>
      <c r="E170" s="54"/>
    </row>
    <row r="171" spans="1:5" x14ac:dyDescent="0.25">
      <c r="A171" s="54"/>
      <c r="B171" s="54"/>
      <c r="C171" s="61" t="s">
        <v>330</v>
      </c>
      <c r="D171" s="54"/>
      <c r="E171" s="54"/>
    </row>
    <row r="172" spans="1:5" x14ac:dyDescent="0.25">
      <c r="A172" s="54"/>
      <c r="B172" s="54"/>
      <c r="C172" s="55" t="s">
        <v>331</v>
      </c>
      <c r="D172" s="54"/>
      <c r="E172" s="54"/>
    </row>
    <row r="173" spans="1:5" x14ac:dyDescent="0.25">
      <c r="A173" s="54"/>
      <c r="B173" s="54"/>
      <c r="C173" s="55" t="s">
        <v>332</v>
      </c>
      <c r="D173" s="54"/>
      <c r="E173" s="54"/>
    </row>
    <row r="174" spans="1:5" x14ac:dyDescent="0.25">
      <c r="A174" s="54"/>
      <c r="B174" s="54"/>
      <c r="C174" s="55" t="s">
        <v>333</v>
      </c>
      <c r="D174" s="54"/>
      <c r="E174" s="54"/>
    </row>
    <row r="175" spans="1:5" ht="15.75" thickBot="1" x14ac:dyDescent="0.3">
      <c r="A175" s="51"/>
      <c r="B175" s="51"/>
      <c r="C175" s="56" t="s">
        <v>334</v>
      </c>
      <c r="D175" s="51"/>
      <c r="E175" s="51"/>
    </row>
    <row r="176" spans="1:5" x14ac:dyDescent="0.25">
      <c r="A176" s="49" t="s">
        <v>632</v>
      </c>
      <c r="B176" s="49" t="s">
        <v>187</v>
      </c>
      <c r="C176" s="55" t="s">
        <v>328</v>
      </c>
      <c r="D176" s="49"/>
      <c r="E176" s="49"/>
    </row>
    <row r="177" spans="1:5" x14ac:dyDescent="0.25">
      <c r="A177" s="54"/>
      <c r="B177" s="54"/>
      <c r="C177" s="55" t="s">
        <v>335</v>
      </c>
      <c r="D177" s="54"/>
      <c r="E177" s="54"/>
    </row>
    <row r="178" spans="1:5" x14ac:dyDescent="0.25">
      <c r="A178" s="54"/>
      <c r="B178" s="54"/>
      <c r="C178" s="55" t="s">
        <v>336</v>
      </c>
      <c r="D178" s="54"/>
      <c r="E178" s="54"/>
    </row>
    <row r="179" spans="1:5" ht="15.75" thickBot="1" x14ac:dyDescent="0.3">
      <c r="A179" s="51"/>
      <c r="B179" s="51"/>
      <c r="C179" s="56" t="s">
        <v>337</v>
      </c>
      <c r="D179" s="51"/>
      <c r="E179" s="51"/>
    </row>
    <row r="180" spans="1:5" x14ac:dyDescent="0.25">
      <c r="A180" s="49" t="s">
        <v>633</v>
      </c>
      <c r="B180" s="49" t="s">
        <v>338</v>
      </c>
      <c r="C180" s="55" t="s">
        <v>249</v>
      </c>
      <c r="D180" s="49"/>
      <c r="E180" s="49"/>
    </row>
    <row r="181" spans="1:5" x14ac:dyDescent="0.25">
      <c r="A181" s="54"/>
      <c r="B181" s="54"/>
      <c r="C181" s="55" t="s">
        <v>339</v>
      </c>
      <c r="D181" s="54"/>
      <c r="E181" s="54"/>
    </row>
    <row r="182" spans="1:5" ht="15.75" thickBot="1" x14ac:dyDescent="0.3">
      <c r="A182" s="51"/>
      <c r="B182" s="51"/>
      <c r="C182" s="56" t="s">
        <v>340</v>
      </c>
      <c r="D182" s="51"/>
      <c r="E182" s="51"/>
    </row>
    <row r="183" spans="1:5" x14ac:dyDescent="0.25">
      <c r="A183" s="49" t="s">
        <v>634</v>
      </c>
      <c r="B183" s="49" t="s">
        <v>341</v>
      </c>
      <c r="C183" s="58" t="s">
        <v>31</v>
      </c>
      <c r="D183" s="49"/>
      <c r="E183" s="49"/>
    </row>
    <row r="184" spans="1:5" ht="15.75" thickBot="1" x14ac:dyDescent="0.3">
      <c r="A184" s="51"/>
      <c r="B184" s="51"/>
      <c r="C184" s="52" t="s">
        <v>342</v>
      </c>
      <c r="D184" s="51"/>
      <c r="E184" s="51"/>
    </row>
    <row r="185" spans="1:5" x14ac:dyDescent="0.25">
      <c r="A185" s="49" t="s">
        <v>635</v>
      </c>
      <c r="B185" s="64" t="s">
        <v>343</v>
      </c>
      <c r="C185" s="58" t="s">
        <v>344</v>
      </c>
      <c r="D185" s="49"/>
      <c r="E185" s="49"/>
    </row>
    <row r="186" spans="1:5" ht="15.75" thickBot="1" x14ac:dyDescent="0.3">
      <c r="A186" s="51"/>
      <c r="B186" s="65"/>
      <c r="C186" s="63" t="s">
        <v>345</v>
      </c>
      <c r="D186" s="51"/>
      <c r="E186" s="51"/>
    </row>
    <row r="187" spans="1:5" x14ac:dyDescent="0.25">
      <c r="A187" s="49" t="s">
        <v>636</v>
      </c>
      <c r="B187" s="49" t="s">
        <v>346</v>
      </c>
      <c r="C187" s="55" t="s">
        <v>249</v>
      </c>
      <c r="D187" s="49"/>
      <c r="E187" s="49"/>
    </row>
    <row r="188" spans="1:5" x14ac:dyDescent="0.25">
      <c r="A188" s="54"/>
      <c r="B188" s="54"/>
      <c r="C188" s="55" t="s">
        <v>339</v>
      </c>
      <c r="D188" s="54"/>
      <c r="E188" s="54"/>
    </row>
    <row r="189" spans="1:5" x14ac:dyDescent="0.25">
      <c r="A189" s="54"/>
      <c r="B189" s="54"/>
      <c r="C189" s="55" t="s">
        <v>209</v>
      </c>
      <c r="D189" s="54"/>
      <c r="E189" s="54"/>
    </row>
    <row r="190" spans="1:5" x14ac:dyDescent="0.25">
      <c r="A190" s="54"/>
      <c r="B190" s="54"/>
      <c r="C190" s="55" t="s">
        <v>347</v>
      </c>
      <c r="D190" s="54"/>
      <c r="E190" s="54"/>
    </row>
    <row r="191" spans="1:5" x14ac:dyDescent="0.25">
      <c r="A191" s="54"/>
      <c r="B191" s="54"/>
      <c r="C191" s="55" t="s">
        <v>348</v>
      </c>
      <c r="D191" s="54"/>
      <c r="E191" s="54"/>
    </row>
    <row r="192" spans="1:5" x14ac:dyDescent="0.25">
      <c r="A192" s="54"/>
      <c r="B192" s="54"/>
      <c r="C192" s="55" t="s">
        <v>349</v>
      </c>
      <c r="D192" s="54"/>
      <c r="E192" s="54"/>
    </row>
    <row r="193" spans="1:5" ht="15.75" thickBot="1" x14ac:dyDescent="0.3">
      <c r="A193" s="51"/>
      <c r="B193" s="51"/>
      <c r="C193" s="56" t="s">
        <v>350</v>
      </c>
      <c r="D193" s="51"/>
      <c r="E193" s="51"/>
    </row>
    <row r="194" spans="1:5" x14ac:dyDescent="0.25">
      <c r="A194" s="49" t="s">
        <v>637</v>
      </c>
      <c r="B194" s="49" t="s">
        <v>351</v>
      </c>
      <c r="C194" s="58" t="s">
        <v>31</v>
      </c>
      <c r="D194" s="49"/>
      <c r="E194" s="49"/>
    </row>
    <row r="195" spans="1:5" ht="15.75" thickBot="1" x14ac:dyDescent="0.3">
      <c r="A195" s="51"/>
      <c r="B195" s="51"/>
      <c r="C195" s="52" t="s">
        <v>352</v>
      </c>
      <c r="D195" s="51"/>
      <c r="E195" s="51"/>
    </row>
    <row r="196" spans="1:5" x14ac:dyDescent="0.25">
      <c r="A196" s="49" t="s">
        <v>638</v>
      </c>
      <c r="B196" s="49" t="s">
        <v>353</v>
      </c>
      <c r="C196" s="58" t="s">
        <v>31</v>
      </c>
      <c r="D196" s="49"/>
      <c r="E196" s="49"/>
    </row>
    <row r="197" spans="1:5" ht="15.75" thickBot="1" x14ac:dyDescent="0.3">
      <c r="A197" s="51"/>
      <c r="B197" s="51"/>
      <c r="C197" s="52" t="s">
        <v>354</v>
      </c>
      <c r="D197" s="51"/>
      <c r="E197" s="51"/>
    </row>
    <row r="198" spans="1:5" ht="15.75" thickBot="1" x14ac:dyDescent="0.3">
      <c r="A198" s="57" t="s">
        <v>639</v>
      </c>
      <c r="B198" s="52" t="s">
        <v>355</v>
      </c>
      <c r="C198" s="52" t="s">
        <v>640</v>
      </c>
      <c r="D198" s="52"/>
      <c r="E198" s="52"/>
    </row>
    <row r="199" spans="1:5" ht="15.75" thickBot="1" x14ac:dyDescent="0.3">
      <c r="A199" s="57" t="s">
        <v>641</v>
      </c>
      <c r="B199" s="52" t="s">
        <v>358</v>
      </c>
      <c r="C199" s="52" t="s">
        <v>359</v>
      </c>
      <c r="D199" s="52"/>
      <c r="E199" s="52"/>
    </row>
    <row r="200" spans="1:5" x14ac:dyDescent="0.25">
      <c r="A200" s="49" t="s">
        <v>642</v>
      </c>
      <c r="B200" s="49" t="s">
        <v>360</v>
      </c>
      <c r="C200" s="61" t="s">
        <v>361</v>
      </c>
      <c r="D200" s="49"/>
      <c r="E200" s="49"/>
    </row>
    <row r="201" spans="1:5" x14ac:dyDescent="0.25">
      <c r="A201" s="54"/>
      <c r="B201" s="54"/>
      <c r="C201" s="50" t="s">
        <v>362</v>
      </c>
      <c r="D201" s="54"/>
      <c r="E201" s="54"/>
    </row>
    <row r="202" spans="1:5" x14ac:dyDescent="0.25">
      <c r="A202" s="54"/>
      <c r="B202" s="54"/>
      <c r="C202" s="55" t="s">
        <v>363</v>
      </c>
      <c r="D202" s="54"/>
      <c r="E202" s="54"/>
    </row>
    <row r="203" spans="1:5" x14ac:dyDescent="0.25">
      <c r="A203" s="54"/>
      <c r="B203" s="54"/>
      <c r="C203" s="55" t="s">
        <v>364</v>
      </c>
      <c r="D203" s="54"/>
      <c r="E203" s="54"/>
    </row>
    <row r="204" spans="1:5" x14ac:dyDescent="0.25">
      <c r="A204" s="54"/>
      <c r="B204" s="54"/>
      <c r="C204" s="55" t="s">
        <v>365</v>
      </c>
      <c r="D204" s="54"/>
      <c r="E204" s="54"/>
    </row>
    <row r="205" spans="1:5" x14ac:dyDescent="0.25">
      <c r="A205" s="54"/>
      <c r="B205" s="54"/>
      <c r="C205" s="55" t="s">
        <v>366</v>
      </c>
      <c r="D205" s="54"/>
      <c r="E205" s="54"/>
    </row>
    <row r="206" spans="1:5" x14ac:dyDescent="0.25">
      <c r="A206" s="54"/>
      <c r="B206" s="54"/>
      <c r="C206" s="55" t="s">
        <v>367</v>
      </c>
      <c r="D206" s="54"/>
      <c r="E206" s="54"/>
    </row>
    <row r="207" spans="1:5" x14ac:dyDescent="0.25">
      <c r="A207" s="54"/>
      <c r="B207" s="54"/>
      <c r="C207" s="55" t="s">
        <v>368</v>
      </c>
      <c r="D207" s="54"/>
      <c r="E207" s="54"/>
    </row>
    <row r="208" spans="1:5" x14ac:dyDescent="0.25">
      <c r="A208" s="54"/>
      <c r="B208" s="54"/>
      <c r="C208" s="55" t="s">
        <v>369</v>
      </c>
      <c r="D208" s="54"/>
      <c r="E208" s="54"/>
    </row>
    <row r="209" spans="1:5" ht="15.75" thickBot="1" x14ac:dyDescent="0.3">
      <c r="A209" s="51"/>
      <c r="B209" s="51"/>
      <c r="C209" s="52" t="s">
        <v>643</v>
      </c>
      <c r="D209" s="51"/>
      <c r="E209" s="51"/>
    </row>
    <row r="210" spans="1:5" x14ac:dyDescent="0.25">
      <c r="A210" s="49" t="s">
        <v>644</v>
      </c>
      <c r="B210" s="49" t="s">
        <v>645</v>
      </c>
      <c r="C210" s="50" t="s">
        <v>372</v>
      </c>
      <c r="D210" s="49"/>
      <c r="E210" s="49"/>
    </row>
    <row r="211" spans="1:5" x14ac:dyDescent="0.25">
      <c r="A211" s="54"/>
      <c r="B211" s="54"/>
      <c r="C211" s="55" t="s">
        <v>365</v>
      </c>
      <c r="D211" s="54"/>
      <c r="E211" s="54"/>
    </row>
    <row r="212" spans="1:5" x14ac:dyDescent="0.25">
      <c r="A212" s="54"/>
      <c r="B212" s="54"/>
      <c r="C212" s="55" t="s">
        <v>366</v>
      </c>
      <c r="D212" s="54"/>
      <c r="E212" s="54"/>
    </row>
    <row r="213" spans="1:5" x14ac:dyDescent="0.25">
      <c r="A213" s="54"/>
      <c r="B213" s="54"/>
      <c r="C213" s="55" t="s">
        <v>367</v>
      </c>
      <c r="D213" s="54"/>
      <c r="E213" s="54"/>
    </row>
    <row r="214" spans="1:5" x14ac:dyDescent="0.25">
      <c r="A214" s="54"/>
      <c r="B214" s="54"/>
      <c r="C214" s="55" t="s">
        <v>373</v>
      </c>
      <c r="D214" s="54"/>
      <c r="E214" s="54"/>
    </row>
    <row r="215" spans="1:5" ht="15.75" thickBot="1" x14ac:dyDescent="0.3">
      <c r="A215" s="51"/>
      <c r="B215" s="51"/>
      <c r="C215" s="52" t="s">
        <v>374</v>
      </c>
      <c r="D215" s="51"/>
      <c r="E215" s="51"/>
    </row>
    <row r="216" spans="1:5" x14ac:dyDescent="0.25">
      <c r="A216" s="49" t="s">
        <v>646</v>
      </c>
      <c r="B216" s="49" t="s">
        <v>375</v>
      </c>
      <c r="C216" s="55" t="s">
        <v>376</v>
      </c>
      <c r="D216" s="49"/>
      <c r="E216" s="49"/>
    </row>
    <row r="217" spans="1:5" ht="15.75" thickBot="1" x14ac:dyDescent="0.3">
      <c r="A217" s="51"/>
      <c r="B217" s="51"/>
      <c r="C217" s="56" t="s">
        <v>377</v>
      </c>
      <c r="D217" s="51"/>
      <c r="E217" s="51"/>
    </row>
    <row r="218" spans="1:5" x14ac:dyDescent="0.25">
      <c r="A218" s="49" t="s">
        <v>647</v>
      </c>
      <c r="B218" s="49" t="s">
        <v>378</v>
      </c>
      <c r="C218" s="55" t="s">
        <v>376</v>
      </c>
      <c r="D218" s="49"/>
      <c r="E218" s="49"/>
    </row>
    <row r="219" spans="1:5" x14ac:dyDescent="0.25">
      <c r="A219" s="54"/>
      <c r="B219" s="54"/>
      <c r="C219" s="55" t="s">
        <v>379</v>
      </c>
      <c r="D219" s="54"/>
      <c r="E219" s="54"/>
    </row>
    <row r="220" spans="1:5" ht="15.75" thickBot="1" x14ac:dyDescent="0.3">
      <c r="A220" s="51"/>
      <c r="B220" s="51"/>
      <c r="C220" s="56" t="s">
        <v>380</v>
      </c>
      <c r="D220" s="51"/>
      <c r="E220" s="51"/>
    </row>
    <row r="221" spans="1:5" x14ac:dyDescent="0.25">
      <c r="A221" s="49" t="s">
        <v>648</v>
      </c>
      <c r="B221" s="49" t="s">
        <v>381</v>
      </c>
      <c r="C221" s="55" t="s">
        <v>382</v>
      </c>
      <c r="D221" s="49"/>
      <c r="E221" s="49"/>
    </row>
    <row r="222" spans="1:5" x14ac:dyDescent="0.25">
      <c r="A222" s="54"/>
      <c r="B222" s="54"/>
      <c r="C222" s="55" t="s">
        <v>383</v>
      </c>
      <c r="D222" s="54"/>
      <c r="E222" s="54"/>
    </row>
    <row r="223" spans="1:5" ht="15.75" thickBot="1" x14ac:dyDescent="0.3">
      <c r="A223" s="51"/>
      <c r="B223" s="51"/>
      <c r="C223" s="56" t="s">
        <v>384</v>
      </c>
      <c r="D223" s="51"/>
      <c r="E223" s="51"/>
    </row>
    <row r="224" spans="1:5" ht="15.75" thickBot="1" x14ac:dyDescent="0.3">
      <c r="A224" s="57" t="s">
        <v>649</v>
      </c>
      <c r="B224" s="52" t="s">
        <v>650</v>
      </c>
      <c r="C224" s="52" t="s">
        <v>651</v>
      </c>
      <c r="D224" s="52"/>
      <c r="E224" s="52"/>
    </row>
    <row r="225" spans="1:5" x14ac:dyDescent="0.25">
      <c r="A225" s="49" t="s">
        <v>652</v>
      </c>
      <c r="B225" s="49" t="s">
        <v>390</v>
      </c>
      <c r="C225" s="55" t="s">
        <v>382</v>
      </c>
      <c r="D225" s="49"/>
      <c r="E225" s="49"/>
    </row>
    <row r="226" spans="1:5" x14ac:dyDescent="0.25">
      <c r="A226" s="54"/>
      <c r="B226" s="54"/>
      <c r="C226" s="55" t="s">
        <v>383</v>
      </c>
      <c r="D226" s="54"/>
      <c r="E226" s="54"/>
    </row>
    <row r="227" spans="1:5" x14ac:dyDescent="0.25">
      <c r="A227" s="54"/>
      <c r="B227" s="54"/>
      <c r="C227" s="55" t="s">
        <v>391</v>
      </c>
      <c r="D227" s="54"/>
      <c r="E227" s="54"/>
    </row>
    <row r="228" spans="1:5" ht="15.75" thickBot="1" x14ac:dyDescent="0.3">
      <c r="A228" s="51"/>
      <c r="B228" s="51"/>
      <c r="C228" s="56" t="s">
        <v>392</v>
      </c>
      <c r="D228" s="51"/>
      <c r="E228" s="51"/>
    </row>
    <row r="229" spans="1:5" x14ac:dyDescent="0.25">
      <c r="A229" s="49" t="s">
        <v>653</v>
      </c>
      <c r="B229" s="49" t="s">
        <v>393</v>
      </c>
      <c r="C229" s="58" t="s">
        <v>31</v>
      </c>
      <c r="D229" s="49"/>
      <c r="E229" s="49"/>
    </row>
    <row r="230" spans="1:5" ht="15.75" thickBot="1" x14ac:dyDescent="0.3">
      <c r="A230" s="51"/>
      <c r="B230" s="51"/>
      <c r="C230" s="52" t="s">
        <v>394</v>
      </c>
      <c r="D230" s="51"/>
      <c r="E230" s="51"/>
    </row>
    <row r="231" spans="1:5" x14ac:dyDescent="0.25">
      <c r="A231" s="49" t="s">
        <v>654</v>
      </c>
      <c r="B231" s="49" t="s">
        <v>395</v>
      </c>
      <c r="C231" s="50" t="s">
        <v>396</v>
      </c>
      <c r="D231" s="49"/>
      <c r="E231" s="49"/>
    </row>
    <row r="232" spans="1:5" x14ac:dyDescent="0.25">
      <c r="A232" s="54"/>
      <c r="B232" s="54"/>
      <c r="C232" s="50" t="s">
        <v>397</v>
      </c>
      <c r="D232" s="54"/>
      <c r="E232" s="54"/>
    </row>
    <row r="233" spans="1:5" ht="15.75" thickBot="1" x14ac:dyDescent="0.3">
      <c r="A233" s="51"/>
      <c r="B233" s="51"/>
      <c r="C233" s="66" t="s">
        <v>398</v>
      </c>
      <c r="D233" s="51"/>
      <c r="E233" s="51"/>
    </row>
    <row r="234" spans="1:5" x14ac:dyDescent="0.25">
      <c r="A234" s="49" t="s">
        <v>655</v>
      </c>
      <c r="B234" s="49" t="s">
        <v>399</v>
      </c>
      <c r="C234" s="55" t="s">
        <v>382</v>
      </c>
      <c r="D234" s="49"/>
      <c r="E234" s="49"/>
    </row>
    <row r="235" spans="1:5" x14ac:dyDescent="0.25">
      <c r="A235" s="54"/>
      <c r="B235" s="54"/>
      <c r="C235" s="55" t="s">
        <v>383</v>
      </c>
      <c r="D235" s="54"/>
      <c r="E235" s="54"/>
    </row>
    <row r="236" spans="1:5" x14ac:dyDescent="0.25">
      <c r="A236" s="54"/>
      <c r="B236" s="54"/>
      <c r="C236" s="55" t="s">
        <v>391</v>
      </c>
      <c r="D236" s="54"/>
      <c r="E236" s="54"/>
    </row>
    <row r="237" spans="1:5" ht="15.75" thickBot="1" x14ac:dyDescent="0.3">
      <c r="A237" s="51"/>
      <c r="B237" s="51"/>
      <c r="C237" s="56" t="s">
        <v>392</v>
      </c>
      <c r="D237" s="51"/>
      <c r="E237" s="51"/>
    </row>
    <row r="238" spans="1:5" x14ac:dyDescent="0.25">
      <c r="A238" s="49" t="s">
        <v>656</v>
      </c>
      <c r="B238" s="49" t="s">
        <v>400</v>
      </c>
      <c r="C238" s="58" t="s">
        <v>31</v>
      </c>
      <c r="D238" s="49"/>
      <c r="E238" s="49"/>
    </row>
    <row r="239" spans="1:5" ht="15.75" thickBot="1" x14ac:dyDescent="0.3">
      <c r="A239" s="51"/>
      <c r="B239" s="51"/>
      <c r="C239" s="52" t="s">
        <v>657</v>
      </c>
      <c r="D239" s="51"/>
      <c r="E239" s="51"/>
    </row>
    <row r="240" spans="1:5" x14ac:dyDescent="0.25">
      <c r="A240" s="49" t="s">
        <v>658</v>
      </c>
      <c r="B240" s="49" t="s">
        <v>402</v>
      </c>
      <c r="C240" s="50" t="s">
        <v>396</v>
      </c>
      <c r="D240" s="49"/>
      <c r="E240" s="49"/>
    </row>
    <row r="241" spans="1:5" x14ac:dyDescent="0.25">
      <c r="A241" s="54"/>
      <c r="B241" s="54"/>
      <c r="C241" s="50" t="s">
        <v>397</v>
      </c>
      <c r="D241" s="54"/>
      <c r="E241" s="54"/>
    </row>
    <row r="242" spans="1:5" ht="15.75" thickBot="1" x14ac:dyDescent="0.3">
      <c r="A242" s="51"/>
      <c r="B242" s="51"/>
      <c r="C242" s="66" t="s">
        <v>398</v>
      </c>
      <c r="D242" s="51"/>
      <c r="E242" s="51"/>
    </row>
    <row r="243" spans="1:5" x14ac:dyDescent="0.25">
      <c r="A243" s="49" t="s">
        <v>659</v>
      </c>
      <c r="B243" s="49" t="s">
        <v>405</v>
      </c>
      <c r="C243" s="55" t="s">
        <v>249</v>
      </c>
      <c r="D243" s="49"/>
      <c r="E243" s="49"/>
    </row>
    <row r="244" spans="1:5" x14ac:dyDescent="0.25">
      <c r="A244" s="54"/>
      <c r="B244" s="54"/>
      <c r="C244" s="55" t="s">
        <v>406</v>
      </c>
      <c r="D244" s="54"/>
      <c r="E244" s="54"/>
    </row>
    <row r="245" spans="1:5" x14ac:dyDescent="0.25">
      <c r="A245" s="54"/>
      <c r="B245" s="54"/>
      <c r="C245" s="55" t="s">
        <v>407</v>
      </c>
      <c r="D245" s="54"/>
      <c r="E245" s="54"/>
    </row>
    <row r="246" spans="1:5" x14ac:dyDescent="0.25">
      <c r="A246" s="54"/>
      <c r="B246" s="54"/>
      <c r="C246" s="55" t="s">
        <v>392</v>
      </c>
      <c r="D246" s="54"/>
      <c r="E246" s="54"/>
    </row>
    <row r="247" spans="1:5" ht="15.75" thickBot="1" x14ac:dyDescent="0.3">
      <c r="A247" s="51"/>
      <c r="B247" s="51"/>
      <c r="C247" s="66" t="s">
        <v>408</v>
      </c>
      <c r="D247" s="51"/>
      <c r="E247" s="51"/>
    </row>
    <row r="248" spans="1:5" x14ac:dyDescent="0.25">
      <c r="A248" s="49" t="s">
        <v>660</v>
      </c>
      <c r="B248" s="49" t="s">
        <v>409</v>
      </c>
      <c r="C248" s="55" t="s">
        <v>249</v>
      </c>
      <c r="D248" s="49"/>
      <c r="E248" s="49"/>
    </row>
    <row r="249" spans="1:5" x14ac:dyDescent="0.25">
      <c r="A249" s="54"/>
      <c r="B249" s="54"/>
      <c r="C249" s="55" t="s">
        <v>410</v>
      </c>
      <c r="D249" s="54"/>
      <c r="E249" s="54"/>
    </row>
    <row r="250" spans="1:5" x14ac:dyDescent="0.25">
      <c r="A250" s="54"/>
      <c r="B250" s="54"/>
      <c r="C250" s="55" t="s">
        <v>411</v>
      </c>
      <c r="D250" s="54"/>
      <c r="E250" s="54"/>
    </row>
    <row r="251" spans="1:5" ht="15.75" thickBot="1" x14ac:dyDescent="0.3">
      <c r="A251" s="51"/>
      <c r="B251" s="51"/>
      <c r="C251" s="66" t="s">
        <v>408</v>
      </c>
      <c r="D251" s="51"/>
      <c r="E251" s="51"/>
    </row>
    <row r="252" spans="1:5" x14ac:dyDescent="0.25">
      <c r="A252" s="49" t="s">
        <v>661</v>
      </c>
      <c r="B252" s="49" t="s">
        <v>412</v>
      </c>
      <c r="C252" s="58" t="s">
        <v>662</v>
      </c>
      <c r="D252" s="49"/>
      <c r="E252" s="49"/>
    </row>
    <row r="253" spans="1:5" ht="15.75" thickBot="1" x14ac:dyDescent="0.3">
      <c r="A253" s="51"/>
      <c r="B253" s="51"/>
      <c r="C253" s="52" t="s">
        <v>663</v>
      </c>
      <c r="D253" s="51"/>
      <c r="E253" s="51"/>
    </row>
    <row r="254" spans="1:5" ht="15.75" thickBot="1" x14ac:dyDescent="0.3">
      <c r="A254" s="57" t="s">
        <v>664</v>
      </c>
      <c r="B254" s="52" t="s">
        <v>665</v>
      </c>
      <c r="C254" s="52" t="s">
        <v>666</v>
      </c>
      <c r="D254" s="52"/>
      <c r="E254" s="52"/>
    </row>
    <row r="255" spans="1:5" x14ac:dyDescent="0.25">
      <c r="A255" s="49" t="s">
        <v>667</v>
      </c>
      <c r="B255" s="49" t="s">
        <v>668</v>
      </c>
      <c r="C255" s="55" t="s">
        <v>669</v>
      </c>
      <c r="D255" s="49"/>
      <c r="E255" s="49"/>
    </row>
    <row r="256" spans="1:5" x14ac:dyDescent="0.25">
      <c r="A256" s="54"/>
      <c r="B256" s="54"/>
      <c r="C256" s="55" t="s">
        <v>670</v>
      </c>
      <c r="D256" s="54"/>
      <c r="E256" s="54"/>
    </row>
    <row r="257" spans="1:5" x14ac:dyDescent="0.25">
      <c r="A257" s="54"/>
      <c r="B257" s="54"/>
      <c r="C257" s="55" t="s">
        <v>446</v>
      </c>
      <c r="D257" s="54"/>
      <c r="E257" s="54"/>
    </row>
    <row r="258" spans="1:5" x14ac:dyDescent="0.25">
      <c r="A258" s="54"/>
      <c r="B258" s="54"/>
      <c r="C258" s="55" t="s">
        <v>447</v>
      </c>
      <c r="D258" s="54"/>
      <c r="E258" s="54"/>
    </row>
    <row r="259" spans="1:5" x14ac:dyDescent="0.25">
      <c r="A259" s="54"/>
      <c r="B259" s="54"/>
      <c r="C259" s="55" t="s">
        <v>448</v>
      </c>
      <c r="D259" s="54"/>
      <c r="E259" s="54"/>
    </row>
    <row r="260" spans="1:5" ht="15.75" thickBot="1" x14ac:dyDescent="0.3">
      <c r="A260" s="51"/>
      <c r="B260" s="51"/>
      <c r="C260" s="56" t="s">
        <v>450</v>
      </c>
      <c r="D260" s="51"/>
      <c r="E260" s="51"/>
    </row>
    <row r="261" spans="1:5" x14ac:dyDescent="0.25">
      <c r="A261" s="49" t="s">
        <v>671</v>
      </c>
      <c r="B261" s="49" t="s">
        <v>672</v>
      </c>
      <c r="C261" s="53" t="s">
        <v>452</v>
      </c>
      <c r="D261" s="49"/>
      <c r="E261" s="49"/>
    </row>
    <row r="262" spans="1:5" x14ac:dyDescent="0.25">
      <c r="A262" s="54"/>
      <c r="B262" s="54"/>
      <c r="C262" s="58" t="s">
        <v>413</v>
      </c>
      <c r="D262" s="54"/>
      <c r="E262" s="54"/>
    </row>
    <row r="263" spans="1:5" ht="15.75" thickBot="1" x14ac:dyDescent="0.3">
      <c r="A263" s="51"/>
      <c r="B263" s="51"/>
      <c r="C263" s="52" t="s">
        <v>673</v>
      </c>
      <c r="D263" s="51"/>
      <c r="E263" s="51"/>
    </row>
    <row r="264" spans="1:5" x14ac:dyDescent="0.25">
      <c r="A264" s="49" t="s">
        <v>674</v>
      </c>
      <c r="B264" s="49" t="s">
        <v>454</v>
      </c>
      <c r="C264" s="50" t="s">
        <v>455</v>
      </c>
      <c r="D264" s="49"/>
      <c r="E264" s="49"/>
    </row>
    <row r="265" spans="1:5" ht="15.75" thickBot="1" x14ac:dyDescent="0.3">
      <c r="A265" s="51"/>
      <c r="B265" s="51"/>
      <c r="C265" s="67" t="s">
        <v>456</v>
      </c>
      <c r="D265" s="51"/>
      <c r="E265" s="51"/>
    </row>
    <row r="266" spans="1:5" x14ac:dyDescent="0.25">
      <c r="A266" s="49" t="s">
        <v>675</v>
      </c>
      <c r="B266" s="49" t="s">
        <v>457</v>
      </c>
      <c r="C266" s="58" t="s">
        <v>458</v>
      </c>
      <c r="D266" s="49"/>
      <c r="E266" s="49"/>
    </row>
    <row r="267" spans="1:5" ht="15.75" thickBot="1" x14ac:dyDescent="0.3">
      <c r="A267" s="51"/>
      <c r="B267" s="51"/>
      <c r="C267" s="52" t="s">
        <v>459</v>
      </c>
      <c r="D267" s="51"/>
      <c r="E267" s="5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3"/>
  <sheetViews>
    <sheetView workbookViewId="0">
      <selection activeCell="A32" sqref="A32"/>
    </sheetView>
  </sheetViews>
  <sheetFormatPr defaultRowHeight="15" x14ac:dyDescent="0.25"/>
  <cols>
    <col min="1" max="1" width="98.140625" bestFit="1" customWidth="1"/>
    <col min="3" max="3" width="78" bestFit="1" customWidth="1"/>
  </cols>
  <sheetData>
    <row r="1" spans="1:5" x14ac:dyDescent="0.25">
      <c r="A1" s="90" t="s">
        <v>959</v>
      </c>
      <c r="B1" t="s">
        <v>960</v>
      </c>
      <c r="C1" t="s">
        <v>973</v>
      </c>
      <c r="D1" t="s">
        <v>974</v>
      </c>
      <c r="E1">
        <v>7532</v>
      </c>
    </row>
    <row r="2" spans="1:5" x14ac:dyDescent="0.25">
      <c r="A2" s="90" t="s">
        <v>961</v>
      </c>
      <c r="B2" t="s">
        <v>960</v>
      </c>
      <c r="C2" t="s">
        <v>975</v>
      </c>
      <c r="D2" t="s">
        <v>974</v>
      </c>
    </row>
    <row r="3" spans="1:5" x14ac:dyDescent="0.25">
      <c r="A3" s="90" t="s">
        <v>962</v>
      </c>
      <c r="B3" t="s">
        <v>960</v>
      </c>
      <c r="C3" t="s">
        <v>976</v>
      </c>
      <c r="D3" t="s">
        <v>974</v>
      </c>
      <c r="E3">
        <v>7532</v>
      </c>
    </row>
    <row r="4" spans="1:5" x14ac:dyDescent="0.25">
      <c r="A4" s="90" t="s">
        <v>963</v>
      </c>
      <c r="B4" t="s">
        <v>960</v>
      </c>
      <c r="C4" t="s">
        <v>977</v>
      </c>
      <c r="D4" t="s">
        <v>974</v>
      </c>
      <c r="E4">
        <v>7532</v>
      </c>
    </row>
    <row r="5" spans="1:5" x14ac:dyDescent="0.25">
      <c r="A5" s="90" t="s">
        <v>964</v>
      </c>
      <c r="B5" t="s">
        <v>960</v>
      </c>
      <c r="C5" t="s">
        <v>978</v>
      </c>
      <c r="D5" t="s">
        <v>974</v>
      </c>
    </row>
    <row r="6" spans="1:5" x14ac:dyDescent="0.25">
      <c r="A6" s="90" t="s">
        <v>965</v>
      </c>
      <c r="B6" t="s">
        <v>960</v>
      </c>
      <c r="C6" t="s">
        <v>979</v>
      </c>
      <c r="D6" t="s">
        <v>974</v>
      </c>
    </row>
    <row r="7" spans="1:5" x14ac:dyDescent="0.25">
      <c r="A7" s="90" t="s">
        <v>966</v>
      </c>
      <c r="B7" t="s">
        <v>960</v>
      </c>
      <c r="C7" t="s">
        <v>980</v>
      </c>
      <c r="D7" t="s">
        <v>974</v>
      </c>
      <c r="E7">
        <v>7532</v>
      </c>
    </row>
    <row r="8" spans="1:5" x14ac:dyDescent="0.25">
      <c r="A8" s="90" t="s">
        <v>967</v>
      </c>
      <c r="B8" t="s">
        <v>960</v>
      </c>
      <c r="C8" t="s">
        <v>981</v>
      </c>
      <c r="D8" t="s">
        <v>974</v>
      </c>
    </row>
    <row r="9" spans="1:5" x14ac:dyDescent="0.25">
      <c r="A9" s="90" t="s">
        <v>968</v>
      </c>
      <c r="B9" t="s">
        <v>960</v>
      </c>
      <c r="C9" t="s">
        <v>982</v>
      </c>
      <c r="D9" t="s">
        <v>974</v>
      </c>
      <c r="E9">
        <v>7532</v>
      </c>
    </row>
    <row r="10" spans="1:5" x14ac:dyDescent="0.25">
      <c r="A10" s="90" t="s">
        <v>969</v>
      </c>
      <c r="B10" t="s">
        <v>960</v>
      </c>
      <c r="C10" t="s">
        <v>983</v>
      </c>
      <c r="D10" t="s">
        <v>974</v>
      </c>
      <c r="E10">
        <v>7532</v>
      </c>
    </row>
    <row r="11" spans="1:5" x14ac:dyDescent="0.25">
      <c r="A11" s="90" t="s">
        <v>970</v>
      </c>
      <c r="B11" t="s">
        <v>960</v>
      </c>
      <c r="C11" t="s">
        <v>984</v>
      </c>
      <c r="D11" t="s">
        <v>974</v>
      </c>
      <c r="E11">
        <v>7532</v>
      </c>
    </row>
    <row r="12" spans="1:5" x14ac:dyDescent="0.25">
      <c r="A12" s="90" t="s">
        <v>971</v>
      </c>
      <c r="B12" t="s">
        <v>960</v>
      </c>
      <c r="C12" t="s">
        <v>985</v>
      </c>
      <c r="D12" t="s">
        <v>974</v>
      </c>
      <c r="E12">
        <v>7532</v>
      </c>
    </row>
    <row r="13" spans="1:5" x14ac:dyDescent="0.25">
      <c r="A13" s="90" t="s">
        <v>972</v>
      </c>
      <c r="B13" t="s">
        <v>960</v>
      </c>
      <c r="C13" t="s">
        <v>986</v>
      </c>
      <c r="D13" t="s">
        <v>974</v>
      </c>
      <c r="E13">
        <v>7532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Summary</vt:lpstr>
      <vt:lpstr>Test Case</vt:lpstr>
      <vt:lpstr>Automated Instructions</vt:lpstr>
      <vt:lpstr>Internal</vt:lpstr>
      <vt:lpstr>External</vt:lpstr>
      <vt:lpstr>External - Recurring</vt:lpstr>
      <vt:lpstr>Investment Reversal</vt:lpstr>
      <vt:lpstr>Alter Investment</vt:lpstr>
      <vt:lpstr>External - Policy AccountingSCI</vt:lpstr>
      <vt:lpstr>Internal - Policy AccountinSCI</vt:lpstr>
      <vt:lpstr>Sheet1</vt:lpstr>
      <vt:lpstr>Sheet2</vt:lpstr>
      <vt:lpstr>'Alter Investment'!Print_Area</vt:lpstr>
      <vt:lpstr>External!Print_Area</vt:lpstr>
      <vt:lpstr>'External - Recurring'!Print_Area</vt:lpstr>
      <vt:lpstr>Internal!Print_Area</vt:lpstr>
      <vt:lpstr>'Investment Reversal'!Print_Area</vt:lpstr>
    </vt:vector>
  </TitlesOfParts>
  <Company>Sanlam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Jannie Basson (SEB)</dc:creator>
  <cp:lastModifiedBy>Direro Ishmael (SC)</cp:lastModifiedBy>
  <cp:lastPrinted>2014-12-04T13:41:03Z</cp:lastPrinted>
  <dcterms:created xsi:type="dcterms:W3CDTF">2014-07-31T09:50:05Z</dcterms:created>
  <dcterms:modified xsi:type="dcterms:W3CDTF">2020-07-21T08:45:07Z</dcterms:modified>
</cp:coreProperties>
</file>