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065" windowWidth="20370" windowHeight="7080" activeTab="2"/>
  </bookViews>
  <sheets>
    <sheet name="Summary" sheetId="3" r:id="rId1"/>
    <sheet name="Test Case" sheetId="2" r:id="rId2"/>
    <sheet name="Internal - Ben Payment " sheetId="6" r:id="rId3"/>
    <sheet name="Internal - Termination" sheetId="10" r:id="rId4"/>
    <sheet name="Termination Under Funded" sheetId="8" r:id="rId5"/>
    <sheet name="External - Terminations" sheetId="12" r:id="rId6"/>
    <sheet name="External - Benefit Payment" sheetId="11" r:id="rId7"/>
    <sheet name="Internal - Benefit Payment CBA" sheetId="14" r:id="rId8"/>
    <sheet name="Internal - MV Adjustment" sheetId="15" r:id="rId9"/>
    <sheet name="External - MV Adjustment" sheetId="16" r:id="rId10"/>
    <sheet name="Internal Repurchase - Normal" sheetId="17" r:id="rId11"/>
    <sheet name="External Repurchase - Normal" sheetId="18" r:id="rId12"/>
    <sheet name="Sheet1" sheetId="19" r:id="rId13"/>
  </sheets>
  <externalReferences>
    <externalReference r:id="rId14"/>
    <externalReference r:id="rId15"/>
  </externalReferences>
  <calcPr calcId="145621"/>
</workbook>
</file>

<file path=xl/calcChain.xml><?xml version="1.0" encoding="utf-8"?>
<calcChain xmlns="http://schemas.openxmlformats.org/spreadsheetml/2006/main">
  <c r="A7" i="15" l="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K40" i="16"/>
  <c r="J40" i="16"/>
  <c r="I40" i="16"/>
  <c r="H40" i="16"/>
  <c r="G40" i="16"/>
  <c r="K39" i="16"/>
  <c r="J39" i="16"/>
  <c r="I39" i="16"/>
  <c r="H39" i="16"/>
  <c r="G39" i="16"/>
  <c r="K38" i="16"/>
  <c r="J38" i="16"/>
  <c r="I38" i="16"/>
  <c r="H38" i="16"/>
  <c r="G38" i="16"/>
  <c r="K37" i="16"/>
  <c r="J37" i="16"/>
  <c r="I37" i="16"/>
  <c r="H37" i="16"/>
  <c r="G37" i="16"/>
  <c r="K36" i="16"/>
  <c r="J36" i="16"/>
  <c r="I36" i="16"/>
  <c r="H36" i="16"/>
  <c r="G36" i="16"/>
  <c r="K35" i="16"/>
  <c r="J35" i="16"/>
  <c r="I35" i="16"/>
  <c r="H35" i="16"/>
  <c r="G35" i="16"/>
  <c r="K56" i="16"/>
  <c r="J56" i="16"/>
  <c r="I56" i="16"/>
  <c r="H56" i="16"/>
  <c r="G56" i="16"/>
  <c r="K40" i="15"/>
  <c r="J40" i="15"/>
  <c r="I40" i="15"/>
  <c r="H40" i="15"/>
  <c r="G40" i="15"/>
  <c r="J38" i="15"/>
  <c r="I38" i="15"/>
  <c r="H38" i="15"/>
  <c r="G38" i="15"/>
  <c r="K39" i="15"/>
  <c r="J39" i="15"/>
  <c r="I39" i="15"/>
  <c r="H39" i="15"/>
  <c r="G39" i="15"/>
  <c r="K37" i="15"/>
  <c r="J37" i="15"/>
  <c r="I37" i="15"/>
  <c r="H37" i="15"/>
  <c r="G37" i="15"/>
  <c r="K36" i="15"/>
  <c r="J36" i="15"/>
  <c r="I36" i="15"/>
  <c r="H36" i="15"/>
  <c r="G36" i="15"/>
  <c r="K35" i="15"/>
  <c r="J35" i="15"/>
  <c r="I35" i="15"/>
  <c r="H35" i="15"/>
  <c r="G35" i="15"/>
  <c r="K74" i="2" l="1"/>
  <c r="J74" i="2"/>
  <c r="I74" i="2"/>
  <c r="H74" i="2"/>
  <c r="G74" i="2"/>
  <c r="K48" i="2"/>
  <c r="J48" i="2"/>
  <c r="I48" i="2"/>
  <c r="H48" i="2"/>
  <c r="G48" i="2"/>
  <c r="K44" i="2"/>
  <c r="J44" i="2"/>
  <c r="I44" i="2"/>
  <c r="H44" i="2"/>
  <c r="G44" i="2"/>
  <c r="K130" i="8" l="1"/>
  <c r="J130" i="8"/>
  <c r="I130" i="8"/>
  <c r="H130" i="8"/>
  <c r="G130" i="8"/>
  <c r="K129" i="8"/>
  <c r="J129" i="8"/>
  <c r="I129" i="8"/>
  <c r="H129" i="8"/>
  <c r="G129" i="8"/>
  <c r="K128" i="8"/>
  <c r="J128" i="8"/>
  <c r="I128" i="8"/>
  <c r="H128" i="8"/>
  <c r="G128" i="8"/>
  <c r="K127" i="8"/>
  <c r="J127" i="8"/>
  <c r="I127" i="8"/>
  <c r="H127" i="8"/>
  <c r="G127" i="8"/>
  <c r="K126" i="8"/>
  <c r="J126" i="8"/>
  <c r="I126" i="8"/>
  <c r="H126" i="8"/>
  <c r="G126" i="8"/>
  <c r="K124" i="8"/>
  <c r="J124" i="8"/>
  <c r="I124" i="8"/>
  <c r="H124" i="8"/>
  <c r="G124" i="8"/>
  <c r="K123" i="8"/>
  <c r="J123" i="8"/>
  <c r="I123" i="8"/>
  <c r="H123" i="8"/>
  <c r="G123" i="8"/>
  <c r="K122" i="8"/>
  <c r="J122" i="8"/>
  <c r="I122" i="8"/>
  <c r="H122" i="8"/>
  <c r="G122" i="8"/>
  <c r="K121" i="8"/>
  <c r="J121" i="8"/>
  <c r="I121" i="8"/>
  <c r="H121" i="8"/>
  <c r="G121" i="8"/>
  <c r="K120" i="8"/>
  <c r="J120" i="8"/>
  <c r="I120" i="8"/>
  <c r="H120" i="8"/>
  <c r="G120" i="8"/>
  <c r="K119" i="8"/>
  <c r="J119" i="8"/>
  <c r="I119" i="8"/>
  <c r="H119" i="8"/>
  <c r="G119" i="8"/>
  <c r="K118" i="8"/>
  <c r="J118" i="8"/>
  <c r="I118" i="8"/>
  <c r="H118" i="8"/>
  <c r="G118" i="8"/>
  <c r="K117" i="8"/>
  <c r="J117" i="8"/>
  <c r="I117" i="8"/>
  <c r="H117" i="8"/>
  <c r="G117" i="8"/>
  <c r="K116" i="8"/>
  <c r="J116" i="8"/>
  <c r="I116" i="8"/>
  <c r="H116" i="8"/>
  <c r="G116" i="8"/>
  <c r="K115" i="8"/>
  <c r="J115" i="8"/>
  <c r="I115" i="8"/>
  <c r="H115" i="8"/>
  <c r="G115" i="8"/>
  <c r="K114" i="8"/>
  <c r="J114" i="8"/>
  <c r="I114" i="8"/>
  <c r="H114" i="8"/>
  <c r="G114" i="8"/>
  <c r="K110" i="8"/>
  <c r="J110" i="8"/>
  <c r="I110" i="8"/>
  <c r="H110" i="8"/>
  <c r="G110" i="8"/>
  <c r="K109" i="8"/>
  <c r="J109" i="8"/>
  <c r="I109" i="8"/>
  <c r="H109" i="8"/>
  <c r="G109" i="8"/>
  <c r="K108" i="8"/>
  <c r="J108" i="8"/>
  <c r="I108" i="8"/>
  <c r="H108" i="8"/>
  <c r="G108" i="8"/>
  <c r="K107" i="8"/>
  <c r="J107" i="8"/>
  <c r="I107" i="8"/>
  <c r="H107" i="8"/>
  <c r="G107" i="8"/>
  <c r="K106" i="8"/>
  <c r="J106" i="8"/>
  <c r="I106" i="8"/>
  <c r="H106" i="8"/>
  <c r="G106" i="8"/>
  <c r="K105" i="8"/>
  <c r="J105" i="8"/>
  <c r="I105" i="8"/>
  <c r="H105" i="8"/>
  <c r="G105" i="8"/>
  <c r="K104" i="8"/>
  <c r="J104" i="8"/>
  <c r="I104" i="8"/>
  <c r="H104" i="8"/>
  <c r="G104" i="8"/>
  <c r="K103" i="8"/>
  <c r="J103" i="8"/>
  <c r="I103" i="8"/>
  <c r="H103" i="8"/>
  <c r="G103" i="8"/>
  <c r="K100" i="8"/>
  <c r="J100" i="8"/>
  <c r="I100" i="8"/>
  <c r="H100" i="8"/>
  <c r="G100" i="8"/>
  <c r="K99" i="8"/>
  <c r="J99" i="8"/>
  <c r="I99" i="8"/>
  <c r="H99" i="8"/>
  <c r="G99" i="8"/>
  <c r="K98" i="8"/>
  <c r="J98" i="8"/>
  <c r="I98" i="8"/>
  <c r="H98" i="8"/>
  <c r="G98" i="8"/>
  <c r="K97" i="8"/>
  <c r="J97" i="8"/>
  <c r="I97" i="8"/>
  <c r="H97" i="8"/>
  <c r="G97" i="8"/>
  <c r="K95" i="8"/>
  <c r="J95" i="8"/>
  <c r="I95" i="8"/>
  <c r="H95" i="8"/>
  <c r="G95" i="8"/>
  <c r="K94" i="8"/>
  <c r="J94" i="8"/>
  <c r="I94" i="8"/>
  <c r="H94" i="8"/>
  <c r="G94" i="8"/>
  <c r="K93" i="8"/>
  <c r="J93" i="8"/>
  <c r="I93" i="8"/>
  <c r="H93" i="8"/>
  <c r="G93" i="8"/>
  <c r="K92" i="8"/>
  <c r="J92" i="8"/>
  <c r="I92" i="8"/>
  <c r="H92" i="8"/>
  <c r="G92" i="8"/>
  <c r="K91" i="8"/>
  <c r="J91" i="8"/>
  <c r="I91" i="8"/>
  <c r="H91" i="8"/>
  <c r="G91" i="8"/>
  <c r="K90" i="8"/>
  <c r="J90" i="8"/>
  <c r="I90" i="8"/>
  <c r="H90" i="8"/>
  <c r="G90" i="8"/>
  <c r="K89" i="8"/>
  <c r="J89" i="8"/>
  <c r="I89" i="8"/>
  <c r="H89" i="8"/>
  <c r="G89" i="8"/>
  <c r="K88" i="8"/>
  <c r="J88" i="8"/>
  <c r="I88" i="8"/>
  <c r="H88" i="8"/>
  <c r="G88" i="8"/>
  <c r="K87" i="8"/>
  <c r="J87" i="8"/>
  <c r="I87" i="8"/>
  <c r="H87" i="8"/>
  <c r="G87" i="8"/>
  <c r="K86" i="8"/>
  <c r="J86" i="8"/>
  <c r="I86" i="8"/>
  <c r="H86" i="8"/>
  <c r="G86" i="8"/>
  <c r="K85" i="8"/>
  <c r="J85" i="8"/>
  <c r="I85" i="8"/>
  <c r="H85" i="8"/>
  <c r="G85" i="8"/>
  <c r="K84" i="8"/>
  <c r="J84" i="8"/>
  <c r="I84" i="8"/>
  <c r="H84" i="8"/>
  <c r="G84" i="8"/>
  <c r="K83" i="8"/>
  <c r="J83" i="8"/>
  <c r="I83" i="8"/>
  <c r="H83" i="8"/>
  <c r="G83" i="8"/>
  <c r="K89" i="6"/>
  <c r="A20" i="8" l="1"/>
  <c r="A21" i="8" s="1"/>
  <c r="A22" i="8" s="1"/>
  <c r="A23" i="8" s="1"/>
  <c r="A24" i="8" s="1"/>
  <c r="A25" i="8" s="1"/>
  <c r="K24" i="8"/>
  <c r="J24" i="8"/>
  <c r="I24" i="8"/>
  <c r="H24" i="8"/>
  <c r="G24" i="8"/>
  <c r="K19" i="8"/>
  <c r="J19" i="8"/>
  <c r="I19" i="8"/>
  <c r="H19" i="8"/>
  <c r="G19" i="8"/>
  <c r="K18" i="8"/>
  <c r="J18" i="8"/>
  <c r="I18" i="8"/>
  <c r="H18" i="8"/>
  <c r="G18" i="8"/>
  <c r="K17" i="8"/>
  <c r="J17" i="8"/>
  <c r="I17" i="8"/>
  <c r="H17" i="8"/>
  <c r="G17" i="8"/>
  <c r="K16" i="8"/>
  <c r="J16" i="8"/>
  <c r="I16" i="8"/>
  <c r="H16" i="8"/>
  <c r="G16" i="8"/>
  <c r="K14" i="8"/>
  <c r="J14" i="8"/>
  <c r="I14" i="8"/>
  <c r="H14" i="8"/>
  <c r="G14" i="8"/>
  <c r="K28" i="16"/>
  <c r="J28" i="16"/>
  <c r="I28" i="16"/>
  <c r="H28" i="16"/>
  <c r="G28" i="16"/>
  <c r="K28" i="15"/>
  <c r="J28" i="15"/>
  <c r="I28" i="15"/>
  <c r="H28" i="15"/>
  <c r="G28" i="15"/>
  <c r="K135" i="15" l="1"/>
  <c r="K132" i="16"/>
  <c r="C136" i="16"/>
  <c r="C138" i="16" s="1"/>
  <c r="C140" i="16" s="1"/>
  <c r="K125" i="16"/>
  <c r="J125" i="16"/>
  <c r="I125" i="16"/>
  <c r="H125" i="16"/>
  <c r="G125" i="16"/>
  <c r="K124" i="16"/>
  <c r="J124" i="16"/>
  <c r="I124" i="16"/>
  <c r="H124" i="16"/>
  <c r="G124" i="16"/>
  <c r="K123" i="16"/>
  <c r="J123" i="16"/>
  <c r="I123" i="16"/>
  <c r="H123" i="16"/>
  <c r="G123" i="16"/>
  <c r="K122" i="16"/>
  <c r="J122" i="16"/>
  <c r="I122" i="16"/>
  <c r="H122" i="16"/>
  <c r="G122" i="16"/>
  <c r="K121" i="16"/>
  <c r="J121" i="16"/>
  <c r="I121" i="16"/>
  <c r="H121" i="16"/>
  <c r="G121" i="16"/>
  <c r="K120" i="16"/>
  <c r="J120" i="16"/>
  <c r="I120" i="16"/>
  <c r="H120" i="16"/>
  <c r="G120" i="16"/>
  <c r="K119" i="16"/>
  <c r="J119" i="16"/>
  <c r="I119" i="16"/>
  <c r="H119" i="16"/>
  <c r="G119" i="16"/>
  <c r="K118" i="16"/>
  <c r="J118" i="16"/>
  <c r="I118" i="16"/>
  <c r="H118" i="16"/>
  <c r="G118" i="16"/>
  <c r="K117" i="16"/>
  <c r="J117" i="16"/>
  <c r="I117" i="16"/>
  <c r="H117" i="16"/>
  <c r="G117" i="16"/>
  <c r="K116" i="16"/>
  <c r="J116" i="16"/>
  <c r="I116" i="16"/>
  <c r="H116" i="16"/>
  <c r="G116" i="16"/>
  <c r="K114" i="16"/>
  <c r="J114" i="16"/>
  <c r="I114" i="16"/>
  <c r="H114" i="16"/>
  <c r="G114" i="16"/>
  <c r="K113" i="16"/>
  <c r="J113" i="16"/>
  <c r="I113" i="16"/>
  <c r="H113" i="16"/>
  <c r="G113" i="16"/>
  <c r="K112" i="16"/>
  <c r="J112" i="16"/>
  <c r="I112" i="16"/>
  <c r="H112" i="16"/>
  <c r="G112" i="16"/>
  <c r="K111" i="16"/>
  <c r="J111" i="16"/>
  <c r="I111" i="16"/>
  <c r="H111" i="16"/>
  <c r="G111" i="16"/>
  <c r="K110" i="16"/>
  <c r="J110" i="16"/>
  <c r="I110" i="16"/>
  <c r="H110" i="16"/>
  <c r="G110" i="16"/>
  <c r="K109" i="16"/>
  <c r="J109" i="16"/>
  <c r="I109" i="16"/>
  <c r="H109" i="16"/>
  <c r="G109" i="16"/>
  <c r="K108" i="16"/>
  <c r="J108" i="16"/>
  <c r="I108" i="16"/>
  <c r="H108" i="16"/>
  <c r="G108" i="16"/>
  <c r="K107" i="16"/>
  <c r="J107" i="16"/>
  <c r="I107" i="16"/>
  <c r="H107" i="16"/>
  <c r="G107" i="16"/>
  <c r="K106" i="16"/>
  <c r="J106" i="16"/>
  <c r="I106" i="16"/>
  <c r="H106" i="16"/>
  <c r="G106" i="16"/>
  <c r="K105" i="16"/>
  <c r="J105" i="16"/>
  <c r="I105" i="16"/>
  <c r="H105" i="16"/>
  <c r="G105" i="16"/>
  <c r="K103" i="16"/>
  <c r="J103" i="16"/>
  <c r="I103" i="16"/>
  <c r="H103" i="16"/>
  <c r="G103" i="16"/>
  <c r="K102" i="16"/>
  <c r="J102" i="16"/>
  <c r="I102" i="16"/>
  <c r="H102" i="16"/>
  <c r="G102" i="16"/>
  <c r="K101" i="16"/>
  <c r="J101" i="16"/>
  <c r="I101" i="16"/>
  <c r="H101" i="16"/>
  <c r="G101" i="16"/>
  <c r="K100" i="16"/>
  <c r="J100" i="16"/>
  <c r="I100" i="16"/>
  <c r="H100" i="16"/>
  <c r="G100" i="16"/>
  <c r="K99" i="16"/>
  <c r="J99" i="16"/>
  <c r="I99" i="16"/>
  <c r="H99" i="16"/>
  <c r="G99" i="16"/>
  <c r="K98" i="16"/>
  <c r="J98" i="16"/>
  <c r="I98" i="16"/>
  <c r="H98" i="16"/>
  <c r="G98" i="16"/>
  <c r="K97" i="16"/>
  <c r="J97" i="16"/>
  <c r="I97" i="16"/>
  <c r="H97" i="16"/>
  <c r="G97" i="16"/>
  <c r="K96" i="16"/>
  <c r="J96" i="16"/>
  <c r="I96" i="16"/>
  <c r="H96" i="16"/>
  <c r="G96" i="16"/>
  <c r="K95" i="16"/>
  <c r="J95" i="16"/>
  <c r="I95" i="16"/>
  <c r="H95" i="16"/>
  <c r="G95" i="16"/>
  <c r="K94" i="16"/>
  <c r="J94" i="16"/>
  <c r="I94" i="16"/>
  <c r="H94" i="16"/>
  <c r="G94" i="16"/>
  <c r="K93" i="16"/>
  <c r="J93" i="16"/>
  <c r="I93" i="16"/>
  <c r="H93" i="16"/>
  <c r="G93" i="16"/>
  <c r="K92" i="16"/>
  <c r="J92" i="16"/>
  <c r="I92" i="16"/>
  <c r="H92" i="16"/>
  <c r="G92" i="16"/>
  <c r="K90" i="16"/>
  <c r="J90" i="16"/>
  <c r="I90" i="16"/>
  <c r="H90" i="16"/>
  <c r="G90" i="16"/>
  <c r="K89" i="16"/>
  <c r="J89" i="16"/>
  <c r="I89" i="16"/>
  <c r="H89" i="16"/>
  <c r="G89" i="16"/>
  <c r="K88" i="16"/>
  <c r="J88" i="16"/>
  <c r="I88" i="16"/>
  <c r="H88" i="16"/>
  <c r="G88" i="16"/>
  <c r="K87" i="16"/>
  <c r="J87" i="16"/>
  <c r="I87" i="16"/>
  <c r="H87" i="16"/>
  <c r="G87" i="16"/>
  <c r="K86" i="16"/>
  <c r="J86" i="16"/>
  <c r="I86" i="16"/>
  <c r="H86" i="16"/>
  <c r="G86" i="16"/>
  <c r="K85" i="16"/>
  <c r="J85" i="16"/>
  <c r="I85" i="16"/>
  <c r="H85" i="16"/>
  <c r="G85" i="16"/>
  <c r="K84" i="16"/>
  <c r="J84" i="16"/>
  <c r="I84" i="16"/>
  <c r="H84" i="16"/>
  <c r="G84" i="16"/>
  <c r="K83" i="16"/>
  <c r="J83" i="16"/>
  <c r="I83" i="16"/>
  <c r="H83" i="16"/>
  <c r="G83" i="16"/>
  <c r="K82" i="16"/>
  <c r="J82" i="16"/>
  <c r="I82" i="16"/>
  <c r="H82" i="16"/>
  <c r="G82" i="16"/>
  <c r="K81" i="16"/>
  <c r="J81" i="16"/>
  <c r="I81" i="16"/>
  <c r="H81" i="16"/>
  <c r="G81" i="16"/>
  <c r="K80" i="16"/>
  <c r="J80" i="16"/>
  <c r="I80" i="16"/>
  <c r="H80" i="16"/>
  <c r="G80" i="16"/>
  <c r="K79" i="16"/>
  <c r="J79" i="16"/>
  <c r="I79" i="16"/>
  <c r="H79" i="16"/>
  <c r="G79" i="16"/>
  <c r="K77" i="16"/>
  <c r="J77" i="16"/>
  <c r="I77" i="16"/>
  <c r="H77" i="16"/>
  <c r="G77" i="16"/>
  <c r="K75" i="16"/>
  <c r="J75" i="16"/>
  <c r="I75" i="16"/>
  <c r="H75" i="16"/>
  <c r="G75" i="16"/>
  <c r="K74" i="16"/>
  <c r="J74" i="16"/>
  <c r="I74" i="16"/>
  <c r="H74" i="16"/>
  <c r="G74" i="16"/>
  <c r="K73" i="16"/>
  <c r="J73" i="16"/>
  <c r="I73" i="16"/>
  <c r="H73" i="16"/>
  <c r="G73" i="16"/>
  <c r="K72" i="16"/>
  <c r="J72" i="16"/>
  <c r="I72" i="16"/>
  <c r="H72" i="16"/>
  <c r="G72" i="16"/>
  <c r="K71" i="16"/>
  <c r="J71" i="16"/>
  <c r="I71" i="16"/>
  <c r="H71" i="16"/>
  <c r="G71" i="16"/>
  <c r="K70" i="16"/>
  <c r="J70" i="16"/>
  <c r="I70" i="16"/>
  <c r="H70" i="16"/>
  <c r="G70" i="16"/>
  <c r="K69" i="16"/>
  <c r="J69" i="16"/>
  <c r="I69" i="16"/>
  <c r="H69" i="16"/>
  <c r="G69" i="16"/>
  <c r="K68" i="16"/>
  <c r="J68" i="16"/>
  <c r="I68" i="16"/>
  <c r="H68" i="16"/>
  <c r="G68" i="16"/>
  <c r="K67" i="16"/>
  <c r="J67" i="16"/>
  <c r="I67" i="16"/>
  <c r="H67" i="16"/>
  <c r="G67" i="16"/>
  <c r="K66" i="16"/>
  <c r="J66" i="16"/>
  <c r="I66" i="16"/>
  <c r="H66" i="16"/>
  <c r="G66" i="16"/>
  <c r="K65" i="16"/>
  <c r="J65" i="16"/>
  <c r="I65" i="16"/>
  <c r="H65" i="16"/>
  <c r="G65" i="16"/>
  <c r="K79" i="14" l="1"/>
  <c r="J79" i="14"/>
  <c r="I79" i="14"/>
  <c r="H79" i="14"/>
  <c r="G79" i="14"/>
  <c r="K126" i="15" l="1"/>
  <c r="J126" i="15"/>
  <c r="I126" i="15"/>
  <c r="H126" i="15"/>
  <c r="G126" i="15"/>
  <c r="K125" i="15"/>
  <c r="J125" i="15"/>
  <c r="I125" i="15"/>
  <c r="H125" i="15"/>
  <c r="G125" i="15"/>
  <c r="K124" i="15"/>
  <c r="J124" i="15"/>
  <c r="I124" i="15"/>
  <c r="H124" i="15"/>
  <c r="G124" i="15"/>
  <c r="K123" i="15"/>
  <c r="J123" i="15"/>
  <c r="I123" i="15"/>
  <c r="H123" i="15"/>
  <c r="G123" i="15"/>
  <c r="K122" i="15"/>
  <c r="J122" i="15"/>
  <c r="I122" i="15"/>
  <c r="H122" i="15"/>
  <c r="G122" i="15"/>
  <c r="K121" i="15"/>
  <c r="J121" i="15"/>
  <c r="I121" i="15"/>
  <c r="H121" i="15"/>
  <c r="G121" i="15"/>
  <c r="K120" i="15"/>
  <c r="J120" i="15"/>
  <c r="I120" i="15"/>
  <c r="H120" i="15"/>
  <c r="G120" i="15"/>
  <c r="K119" i="15"/>
  <c r="J119" i="15"/>
  <c r="I119" i="15"/>
  <c r="H119" i="15"/>
  <c r="G119" i="15"/>
  <c r="K118" i="15"/>
  <c r="J118" i="15"/>
  <c r="I118" i="15"/>
  <c r="H118" i="15"/>
  <c r="G118" i="15"/>
  <c r="K117" i="15"/>
  <c r="J117" i="15"/>
  <c r="I117" i="15"/>
  <c r="H117" i="15"/>
  <c r="G117" i="15"/>
  <c r="K115" i="15"/>
  <c r="J115" i="15"/>
  <c r="I115" i="15"/>
  <c r="H115" i="15"/>
  <c r="G115" i="15"/>
  <c r="K114" i="15"/>
  <c r="J114" i="15"/>
  <c r="I114" i="15"/>
  <c r="H114" i="15"/>
  <c r="G114" i="15"/>
  <c r="K113" i="15"/>
  <c r="J113" i="15"/>
  <c r="I113" i="15"/>
  <c r="H113" i="15"/>
  <c r="G113" i="15"/>
  <c r="K112" i="15"/>
  <c r="J112" i="15"/>
  <c r="I112" i="15"/>
  <c r="H112" i="15"/>
  <c r="G112" i="15"/>
  <c r="K111" i="15"/>
  <c r="J111" i="15"/>
  <c r="I111" i="15"/>
  <c r="H111" i="15"/>
  <c r="G111" i="15"/>
  <c r="K110" i="15"/>
  <c r="J110" i="15"/>
  <c r="I110" i="15"/>
  <c r="H110" i="15"/>
  <c r="G110" i="15"/>
  <c r="K109" i="15"/>
  <c r="J109" i="15"/>
  <c r="I109" i="15"/>
  <c r="H109" i="15"/>
  <c r="G109" i="15"/>
  <c r="K108" i="15"/>
  <c r="J108" i="15"/>
  <c r="I108" i="15"/>
  <c r="H108" i="15"/>
  <c r="G108" i="15"/>
  <c r="K107" i="15"/>
  <c r="J107" i="15"/>
  <c r="I107" i="15"/>
  <c r="H107" i="15"/>
  <c r="G107" i="15"/>
  <c r="K106" i="15"/>
  <c r="J106" i="15"/>
  <c r="I106" i="15"/>
  <c r="H106" i="15"/>
  <c r="G106" i="15"/>
  <c r="K104" i="15"/>
  <c r="J104" i="15"/>
  <c r="I104" i="15"/>
  <c r="H104" i="15"/>
  <c r="G104" i="15"/>
  <c r="K103" i="15"/>
  <c r="J103" i="15"/>
  <c r="I103" i="15"/>
  <c r="H103" i="15"/>
  <c r="G103" i="15"/>
  <c r="K102" i="15"/>
  <c r="J102" i="15"/>
  <c r="I102" i="15"/>
  <c r="H102" i="15"/>
  <c r="G102" i="15"/>
  <c r="K101" i="15"/>
  <c r="J101" i="15"/>
  <c r="I101" i="15"/>
  <c r="H101" i="15"/>
  <c r="G101" i="15"/>
  <c r="K100" i="15"/>
  <c r="J100" i="15"/>
  <c r="I100" i="15"/>
  <c r="H100" i="15"/>
  <c r="G100" i="15"/>
  <c r="K99" i="15"/>
  <c r="J99" i="15"/>
  <c r="I99" i="15"/>
  <c r="H99" i="15"/>
  <c r="G99" i="15"/>
  <c r="K98" i="15"/>
  <c r="J98" i="15"/>
  <c r="I98" i="15"/>
  <c r="H98" i="15"/>
  <c r="G98" i="15"/>
  <c r="K97" i="15"/>
  <c r="J97" i="15"/>
  <c r="I97" i="15"/>
  <c r="H97" i="15"/>
  <c r="G97" i="15"/>
  <c r="K96" i="15"/>
  <c r="J96" i="15"/>
  <c r="I96" i="15"/>
  <c r="H96" i="15"/>
  <c r="G96" i="15"/>
  <c r="K95" i="15"/>
  <c r="J95" i="15"/>
  <c r="I95" i="15"/>
  <c r="H95" i="15"/>
  <c r="G95" i="15"/>
  <c r="K94" i="15"/>
  <c r="J94" i="15"/>
  <c r="I94" i="15"/>
  <c r="H94" i="15"/>
  <c r="G94" i="15"/>
  <c r="K93" i="15"/>
  <c r="J93" i="15"/>
  <c r="I93" i="15"/>
  <c r="H93" i="15"/>
  <c r="G93" i="15"/>
  <c r="K89" i="15"/>
  <c r="J89" i="15"/>
  <c r="I89" i="15"/>
  <c r="H89" i="15"/>
  <c r="G89" i="15"/>
  <c r="K88" i="15"/>
  <c r="J88" i="15"/>
  <c r="I88" i="15"/>
  <c r="H88" i="15"/>
  <c r="G88" i="15"/>
  <c r="K91" i="15"/>
  <c r="J91" i="15"/>
  <c r="I91" i="15"/>
  <c r="H91" i="15"/>
  <c r="G91" i="15"/>
  <c r="K73" i="15"/>
  <c r="J73" i="15"/>
  <c r="I73" i="15"/>
  <c r="H73" i="15"/>
  <c r="G73" i="15"/>
  <c r="K72" i="15"/>
  <c r="J72" i="15"/>
  <c r="I72" i="15"/>
  <c r="H72" i="15"/>
  <c r="G72" i="15"/>
  <c r="K71" i="15"/>
  <c r="J71" i="15"/>
  <c r="I71" i="15"/>
  <c r="H71" i="15"/>
  <c r="G71" i="15"/>
  <c r="G135" i="10" l="1"/>
  <c r="H135" i="10"/>
  <c r="I135" i="10"/>
  <c r="J135" i="10"/>
  <c r="K135" i="10"/>
  <c r="A8" i="10"/>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K76" i="15" l="1"/>
  <c r="J76" i="15"/>
  <c r="I76" i="15"/>
  <c r="H76" i="15"/>
  <c r="G76" i="15"/>
  <c r="K75" i="15"/>
  <c r="J75" i="15"/>
  <c r="I75" i="15"/>
  <c r="H75" i="15"/>
  <c r="G75" i="15"/>
  <c r="K74" i="15"/>
  <c r="J74" i="15"/>
  <c r="I74" i="15"/>
  <c r="H74" i="15"/>
  <c r="G74" i="15"/>
  <c r="K70" i="15"/>
  <c r="J70" i="15"/>
  <c r="I70" i="15"/>
  <c r="H70" i="15"/>
  <c r="G70" i="15"/>
  <c r="K69" i="15"/>
  <c r="J69" i="15"/>
  <c r="I69" i="15"/>
  <c r="H69" i="15"/>
  <c r="G69" i="15"/>
  <c r="K68" i="15"/>
  <c r="J68" i="15"/>
  <c r="I68" i="15"/>
  <c r="H68" i="15"/>
  <c r="G68" i="15"/>
  <c r="K67" i="15"/>
  <c r="J67" i="15"/>
  <c r="I67" i="15"/>
  <c r="H67" i="15"/>
  <c r="G67" i="15"/>
  <c r="K66" i="15"/>
  <c r="J66" i="15"/>
  <c r="I66" i="15"/>
  <c r="H66" i="15"/>
  <c r="G66" i="15"/>
  <c r="K65" i="15"/>
  <c r="J64" i="15"/>
  <c r="I64" i="15"/>
  <c r="H64" i="15"/>
  <c r="G64" i="15"/>
  <c r="J63" i="15"/>
  <c r="I63" i="15"/>
  <c r="H63" i="15"/>
  <c r="G63" i="15"/>
  <c r="J62" i="15"/>
  <c r="I62" i="15"/>
  <c r="H62" i="15"/>
  <c r="G62" i="15"/>
  <c r="J61" i="15"/>
  <c r="I61" i="15"/>
  <c r="H61" i="15"/>
  <c r="G61" i="15"/>
  <c r="J60" i="15"/>
  <c r="I60" i="15"/>
  <c r="H60" i="15"/>
  <c r="G60" i="15"/>
  <c r="J59" i="15"/>
  <c r="I59" i="15"/>
  <c r="H59" i="15"/>
  <c r="G59" i="15"/>
  <c r="K56" i="15"/>
  <c r="J56" i="15"/>
  <c r="I56" i="15"/>
  <c r="H56" i="15"/>
  <c r="G56" i="15"/>
  <c r="K55" i="15"/>
  <c r="J55" i="15"/>
  <c r="I55" i="15"/>
  <c r="H55" i="15"/>
  <c r="G55" i="15"/>
  <c r="K54" i="15"/>
  <c r="J54" i="15"/>
  <c r="I54" i="15"/>
  <c r="H54" i="15"/>
  <c r="G54" i="15"/>
  <c r="K53" i="15"/>
  <c r="J53" i="15"/>
  <c r="I53" i="15"/>
  <c r="H53" i="15"/>
  <c r="G53" i="15"/>
  <c r="K52" i="15"/>
  <c r="J52" i="15"/>
  <c r="I52" i="15"/>
  <c r="H52" i="15"/>
  <c r="G52" i="15"/>
  <c r="K51" i="15"/>
  <c r="J51" i="15"/>
  <c r="I51" i="15"/>
  <c r="H51" i="15"/>
  <c r="G51" i="15"/>
  <c r="K50" i="15"/>
  <c r="J50" i="15"/>
  <c r="I50" i="15"/>
  <c r="H50" i="15"/>
  <c r="G50" i="15"/>
  <c r="K49" i="15"/>
  <c r="J49" i="15"/>
  <c r="I49" i="15"/>
  <c r="H49" i="15"/>
  <c r="G49" i="15"/>
  <c r="K48" i="15"/>
  <c r="J48" i="15"/>
  <c r="I48" i="15"/>
  <c r="H48" i="15"/>
  <c r="G48" i="15"/>
  <c r="K47" i="15"/>
  <c r="J47" i="15"/>
  <c r="I47" i="15"/>
  <c r="H47" i="15"/>
  <c r="G47" i="15"/>
  <c r="K46" i="15"/>
  <c r="J46" i="15"/>
  <c r="I46" i="15"/>
  <c r="H46" i="15"/>
  <c r="G46" i="15"/>
  <c r="K45" i="15"/>
  <c r="K44" i="15"/>
  <c r="J44" i="15"/>
  <c r="I44" i="15"/>
  <c r="H44" i="15"/>
  <c r="G44" i="15"/>
  <c r="K53" i="16" l="1"/>
  <c r="J53" i="16"/>
  <c r="I53" i="16"/>
  <c r="H53" i="16"/>
  <c r="G53" i="16"/>
  <c r="K51" i="16" l="1"/>
  <c r="J51" i="16"/>
  <c r="I51" i="16"/>
  <c r="H51" i="16"/>
  <c r="G51" i="16"/>
  <c r="K50" i="16"/>
  <c r="J50" i="16"/>
  <c r="I50" i="16"/>
  <c r="H50" i="16"/>
  <c r="G50" i="16"/>
  <c r="K49" i="16"/>
  <c r="J49" i="16"/>
  <c r="I49" i="16"/>
  <c r="H49" i="16"/>
  <c r="G49" i="16"/>
  <c r="K48" i="16"/>
  <c r="J48" i="16"/>
  <c r="I48" i="16"/>
  <c r="H48" i="16"/>
  <c r="G48" i="16"/>
  <c r="K47" i="16"/>
  <c r="J47" i="16"/>
  <c r="I47" i="16"/>
  <c r="H47" i="16"/>
  <c r="G47" i="16"/>
  <c r="K46" i="16"/>
  <c r="J46" i="16"/>
  <c r="I46" i="16"/>
  <c r="H46" i="16"/>
  <c r="G46" i="16"/>
  <c r="K101" i="17" l="1"/>
  <c r="J101" i="17"/>
  <c r="I101" i="17"/>
  <c r="H101" i="17"/>
  <c r="G101" i="17"/>
  <c r="K100" i="17"/>
  <c r="J100" i="17"/>
  <c r="I100" i="17"/>
  <c r="H100" i="17"/>
  <c r="G100" i="17"/>
  <c r="K102" i="17"/>
  <c r="J102" i="17"/>
  <c r="I102" i="17"/>
  <c r="H102" i="17"/>
  <c r="G102" i="17"/>
  <c r="K99" i="17"/>
  <c r="J99" i="17"/>
  <c r="I99" i="17"/>
  <c r="H99" i="17"/>
  <c r="G99" i="17"/>
  <c r="K98" i="17"/>
  <c r="J98" i="17"/>
  <c r="I98" i="17"/>
  <c r="H98" i="17"/>
  <c r="G98" i="17"/>
  <c r="K97" i="17"/>
  <c r="J97" i="17"/>
  <c r="I97" i="17"/>
  <c r="H97" i="17"/>
  <c r="G97" i="17"/>
  <c r="K96" i="17"/>
  <c r="J96" i="17"/>
  <c r="I96" i="17"/>
  <c r="H96" i="17"/>
  <c r="G96" i="17"/>
  <c r="K93" i="17"/>
  <c r="J93" i="17"/>
  <c r="I93" i="17"/>
  <c r="H93" i="17"/>
  <c r="G93" i="17"/>
  <c r="K92" i="17"/>
  <c r="J92" i="17"/>
  <c r="I92" i="17"/>
  <c r="H92" i="17"/>
  <c r="G92" i="17"/>
  <c r="K91" i="17"/>
  <c r="J91" i="17"/>
  <c r="I91" i="17"/>
  <c r="H91" i="17"/>
  <c r="G91" i="17"/>
  <c r="K90" i="17"/>
  <c r="J90" i="17"/>
  <c r="I90" i="17"/>
  <c r="H90" i="17"/>
  <c r="G90" i="17"/>
  <c r="K86" i="17"/>
  <c r="J86" i="17"/>
  <c r="I86" i="17"/>
  <c r="H86" i="17"/>
  <c r="G86" i="17"/>
  <c r="K85" i="17"/>
  <c r="J85" i="17"/>
  <c r="I85" i="17"/>
  <c r="H85" i="17"/>
  <c r="G85" i="17"/>
  <c r="K84" i="17"/>
  <c r="J84" i="17"/>
  <c r="I84" i="17"/>
  <c r="H84" i="17"/>
  <c r="G84" i="17"/>
  <c r="K83" i="17"/>
  <c r="J83" i="17"/>
  <c r="I83" i="17"/>
  <c r="H83" i="17"/>
  <c r="G83" i="17"/>
  <c r="K82" i="17"/>
  <c r="J82" i="17"/>
  <c r="I82" i="17"/>
  <c r="H82" i="17"/>
  <c r="G82" i="17"/>
  <c r="K81" i="17"/>
  <c r="J81" i="17"/>
  <c r="I81" i="17"/>
  <c r="H81" i="17"/>
  <c r="G81" i="17"/>
  <c r="K80" i="17"/>
  <c r="J80" i="17"/>
  <c r="I80" i="17"/>
  <c r="H80" i="17"/>
  <c r="G80" i="17"/>
  <c r="K79" i="17"/>
  <c r="J79" i="17"/>
  <c r="I79" i="17"/>
  <c r="H79" i="17"/>
  <c r="G79" i="17"/>
  <c r="K75" i="17"/>
  <c r="J75" i="17"/>
  <c r="I75" i="17"/>
  <c r="H75" i="17"/>
  <c r="G75" i="17"/>
  <c r="K74" i="17"/>
  <c r="J74" i="17"/>
  <c r="I74" i="17"/>
  <c r="H74" i="17"/>
  <c r="G74" i="17"/>
  <c r="K73" i="17"/>
  <c r="J73" i="17"/>
  <c r="I73" i="17"/>
  <c r="H73" i="17"/>
  <c r="G73" i="17"/>
  <c r="K72" i="17"/>
  <c r="J72" i="17"/>
  <c r="I72" i="17"/>
  <c r="H72" i="17"/>
  <c r="G72" i="17"/>
  <c r="K68" i="17"/>
  <c r="J68" i="17"/>
  <c r="I68" i="17"/>
  <c r="H68" i="17"/>
  <c r="G68" i="17"/>
  <c r="K67" i="17"/>
  <c r="J67" i="17"/>
  <c r="I67" i="17"/>
  <c r="H67" i="17"/>
  <c r="G67" i="17"/>
  <c r="K66" i="17"/>
  <c r="J66" i="17"/>
  <c r="I66" i="17"/>
  <c r="H66" i="17"/>
  <c r="G66" i="17"/>
  <c r="K65" i="17"/>
  <c r="J65" i="17"/>
  <c r="I65" i="17"/>
  <c r="H65" i="17"/>
  <c r="G65" i="17"/>
  <c r="K64" i="17"/>
  <c r="J64" i="17"/>
  <c r="I64" i="17"/>
  <c r="H64" i="17"/>
  <c r="G64" i="17"/>
  <c r="K63" i="17"/>
  <c r="J63" i="17"/>
  <c r="I63" i="17"/>
  <c r="H63" i="17"/>
  <c r="G63" i="17"/>
  <c r="A55" i="17"/>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2" i="17" s="1"/>
  <c r="A103" i="17" s="1"/>
  <c r="K22" i="17"/>
  <c r="J22" i="17"/>
  <c r="I22" i="17"/>
  <c r="H22" i="17"/>
  <c r="G22" i="17"/>
  <c r="K21" i="17"/>
  <c r="J21" i="17"/>
  <c r="I21" i="17"/>
  <c r="H21" i="17"/>
  <c r="G21" i="17"/>
  <c r="K23" i="18"/>
  <c r="J23" i="18"/>
  <c r="I23" i="18"/>
  <c r="H23" i="18"/>
  <c r="G23" i="18"/>
  <c r="K14" i="18" l="1"/>
  <c r="J14" i="18"/>
  <c r="I14" i="18"/>
  <c r="H14" i="18"/>
  <c r="G14" i="18"/>
  <c r="K78" i="14" l="1"/>
  <c r="J78" i="14"/>
  <c r="I78" i="14"/>
  <c r="H78" i="14"/>
  <c r="G78" i="14"/>
  <c r="K77" i="14"/>
  <c r="J77" i="14"/>
  <c r="I77" i="14"/>
  <c r="H77" i="14"/>
  <c r="G77" i="14"/>
  <c r="K76" i="14"/>
  <c r="J76" i="14"/>
  <c r="I76" i="14"/>
  <c r="H76" i="14"/>
  <c r="G76" i="14"/>
  <c r="K75" i="14"/>
  <c r="J75" i="14"/>
  <c r="I75" i="14"/>
  <c r="H75" i="14"/>
  <c r="G75" i="14"/>
  <c r="K74" i="14"/>
  <c r="J74" i="14"/>
  <c r="I74" i="14"/>
  <c r="H74" i="14"/>
  <c r="G74" i="14"/>
  <c r="K71" i="14"/>
  <c r="J71" i="14"/>
  <c r="I71" i="14"/>
  <c r="H71" i="14"/>
  <c r="G71" i="14"/>
  <c r="K131" i="15" l="1"/>
  <c r="J131" i="15"/>
  <c r="I131" i="15"/>
  <c r="H131" i="15"/>
  <c r="G131" i="15"/>
  <c r="K130" i="15"/>
  <c r="J130" i="15"/>
  <c r="I130" i="15"/>
  <c r="H130" i="15"/>
  <c r="G130" i="15"/>
  <c r="K129" i="15"/>
  <c r="J129" i="15"/>
  <c r="I129" i="15"/>
  <c r="H129" i="15"/>
  <c r="G129" i="15"/>
  <c r="K128" i="15"/>
  <c r="J128" i="15"/>
  <c r="I128" i="15"/>
  <c r="H128" i="15"/>
  <c r="G128" i="15"/>
  <c r="K90" i="15"/>
  <c r="J90" i="15"/>
  <c r="I90" i="15"/>
  <c r="H90" i="15"/>
  <c r="G90" i="15"/>
  <c r="K87" i="15"/>
  <c r="J87" i="15"/>
  <c r="I87" i="15"/>
  <c r="H87" i="15"/>
  <c r="G87" i="15"/>
  <c r="K86" i="15"/>
  <c r="J86" i="15"/>
  <c r="I86" i="15"/>
  <c r="H86" i="15"/>
  <c r="G86" i="15"/>
  <c r="K85" i="15"/>
  <c r="J85" i="15"/>
  <c r="I85" i="15"/>
  <c r="H85" i="15"/>
  <c r="G85" i="15"/>
  <c r="K84" i="15"/>
  <c r="J84" i="15"/>
  <c r="I84" i="15"/>
  <c r="H84" i="15"/>
  <c r="G84" i="15"/>
  <c r="K83" i="15"/>
  <c r="J83" i="15"/>
  <c r="I83" i="15"/>
  <c r="H83" i="15"/>
  <c r="G83" i="15"/>
  <c r="K82" i="15"/>
  <c r="J82" i="15"/>
  <c r="I82" i="15"/>
  <c r="H82" i="15"/>
  <c r="G82" i="15"/>
  <c r="K88" i="6" l="1"/>
  <c r="J88" i="6"/>
  <c r="I88" i="6"/>
  <c r="H88" i="6"/>
  <c r="G88" i="6"/>
  <c r="K85" i="6"/>
  <c r="J85" i="6"/>
  <c r="I85" i="6"/>
  <c r="H85" i="6"/>
  <c r="G85" i="6"/>
  <c r="K170" i="10"/>
  <c r="J170" i="10"/>
  <c r="I170" i="10"/>
  <c r="H170" i="10"/>
  <c r="G170" i="10"/>
  <c r="K168" i="10"/>
  <c r="J168" i="10"/>
  <c r="I168" i="10"/>
  <c r="H168" i="10"/>
  <c r="G168" i="10"/>
  <c r="K53" i="11"/>
  <c r="J53" i="11"/>
  <c r="I53" i="11"/>
  <c r="H53" i="11"/>
  <c r="G53" i="11"/>
  <c r="K52" i="11"/>
  <c r="J52" i="11"/>
  <c r="I52" i="11"/>
  <c r="H52" i="11"/>
  <c r="G52" i="11"/>
  <c r="A6" i="11"/>
  <c r="A7" i="11"/>
  <c r="A8" i="11"/>
  <c r="A9" i="1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K69" i="6" l="1"/>
  <c r="J69" i="6"/>
  <c r="I69" i="6"/>
  <c r="H69" i="6"/>
  <c r="G69" i="6"/>
  <c r="A69" i="6"/>
  <c r="K28" i="18" l="1"/>
  <c r="J28" i="18"/>
  <c r="I28" i="18"/>
  <c r="H28" i="18"/>
  <c r="G28" i="18"/>
  <c r="K27" i="18"/>
  <c r="J27" i="18"/>
  <c r="I27" i="18"/>
  <c r="H27" i="18"/>
  <c r="G27" i="18"/>
  <c r="K25" i="17"/>
  <c r="J25" i="17"/>
  <c r="I25" i="17"/>
  <c r="H25" i="17"/>
  <c r="G25" i="17"/>
  <c r="K18" i="16"/>
  <c r="J18" i="16"/>
  <c r="I18" i="16"/>
  <c r="H18" i="16"/>
  <c r="G18" i="16"/>
  <c r="K18" i="15"/>
  <c r="J18" i="15"/>
  <c r="I18" i="15"/>
  <c r="H18" i="15"/>
  <c r="G18" i="15"/>
  <c r="J82" i="14"/>
  <c r="I82" i="14"/>
  <c r="H82" i="14"/>
  <c r="G82" i="14"/>
  <c r="J83" i="14"/>
  <c r="I83" i="14"/>
  <c r="H83" i="14"/>
  <c r="G83" i="14"/>
  <c r="K23" i="8"/>
  <c r="J23" i="8"/>
  <c r="I23" i="8"/>
  <c r="H23" i="8"/>
  <c r="G23" i="8"/>
  <c r="K22" i="8"/>
  <c r="J22" i="8"/>
  <c r="I22" i="8"/>
  <c r="H22" i="8"/>
  <c r="G22" i="8"/>
  <c r="K164" i="10"/>
  <c r="J164" i="10"/>
  <c r="I164" i="10"/>
  <c r="H164" i="10"/>
  <c r="G164" i="10"/>
  <c r="K5" i="18"/>
  <c r="J5" i="18"/>
  <c r="I5" i="18"/>
  <c r="H5" i="18"/>
  <c r="G5" i="18"/>
  <c r="A6" i="12" l="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J115" i="12"/>
  <c r="I115" i="12"/>
  <c r="H115" i="12"/>
  <c r="G115" i="12"/>
  <c r="J114" i="12"/>
  <c r="I114" i="12"/>
  <c r="H114" i="12"/>
  <c r="G114" i="12"/>
  <c r="J113" i="12"/>
  <c r="I113" i="12"/>
  <c r="H113" i="12"/>
  <c r="G113" i="12"/>
  <c r="J112" i="12"/>
  <c r="I112" i="12"/>
  <c r="H112" i="12"/>
  <c r="G112" i="12"/>
  <c r="J111" i="12"/>
  <c r="I111" i="12"/>
  <c r="H111" i="12"/>
  <c r="G111" i="12"/>
  <c r="K109" i="12"/>
  <c r="J109" i="12"/>
  <c r="I109" i="12"/>
  <c r="H109" i="12"/>
  <c r="G109" i="12"/>
  <c r="K108" i="12"/>
  <c r="J108" i="12"/>
  <c r="I108" i="12"/>
  <c r="H108" i="12"/>
  <c r="G108" i="12"/>
  <c r="K107" i="12"/>
  <c r="J107" i="12"/>
  <c r="I107" i="12"/>
  <c r="H107" i="12"/>
  <c r="G107" i="12"/>
  <c r="K105" i="12"/>
  <c r="J105" i="12"/>
  <c r="I105" i="12"/>
  <c r="H105" i="12"/>
  <c r="G105" i="12"/>
  <c r="K104" i="12"/>
  <c r="J104" i="12"/>
  <c r="I104" i="12"/>
  <c r="H104" i="12"/>
  <c r="G104" i="12"/>
  <c r="K103" i="12"/>
  <c r="J103" i="12"/>
  <c r="I103" i="12"/>
  <c r="H103" i="12"/>
  <c r="G103" i="12"/>
  <c r="K102" i="12"/>
  <c r="J102" i="12"/>
  <c r="I102" i="12"/>
  <c r="H102" i="12"/>
  <c r="G102" i="12"/>
  <c r="K100" i="12"/>
  <c r="J100" i="12"/>
  <c r="I100" i="12"/>
  <c r="H100" i="12"/>
  <c r="G100" i="12"/>
  <c r="K99" i="12"/>
  <c r="J99" i="12"/>
  <c r="I99" i="12"/>
  <c r="H99" i="12"/>
  <c r="G99" i="12"/>
  <c r="K98" i="12"/>
  <c r="J98" i="12"/>
  <c r="I98" i="12"/>
  <c r="H98" i="12"/>
  <c r="G98" i="12"/>
  <c r="K95" i="12"/>
  <c r="J95" i="12"/>
  <c r="I95" i="12"/>
  <c r="H95" i="12"/>
  <c r="G95" i="12"/>
  <c r="K94" i="12"/>
  <c r="J94" i="12"/>
  <c r="I94" i="12"/>
  <c r="H94" i="12"/>
  <c r="G94" i="12"/>
  <c r="K93" i="12"/>
  <c r="J93" i="12"/>
  <c r="I93" i="12"/>
  <c r="H93" i="12"/>
  <c r="G93" i="12"/>
  <c r="K92" i="12"/>
  <c r="J92" i="12"/>
  <c r="I92" i="12"/>
  <c r="H92" i="12"/>
  <c r="G92" i="12"/>
  <c r="K90" i="12"/>
  <c r="J90" i="12"/>
  <c r="I90" i="12"/>
  <c r="H90" i="12"/>
  <c r="G90" i="12"/>
  <c r="K89" i="12"/>
  <c r="J89" i="12"/>
  <c r="I89" i="12"/>
  <c r="H89" i="12"/>
  <c r="G89" i="12"/>
  <c r="K88" i="12"/>
  <c r="J88" i="12"/>
  <c r="I88" i="12"/>
  <c r="H88" i="12"/>
  <c r="G88" i="12"/>
  <c r="K85" i="12"/>
  <c r="J85" i="12"/>
  <c r="I85" i="12"/>
  <c r="H85" i="12"/>
  <c r="G85" i="12"/>
  <c r="K84" i="12"/>
  <c r="J84" i="12"/>
  <c r="I84" i="12"/>
  <c r="H84" i="12"/>
  <c r="G84" i="12"/>
  <c r="K83" i="12"/>
  <c r="J83" i="12"/>
  <c r="I83" i="12"/>
  <c r="H83" i="12"/>
  <c r="G83" i="12"/>
  <c r="K82" i="12"/>
  <c r="J82" i="12"/>
  <c r="I82" i="12"/>
  <c r="H82" i="12"/>
  <c r="G82" i="12"/>
  <c r="K80" i="12"/>
  <c r="J80" i="12"/>
  <c r="I80" i="12"/>
  <c r="H80" i="12"/>
  <c r="G80" i="12"/>
  <c r="K79" i="12"/>
  <c r="J79" i="12"/>
  <c r="I79" i="12"/>
  <c r="H79" i="12"/>
  <c r="G79" i="12"/>
  <c r="K78" i="12"/>
  <c r="J78" i="12"/>
  <c r="I78" i="12"/>
  <c r="H78" i="12"/>
  <c r="G78" i="12"/>
  <c r="K75" i="12"/>
  <c r="J75" i="12"/>
  <c r="I75" i="12"/>
  <c r="H75" i="12"/>
  <c r="G75" i="12"/>
  <c r="K74" i="12"/>
  <c r="J74" i="12"/>
  <c r="I74" i="12"/>
  <c r="H74" i="12"/>
  <c r="G74" i="12"/>
  <c r="K73" i="12"/>
  <c r="J73" i="12"/>
  <c r="I73" i="12"/>
  <c r="H73" i="12"/>
  <c r="G73" i="12"/>
  <c r="K72" i="12"/>
  <c r="J72" i="12"/>
  <c r="I72" i="12"/>
  <c r="H72" i="12"/>
  <c r="G72" i="12"/>
  <c r="K70" i="12"/>
  <c r="J70" i="12"/>
  <c r="I70" i="12"/>
  <c r="H70" i="12"/>
  <c r="G70" i="12"/>
  <c r="K69" i="12"/>
  <c r="J69" i="12"/>
  <c r="I69" i="12"/>
  <c r="H69" i="12"/>
  <c r="G69" i="12"/>
  <c r="K68" i="12"/>
  <c r="J68" i="12"/>
  <c r="I68" i="12"/>
  <c r="H68" i="12"/>
  <c r="G68" i="12"/>
  <c r="K65" i="12"/>
  <c r="J65" i="12"/>
  <c r="I65" i="12"/>
  <c r="H65" i="12"/>
  <c r="G65" i="12"/>
  <c r="K64" i="12"/>
  <c r="J64" i="12"/>
  <c r="I64" i="12"/>
  <c r="H64" i="12"/>
  <c r="G64" i="12"/>
  <c r="K63" i="12"/>
  <c r="J63" i="12"/>
  <c r="I63" i="12"/>
  <c r="H63" i="12"/>
  <c r="G63" i="12"/>
  <c r="K62" i="12"/>
  <c r="J62" i="12"/>
  <c r="I62" i="12"/>
  <c r="H62" i="12"/>
  <c r="G62" i="12"/>
  <c r="K60" i="12"/>
  <c r="J60" i="12"/>
  <c r="I60" i="12"/>
  <c r="H60" i="12"/>
  <c r="G60" i="12"/>
  <c r="K59" i="12"/>
  <c r="J59" i="12"/>
  <c r="I59" i="12"/>
  <c r="H59" i="12"/>
  <c r="G59" i="12"/>
  <c r="K58" i="12"/>
  <c r="J58" i="12"/>
  <c r="I58" i="12"/>
  <c r="H58" i="12"/>
  <c r="G58" i="12"/>
  <c r="J56" i="12"/>
  <c r="I56" i="12"/>
  <c r="H56" i="12"/>
  <c r="G56" i="12"/>
  <c r="J55" i="12"/>
  <c r="I55" i="12"/>
  <c r="H55" i="12"/>
  <c r="G55" i="12"/>
  <c r="J54" i="12"/>
  <c r="I54" i="12"/>
  <c r="H54" i="12"/>
  <c r="G54" i="12"/>
  <c r="J53" i="12"/>
  <c r="I53" i="12"/>
  <c r="H53" i="12"/>
  <c r="G53" i="12"/>
  <c r="G119" i="12"/>
  <c r="H119" i="12"/>
  <c r="I119" i="12"/>
  <c r="J119" i="12"/>
  <c r="K119" i="12"/>
  <c r="G120" i="12"/>
  <c r="H120" i="12"/>
  <c r="I120" i="12"/>
  <c r="J120" i="12"/>
  <c r="K120" i="12"/>
  <c r="G121" i="12"/>
  <c r="H121" i="12"/>
  <c r="I121" i="12"/>
  <c r="J121" i="12"/>
  <c r="K121" i="12"/>
  <c r="G122" i="12"/>
  <c r="H122" i="12"/>
  <c r="I122" i="12"/>
  <c r="J122" i="12"/>
  <c r="K122" i="12"/>
  <c r="G123" i="12"/>
  <c r="H123" i="12"/>
  <c r="I123" i="12"/>
  <c r="J123" i="12"/>
  <c r="K123" i="12"/>
  <c r="K50" i="10"/>
  <c r="J50" i="10"/>
  <c r="I50" i="10"/>
  <c r="H50" i="10"/>
  <c r="G50" i="10"/>
  <c r="K49" i="10"/>
  <c r="J49" i="10"/>
  <c r="I49" i="10"/>
  <c r="H49" i="10"/>
  <c r="G49" i="10"/>
  <c r="K48" i="10"/>
  <c r="J48" i="10"/>
  <c r="I48" i="10"/>
  <c r="H48" i="10"/>
  <c r="G48" i="10"/>
  <c r="K47" i="10"/>
  <c r="J47" i="10"/>
  <c r="I47" i="10"/>
  <c r="H47" i="10"/>
  <c r="G47" i="10"/>
  <c r="K90" i="10"/>
  <c r="J90" i="10"/>
  <c r="I90" i="10"/>
  <c r="H90" i="10"/>
  <c r="G90" i="10"/>
  <c r="K89" i="10"/>
  <c r="J89" i="10"/>
  <c r="I89" i="10"/>
  <c r="H89" i="10"/>
  <c r="G89" i="10"/>
  <c r="K88" i="10"/>
  <c r="J88" i="10"/>
  <c r="I88" i="10"/>
  <c r="H88" i="10"/>
  <c r="G88" i="10"/>
  <c r="K87" i="10"/>
  <c r="J87" i="10"/>
  <c r="I87" i="10"/>
  <c r="H87" i="10"/>
  <c r="G87" i="10"/>
  <c r="K80" i="10"/>
  <c r="J80" i="10"/>
  <c r="I80" i="10"/>
  <c r="H80" i="10"/>
  <c r="G80" i="10"/>
  <c r="K79" i="10"/>
  <c r="J79" i="10"/>
  <c r="I79" i="10"/>
  <c r="H79" i="10"/>
  <c r="G79" i="10"/>
  <c r="K78" i="10"/>
  <c r="J78" i="10"/>
  <c r="I78" i="10"/>
  <c r="H78" i="10"/>
  <c r="G78" i="10"/>
  <c r="K77" i="10"/>
  <c r="J77" i="10"/>
  <c r="I77" i="10"/>
  <c r="H77" i="10"/>
  <c r="G77" i="10"/>
  <c r="K70" i="10"/>
  <c r="J70" i="10"/>
  <c r="I70" i="10"/>
  <c r="H70" i="10"/>
  <c r="G70" i="10"/>
  <c r="K69" i="10"/>
  <c r="J69" i="10"/>
  <c r="I69" i="10"/>
  <c r="H69" i="10"/>
  <c r="G69" i="10"/>
  <c r="K68" i="10"/>
  <c r="J68" i="10"/>
  <c r="I68" i="10"/>
  <c r="H68" i="10"/>
  <c r="G68" i="10"/>
  <c r="K67" i="10"/>
  <c r="J67" i="10"/>
  <c r="I67" i="10"/>
  <c r="H67" i="10"/>
  <c r="G67" i="10"/>
  <c r="K60" i="10"/>
  <c r="J60" i="10"/>
  <c r="I60" i="10"/>
  <c r="H60" i="10"/>
  <c r="G60" i="10"/>
  <c r="K59" i="10"/>
  <c r="J59" i="10"/>
  <c r="I59" i="10"/>
  <c r="H59" i="10"/>
  <c r="G59" i="10"/>
  <c r="K58" i="10"/>
  <c r="J58" i="10"/>
  <c r="I58" i="10"/>
  <c r="H58" i="10"/>
  <c r="G58" i="10"/>
  <c r="K57" i="10"/>
  <c r="J57" i="10"/>
  <c r="I57" i="10"/>
  <c r="H57" i="10"/>
  <c r="G57" i="10"/>
  <c r="K45" i="10"/>
  <c r="J45" i="10"/>
  <c r="I45" i="10"/>
  <c r="H45" i="10"/>
  <c r="G45" i="10"/>
  <c r="K44" i="10"/>
  <c r="J44" i="10"/>
  <c r="I44" i="10"/>
  <c r="H44" i="10"/>
  <c r="G44" i="10"/>
  <c r="K43" i="10"/>
  <c r="J43" i="10"/>
  <c r="I43" i="10"/>
  <c r="H43" i="10"/>
  <c r="G43" i="10"/>
  <c r="K94" i="10"/>
  <c r="J94" i="10"/>
  <c r="I94" i="10"/>
  <c r="H94" i="10"/>
  <c r="G94" i="10"/>
  <c r="K93" i="10"/>
  <c r="J93" i="10"/>
  <c r="I93" i="10"/>
  <c r="H93" i="10"/>
  <c r="G93" i="10"/>
  <c r="K92" i="10"/>
  <c r="J92" i="10"/>
  <c r="I92" i="10"/>
  <c r="H92" i="10"/>
  <c r="G92" i="10"/>
  <c r="K85" i="10"/>
  <c r="J85" i="10"/>
  <c r="I85" i="10"/>
  <c r="H85" i="10"/>
  <c r="G85" i="10"/>
  <c r="K84" i="10"/>
  <c r="J84" i="10"/>
  <c r="I84" i="10"/>
  <c r="H84" i="10"/>
  <c r="G84" i="10"/>
  <c r="K83" i="10"/>
  <c r="J83" i="10"/>
  <c r="I83" i="10"/>
  <c r="H83" i="10"/>
  <c r="G83" i="10"/>
  <c r="K75" i="10"/>
  <c r="J75" i="10"/>
  <c r="I75" i="10"/>
  <c r="H75" i="10"/>
  <c r="G75" i="10"/>
  <c r="K74" i="10"/>
  <c r="J74" i="10"/>
  <c r="I74" i="10"/>
  <c r="H74" i="10"/>
  <c r="G74" i="10"/>
  <c r="K73" i="10"/>
  <c r="J73" i="10"/>
  <c r="I73" i="10"/>
  <c r="H73" i="10"/>
  <c r="G73" i="10"/>
  <c r="K65" i="10"/>
  <c r="J65" i="10"/>
  <c r="I65" i="10"/>
  <c r="H65" i="10"/>
  <c r="G65" i="10"/>
  <c r="K64" i="10"/>
  <c r="J64" i="10"/>
  <c r="I64" i="10"/>
  <c r="H64" i="10"/>
  <c r="G64" i="10"/>
  <c r="K63" i="10"/>
  <c r="J63" i="10"/>
  <c r="I63" i="10"/>
  <c r="H63" i="10"/>
  <c r="G63" i="10"/>
  <c r="K57" i="6"/>
  <c r="J57" i="6"/>
  <c r="I57" i="6"/>
  <c r="H57" i="6"/>
  <c r="G57" i="6"/>
  <c r="K56" i="6"/>
  <c r="J56" i="6"/>
  <c r="I56" i="6"/>
  <c r="H56" i="6"/>
  <c r="G56" i="6"/>
  <c r="A6" i="6"/>
  <c r="A7" i="6"/>
  <c r="A8" i="6"/>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70" i="6" s="1"/>
  <c r="A71" i="6" s="1"/>
  <c r="A72" i="6" s="1"/>
  <c r="A73" i="6" s="1"/>
  <c r="A74" i="6" s="1"/>
  <c r="A75" i="6" s="1"/>
  <c r="A76" i="6" s="1"/>
  <c r="A77" i="6" s="1"/>
  <c r="A78" i="6" s="1"/>
  <c r="A79" i="6" s="1"/>
  <c r="A80" i="6" s="1"/>
  <c r="A81" i="6" s="1"/>
  <c r="A82" i="6" s="1"/>
  <c r="A83" i="6" s="1"/>
  <c r="A84" i="6" s="1"/>
  <c r="A85" i="6" s="1"/>
  <c r="K198" i="12" l="1"/>
  <c r="J198" i="12"/>
  <c r="I198" i="12"/>
  <c r="H198" i="12"/>
  <c r="G198" i="12"/>
  <c r="K197" i="12"/>
  <c r="J197" i="12"/>
  <c r="I197" i="12"/>
  <c r="H197" i="12"/>
  <c r="G197" i="12"/>
  <c r="K195" i="12"/>
  <c r="J195" i="12"/>
  <c r="I195" i="12"/>
  <c r="H195" i="12"/>
  <c r="G195" i="12"/>
  <c r="K194" i="12"/>
  <c r="J194" i="12"/>
  <c r="I194" i="12"/>
  <c r="H194" i="12"/>
  <c r="G194" i="12"/>
  <c r="K193" i="12"/>
  <c r="J193" i="12"/>
  <c r="I193" i="12"/>
  <c r="H193" i="12"/>
  <c r="G193" i="12"/>
  <c r="K192" i="12"/>
  <c r="J192" i="12"/>
  <c r="I192" i="12"/>
  <c r="H192" i="12"/>
  <c r="G192" i="12"/>
  <c r="K191" i="12"/>
  <c r="J191" i="12"/>
  <c r="I191" i="12"/>
  <c r="H191" i="12"/>
  <c r="G191" i="12"/>
  <c r="K190" i="12"/>
  <c r="J190" i="12"/>
  <c r="I190" i="12"/>
  <c r="H190" i="12"/>
  <c r="G190" i="12"/>
  <c r="K189" i="12"/>
  <c r="J189" i="12"/>
  <c r="I189" i="12"/>
  <c r="H189" i="12"/>
  <c r="G189" i="12"/>
  <c r="K186" i="12"/>
  <c r="J186" i="12"/>
  <c r="I186" i="12"/>
  <c r="H186" i="12"/>
  <c r="G186" i="12"/>
  <c r="K185" i="12"/>
  <c r="J185" i="12"/>
  <c r="I185" i="12"/>
  <c r="H185" i="12"/>
  <c r="G185" i="12"/>
  <c r="K183" i="12"/>
  <c r="J183" i="12"/>
  <c r="I183" i="12"/>
  <c r="H183" i="12"/>
  <c r="G183" i="12"/>
  <c r="K181" i="12"/>
  <c r="J181" i="12"/>
  <c r="I181" i="12"/>
  <c r="H181" i="12"/>
  <c r="G181" i="12"/>
  <c r="K179" i="12"/>
  <c r="J179" i="12"/>
  <c r="I179" i="12"/>
  <c r="H179" i="12"/>
  <c r="G179" i="12"/>
  <c r="K178" i="12"/>
  <c r="J178" i="12"/>
  <c r="I178" i="12"/>
  <c r="H178" i="12"/>
  <c r="G178" i="12"/>
  <c r="K176" i="12"/>
  <c r="J176" i="12"/>
  <c r="I176" i="12"/>
  <c r="H176" i="12"/>
  <c r="G176" i="12"/>
  <c r="K175" i="12"/>
  <c r="J175" i="12"/>
  <c r="I175" i="12"/>
  <c r="H175" i="12"/>
  <c r="G175" i="12"/>
  <c r="K174" i="12"/>
  <c r="J174" i="12"/>
  <c r="I174" i="12"/>
  <c r="H174" i="12"/>
  <c r="G174" i="12"/>
  <c r="K173" i="12"/>
  <c r="J173" i="12"/>
  <c r="I173" i="12"/>
  <c r="H173" i="12"/>
  <c r="G173" i="12"/>
  <c r="K172" i="12"/>
  <c r="J172" i="12"/>
  <c r="I172" i="12"/>
  <c r="H172" i="12"/>
  <c r="G172" i="12"/>
  <c r="K171" i="12"/>
  <c r="J171" i="12"/>
  <c r="I171" i="12"/>
  <c r="H171" i="12"/>
  <c r="G171" i="12"/>
  <c r="K170" i="12"/>
  <c r="J170" i="12"/>
  <c r="I170" i="12"/>
  <c r="H170" i="12"/>
  <c r="G170" i="12"/>
  <c r="K169" i="12"/>
  <c r="J169" i="12"/>
  <c r="I169" i="12"/>
  <c r="H169" i="12"/>
  <c r="G169" i="12"/>
  <c r="K166" i="12"/>
  <c r="J166" i="12"/>
  <c r="I166" i="12"/>
  <c r="H166" i="12"/>
  <c r="G166" i="12"/>
  <c r="K165" i="12"/>
  <c r="J165" i="12"/>
  <c r="I165" i="12"/>
  <c r="H165" i="12"/>
  <c r="G165" i="12"/>
  <c r="K163" i="12"/>
  <c r="J163" i="12"/>
  <c r="I163" i="12"/>
  <c r="H163" i="12"/>
  <c r="G163" i="12"/>
  <c r="K161" i="12"/>
  <c r="J161" i="12"/>
  <c r="I161" i="12"/>
  <c r="H161" i="12"/>
  <c r="G161" i="12"/>
  <c r="K159" i="12"/>
  <c r="J159" i="12"/>
  <c r="I159" i="12"/>
  <c r="H159" i="12"/>
  <c r="G159" i="12"/>
  <c r="K158" i="12"/>
  <c r="J158" i="12"/>
  <c r="I158" i="12"/>
  <c r="H158" i="12"/>
  <c r="G158" i="12"/>
  <c r="K156" i="12"/>
  <c r="J156" i="12"/>
  <c r="I156" i="12"/>
  <c r="H156" i="12"/>
  <c r="G156" i="12"/>
  <c r="K155" i="12"/>
  <c r="J155" i="12"/>
  <c r="I155" i="12"/>
  <c r="H155" i="12"/>
  <c r="G155" i="12"/>
  <c r="K154" i="12"/>
  <c r="J154" i="12"/>
  <c r="I154" i="12"/>
  <c r="H154" i="12"/>
  <c r="G154" i="12"/>
  <c r="K153" i="12"/>
  <c r="J153" i="12"/>
  <c r="I153" i="12"/>
  <c r="H153" i="12"/>
  <c r="G153" i="12"/>
  <c r="K152" i="12"/>
  <c r="J152" i="12"/>
  <c r="I152" i="12"/>
  <c r="H152" i="12"/>
  <c r="G152" i="12"/>
  <c r="K151" i="12"/>
  <c r="J151" i="12"/>
  <c r="I151" i="12"/>
  <c r="H151" i="12"/>
  <c r="G151" i="12"/>
  <c r="K150" i="12"/>
  <c r="J150" i="12"/>
  <c r="I150" i="12"/>
  <c r="H150" i="12"/>
  <c r="G150" i="12"/>
  <c r="K149" i="12"/>
  <c r="J149" i="12"/>
  <c r="I149" i="12"/>
  <c r="H149" i="12"/>
  <c r="G149" i="12"/>
  <c r="K147" i="12"/>
  <c r="J147" i="12"/>
  <c r="I147" i="12"/>
  <c r="H147" i="12"/>
  <c r="G147" i="12"/>
  <c r="K145" i="12"/>
  <c r="J145" i="12"/>
  <c r="I145" i="12"/>
  <c r="H145" i="12"/>
  <c r="G145" i="12"/>
  <c r="K143" i="12"/>
  <c r="J143" i="12"/>
  <c r="I143" i="12"/>
  <c r="H143" i="12"/>
  <c r="G143" i="12"/>
  <c r="K141" i="12"/>
  <c r="J141" i="12"/>
  <c r="I141" i="12"/>
  <c r="H141" i="12"/>
  <c r="G141" i="12"/>
  <c r="K140" i="12"/>
  <c r="J140" i="12"/>
  <c r="I140" i="12"/>
  <c r="H140" i="12"/>
  <c r="G140" i="12"/>
  <c r="K138" i="12"/>
  <c r="J138" i="12"/>
  <c r="I138" i="12"/>
  <c r="H138" i="12"/>
  <c r="G138" i="12"/>
  <c r="K137" i="12"/>
  <c r="J137" i="12"/>
  <c r="I137" i="12"/>
  <c r="H137" i="12"/>
  <c r="G137" i="12"/>
  <c r="K136" i="12"/>
  <c r="J136" i="12"/>
  <c r="I136" i="12"/>
  <c r="H136" i="12"/>
  <c r="G136" i="12"/>
  <c r="K135" i="12"/>
  <c r="J135" i="12"/>
  <c r="I135" i="12"/>
  <c r="H135" i="12"/>
  <c r="G135" i="12"/>
  <c r="K134" i="12"/>
  <c r="J134" i="12"/>
  <c r="I134" i="12"/>
  <c r="H134" i="12"/>
  <c r="G134" i="12"/>
  <c r="K133" i="12"/>
  <c r="J133" i="12"/>
  <c r="I133" i="12"/>
  <c r="H133" i="12"/>
  <c r="G133" i="12"/>
  <c r="K132" i="12"/>
  <c r="J132" i="12"/>
  <c r="I132" i="12"/>
  <c r="H132" i="12"/>
  <c r="G132" i="12"/>
  <c r="K131" i="12"/>
  <c r="J131" i="12"/>
  <c r="I131" i="12"/>
  <c r="H131" i="12"/>
  <c r="G131" i="12"/>
  <c r="K129" i="12"/>
  <c r="J129" i="12"/>
  <c r="I129" i="12"/>
  <c r="H129" i="12"/>
  <c r="G129" i="12"/>
  <c r="K127" i="12"/>
  <c r="J127" i="12"/>
  <c r="I127" i="12"/>
  <c r="H127" i="12"/>
  <c r="G127" i="12"/>
  <c r="K125" i="12"/>
  <c r="J125" i="12"/>
  <c r="I125" i="12"/>
  <c r="H125" i="12"/>
  <c r="G125" i="12"/>
  <c r="K124" i="12"/>
  <c r="J124" i="12"/>
  <c r="I124" i="12"/>
  <c r="H124" i="12"/>
  <c r="G124" i="12"/>
  <c r="J49" i="12"/>
  <c r="I49" i="12"/>
  <c r="H49" i="12"/>
  <c r="G49" i="12"/>
  <c r="J48" i="12"/>
  <c r="I48" i="12"/>
  <c r="H48" i="12"/>
  <c r="G48" i="12"/>
  <c r="J47" i="12"/>
  <c r="I47" i="12"/>
  <c r="H47" i="12"/>
  <c r="G47" i="12"/>
  <c r="J46" i="12"/>
  <c r="I46" i="12"/>
  <c r="H46" i="12"/>
  <c r="G46" i="12"/>
  <c r="J41" i="12"/>
  <c r="I41" i="12"/>
  <c r="H41" i="12"/>
  <c r="G41" i="12"/>
  <c r="J40" i="12"/>
  <c r="I40" i="12"/>
  <c r="H40" i="12"/>
  <c r="G40" i="12"/>
  <c r="J39" i="12"/>
  <c r="I39" i="12"/>
  <c r="H39" i="12"/>
  <c r="G39" i="12"/>
  <c r="K38" i="12"/>
  <c r="J38" i="12"/>
  <c r="I38" i="12"/>
  <c r="H38" i="12"/>
  <c r="G38" i="12"/>
  <c r="K37" i="12"/>
  <c r="J37" i="12"/>
  <c r="I37" i="12"/>
  <c r="H37" i="12"/>
  <c r="G37" i="12"/>
  <c r="K36" i="12"/>
  <c r="J36" i="12"/>
  <c r="I36" i="12"/>
  <c r="H36" i="12"/>
  <c r="G36" i="12"/>
  <c r="J34" i="12"/>
  <c r="I34" i="12"/>
  <c r="H34" i="12"/>
  <c r="G34" i="12"/>
  <c r="J32" i="12"/>
  <c r="I32" i="12"/>
  <c r="H32" i="12"/>
  <c r="G32" i="12"/>
  <c r="J30" i="12"/>
  <c r="I30" i="12"/>
  <c r="H30" i="12"/>
  <c r="G30" i="12"/>
  <c r="K28" i="12"/>
  <c r="K27" i="12"/>
  <c r="J27" i="12"/>
  <c r="I27" i="12"/>
  <c r="H27" i="12"/>
  <c r="G27" i="12"/>
  <c r="K26" i="12"/>
  <c r="J26" i="12"/>
  <c r="I26" i="12"/>
  <c r="H26" i="12"/>
  <c r="G26" i="12"/>
  <c r="J25" i="12"/>
  <c r="I25" i="12"/>
  <c r="H25" i="12"/>
  <c r="G25" i="12"/>
  <c r="J24" i="12"/>
  <c r="I24" i="12"/>
  <c r="H24" i="12"/>
  <c r="G24" i="12"/>
  <c r="J23" i="12"/>
  <c r="I23" i="12"/>
  <c r="H23" i="12"/>
  <c r="G23" i="12"/>
  <c r="J22" i="12"/>
  <c r="I22" i="12"/>
  <c r="H22" i="12"/>
  <c r="G22" i="12"/>
  <c r="K21" i="12"/>
  <c r="K20" i="12"/>
  <c r="J20" i="12"/>
  <c r="I20" i="12"/>
  <c r="H20" i="12"/>
  <c r="G20" i="12"/>
  <c r="K19" i="12"/>
  <c r="K18" i="12"/>
  <c r="J18" i="12"/>
  <c r="I18" i="12"/>
  <c r="H18" i="12"/>
  <c r="G18" i="12"/>
  <c r="K16" i="12"/>
  <c r="J16" i="12"/>
  <c r="I16" i="12"/>
  <c r="H16" i="12"/>
  <c r="G16" i="12"/>
  <c r="K14" i="12"/>
  <c r="J14" i="12"/>
  <c r="I14" i="12"/>
  <c r="H14" i="12"/>
  <c r="G14" i="12"/>
  <c r="K9" i="12"/>
  <c r="J9" i="12"/>
  <c r="I9" i="12"/>
  <c r="H9" i="12"/>
  <c r="G9" i="12"/>
  <c r="K7" i="12"/>
  <c r="J7" i="12"/>
  <c r="I7" i="12"/>
  <c r="H7" i="12"/>
  <c r="G7" i="12"/>
  <c r="K6" i="12"/>
  <c r="J6" i="12"/>
  <c r="I6" i="12"/>
  <c r="H6" i="12"/>
  <c r="G6" i="12"/>
  <c r="K5" i="12"/>
  <c r="J5" i="12"/>
  <c r="I5" i="12"/>
  <c r="H5" i="12"/>
  <c r="G5" i="12"/>
  <c r="K4" i="12"/>
  <c r="J4" i="12"/>
  <c r="I4" i="12"/>
  <c r="H4" i="12"/>
  <c r="G4" i="12"/>
  <c r="J201" i="12"/>
  <c r="I201" i="12"/>
  <c r="H201" i="12"/>
  <c r="G201" i="12"/>
  <c r="K55" i="10"/>
  <c r="J55" i="10"/>
  <c r="I55" i="10"/>
  <c r="H55" i="10"/>
  <c r="G55" i="10"/>
  <c r="K54" i="10"/>
  <c r="J54" i="10"/>
  <c r="I54" i="10"/>
  <c r="H54" i="10"/>
  <c r="G54" i="10"/>
  <c r="K53" i="10"/>
  <c r="J53" i="10"/>
  <c r="I53" i="10"/>
  <c r="H53" i="10"/>
  <c r="G53" i="10"/>
  <c r="K108" i="10"/>
  <c r="J108" i="10"/>
  <c r="I108" i="10"/>
  <c r="H108" i="10"/>
  <c r="G108" i="10"/>
  <c r="K107" i="10"/>
  <c r="J107" i="10"/>
  <c r="I107" i="10"/>
  <c r="H107" i="10"/>
  <c r="G107" i="10"/>
  <c r="K106" i="10"/>
  <c r="J106" i="10"/>
  <c r="I106" i="10"/>
  <c r="H106" i="10"/>
  <c r="G106" i="10"/>
  <c r="K105" i="10"/>
  <c r="J105" i="10"/>
  <c r="I105" i="10"/>
  <c r="H105" i="10"/>
  <c r="G105" i="10"/>
  <c r="K104" i="10"/>
  <c r="J104" i="10"/>
  <c r="I104" i="10"/>
  <c r="H104" i="10"/>
  <c r="G104" i="10"/>
  <c r="K103" i="10"/>
  <c r="J103" i="10"/>
  <c r="I103" i="10"/>
  <c r="H103" i="10"/>
  <c r="G103" i="10"/>
  <c r="K122" i="10"/>
  <c r="J122" i="10"/>
  <c r="I122" i="10"/>
  <c r="H122" i="10"/>
  <c r="G122" i="10"/>
  <c r="K123" i="10"/>
  <c r="J123" i="10"/>
  <c r="I123" i="10"/>
  <c r="H123" i="10"/>
  <c r="G123" i="10"/>
  <c r="K136" i="10"/>
  <c r="J136" i="10"/>
  <c r="I136" i="10"/>
  <c r="H136" i="10"/>
  <c r="G136" i="10"/>
  <c r="K137" i="10"/>
  <c r="J137" i="10"/>
  <c r="I137" i="10"/>
  <c r="H137" i="10"/>
  <c r="G137" i="10"/>
  <c r="K166" i="10"/>
  <c r="J166" i="10"/>
  <c r="I166" i="10"/>
  <c r="H166" i="10"/>
  <c r="G166" i="10"/>
  <c r="K165" i="10"/>
  <c r="J165" i="10"/>
  <c r="I165" i="10"/>
  <c r="H165" i="10"/>
  <c r="G165" i="10"/>
  <c r="K163" i="10"/>
  <c r="J163" i="10"/>
  <c r="I163" i="10"/>
  <c r="H163" i="10"/>
  <c r="G163" i="10"/>
  <c r="K162" i="10"/>
  <c r="J162" i="10"/>
  <c r="I162" i="10"/>
  <c r="H162" i="10"/>
  <c r="G162" i="10"/>
  <c r="K161" i="10"/>
  <c r="J161" i="10"/>
  <c r="I161" i="10"/>
  <c r="H161" i="10"/>
  <c r="G161" i="10"/>
  <c r="K160" i="10"/>
  <c r="J160" i="10"/>
  <c r="I160" i="10"/>
  <c r="H160" i="10"/>
  <c r="G160" i="10"/>
  <c r="K159" i="10"/>
  <c r="J159" i="10"/>
  <c r="I159" i="10"/>
  <c r="H159" i="10"/>
  <c r="G159" i="10"/>
  <c r="K158" i="10"/>
  <c r="J158" i="10"/>
  <c r="I158" i="10"/>
  <c r="H158" i="10"/>
  <c r="G158" i="10"/>
  <c r="K157" i="10"/>
  <c r="J157" i="10"/>
  <c r="I157" i="10"/>
  <c r="H157" i="10"/>
  <c r="G157" i="10"/>
  <c r="K156" i="10"/>
  <c r="J156" i="10"/>
  <c r="I156" i="10"/>
  <c r="H156" i="10"/>
  <c r="G156" i="10"/>
  <c r="K155" i="10"/>
  <c r="J155" i="10"/>
  <c r="I155" i="10"/>
  <c r="H155" i="10"/>
  <c r="G155" i="10"/>
  <c r="K154" i="10"/>
  <c r="J154" i="10"/>
  <c r="I154" i="10"/>
  <c r="H154" i="10"/>
  <c r="G154" i="10"/>
  <c r="K152" i="10"/>
  <c r="J152" i="10"/>
  <c r="I152" i="10"/>
  <c r="H152" i="10"/>
  <c r="G152" i="10"/>
  <c r="K151" i="10"/>
  <c r="J151" i="10"/>
  <c r="I151" i="10"/>
  <c r="H151" i="10"/>
  <c r="G151" i="10"/>
  <c r="K150" i="10"/>
  <c r="J150" i="10"/>
  <c r="I150" i="10"/>
  <c r="H150" i="10"/>
  <c r="G150" i="10"/>
  <c r="K149" i="10"/>
  <c r="J149" i="10"/>
  <c r="I149" i="10"/>
  <c r="H149" i="10"/>
  <c r="G149" i="10"/>
  <c r="K148" i="10"/>
  <c r="J148" i="10"/>
  <c r="I148" i="10"/>
  <c r="H148" i="10"/>
  <c r="G148" i="10"/>
  <c r="K147" i="10"/>
  <c r="J147" i="10"/>
  <c r="I147" i="10"/>
  <c r="H147" i="10"/>
  <c r="G147" i="10"/>
  <c r="K146" i="10"/>
  <c r="J146" i="10"/>
  <c r="I146" i="10"/>
  <c r="H146" i="10"/>
  <c r="G146" i="10"/>
  <c r="K145" i="10"/>
  <c r="J145" i="10"/>
  <c r="I145" i="10"/>
  <c r="H145" i="10"/>
  <c r="G145" i="10"/>
  <c r="K144" i="10"/>
  <c r="J144" i="10"/>
  <c r="I144" i="10"/>
  <c r="H144" i="10"/>
  <c r="G144" i="10"/>
  <c r="K143" i="10"/>
  <c r="J143" i="10"/>
  <c r="I143" i="10"/>
  <c r="H143" i="10"/>
  <c r="G143" i="10"/>
  <c r="K142" i="10"/>
  <c r="J142" i="10"/>
  <c r="I142" i="10"/>
  <c r="H142" i="10"/>
  <c r="G142" i="10"/>
  <c r="K141" i="10"/>
  <c r="J141" i="10"/>
  <c r="I141" i="10"/>
  <c r="H141" i="10"/>
  <c r="G141" i="10"/>
  <c r="K140" i="10"/>
  <c r="J140" i="10"/>
  <c r="I140" i="10"/>
  <c r="H140" i="10"/>
  <c r="G140" i="10"/>
  <c r="K139" i="10"/>
  <c r="J139" i="10"/>
  <c r="I139" i="10"/>
  <c r="H139" i="10"/>
  <c r="G139" i="10"/>
  <c r="K134" i="10"/>
  <c r="J134" i="10"/>
  <c r="I134" i="10"/>
  <c r="H134" i="10"/>
  <c r="G134" i="10"/>
  <c r="K133" i="10"/>
  <c r="J133" i="10"/>
  <c r="I133" i="10"/>
  <c r="H133" i="10"/>
  <c r="G133" i="10"/>
  <c r="K132" i="10"/>
  <c r="J132" i="10"/>
  <c r="I132" i="10"/>
  <c r="H132" i="10"/>
  <c r="G132" i="10"/>
  <c r="K131" i="10"/>
  <c r="J131" i="10"/>
  <c r="I131" i="10"/>
  <c r="H131" i="10"/>
  <c r="G131" i="10"/>
  <c r="K130" i="10"/>
  <c r="J130" i="10"/>
  <c r="I130" i="10"/>
  <c r="H130" i="10"/>
  <c r="G130" i="10"/>
  <c r="K129" i="10"/>
  <c r="J129" i="10"/>
  <c r="I129" i="10"/>
  <c r="H129" i="10"/>
  <c r="G129" i="10"/>
  <c r="K128" i="10"/>
  <c r="J128" i="10"/>
  <c r="I128" i="10"/>
  <c r="H128" i="10"/>
  <c r="G128" i="10"/>
  <c r="K127" i="10"/>
  <c r="J127" i="10"/>
  <c r="I127" i="10"/>
  <c r="H127" i="10"/>
  <c r="G127" i="10"/>
  <c r="K126" i="10"/>
  <c r="J126" i="10"/>
  <c r="I126" i="10"/>
  <c r="H126" i="10"/>
  <c r="G126" i="10"/>
  <c r="K125" i="10"/>
  <c r="J125" i="10"/>
  <c r="I125" i="10"/>
  <c r="H125" i="10"/>
  <c r="G125" i="10"/>
  <c r="K120" i="10"/>
  <c r="J120" i="10"/>
  <c r="I120" i="10"/>
  <c r="H120" i="10"/>
  <c r="G120" i="10"/>
  <c r="K119" i="10"/>
  <c r="J119" i="10"/>
  <c r="I119" i="10"/>
  <c r="H119" i="10"/>
  <c r="G119" i="10"/>
  <c r="K118" i="10"/>
  <c r="J118" i="10"/>
  <c r="I118" i="10"/>
  <c r="H118" i="10"/>
  <c r="G118" i="10"/>
  <c r="K117" i="10"/>
  <c r="J117" i="10"/>
  <c r="I117" i="10"/>
  <c r="H117" i="10"/>
  <c r="G117" i="10"/>
  <c r="K116" i="10"/>
  <c r="J116" i="10"/>
  <c r="I116" i="10"/>
  <c r="H116" i="10"/>
  <c r="G116" i="10"/>
  <c r="K115" i="10"/>
  <c r="J115" i="10"/>
  <c r="I115" i="10"/>
  <c r="H115" i="10"/>
  <c r="G115" i="10"/>
  <c r="K114" i="10"/>
  <c r="J114" i="10"/>
  <c r="I114" i="10"/>
  <c r="H114" i="10"/>
  <c r="G114" i="10"/>
  <c r="K113" i="10"/>
  <c r="J113" i="10"/>
  <c r="I113" i="10"/>
  <c r="H113" i="10"/>
  <c r="G113" i="10"/>
  <c r="K112" i="10"/>
  <c r="J112" i="10"/>
  <c r="I112" i="10"/>
  <c r="H112" i="10"/>
  <c r="G112" i="10"/>
  <c r="K111" i="10"/>
  <c r="J111" i="10"/>
  <c r="I111" i="10"/>
  <c r="H111" i="10"/>
  <c r="G111" i="10"/>
  <c r="J206" i="12" l="1"/>
  <c r="H206" i="12"/>
  <c r="I206" i="12"/>
  <c r="G206" i="12"/>
  <c r="K206" i="12"/>
  <c r="K32" i="11" l="1"/>
  <c r="J32" i="11"/>
  <c r="I32" i="11"/>
  <c r="H32" i="11"/>
  <c r="G32" i="11"/>
  <c r="K31" i="11"/>
  <c r="J31" i="11"/>
  <c r="I31" i="11"/>
  <c r="H31" i="11"/>
  <c r="G31" i="11"/>
  <c r="K48" i="6" l="1"/>
  <c r="J48" i="6"/>
  <c r="I48" i="6"/>
  <c r="H48" i="6"/>
  <c r="G48" i="6"/>
  <c r="K39" i="6"/>
  <c r="J39" i="6"/>
  <c r="I39" i="6"/>
  <c r="H39" i="6"/>
  <c r="G39" i="6"/>
  <c r="K38" i="6"/>
  <c r="J38" i="6"/>
  <c r="I38" i="6"/>
  <c r="H38" i="6"/>
  <c r="G38" i="6"/>
  <c r="K37" i="6"/>
  <c r="J37" i="6"/>
  <c r="I37" i="6"/>
  <c r="H37" i="6"/>
  <c r="G37" i="6"/>
  <c r="J31" i="10"/>
  <c r="I31" i="10"/>
  <c r="H31" i="10"/>
  <c r="G31" i="10"/>
  <c r="J30" i="10"/>
  <c r="I30" i="10"/>
  <c r="H30" i="10"/>
  <c r="G30" i="10"/>
  <c r="J29" i="10"/>
  <c r="I29" i="10"/>
  <c r="H29" i="10"/>
  <c r="G29" i="10"/>
  <c r="J24" i="10"/>
  <c r="I24" i="10"/>
  <c r="H24" i="10"/>
  <c r="G24" i="10"/>
  <c r="J23" i="10"/>
  <c r="I23" i="10"/>
  <c r="H23" i="10"/>
  <c r="G23" i="10"/>
  <c r="J22" i="10"/>
  <c r="I22" i="10"/>
  <c r="H22" i="10"/>
  <c r="G22" i="10"/>
  <c r="J17" i="10"/>
  <c r="I17" i="10"/>
  <c r="H17" i="10"/>
  <c r="G17" i="10"/>
  <c r="J16" i="10"/>
  <c r="I16" i="10"/>
  <c r="H16" i="10"/>
  <c r="G16" i="10"/>
  <c r="J15" i="10"/>
  <c r="I15" i="10"/>
  <c r="H15" i="10"/>
  <c r="G15" i="10"/>
  <c r="G11" i="10"/>
  <c r="H11" i="10"/>
  <c r="I11" i="10"/>
  <c r="J11" i="10"/>
  <c r="K11" i="10"/>
  <c r="G12" i="10"/>
  <c r="H12" i="10"/>
  <c r="I12" i="10"/>
  <c r="J12" i="10"/>
  <c r="K12" i="10"/>
  <c r="G13" i="10"/>
  <c r="H13" i="10"/>
  <c r="I13" i="10"/>
  <c r="J13" i="10"/>
  <c r="K13" i="10"/>
  <c r="G14" i="10"/>
  <c r="H14" i="10"/>
  <c r="I14" i="10"/>
  <c r="J14" i="10"/>
  <c r="K14" i="10"/>
  <c r="G18" i="10"/>
  <c r="H18" i="10"/>
  <c r="I18" i="10"/>
  <c r="J18" i="10"/>
  <c r="G19" i="10"/>
  <c r="H19" i="10"/>
  <c r="I19" i="10"/>
  <c r="J19" i="10"/>
  <c r="K19" i="10"/>
  <c r="G20" i="10"/>
  <c r="H20" i="10"/>
  <c r="I20" i="10"/>
  <c r="J20" i="10"/>
  <c r="K20" i="10"/>
  <c r="G26" i="10"/>
  <c r="H26" i="10"/>
  <c r="I26" i="10"/>
  <c r="J26" i="10"/>
  <c r="K26" i="10"/>
  <c r="G27" i="10"/>
  <c r="H27" i="10"/>
  <c r="I27" i="10"/>
  <c r="J27" i="10"/>
  <c r="K27" i="10"/>
  <c r="G28" i="10"/>
  <c r="H28" i="10"/>
  <c r="I28" i="10"/>
  <c r="J28" i="10"/>
  <c r="K28" i="10"/>
  <c r="A4" i="18"/>
  <c r="A5" i="18" l="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K104" i="18" l="1"/>
  <c r="J104" i="18"/>
  <c r="I104" i="18"/>
  <c r="H104" i="18"/>
  <c r="G104" i="18"/>
  <c r="K101" i="18"/>
  <c r="J101" i="18"/>
  <c r="I101" i="18"/>
  <c r="H101" i="18"/>
  <c r="G101" i="18"/>
  <c r="K100" i="18"/>
  <c r="J100" i="18"/>
  <c r="I100" i="18"/>
  <c r="H100" i="18"/>
  <c r="G100" i="18"/>
  <c r="K99" i="18"/>
  <c r="J99" i="18"/>
  <c r="I99" i="18"/>
  <c r="H99" i="18"/>
  <c r="G99" i="18"/>
  <c r="K98" i="18"/>
  <c r="J98" i="18"/>
  <c r="I98" i="18"/>
  <c r="H98" i="18"/>
  <c r="G98" i="18"/>
  <c r="K97" i="18"/>
  <c r="J97" i="18"/>
  <c r="I97" i="18"/>
  <c r="H97" i="18"/>
  <c r="G97" i="18"/>
  <c r="K94" i="18"/>
  <c r="J94" i="18"/>
  <c r="I94" i="18"/>
  <c r="H94" i="18"/>
  <c r="G94" i="18"/>
  <c r="K93" i="18"/>
  <c r="J93" i="18"/>
  <c r="I93" i="18"/>
  <c r="H93" i="18"/>
  <c r="G93" i="18"/>
  <c r="K92" i="18"/>
  <c r="J92" i="18"/>
  <c r="I92" i="18"/>
  <c r="H92" i="18"/>
  <c r="G92" i="18"/>
  <c r="K91" i="18"/>
  <c r="J91" i="18"/>
  <c r="I91" i="18"/>
  <c r="H91" i="18"/>
  <c r="G91" i="18"/>
  <c r="K87" i="18"/>
  <c r="J87" i="18"/>
  <c r="I87" i="18"/>
  <c r="H87" i="18"/>
  <c r="G87" i="18"/>
  <c r="K86" i="18"/>
  <c r="J86" i="18"/>
  <c r="I86" i="18"/>
  <c r="H86" i="18"/>
  <c r="G86" i="18"/>
  <c r="K85" i="18"/>
  <c r="J85" i="18"/>
  <c r="I85" i="18"/>
  <c r="H85" i="18"/>
  <c r="G85" i="18"/>
  <c r="K84" i="18"/>
  <c r="J84" i="18"/>
  <c r="I84" i="18"/>
  <c r="H84" i="18"/>
  <c r="G84" i="18"/>
  <c r="K83" i="18"/>
  <c r="J83" i="18"/>
  <c r="I83" i="18"/>
  <c r="H83" i="18"/>
  <c r="G83" i="18"/>
  <c r="K82" i="18"/>
  <c r="J82" i="18"/>
  <c r="I82" i="18"/>
  <c r="H82" i="18"/>
  <c r="G82" i="18"/>
  <c r="K81" i="18"/>
  <c r="J81" i="18"/>
  <c r="I81" i="18"/>
  <c r="H81" i="18"/>
  <c r="G81" i="18"/>
  <c r="K80" i="18"/>
  <c r="J80" i="18"/>
  <c r="I80" i="18"/>
  <c r="H80" i="18"/>
  <c r="G80" i="18"/>
  <c r="K76" i="18"/>
  <c r="J76" i="18"/>
  <c r="I76" i="18"/>
  <c r="H76" i="18"/>
  <c r="G76" i="18"/>
  <c r="K75" i="18"/>
  <c r="J75" i="18"/>
  <c r="I75" i="18"/>
  <c r="H75" i="18"/>
  <c r="G75" i="18"/>
  <c r="K74" i="18"/>
  <c r="J74" i="18"/>
  <c r="I74" i="18"/>
  <c r="H74" i="18"/>
  <c r="G74" i="18"/>
  <c r="K73" i="18"/>
  <c r="J73" i="18"/>
  <c r="I73" i="18"/>
  <c r="H73" i="18"/>
  <c r="G73" i="18"/>
  <c r="K69" i="18"/>
  <c r="J69" i="18"/>
  <c r="I69" i="18"/>
  <c r="H69" i="18"/>
  <c r="G69" i="18"/>
  <c r="K68" i="18"/>
  <c r="J68" i="18"/>
  <c r="I68" i="18"/>
  <c r="H68" i="18"/>
  <c r="G68" i="18"/>
  <c r="K67" i="18"/>
  <c r="J67" i="18"/>
  <c r="I67" i="18"/>
  <c r="H67" i="18"/>
  <c r="G67" i="18"/>
  <c r="K66" i="18"/>
  <c r="J66" i="18"/>
  <c r="I66" i="18"/>
  <c r="H66" i="18"/>
  <c r="G66" i="18"/>
  <c r="K65" i="18"/>
  <c r="J65" i="18"/>
  <c r="I65" i="18"/>
  <c r="H65" i="18"/>
  <c r="G65" i="18"/>
  <c r="K64" i="18"/>
  <c r="J64" i="18"/>
  <c r="I64" i="18"/>
  <c r="H64" i="18"/>
  <c r="G64" i="18"/>
  <c r="K62" i="18"/>
  <c r="J62" i="18"/>
  <c r="I62" i="18"/>
  <c r="H62" i="18"/>
  <c r="G62" i="18"/>
  <c r="K61" i="18"/>
  <c r="J61" i="18"/>
  <c r="I61" i="18"/>
  <c r="H61" i="18"/>
  <c r="G61" i="18"/>
  <c r="K60" i="18"/>
  <c r="J60" i="18"/>
  <c r="I60" i="18"/>
  <c r="H60" i="18"/>
  <c r="G60" i="18"/>
  <c r="K59" i="18"/>
  <c r="J59" i="18"/>
  <c r="I59" i="18"/>
  <c r="H59" i="18"/>
  <c r="G59" i="18"/>
  <c r="K56" i="18"/>
  <c r="J56" i="18"/>
  <c r="I56" i="18"/>
  <c r="H56" i="18"/>
  <c r="G56" i="18"/>
  <c r="K55" i="18"/>
  <c r="J55" i="18"/>
  <c r="I55" i="18"/>
  <c r="H55" i="18"/>
  <c r="G55" i="18"/>
  <c r="K54" i="18"/>
  <c r="J54" i="18"/>
  <c r="I54" i="18"/>
  <c r="H54" i="18"/>
  <c r="G54" i="18"/>
  <c r="K53" i="18"/>
  <c r="J53" i="18"/>
  <c r="I53" i="18"/>
  <c r="H53" i="18"/>
  <c r="G53" i="18"/>
  <c r="K52" i="18"/>
  <c r="J52" i="18"/>
  <c r="I52" i="18"/>
  <c r="H52" i="18"/>
  <c r="G52" i="18"/>
  <c r="K51" i="18"/>
  <c r="J51" i="18"/>
  <c r="I51" i="18"/>
  <c r="H51" i="18"/>
  <c r="G51" i="18"/>
  <c r="K49" i="18"/>
  <c r="J49" i="18"/>
  <c r="I49" i="18"/>
  <c r="H49" i="18"/>
  <c r="G49" i="18"/>
  <c r="K48" i="18"/>
  <c r="J48" i="18"/>
  <c r="I48" i="18"/>
  <c r="H48" i="18"/>
  <c r="G48" i="18"/>
  <c r="K47" i="18"/>
  <c r="J47" i="18"/>
  <c r="I47" i="18"/>
  <c r="H47" i="18"/>
  <c r="G47" i="18"/>
  <c r="J46" i="18"/>
  <c r="I46" i="18"/>
  <c r="H46" i="18"/>
  <c r="G46" i="18"/>
  <c r="K42" i="18"/>
  <c r="J42" i="18"/>
  <c r="I42" i="18"/>
  <c r="H42" i="18"/>
  <c r="G42" i="18"/>
  <c r="K41" i="18"/>
  <c r="J41" i="18"/>
  <c r="I41" i="18"/>
  <c r="H41" i="18"/>
  <c r="G41" i="18"/>
  <c r="K40" i="18"/>
  <c r="J40" i="18"/>
  <c r="I40" i="18"/>
  <c r="H40" i="18"/>
  <c r="G40" i="18"/>
  <c r="K39" i="18"/>
  <c r="J39" i="18"/>
  <c r="I39" i="18"/>
  <c r="H39" i="18"/>
  <c r="G39" i="18"/>
  <c r="K38" i="18"/>
  <c r="J38" i="18"/>
  <c r="I38" i="18"/>
  <c r="H38" i="18"/>
  <c r="G38" i="18"/>
  <c r="K37" i="18"/>
  <c r="J37" i="18"/>
  <c r="I37" i="18"/>
  <c r="H37" i="18"/>
  <c r="G37" i="18"/>
  <c r="K36" i="18"/>
  <c r="J36" i="18"/>
  <c r="I36" i="18"/>
  <c r="H36" i="18"/>
  <c r="G36" i="18"/>
  <c r="K35" i="18"/>
  <c r="J35" i="18"/>
  <c r="I35" i="18"/>
  <c r="H35" i="18"/>
  <c r="G35" i="18"/>
  <c r="K33" i="18"/>
  <c r="J33" i="18"/>
  <c r="I33" i="18"/>
  <c r="H33" i="18"/>
  <c r="G33" i="18"/>
  <c r="K31" i="18"/>
  <c r="J31" i="18"/>
  <c r="I31" i="18"/>
  <c r="H31" i="18"/>
  <c r="G31" i="18"/>
  <c r="K30" i="18"/>
  <c r="J30" i="18"/>
  <c r="I30" i="18"/>
  <c r="H30" i="18"/>
  <c r="G30" i="18"/>
  <c r="K29" i="18"/>
  <c r="J29" i="18"/>
  <c r="I29" i="18"/>
  <c r="H29" i="18"/>
  <c r="G29" i="18"/>
  <c r="K26" i="18"/>
  <c r="J26" i="18"/>
  <c r="I26" i="18"/>
  <c r="H26" i="18"/>
  <c r="G26" i="18"/>
  <c r="K24" i="18"/>
  <c r="J24" i="18"/>
  <c r="I24" i="18"/>
  <c r="H24" i="18"/>
  <c r="G24" i="18"/>
  <c r="K22" i="18"/>
  <c r="J22" i="18"/>
  <c r="I22" i="18"/>
  <c r="H22" i="18"/>
  <c r="G22" i="18"/>
  <c r="K19" i="18"/>
  <c r="J19" i="18"/>
  <c r="I19" i="18"/>
  <c r="H19" i="18"/>
  <c r="G19" i="18"/>
  <c r="K18" i="18"/>
  <c r="J18" i="18"/>
  <c r="I18" i="18"/>
  <c r="H18" i="18"/>
  <c r="G18" i="18"/>
  <c r="K17" i="18"/>
  <c r="J17" i="18"/>
  <c r="I17" i="18"/>
  <c r="H17" i="18"/>
  <c r="G17" i="18"/>
  <c r="K16" i="18"/>
  <c r="J16" i="18"/>
  <c r="I16" i="18"/>
  <c r="H16" i="18"/>
  <c r="G16" i="18"/>
  <c r="K15" i="18"/>
  <c r="J15" i="18"/>
  <c r="I15" i="18"/>
  <c r="H15" i="18"/>
  <c r="G15" i="18"/>
  <c r="K13" i="18"/>
  <c r="J13" i="18"/>
  <c r="I13" i="18"/>
  <c r="H13" i="18"/>
  <c r="G13" i="18"/>
  <c r="K11" i="18"/>
  <c r="J11" i="18"/>
  <c r="I11" i="18"/>
  <c r="H11" i="18"/>
  <c r="G11" i="18"/>
  <c r="K9" i="18"/>
  <c r="J9" i="18"/>
  <c r="I9" i="18"/>
  <c r="H9" i="18"/>
  <c r="G9" i="18"/>
  <c r="K7" i="18"/>
  <c r="J7" i="18"/>
  <c r="I7" i="18"/>
  <c r="H7" i="18"/>
  <c r="G7" i="18"/>
  <c r="K4" i="18"/>
  <c r="J4" i="18"/>
  <c r="I4" i="18"/>
  <c r="H4" i="18"/>
  <c r="G4" i="18"/>
  <c r="K105" i="17"/>
  <c r="J105" i="17"/>
  <c r="I105" i="17"/>
  <c r="H105" i="17"/>
  <c r="G105" i="17"/>
  <c r="K59" i="17"/>
  <c r="J59" i="17"/>
  <c r="I59" i="17"/>
  <c r="H59" i="17"/>
  <c r="G59" i="17"/>
  <c r="K58" i="17"/>
  <c r="J58" i="17"/>
  <c r="I58" i="17"/>
  <c r="H58" i="17"/>
  <c r="G58" i="17"/>
  <c r="K57" i="17"/>
  <c r="J57" i="17"/>
  <c r="I57" i="17"/>
  <c r="H57" i="17"/>
  <c r="G57" i="17"/>
  <c r="K56" i="17"/>
  <c r="J56" i="17"/>
  <c r="I56" i="17"/>
  <c r="H56" i="17"/>
  <c r="G56" i="17"/>
  <c r="K53" i="17"/>
  <c r="J53" i="17"/>
  <c r="I53" i="17"/>
  <c r="H53" i="17"/>
  <c r="G53" i="17"/>
  <c r="K52" i="17"/>
  <c r="J52" i="17"/>
  <c r="I52" i="17"/>
  <c r="H52" i="17"/>
  <c r="G52" i="17"/>
  <c r="K51" i="17"/>
  <c r="J51" i="17"/>
  <c r="I51" i="17"/>
  <c r="H51" i="17"/>
  <c r="G51" i="17"/>
  <c r="K50" i="17"/>
  <c r="J50" i="17"/>
  <c r="I50" i="17"/>
  <c r="H50" i="17"/>
  <c r="G50" i="17"/>
  <c r="K49" i="17"/>
  <c r="J49" i="17"/>
  <c r="I49" i="17"/>
  <c r="H49" i="17"/>
  <c r="G49" i="17"/>
  <c r="K48" i="17"/>
  <c r="J48" i="17"/>
  <c r="I48" i="17"/>
  <c r="H48" i="17"/>
  <c r="G48" i="17"/>
  <c r="K47" i="17"/>
  <c r="J47" i="17"/>
  <c r="H47" i="17"/>
  <c r="G47" i="17"/>
  <c r="K46" i="17"/>
  <c r="J46" i="17"/>
  <c r="I46" i="17"/>
  <c r="H46" i="17"/>
  <c r="G46" i="17"/>
  <c r="K45" i="17"/>
  <c r="J45" i="17"/>
  <c r="I45" i="17"/>
  <c r="H45" i="17"/>
  <c r="G45" i="17"/>
  <c r="K44" i="17"/>
  <c r="J44" i="17"/>
  <c r="I44" i="17"/>
  <c r="H44" i="17"/>
  <c r="G44" i="17"/>
  <c r="J43" i="17"/>
  <c r="I43" i="17"/>
  <c r="H43" i="17"/>
  <c r="G43" i="17"/>
  <c r="K39" i="17"/>
  <c r="J39" i="17"/>
  <c r="I39" i="17"/>
  <c r="H39" i="17"/>
  <c r="G39" i="17"/>
  <c r="K38" i="17"/>
  <c r="J38" i="17"/>
  <c r="I38" i="17"/>
  <c r="H38" i="17"/>
  <c r="G38" i="17"/>
  <c r="K37" i="17"/>
  <c r="J37" i="17"/>
  <c r="I37" i="17"/>
  <c r="H37" i="17"/>
  <c r="G37" i="17"/>
  <c r="K36" i="17"/>
  <c r="J36" i="17"/>
  <c r="I36" i="17"/>
  <c r="H36" i="17"/>
  <c r="G36" i="17"/>
  <c r="K35" i="17"/>
  <c r="J35" i="17"/>
  <c r="I35" i="17"/>
  <c r="H35" i="17"/>
  <c r="G35" i="17"/>
  <c r="K34" i="17"/>
  <c r="J34" i="17"/>
  <c r="I34" i="17"/>
  <c r="H34" i="17"/>
  <c r="G34" i="17"/>
  <c r="K33" i="17"/>
  <c r="J33" i="17"/>
  <c r="I33" i="17"/>
  <c r="H33" i="17"/>
  <c r="G33" i="17"/>
  <c r="K32" i="17"/>
  <c r="J32" i="17"/>
  <c r="I32" i="17"/>
  <c r="H32" i="17"/>
  <c r="G32" i="17"/>
  <c r="K30" i="17"/>
  <c r="J30" i="17"/>
  <c r="I30" i="17"/>
  <c r="H30" i="17"/>
  <c r="G30" i="17"/>
  <c r="K28" i="17"/>
  <c r="J28" i="17"/>
  <c r="I28" i="17"/>
  <c r="H28" i="17"/>
  <c r="G28" i="17"/>
  <c r="K27" i="17"/>
  <c r="J27" i="17"/>
  <c r="I27" i="17"/>
  <c r="H27" i="17"/>
  <c r="G27" i="17"/>
  <c r="K26" i="17"/>
  <c r="J26" i="17"/>
  <c r="I26" i="17"/>
  <c r="H26" i="17"/>
  <c r="G26" i="17"/>
  <c r="K24" i="17"/>
  <c r="J24" i="17"/>
  <c r="I24" i="17"/>
  <c r="H24" i="17"/>
  <c r="G24" i="17"/>
  <c r="K23" i="17"/>
  <c r="J23" i="17"/>
  <c r="I23" i="17"/>
  <c r="H23" i="17"/>
  <c r="G23" i="17"/>
  <c r="K18" i="17"/>
  <c r="J18" i="17"/>
  <c r="I18" i="17"/>
  <c r="H18" i="17"/>
  <c r="G18" i="17"/>
  <c r="K17" i="17"/>
  <c r="J17" i="17"/>
  <c r="I17" i="17"/>
  <c r="H17" i="17"/>
  <c r="G17" i="17"/>
  <c r="K16" i="17"/>
  <c r="J16" i="17"/>
  <c r="I16" i="17"/>
  <c r="H16" i="17"/>
  <c r="G16" i="17"/>
  <c r="K15" i="17"/>
  <c r="J15" i="17"/>
  <c r="I15" i="17"/>
  <c r="H15" i="17"/>
  <c r="G15" i="17"/>
  <c r="K14" i="17"/>
  <c r="J14" i="17"/>
  <c r="I14" i="17"/>
  <c r="H14" i="17"/>
  <c r="G14" i="17"/>
  <c r="K12" i="17"/>
  <c r="J12" i="17"/>
  <c r="I12" i="17"/>
  <c r="H12" i="17"/>
  <c r="G12" i="17"/>
  <c r="K10" i="17"/>
  <c r="J10" i="17"/>
  <c r="I10" i="17"/>
  <c r="H10" i="17"/>
  <c r="G10" i="17"/>
  <c r="K8" i="17"/>
  <c r="J8" i="17"/>
  <c r="I8" i="17"/>
  <c r="H8" i="17"/>
  <c r="G8" i="17"/>
  <c r="K6" i="17"/>
  <c r="J6" i="17"/>
  <c r="I6" i="17"/>
  <c r="H6" i="17"/>
  <c r="G6" i="17"/>
  <c r="K4" i="17"/>
  <c r="J4" i="17"/>
  <c r="I4" i="17"/>
  <c r="H4" i="17"/>
  <c r="G4" i="17"/>
  <c r="A4" i="17"/>
  <c r="H107" i="18" l="1"/>
  <c r="I107" i="18"/>
  <c r="K107" i="18"/>
  <c r="G107" i="18"/>
  <c r="J107" i="18"/>
  <c r="A5" i="17"/>
  <c r="A6" i="17" s="1"/>
  <c r="A7" i="17" s="1"/>
  <c r="A8" i="17" s="1"/>
  <c r="A9" i="17" s="1"/>
  <c r="A10" i="17" s="1"/>
  <c r="A11" i="17" s="1"/>
  <c r="A12" i="17" s="1"/>
  <c r="A13" i="17" s="1"/>
  <c r="A14" i="17" s="1"/>
  <c r="A15" i="17" s="1"/>
  <c r="A16" i="17" s="1"/>
  <c r="A17" i="17" s="1"/>
  <c r="A18" i="17" s="1"/>
  <c r="A20" i="17" s="1"/>
  <c r="A21" i="17" s="1"/>
  <c r="A22" i="17" s="1"/>
  <c r="A23" i="17" s="1"/>
  <c r="A24" i="17" s="1"/>
  <c r="A26" i="17" s="1"/>
  <c r="A27" i="17" s="1"/>
  <c r="A28" i="17" s="1"/>
  <c r="A29" i="17" s="1"/>
  <c r="A30" i="17" s="1"/>
  <c r="A31" i="17" s="1"/>
  <c r="A32" i="17" s="1"/>
  <c r="A33" i="17" s="1"/>
  <c r="A34" i="17" s="1"/>
  <c r="A35" i="17" s="1"/>
  <c r="A36" i="17" s="1"/>
  <c r="A37" i="17" s="1"/>
  <c r="A38" i="17" s="1"/>
  <c r="A39" i="17" s="1"/>
  <c r="A40" i="17" s="1"/>
  <c r="A42" i="17" s="1"/>
  <c r="A43" i="17" s="1"/>
  <c r="A44" i="17" s="1"/>
  <c r="A45" i="17" s="1"/>
  <c r="A46" i="17" s="1"/>
  <c r="A47" i="17" s="1"/>
  <c r="A48" i="17" s="1"/>
  <c r="A49" i="17" s="1"/>
  <c r="A50" i="17" s="1"/>
  <c r="A51" i="17" s="1"/>
  <c r="A52" i="17" s="1"/>
  <c r="A53" i="17" s="1"/>
  <c r="A54" i="17" s="1"/>
  <c r="A105" i="17" s="1"/>
  <c r="A106" i="17" s="1"/>
  <c r="A107" i="17" s="1"/>
  <c r="I108" i="17"/>
  <c r="H108" i="17"/>
  <c r="J108" i="17"/>
  <c r="G108" i="17"/>
  <c r="K108" i="17"/>
  <c r="K83" i="6"/>
  <c r="J83" i="6"/>
  <c r="I83" i="6"/>
  <c r="H83" i="6"/>
  <c r="G83" i="6"/>
  <c r="K80" i="6"/>
  <c r="J80" i="6"/>
  <c r="I80" i="6"/>
  <c r="H80" i="6"/>
  <c r="G80" i="6"/>
  <c r="K79" i="6"/>
  <c r="J79" i="6"/>
  <c r="I79" i="6"/>
  <c r="H79" i="6"/>
  <c r="G79" i="6"/>
  <c r="K78" i="6"/>
  <c r="J78" i="6"/>
  <c r="I78" i="6"/>
  <c r="H78" i="6"/>
  <c r="G78" i="6"/>
  <c r="K77" i="6"/>
  <c r="J77" i="6"/>
  <c r="I77" i="6"/>
  <c r="H77" i="6"/>
  <c r="G77" i="6"/>
  <c r="K74" i="6"/>
  <c r="J74" i="6"/>
  <c r="I74" i="6"/>
  <c r="H74" i="6"/>
  <c r="G74" i="6"/>
  <c r="K73" i="6"/>
  <c r="J73" i="6"/>
  <c r="I73" i="6"/>
  <c r="H73" i="6"/>
  <c r="G73" i="6"/>
  <c r="K72" i="6"/>
  <c r="J72" i="6"/>
  <c r="I72" i="6"/>
  <c r="H72" i="6"/>
  <c r="G72" i="6"/>
  <c r="K71" i="6"/>
  <c r="J71" i="6"/>
  <c r="I71" i="6"/>
  <c r="H71" i="6"/>
  <c r="G71" i="6"/>
  <c r="K70" i="6"/>
  <c r="J70" i="6"/>
  <c r="I70" i="6"/>
  <c r="H70" i="6"/>
  <c r="G70" i="6"/>
  <c r="K67" i="6"/>
  <c r="J67" i="6"/>
  <c r="I67" i="6"/>
  <c r="H67" i="6"/>
  <c r="G67" i="6"/>
  <c r="K66" i="6"/>
  <c r="J66" i="6"/>
  <c r="I66" i="6"/>
  <c r="H66" i="6"/>
  <c r="G66" i="6"/>
  <c r="K65" i="6"/>
  <c r="J65" i="6"/>
  <c r="I65" i="6"/>
  <c r="H65" i="6"/>
  <c r="G65" i="6"/>
  <c r="K64" i="6"/>
  <c r="J64" i="6"/>
  <c r="I64" i="6"/>
  <c r="H64" i="6"/>
  <c r="G64" i="6"/>
  <c r="K60" i="6"/>
  <c r="J60" i="6"/>
  <c r="I60" i="6"/>
  <c r="H60" i="6"/>
  <c r="G60" i="6"/>
  <c r="K59" i="6"/>
  <c r="J59" i="6"/>
  <c r="I59" i="6"/>
  <c r="H59" i="6"/>
  <c r="G59" i="6"/>
  <c r="K58" i="6"/>
  <c r="J58" i="6"/>
  <c r="I58" i="6"/>
  <c r="H58" i="6"/>
  <c r="G58" i="6"/>
  <c r="K55" i="6"/>
  <c r="J55" i="6"/>
  <c r="I55" i="6"/>
  <c r="H55" i="6"/>
  <c r="G55" i="6"/>
  <c r="K54" i="6"/>
  <c r="J54" i="6"/>
  <c r="I54" i="6"/>
  <c r="H54" i="6"/>
  <c r="G54" i="6"/>
  <c r="K53" i="6"/>
  <c r="J53" i="6"/>
  <c r="I53" i="6"/>
  <c r="H53" i="6"/>
  <c r="G53" i="6"/>
  <c r="K52" i="6"/>
  <c r="J52" i="6"/>
  <c r="I52" i="6"/>
  <c r="H52" i="6"/>
  <c r="G52" i="6"/>
  <c r="K51" i="6"/>
  <c r="J51" i="6"/>
  <c r="I51" i="6"/>
  <c r="H51" i="6"/>
  <c r="G51" i="6"/>
  <c r="K47" i="6"/>
  <c r="J47" i="6"/>
  <c r="I47" i="6"/>
  <c r="H47" i="6"/>
  <c r="G47" i="6"/>
  <c r="K46" i="6"/>
  <c r="J46" i="6"/>
  <c r="I46" i="6"/>
  <c r="H46" i="6"/>
  <c r="G46" i="6"/>
  <c r="K45" i="6"/>
  <c r="J45" i="6"/>
  <c r="I45" i="6"/>
  <c r="H45" i="6"/>
  <c r="G45" i="6"/>
  <c r="K44" i="6"/>
  <c r="J44" i="6"/>
  <c r="I44" i="6"/>
  <c r="H44" i="6"/>
  <c r="G44" i="6"/>
  <c r="K26" i="6"/>
  <c r="J26" i="6"/>
  <c r="I26" i="6"/>
  <c r="H26" i="6"/>
  <c r="G26" i="6"/>
  <c r="K25" i="6"/>
  <c r="J25" i="6"/>
  <c r="I25" i="6"/>
  <c r="H25" i="6"/>
  <c r="G25" i="6"/>
  <c r="K24" i="6"/>
  <c r="J24" i="6"/>
  <c r="I24" i="6"/>
  <c r="H24" i="6"/>
  <c r="G24" i="6"/>
  <c r="K23" i="6"/>
  <c r="J23" i="6"/>
  <c r="I23" i="6"/>
  <c r="H23" i="6"/>
  <c r="G23" i="6"/>
  <c r="K22" i="6"/>
  <c r="J22" i="6"/>
  <c r="I22" i="6"/>
  <c r="H22" i="6"/>
  <c r="G22" i="6"/>
  <c r="K21" i="6"/>
  <c r="J21" i="6"/>
  <c r="I21" i="6"/>
  <c r="H21" i="6"/>
  <c r="G21" i="6"/>
  <c r="K19" i="6"/>
  <c r="J19" i="6"/>
  <c r="I19" i="6"/>
  <c r="H19" i="6"/>
  <c r="G19" i="6"/>
  <c r="K17" i="6"/>
  <c r="J17" i="6"/>
  <c r="I17" i="6"/>
  <c r="H17" i="6"/>
  <c r="G17" i="6"/>
  <c r="K15" i="6"/>
  <c r="J15" i="6"/>
  <c r="I15" i="6"/>
  <c r="H15" i="6"/>
  <c r="G15" i="6"/>
  <c r="K13" i="6"/>
  <c r="J13" i="6"/>
  <c r="I13" i="6"/>
  <c r="H13" i="6"/>
  <c r="G13" i="6"/>
  <c r="D4" i="3" l="1"/>
  <c r="E4" i="3"/>
  <c r="F4" i="3"/>
  <c r="C4" i="3"/>
  <c r="G4" i="3"/>
  <c r="K44" i="11"/>
  <c r="J44" i="11"/>
  <c r="I44" i="11"/>
  <c r="H44" i="11"/>
  <c r="G44" i="11"/>
  <c r="K43" i="11"/>
  <c r="J43" i="11"/>
  <c r="I43" i="11"/>
  <c r="H43" i="11"/>
  <c r="G43" i="11"/>
  <c r="K42" i="11"/>
  <c r="J42" i="11"/>
  <c r="I42" i="11"/>
  <c r="H42" i="11"/>
  <c r="G42" i="11"/>
  <c r="K41" i="11"/>
  <c r="J41" i="11"/>
  <c r="I41" i="11"/>
  <c r="H41" i="11"/>
  <c r="G41" i="11"/>
  <c r="K40" i="11"/>
  <c r="J40" i="11"/>
  <c r="I40" i="11"/>
  <c r="H40" i="11"/>
  <c r="G40" i="11"/>
  <c r="K39" i="11"/>
  <c r="J39" i="11"/>
  <c r="I39" i="11"/>
  <c r="H39" i="11"/>
  <c r="G39" i="11"/>
  <c r="J63" i="11"/>
  <c r="I63" i="11"/>
  <c r="H63" i="11"/>
  <c r="G63" i="11"/>
  <c r="J74" i="11"/>
  <c r="I74" i="11"/>
  <c r="H74" i="11"/>
  <c r="G74" i="11"/>
  <c r="J73" i="11"/>
  <c r="I73" i="11"/>
  <c r="H73" i="11"/>
  <c r="G73" i="11"/>
  <c r="H4" i="3" l="1"/>
  <c r="K45" i="14"/>
  <c r="J45" i="14"/>
  <c r="I45" i="14"/>
  <c r="H45" i="14"/>
  <c r="G45" i="14"/>
  <c r="K44" i="14"/>
  <c r="J44" i="14"/>
  <c r="I44" i="14"/>
  <c r="H44" i="14"/>
  <c r="G44" i="14"/>
  <c r="K43" i="14"/>
  <c r="J43" i="14"/>
  <c r="I43" i="14"/>
  <c r="H43" i="14"/>
  <c r="G43" i="14"/>
  <c r="K42" i="14"/>
  <c r="J42" i="14"/>
  <c r="I42" i="14"/>
  <c r="H42" i="14"/>
  <c r="G42" i="14"/>
  <c r="K41" i="14"/>
  <c r="J41" i="14"/>
  <c r="I41" i="14"/>
  <c r="H41" i="14"/>
  <c r="G41" i="14"/>
  <c r="K40" i="14"/>
  <c r="J40" i="14"/>
  <c r="I40" i="14"/>
  <c r="H40" i="14"/>
  <c r="G40" i="14"/>
  <c r="J16" i="15"/>
  <c r="I16" i="15"/>
  <c r="H16" i="15"/>
  <c r="G16" i="15"/>
  <c r="J15" i="15"/>
  <c r="I15" i="15"/>
  <c r="H15" i="15"/>
  <c r="G15" i="15"/>
  <c r="J13" i="15"/>
  <c r="I13" i="15"/>
  <c r="H13" i="15"/>
  <c r="G13" i="15"/>
  <c r="J16" i="16"/>
  <c r="I16" i="16"/>
  <c r="H16" i="16"/>
  <c r="G16" i="16"/>
  <c r="J15" i="16"/>
  <c r="I15" i="16"/>
  <c r="H15" i="16"/>
  <c r="G15" i="16"/>
  <c r="J13" i="16"/>
  <c r="I13" i="16"/>
  <c r="H13" i="16"/>
  <c r="G13" i="16"/>
  <c r="J127" i="16"/>
  <c r="I127" i="16"/>
  <c r="H127" i="16"/>
  <c r="G127" i="16"/>
  <c r="J128" i="16"/>
  <c r="I128" i="16"/>
  <c r="H128" i="16"/>
  <c r="G128" i="16"/>
  <c r="K134" i="16"/>
  <c r="J132" i="16"/>
  <c r="I132" i="16"/>
  <c r="H132" i="16"/>
  <c r="G132" i="16"/>
  <c r="J130" i="16"/>
  <c r="I130" i="16"/>
  <c r="H130" i="16"/>
  <c r="G130" i="16"/>
  <c r="J129" i="16"/>
  <c r="I129" i="16"/>
  <c r="H129" i="16"/>
  <c r="G129" i="16"/>
  <c r="K64" i="16"/>
  <c r="J63" i="16"/>
  <c r="I63" i="16"/>
  <c r="H63" i="16"/>
  <c r="G63" i="16"/>
  <c r="J62" i="16"/>
  <c r="I62" i="16"/>
  <c r="H62" i="16"/>
  <c r="G62" i="16"/>
  <c r="J61" i="16"/>
  <c r="I61" i="16"/>
  <c r="H61" i="16"/>
  <c r="G61" i="16"/>
  <c r="J60" i="16"/>
  <c r="I60" i="16"/>
  <c r="H60" i="16"/>
  <c r="G60" i="16"/>
  <c r="J59" i="16"/>
  <c r="I59" i="16"/>
  <c r="H59" i="16"/>
  <c r="G59" i="16"/>
  <c r="J58" i="16"/>
  <c r="I58" i="16"/>
  <c r="H58" i="16"/>
  <c r="G58" i="16"/>
  <c r="K55" i="16"/>
  <c r="J55" i="16"/>
  <c r="I55" i="16"/>
  <c r="H55" i="16"/>
  <c r="G55" i="16"/>
  <c r="K54" i="16"/>
  <c r="J54" i="16"/>
  <c r="I54" i="16"/>
  <c r="H54" i="16"/>
  <c r="G54" i="16"/>
  <c r="K52" i="16"/>
  <c r="J52" i="16"/>
  <c r="I52" i="16"/>
  <c r="H52" i="16"/>
  <c r="G52" i="16"/>
  <c r="K45" i="16"/>
  <c r="K44" i="16"/>
  <c r="J44" i="16"/>
  <c r="I44" i="16"/>
  <c r="H44" i="16"/>
  <c r="G44" i="16"/>
  <c r="K43" i="16"/>
  <c r="K42" i="16"/>
  <c r="J42" i="16"/>
  <c r="I42" i="16"/>
  <c r="H42" i="16"/>
  <c r="G42" i="16"/>
  <c r="K41" i="16"/>
  <c r="K33" i="16"/>
  <c r="J33" i="16"/>
  <c r="I33" i="16"/>
  <c r="H33" i="16"/>
  <c r="G33" i="16"/>
  <c r="K32" i="16"/>
  <c r="J32" i="16"/>
  <c r="I32" i="16"/>
  <c r="H32" i="16"/>
  <c r="G32" i="16"/>
  <c r="K31" i="16"/>
  <c r="J31" i="16"/>
  <c r="I31" i="16"/>
  <c r="H31" i="16"/>
  <c r="G31" i="16"/>
  <c r="K30" i="16"/>
  <c r="J30" i="16"/>
  <c r="I30" i="16"/>
  <c r="H30" i="16"/>
  <c r="G30" i="16"/>
  <c r="K29" i="16"/>
  <c r="J29" i="16"/>
  <c r="I29" i="16"/>
  <c r="H29" i="16"/>
  <c r="G29" i="16"/>
  <c r="K27" i="16"/>
  <c r="J27" i="16"/>
  <c r="I27" i="16"/>
  <c r="H27" i="16"/>
  <c r="G27" i="16"/>
  <c r="K25" i="16"/>
  <c r="J25" i="16"/>
  <c r="I25" i="16"/>
  <c r="H25" i="16"/>
  <c r="G25" i="16"/>
  <c r="K23" i="16"/>
  <c r="J23" i="16"/>
  <c r="I23" i="16"/>
  <c r="H23" i="16"/>
  <c r="G23" i="16"/>
  <c r="K21" i="16"/>
  <c r="J21" i="16"/>
  <c r="I21" i="16"/>
  <c r="H21" i="16"/>
  <c r="G21" i="16"/>
  <c r="K10" i="16"/>
  <c r="J10" i="16"/>
  <c r="I10" i="16"/>
  <c r="H10" i="16"/>
  <c r="G10" i="16"/>
  <c r="K9" i="16"/>
  <c r="J9" i="16"/>
  <c r="I9" i="16"/>
  <c r="H9" i="16"/>
  <c r="G9" i="16"/>
  <c r="K8" i="16"/>
  <c r="J8" i="16"/>
  <c r="I8" i="16"/>
  <c r="H8" i="16"/>
  <c r="G8" i="16"/>
  <c r="K7" i="16"/>
  <c r="J7" i="16"/>
  <c r="I7" i="16"/>
  <c r="H7" i="16"/>
  <c r="G7" i="16"/>
  <c r="K6" i="16"/>
  <c r="J6" i="16"/>
  <c r="I6" i="16"/>
  <c r="H6" i="16"/>
  <c r="G6" i="16"/>
  <c r="K5" i="16"/>
  <c r="J5" i="16"/>
  <c r="I5" i="16"/>
  <c r="H5" i="16"/>
  <c r="G5" i="16"/>
  <c r="A5" i="16"/>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H134" i="16" l="1"/>
  <c r="J134" i="16"/>
  <c r="I134" i="16"/>
  <c r="K137" i="15"/>
  <c r="G5" i="3" s="1"/>
  <c r="J135" i="15"/>
  <c r="I135" i="15"/>
  <c r="H135" i="15"/>
  <c r="G135" i="15"/>
  <c r="J137" i="15"/>
  <c r="I137" i="15"/>
  <c r="K81" i="15"/>
  <c r="J81" i="15"/>
  <c r="I81" i="15"/>
  <c r="H81" i="15"/>
  <c r="G81" i="15"/>
  <c r="K80" i="15"/>
  <c r="J80" i="15"/>
  <c r="I80" i="15"/>
  <c r="H80" i="15"/>
  <c r="G80" i="15"/>
  <c r="K78" i="15"/>
  <c r="J78" i="15"/>
  <c r="I78" i="15"/>
  <c r="H78" i="15"/>
  <c r="G78" i="15"/>
  <c r="K42" i="15"/>
  <c r="J42" i="15"/>
  <c r="I42" i="15"/>
  <c r="H42" i="15"/>
  <c r="G42" i="15"/>
  <c r="K33" i="15"/>
  <c r="J33" i="15"/>
  <c r="I33" i="15"/>
  <c r="H33" i="15"/>
  <c r="G33" i="15"/>
  <c r="K32" i="15"/>
  <c r="J32" i="15"/>
  <c r="I32" i="15"/>
  <c r="H32" i="15"/>
  <c r="G32" i="15"/>
  <c r="K31" i="15"/>
  <c r="J31" i="15"/>
  <c r="I31" i="15"/>
  <c r="H31" i="15"/>
  <c r="G31" i="15"/>
  <c r="K30" i="15"/>
  <c r="J30" i="15"/>
  <c r="I30" i="15"/>
  <c r="H30" i="15"/>
  <c r="G30" i="15"/>
  <c r="K29" i="15"/>
  <c r="J29" i="15"/>
  <c r="I29" i="15"/>
  <c r="H29" i="15"/>
  <c r="G29" i="15"/>
  <c r="K27" i="15"/>
  <c r="J27" i="15"/>
  <c r="I27" i="15"/>
  <c r="H27" i="15"/>
  <c r="G27" i="15"/>
  <c r="K25" i="15"/>
  <c r="J25" i="15"/>
  <c r="I25" i="15"/>
  <c r="H25" i="15"/>
  <c r="G25" i="15"/>
  <c r="K23" i="15"/>
  <c r="J23" i="15"/>
  <c r="I23" i="15"/>
  <c r="H23" i="15"/>
  <c r="G23" i="15"/>
  <c r="K21" i="15"/>
  <c r="J21" i="15"/>
  <c r="I21" i="15"/>
  <c r="H21" i="15"/>
  <c r="G21" i="15"/>
  <c r="K10" i="15"/>
  <c r="J10" i="15"/>
  <c r="I10" i="15"/>
  <c r="H10" i="15"/>
  <c r="G10" i="15"/>
  <c r="K9" i="15"/>
  <c r="J9" i="15"/>
  <c r="I9" i="15"/>
  <c r="H9" i="15"/>
  <c r="G9" i="15"/>
  <c r="K8" i="15"/>
  <c r="J8" i="15"/>
  <c r="I8" i="15"/>
  <c r="H8" i="15"/>
  <c r="G8" i="15"/>
  <c r="K7" i="15"/>
  <c r="J7" i="15"/>
  <c r="I7" i="15"/>
  <c r="H7" i="15"/>
  <c r="G7" i="15"/>
  <c r="K6" i="15"/>
  <c r="J6" i="15"/>
  <c r="I6" i="15"/>
  <c r="H6" i="15"/>
  <c r="G6" i="15"/>
  <c r="K5" i="15"/>
  <c r="J5" i="15"/>
  <c r="I5" i="15"/>
  <c r="H5" i="15"/>
  <c r="G5" i="15"/>
  <c r="A5" i="15"/>
  <c r="A6" i="15" s="1"/>
  <c r="G137" i="15" l="1"/>
  <c r="E5" i="3"/>
  <c r="F5" i="3"/>
  <c r="H137" i="15"/>
  <c r="D5" i="3" s="1"/>
  <c r="J89" i="14" l="1"/>
  <c r="I89" i="14"/>
  <c r="H89" i="14"/>
  <c r="G89" i="14"/>
  <c r="J85" i="14"/>
  <c r="I85" i="14"/>
  <c r="H85" i="14"/>
  <c r="G85" i="14"/>
  <c r="J84" i="14"/>
  <c r="I84" i="14"/>
  <c r="H84" i="14"/>
  <c r="G84" i="14"/>
  <c r="J70" i="14"/>
  <c r="I70" i="14"/>
  <c r="H70" i="14"/>
  <c r="G70" i="14"/>
  <c r="J69" i="14"/>
  <c r="I69" i="14"/>
  <c r="H69" i="14"/>
  <c r="G69" i="14"/>
  <c r="J68" i="14"/>
  <c r="I68" i="14"/>
  <c r="H68" i="14"/>
  <c r="G68" i="14"/>
  <c r="J67" i="14"/>
  <c r="I67" i="14"/>
  <c r="H67" i="14"/>
  <c r="G67" i="14"/>
  <c r="J66" i="14"/>
  <c r="I66" i="14"/>
  <c r="H66" i="14"/>
  <c r="G66" i="14"/>
  <c r="J65" i="14"/>
  <c r="I65" i="14"/>
  <c r="H65" i="14"/>
  <c r="G65" i="14"/>
  <c r="K62" i="14"/>
  <c r="J62" i="14"/>
  <c r="I62" i="14"/>
  <c r="H62" i="14"/>
  <c r="G62" i="14"/>
  <c r="K61" i="14"/>
  <c r="J61" i="14"/>
  <c r="I61" i="14"/>
  <c r="H61" i="14"/>
  <c r="G61" i="14"/>
  <c r="K60" i="14"/>
  <c r="J60" i="14"/>
  <c r="I60" i="14"/>
  <c r="H60" i="14"/>
  <c r="G60" i="14"/>
  <c r="K56" i="14"/>
  <c r="J56" i="14"/>
  <c r="I56" i="14"/>
  <c r="H56" i="14"/>
  <c r="G56" i="14"/>
  <c r="K55" i="14"/>
  <c r="J55" i="14"/>
  <c r="I55" i="14"/>
  <c r="H55" i="14"/>
  <c r="G55" i="14"/>
  <c r="K54" i="14"/>
  <c r="J54" i="14"/>
  <c r="I54" i="14"/>
  <c r="H54" i="14"/>
  <c r="G54" i="14"/>
  <c r="K51" i="14"/>
  <c r="J51" i="14"/>
  <c r="I51" i="14"/>
  <c r="H51" i="14"/>
  <c r="G51" i="14"/>
  <c r="K50" i="14"/>
  <c r="J50" i="14"/>
  <c r="I50" i="14"/>
  <c r="H50" i="14"/>
  <c r="G50" i="14"/>
  <c r="K49" i="14"/>
  <c r="J49" i="14"/>
  <c r="I49" i="14"/>
  <c r="H49" i="14"/>
  <c r="G49" i="14"/>
  <c r="K48" i="14"/>
  <c r="J48" i="14"/>
  <c r="I48" i="14"/>
  <c r="H48" i="14"/>
  <c r="G48" i="14"/>
  <c r="K47" i="14"/>
  <c r="J47" i="14"/>
  <c r="I47" i="14"/>
  <c r="H47" i="14"/>
  <c r="G47" i="14"/>
  <c r="K37" i="14"/>
  <c r="J37" i="14"/>
  <c r="I37" i="14"/>
  <c r="H37" i="14"/>
  <c r="G37" i="14"/>
  <c r="K36" i="14"/>
  <c r="J36" i="14"/>
  <c r="I36" i="14"/>
  <c r="H36" i="14"/>
  <c r="G36" i="14"/>
  <c r="K35" i="14"/>
  <c r="J35" i="14"/>
  <c r="I35" i="14"/>
  <c r="H35" i="14"/>
  <c r="G35" i="14"/>
  <c r="K33" i="14"/>
  <c r="J33" i="14"/>
  <c r="I33" i="14"/>
  <c r="H33" i="14"/>
  <c r="G33" i="14"/>
  <c r="K31" i="14"/>
  <c r="J31" i="14"/>
  <c r="I31" i="14"/>
  <c r="H31" i="14"/>
  <c r="G31" i="14"/>
  <c r="K29" i="14"/>
  <c r="J29" i="14"/>
  <c r="I29" i="14"/>
  <c r="H29" i="14"/>
  <c r="G29" i="14"/>
  <c r="K27" i="14"/>
  <c r="J27" i="14"/>
  <c r="I27" i="14"/>
  <c r="H27" i="14"/>
  <c r="G27" i="14"/>
  <c r="K26" i="14"/>
  <c r="J26" i="14"/>
  <c r="I26" i="14"/>
  <c r="H26" i="14"/>
  <c r="G26" i="14"/>
  <c r="K25" i="14"/>
  <c r="J25" i="14"/>
  <c r="I25" i="14"/>
  <c r="H25" i="14"/>
  <c r="G25" i="14"/>
  <c r="K24" i="14"/>
  <c r="J24" i="14"/>
  <c r="I24" i="14"/>
  <c r="H24" i="14"/>
  <c r="G24" i="14"/>
  <c r="K23" i="14"/>
  <c r="J23" i="14"/>
  <c r="I23" i="14"/>
  <c r="H23" i="14"/>
  <c r="G23" i="14"/>
  <c r="K22" i="14"/>
  <c r="J22" i="14"/>
  <c r="I22" i="14"/>
  <c r="H22" i="14"/>
  <c r="G22" i="14"/>
  <c r="K20" i="14"/>
  <c r="J20" i="14"/>
  <c r="I20" i="14"/>
  <c r="H20" i="14"/>
  <c r="G20" i="14"/>
  <c r="K18" i="14"/>
  <c r="J18" i="14"/>
  <c r="I18" i="14"/>
  <c r="H18" i="14"/>
  <c r="G18" i="14"/>
  <c r="K16" i="14"/>
  <c r="J16" i="14"/>
  <c r="I16" i="14"/>
  <c r="H16" i="14"/>
  <c r="G16" i="14"/>
  <c r="K14" i="14"/>
  <c r="J14" i="14"/>
  <c r="I14" i="14"/>
  <c r="H14" i="14"/>
  <c r="G14" i="14"/>
  <c r="K10" i="14"/>
  <c r="J10" i="14"/>
  <c r="I10" i="14"/>
  <c r="H10" i="14"/>
  <c r="G10" i="14"/>
  <c r="K9" i="14"/>
  <c r="J9" i="14"/>
  <c r="I9" i="14"/>
  <c r="H9" i="14"/>
  <c r="G9" i="14"/>
  <c r="K8" i="14"/>
  <c r="J8" i="14"/>
  <c r="I8" i="14"/>
  <c r="H8" i="14"/>
  <c r="G8" i="14"/>
  <c r="K7" i="14"/>
  <c r="J7" i="14"/>
  <c r="I7" i="14"/>
  <c r="H7" i="14"/>
  <c r="G7" i="14"/>
  <c r="K6" i="14"/>
  <c r="J6" i="14"/>
  <c r="I6" i="14"/>
  <c r="H6" i="14"/>
  <c r="G6" i="14"/>
  <c r="K5" i="14"/>
  <c r="J5" i="14"/>
  <c r="I5" i="14"/>
  <c r="H5" i="14"/>
  <c r="G5" i="14"/>
  <c r="A5" i="14"/>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G91" i="14" l="1"/>
  <c r="K91" i="14"/>
  <c r="J91" i="14"/>
  <c r="I91" i="14"/>
  <c r="H91" i="14"/>
  <c r="A4" i="12"/>
  <c r="A5" i="12" s="1"/>
  <c r="J80" i="11"/>
  <c r="I80" i="11"/>
  <c r="H80" i="11"/>
  <c r="G80" i="11"/>
  <c r="J76" i="11"/>
  <c r="I76" i="11"/>
  <c r="H76" i="11"/>
  <c r="G76" i="11"/>
  <c r="J75" i="11"/>
  <c r="I75" i="11"/>
  <c r="H75" i="11"/>
  <c r="G75" i="11"/>
  <c r="J70" i="11"/>
  <c r="I70" i="11"/>
  <c r="H70" i="11"/>
  <c r="G70" i="11"/>
  <c r="J69" i="11"/>
  <c r="I69" i="11"/>
  <c r="H69" i="11"/>
  <c r="G69" i="11"/>
  <c r="J68" i="11"/>
  <c r="I68" i="11"/>
  <c r="H68" i="11"/>
  <c r="G68" i="11"/>
  <c r="J67" i="11"/>
  <c r="I67" i="11"/>
  <c r="H67" i="11"/>
  <c r="G67" i="11"/>
  <c r="J66" i="11"/>
  <c r="I66" i="11"/>
  <c r="H66" i="11"/>
  <c r="G66" i="11"/>
  <c r="J65" i="11"/>
  <c r="I65" i="11"/>
  <c r="H65" i="11"/>
  <c r="G65" i="11"/>
  <c r="K62" i="11"/>
  <c r="J62" i="11"/>
  <c r="I62" i="11"/>
  <c r="H62" i="11"/>
  <c r="G62" i="11"/>
  <c r="K61" i="11"/>
  <c r="J61" i="11"/>
  <c r="I61" i="11"/>
  <c r="H61" i="11"/>
  <c r="G61" i="11"/>
  <c r="K60" i="11"/>
  <c r="J60" i="11"/>
  <c r="I60" i="11"/>
  <c r="H60" i="11"/>
  <c r="G60" i="11"/>
  <c r="K56" i="11"/>
  <c r="J56" i="11"/>
  <c r="I56" i="11"/>
  <c r="H56" i="11"/>
  <c r="G56" i="11"/>
  <c r="K55" i="11"/>
  <c r="J55" i="11"/>
  <c r="I55" i="11"/>
  <c r="H55" i="11"/>
  <c r="G55" i="11"/>
  <c r="K54" i="11"/>
  <c r="J54" i="11"/>
  <c r="I54" i="11"/>
  <c r="H54" i="11"/>
  <c r="G54" i="11"/>
  <c r="K51" i="11"/>
  <c r="J51" i="11"/>
  <c r="I51" i="11"/>
  <c r="H51" i="11"/>
  <c r="G51" i="11"/>
  <c r="K50" i="11"/>
  <c r="J50" i="11"/>
  <c r="I50" i="11"/>
  <c r="H50" i="11"/>
  <c r="G50" i="11"/>
  <c r="K49" i="11"/>
  <c r="J49" i="11"/>
  <c r="I49" i="11"/>
  <c r="H49" i="11"/>
  <c r="G49" i="11"/>
  <c r="K48" i="11"/>
  <c r="J48" i="11"/>
  <c r="I48" i="11"/>
  <c r="H48" i="11"/>
  <c r="G48" i="11"/>
  <c r="K47" i="11"/>
  <c r="J47" i="11"/>
  <c r="I47" i="11"/>
  <c r="H47" i="11"/>
  <c r="G47" i="11"/>
  <c r="K46" i="11"/>
  <c r="K37" i="11"/>
  <c r="J37" i="11"/>
  <c r="I37" i="11"/>
  <c r="H37" i="11"/>
  <c r="G37" i="11"/>
  <c r="K36" i="11"/>
  <c r="J36" i="11"/>
  <c r="I36" i="11"/>
  <c r="H36" i="11"/>
  <c r="G36" i="11"/>
  <c r="K35" i="11"/>
  <c r="J35" i="11"/>
  <c r="I35" i="11"/>
  <c r="H35" i="11"/>
  <c r="G35" i="11"/>
  <c r="K34" i="11"/>
  <c r="K33" i="11"/>
  <c r="J33" i="11"/>
  <c r="I33" i="11"/>
  <c r="H33" i="11"/>
  <c r="G33" i="11"/>
  <c r="K30" i="11"/>
  <c r="J30" i="11"/>
  <c r="I30" i="11"/>
  <c r="H30" i="11"/>
  <c r="G30" i="11"/>
  <c r="K29" i="11"/>
  <c r="K28" i="11"/>
  <c r="J28" i="11"/>
  <c r="I28" i="11"/>
  <c r="H28" i="11"/>
  <c r="G28" i="11"/>
  <c r="K27" i="11"/>
  <c r="K26" i="11"/>
  <c r="J26" i="11"/>
  <c r="I26" i="11"/>
  <c r="H26" i="11"/>
  <c r="G26" i="11"/>
  <c r="K25" i="11"/>
  <c r="J25" i="11"/>
  <c r="I25" i="11"/>
  <c r="H25" i="11"/>
  <c r="G25" i="11"/>
  <c r="K24" i="11"/>
  <c r="J24" i="11"/>
  <c r="I24" i="11"/>
  <c r="H24" i="11"/>
  <c r="G24" i="11"/>
  <c r="K23" i="11"/>
  <c r="J23" i="11"/>
  <c r="I23" i="11"/>
  <c r="H23" i="11"/>
  <c r="G23" i="11"/>
  <c r="K22" i="11"/>
  <c r="J22" i="11"/>
  <c r="I22" i="11"/>
  <c r="H22" i="11"/>
  <c r="G22" i="11"/>
  <c r="K21" i="11"/>
  <c r="J21" i="11"/>
  <c r="I21" i="11"/>
  <c r="H21" i="11"/>
  <c r="G21" i="11"/>
  <c r="K19" i="11"/>
  <c r="J19" i="11"/>
  <c r="I19" i="11"/>
  <c r="H19" i="11"/>
  <c r="G19" i="11"/>
  <c r="K18" i="11"/>
  <c r="K17" i="11"/>
  <c r="J17" i="11"/>
  <c r="I17" i="11"/>
  <c r="H17" i="11"/>
  <c r="G17" i="11"/>
  <c r="K16" i="11"/>
  <c r="K15" i="11"/>
  <c r="J15" i="11"/>
  <c r="I15" i="11"/>
  <c r="H15" i="11"/>
  <c r="G15" i="11"/>
  <c r="K13" i="11"/>
  <c r="J13" i="11"/>
  <c r="I13" i="11"/>
  <c r="H13" i="11"/>
  <c r="G13" i="11"/>
  <c r="K9" i="11"/>
  <c r="J9" i="11"/>
  <c r="I9" i="11"/>
  <c r="H9" i="11"/>
  <c r="G9" i="11"/>
  <c r="K7" i="11"/>
  <c r="J7" i="11"/>
  <c r="I7" i="11"/>
  <c r="H7" i="11"/>
  <c r="G7" i="11"/>
  <c r="K6" i="11"/>
  <c r="J6" i="11"/>
  <c r="I6" i="11"/>
  <c r="H6" i="11"/>
  <c r="G6" i="11"/>
  <c r="K5" i="11"/>
  <c r="J5" i="11"/>
  <c r="I5" i="11"/>
  <c r="H5" i="11"/>
  <c r="G5" i="11"/>
  <c r="K4" i="11"/>
  <c r="J4" i="11"/>
  <c r="I4" i="11"/>
  <c r="H4" i="11"/>
  <c r="G4" i="11"/>
  <c r="A4" i="11"/>
  <c r="A5" i="11" s="1"/>
  <c r="J100" i="10"/>
  <c r="I100" i="10"/>
  <c r="H100" i="10"/>
  <c r="G100" i="10"/>
  <c r="J99" i="10"/>
  <c r="I99" i="10"/>
  <c r="H99" i="10"/>
  <c r="G99" i="10"/>
  <c r="J98" i="10"/>
  <c r="I98" i="10"/>
  <c r="H98" i="10"/>
  <c r="G98" i="10"/>
  <c r="J97" i="10"/>
  <c r="I97" i="10"/>
  <c r="H97" i="10"/>
  <c r="G97" i="10"/>
  <c r="J96" i="10"/>
  <c r="I96" i="10"/>
  <c r="H96" i="10"/>
  <c r="G96" i="10"/>
  <c r="J41" i="10"/>
  <c r="I41" i="10"/>
  <c r="H41" i="10"/>
  <c r="G41" i="10"/>
  <c r="J40" i="10"/>
  <c r="I40" i="10"/>
  <c r="H40" i="10"/>
  <c r="G40" i="10"/>
  <c r="J39" i="10"/>
  <c r="I39" i="10"/>
  <c r="H39" i="10"/>
  <c r="G39" i="10"/>
  <c r="J38" i="10"/>
  <c r="I38" i="10"/>
  <c r="H38" i="10"/>
  <c r="G38" i="10"/>
  <c r="J36" i="10"/>
  <c r="I36" i="10"/>
  <c r="H36" i="10"/>
  <c r="G36" i="10"/>
  <c r="J35" i="10"/>
  <c r="I35" i="10"/>
  <c r="H35" i="10"/>
  <c r="G35" i="10"/>
  <c r="J34" i="10"/>
  <c r="I34" i="10"/>
  <c r="H34" i="10"/>
  <c r="G34" i="10"/>
  <c r="J33" i="10"/>
  <c r="I33" i="10"/>
  <c r="H33" i="10"/>
  <c r="G33" i="10"/>
  <c r="K9" i="10"/>
  <c r="J9" i="10"/>
  <c r="I9" i="10"/>
  <c r="H9" i="10"/>
  <c r="G9" i="10"/>
  <c r="K7" i="10"/>
  <c r="J7" i="10"/>
  <c r="I7" i="10"/>
  <c r="H7" i="10"/>
  <c r="G7" i="10"/>
  <c r="K6" i="10"/>
  <c r="J6" i="10"/>
  <c r="I6" i="10"/>
  <c r="H6" i="10"/>
  <c r="G6" i="10"/>
  <c r="K5" i="10"/>
  <c r="J5" i="10"/>
  <c r="I5" i="10"/>
  <c r="H5" i="10"/>
  <c r="G5" i="10"/>
  <c r="K4" i="10"/>
  <c r="J4" i="10"/>
  <c r="I4" i="10"/>
  <c r="H4" i="10"/>
  <c r="G4" i="10"/>
  <c r="A4" i="10"/>
  <c r="A5" i="10" s="1"/>
  <c r="A6" i="10" s="1"/>
  <c r="A7" i="10" s="1"/>
  <c r="J82" i="11" l="1"/>
  <c r="K82" i="11"/>
  <c r="H82" i="11"/>
  <c r="G82" i="11"/>
  <c r="H172" i="10"/>
  <c r="K172" i="10"/>
  <c r="G172" i="10"/>
  <c r="J172" i="10"/>
  <c r="I172" i="10"/>
  <c r="I82" i="11"/>
  <c r="A3" i="8" l="1"/>
  <c r="K51" i="8"/>
  <c r="J51" i="8"/>
  <c r="I51" i="8"/>
  <c r="H51" i="8"/>
  <c r="G51" i="8"/>
  <c r="K50" i="8"/>
  <c r="J50" i="8"/>
  <c r="I50" i="8"/>
  <c r="H50" i="8"/>
  <c r="G50" i="8"/>
  <c r="K49" i="8"/>
  <c r="J49" i="8"/>
  <c r="I49" i="8"/>
  <c r="H49" i="8"/>
  <c r="G49" i="8"/>
  <c r="K48" i="8"/>
  <c r="J48" i="8"/>
  <c r="I48" i="8"/>
  <c r="H48" i="8"/>
  <c r="G48" i="8"/>
  <c r="K46" i="8"/>
  <c r="J46" i="8"/>
  <c r="I46" i="8"/>
  <c r="H46" i="8"/>
  <c r="G46" i="8"/>
  <c r="K45" i="8"/>
  <c r="J45" i="8"/>
  <c r="I45" i="8"/>
  <c r="H45" i="8"/>
  <c r="G45" i="8"/>
  <c r="K44" i="8"/>
  <c r="J44" i="8"/>
  <c r="I44" i="8"/>
  <c r="H44" i="8"/>
  <c r="G44" i="8"/>
  <c r="K42" i="8"/>
  <c r="J42" i="8"/>
  <c r="I42" i="8"/>
  <c r="H42" i="8"/>
  <c r="G42" i="8"/>
  <c r="K41" i="8"/>
  <c r="J41" i="8"/>
  <c r="I41" i="8"/>
  <c r="H41" i="8"/>
  <c r="G41" i="8"/>
  <c r="K40" i="8"/>
  <c r="J40" i="8"/>
  <c r="I40" i="8"/>
  <c r="H40" i="8"/>
  <c r="G40" i="8"/>
  <c r="K39" i="8"/>
  <c r="J39" i="8"/>
  <c r="I39" i="8"/>
  <c r="H39" i="8"/>
  <c r="G39" i="8"/>
  <c r="K38" i="8"/>
  <c r="J38" i="8"/>
  <c r="I38" i="8"/>
  <c r="H38" i="8"/>
  <c r="G38" i="8"/>
  <c r="K37" i="8"/>
  <c r="J37" i="8"/>
  <c r="I37" i="8"/>
  <c r="H37" i="8"/>
  <c r="G37" i="8"/>
  <c r="K36" i="8"/>
  <c r="J36" i="8"/>
  <c r="I36" i="8"/>
  <c r="H36" i="8"/>
  <c r="G36" i="8"/>
  <c r="K35" i="8"/>
  <c r="J35" i="8"/>
  <c r="I35" i="8"/>
  <c r="H35" i="8"/>
  <c r="G35" i="8"/>
  <c r="K80" i="8" l="1"/>
  <c r="J80" i="8"/>
  <c r="I80" i="8"/>
  <c r="H80" i="8"/>
  <c r="G80" i="8"/>
  <c r="K79" i="8"/>
  <c r="J79" i="8"/>
  <c r="I79" i="8"/>
  <c r="H79" i="8"/>
  <c r="G79" i="8"/>
  <c r="K78" i="8"/>
  <c r="J78" i="8"/>
  <c r="I78" i="8"/>
  <c r="H78" i="8"/>
  <c r="G78" i="8"/>
  <c r="K77" i="8"/>
  <c r="J77" i="8"/>
  <c r="I77" i="8"/>
  <c r="H77" i="8"/>
  <c r="G77" i="8"/>
  <c r="K74" i="8"/>
  <c r="J74" i="8"/>
  <c r="I74" i="8"/>
  <c r="H74" i="8"/>
  <c r="G74" i="8"/>
  <c r="K73" i="8"/>
  <c r="J73" i="8"/>
  <c r="I73" i="8"/>
  <c r="H73" i="8"/>
  <c r="G73" i="8"/>
  <c r="K72" i="8"/>
  <c r="J72" i="8"/>
  <c r="I72" i="8"/>
  <c r="H72" i="8"/>
  <c r="G72" i="8"/>
  <c r="K71" i="8"/>
  <c r="J71" i="8"/>
  <c r="I71" i="8"/>
  <c r="H71" i="8"/>
  <c r="G71" i="8"/>
  <c r="K70" i="8"/>
  <c r="J70" i="8"/>
  <c r="I70" i="8"/>
  <c r="H70" i="8"/>
  <c r="G70" i="8"/>
  <c r="K69" i="8"/>
  <c r="J69" i="8"/>
  <c r="I69" i="8"/>
  <c r="H69" i="8"/>
  <c r="G69" i="8"/>
  <c r="K68" i="8"/>
  <c r="J68" i="8"/>
  <c r="I68" i="8"/>
  <c r="H68" i="8"/>
  <c r="G68" i="8"/>
  <c r="K67" i="8"/>
  <c r="J67" i="8"/>
  <c r="I67" i="8"/>
  <c r="H67" i="8"/>
  <c r="G67" i="8"/>
  <c r="K66" i="8"/>
  <c r="J66" i="8"/>
  <c r="I66" i="8"/>
  <c r="H66" i="8"/>
  <c r="G66" i="8"/>
  <c r="K65" i="8"/>
  <c r="J65" i="8"/>
  <c r="I65" i="8"/>
  <c r="H65" i="8"/>
  <c r="G65" i="8"/>
  <c r="J64" i="8"/>
  <c r="I64" i="8"/>
  <c r="H64" i="8"/>
  <c r="G64" i="8"/>
  <c r="K60" i="8"/>
  <c r="J60" i="8"/>
  <c r="I60" i="8"/>
  <c r="H60" i="8"/>
  <c r="G60" i="8"/>
  <c r="K59" i="8"/>
  <c r="J59" i="8"/>
  <c r="I59" i="8"/>
  <c r="H59" i="8"/>
  <c r="G59" i="8"/>
  <c r="K58" i="8"/>
  <c r="J58" i="8"/>
  <c r="I58" i="8"/>
  <c r="H58" i="8"/>
  <c r="G58" i="8"/>
  <c r="K57" i="8"/>
  <c r="J57" i="8"/>
  <c r="I57" i="8"/>
  <c r="H57" i="8"/>
  <c r="G57" i="8"/>
  <c r="K56" i="8"/>
  <c r="J56" i="8"/>
  <c r="I56" i="8"/>
  <c r="H56" i="8"/>
  <c r="G56" i="8"/>
  <c r="K55" i="8"/>
  <c r="J55" i="8"/>
  <c r="I55" i="8"/>
  <c r="H55" i="8"/>
  <c r="G55" i="8"/>
  <c r="K54" i="8"/>
  <c r="J54" i="8"/>
  <c r="I54" i="8"/>
  <c r="H54" i="8"/>
  <c r="G54" i="8"/>
  <c r="K53" i="8"/>
  <c r="J53" i="8"/>
  <c r="I53" i="8"/>
  <c r="H53" i="8"/>
  <c r="G53" i="8"/>
  <c r="K34" i="8"/>
  <c r="J34" i="8"/>
  <c r="I34" i="8"/>
  <c r="H34" i="8"/>
  <c r="G34" i="8"/>
  <c r="K33" i="8"/>
  <c r="K31" i="8"/>
  <c r="J31" i="8"/>
  <c r="I31" i="8"/>
  <c r="H31" i="8"/>
  <c r="G31" i="8"/>
  <c r="K30" i="8"/>
  <c r="J30" i="8"/>
  <c r="I30" i="8"/>
  <c r="H30" i="8"/>
  <c r="G30" i="8"/>
  <c r="K29" i="8"/>
  <c r="J29" i="8"/>
  <c r="I29" i="8"/>
  <c r="H29" i="8"/>
  <c r="G29" i="8"/>
  <c r="K28" i="8"/>
  <c r="J28" i="8"/>
  <c r="I28" i="8"/>
  <c r="H28" i="8"/>
  <c r="G28" i="8"/>
  <c r="K27" i="8"/>
  <c r="J27" i="8"/>
  <c r="I27" i="8"/>
  <c r="H27" i="8"/>
  <c r="G27" i="8"/>
  <c r="K26" i="8"/>
  <c r="J26" i="8"/>
  <c r="I26" i="8"/>
  <c r="H26" i="8"/>
  <c r="G26" i="8"/>
  <c r="K25" i="8"/>
  <c r="J25" i="8"/>
  <c r="I25" i="8"/>
  <c r="H25" i="8"/>
  <c r="G25" i="8"/>
  <c r="K21" i="8"/>
  <c r="J21" i="8"/>
  <c r="I21" i="8"/>
  <c r="H21" i="8"/>
  <c r="G21" i="8"/>
  <c r="K20" i="8"/>
  <c r="J20" i="8"/>
  <c r="I20" i="8"/>
  <c r="H20" i="8"/>
  <c r="G20" i="8"/>
  <c r="K12" i="8"/>
  <c r="J12" i="8"/>
  <c r="I12" i="8"/>
  <c r="H12" i="8"/>
  <c r="G12" i="8"/>
  <c r="K11" i="8"/>
  <c r="J11" i="8"/>
  <c r="I11" i="8"/>
  <c r="H11" i="8"/>
  <c r="G11" i="8"/>
  <c r="K10" i="8"/>
  <c r="J10" i="8"/>
  <c r="I10" i="8"/>
  <c r="H10" i="8"/>
  <c r="G10" i="8"/>
  <c r="K8" i="8"/>
  <c r="J8" i="8"/>
  <c r="I8" i="8"/>
  <c r="H8" i="8"/>
  <c r="G8" i="8"/>
  <c r="K7" i="8"/>
  <c r="J7" i="8"/>
  <c r="I7" i="8"/>
  <c r="H7" i="8"/>
  <c r="G7" i="8"/>
  <c r="K4" i="8"/>
  <c r="J4" i="8"/>
  <c r="I4" i="8"/>
  <c r="H4" i="8"/>
  <c r="G4" i="8"/>
  <c r="K3" i="8"/>
  <c r="J3" i="8"/>
  <c r="I3" i="8"/>
  <c r="H3" i="8"/>
  <c r="G3" i="8"/>
  <c r="A4" i="8"/>
  <c r="A5" i="8" s="1"/>
  <c r="A6" i="8" s="1"/>
  <c r="A7" i="8" s="1"/>
  <c r="J131" i="8" l="1"/>
  <c r="F7" i="3" s="1"/>
  <c r="G131" i="8"/>
  <c r="C7" i="3" s="1"/>
  <c r="H131" i="8"/>
  <c r="D7" i="3" s="1"/>
  <c r="A8" i="8"/>
  <c r="A9" i="8" s="1"/>
  <c r="A10" i="8" s="1"/>
  <c r="A11" i="8" s="1"/>
  <c r="A12" i="8" s="1"/>
  <c r="A13" i="8" s="1"/>
  <c r="A14" i="8" s="1"/>
  <c r="A15" i="8" s="1"/>
  <c r="I131" i="8"/>
  <c r="E7" i="3" s="1"/>
  <c r="K131" i="8"/>
  <c r="G7" i="3" s="1"/>
  <c r="G8" i="3"/>
  <c r="A16" i="8" l="1"/>
  <c r="A17" i="8" s="1"/>
  <c r="A18" i="8" s="1"/>
  <c r="A19" i="8" s="1"/>
  <c r="H7" i="3"/>
  <c r="K36" i="6"/>
  <c r="J36" i="6"/>
  <c r="I36" i="6"/>
  <c r="H36" i="6"/>
  <c r="G36" i="6"/>
  <c r="K34" i="6"/>
  <c r="J34" i="6"/>
  <c r="I34" i="6"/>
  <c r="H34" i="6"/>
  <c r="G34" i="6"/>
  <c r="K33" i="6"/>
  <c r="J33" i="6"/>
  <c r="I33" i="6"/>
  <c r="H33" i="6"/>
  <c r="G33" i="6"/>
  <c r="K32" i="6"/>
  <c r="J32" i="6"/>
  <c r="I32" i="6"/>
  <c r="H32" i="6"/>
  <c r="G32" i="6"/>
  <c r="K30" i="6"/>
  <c r="J30" i="6"/>
  <c r="I30" i="6"/>
  <c r="H30" i="6"/>
  <c r="G30" i="6"/>
  <c r="K29" i="6"/>
  <c r="K28" i="6"/>
  <c r="J28" i="6"/>
  <c r="I28" i="6"/>
  <c r="H28" i="6"/>
  <c r="G28" i="6"/>
  <c r="K9" i="6"/>
  <c r="J9" i="6"/>
  <c r="I9" i="6"/>
  <c r="H9" i="6"/>
  <c r="G9" i="6"/>
  <c r="K7" i="6"/>
  <c r="J7" i="6"/>
  <c r="I7" i="6"/>
  <c r="H7" i="6"/>
  <c r="G7" i="6"/>
  <c r="K6" i="6"/>
  <c r="J6" i="6"/>
  <c r="I6" i="6"/>
  <c r="H6" i="6"/>
  <c r="G6" i="6"/>
  <c r="K5" i="6"/>
  <c r="J5" i="6"/>
  <c r="I5" i="6"/>
  <c r="H5" i="6"/>
  <c r="G5" i="6"/>
  <c r="K4" i="6"/>
  <c r="J4" i="6"/>
  <c r="I4" i="6"/>
  <c r="H4" i="6"/>
  <c r="G4" i="6"/>
  <c r="H89" i="6" l="1"/>
  <c r="D6" i="3" s="1"/>
  <c r="G89" i="6"/>
  <c r="C6" i="3" s="1"/>
  <c r="I89" i="6"/>
  <c r="E6" i="3" s="1"/>
  <c r="J89" i="6"/>
  <c r="F6" i="3" s="1"/>
  <c r="A26" i="8"/>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G6" i="3"/>
  <c r="K694" i="2"/>
  <c r="J694" i="2"/>
  <c r="I694" i="2"/>
  <c r="H694" i="2"/>
  <c r="G694" i="2"/>
  <c r="K693" i="2"/>
  <c r="J693" i="2"/>
  <c r="I693" i="2"/>
  <c r="H693" i="2"/>
  <c r="G693" i="2"/>
  <c r="K692" i="2"/>
  <c r="J692" i="2"/>
  <c r="I692" i="2"/>
  <c r="H692" i="2"/>
  <c r="G692" i="2"/>
  <c r="A692" i="2"/>
  <c r="A693" i="2" s="1"/>
  <c r="A694" i="2" s="1"/>
  <c r="K690" i="2"/>
  <c r="J690" i="2"/>
  <c r="I690" i="2"/>
  <c r="H690" i="2"/>
  <c r="G690" i="2"/>
  <c r="K689" i="2"/>
  <c r="J689" i="2"/>
  <c r="I689" i="2"/>
  <c r="H689" i="2"/>
  <c r="G689" i="2"/>
  <c r="K688" i="2"/>
  <c r="J688" i="2"/>
  <c r="I688" i="2"/>
  <c r="H688" i="2"/>
  <c r="G688" i="2"/>
  <c r="K687" i="2"/>
  <c r="J687" i="2"/>
  <c r="I687" i="2"/>
  <c r="H687" i="2"/>
  <c r="G687" i="2"/>
  <c r="K686" i="2"/>
  <c r="J686" i="2"/>
  <c r="I686" i="2"/>
  <c r="H686" i="2"/>
  <c r="G686" i="2"/>
  <c r="K685" i="2"/>
  <c r="J685" i="2"/>
  <c r="I685" i="2"/>
  <c r="H685" i="2"/>
  <c r="G685" i="2"/>
  <c r="K684" i="2"/>
  <c r="J684" i="2"/>
  <c r="I684" i="2"/>
  <c r="H684" i="2"/>
  <c r="G684" i="2"/>
  <c r="K683" i="2"/>
  <c r="J683" i="2"/>
  <c r="I683" i="2"/>
  <c r="H683" i="2"/>
  <c r="G683" i="2"/>
  <c r="K682" i="2"/>
  <c r="J682" i="2"/>
  <c r="I682" i="2"/>
  <c r="H682" i="2"/>
  <c r="G682" i="2"/>
  <c r="K681" i="2"/>
  <c r="J681" i="2"/>
  <c r="I681" i="2"/>
  <c r="H681" i="2"/>
  <c r="G681" i="2"/>
  <c r="K680" i="2"/>
  <c r="J680" i="2"/>
  <c r="I680" i="2"/>
  <c r="H680" i="2"/>
  <c r="G680" i="2"/>
  <c r="K679" i="2"/>
  <c r="J679" i="2"/>
  <c r="I679" i="2"/>
  <c r="H679" i="2"/>
  <c r="G679" i="2"/>
  <c r="K678" i="2"/>
  <c r="J678" i="2"/>
  <c r="I678" i="2"/>
  <c r="H678" i="2"/>
  <c r="G678" i="2"/>
  <c r="K677" i="2"/>
  <c r="J677" i="2"/>
  <c r="I677" i="2"/>
  <c r="H677" i="2"/>
  <c r="G677" i="2"/>
  <c r="K676" i="2"/>
  <c r="J676" i="2"/>
  <c r="I676" i="2"/>
  <c r="H676" i="2"/>
  <c r="G676" i="2"/>
  <c r="K675" i="2"/>
  <c r="J675" i="2"/>
  <c r="I675" i="2"/>
  <c r="H675" i="2"/>
  <c r="G675" i="2"/>
  <c r="K674" i="2"/>
  <c r="J674" i="2"/>
  <c r="I674" i="2"/>
  <c r="H674" i="2"/>
  <c r="G674" i="2"/>
  <c r="K673" i="2"/>
  <c r="J673" i="2"/>
  <c r="I673" i="2"/>
  <c r="H673" i="2"/>
  <c r="G673" i="2"/>
  <c r="K672" i="2"/>
  <c r="J672" i="2"/>
  <c r="I672" i="2"/>
  <c r="H672" i="2"/>
  <c r="G672" i="2"/>
  <c r="K671" i="2"/>
  <c r="J671" i="2"/>
  <c r="I671" i="2"/>
  <c r="H671" i="2"/>
  <c r="G671" i="2"/>
  <c r="K670" i="2"/>
  <c r="J670" i="2"/>
  <c r="I670" i="2"/>
  <c r="H670" i="2"/>
  <c r="G670" i="2"/>
  <c r="K669" i="2"/>
  <c r="J669" i="2"/>
  <c r="I669" i="2"/>
  <c r="H669" i="2"/>
  <c r="G669" i="2"/>
  <c r="K668" i="2"/>
  <c r="J668" i="2"/>
  <c r="I668" i="2"/>
  <c r="H668" i="2"/>
  <c r="G668" i="2"/>
  <c r="K667" i="2"/>
  <c r="J667" i="2"/>
  <c r="I667" i="2"/>
  <c r="H667" i="2"/>
  <c r="G667" i="2"/>
  <c r="K666" i="2"/>
  <c r="J666" i="2"/>
  <c r="I666" i="2"/>
  <c r="H666" i="2"/>
  <c r="G666" i="2"/>
  <c r="K665" i="2"/>
  <c r="J665" i="2"/>
  <c r="I665" i="2"/>
  <c r="H665" i="2"/>
  <c r="G665" i="2"/>
  <c r="K664" i="2"/>
  <c r="J664" i="2"/>
  <c r="I664" i="2"/>
  <c r="H664" i="2"/>
  <c r="G664" i="2"/>
  <c r="A664" i="2"/>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K662" i="2"/>
  <c r="J662" i="2"/>
  <c r="I662" i="2"/>
  <c r="H662" i="2"/>
  <c r="G662" i="2"/>
  <c r="K661" i="2"/>
  <c r="J661" i="2"/>
  <c r="I661" i="2"/>
  <c r="H661" i="2"/>
  <c r="G661" i="2"/>
  <c r="K660" i="2"/>
  <c r="J660" i="2"/>
  <c r="I660" i="2"/>
  <c r="H660" i="2"/>
  <c r="G660" i="2"/>
  <c r="K659" i="2"/>
  <c r="J659" i="2"/>
  <c r="I659" i="2"/>
  <c r="H659" i="2"/>
  <c r="G659" i="2"/>
  <c r="C659" i="2"/>
  <c r="B659" i="2"/>
  <c r="K658" i="2"/>
  <c r="J658" i="2"/>
  <c r="I658" i="2"/>
  <c r="H658" i="2"/>
  <c r="G658" i="2"/>
  <c r="C658" i="2"/>
  <c r="B658" i="2"/>
  <c r="K657" i="2"/>
  <c r="J657" i="2"/>
  <c r="I657" i="2"/>
  <c r="H657" i="2"/>
  <c r="G657" i="2"/>
  <c r="K656" i="2"/>
  <c r="J656" i="2"/>
  <c r="I656" i="2"/>
  <c r="H656" i="2"/>
  <c r="G656" i="2"/>
  <c r="K655" i="2"/>
  <c r="J655" i="2"/>
  <c r="I655" i="2"/>
  <c r="H655" i="2"/>
  <c r="G655" i="2"/>
  <c r="K654" i="2"/>
  <c r="J654" i="2"/>
  <c r="I654" i="2"/>
  <c r="H654" i="2"/>
  <c r="G654" i="2"/>
  <c r="K653" i="2"/>
  <c r="J653" i="2"/>
  <c r="I653" i="2"/>
  <c r="H653" i="2"/>
  <c r="G653" i="2"/>
  <c r="K652" i="2"/>
  <c r="J652" i="2"/>
  <c r="I652" i="2"/>
  <c r="H652" i="2"/>
  <c r="G652" i="2"/>
  <c r="K651" i="2"/>
  <c r="J651" i="2"/>
  <c r="I651" i="2"/>
  <c r="H651" i="2"/>
  <c r="G651" i="2"/>
  <c r="K650" i="2"/>
  <c r="J650" i="2"/>
  <c r="I650" i="2"/>
  <c r="H650" i="2"/>
  <c r="G650" i="2"/>
  <c r="K649" i="2"/>
  <c r="J649" i="2"/>
  <c r="I649" i="2"/>
  <c r="H649" i="2"/>
  <c r="G649" i="2"/>
  <c r="K648" i="2"/>
  <c r="J648" i="2"/>
  <c r="I648" i="2"/>
  <c r="H648" i="2"/>
  <c r="G648" i="2"/>
  <c r="K647" i="2"/>
  <c r="J647" i="2"/>
  <c r="I647" i="2"/>
  <c r="H647" i="2"/>
  <c r="G647" i="2"/>
  <c r="K646" i="2"/>
  <c r="J646" i="2"/>
  <c r="I646" i="2"/>
  <c r="H646" i="2"/>
  <c r="G646" i="2"/>
  <c r="K645" i="2"/>
  <c r="J645" i="2"/>
  <c r="I645" i="2"/>
  <c r="H645" i="2"/>
  <c r="G645" i="2"/>
  <c r="K644" i="2"/>
  <c r="J644" i="2"/>
  <c r="I644" i="2"/>
  <c r="H644" i="2"/>
  <c r="G644" i="2"/>
  <c r="K643" i="2"/>
  <c r="J643" i="2"/>
  <c r="I643" i="2"/>
  <c r="H643" i="2"/>
  <c r="G643" i="2"/>
  <c r="K642" i="2"/>
  <c r="J642" i="2"/>
  <c r="I642" i="2"/>
  <c r="H642" i="2"/>
  <c r="G642" i="2"/>
  <c r="K641" i="2"/>
  <c r="J641" i="2"/>
  <c r="I641" i="2"/>
  <c r="H641" i="2"/>
  <c r="G641" i="2"/>
  <c r="K640" i="2"/>
  <c r="J640" i="2"/>
  <c r="I640" i="2"/>
  <c r="H640" i="2"/>
  <c r="G640" i="2"/>
  <c r="K639" i="2"/>
  <c r="J639" i="2"/>
  <c r="I639" i="2"/>
  <c r="H639" i="2"/>
  <c r="G639" i="2"/>
  <c r="K638" i="2"/>
  <c r="J638" i="2"/>
  <c r="I638" i="2"/>
  <c r="H638" i="2"/>
  <c r="G638" i="2"/>
  <c r="K637" i="2"/>
  <c r="J637" i="2"/>
  <c r="I637" i="2"/>
  <c r="H637" i="2"/>
  <c r="G637" i="2"/>
  <c r="K636" i="2"/>
  <c r="J636" i="2"/>
  <c r="I636" i="2"/>
  <c r="H636" i="2"/>
  <c r="G636" i="2"/>
  <c r="K635" i="2"/>
  <c r="J635" i="2"/>
  <c r="I635" i="2"/>
  <c r="H635" i="2"/>
  <c r="G635" i="2"/>
  <c r="K634" i="2"/>
  <c r="J634" i="2"/>
  <c r="I634" i="2"/>
  <c r="H634" i="2"/>
  <c r="G634" i="2"/>
  <c r="K633" i="2"/>
  <c r="J633" i="2"/>
  <c r="I633" i="2"/>
  <c r="H633" i="2"/>
  <c r="G633" i="2"/>
  <c r="K632" i="2"/>
  <c r="J632" i="2"/>
  <c r="I632" i="2"/>
  <c r="H632" i="2"/>
  <c r="G632" i="2"/>
  <c r="K631" i="2"/>
  <c r="J631" i="2"/>
  <c r="I631" i="2"/>
  <c r="H631" i="2"/>
  <c r="G631" i="2"/>
  <c r="K630" i="2"/>
  <c r="J630" i="2"/>
  <c r="I630" i="2"/>
  <c r="H630" i="2"/>
  <c r="G630" i="2"/>
  <c r="K629" i="2"/>
  <c r="J629" i="2"/>
  <c r="I629" i="2"/>
  <c r="H629" i="2"/>
  <c r="G629" i="2"/>
  <c r="K628" i="2"/>
  <c r="J628" i="2"/>
  <c r="I628" i="2"/>
  <c r="H628" i="2"/>
  <c r="G628" i="2"/>
  <c r="K627" i="2"/>
  <c r="J627" i="2"/>
  <c r="I627" i="2"/>
  <c r="H627" i="2"/>
  <c r="G627" i="2"/>
  <c r="K626" i="2"/>
  <c r="J626" i="2"/>
  <c r="I626" i="2"/>
  <c r="H626" i="2"/>
  <c r="G626" i="2"/>
  <c r="K625" i="2"/>
  <c r="J625" i="2"/>
  <c r="I625" i="2"/>
  <c r="H625" i="2"/>
  <c r="G625" i="2"/>
  <c r="K624" i="2"/>
  <c r="J624" i="2"/>
  <c r="I624" i="2"/>
  <c r="H624" i="2"/>
  <c r="G624" i="2"/>
  <c r="A624" i="2"/>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K622" i="2"/>
  <c r="J622" i="2"/>
  <c r="I622" i="2"/>
  <c r="H622" i="2"/>
  <c r="G622" i="2"/>
  <c r="K621" i="2"/>
  <c r="J621" i="2"/>
  <c r="I621" i="2"/>
  <c r="H621" i="2"/>
  <c r="G621" i="2"/>
  <c r="K620" i="2"/>
  <c r="J620" i="2"/>
  <c r="I620" i="2"/>
  <c r="H620" i="2"/>
  <c r="G620" i="2"/>
  <c r="K619" i="2"/>
  <c r="J619" i="2"/>
  <c r="I619" i="2"/>
  <c r="H619" i="2"/>
  <c r="G619" i="2"/>
  <c r="K618" i="2"/>
  <c r="J618" i="2"/>
  <c r="I618" i="2"/>
  <c r="H618" i="2"/>
  <c r="G618" i="2"/>
  <c r="K617" i="2"/>
  <c r="J617" i="2"/>
  <c r="I617" i="2"/>
  <c r="H617" i="2"/>
  <c r="G617" i="2"/>
  <c r="K616" i="2"/>
  <c r="J616" i="2"/>
  <c r="I616" i="2"/>
  <c r="H616" i="2"/>
  <c r="G616" i="2"/>
  <c r="K615" i="2"/>
  <c r="J615" i="2"/>
  <c r="I615" i="2"/>
  <c r="H615" i="2"/>
  <c r="G615" i="2"/>
  <c r="K614" i="2"/>
  <c r="J614" i="2"/>
  <c r="I614" i="2"/>
  <c r="H614" i="2"/>
  <c r="G614" i="2"/>
  <c r="K613" i="2"/>
  <c r="J613" i="2"/>
  <c r="I613" i="2"/>
  <c r="H613" i="2"/>
  <c r="G613" i="2"/>
  <c r="K612" i="2"/>
  <c r="J612" i="2"/>
  <c r="I612" i="2"/>
  <c r="H612" i="2"/>
  <c r="G612" i="2"/>
  <c r="K611" i="2"/>
  <c r="J611" i="2"/>
  <c r="I611" i="2"/>
  <c r="H611" i="2"/>
  <c r="G611" i="2"/>
  <c r="K610" i="2"/>
  <c r="J610" i="2"/>
  <c r="I610" i="2"/>
  <c r="H610" i="2"/>
  <c r="G610" i="2"/>
  <c r="K609" i="2"/>
  <c r="J609" i="2"/>
  <c r="I609" i="2"/>
  <c r="H609" i="2"/>
  <c r="G609" i="2"/>
  <c r="K608" i="2"/>
  <c r="J608" i="2"/>
  <c r="I608" i="2"/>
  <c r="H608" i="2"/>
  <c r="G608" i="2"/>
  <c r="K607" i="2"/>
  <c r="J607" i="2"/>
  <c r="I607" i="2"/>
  <c r="H607" i="2"/>
  <c r="G607" i="2"/>
  <c r="A607" i="2"/>
  <c r="A608" i="2" s="1"/>
  <c r="A609" i="2" s="1"/>
  <c r="A610" i="2" s="1"/>
  <c r="A611" i="2" s="1"/>
  <c r="A612" i="2" s="1"/>
  <c r="A613" i="2" s="1"/>
  <c r="A614" i="2" s="1"/>
  <c r="A615" i="2" s="1"/>
  <c r="A616" i="2" s="1"/>
  <c r="A617" i="2" s="1"/>
  <c r="A618" i="2" s="1"/>
  <c r="A619" i="2" s="1"/>
  <c r="A620" i="2" s="1"/>
  <c r="A621" i="2" s="1"/>
  <c r="A622" i="2" s="1"/>
  <c r="K605" i="2"/>
  <c r="J605" i="2"/>
  <c r="I605" i="2"/>
  <c r="H605" i="2"/>
  <c r="G605" i="2"/>
  <c r="K604" i="2"/>
  <c r="J604" i="2"/>
  <c r="I604" i="2"/>
  <c r="H604" i="2"/>
  <c r="G604" i="2"/>
  <c r="K603" i="2"/>
  <c r="J603" i="2"/>
  <c r="I603" i="2"/>
  <c r="H603" i="2"/>
  <c r="G603" i="2"/>
  <c r="K602" i="2"/>
  <c r="J602" i="2"/>
  <c r="I602" i="2"/>
  <c r="H602" i="2"/>
  <c r="G602" i="2"/>
  <c r="K601" i="2"/>
  <c r="J601" i="2"/>
  <c r="I601" i="2"/>
  <c r="H601" i="2"/>
  <c r="G601" i="2"/>
  <c r="K600" i="2"/>
  <c r="J600" i="2"/>
  <c r="I600" i="2"/>
  <c r="H600" i="2"/>
  <c r="G600" i="2"/>
  <c r="K599" i="2"/>
  <c r="J599" i="2"/>
  <c r="I599" i="2"/>
  <c r="H599" i="2"/>
  <c r="G599" i="2"/>
  <c r="A599" i="2"/>
  <c r="A600" i="2" s="1"/>
  <c r="A601" i="2" s="1"/>
  <c r="A602" i="2" s="1"/>
  <c r="A603" i="2" s="1"/>
  <c r="A604" i="2" s="1"/>
  <c r="A605" i="2" s="1"/>
  <c r="K597" i="2"/>
  <c r="J597" i="2"/>
  <c r="I597" i="2"/>
  <c r="H597" i="2"/>
  <c r="G597" i="2"/>
  <c r="K596" i="2"/>
  <c r="J596" i="2"/>
  <c r="I596" i="2"/>
  <c r="H596" i="2"/>
  <c r="G596" i="2"/>
  <c r="K595" i="2"/>
  <c r="J595" i="2"/>
  <c r="I595" i="2"/>
  <c r="H595" i="2"/>
  <c r="G595" i="2"/>
  <c r="K594" i="2"/>
  <c r="J594" i="2"/>
  <c r="I594" i="2"/>
  <c r="H594" i="2"/>
  <c r="G594" i="2"/>
  <c r="K593" i="2"/>
  <c r="J593" i="2"/>
  <c r="I593" i="2"/>
  <c r="H593" i="2"/>
  <c r="G593" i="2"/>
  <c r="K592" i="2"/>
  <c r="J592" i="2"/>
  <c r="I592" i="2"/>
  <c r="H592" i="2"/>
  <c r="G592" i="2"/>
  <c r="K591" i="2"/>
  <c r="J591" i="2"/>
  <c r="I591" i="2"/>
  <c r="H591" i="2"/>
  <c r="G591" i="2"/>
  <c r="K590" i="2"/>
  <c r="J590" i="2"/>
  <c r="I590" i="2"/>
  <c r="H590" i="2"/>
  <c r="G590" i="2"/>
  <c r="A590" i="2"/>
  <c r="A591" i="2" s="1"/>
  <c r="A592" i="2" s="1"/>
  <c r="A593" i="2" s="1"/>
  <c r="A594" i="2" s="1"/>
  <c r="A595" i="2" s="1"/>
  <c r="A596" i="2" s="1"/>
  <c r="A597" i="2" s="1"/>
  <c r="K588" i="2"/>
  <c r="J588" i="2"/>
  <c r="I588" i="2"/>
  <c r="H588" i="2"/>
  <c r="G588" i="2"/>
  <c r="K587" i="2"/>
  <c r="J587" i="2"/>
  <c r="I587" i="2"/>
  <c r="H587" i="2"/>
  <c r="G587" i="2"/>
  <c r="K586" i="2"/>
  <c r="J586" i="2"/>
  <c r="I586" i="2"/>
  <c r="H586" i="2"/>
  <c r="G586" i="2"/>
  <c r="A586" i="2"/>
  <c r="A587" i="2" s="1"/>
  <c r="A588" i="2" s="1"/>
  <c r="K584" i="2"/>
  <c r="J584" i="2"/>
  <c r="I584" i="2"/>
  <c r="H584" i="2"/>
  <c r="G584" i="2"/>
  <c r="K583" i="2"/>
  <c r="J583" i="2"/>
  <c r="I583" i="2"/>
  <c r="H583" i="2"/>
  <c r="G583" i="2"/>
  <c r="K582" i="2"/>
  <c r="J582" i="2"/>
  <c r="I582" i="2"/>
  <c r="H582" i="2"/>
  <c r="G582" i="2"/>
  <c r="K581" i="2"/>
  <c r="J581" i="2"/>
  <c r="I581" i="2"/>
  <c r="H581" i="2"/>
  <c r="G581" i="2"/>
  <c r="K580" i="2"/>
  <c r="J580" i="2"/>
  <c r="I580" i="2"/>
  <c r="H580" i="2"/>
  <c r="G580" i="2"/>
  <c r="K579" i="2"/>
  <c r="J579" i="2"/>
  <c r="I579" i="2"/>
  <c r="H579" i="2"/>
  <c r="G579" i="2"/>
  <c r="K578" i="2"/>
  <c r="J578" i="2"/>
  <c r="I578" i="2"/>
  <c r="H578" i="2"/>
  <c r="G578" i="2"/>
  <c r="K577" i="2"/>
  <c r="J577" i="2"/>
  <c r="I577" i="2"/>
  <c r="H577" i="2"/>
  <c r="G577" i="2"/>
  <c r="K576" i="2"/>
  <c r="J576" i="2"/>
  <c r="I576" i="2"/>
  <c r="H576" i="2"/>
  <c r="G576" i="2"/>
  <c r="K575" i="2"/>
  <c r="J575" i="2"/>
  <c r="I575" i="2"/>
  <c r="H575" i="2"/>
  <c r="G575" i="2"/>
  <c r="K574" i="2"/>
  <c r="J574" i="2"/>
  <c r="I574" i="2"/>
  <c r="H574" i="2"/>
  <c r="G574" i="2"/>
  <c r="K573" i="2"/>
  <c r="J573" i="2"/>
  <c r="I573" i="2"/>
  <c r="H573" i="2"/>
  <c r="G573" i="2"/>
  <c r="K572" i="2"/>
  <c r="J572" i="2"/>
  <c r="I572" i="2"/>
  <c r="H572" i="2"/>
  <c r="G572" i="2"/>
  <c r="K571" i="2"/>
  <c r="J571" i="2"/>
  <c r="I571" i="2"/>
  <c r="H571" i="2"/>
  <c r="G571" i="2"/>
  <c r="K570" i="2"/>
  <c r="J570" i="2"/>
  <c r="I570" i="2"/>
  <c r="H570" i="2"/>
  <c r="G570" i="2"/>
  <c r="K569" i="2"/>
  <c r="J569" i="2"/>
  <c r="I569" i="2"/>
  <c r="H569" i="2"/>
  <c r="G569" i="2"/>
  <c r="K568" i="2"/>
  <c r="J568" i="2"/>
  <c r="I568" i="2"/>
  <c r="H568" i="2"/>
  <c r="G568" i="2"/>
  <c r="K567" i="2"/>
  <c r="J567" i="2"/>
  <c r="I567" i="2"/>
  <c r="H567" i="2"/>
  <c r="G567" i="2"/>
  <c r="K566" i="2"/>
  <c r="J566" i="2"/>
  <c r="I566" i="2"/>
  <c r="H566" i="2"/>
  <c r="G566" i="2"/>
  <c r="K565" i="2"/>
  <c r="J565" i="2"/>
  <c r="I565" i="2"/>
  <c r="H565" i="2"/>
  <c r="G565" i="2"/>
  <c r="K564" i="2"/>
  <c r="J564" i="2"/>
  <c r="I564" i="2"/>
  <c r="H564" i="2"/>
  <c r="G564" i="2"/>
  <c r="K563" i="2"/>
  <c r="J563" i="2"/>
  <c r="I563" i="2"/>
  <c r="H563" i="2"/>
  <c r="G563" i="2"/>
  <c r="K562" i="2"/>
  <c r="J562" i="2"/>
  <c r="I562" i="2"/>
  <c r="H562" i="2"/>
  <c r="G562" i="2"/>
  <c r="K561" i="2"/>
  <c r="J561" i="2"/>
  <c r="I561" i="2"/>
  <c r="H561" i="2"/>
  <c r="G561" i="2"/>
  <c r="K560" i="2"/>
  <c r="J560" i="2"/>
  <c r="I560" i="2"/>
  <c r="H560" i="2"/>
  <c r="G560" i="2"/>
  <c r="K559" i="2"/>
  <c r="J559" i="2"/>
  <c r="I559" i="2"/>
  <c r="H559" i="2"/>
  <c r="G559" i="2"/>
  <c r="K558" i="2"/>
  <c r="J558" i="2"/>
  <c r="I558" i="2"/>
  <c r="H558" i="2"/>
  <c r="G558" i="2"/>
  <c r="A558" i="2"/>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K556" i="2"/>
  <c r="J556" i="2"/>
  <c r="I556" i="2"/>
  <c r="H556" i="2"/>
  <c r="G556" i="2"/>
  <c r="K555" i="2"/>
  <c r="J555" i="2"/>
  <c r="I555" i="2"/>
  <c r="H555" i="2"/>
  <c r="G555" i="2"/>
  <c r="K554" i="2"/>
  <c r="J554" i="2"/>
  <c r="I554" i="2"/>
  <c r="H554" i="2"/>
  <c r="G554" i="2"/>
  <c r="K553" i="2"/>
  <c r="J553" i="2"/>
  <c r="I553" i="2"/>
  <c r="H553" i="2"/>
  <c r="G553" i="2"/>
  <c r="C553" i="2"/>
  <c r="B553" i="2"/>
  <c r="K552" i="2"/>
  <c r="J552" i="2"/>
  <c r="I552" i="2"/>
  <c r="H552" i="2"/>
  <c r="G552" i="2"/>
  <c r="C552" i="2"/>
  <c r="B552" i="2"/>
  <c r="K551" i="2"/>
  <c r="J551" i="2"/>
  <c r="I551" i="2"/>
  <c r="H551" i="2"/>
  <c r="G551" i="2"/>
  <c r="K550" i="2"/>
  <c r="J550" i="2"/>
  <c r="I550" i="2"/>
  <c r="H550" i="2"/>
  <c r="G550" i="2"/>
  <c r="K549" i="2"/>
  <c r="J549" i="2"/>
  <c r="I549" i="2"/>
  <c r="H549" i="2"/>
  <c r="G549" i="2"/>
  <c r="K548" i="2"/>
  <c r="J548" i="2"/>
  <c r="I548" i="2"/>
  <c r="H548" i="2"/>
  <c r="G548" i="2"/>
  <c r="K547" i="2"/>
  <c r="J547" i="2"/>
  <c r="I547" i="2"/>
  <c r="H547" i="2"/>
  <c r="G547" i="2"/>
  <c r="K546" i="2"/>
  <c r="J546" i="2"/>
  <c r="I546" i="2"/>
  <c r="H546" i="2"/>
  <c r="G546" i="2"/>
  <c r="K545" i="2"/>
  <c r="J545" i="2"/>
  <c r="I545" i="2"/>
  <c r="H545" i="2"/>
  <c r="G545" i="2"/>
  <c r="K544" i="2"/>
  <c r="J544" i="2"/>
  <c r="I544" i="2"/>
  <c r="H544" i="2"/>
  <c r="G544" i="2"/>
  <c r="K543" i="2"/>
  <c r="J543" i="2"/>
  <c r="I543" i="2"/>
  <c r="H543" i="2"/>
  <c r="G543" i="2"/>
  <c r="K542" i="2"/>
  <c r="J542" i="2"/>
  <c r="I542" i="2"/>
  <c r="H542" i="2"/>
  <c r="G542" i="2"/>
  <c r="K541" i="2"/>
  <c r="J541" i="2"/>
  <c r="I541" i="2"/>
  <c r="H541" i="2"/>
  <c r="G541" i="2"/>
  <c r="K540" i="2"/>
  <c r="J540" i="2"/>
  <c r="I540" i="2"/>
  <c r="H540" i="2"/>
  <c r="G540" i="2"/>
  <c r="K539" i="2"/>
  <c r="J539" i="2"/>
  <c r="I539" i="2"/>
  <c r="H539" i="2"/>
  <c r="G539" i="2"/>
  <c r="K538" i="2"/>
  <c r="J538" i="2"/>
  <c r="I538" i="2"/>
  <c r="H538" i="2"/>
  <c r="G538" i="2"/>
  <c r="K537" i="2"/>
  <c r="J537" i="2"/>
  <c r="I537" i="2"/>
  <c r="H537" i="2"/>
  <c r="G537" i="2"/>
  <c r="K536" i="2"/>
  <c r="J536" i="2"/>
  <c r="I536" i="2"/>
  <c r="H536" i="2"/>
  <c r="G536" i="2"/>
  <c r="K535" i="2"/>
  <c r="J535" i="2"/>
  <c r="I535" i="2"/>
  <c r="H535" i="2"/>
  <c r="G535" i="2"/>
  <c r="K534" i="2"/>
  <c r="J534" i="2"/>
  <c r="I534" i="2"/>
  <c r="H534" i="2"/>
  <c r="G534" i="2"/>
  <c r="K533" i="2"/>
  <c r="J533" i="2"/>
  <c r="I533" i="2"/>
  <c r="H533" i="2"/>
  <c r="G533" i="2"/>
  <c r="K532" i="2"/>
  <c r="J532" i="2"/>
  <c r="I532" i="2"/>
  <c r="H532" i="2"/>
  <c r="G532" i="2"/>
  <c r="K531" i="2"/>
  <c r="J531" i="2"/>
  <c r="I531" i="2"/>
  <c r="H531" i="2"/>
  <c r="G531" i="2"/>
  <c r="K530" i="2"/>
  <c r="J530" i="2"/>
  <c r="I530" i="2"/>
  <c r="H530" i="2"/>
  <c r="G530" i="2"/>
  <c r="K529" i="2"/>
  <c r="J529" i="2"/>
  <c r="I529" i="2"/>
  <c r="H529" i="2"/>
  <c r="G529" i="2"/>
  <c r="K528" i="2"/>
  <c r="J528" i="2"/>
  <c r="I528" i="2"/>
  <c r="H528" i="2"/>
  <c r="G528" i="2"/>
  <c r="K527" i="2"/>
  <c r="J527" i="2"/>
  <c r="I527" i="2"/>
  <c r="H527" i="2"/>
  <c r="G527" i="2"/>
  <c r="K526" i="2"/>
  <c r="J526" i="2"/>
  <c r="I526" i="2"/>
  <c r="H526" i="2"/>
  <c r="G526" i="2"/>
  <c r="K525" i="2"/>
  <c r="J525" i="2"/>
  <c r="I525" i="2"/>
  <c r="H525" i="2"/>
  <c r="G525" i="2"/>
  <c r="K524" i="2"/>
  <c r="J524" i="2"/>
  <c r="I524" i="2"/>
  <c r="H524" i="2"/>
  <c r="G524" i="2"/>
  <c r="K523" i="2"/>
  <c r="J523" i="2"/>
  <c r="I523" i="2"/>
  <c r="H523" i="2"/>
  <c r="G523" i="2"/>
  <c r="K522" i="2"/>
  <c r="J522" i="2"/>
  <c r="I522" i="2"/>
  <c r="H522" i="2"/>
  <c r="G522" i="2"/>
  <c r="K521" i="2"/>
  <c r="J521" i="2"/>
  <c r="I521" i="2"/>
  <c r="H521" i="2"/>
  <c r="G521" i="2"/>
  <c r="K520" i="2"/>
  <c r="J520" i="2"/>
  <c r="I520" i="2"/>
  <c r="H520" i="2"/>
  <c r="G520" i="2"/>
  <c r="K519" i="2"/>
  <c r="J519" i="2"/>
  <c r="I519" i="2"/>
  <c r="H519" i="2"/>
  <c r="G519" i="2"/>
  <c r="K518" i="2"/>
  <c r="J518" i="2"/>
  <c r="I518" i="2"/>
  <c r="H518" i="2"/>
  <c r="G518" i="2"/>
  <c r="A518" i="2"/>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K516" i="2"/>
  <c r="J516" i="2"/>
  <c r="I516" i="2"/>
  <c r="H516" i="2"/>
  <c r="G516" i="2"/>
  <c r="K515" i="2"/>
  <c r="J515" i="2"/>
  <c r="I515" i="2"/>
  <c r="H515" i="2"/>
  <c r="G515" i="2"/>
  <c r="K514" i="2"/>
  <c r="J514" i="2"/>
  <c r="I514" i="2"/>
  <c r="H514" i="2"/>
  <c r="G514" i="2"/>
  <c r="K513" i="2"/>
  <c r="J513" i="2"/>
  <c r="I513" i="2"/>
  <c r="H513" i="2"/>
  <c r="G513" i="2"/>
  <c r="K512" i="2"/>
  <c r="J512" i="2"/>
  <c r="I512" i="2"/>
  <c r="H512" i="2"/>
  <c r="G512" i="2"/>
  <c r="K511" i="2"/>
  <c r="J511" i="2"/>
  <c r="I511" i="2"/>
  <c r="H511" i="2"/>
  <c r="G511" i="2"/>
  <c r="K510" i="2"/>
  <c r="J510" i="2"/>
  <c r="I510" i="2"/>
  <c r="H510" i="2"/>
  <c r="G510" i="2"/>
  <c r="K509" i="2"/>
  <c r="J509" i="2"/>
  <c r="I509" i="2"/>
  <c r="H509" i="2"/>
  <c r="G509" i="2"/>
  <c r="K508" i="2"/>
  <c r="J508" i="2"/>
  <c r="I508" i="2"/>
  <c r="H508" i="2"/>
  <c r="G508" i="2"/>
  <c r="K507" i="2"/>
  <c r="J507" i="2"/>
  <c r="I507" i="2"/>
  <c r="H507" i="2"/>
  <c r="G507" i="2"/>
  <c r="K506" i="2"/>
  <c r="J506" i="2"/>
  <c r="I506" i="2"/>
  <c r="H506" i="2"/>
  <c r="G506" i="2"/>
  <c r="K505" i="2"/>
  <c r="J505" i="2"/>
  <c r="I505" i="2"/>
  <c r="H505" i="2"/>
  <c r="G505" i="2"/>
  <c r="K504" i="2"/>
  <c r="J504" i="2"/>
  <c r="I504" i="2"/>
  <c r="H504" i="2"/>
  <c r="G504" i="2"/>
  <c r="K503" i="2"/>
  <c r="J503" i="2"/>
  <c r="I503" i="2"/>
  <c r="H503" i="2"/>
  <c r="G503" i="2"/>
  <c r="K502" i="2"/>
  <c r="J502" i="2"/>
  <c r="I502" i="2"/>
  <c r="H502" i="2"/>
  <c r="G502" i="2"/>
  <c r="K501" i="2"/>
  <c r="J501" i="2"/>
  <c r="I501" i="2"/>
  <c r="H501" i="2"/>
  <c r="G501" i="2"/>
  <c r="A501" i="2"/>
  <c r="A502" i="2" s="1"/>
  <c r="A503" i="2" s="1"/>
  <c r="A504" i="2" s="1"/>
  <c r="A505" i="2" s="1"/>
  <c r="A506" i="2" s="1"/>
  <c r="A507" i="2" s="1"/>
  <c r="A508" i="2" s="1"/>
  <c r="A509" i="2" s="1"/>
  <c r="A510" i="2" s="1"/>
  <c r="A511" i="2" s="1"/>
  <c r="A512" i="2" s="1"/>
  <c r="A513" i="2" s="1"/>
  <c r="A514" i="2" s="1"/>
  <c r="A515" i="2" s="1"/>
  <c r="A516" i="2" s="1"/>
  <c r="K499" i="2"/>
  <c r="J499" i="2"/>
  <c r="I499" i="2"/>
  <c r="H499" i="2"/>
  <c r="G499" i="2"/>
  <c r="K498" i="2"/>
  <c r="J498" i="2"/>
  <c r="I498" i="2"/>
  <c r="H498" i="2"/>
  <c r="G498" i="2"/>
  <c r="K497" i="2"/>
  <c r="J497" i="2"/>
  <c r="I497" i="2"/>
  <c r="H497" i="2"/>
  <c r="G497" i="2"/>
  <c r="K496" i="2"/>
  <c r="J496" i="2"/>
  <c r="I496" i="2"/>
  <c r="H496" i="2"/>
  <c r="G496" i="2"/>
  <c r="K495" i="2"/>
  <c r="J495" i="2"/>
  <c r="I495" i="2"/>
  <c r="H495" i="2"/>
  <c r="G495" i="2"/>
  <c r="K494" i="2"/>
  <c r="J494" i="2"/>
  <c r="I494" i="2"/>
  <c r="H494" i="2"/>
  <c r="G494" i="2"/>
  <c r="K493" i="2"/>
  <c r="J493" i="2"/>
  <c r="I493" i="2"/>
  <c r="H493" i="2"/>
  <c r="G493" i="2"/>
  <c r="A493" i="2"/>
  <c r="A494" i="2" s="1"/>
  <c r="A495" i="2" s="1"/>
  <c r="A496" i="2" s="1"/>
  <c r="A497" i="2" s="1"/>
  <c r="A498" i="2" s="1"/>
  <c r="A499" i="2" s="1"/>
  <c r="K491" i="2"/>
  <c r="J491" i="2"/>
  <c r="I491" i="2"/>
  <c r="H491" i="2"/>
  <c r="G491" i="2"/>
  <c r="K490" i="2"/>
  <c r="J490" i="2"/>
  <c r="I490" i="2"/>
  <c r="H490" i="2"/>
  <c r="G490" i="2"/>
  <c r="K489" i="2"/>
  <c r="J489" i="2"/>
  <c r="I489" i="2"/>
  <c r="H489" i="2"/>
  <c r="G489" i="2"/>
  <c r="K488" i="2"/>
  <c r="J488" i="2"/>
  <c r="I488" i="2"/>
  <c r="H488" i="2"/>
  <c r="G488" i="2"/>
  <c r="K487" i="2"/>
  <c r="J487" i="2"/>
  <c r="I487" i="2"/>
  <c r="H487" i="2"/>
  <c r="G487" i="2"/>
  <c r="K486" i="2"/>
  <c r="J486" i="2"/>
  <c r="I486" i="2"/>
  <c r="H486" i="2"/>
  <c r="G486" i="2"/>
  <c r="K485" i="2"/>
  <c r="J485" i="2"/>
  <c r="I485" i="2"/>
  <c r="H485" i="2"/>
  <c r="G485" i="2"/>
  <c r="K484" i="2"/>
  <c r="J484" i="2"/>
  <c r="I484" i="2"/>
  <c r="H484" i="2"/>
  <c r="G484" i="2"/>
  <c r="A484" i="2"/>
  <c r="A485" i="2" s="1"/>
  <c r="A486" i="2" s="1"/>
  <c r="A487" i="2" s="1"/>
  <c r="A488" i="2" s="1"/>
  <c r="A489" i="2" s="1"/>
  <c r="A490" i="2" s="1"/>
  <c r="A491" i="2" s="1"/>
  <c r="K449" i="2"/>
  <c r="J449" i="2"/>
  <c r="I449" i="2"/>
  <c r="H449" i="2"/>
  <c r="G449" i="2"/>
  <c r="K448" i="2"/>
  <c r="J448" i="2"/>
  <c r="I448" i="2"/>
  <c r="H448" i="2"/>
  <c r="G448" i="2"/>
  <c r="K482" i="2"/>
  <c r="J482" i="2"/>
  <c r="I482" i="2"/>
  <c r="H482" i="2"/>
  <c r="G482" i="2"/>
  <c r="K481" i="2"/>
  <c r="J481" i="2"/>
  <c r="I481" i="2"/>
  <c r="H481" i="2"/>
  <c r="G481" i="2"/>
  <c r="K480" i="2"/>
  <c r="J480" i="2"/>
  <c r="I480" i="2"/>
  <c r="H480" i="2"/>
  <c r="G480" i="2"/>
  <c r="A480" i="2"/>
  <c r="A481" i="2" s="1"/>
  <c r="A482" i="2" s="1"/>
  <c r="K478" i="2"/>
  <c r="J478" i="2"/>
  <c r="I478" i="2"/>
  <c r="H478" i="2"/>
  <c r="G478" i="2"/>
  <c r="K477" i="2"/>
  <c r="J477" i="2"/>
  <c r="I477" i="2"/>
  <c r="H477" i="2"/>
  <c r="G477" i="2"/>
  <c r="K476" i="2"/>
  <c r="J476" i="2"/>
  <c r="I476" i="2"/>
  <c r="H476" i="2"/>
  <c r="G476" i="2"/>
  <c r="K475" i="2"/>
  <c r="J475" i="2"/>
  <c r="I475" i="2"/>
  <c r="H475" i="2"/>
  <c r="G475" i="2"/>
  <c r="K474" i="2"/>
  <c r="J474" i="2"/>
  <c r="I474" i="2"/>
  <c r="H474" i="2"/>
  <c r="G474" i="2"/>
  <c r="K473" i="2"/>
  <c r="J473" i="2"/>
  <c r="I473" i="2"/>
  <c r="H473" i="2"/>
  <c r="G473" i="2"/>
  <c r="K472" i="2"/>
  <c r="J472" i="2"/>
  <c r="I472" i="2"/>
  <c r="H472" i="2"/>
  <c r="G472" i="2"/>
  <c r="K471" i="2"/>
  <c r="J471" i="2"/>
  <c r="I471" i="2"/>
  <c r="H471" i="2"/>
  <c r="G471" i="2"/>
  <c r="K470" i="2"/>
  <c r="J470" i="2"/>
  <c r="I470" i="2"/>
  <c r="H470" i="2"/>
  <c r="G470" i="2"/>
  <c r="K469" i="2"/>
  <c r="J469" i="2"/>
  <c r="I469" i="2"/>
  <c r="H469" i="2"/>
  <c r="G469" i="2"/>
  <c r="K468" i="2"/>
  <c r="J468" i="2"/>
  <c r="I468" i="2"/>
  <c r="H468" i="2"/>
  <c r="G468" i="2"/>
  <c r="K467" i="2"/>
  <c r="J467" i="2"/>
  <c r="I467" i="2"/>
  <c r="H467" i="2"/>
  <c r="G467" i="2"/>
  <c r="K466" i="2"/>
  <c r="J466" i="2"/>
  <c r="I466" i="2"/>
  <c r="H466" i="2"/>
  <c r="G466" i="2"/>
  <c r="K465" i="2"/>
  <c r="J465" i="2"/>
  <c r="I465" i="2"/>
  <c r="H465" i="2"/>
  <c r="G465" i="2"/>
  <c r="K464" i="2"/>
  <c r="J464" i="2"/>
  <c r="I464" i="2"/>
  <c r="H464" i="2"/>
  <c r="G464" i="2"/>
  <c r="K463" i="2"/>
  <c r="J463" i="2"/>
  <c r="I463" i="2"/>
  <c r="H463" i="2"/>
  <c r="G463" i="2"/>
  <c r="K462" i="2"/>
  <c r="J462" i="2"/>
  <c r="I462" i="2"/>
  <c r="H462" i="2"/>
  <c r="G462" i="2"/>
  <c r="K461" i="2"/>
  <c r="J461" i="2"/>
  <c r="I461" i="2"/>
  <c r="H461" i="2"/>
  <c r="G461" i="2"/>
  <c r="K460" i="2"/>
  <c r="J460" i="2"/>
  <c r="I460" i="2"/>
  <c r="H460" i="2"/>
  <c r="G460" i="2"/>
  <c r="K459" i="2"/>
  <c r="J459" i="2"/>
  <c r="I459" i="2"/>
  <c r="H459" i="2"/>
  <c r="G459" i="2"/>
  <c r="K458" i="2"/>
  <c r="J458" i="2"/>
  <c r="I458" i="2"/>
  <c r="H458" i="2"/>
  <c r="G458" i="2"/>
  <c r="K457" i="2"/>
  <c r="J457" i="2"/>
  <c r="I457" i="2"/>
  <c r="H457" i="2"/>
  <c r="G457" i="2"/>
  <c r="K456" i="2"/>
  <c r="J456" i="2"/>
  <c r="I456" i="2"/>
  <c r="H456" i="2"/>
  <c r="G456" i="2"/>
  <c r="K455" i="2"/>
  <c r="J455" i="2"/>
  <c r="I455" i="2"/>
  <c r="H455" i="2"/>
  <c r="G455" i="2"/>
  <c r="K454" i="2"/>
  <c r="J454" i="2"/>
  <c r="I454" i="2"/>
  <c r="H454" i="2"/>
  <c r="G454" i="2"/>
  <c r="K453" i="2"/>
  <c r="J453" i="2"/>
  <c r="I453" i="2"/>
  <c r="H453" i="2"/>
  <c r="G453" i="2"/>
  <c r="K452" i="2"/>
  <c r="J452" i="2"/>
  <c r="I452" i="2"/>
  <c r="H452" i="2"/>
  <c r="G452" i="2"/>
  <c r="A452" i="2"/>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K450" i="2"/>
  <c r="J450" i="2"/>
  <c r="I450" i="2"/>
  <c r="H450" i="2"/>
  <c r="G450" i="2"/>
  <c r="K447" i="2"/>
  <c r="J447" i="2"/>
  <c r="I447" i="2"/>
  <c r="H447" i="2"/>
  <c r="G447" i="2"/>
  <c r="C447" i="2"/>
  <c r="B447" i="2"/>
  <c r="K446" i="2"/>
  <c r="J446" i="2"/>
  <c r="I446" i="2"/>
  <c r="H446" i="2"/>
  <c r="G446" i="2"/>
  <c r="C446" i="2"/>
  <c r="B446" i="2"/>
  <c r="K445" i="2"/>
  <c r="J445" i="2"/>
  <c r="I445" i="2"/>
  <c r="H445" i="2"/>
  <c r="G445" i="2"/>
  <c r="K444" i="2"/>
  <c r="J444" i="2"/>
  <c r="I444" i="2"/>
  <c r="H444" i="2"/>
  <c r="G444" i="2"/>
  <c r="K443" i="2"/>
  <c r="J443" i="2"/>
  <c r="I443" i="2"/>
  <c r="H443" i="2"/>
  <c r="G443" i="2"/>
  <c r="K442" i="2"/>
  <c r="J442" i="2"/>
  <c r="I442" i="2"/>
  <c r="H442" i="2"/>
  <c r="G442" i="2"/>
  <c r="K441" i="2"/>
  <c r="J441" i="2"/>
  <c r="I441" i="2"/>
  <c r="H441" i="2"/>
  <c r="G441" i="2"/>
  <c r="K440" i="2"/>
  <c r="J440" i="2"/>
  <c r="I440" i="2"/>
  <c r="H440" i="2"/>
  <c r="G440" i="2"/>
  <c r="K439" i="2"/>
  <c r="J439" i="2"/>
  <c r="I439" i="2"/>
  <c r="H439" i="2"/>
  <c r="G439" i="2"/>
  <c r="K438" i="2"/>
  <c r="J438" i="2"/>
  <c r="I438" i="2"/>
  <c r="H438" i="2"/>
  <c r="G438" i="2"/>
  <c r="K437" i="2"/>
  <c r="J437" i="2"/>
  <c r="I437" i="2"/>
  <c r="H437" i="2"/>
  <c r="G437" i="2"/>
  <c r="K436" i="2"/>
  <c r="J436" i="2"/>
  <c r="I436" i="2"/>
  <c r="H436" i="2"/>
  <c r="G436" i="2"/>
  <c r="K435" i="2"/>
  <c r="J435" i="2"/>
  <c r="I435" i="2"/>
  <c r="H435" i="2"/>
  <c r="G435" i="2"/>
  <c r="K434" i="2"/>
  <c r="J434" i="2"/>
  <c r="I434" i="2"/>
  <c r="H434" i="2"/>
  <c r="G434" i="2"/>
  <c r="K433" i="2"/>
  <c r="J433" i="2"/>
  <c r="I433" i="2"/>
  <c r="H433" i="2"/>
  <c r="G433" i="2"/>
  <c r="K432" i="2"/>
  <c r="J432" i="2"/>
  <c r="I432" i="2"/>
  <c r="H432" i="2"/>
  <c r="G432" i="2"/>
  <c r="K431" i="2"/>
  <c r="J431" i="2"/>
  <c r="I431" i="2"/>
  <c r="H431" i="2"/>
  <c r="G431" i="2"/>
  <c r="K430" i="2"/>
  <c r="J430" i="2"/>
  <c r="I430" i="2"/>
  <c r="H430" i="2"/>
  <c r="G430" i="2"/>
  <c r="K429" i="2"/>
  <c r="J429" i="2"/>
  <c r="I429" i="2"/>
  <c r="H429" i="2"/>
  <c r="G429" i="2"/>
  <c r="K428" i="2"/>
  <c r="J428" i="2"/>
  <c r="I428" i="2"/>
  <c r="H428" i="2"/>
  <c r="G428" i="2"/>
  <c r="K427" i="2"/>
  <c r="J427" i="2"/>
  <c r="I427" i="2"/>
  <c r="H427" i="2"/>
  <c r="G427" i="2"/>
  <c r="K426" i="2"/>
  <c r="J426" i="2"/>
  <c r="I426" i="2"/>
  <c r="H426" i="2"/>
  <c r="G426" i="2"/>
  <c r="K425" i="2"/>
  <c r="J425" i="2"/>
  <c r="I425" i="2"/>
  <c r="H425" i="2"/>
  <c r="G425" i="2"/>
  <c r="K424" i="2"/>
  <c r="J424" i="2"/>
  <c r="I424" i="2"/>
  <c r="H424" i="2"/>
  <c r="G424" i="2"/>
  <c r="K423" i="2"/>
  <c r="J423" i="2"/>
  <c r="I423" i="2"/>
  <c r="H423" i="2"/>
  <c r="G423" i="2"/>
  <c r="K422" i="2"/>
  <c r="J422" i="2"/>
  <c r="I422" i="2"/>
  <c r="H422" i="2"/>
  <c r="G422" i="2"/>
  <c r="K421" i="2"/>
  <c r="J421" i="2"/>
  <c r="I421" i="2"/>
  <c r="H421" i="2"/>
  <c r="G421" i="2"/>
  <c r="K420" i="2"/>
  <c r="J420" i="2"/>
  <c r="I420" i="2"/>
  <c r="H420" i="2"/>
  <c r="G420" i="2"/>
  <c r="K419" i="2"/>
  <c r="J419" i="2"/>
  <c r="I419" i="2"/>
  <c r="H419" i="2"/>
  <c r="G419" i="2"/>
  <c r="K418" i="2"/>
  <c r="J418" i="2"/>
  <c r="I418" i="2"/>
  <c r="H418" i="2"/>
  <c r="G418" i="2"/>
  <c r="K417" i="2"/>
  <c r="J417" i="2"/>
  <c r="I417" i="2"/>
  <c r="H417" i="2"/>
  <c r="G417" i="2"/>
  <c r="K416" i="2"/>
  <c r="J416" i="2"/>
  <c r="I416" i="2"/>
  <c r="H416" i="2"/>
  <c r="G416" i="2"/>
  <c r="K415" i="2"/>
  <c r="J415" i="2"/>
  <c r="I415" i="2"/>
  <c r="H415" i="2"/>
  <c r="G415" i="2"/>
  <c r="K414" i="2"/>
  <c r="J414" i="2"/>
  <c r="I414" i="2"/>
  <c r="H414" i="2"/>
  <c r="G414" i="2"/>
  <c r="K413" i="2"/>
  <c r="J413" i="2"/>
  <c r="I413" i="2"/>
  <c r="H413" i="2"/>
  <c r="G413" i="2"/>
  <c r="K412" i="2"/>
  <c r="J412" i="2"/>
  <c r="I412" i="2"/>
  <c r="H412" i="2"/>
  <c r="G412" i="2"/>
  <c r="A412" i="2"/>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50" i="2" s="1"/>
  <c r="K410" i="2"/>
  <c r="J410" i="2"/>
  <c r="I410" i="2"/>
  <c r="H410" i="2"/>
  <c r="G410" i="2"/>
  <c r="K409" i="2"/>
  <c r="J409" i="2"/>
  <c r="I409" i="2"/>
  <c r="H409" i="2"/>
  <c r="G409" i="2"/>
  <c r="K408" i="2"/>
  <c r="J408" i="2"/>
  <c r="I408" i="2"/>
  <c r="H408" i="2"/>
  <c r="G408" i="2"/>
  <c r="K407" i="2"/>
  <c r="J407" i="2"/>
  <c r="I407" i="2"/>
  <c r="H407" i="2"/>
  <c r="G407" i="2"/>
  <c r="K406" i="2"/>
  <c r="J406" i="2"/>
  <c r="I406" i="2"/>
  <c r="H406" i="2"/>
  <c r="G406" i="2"/>
  <c r="K405" i="2"/>
  <c r="J405" i="2"/>
  <c r="I405" i="2"/>
  <c r="H405" i="2"/>
  <c r="G405" i="2"/>
  <c r="K404" i="2"/>
  <c r="J404" i="2"/>
  <c r="I404" i="2"/>
  <c r="H404" i="2"/>
  <c r="G404" i="2"/>
  <c r="K403" i="2"/>
  <c r="J403" i="2"/>
  <c r="I403" i="2"/>
  <c r="H403" i="2"/>
  <c r="G403" i="2"/>
  <c r="K402" i="2"/>
  <c r="J402" i="2"/>
  <c r="I402" i="2"/>
  <c r="H402" i="2"/>
  <c r="G402" i="2"/>
  <c r="K401" i="2"/>
  <c r="J401" i="2"/>
  <c r="I401" i="2"/>
  <c r="H401" i="2"/>
  <c r="G401" i="2"/>
  <c r="K400" i="2"/>
  <c r="J400" i="2"/>
  <c r="I400" i="2"/>
  <c r="H400" i="2"/>
  <c r="G400" i="2"/>
  <c r="K399" i="2"/>
  <c r="J399" i="2"/>
  <c r="I399" i="2"/>
  <c r="H399" i="2"/>
  <c r="G399" i="2"/>
  <c r="K398" i="2"/>
  <c r="J398" i="2"/>
  <c r="I398" i="2"/>
  <c r="H398" i="2"/>
  <c r="G398" i="2"/>
  <c r="K397" i="2"/>
  <c r="J397" i="2"/>
  <c r="I397" i="2"/>
  <c r="H397" i="2"/>
  <c r="G397" i="2"/>
  <c r="K396" i="2"/>
  <c r="J396" i="2"/>
  <c r="I396" i="2"/>
  <c r="H396" i="2"/>
  <c r="G396" i="2"/>
  <c r="K395" i="2"/>
  <c r="J395" i="2"/>
  <c r="I395" i="2"/>
  <c r="H395" i="2"/>
  <c r="G395" i="2"/>
  <c r="A395" i="2"/>
  <c r="A396" i="2" s="1"/>
  <c r="A397" i="2" s="1"/>
  <c r="A398" i="2" s="1"/>
  <c r="A399" i="2" s="1"/>
  <c r="A400" i="2" s="1"/>
  <c r="A401" i="2" s="1"/>
  <c r="A402" i="2" s="1"/>
  <c r="A403" i="2" s="1"/>
  <c r="A404" i="2" s="1"/>
  <c r="A405" i="2" s="1"/>
  <c r="A406" i="2" s="1"/>
  <c r="A407" i="2" s="1"/>
  <c r="A408" i="2" s="1"/>
  <c r="A409" i="2" s="1"/>
  <c r="A410" i="2" s="1"/>
  <c r="K393" i="2"/>
  <c r="J393" i="2"/>
  <c r="I393" i="2"/>
  <c r="H393" i="2"/>
  <c r="G393" i="2"/>
  <c r="K392" i="2"/>
  <c r="J392" i="2"/>
  <c r="I392" i="2"/>
  <c r="H392" i="2"/>
  <c r="G392" i="2"/>
  <c r="K391" i="2"/>
  <c r="J391" i="2"/>
  <c r="I391" i="2"/>
  <c r="H391" i="2"/>
  <c r="G391" i="2"/>
  <c r="K390" i="2"/>
  <c r="J390" i="2"/>
  <c r="I390" i="2"/>
  <c r="H390" i="2"/>
  <c r="G390" i="2"/>
  <c r="K389" i="2"/>
  <c r="J389" i="2"/>
  <c r="I389" i="2"/>
  <c r="H389" i="2"/>
  <c r="G389" i="2"/>
  <c r="K388" i="2"/>
  <c r="J388" i="2"/>
  <c r="I388" i="2"/>
  <c r="H388" i="2"/>
  <c r="G388" i="2"/>
  <c r="K387" i="2"/>
  <c r="J387" i="2"/>
  <c r="I387" i="2"/>
  <c r="H387" i="2"/>
  <c r="G387" i="2"/>
  <c r="A387" i="2"/>
  <c r="A388" i="2" s="1"/>
  <c r="A389" i="2" s="1"/>
  <c r="A390" i="2" s="1"/>
  <c r="A391" i="2" s="1"/>
  <c r="A392" i="2" s="1"/>
  <c r="A393" i="2" s="1"/>
  <c r="K385" i="2"/>
  <c r="J385" i="2"/>
  <c r="I385" i="2"/>
  <c r="H385" i="2"/>
  <c r="G385" i="2"/>
  <c r="K384" i="2"/>
  <c r="J384" i="2"/>
  <c r="I384" i="2"/>
  <c r="H384" i="2"/>
  <c r="G384" i="2"/>
  <c r="K383" i="2"/>
  <c r="J383" i="2"/>
  <c r="I383" i="2"/>
  <c r="H383" i="2"/>
  <c r="G383" i="2"/>
  <c r="K382" i="2"/>
  <c r="J382" i="2"/>
  <c r="I382" i="2"/>
  <c r="H382" i="2"/>
  <c r="G382" i="2"/>
  <c r="K381" i="2"/>
  <c r="J381" i="2"/>
  <c r="I381" i="2"/>
  <c r="H381" i="2"/>
  <c r="G381" i="2"/>
  <c r="K380" i="2"/>
  <c r="J380" i="2"/>
  <c r="I380" i="2"/>
  <c r="H380" i="2"/>
  <c r="G380" i="2"/>
  <c r="K379" i="2"/>
  <c r="J379" i="2"/>
  <c r="I379" i="2"/>
  <c r="H379" i="2"/>
  <c r="G379" i="2"/>
  <c r="K378" i="2"/>
  <c r="J378" i="2"/>
  <c r="I378" i="2"/>
  <c r="H378" i="2"/>
  <c r="G378" i="2"/>
  <c r="A378" i="2"/>
  <c r="A379" i="2" s="1"/>
  <c r="A380" i="2" s="1"/>
  <c r="A381" i="2" s="1"/>
  <c r="A382" i="2" s="1"/>
  <c r="A383" i="2" s="1"/>
  <c r="A384" i="2" s="1"/>
  <c r="A385" i="2" s="1"/>
  <c r="B238" i="2"/>
  <c r="C238" i="2"/>
  <c r="B342" i="2"/>
  <c r="C342" i="2"/>
  <c r="K376" i="2"/>
  <c r="J376" i="2"/>
  <c r="I376" i="2"/>
  <c r="H376" i="2"/>
  <c r="G376" i="2"/>
  <c r="K375" i="2"/>
  <c r="J375" i="2"/>
  <c r="I375" i="2"/>
  <c r="H375" i="2"/>
  <c r="G375" i="2"/>
  <c r="K374" i="2"/>
  <c r="J374" i="2"/>
  <c r="I374" i="2"/>
  <c r="H374" i="2"/>
  <c r="G374" i="2"/>
  <c r="A374" i="2"/>
  <c r="A375" i="2" s="1"/>
  <c r="A376" i="2" s="1"/>
  <c r="K372" i="2"/>
  <c r="J372" i="2"/>
  <c r="I372" i="2"/>
  <c r="H372" i="2"/>
  <c r="G372" i="2"/>
  <c r="K371" i="2"/>
  <c r="J371" i="2"/>
  <c r="I371" i="2"/>
  <c r="H371" i="2"/>
  <c r="G371" i="2"/>
  <c r="K370" i="2"/>
  <c r="J370" i="2"/>
  <c r="I370" i="2"/>
  <c r="H370" i="2"/>
  <c r="G370" i="2"/>
  <c r="K369" i="2"/>
  <c r="J369" i="2"/>
  <c r="I369" i="2"/>
  <c r="H369" i="2"/>
  <c r="G369" i="2"/>
  <c r="K368" i="2"/>
  <c r="J368" i="2"/>
  <c r="I368" i="2"/>
  <c r="H368" i="2"/>
  <c r="G368" i="2"/>
  <c r="K367" i="2"/>
  <c r="J367" i="2"/>
  <c r="I367" i="2"/>
  <c r="H367" i="2"/>
  <c r="G367" i="2"/>
  <c r="K366" i="2"/>
  <c r="J366" i="2"/>
  <c r="I366" i="2"/>
  <c r="H366" i="2"/>
  <c r="G366" i="2"/>
  <c r="K365" i="2"/>
  <c r="J365" i="2"/>
  <c r="I365" i="2"/>
  <c r="H365" i="2"/>
  <c r="G365" i="2"/>
  <c r="K364" i="2"/>
  <c r="J364" i="2"/>
  <c r="I364" i="2"/>
  <c r="H364" i="2"/>
  <c r="G364" i="2"/>
  <c r="K363" i="2"/>
  <c r="J363" i="2"/>
  <c r="I363" i="2"/>
  <c r="H363" i="2"/>
  <c r="G363" i="2"/>
  <c r="K362" i="2"/>
  <c r="J362" i="2"/>
  <c r="I362" i="2"/>
  <c r="H362" i="2"/>
  <c r="G362" i="2"/>
  <c r="K361" i="2"/>
  <c r="J361" i="2"/>
  <c r="I361" i="2"/>
  <c r="H361" i="2"/>
  <c r="G361" i="2"/>
  <c r="K360" i="2"/>
  <c r="J360" i="2"/>
  <c r="I360" i="2"/>
  <c r="H360" i="2"/>
  <c r="G360" i="2"/>
  <c r="K359" i="2"/>
  <c r="J359" i="2"/>
  <c r="I359" i="2"/>
  <c r="H359" i="2"/>
  <c r="G359" i="2"/>
  <c r="K358" i="2"/>
  <c r="J358" i="2"/>
  <c r="I358" i="2"/>
  <c r="H358" i="2"/>
  <c r="G358" i="2"/>
  <c r="K357" i="2"/>
  <c r="J357" i="2"/>
  <c r="I357" i="2"/>
  <c r="H357" i="2"/>
  <c r="G357" i="2"/>
  <c r="K356" i="2"/>
  <c r="J356" i="2"/>
  <c r="I356" i="2"/>
  <c r="H356" i="2"/>
  <c r="G356" i="2"/>
  <c r="K355" i="2"/>
  <c r="J355" i="2"/>
  <c r="I355" i="2"/>
  <c r="H355" i="2"/>
  <c r="G355" i="2"/>
  <c r="K354" i="2"/>
  <c r="J354" i="2"/>
  <c r="I354" i="2"/>
  <c r="H354" i="2"/>
  <c r="G354" i="2"/>
  <c r="K353" i="2"/>
  <c r="J353" i="2"/>
  <c r="I353" i="2"/>
  <c r="H353" i="2"/>
  <c r="G353" i="2"/>
  <c r="K352" i="2"/>
  <c r="J352" i="2"/>
  <c r="I352" i="2"/>
  <c r="H352" i="2"/>
  <c r="G352" i="2"/>
  <c r="K351" i="2"/>
  <c r="J351" i="2"/>
  <c r="I351" i="2"/>
  <c r="H351" i="2"/>
  <c r="G351" i="2"/>
  <c r="K350" i="2"/>
  <c r="J350" i="2"/>
  <c r="I350" i="2"/>
  <c r="H350" i="2"/>
  <c r="G350" i="2"/>
  <c r="K349" i="2"/>
  <c r="J349" i="2"/>
  <c r="I349" i="2"/>
  <c r="H349" i="2"/>
  <c r="G349" i="2"/>
  <c r="K348" i="2"/>
  <c r="J348" i="2"/>
  <c r="I348" i="2"/>
  <c r="H348" i="2"/>
  <c r="G348" i="2"/>
  <c r="K347" i="2"/>
  <c r="J347" i="2"/>
  <c r="I347" i="2"/>
  <c r="H347" i="2"/>
  <c r="G347" i="2"/>
  <c r="K346" i="2"/>
  <c r="J346" i="2"/>
  <c r="I346" i="2"/>
  <c r="H346" i="2"/>
  <c r="G346" i="2"/>
  <c r="A346" i="2"/>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K344" i="2"/>
  <c r="J344" i="2"/>
  <c r="I344" i="2"/>
  <c r="H344" i="2"/>
  <c r="G344" i="2"/>
  <c r="K343" i="2"/>
  <c r="J343" i="2"/>
  <c r="I343" i="2"/>
  <c r="H343" i="2"/>
  <c r="G343" i="2"/>
  <c r="C343" i="2"/>
  <c r="B343" i="2"/>
  <c r="K342" i="2"/>
  <c r="J342" i="2"/>
  <c r="I342" i="2"/>
  <c r="H342" i="2"/>
  <c r="G342" i="2"/>
  <c r="K341" i="2"/>
  <c r="J341" i="2"/>
  <c r="I341" i="2"/>
  <c r="H341" i="2"/>
  <c r="G341" i="2"/>
  <c r="K340" i="2"/>
  <c r="J340" i="2"/>
  <c r="I340" i="2"/>
  <c r="H340" i="2"/>
  <c r="G340" i="2"/>
  <c r="K339" i="2"/>
  <c r="J339" i="2"/>
  <c r="I339" i="2"/>
  <c r="H339" i="2"/>
  <c r="G339" i="2"/>
  <c r="K338" i="2"/>
  <c r="J338" i="2"/>
  <c r="I338" i="2"/>
  <c r="H338" i="2"/>
  <c r="G338" i="2"/>
  <c r="K337" i="2"/>
  <c r="J337" i="2"/>
  <c r="I337" i="2"/>
  <c r="H337" i="2"/>
  <c r="G337" i="2"/>
  <c r="K336" i="2"/>
  <c r="J336" i="2"/>
  <c r="I336" i="2"/>
  <c r="H336" i="2"/>
  <c r="G336" i="2"/>
  <c r="K335" i="2"/>
  <c r="J335" i="2"/>
  <c r="I335" i="2"/>
  <c r="H335" i="2"/>
  <c r="G335" i="2"/>
  <c r="K334" i="2"/>
  <c r="J334" i="2"/>
  <c r="I334" i="2"/>
  <c r="H334" i="2"/>
  <c r="G334" i="2"/>
  <c r="K333" i="2"/>
  <c r="J333" i="2"/>
  <c r="I333" i="2"/>
  <c r="H333" i="2"/>
  <c r="G333" i="2"/>
  <c r="K332" i="2"/>
  <c r="J332" i="2"/>
  <c r="I332" i="2"/>
  <c r="H332" i="2"/>
  <c r="G332" i="2"/>
  <c r="K331" i="2"/>
  <c r="J331" i="2"/>
  <c r="I331" i="2"/>
  <c r="H331" i="2"/>
  <c r="G331" i="2"/>
  <c r="K330" i="2"/>
  <c r="J330" i="2"/>
  <c r="I330" i="2"/>
  <c r="H330" i="2"/>
  <c r="G330" i="2"/>
  <c r="K329" i="2"/>
  <c r="J329" i="2"/>
  <c r="I329" i="2"/>
  <c r="H329" i="2"/>
  <c r="G329" i="2"/>
  <c r="K328" i="2"/>
  <c r="J328" i="2"/>
  <c r="I328" i="2"/>
  <c r="H328" i="2"/>
  <c r="G328" i="2"/>
  <c r="K327" i="2"/>
  <c r="J327" i="2"/>
  <c r="I327" i="2"/>
  <c r="H327" i="2"/>
  <c r="G327" i="2"/>
  <c r="K326" i="2"/>
  <c r="J326" i="2"/>
  <c r="I326" i="2"/>
  <c r="H326" i="2"/>
  <c r="G326" i="2"/>
  <c r="K325" i="2"/>
  <c r="J325" i="2"/>
  <c r="I325" i="2"/>
  <c r="H325" i="2"/>
  <c r="G325" i="2"/>
  <c r="K324" i="2"/>
  <c r="J324" i="2"/>
  <c r="I324" i="2"/>
  <c r="H324" i="2"/>
  <c r="G324" i="2"/>
  <c r="K323" i="2"/>
  <c r="J323" i="2"/>
  <c r="I323" i="2"/>
  <c r="H323" i="2"/>
  <c r="G323" i="2"/>
  <c r="K322" i="2"/>
  <c r="J322" i="2"/>
  <c r="I322" i="2"/>
  <c r="H322" i="2"/>
  <c r="G322" i="2"/>
  <c r="K321" i="2"/>
  <c r="J321" i="2"/>
  <c r="I321" i="2"/>
  <c r="H321" i="2"/>
  <c r="G321" i="2"/>
  <c r="K320" i="2"/>
  <c r="J320" i="2"/>
  <c r="I320" i="2"/>
  <c r="H320" i="2"/>
  <c r="G320" i="2"/>
  <c r="K319" i="2"/>
  <c r="J319" i="2"/>
  <c r="I319" i="2"/>
  <c r="H319" i="2"/>
  <c r="G319" i="2"/>
  <c r="K318" i="2"/>
  <c r="J318" i="2"/>
  <c r="I318" i="2"/>
  <c r="H318" i="2"/>
  <c r="G318" i="2"/>
  <c r="K317" i="2"/>
  <c r="J317" i="2"/>
  <c r="I317" i="2"/>
  <c r="H317" i="2"/>
  <c r="G317" i="2"/>
  <c r="K316" i="2"/>
  <c r="J316" i="2"/>
  <c r="I316" i="2"/>
  <c r="H316" i="2"/>
  <c r="G316" i="2"/>
  <c r="K315" i="2"/>
  <c r="J315" i="2"/>
  <c r="I315" i="2"/>
  <c r="H315" i="2"/>
  <c r="G315" i="2"/>
  <c r="K314" i="2"/>
  <c r="J314" i="2"/>
  <c r="I314" i="2"/>
  <c r="H314" i="2"/>
  <c r="G314" i="2"/>
  <c r="K313" i="2"/>
  <c r="J313" i="2"/>
  <c r="I313" i="2"/>
  <c r="H313" i="2"/>
  <c r="G313" i="2"/>
  <c r="K312" i="2"/>
  <c r="J312" i="2"/>
  <c r="I312" i="2"/>
  <c r="H312" i="2"/>
  <c r="G312" i="2"/>
  <c r="K311" i="2"/>
  <c r="J311" i="2"/>
  <c r="I311" i="2"/>
  <c r="H311" i="2"/>
  <c r="G311" i="2"/>
  <c r="K310" i="2"/>
  <c r="J310" i="2"/>
  <c r="I310" i="2"/>
  <c r="H310" i="2"/>
  <c r="G310" i="2"/>
  <c r="K309" i="2"/>
  <c r="J309" i="2"/>
  <c r="I309" i="2"/>
  <c r="H309" i="2"/>
  <c r="G309" i="2"/>
  <c r="K308" i="2"/>
  <c r="J308" i="2"/>
  <c r="I308" i="2"/>
  <c r="H308" i="2"/>
  <c r="G308" i="2"/>
  <c r="A308" i="2"/>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K306" i="2"/>
  <c r="J306" i="2"/>
  <c r="I306" i="2"/>
  <c r="H306" i="2"/>
  <c r="G306" i="2"/>
  <c r="K305" i="2"/>
  <c r="J305" i="2"/>
  <c r="I305" i="2"/>
  <c r="H305" i="2"/>
  <c r="G305" i="2"/>
  <c r="K304" i="2"/>
  <c r="J304" i="2"/>
  <c r="I304" i="2"/>
  <c r="H304" i="2"/>
  <c r="G304" i="2"/>
  <c r="K303" i="2"/>
  <c r="J303" i="2"/>
  <c r="I303" i="2"/>
  <c r="H303" i="2"/>
  <c r="G303" i="2"/>
  <c r="K302" i="2"/>
  <c r="J302" i="2"/>
  <c r="I302" i="2"/>
  <c r="H302" i="2"/>
  <c r="G302" i="2"/>
  <c r="K301" i="2"/>
  <c r="J301" i="2"/>
  <c r="I301" i="2"/>
  <c r="H301" i="2"/>
  <c r="G301" i="2"/>
  <c r="K300" i="2"/>
  <c r="J300" i="2"/>
  <c r="I300" i="2"/>
  <c r="H300" i="2"/>
  <c r="G300" i="2"/>
  <c r="K299" i="2"/>
  <c r="J299" i="2"/>
  <c r="I299" i="2"/>
  <c r="H299" i="2"/>
  <c r="G299" i="2"/>
  <c r="K298" i="2"/>
  <c r="J298" i="2"/>
  <c r="I298" i="2"/>
  <c r="H298" i="2"/>
  <c r="G298" i="2"/>
  <c r="K297" i="2"/>
  <c r="J297" i="2"/>
  <c r="I297" i="2"/>
  <c r="H297" i="2"/>
  <c r="G297" i="2"/>
  <c r="K296" i="2"/>
  <c r="J296" i="2"/>
  <c r="I296" i="2"/>
  <c r="H296" i="2"/>
  <c r="G296" i="2"/>
  <c r="K295" i="2"/>
  <c r="J295" i="2"/>
  <c r="I295" i="2"/>
  <c r="H295" i="2"/>
  <c r="G295" i="2"/>
  <c r="K294" i="2"/>
  <c r="J294" i="2"/>
  <c r="I294" i="2"/>
  <c r="H294" i="2"/>
  <c r="G294" i="2"/>
  <c r="K293" i="2"/>
  <c r="J293" i="2"/>
  <c r="I293" i="2"/>
  <c r="H293" i="2"/>
  <c r="G293" i="2"/>
  <c r="K292" i="2"/>
  <c r="J292" i="2"/>
  <c r="I292" i="2"/>
  <c r="H292" i="2"/>
  <c r="G292" i="2"/>
  <c r="K291" i="2"/>
  <c r="J291" i="2"/>
  <c r="I291" i="2"/>
  <c r="H291" i="2"/>
  <c r="G291" i="2"/>
  <c r="A291" i="2"/>
  <c r="A292" i="2" s="1"/>
  <c r="A293" i="2" s="1"/>
  <c r="A294" i="2" s="1"/>
  <c r="A295" i="2" s="1"/>
  <c r="A296" i="2" s="1"/>
  <c r="A297" i="2" s="1"/>
  <c r="A298" i="2" s="1"/>
  <c r="A299" i="2" s="1"/>
  <c r="A300" i="2" s="1"/>
  <c r="A301" i="2" s="1"/>
  <c r="A302" i="2" s="1"/>
  <c r="A303" i="2" s="1"/>
  <c r="A304" i="2" s="1"/>
  <c r="A305" i="2" s="1"/>
  <c r="A306" i="2" s="1"/>
  <c r="K289" i="2"/>
  <c r="J289" i="2"/>
  <c r="I289" i="2"/>
  <c r="H289" i="2"/>
  <c r="G289" i="2"/>
  <c r="K288" i="2"/>
  <c r="J288" i="2"/>
  <c r="I288" i="2"/>
  <c r="H288" i="2"/>
  <c r="G288" i="2"/>
  <c r="K287" i="2"/>
  <c r="J287" i="2"/>
  <c r="I287" i="2"/>
  <c r="H287" i="2"/>
  <c r="G287" i="2"/>
  <c r="K286" i="2"/>
  <c r="J286" i="2"/>
  <c r="I286" i="2"/>
  <c r="H286" i="2"/>
  <c r="G286" i="2"/>
  <c r="K285" i="2"/>
  <c r="J285" i="2"/>
  <c r="I285" i="2"/>
  <c r="H285" i="2"/>
  <c r="G285" i="2"/>
  <c r="K284" i="2"/>
  <c r="J284" i="2"/>
  <c r="I284" i="2"/>
  <c r="H284" i="2"/>
  <c r="G284" i="2"/>
  <c r="K283" i="2"/>
  <c r="J283" i="2"/>
  <c r="I283" i="2"/>
  <c r="H283" i="2"/>
  <c r="G283" i="2"/>
  <c r="A283" i="2"/>
  <c r="A284" i="2" s="1"/>
  <c r="A285" i="2" s="1"/>
  <c r="A286" i="2" s="1"/>
  <c r="A287" i="2" s="1"/>
  <c r="A288" i="2" s="1"/>
  <c r="A289" i="2" s="1"/>
  <c r="K281" i="2"/>
  <c r="J281" i="2"/>
  <c r="I281" i="2"/>
  <c r="H281" i="2"/>
  <c r="G281" i="2"/>
  <c r="K280" i="2"/>
  <c r="J280" i="2"/>
  <c r="I280" i="2"/>
  <c r="H280" i="2"/>
  <c r="G280" i="2"/>
  <c r="K279" i="2"/>
  <c r="J279" i="2"/>
  <c r="I279" i="2"/>
  <c r="H279" i="2"/>
  <c r="G279" i="2"/>
  <c r="K278" i="2"/>
  <c r="J278" i="2"/>
  <c r="I278" i="2"/>
  <c r="H278" i="2"/>
  <c r="G278" i="2"/>
  <c r="K277" i="2"/>
  <c r="J277" i="2"/>
  <c r="I277" i="2"/>
  <c r="H277" i="2"/>
  <c r="G277" i="2"/>
  <c r="K276" i="2"/>
  <c r="J276" i="2"/>
  <c r="I276" i="2"/>
  <c r="H276" i="2"/>
  <c r="G276" i="2"/>
  <c r="K275" i="2"/>
  <c r="J275" i="2"/>
  <c r="I275" i="2"/>
  <c r="H275" i="2"/>
  <c r="G275" i="2"/>
  <c r="K274" i="2"/>
  <c r="J274" i="2"/>
  <c r="I274" i="2"/>
  <c r="H274" i="2"/>
  <c r="G274" i="2"/>
  <c r="A274" i="2"/>
  <c r="A275" i="2" s="1"/>
  <c r="A276" i="2" s="1"/>
  <c r="A277" i="2" s="1"/>
  <c r="A278" i="2" s="1"/>
  <c r="A279" i="2" s="1"/>
  <c r="A280" i="2" s="1"/>
  <c r="A281" i="2" s="1"/>
  <c r="K272" i="2"/>
  <c r="J272" i="2"/>
  <c r="I272" i="2"/>
  <c r="H272" i="2"/>
  <c r="G272" i="2"/>
  <c r="K271" i="2"/>
  <c r="J271" i="2"/>
  <c r="I271" i="2"/>
  <c r="H271" i="2"/>
  <c r="G271" i="2"/>
  <c r="K270" i="2"/>
  <c r="J270" i="2"/>
  <c r="I270" i="2"/>
  <c r="H270" i="2"/>
  <c r="G270" i="2"/>
  <c r="A270" i="2"/>
  <c r="A271" i="2" s="1"/>
  <c r="A272" i="2" s="1"/>
  <c r="K263" i="2"/>
  <c r="J263" i="2"/>
  <c r="I263" i="2"/>
  <c r="H263" i="2"/>
  <c r="G263" i="2"/>
  <c r="K262" i="2"/>
  <c r="J262" i="2"/>
  <c r="I262" i="2"/>
  <c r="H262" i="2"/>
  <c r="G262" i="2"/>
  <c r="B239" i="2"/>
  <c r="C239" i="2"/>
  <c r="K268" i="2"/>
  <c r="J268" i="2"/>
  <c r="I268" i="2"/>
  <c r="H268" i="2"/>
  <c r="G268" i="2"/>
  <c r="K267" i="2"/>
  <c r="J267" i="2"/>
  <c r="I267" i="2"/>
  <c r="H267" i="2"/>
  <c r="G267" i="2"/>
  <c r="K266" i="2"/>
  <c r="J266" i="2"/>
  <c r="I266" i="2"/>
  <c r="H266" i="2"/>
  <c r="G266" i="2"/>
  <c r="K265" i="2"/>
  <c r="J265" i="2"/>
  <c r="I265" i="2"/>
  <c r="H265" i="2"/>
  <c r="G265" i="2"/>
  <c r="K264" i="2"/>
  <c r="J264" i="2"/>
  <c r="I264" i="2"/>
  <c r="H264" i="2"/>
  <c r="G264" i="2"/>
  <c r="K261" i="2"/>
  <c r="J261" i="2"/>
  <c r="I261" i="2"/>
  <c r="H261" i="2"/>
  <c r="G261" i="2"/>
  <c r="K260" i="2"/>
  <c r="J260" i="2"/>
  <c r="I260" i="2"/>
  <c r="H260" i="2"/>
  <c r="G260" i="2"/>
  <c r="K259" i="2"/>
  <c r="J259" i="2"/>
  <c r="I259" i="2"/>
  <c r="H259" i="2"/>
  <c r="G259" i="2"/>
  <c r="K258" i="2"/>
  <c r="J258" i="2"/>
  <c r="I258" i="2"/>
  <c r="H258" i="2"/>
  <c r="G258" i="2"/>
  <c r="K257" i="2"/>
  <c r="J257" i="2"/>
  <c r="I257" i="2"/>
  <c r="H257" i="2"/>
  <c r="G257" i="2"/>
  <c r="K256" i="2"/>
  <c r="J256" i="2"/>
  <c r="I256" i="2"/>
  <c r="H256" i="2"/>
  <c r="G256" i="2"/>
  <c r="K255" i="2"/>
  <c r="J255" i="2"/>
  <c r="I255" i="2"/>
  <c r="H255" i="2"/>
  <c r="G255" i="2"/>
  <c r="K254" i="2"/>
  <c r="J254" i="2"/>
  <c r="I254" i="2"/>
  <c r="H254" i="2"/>
  <c r="G254" i="2"/>
  <c r="K253" i="2"/>
  <c r="J253" i="2"/>
  <c r="I253" i="2"/>
  <c r="H253" i="2"/>
  <c r="G253" i="2"/>
  <c r="K252" i="2"/>
  <c r="J252" i="2"/>
  <c r="I252" i="2"/>
  <c r="H252" i="2"/>
  <c r="G252" i="2"/>
  <c r="K251" i="2"/>
  <c r="J251" i="2"/>
  <c r="I251" i="2"/>
  <c r="H251" i="2"/>
  <c r="G251" i="2"/>
  <c r="K250" i="2"/>
  <c r="J250" i="2"/>
  <c r="I250" i="2"/>
  <c r="H250" i="2"/>
  <c r="G250" i="2"/>
  <c r="K249" i="2"/>
  <c r="J249" i="2"/>
  <c r="I249" i="2"/>
  <c r="H249" i="2"/>
  <c r="G249" i="2"/>
  <c r="K248" i="2"/>
  <c r="J248" i="2"/>
  <c r="I248" i="2"/>
  <c r="H248" i="2"/>
  <c r="G248" i="2"/>
  <c r="K247" i="2"/>
  <c r="J247" i="2"/>
  <c r="I247" i="2"/>
  <c r="H247" i="2"/>
  <c r="G247" i="2"/>
  <c r="K246" i="2"/>
  <c r="J246" i="2"/>
  <c r="I246" i="2"/>
  <c r="H246" i="2"/>
  <c r="G246" i="2"/>
  <c r="K245" i="2"/>
  <c r="J245" i="2"/>
  <c r="I245" i="2"/>
  <c r="H245" i="2"/>
  <c r="G245" i="2"/>
  <c r="K244" i="2"/>
  <c r="J244" i="2"/>
  <c r="I244" i="2"/>
  <c r="H244" i="2"/>
  <c r="G244" i="2"/>
  <c r="K243" i="2"/>
  <c r="J243" i="2"/>
  <c r="I243" i="2"/>
  <c r="H243" i="2"/>
  <c r="G243" i="2"/>
  <c r="K242" i="2"/>
  <c r="J242" i="2"/>
  <c r="I242" i="2"/>
  <c r="H242" i="2"/>
  <c r="G242" i="2"/>
  <c r="A242" i="2"/>
  <c r="A243" i="2" s="1"/>
  <c r="A244" i="2" s="1"/>
  <c r="A245" i="2" s="1"/>
  <c r="A246" i="2" s="1"/>
  <c r="A247" i="2" s="1"/>
  <c r="A248" i="2" s="1"/>
  <c r="A249" i="2" s="1"/>
  <c r="A250" i="2" s="1"/>
  <c r="K240" i="2"/>
  <c r="J240" i="2"/>
  <c r="I240" i="2"/>
  <c r="H240" i="2"/>
  <c r="G240" i="2"/>
  <c r="K239" i="2"/>
  <c r="J239" i="2"/>
  <c r="I239" i="2"/>
  <c r="H239" i="2"/>
  <c r="G239" i="2"/>
  <c r="K238" i="2"/>
  <c r="J238" i="2"/>
  <c r="I238" i="2"/>
  <c r="H238" i="2"/>
  <c r="G238" i="2"/>
  <c r="K237" i="2"/>
  <c r="J237" i="2"/>
  <c r="I237" i="2"/>
  <c r="H237" i="2"/>
  <c r="G237" i="2"/>
  <c r="K236" i="2"/>
  <c r="J236" i="2"/>
  <c r="I236" i="2"/>
  <c r="H236" i="2"/>
  <c r="G236" i="2"/>
  <c r="K235" i="2"/>
  <c r="J235" i="2"/>
  <c r="I235" i="2"/>
  <c r="H235" i="2"/>
  <c r="G235" i="2"/>
  <c r="K234" i="2"/>
  <c r="J234" i="2"/>
  <c r="I234" i="2"/>
  <c r="H234" i="2"/>
  <c r="G234" i="2"/>
  <c r="K233" i="2"/>
  <c r="J233" i="2"/>
  <c r="I233" i="2"/>
  <c r="H233" i="2"/>
  <c r="G233" i="2"/>
  <c r="K232" i="2"/>
  <c r="J232" i="2"/>
  <c r="I232" i="2"/>
  <c r="H232" i="2"/>
  <c r="G232" i="2"/>
  <c r="K231" i="2"/>
  <c r="J231" i="2"/>
  <c r="I231" i="2"/>
  <c r="H231" i="2"/>
  <c r="G231" i="2"/>
  <c r="K230" i="2"/>
  <c r="J230" i="2"/>
  <c r="I230" i="2"/>
  <c r="H230" i="2"/>
  <c r="G230" i="2"/>
  <c r="K229" i="2"/>
  <c r="J229" i="2"/>
  <c r="I229" i="2"/>
  <c r="H229" i="2"/>
  <c r="G229" i="2"/>
  <c r="K228" i="2"/>
  <c r="J228" i="2"/>
  <c r="I228" i="2"/>
  <c r="H228" i="2"/>
  <c r="G228" i="2"/>
  <c r="K227" i="2"/>
  <c r="J227" i="2"/>
  <c r="I227" i="2"/>
  <c r="H227" i="2"/>
  <c r="G227" i="2"/>
  <c r="K226" i="2"/>
  <c r="J226" i="2"/>
  <c r="I226" i="2"/>
  <c r="H226" i="2"/>
  <c r="G226" i="2"/>
  <c r="K225" i="2"/>
  <c r="J225" i="2"/>
  <c r="I225" i="2"/>
  <c r="H225" i="2"/>
  <c r="G225" i="2"/>
  <c r="K224" i="2"/>
  <c r="J224" i="2"/>
  <c r="I224" i="2"/>
  <c r="H224" i="2"/>
  <c r="G224" i="2"/>
  <c r="K223" i="2"/>
  <c r="J223" i="2"/>
  <c r="I223" i="2"/>
  <c r="H223" i="2"/>
  <c r="G223" i="2"/>
  <c r="K222" i="2"/>
  <c r="J222" i="2"/>
  <c r="I222" i="2"/>
  <c r="H222" i="2"/>
  <c r="G222" i="2"/>
  <c r="K221" i="2"/>
  <c r="J221" i="2"/>
  <c r="I221" i="2"/>
  <c r="H221" i="2"/>
  <c r="G221" i="2"/>
  <c r="K220" i="2"/>
  <c r="J220" i="2"/>
  <c r="I220" i="2"/>
  <c r="H220" i="2"/>
  <c r="G220" i="2"/>
  <c r="K219" i="2"/>
  <c r="J219" i="2"/>
  <c r="I219" i="2"/>
  <c r="H219" i="2"/>
  <c r="G219" i="2"/>
  <c r="K218" i="2"/>
  <c r="J218" i="2"/>
  <c r="I218" i="2"/>
  <c r="H218" i="2"/>
  <c r="G218" i="2"/>
  <c r="K217" i="2"/>
  <c r="J217" i="2"/>
  <c r="I217" i="2"/>
  <c r="H217" i="2"/>
  <c r="G217" i="2"/>
  <c r="K216" i="2"/>
  <c r="J216" i="2"/>
  <c r="I216" i="2"/>
  <c r="H216" i="2"/>
  <c r="G216" i="2"/>
  <c r="K215" i="2"/>
  <c r="J215" i="2"/>
  <c r="I215" i="2"/>
  <c r="H215" i="2"/>
  <c r="G215" i="2"/>
  <c r="K214" i="2"/>
  <c r="J214" i="2"/>
  <c r="I214" i="2"/>
  <c r="H214" i="2"/>
  <c r="G214" i="2"/>
  <c r="K213" i="2"/>
  <c r="J213" i="2"/>
  <c r="I213" i="2"/>
  <c r="H213" i="2"/>
  <c r="G213" i="2"/>
  <c r="K212" i="2"/>
  <c r="J212" i="2"/>
  <c r="I212" i="2"/>
  <c r="H212" i="2"/>
  <c r="G212" i="2"/>
  <c r="K211" i="2"/>
  <c r="J211" i="2"/>
  <c r="I211" i="2"/>
  <c r="H211" i="2"/>
  <c r="G211" i="2"/>
  <c r="K210" i="2"/>
  <c r="J210" i="2"/>
  <c r="I210" i="2"/>
  <c r="H210" i="2"/>
  <c r="G210" i="2"/>
  <c r="K209" i="2"/>
  <c r="J209" i="2"/>
  <c r="I209" i="2"/>
  <c r="H209" i="2"/>
  <c r="G209" i="2"/>
  <c r="K208" i="2"/>
  <c r="J208" i="2"/>
  <c r="I208" i="2"/>
  <c r="H208" i="2"/>
  <c r="G208" i="2"/>
  <c r="K207" i="2"/>
  <c r="J207" i="2"/>
  <c r="I207" i="2"/>
  <c r="H207" i="2"/>
  <c r="G207" i="2"/>
  <c r="K206" i="2"/>
  <c r="J206" i="2"/>
  <c r="I206" i="2"/>
  <c r="H206" i="2"/>
  <c r="G206" i="2"/>
  <c r="K205" i="2"/>
  <c r="J205" i="2"/>
  <c r="I205" i="2"/>
  <c r="H205" i="2"/>
  <c r="G205" i="2"/>
  <c r="K204" i="2"/>
  <c r="J204" i="2"/>
  <c r="I204" i="2"/>
  <c r="H204" i="2"/>
  <c r="G204" i="2"/>
  <c r="A204" i="2"/>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K202" i="2"/>
  <c r="J202" i="2"/>
  <c r="I202" i="2"/>
  <c r="H202" i="2"/>
  <c r="G202" i="2"/>
  <c r="K201" i="2"/>
  <c r="J201" i="2"/>
  <c r="I201" i="2"/>
  <c r="H201" i="2"/>
  <c r="G201" i="2"/>
  <c r="K200" i="2"/>
  <c r="J200" i="2"/>
  <c r="I200" i="2"/>
  <c r="H200" i="2"/>
  <c r="G200" i="2"/>
  <c r="K199" i="2"/>
  <c r="J199" i="2"/>
  <c r="I199" i="2"/>
  <c r="H199" i="2"/>
  <c r="G199" i="2"/>
  <c r="K198" i="2"/>
  <c r="J198" i="2"/>
  <c r="I198" i="2"/>
  <c r="H198" i="2"/>
  <c r="G198" i="2"/>
  <c r="K197" i="2"/>
  <c r="J197" i="2"/>
  <c r="I197" i="2"/>
  <c r="H197" i="2"/>
  <c r="G197" i="2"/>
  <c r="K196" i="2"/>
  <c r="J196" i="2"/>
  <c r="I196" i="2"/>
  <c r="H196" i="2"/>
  <c r="G196" i="2"/>
  <c r="K195" i="2"/>
  <c r="J195" i="2"/>
  <c r="I195" i="2"/>
  <c r="H195" i="2"/>
  <c r="G195" i="2"/>
  <c r="K194" i="2"/>
  <c r="J194" i="2"/>
  <c r="I194" i="2"/>
  <c r="H194" i="2"/>
  <c r="G194" i="2"/>
  <c r="K193" i="2"/>
  <c r="J193" i="2"/>
  <c r="I193" i="2"/>
  <c r="H193" i="2"/>
  <c r="G193" i="2"/>
  <c r="K192" i="2"/>
  <c r="J192" i="2"/>
  <c r="I192" i="2"/>
  <c r="H192" i="2"/>
  <c r="G192" i="2"/>
  <c r="K191" i="2"/>
  <c r="J191" i="2"/>
  <c r="I191" i="2"/>
  <c r="H191" i="2"/>
  <c r="G191" i="2"/>
  <c r="K190" i="2"/>
  <c r="J190" i="2"/>
  <c r="I190" i="2"/>
  <c r="H190" i="2"/>
  <c r="G190" i="2"/>
  <c r="K189" i="2"/>
  <c r="J189" i="2"/>
  <c r="I189" i="2"/>
  <c r="H189" i="2"/>
  <c r="G189" i="2"/>
  <c r="K188" i="2"/>
  <c r="J188" i="2"/>
  <c r="I188" i="2"/>
  <c r="H188" i="2"/>
  <c r="G188" i="2"/>
  <c r="K187" i="2"/>
  <c r="J187" i="2"/>
  <c r="I187" i="2"/>
  <c r="H187" i="2"/>
  <c r="G187" i="2"/>
  <c r="A187" i="2"/>
  <c r="A188" i="2" s="1"/>
  <c r="A189" i="2" s="1"/>
  <c r="A190" i="2" s="1"/>
  <c r="A191" i="2" s="1"/>
  <c r="A192" i="2" s="1"/>
  <c r="A193" i="2" s="1"/>
  <c r="A194" i="2" s="1"/>
  <c r="A195" i="2" s="1"/>
  <c r="A196" i="2" s="1"/>
  <c r="K185" i="2"/>
  <c r="J185" i="2"/>
  <c r="I185" i="2"/>
  <c r="H185" i="2"/>
  <c r="G185" i="2"/>
  <c r="K184" i="2"/>
  <c r="J184" i="2"/>
  <c r="I184" i="2"/>
  <c r="H184" i="2"/>
  <c r="G184" i="2"/>
  <c r="K183" i="2"/>
  <c r="J183" i="2"/>
  <c r="I183" i="2"/>
  <c r="H183" i="2"/>
  <c r="G183" i="2"/>
  <c r="K182" i="2"/>
  <c r="J182" i="2"/>
  <c r="I182" i="2"/>
  <c r="H182" i="2"/>
  <c r="G182" i="2"/>
  <c r="K181" i="2"/>
  <c r="J181" i="2"/>
  <c r="I181" i="2"/>
  <c r="H181" i="2"/>
  <c r="G181" i="2"/>
  <c r="K180" i="2"/>
  <c r="J180" i="2"/>
  <c r="I180" i="2"/>
  <c r="H180" i="2"/>
  <c r="G180" i="2"/>
  <c r="K179" i="2"/>
  <c r="J179" i="2"/>
  <c r="I179" i="2"/>
  <c r="H179" i="2"/>
  <c r="G179" i="2"/>
  <c r="A179" i="2"/>
  <c r="A180" i="2" s="1"/>
  <c r="A181" i="2" s="1"/>
  <c r="A182" i="2" s="1"/>
  <c r="A183" i="2" s="1"/>
  <c r="A184" i="2" s="1"/>
  <c r="A185" i="2" s="1"/>
  <c r="K177" i="2"/>
  <c r="J177" i="2"/>
  <c r="I177" i="2"/>
  <c r="H177" i="2"/>
  <c r="G177" i="2"/>
  <c r="K176" i="2"/>
  <c r="J176" i="2"/>
  <c r="I176" i="2"/>
  <c r="H176" i="2"/>
  <c r="G176" i="2"/>
  <c r="K175" i="2"/>
  <c r="J175" i="2"/>
  <c r="I175" i="2"/>
  <c r="H175" i="2"/>
  <c r="G175" i="2"/>
  <c r="K174" i="2"/>
  <c r="J174" i="2"/>
  <c r="I174" i="2"/>
  <c r="H174" i="2"/>
  <c r="G174" i="2"/>
  <c r="K173" i="2"/>
  <c r="J173" i="2"/>
  <c r="I173" i="2"/>
  <c r="H173" i="2"/>
  <c r="G173" i="2"/>
  <c r="K172" i="2"/>
  <c r="J172" i="2"/>
  <c r="I172" i="2"/>
  <c r="H172" i="2"/>
  <c r="G172" i="2"/>
  <c r="K171" i="2"/>
  <c r="J171" i="2"/>
  <c r="I171" i="2"/>
  <c r="H171" i="2"/>
  <c r="G171" i="2"/>
  <c r="K170" i="2"/>
  <c r="J170" i="2"/>
  <c r="I170" i="2"/>
  <c r="H170" i="2"/>
  <c r="G170" i="2"/>
  <c r="A170" i="2"/>
  <c r="A171" i="2" s="1"/>
  <c r="A172" i="2" s="1"/>
  <c r="A173" i="2" s="1"/>
  <c r="A174" i="2" s="1"/>
  <c r="A175" i="2" s="1"/>
  <c r="A176" i="2" s="1"/>
  <c r="A177" i="2" s="1"/>
  <c r="K39" i="2"/>
  <c r="J39" i="2"/>
  <c r="I39" i="2"/>
  <c r="H39" i="2"/>
  <c r="G39" i="2"/>
  <c r="K38" i="2"/>
  <c r="J38" i="2"/>
  <c r="I38" i="2"/>
  <c r="H38" i="2"/>
  <c r="G38" i="2"/>
  <c r="K37" i="2"/>
  <c r="J37" i="2"/>
  <c r="I37" i="2"/>
  <c r="H37" i="2"/>
  <c r="G37" i="2"/>
  <c r="H6" i="3" l="1"/>
  <c r="A660" i="2"/>
  <c r="A659" i="2"/>
  <c r="A662" i="2" s="1"/>
  <c r="A661" i="2"/>
  <c r="A554" i="2"/>
  <c r="A553" i="2"/>
  <c r="A556" i="2" s="1"/>
  <c r="A555" i="2"/>
  <c r="A449" i="2"/>
  <c r="A448" i="2"/>
  <c r="A251" i="2"/>
  <c r="A252" i="2" s="1"/>
  <c r="A253" i="2" s="1"/>
  <c r="A254" i="2" s="1"/>
  <c r="A255" i="2" s="1"/>
  <c r="A256" i="2" s="1"/>
  <c r="A257" i="2" s="1"/>
  <c r="A258" i="2" s="1"/>
  <c r="A259" i="2" s="1"/>
  <c r="A260" i="2" s="1"/>
  <c r="A261" i="2" s="1"/>
  <c r="A262" i="2" s="1"/>
  <c r="A263" i="2" s="1"/>
  <c r="A264" i="2" s="1"/>
  <c r="A265" i="2" s="1"/>
  <c r="A266" i="2" s="1"/>
  <c r="A267" i="2" s="1"/>
  <c r="A268" i="2" s="1"/>
  <c r="A197" i="2"/>
  <c r="A198" i="2" s="1"/>
  <c r="A199" i="2" s="1"/>
  <c r="A200" i="2" s="1"/>
  <c r="A201" i="2" s="1"/>
  <c r="A202" i="2" s="1"/>
  <c r="K58" i="2" l="1"/>
  <c r="J58" i="2"/>
  <c r="I58" i="2"/>
  <c r="H58" i="2"/>
  <c r="G58" i="2"/>
  <c r="K168" i="2"/>
  <c r="J168" i="2"/>
  <c r="I168" i="2"/>
  <c r="H168" i="2"/>
  <c r="G168" i="2"/>
  <c r="K167" i="2"/>
  <c r="J167" i="2"/>
  <c r="I167" i="2"/>
  <c r="H167" i="2"/>
  <c r="G167" i="2"/>
  <c r="K166" i="2"/>
  <c r="J166" i="2"/>
  <c r="I166" i="2"/>
  <c r="H166" i="2"/>
  <c r="G166" i="2"/>
  <c r="K164" i="2"/>
  <c r="J164" i="2"/>
  <c r="I164" i="2"/>
  <c r="H164" i="2"/>
  <c r="G164" i="2"/>
  <c r="K163" i="2"/>
  <c r="J163" i="2"/>
  <c r="I163" i="2"/>
  <c r="H163" i="2"/>
  <c r="G163" i="2"/>
  <c r="K162" i="2"/>
  <c r="J162" i="2"/>
  <c r="I162" i="2"/>
  <c r="H162" i="2"/>
  <c r="G162" i="2"/>
  <c r="K161" i="2"/>
  <c r="J161" i="2"/>
  <c r="I161" i="2"/>
  <c r="H161" i="2"/>
  <c r="G161" i="2"/>
  <c r="K160" i="2"/>
  <c r="J160" i="2"/>
  <c r="I160" i="2"/>
  <c r="H160" i="2"/>
  <c r="G160" i="2"/>
  <c r="K159" i="2"/>
  <c r="J159" i="2"/>
  <c r="I159" i="2"/>
  <c r="H159" i="2"/>
  <c r="G159" i="2"/>
  <c r="K158" i="2"/>
  <c r="J158" i="2"/>
  <c r="I158" i="2"/>
  <c r="H158" i="2"/>
  <c r="G158" i="2"/>
  <c r="K157" i="2"/>
  <c r="J157" i="2"/>
  <c r="I157" i="2"/>
  <c r="H157" i="2"/>
  <c r="G157" i="2"/>
  <c r="K156" i="2"/>
  <c r="J156" i="2"/>
  <c r="I156" i="2"/>
  <c r="H156" i="2"/>
  <c r="G156" i="2"/>
  <c r="K155" i="2"/>
  <c r="J155" i="2"/>
  <c r="I155" i="2"/>
  <c r="H155" i="2"/>
  <c r="G155" i="2"/>
  <c r="K154" i="2"/>
  <c r="J154" i="2"/>
  <c r="I154" i="2"/>
  <c r="H154" i="2"/>
  <c r="G154" i="2"/>
  <c r="K153" i="2"/>
  <c r="J153" i="2"/>
  <c r="I153" i="2"/>
  <c r="H153" i="2"/>
  <c r="G153" i="2"/>
  <c r="K152" i="2"/>
  <c r="J152" i="2"/>
  <c r="I152" i="2"/>
  <c r="H152" i="2"/>
  <c r="G152" i="2"/>
  <c r="K151" i="2"/>
  <c r="J151" i="2"/>
  <c r="I151" i="2"/>
  <c r="H151" i="2"/>
  <c r="G151" i="2"/>
  <c r="K150" i="2"/>
  <c r="J150" i="2"/>
  <c r="I150" i="2"/>
  <c r="H150" i="2"/>
  <c r="G150" i="2"/>
  <c r="K149" i="2"/>
  <c r="J149" i="2"/>
  <c r="I149" i="2"/>
  <c r="H149" i="2"/>
  <c r="G149" i="2"/>
  <c r="K148" i="2"/>
  <c r="J148" i="2"/>
  <c r="I148" i="2"/>
  <c r="H148" i="2"/>
  <c r="G148" i="2"/>
  <c r="K147" i="2"/>
  <c r="J147" i="2"/>
  <c r="I147" i="2"/>
  <c r="H147" i="2"/>
  <c r="G147" i="2"/>
  <c r="K146" i="2"/>
  <c r="J146" i="2"/>
  <c r="I146" i="2"/>
  <c r="H146" i="2"/>
  <c r="G146" i="2"/>
  <c r="K145" i="2"/>
  <c r="J145" i="2"/>
  <c r="I145" i="2"/>
  <c r="H145" i="2"/>
  <c r="G145" i="2"/>
  <c r="K144" i="2"/>
  <c r="J144" i="2"/>
  <c r="I144" i="2"/>
  <c r="H144" i="2"/>
  <c r="G144" i="2"/>
  <c r="K143" i="2"/>
  <c r="J143" i="2"/>
  <c r="I143" i="2"/>
  <c r="H143" i="2"/>
  <c r="G143" i="2"/>
  <c r="K142" i="2"/>
  <c r="J142" i="2"/>
  <c r="I142" i="2"/>
  <c r="H142" i="2"/>
  <c r="G142" i="2"/>
  <c r="K141" i="2"/>
  <c r="J141" i="2"/>
  <c r="I141" i="2"/>
  <c r="H141" i="2"/>
  <c r="G141" i="2"/>
  <c r="K140" i="2"/>
  <c r="J140" i="2"/>
  <c r="I140" i="2"/>
  <c r="H140" i="2"/>
  <c r="G140" i="2"/>
  <c r="K139" i="2"/>
  <c r="J139" i="2"/>
  <c r="I139" i="2"/>
  <c r="H139" i="2"/>
  <c r="G139" i="2"/>
  <c r="K138" i="2"/>
  <c r="J138" i="2"/>
  <c r="I138" i="2"/>
  <c r="H138" i="2"/>
  <c r="G138" i="2"/>
  <c r="K137" i="2"/>
  <c r="J137" i="2"/>
  <c r="I137" i="2"/>
  <c r="H137" i="2"/>
  <c r="G137" i="2"/>
  <c r="K136" i="2"/>
  <c r="J136" i="2"/>
  <c r="I136" i="2"/>
  <c r="H136" i="2"/>
  <c r="G136" i="2"/>
  <c r="K135" i="2"/>
  <c r="J135" i="2"/>
  <c r="I135" i="2"/>
  <c r="H135" i="2"/>
  <c r="G135" i="2"/>
  <c r="K134" i="2"/>
  <c r="J134" i="2"/>
  <c r="I134" i="2"/>
  <c r="H134" i="2"/>
  <c r="G134" i="2"/>
  <c r="K133" i="2"/>
  <c r="J133" i="2"/>
  <c r="I133" i="2"/>
  <c r="H133" i="2"/>
  <c r="G133" i="2"/>
  <c r="K132" i="2"/>
  <c r="J132" i="2"/>
  <c r="I132" i="2"/>
  <c r="H132" i="2"/>
  <c r="G132" i="2"/>
  <c r="K131" i="2"/>
  <c r="J131" i="2"/>
  <c r="I131" i="2"/>
  <c r="H131" i="2"/>
  <c r="G131" i="2"/>
  <c r="K130" i="2"/>
  <c r="J130" i="2"/>
  <c r="I130" i="2"/>
  <c r="H130" i="2"/>
  <c r="G130" i="2"/>
  <c r="K129" i="2"/>
  <c r="J129" i="2"/>
  <c r="I129" i="2"/>
  <c r="H129" i="2"/>
  <c r="G129" i="2"/>
  <c r="K128" i="2"/>
  <c r="J128" i="2"/>
  <c r="I128" i="2"/>
  <c r="H128" i="2"/>
  <c r="G128" i="2"/>
  <c r="K127" i="2"/>
  <c r="J127" i="2"/>
  <c r="I127" i="2"/>
  <c r="H127" i="2"/>
  <c r="G127" i="2"/>
  <c r="K126" i="2"/>
  <c r="J126" i="2"/>
  <c r="I126" i="2"/>
  <c r="H126" i="2"/>
  <c r="G126" i="2"/>
  <c r="K125" i="2"/>
  <c r="J125" i="2"/>
  <c r="I125" i="2"/>
  <c r="H125" i="2"/>
  <c r="G125" i="2"/>
  <c r="K124" i="2"/>
  <c r="J124" i="2"/>
  <c r="I124" i="2"/>
  <c r="H124" i="2"/>
  <c r="G124" i="2"/>
  <c r="K123" i="2"/>
  <c r="J123" i="2"/>
  <c r="I123" i="2"/>
  <c r="H123" i="2"/>
  <c r="G123" i="2"/>
  <c r="K122" i="2"/>
  <c r="J122" i="2"/>
  <c r="I122" i="2"/>
  <c r="H122" i="2"/>
  <c r="G122" i="2"/>
  <c r="K121" i="2"/>
  <c r="J121" i="2"/>
  <c r="I121" i="2"/>
  <c r="H121" i="2"/>
  <c r="G121" i="2"/>
  <c r="K120" i="2"/>
  <c r="J120" i="2"/>
  <c r="I120" i="2"/>
  <c r="H120" i="2"/>
  <c r="G120" i="2"/>
  <c r="K119" i="2"/>
  <c r="J119" i="2"/>
  <c r="I119" i="2"/>
  <c r="H119" i="2"/>
  <c r="G119" i="2"/>
  <c r="K118" i="2"/>
  <c r="J118" i="2"/>
  <c r="I118" i="2"/>
  <c r="H118" i="2"/>
  <c r="G118" i="2"/>
  <c r="K117" i="2"/>
  <c r="J117" i="2"/>
  <c r="I117" i="2"/>
  <c r="H117" i="2"/>
  <c r="G117" i="2"/>
  <c r="K116" i="2"/>
  <c r="J116" i="2"/>
  <c r="I116" i="2"/>
  <c r="H116" i="2"/>
  <c r="G116" i="2"/>
  <c r="K115" i="2"/>
  <c r="J115" i="2"/>
  <c r="I115" i="2"/>
  <c r="H115" i="2"/>
  <c r="G115" i="2"/>
  <c r="K114" i="2"/>
  <c r="J114" i="2"/>
  <c r="I114" i="2"/>
  <c r="H114" i="2"/>
  <c r="G114" i="2"/>
  <c r="K113" i="2"/>
  <c r="J113" i="2"/>
  <c r="I113" i="2"/>
  <c r="H113" i="2"/>
  <c r="G113" i="2"/>
  <c r="K112" i="2"/>
  <c r="J112" i="2"/>
  <c r="I112" i="2"/>
  <c r="H112" i="2"/>
  <c r="G112" i="2"/>
  <c r="K111" i="2"/>
  <c r="J111" i="2"/>
  <c r="I111" i="2"/>
  <c r="H111" i="2"/>
  <c r="G111" i="2"/>
  <c r="K110" i="2"/>
  <c r="J110" i="2"/>
  <c r="I110" i="2"/>
  <c r="H110" i="2"/>
  <c r="G110" i="2"/>
  <c r="K109" i="2"/>
  <c r="J109" i="2"/>
  <c r="I109" i="2"/>
  <c r="H109" i="2"/>
  <c r="G109" i="2"/>
  <c r="K108" i="2"/>
  <c r="J108" i="2"/>
  <c r="I108" i="2"/>
  <c r="H108" i="2"/>
  <c r="G108" i="2"/>
  <c r="K107" i="2"/>
  <c r="J107" i="2"/>
  <c r="I107" i="2"/>
  <c r="H107" i="2"/>
  <c r="G107" i="2"/>
  <c r="K105" i="2"/>
  <c r="J105" i="2"/>
  <c r="I105" i="2"/>
  <c r="H105" i="2"/>
  <c r="G105" i="2"/>
  <c r="K104" i="2"/>
  <c r="J104" i="2"/>
  <c r="I104" i="2"/>
  <c r="H104" i="2"/>
  <c r="G104" i="2"/>
  <c r="K103" i="2"/>
  <c r="J103" i="2"/>
  <c r="I103" i="2"/>
  <c r="H103" i="2"/>
  <c r="G103" i="2"/>
  <c r="K102" i="2"/>
  <c r="J102" i="2"/>
  <c r="I102" i="2"/>
  <c r="H102" i="2"/>
  <c r="G102" i="2"/>
  <c r="K101" i="2"/>
  <c r="J101" i="2"/>
  <c r="I101" i="2"/>
  <c r="H101" i="2"/>
  <c r="G101" i="2"/>
  <c r="K100" i="2"/>
  <c r="J100" i="2"/>
  <c r="I100" i="2"/>
  <c r="H100" i="2"/>
  <c r="G100" i="2"/>
  <c r="K99" i="2"/>
  <c r="J99" i="2"/>
  <c r="I99" i="2"/>
  <c r="H99" i="2"/>
  <c r="G99" i="2"/>
  <c r="K98" i="2"/>
  <c r="J98" i="2"/>
  <c r="I98" i="2"/>
  <c r="H98" i="2"/>
  <c r="G98" i="2"/>
  <c r="K97" i="2"/>
  <c r="J97" i="2"/>
  <c r="I97" i="2"/>
  <c r="H97" i="2"/>
  <c r="G97" i="2"/>
  <c r="K96" i="2"/>
  <c r="J96" i="2"/>
  <c r="I96" i="2"/>
  <c r="H96" i="2"/>
  <c r="G96" i="2"/>
  <c r="K95" i="2"/>
  <c r="J95" i="2"/>
  <c r="I95" i="2"/>
  <c r="H95" i="2"/>
  <c r="G95" i="2"/>
  <c r="K94" i="2"/>
  <c r="J94" i="2"/>
  <c r="I94" i="2"/>
  <c r="H94" i="2"/>
  <c r="G94" i="2"/>
  <c r="K93" i="2"/>
  <c r="J93" i="2"/>
  <c r="I93" i="2"/>
  <c r="H93" i="2"/>
  <c r="G93" i="2"/>
  <c r="K92" i="2"/>
  <c r="J92" i="2"/>
  <c r="I92" i="2"/>
  <c r="H92" i="2"/>
  <c r="G92" i="2"/>
  <c r="K91" i="2"/>
  <c r="J91" i="2"/>
  <c r="I91" i="2"/>
  <c r="H91" i="2"/>
  <c r="G91" i="2"/>
  <c r="K90" i="2"/>
  <c r="J90" i="2"/>
  <c r="I90" i="2"/>
  <c r="H90" i="2"/>
  <c r="G90" i="2"/>
  <c r="K89" i="2"/>
  <c r="J89" i="2"/>
  <c r="I89" i="2"/>
  <c r="H89" i="2"/>
  <c r="G89" i="2"/>
  <c r="K88" i="2"/>
  <c r="J88" i="2"/>
  <c r="I88" i="2"/>
  <c r="H88" i="2"/>
  <c r="G88" i="2"/>
  <c r="K87" i="2"/>
  <c r="J87" i="2"/>
  <c r="I87" i="2"/>
  <c r="H87" i="2"/>
  <c r="G87" i="2"/>
  <c r="K86" i="2"/>
  <c r="J86" i="2"/>
  <c r="I86" i="2"/>
  <c r="H86" i="2"/>
  <c r="G86" i="2"/>
  <c r="K85" i="2"/>
  <c r="J85" i="2"/>
  <c r="I85" i="2"/>
  <c r="H85" i="2"/>
  <c r="G85" i="2"/>
  <c r="K84" i="2"/>
  <c r="J84" i="2"/>
  <c r="I84" i="2"/>
  <c r="H84" i="2"/>
  <c r="G84" i="2"/>
  <c r="K83" i="2"/>
  <c r="J83" i="2"/>
  <c r="I83" i="2"/>
  <c r="H83" i="2"/>
  <c r="G83" i="2"/>
  <c r="K82" i="2"/>
  <c r="J82" i="2"/>
  <c r="I82" i="2"/>
  <c r="H82" i="2"/>
  <c r="G82" i="2"/>
  <c r="K81" i="2"/>
  <c r="J81" i="2"/>
  <c r="I81" i="2"/>
  <c r="H81" i="2"/>
  <c r="G81" i="2"/>
  <c r="K80" i="2"/>
  <c r="J80" i="2"/>
  <c r="I80" i="2"/>
  <c r="H80" i="2"/>
  <c r="G80" i="2"/>
  <c r="K79" i="2"/>
  <c r="J79" i="2"/>
  <c r="I79" i="2"/>
  <c r="H79" i="2"/>
  <c r="G79" i="2"/>
  <c r="K78" i="2"/>
  <c r="J78" i="2"/>
  <c r="I78" i="2"/>
  <c r="H78" i="2"/>
  <c r="G78" i="2"/>
  <c r="K77" i="2"/>
  <c r="J77" i="2"/>
  <c r="I77" i="2"/>
  <c r="H77" i="2"/>
  <c r="G77" i="2"/>
  <c r="K76" i="2"/>
  <c r="J76" i="2"/>
  <c r="I76" i="2"/>
  <c r="H76" i="2"/>
  <c r="G76" i="2"/>
  <c r="K75" i="2"/>
  <c r="J75" i="2"/>
  <c r="I75" i="2"/>
  <c r="H75" i="2"/>
  <c r="G75" i="2"/>
  <c r="K73" i="2"/>
  <c r="J73" i="2"/>
  <c r="I73" i="2"/>
  <c r="H73" i="2"/>
  <c r="G73" i="2"/>
  <c r="K72" i="2"/>
  <c r="J72" i="2"/>
  <c r="I72" i="2"/>
  <c r="H72" i="2"/>
  <c r="G72" i="2"/>
  <c r="K71" i="2"/>
  <c r="J71" i="2"/>
  <c r="I71" i="2"/>
  <c r="H71" i="2"/>
  <c r="G71" i="2"/>
  <c r="K70" i="2"/>
  <c r="J70" i="2"/>
  <c r="I70" i="2"/>
  <c r="H70" i="2"/>
  <c r="G70" i="2"/>
  <c r="K69" i="2"/>
  <c r="J69" i="2"/>
  <c r="I69" i="2"/>
  <c r="H69" i="2"/>
  <c r="G69" i="2"/>
  <c r="K68" i="2"/>
  <c r="J68" i="2"/>
  <c r="I68" i="2"/>
  <c r="H68" i="2"/>
  <c r="G68" i="2"/>
  <c r="K66" i="2"/>
  <c r="J66" i="2"/>
  <c r="I66" i="2"/>
  <c r="H66" i="2"/>
  <c r="G66" i="2"/>
  <c r="K65" i="2"/>
  <c r="J65" i="2"/>
  <c r="I65" i="2"/>
  <c r="H65" i="2"/>
  <c r="G65" i="2"/>
  <c r="K64" i="2"/>
  <c r="J64" i="2"/>
  <c r="I64" i="2"/>
  <c r="H64" i="2"/>
  <c r="G64" i="2"/>
  <c r="K63" i="2"/>
  <c r="J63" i="2"/>
  <c r="I63" i="2"/>
  <c r="H63" i="2"/>
  <c r="G63" i="2"/>
  <c r="K62" i="2"/>
  <c r="J62" i="2"/>
  <c r="I62" i="2"/>
  <c r="H62" i="2"/>
  <c r="G62" i="2"/>
  <c r="K61" i="2"/>
  <c r="J61" i="2"/>
  <c r="I61" i="2"/>
  <c r="H61" i="2"/>
  <c r="G61" i="2"/>
  <c r="K60" i="2"/>
  <c r="J60" i="2"/>
  <c r="I60" i="2"/>
  <c r="H60" i="2"/>
  <c r="G60" i="2"/>
  <c r="K59" i="2"/>
  <c r="J59" i="2"/>
  <c r="I59" i="2"/>
  <c r="H59" i="2"/>
  <c r="G59" i="2"/>
  <c r="A166" i="2" l="1"/>
  <c r="A167" i="2" s="1"/>
  <c r="A168" i="2" s="1"/>
  <c r="A107" i="2"/>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68" i="2"/>
  <c r="A69" i="2" s="1"/>
  <c r="A70" i="2" s="1"/>
  <c r="A71" i="2" s="1"/>
  <c r="A72" i="2" s="1"/>
  <c r="A73"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K981" i="2" l="1"/>
  <c r="J981" i="2"/>
  <c r="I981" i="2"/>
  <c r="H981" i="2"/>
  <c r="G981" i="2"/>
  <c r="K980" i="2"/>
  <c r="J980" i="2"/>
  <c r="I980" i="2"/>
  <c r="H980" i="2"/>
  <c r="G980" i="2"/>
  <c r="K979" i="2"/>
  <c r="J979" i="2"/>
  <c r="I979" i="2"/>
  <c r="H979" i="2"/>
  <c r="G979" i="2"/>
  <c r="K978" i="2"/>
  <c r="J978" i="2"/>
  <c r="I978" i="2"/>
  <c r="H978" i="2"/>
  <c r="G978" i="2"/>
  <c r="K977" i="2"/>
  <c r="J977" i="2"/>
  <c r="I977" i="2"/>
  <c r="H977" i="2"/>
  <c r="G977" i="2"/>
  <c r="K976" i="2"/>
  <c r="J976" i="2"/>
  <c r="I976" i="2"/>
  <c r="H976" i="2"/>
  <c r="G976" i="2"/>
  <c r="K975" i="2"/>
  <c r="J975" i="2"/>
  <c r="I975" i="2"/>
  <c r="H975" i="2"/>
  <c r="G975" i="2"/>
  <c r="K974" i="2"/>
  <c r="J974" i="2"/>
  <c r="I974" i="2"/>
  <c r="H974" i="2"/>
  <c r="G974" i="2"/>
  <c r="K973" i="2"/>
  <c r="J973" i="2"/>
  <c r="I973" i="2"/>
  <c r="H973" i="2"/>
  <c r="G973" i="2"/>
  <c r="K972" i="2"/>
  <c r="J972" i="2"/>
  <c r="I972" i="2"/>
  <c r="H972" i="2"/>
  <c r="G972" i="2"/>
  <c r="K971" i="2"/>
  <c r="J971" i="2"/>
  <c r="I971" i="2"/>
  <c r="H971" i="2"/>
  <c r="G971" i="2"/>
  <c r="K970" i="2"/>
  <c r="J970" i="2"/>
  <c r="I970" i="2"/>
  <c r="H970" i="2"/>
  <c r="G970" i="2"/>
  <c r="K969" i="2"/>
  <c r="J969" i="2"/>
  <c r="I969" i="2"/>
  <c r="H969" i="2"/>
  <c r="G969" i="2"/>
  <c r="K968" i="2"/>
  <c r="J968" i="2"/>
  <c r="I968" i="2"/>
  <c r="H968" i="2"/>
  <c r="G968" i="2"/>
  <c r="K967" i="2"/>
  <c r="J967" i="2"/>
  <c r="I967" i="2"/>
  <c r="H967" i="2"/>
  <c r="G967" i="2"/>
  <c r="K966" i="2"/>
  <c r="J966" i="2"/>
  <c r="I966" i="2"/>
  <c r="H966" i="2"/>
  <c r="G966" i="2"/>
  <c r="K965" i="2"/>
  <c r="J965" i="2"/>
  <c r="I965" i="2"/>
  <c r="H965" i="2"/>
  <c r="G965" i="2"/>
  <c r="K964" i="2"/>
  <c r="J964" i="2"/>
  <c r="I964" i="2"/>
  <c r="H964" i="2"/>
  <c r="G964" i="2"/>
  <c r="K963" i="2"/>
  <c r="J963" i="2"/>
  <c r="I963" i="2"/>
  <c r="H963" i="2"/>
  <c r="G963" i="2"/>
  <c r="K962" i="2"/>
  <c r="J962" i="2"/>
  <c r="I962" i="2"/>
  <c r="H962" i="2"/>
  <c r="G962" i="2"/>
  <c r="K961" i="2"/>
  <c r="J961" i="2"/>
  <c r="I961" i="2"/>
  <c r="H961" i="2"/>
  <c r="G961" i="2"/>
  <c r="K960" i="2"/>
  <c r="J960" i="2"/>
  <c r="I960" i="2"/>
  <c r="H960" i="2"/>
  <c r="G960" i="2"/>
  <c r="K959" i="2"/>
  <c r="J959" i="2"/>
  <c r="I959" i="2"/>
  <c r="H959" i="2"/>
  <c r="G959" i="2"/>
  <c r="K958" i="2"/>
  <c r="J958" i="2"/>
  <c r="I958" i="2"/>
  <c r="H958" i="2"/>
  <c r="G958" i="2"/>
  <c r="K957" i="2"/>
  <c r="J957" i="2"/>
  <c r="I957" i="2"/>
  <c r="H957" i="2"/>
  <c r="G957" i="2"/>
  <c r="K956" i="2"/>
  <c r="J956" i="2"/>
  <c r="I956" i="2"/>
  <c r="H956" i="2"/>
  <c r="G956" i="2"/>
  <c r="K955" i="2"/>
  <c r="J955" i="2"/>
  <c r="I955" i="2"/>
  <c r="H955" i="2"/>
  <c r="G955" i="2"/>
  <c r="K954" i="2"/>
  <c r="J954" i="2"/>
  <c r="I954" i="2"/>
  <c r="H954" i="2"/>
  <c r="G954" i="2"/>
  <c r="K953" i="2"/>
  <c r="J953" i="2"/>
  <c r="I953" i="2"/>
  <c r="H953" i="2"/>
  <c r="G953" i="2"/>
  <c r="K952" i="2"/>
  <c r="J952" i="2"/>
  <c r="I952" i="2"/>
  <c r="H952" i="2"/>
  <c r="G952" i="2"/>
  <c r="K951" i="2"/>
  <c r="J951" i="2"/>
  <c r="I951" i="2"/>
  <c r="H951" i="2"/>
  <c r="G951" i="2"/>
  <c r="K950" i="2"/>
  <c r="J950" i="2"/>
  <c r="I950" i="2"/>
  <c r="H950" i="2"/>
  <c r="G950" i="2"/>
  <c r="K949" i="2"/>
  <c r="J949" i="2"/>
  <c r="I949" i="2"/>
  <c r="H949" i="2"/>
  <c r="G949" i="2"/>
  <c r="K948" i="2"/>
  <c r="J948" i="2"/>
  <c r="I948" i="2"/>
  <c r="H948" i="2"/>
  <c r="G948" i="2"/>
  <c r="K947" i="2"/>
  <c r="J947" i="2"/>
  <c r="I947" i="2"/>
  <c r="H947" i="2"/>
  <c r="G947" i="2"/>
  <c r="K946" i="2"/>
  <c r="J946" i="2"/>
  <c r="I946" i="2"/>
  <c r="H946" i="2"/>
  <c r="G946" i="2"/>
  <c r="K945" i="2"/>
  <c r="J945" i="2"/>
  <c r="I945" i="2"/>
  <c r="H945" i="2"/>
  <c r="G945" i="2"/>
  <c r="K944" i="2"/>
  <c r="J944" i="2"/>
  <c r="I944" i="2"/>
  <c r="H944" i="2"/>
  <c r="G944" i="2"/>
  <c r="K943" i="2"/>
  <c r="J943" i="2"/>
  <c r="I943" i="2"/>
  <c r="H943" i="2"/>
  <c r="G943" i="2"/>
  <c r="K942" i="2"/>
  <c r="J942" i="2"/>
  <c r="I942" i="2"/>
  <c r="H942" i="2"/>
  <c r="G942" i="2"/>
  <c r="K941" i="2"/>
  <c r="J941" i="2"/>
  <c r="I941" i="2"/>
  <c r="H941" i="2"/>
  <c r="G941" i="2"/>
  <c r="K940" i="2"/>
  <c r="J940" i="2"/>
  <c r="I940" i="2"/>
  <c r="H940" i="2"/>
  <c r="G940" i="2"/>
  <c r="K939" i="2"/>
  <c r="J939" i="2"/>
  <c r="I939" i="2"/>
  <c r="H939" i="2"/>
  <c r="G939" i="2"/>
  <c r="K938" i="2"/>
  <c r="J938" i="2"/>
  <c r="I938" i="2"/>
  <c r="H938" i="2"/>
  <c r="G938" i="2"/>
  <c r="K937" i="2"/>
  <c r="J937" i="2"/>
  <c r="I937" i="2"/>
  <c r="H937" i="2"/>
  <c r="G937" i="2"/>
  <c r="K936" i="2"/>
  <c r="J936" i="2"/>
  <c r="I936" i="2"/>
  <c r="H936" i="2"/>
  <c r="G936" i="2"/>
  <c r="K935" i="2"/>
  <c r="J935" i="2"/>
  <c r="I935" i="2"/>
  <c r="H935" i="2"/>
  <c r="G935" i="2"/>
  <c r="K934" i="2"/>
  <c r="J934" i="2"/>
  <c r="I934" i="2"/>
  <c r="H934" i="2"/>
  <c r="G934" i="2"/>
  <c r="K933" i="2"/>
  <c r="J933" i="2"/>
  <c r="I933" i="2"/>
  <c r="H933" i="2"/>
  <c r="G933" i="2"/>
  <c r="K932" i="2"/>
  <c r="J932" i="2"/>
  <c r="I932" i="2"/>
  <c r="H932" i="2"/>
  <c r="G932" i="2"/>
  <c r="K931" i="2"/>
  <c r="J931" i="2"/>
  <c r="I931" i="2"/>
  <c r="H931" i="2"/>
  <c r="G931" i="2"/>
  <c r="K930" i="2"/>
  <c r="J930" i="2"/>
  <c r="I930" i="2"/>
  <c r="H930" i="2"/>
  <c r="G930" i="2"/>
  <c r="K929" i="2"/>
  <c r="J929" i="2"/>
  <c r="I929" i="2"/>
  <c r="H929" i="2"/>
  <c r="G929" i="2"/>
  <c r="K928" i="2"/>
  <c r="J928" i="2"/>
  <c r="I928" i="2"/>
  <c r="H928" i="2"/>
  <c r="G928" i="2"/>
  <c r="K927" i="2"/>
  <c r="J927" i="2"/>
  <c r="I927" i="2"/>
  <c r="H927" i="2"/>
  <c r="G927" i="2"/>
  <c r="K926" i="2"/>
  <c r="J926" i="2"/>
  <c r="I926" i="2"/>
  <c r="H926" i="2"/>
  <c r="G926" i="2"/>
  <c r="K925" i="2"/>
  <c r="J925" i="2"/>
  <c r="I925" i="2"/>
  <c r="H925" i="2"/>
  <c r="G925" i="2"/>
  <c r="K924" i="2"/>
  <c r="J924" i="2"/>
  <c r="I924" i="2"/>
  <c r="H924" i="2"/>
  <c r="G924" i="2"/>
  <c r="K923" i="2"/>
  <c r="J923" i="2"/>
  <c r="I923" i="2"/>
  <c r="H923" i="2"/>
  <c r="G923" i="2"/>
  <c r="K922" i="2"/>
  <c r="J922" i="2"/>
  <c r="I922" i="2"/>
  <c r="H922" i="2"/>
  <c r="G922" i="2"/>
  <c r="K921" i="2"/>
  <c r="J921" i="2"/>
  <c r="I921" i="2"/>
  <c r="H921" i="2"/>
  <c r="G921" i="2"/>
  <c r="K920" i="2"/>
  <c r="J920" i="2"/>
  <c r="I920" i="2"/>
  <c r="H920" i="2"/>
  <c r="G920" i="2"/>
  <c r="K919" i="2"/>
  <c r="J919" i="2"/>
  <c r="I919" i="2"/>
  <c r="H919" i="2"/>
  <c r="G919" i="2"/>
  <c r="K918" i="2"/>
  <c r="J918" i="2"/>
  <c r="I918" i="2"/>
  <c r="H918" i="2"/>
  <c r="G918" i="2"/>
  <c r="K917" i="2"/>
  <c r="J917" i="2"/>
  <c r="I917" i="2"/>
  <c r="H917" i="2"/>
  <c r="G917" i="2"/>
  <c r="K916" i="2"/>
  <c r="J916" i="2"/>
  <c r="I916" i="2"/>
  <c r="H916" i="2"/>
  <c r="G916" i="2"/>
  <c r="K915" i="2"/>
  <c r="J915" i="2"/>
  <c r="I915" i="2"/>
  <c r="H915" i="2"/>
  <c r="G915" i="2"/>
  <c r="K914" i="2"/>
  <c r="J914" i="2"/>
  <c r="I914" i="2"/>
  <c r="H914" i="2"/>
  <c r="G914" i="2"/>
  <c r="K913" i="2"/>
  <c r="J913" i="2"/>
  <c r="I913" i="2"/>
  <c r="H913" i="2"/>
  <c r="G913" i="2"/>
  <c r="K912" i="2"/>
  <c r="J912" i="2"/>
  <c r="I912" i="2"/>
  <c r="H912" i="2"/>
  <c r="G912" i="2"/>
  <c r="K911" i="2"/>
  <c r="J911" i="2"/>
  <c r="I911" i="2"/>
  <c r="H911" i="2"/>
  <c r="G911" i="2"/>
  <c r="K910" i="2"/>
  <c r="J910" i="2"/>
  <c r="I910" i="2"/>
  <c r="H910" i="2"/>
  <c r="G910" i="2"/>
  <c r="K909" i="2"/>
  <c r="J909" i="2"/>
  <c r="I909" i="2"/>
  <c r="H909" i="2"/>
  <c r="G909" i="2"/>
  <c r="K908" i="2"/>
  <c r="J908" i="2"/>
  <c r="I908" i="2"/>
  <c r="H908" i="2"/>
  <c r="G908" i="2"/>
  <c r="K907" i="2"/>
  <c r="J907" i="2"/>
  <c r="I907" i="2"/>
  <c r="H907" i="2"/>
  <c r="G907" i="2"/>
  <c r="K906" i="2"/>
  <c r="J906" i="2"/>
  <c r="I906" i="2"/>
  <c r="H906" i="2"/>
  <c r="G906" i="2"/>
  <c r="K905" i="2"/>
  <c r="J905" i="2"/>
  <c r="I905" i="2"/>
  <c r="H905" i="2"/>
  <c r="G905" i="2"/>
  <c r="K904" i="2"/>
  <c r="J904" i="2"/>
  <c r="I904" i="2"/>
  <c r="H904" i="2"/>
  <c r="G904" i="2"/>
  <c r="K903" i="2"/>
  <c r="J903" i="2"/>
  <c r="I903" i="2"/>
  <c r="H903" i="2"/>
  <c r="G903" i="2"/>
  <c r="K902" i="2"/>
  <c r="J902" i="2"/>
  <c r="I902" i="2"/>
  <c r="H902" i="2"/>
  <c r="G902" i="2"/>
  <c r="K901" i="2"/>
  <c r="J901" i="2"/>
  <c r="I901" i="2"/>
  <c r="H901" i="2"/>
  <c r="G901" i="2"/>
  <c r="K900" i="2"/>
  <c r="J900" i="2"/>
  <c r="I900" i="2"/>
  <c r="H900" i="2"/>
  <c r="G900" i="2"/>
  <c r="K899" i="2"/>
  <c r="J899" i="2"/>
  <c r="I899" i="2"/>
  <c r="H899" i="2"/>
  <c r="G899" i="2"/>
  <c r="K898" i="2"/>
  <c r="J898" i="2"/>
  <c r="I898" i="2"/>
  <c r="H898" i="2"/>
  <c r="G898" i="2"/>
  <c r="K897" i="2"/>
  <c r="J897" i="2"/>
  <c r="I897" i="2"/>
  <c r="H897" i="2"/>
  <c r="G897" i="2"/>
  <c r="K896" i="2"/>
  <c r="J896" i="2"/>
  <c r="I896" i="2"/>
  <c r="H896" i="2"/>
  <c r="G896" i="2"/>
  <c r="K895" i="2"/>
  <c r="J895" i="2"/>
  <c r="I895" i="2"/>
  <c r="H895" i="2"/>
  <c r="G895" i="2"/>
  <c r="K894" i="2"/>
  <c r="J894" i="2"/>
  <c r="I894" i="2"/>
  <c r="H894" i="2"/>
  <c r="G894" i="2"/>
  <c r="K893" i="2"/>
  <c r="J893" i="2"/>
  <c r="I893" i="2"/>
  <c r="H893" i="2"/>
  <c r="G893" i="2"/>
  <c r="K892" i="2"/>
  <c r="J892" i="2"/>
  <c r="I892" i="2"/>
  <c r="H892" i="2"/>
  <c r="G892" i="2"/>
  <c r="K891" i="2"/>
  <c r="J891" i="2"/>
  <c r="I891" i="2"/>
  <c r="H891" i="2"/>
  <c r="G891" i="2"/>
  <c r="K890" i="2"/>
  <c r="J890" i="2"/>
  <c r="I890" i="2"/>
  <c r="H890" i="2"/>
  <c r="G890" i="2"/>
  <c r="K889" i="2"/>
  <c r="J889" i="2"/>
  <c r="I889" i="2"/>
  <c r="H889" i="2"/>
  <c r="G889" i="2"/>
  <c r="K888" i="2"/>
  <c r="J888" i="2"/>
  <c r="I888" i="2"/>
  <c r="H888" i="2"/>
  <c r="G888" i="2"/>
  <c r="K887" i="2"/>
  <c r="J887" i="2"/>
  <c r="I887" i="2"/>
  <c r="H887" i="2"/>
  <c r="G887" i="2"/>
  <c r="K886" i="2"/>
  <c r="J886" i="2"/>
  <c r="I886" i="2"/>
  <c r="H886" i="2"/>
  <c r="G886" i="2"/>
  <c r="K885" i="2"/>
  <c r="J885" i="2"/>
  <c r="I885" i="2"/>
  <c r="H885" i="2"/>
  <c r="G885" i="2"/>
  <c r="K884" i="2"/>
  <c r="J884" i="2"/>
  <c r="I884" i="2"/>
  <c r="H884" i="2"/>
  <c r="G884" i="2"/>
  <c r="K883" i="2"/>
  <c r="J883" i="2"/>
  <c r="I883" i="2"/>
  <c r="H883" i="2"/>
  <c r="G883" i="2"/>
  <c r="K882" i="2"/>
  <c r="J882" i="2"/>
  <c r="I882" i="2"/>
  <c r="H882" i="2"/>
  <c r="G882" i="2"/>
  <c r="K881" i="2"/>
  <c r="J881" i="2"/>
  <c r="I881" i="2"/>
  <c r="H881" i="2"/>
  <c r="G881" i="2"/>
  <c r="K880" i="2"/>
  <c r="J880" i="2"/>
  <c r="I880" i="2"/>
  <c r="H880" i="2"/>
  <c r="G880" i="2"/>
  <c r="A880" i="2"/>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K30" i="2" l="1"/>
  <c r="J30" i="2"/>
  <c r="I30" i="2"/>
  <c r="H30" i="2"/>
  <c r="G30" i="2"/>
  <c r="K29" i="2"/>
  <c r="J29" i="2"/>
  <c r="I29" i="2"/>
  <c r="H29" i="2"/>
  <c r="G29" i="2"/>
  <c r="K28" i="2"/>
  <c r="J28" i="2"/>
  <c r="I28" i="2"/>
  <c r="H28" i="2"/>
  <c r="G28" i="2"/>
  <c r="K27" i="2"/>
  <c r="J27" i="2"/>
  <c r="I27" i="2"/>
  <c r="H27" i="2"/>
  <c r="G27" i="2"/>
  <c r="K26" i="2"/>
  <c r="J26" i="2"/>
  <c r="I26" i="2"/>
  <c r="H26" i="2"/>
  <c r="G26" i="2"/>
  <c r="K25" i="2"/>
  <c r="J25" i="2"/>
  <c r="I25" i="2"/>
  <c r="H25" i="2"/>
  <c r="G25" i="2"/>
  <c r="K24" i="2"/>
  <c r="J24" i="2"/>
  <c r="I24" i="2"/>
  <c r="H24" i="2"/>
  <c r="G24" i="2"/>
  <c r="K23" i="2"/>
  <c r="J23" i="2"/>
  <c r="I23" i="2"/>
  <c r="H23" i="2"/>
  <c r="G23" i="2"/>
  <c r="K22" i="2"/>
  <c r="J22" i="2"/>
  <c r="I22" i="2"/>
  <c r="H22" i="2"/>
  <c r="G22" i="2"/>
  <c r="K21" i="2"/>
  <c r="J21" i="2"/>
  <c r="I21" i="2"/>
  <c r="H21" i="2"/>
  <c r="G21" i="2"/>
  <c r="K20" i="2"/>
  <c r="J20" i="2"/>
  <c r="I20" i="2"/>
  <c r="H20" i="2"/>
  <c r="G20" i="2"/>
  <c r="K19" i="2"/>
  <c r="J19" i="2"/>
  <c r="I19" i="2"/>
  <c r="H19" i="2"/>
  <c r="G19" i="2"/>
  <c r="K18" i="2"/>
  <c r="J18" i="2"/>
  <c r="I18" i="2"/>
  <c r="H18" i="2"/>
  <c r="G18" i="2"/>
  <c r="K17" i="2"/>
  <c r="J17" i="2"/>
  <c r="I17" i="2"/>
  <c r="H17" i="2"/>
  <c r="G17" i="2"/>
  <c r="K16" i="2"/>
  <c r="J16" i="2"/>
  <c r="I16" i="2"/>
  <c r="H16" i="2"/>
  <c r="G16" i="2"/>
  <c r="K15" i="2"/>
  <c r="J15" i="2"/>
  <c r="I15" i="2"/>
  <c r="H15" i="2"/>
  <c r="G15" i="2"/>
  <c r="K14" i="2"/>
  <c r="J14" i="2"/>
  <c r="I14" i="2"/>
  <c r="H14" i="2"/>
  <c r="G14" i="2"/>
  <c r="K13" i="2"/>
  <c r="J13" i="2"/>
  <c r="I13" i="2"/>
  <c r="H13" i="2"/>
  <c r="G13" i="2"/>
  <c r="K12" i="2"/>
  <c r="J12" i="2"/>
  <c r="I12" i="2"/>
  <c r="H12" i="2"/>
  <c r="G12" i="2"/>
  <c r="K11" i="2"/>
  <c r="J11" i="2"/>
  <c r="I11" i="2"/>
  <c r="H11" i="2"/>
  <c r="G11" i="2"/>
  <c r="K10" i="2"/>
  <c r="J10" i="2"/>
  <c r="I10" i="2"/>
  <c r="H10" i="2"/>
  <c r="G10" i="2"/>
  <c r="A32" i="2"/>
  <c r="A33" i="2" s="1"/>
  <c r="A34" i="2" s="1"/>
  <c r="A35" i="2" s="1"/>
  <c r="A36" i="2" s="1"/>
  <c r="A37" i="2" s="1"/>
  <c r="A38" i="2" s="1"/>
  <c r="A39" i="2" s="1"/>
  <c r="G32" i="2"/>
  <c r="H32" i="2"/>
  <c r="I32" i="2"/>
  <c r="J32" i="2"/>
  <c r="K32" i="2"/>
  <c r="G33" i="2"/>
  <c r="H33" i="2"/>
  <c r="I33" i="2"/>
  <c r="J33" i="2"/>
  <c r="K33" i="2"/>
  <c r="G34" i="2"/>
  <c r="H34" i="2"/>
  <c r="I34" i="2"/>
  <c r="J34" i="2"/>
  <c r="K34" i="2"/>
  <c r="G35" i="2"/>
  <c r="H35" i="2"/>
  <c r="I35" i="2"/>
  <c r="J35" i="2"/>
  <c r="K35" i="2"/>
  <c r="G36" i="2"/>
  <c r="H36" i="2"/>
  <c r="I36" i="2"/>
  <c r="J36" i="2"/>
  <c r="K36" i="2"/>
  <c r="G769" i="2"/>
  <c r="H769" i="2"/>
  <c r="I769" i="2"/>
  <c r="J769" i="2"/>
  <c r="K769" i="2"/>
  <c r="G770" i="2"/>
  <c r="H770" i="2"/>
  <c r="I770" i="2"/>
  <c r="J770" i="2"/>
  <c r="K770" i="2"/>
  <c r="G771" i="2"/>
  <c r="H771" i="2"/>
  <c r="I771" i="2"/>
  <c r="J771" i="2"/>
  <c r="K771" i="2"/>
  <c r="G772" i="2"/>
  <c r="H772" i="2"/>
  <c r="I772" i="2"/>
  <c r="J772" i="2"/>
  <c r="K772" i="2"/>
  <c r="G773" i="2"/>
  <c r="H773" i="2"/>
  <c r="I773" i="2"/>
  <c r="J773" i="2"/>
  <c r="K773" i="2"/>
  <c r="G774" i="2"/>
  <c r="H774" i="2"/>
  <c r="I774" i="2"/>
  <c r="J774" i="2"/>
  <c r="K774" i="2"/>
  <c r="G775" i="2"/>
  <c r="H775" i="2"/>
  <c r="I775" i="2"/>
  <c r="J775" i="2"/>
  <c r="K775" i="2"/>
  <c r="G776" i="2"/>
  <c r="H776" i="2"/>
  <c r="I776" i="2"/>
  <c r="J776" i="2"/>
  <c r="K776" i="2"/>
  <c r="G777" i="2"/>
  <c r="H777" i="2"/>
  <c r="I777" i="2"/>
  <c r="J777" i="2"/>
  <c r="K777" i="2"/>
  <c r="G778" i="2"/>
  <c r="H778" i="2"/>
  <c r="I778" i="2"/>
  <c r="J778" i="2"/>
  <c r="K778" i="2"/>
  <c r="G779" i="2"/>
  <c r="H779" i="2"/>
  <c r="I779" i="2"/>
  <c r="J779" i="2"/>
  <c r="K779" i="2"/>
  <c r="G780" i="2"/>
  <c r="H780" i="2"/>
  <c r="I780" i="2"/>
  <c r="J780" i="2"/>
  <c r="K780" i="2"/>
  <c r="G781" i="2"/>
  <c r="H781" i="2"/>
  <c r="I781" i="2"/>
  <c r="J781" i="2"/>
  <c r="K781" i="2"/>
  <c r="G782" i="2"/>
  <c r="H782" i="2"/>
  <c r="I782" i="2"/>
  <c r="J782" i="2"/>
  <c r="K782" i="2"/>
  <c r="G783" i="2"/>
  <c r="H783" i="2"/>
  <c r="I783" i="2"/>
  <c r="J783" i="2"/>
  <c r="K783" i="2"/>
  <c r="G784" i="2"/>
  <c r="H784" i="2"/>
  <c r="I784" i="2"/>
  <c r="J784" i="2"/>
  <c r="K784" i="2"/>
  <c r="G785" i="2"/>
  <c r="H785" i="2"/>
  <c r="I785" i="2"/>
  <c r="J785" i="2"/>
  <c r="K785" i="2"/>
  <c r="G786" i="2"/>
  <c r="H786" i="2"/>
  <c r="I786" i="2"/>
  <c r="J786" i="2"/>
  <c r="K786" i="2"/>
  <c r="G787" i="2"/>
  <c r="H787" i="2"/>
  <c r="I787" i="2"/>
  <c r="J787" i="2"/>
  <c r="K787" i="2"/>
  <c r="G788" i="2"/>
  <c r="H788" i="2"/>
  <c r="I788" i="2"/>
  <c r="J788" i="2"/>
  <c r="K788" i="2"/>
  <c r="G789" i="2"/>
  <c r="H789" i="2"/>
  <c r="I789" i="2"/>
  <c r="J789" i="2"/>
  <c r="K789" i="2"/>
  <c r="G790" i="2"/>
  <c r="H790" i="2"/>
  <c r="I790" i="2"/>
  <c r="J790" i="2"/>
  <c r="K790" i="2"/>
  <c r="G791" i="2"/>
  <c r="H791" i="2"/>
  <c r="I791" i="2"/>
  <c r="J791" i="2"/>
  <c r="K791" i="2"/>
  <c r="G792" i="2"/>
  <c r="H792" i="2"/>
  <c r="I792" i="2"/>
  <c r="J792" i="2"/>
  <c r="K792" i="2"/>
  <c r="G793" i="2"/>
  <c r="H793" i="2"/>
  <c r="I793" i="2"/>
  <c r="J793" i="2"/>
  <c r="K793" i="2"/>
  <c r="G794" i="2"/>
  <c r="H794" i="2"/>
  <c r="I794" i="2"/>
  <c r="J794" i="2"/>
  <c r="K794" i="2"/>
  <c r="G795" i="2"/>
  <c r="H795" i="2"/>
  <c r="I795" i="2"/>
  <c r="J795" i="2"/>
  <c r="K795" i="2"/>
  <c r="G796" i="2"/>
  <c r="H796" i="2"/>
  <c r="I796" i="2"/>
  <c r="J796" i="2"/>
  <c r="K796" i="2"/>
  <c r="G797" i="2"/>
  <c r="H797" i="2"/>
  <c r="I797" i="2"/>
  <c r="J797" i="2"/>
  <c r="K797" i="2"/>
  <c r="G798" i="2"/>
  <c r="H798" i="2"/>
  <c r="I798" i="2"/>
  <c r="J798" i="2"/>
  <c r="K798" i="2"/>
  <c r="G799" i="2"/>
  <c r="H799" i="2"/>
  <c r="I799" i="2"/>
  <c r="J799" i="2"/>
  <c r="K799" i="2"/>
  <c r="G800" i="2"/>
  <c r="H800" i="2"/>
  <c r="I800" i="2"/>
  <c r="J800" i="2"/>
  <c r="K800" i="2"/>
  <c r="G801" i="2"/>
  <c r="H801" i="2"/>
  <c r="I801" i="2"/>
  <c r="J801" i="2"/>
  <c r="K801" i="2"/>
  <c r="G802" i="2"/>
  <c r="H802" i="2"/>
  <c r="I802" i="2"/>
  <c r="J802" i="2"/>
  <c r="K802" i="2"/>
  <c r="G803" i="2"/>
  <c r="H803" i="2"/>
  <c r="I803" i="2"/>
  <c r="J803" i="2"/>
  <c r="K803" i="2"/>
  <c r="G804" i="2"/>
  <c r="H804" i="2"/>
  <c r="I804" i="2"/>
  <c r="J804" i="2"/>
  <c r="K804" i="2"/>
  <c r="G805" i="2"/>
  <c r="H805" i="2"/>
  <c r="I805" i="2"/>
  <c r="J805" i="2"/>
  <c r="K805" i="2"/>
  <c r="G806" i="2"/>
  <c r="H806" i="2"/>
  <c r="I806" i="2"/>
  <c r="J806" i="2"/>
  <c r="K806" i="2"/>
  <c r="G807" i="2"/>
  <c r="H807" i="2"/>
  <c r="I807" i="2"/>
  <c r="J807" i="2"/>
  <c r="K807" i="2"/>
  <c r="G808" i="2"/>
  <c r="H808" i="2"/>
  <c r="I808" i="2"/>
  <c r="J808" i="2"/>
  <c r="K808" i="2"/>
  <c r="G809" i="2"/>
  <c r="H809" i="2"/>
  <c r="I809" i="2"/>
  <c r="J809" i="2"/>
  <c r="K809" i="2"/>
  <c r="G810" i="2"/>
  <c r="H810" i="2"/>
  <c r="I810" i="2"/>
  <c r="J810" i="2"/>
  <c r="K810" i="2"/>
  <c r="G811" i="2"/>
  <c r="H811" i="2"/>
  <c r="I811" i="2"/>
  <c r="J811" i="2"/>
  <c r="K811" i="2"/>
  <c r="G812" i="2"/>
  <c r="H812" i="2"/>
  <c r="I812" i="2"/>
  <c r="J812" i="2"/>
  <c r="K812" i="2"/>
  <c r="G813" i="2"/>
  <c r="H813" i="2"/>
  <c r="I813" i="2"/>
  <c r="J813" i="2"/>
  <c r="K813" i="2"/>
  <c r="G814" i="2"/>
  <c r="H814" i="2"/>
  <c r="I814" i="2"/>
  <c r="J814" i="2"/>
  <c r="K814" i="2"/>
  <c r="G815" i="2"/>
  <c r="H815" i="2"/>
  <c r="I815" i="2"/>
  <c r="J815" i="2"/>
  <c r="K815" i="2"/>
  <c r="G816" i="2"/>
  <c r="H816" i="2"/>
  <c r="I816" i="2"/>
  <c r="J816" i="2"/>
  <c r="K816" i="2"/>
  <c r="G817" i="2"/>
  <c r="H817" i="2"/>
  <c r="I817" i="2"/>
  <c r="J817" i="2"/>
  <c r="K817" i="2"/>
  <c r="G818" i="2"/>
  <c r="H818" i="2"/>
  <c r="I818" i="2"/>
  <c r="J818" i="2"/>
  <c r="K818" i="2"/>
  <c r="G819" i="2"/>
  <c r="H819" i="2"/>
  <c r="I819" i="2"/>
  <c r="J819" i="2"/>
  <c r="K819" i="2"/>
  <c r="G820" i="2"/>
  <c r="H820" i="2"/>
  <c r="I820" i="2"/>
  <c r="J820" i="2"/>
  <c r="K820" i="2"/>
  <c r="G821" i="2"/>
  <c r="H821" i="2"/>
  <c r="I821" i="2"/>
  <c r="J821" i="2"/>
  <c r="K821" i="2"/>
  <c r="G822" i="2"/>
  <c r="H822" i="2"/>
  <c r="I822" i="2"/>
  <c r="J822" i="2"/>
  <c r="K822" i="2"/>
  <c r="G823" i="2"/>
  <c r="H823" i="2"/>
  <c r="I823" i="2"/>
  <c r="J823" i="2"/>
  <c r="K823" i="2"/>
  <c r="G824" i="2"/>
  <c r="H824" i="2"/>
  <c r="I824" i="2"/>
  <c r="J824" i="2"/>
  <c r="K824" i="2"/>
  <c r="G825" i="2"/>
  <c r="H825" i="2"/>
  <c r="I825" i="2"/>
  <c r="J825" i="2"/>
  <c r="K825" i="2"/>
  <c r="G826" i="2"/>
  <c r="H826" i="2"/>
  <c r="I826" i="2"/>
  <c r="J826" i="2"/>
  <c r="K826" i="2"/>
  <c r="G827" i="2"/>
  <c r="H827" i="2"/>
  <c r="I827" i="2"/>
  <c r="J827" i="2"/>
  <c r="K827" i="2"/>
  <c r="G828" i="2"/>
  <c r="H828" i="2"/>
  <c r="I828" i="2"/>
  <c r="J828" i="2"/>
  <c r="K828" i="2"/>
  <c r="G829" i="2"/>
  <c r="H829" i="2"/>
  <c r="I829" i="2"/>
  <c r="J829" i="2"/>
  <c r="K829" i="2"/>
  <c r="G830" i="2"/>
  <c r="H830" i="2"/>
  <c r="I830" i="2"/>
  <c r="J830" i="2"/>
  <c r="K830" i="2"/>
  <c r="G831" i="2"/>
  <c r="H831" i="2"/>
  <c r="I831" i="2"/>
  <c r="J831" i="2"/>
  <c r="K831" i="2"/>
  <c r="G832" i="2"/>
  <c r="H832" i="2"/>
  <c r="I832" i="2"/>
  <c r="J832" i="2"/>
  <c r="K832" i="2"/>
  <c r="G833" i="2"/>
  <c r="H833" i="2"/>
  <c r="I833" i="2"/>
  <c r="J833" i="2"/>
  <c r="K833" i="2"/>
  <c r="G834" i="2"/>
  <c r="H834" i="2"/>
  <c r="I834" i="2"/>
  <c r="J834" i="2"/>
  <c r="K834" i="2"/>
  <c r="G835" i="2"/>
  <c r="H835" i="2"/>
  <c r="I835" i="2"/>
  <c r="J835" i="2"/>
  <c r="K835" i="2"/>
  <c r="G836" i="2"/>
  <c r="H836" i="2"/>
  <c r="I836" i="2"/>
  <c r="J836" i="2"/>
  <c r="K836" i="2"/>
  <c r="G837" i="2"/>
  <c r="H837" i="2"/>
  <c r="I837" i="2"/>
  <c r="J837" i="2"/>
  <c r="K837" i="2"/>
  <c r="G838" i="2"/>
  <c r="H838" i="2"/>
  <c r="I838" i="2"/>
  <c r="J838" i="2"/>
  <c r="K838" i="2"/>
  <c r="G839" i="2"/>
  <c r="H839" i="2"/>
  <c r="I839" i="2"/>
  <c r="J839" i="2"/>
  <c r="K839" i="2"/>
  <c r="G840" i="2"/>
  <c r="H840" i="2"/>
  <c r="I840" i="2"/>
  <c r="J840" i="2"/>
  <c r="K840" i="2"/>
  <c r="G841" i="2"/>
  <c r="H841" i="2"/>
  <c r="I841" i="2"/>
  <c r="J841" i="2"/>
  <c r="K841" i="2"/>
  <c r="G842" i="2"/>
  <c r="H842" i="2"/>
  <c r="I842" i="2"/>
  <c r="J842" i="2"/>
  <c r="K842" i="2"/>
  <c r="G843" i="2"/>
  <c r="H843" i="2"/>
  <c r="I843" i="2"/>
  <c r="J843" i="2"/>
  <c r="K843" i="2"/>
  <c r="G844" i="2"/>
  <c r="H844" i="2"/>
  <c r="I844" i="2"/>
  <c r="J844" i="2"/>
  <c r="K844" i="2"/>
  <c r="G845" i="2"/>
  <c r="H845" i="2"/>
  <c r="I845" i="2"/>
  <c r="J845" i="2"/>
  <c r="K845" i="2"/>
  <c r="G846" i="2"/>
  <c r="H846" i="2"/>
  <c r="I846" i="2"/>
  <c r="J846" i="2"/>
  <c r="K846" i="2"/>
  <c r="G847" i="2"/>
  <c r="H847" i="2"/>
  <c r="I847" i="2"/>
  <c r="J847" i="2"/>
  <c r="K847" i="2"/>
  <c r="G848" i="2"/>
  <c r="H848" i="2"/>
  <c r="I848" i="2"/>
  <c r="J848" i="2"/>
  <c r="K848" i="2"/>
  <c r="G849" i="2"/>
  <c r="H849" i="2"/>
  <c r="I849" i="2"/>
  <c r="J849" i="2"/>
  <c r="K849" i="2"/>
  <c r="G850" i="2"/>
  <c r="H850" i="2"/>
  <c r="I850" i="2"/>
  <c r="J850" i="2"/>
  <c r="K850" i="2"/>
  <c r="G851" i="2"/>
  <c r="H851" i="2"/>
  <c r="I851" i="2"/>
  <c r="J851" i="2"/>
  <c r="K851" i="2"/>
  <c r="G852" i="2"/>
  <c r="H852" i="2"/>
  <c r="I852" i="2"/>
  <c r="J852" i="2"/>
  <c r="K852" i="2"/>
  <c r="G853" i="2"/>
  <c r="H853" i="2"/>
  <c r="I853" i="2"/>
  <c r="J853" i="2"/>
  <c r="K853" i="2"/>
  <c r="G854" i="2"/>
  <c r="H854" i="2"/>
  <c r="I854" i="2"/>
  <c r="J854" i="2"/>
  <c r="K854" i="2"/>
  <c r="G855" i="2"/>
  <c r="H855" i="2"/>
  <c r="I855" i="2"/>
  <c r="J855" i="2"/>
  <c r="K855" i="2"/>
  <c r="G856" i="2"/>
  <c r="H856" i="2"/>
  <c r="I856" i="2"/>
  <c r="J856" i="2"/>
  <c r="K856" i="2"/>
  <c r="G857" i="2"/>
  <c r="H857" i="2"/>
  <c r="I857" i="2"/>
  <c r="J857" i="2"/>
  <c r="K857" i="2"/>
  <c r="G858" i="2"/>
  <c r="H858" i="2"/>
  <c r="I858" i="2"/>
  <c r="J858" i="2"/>
  <c r="K858" i="2"/>
  <c r="G859" i="2"/>
  <c r="H859" i="2"/>
  <c r="I859" i="2"/>
  <c r="J859" i="2"/>
  <c r="K859" i="2"/>
  <c r="G860" i="2"/>
  <c r="H860" i="2"/>
  <c r="I860" i="2"/>
  <c r="J860" i="2"/>
  <c r="K860" i="2"/>
  <c r="G861" i="2"/>
  <c r="H861" i="2"/>
  <c r="I861" i="2"/>
  <c r="J861" i="2"/>
  <c r="K861" i="2"/>
  <c r="G862" i="2"/>
  <c r="H862" i="2"/>
  <c r="I862" i="2"/>
  <c r="J862" i="2"/>
  <c r="K862" i="2"/>
  <c r="G863" i="2"/>
  <c r="H863" i="2"/>
  <c r="I863" i="2"/>
  <c r="J863" i="2"/>
  <c r="K863" i="2"/>
  <c r="G864" i="2"/>
  <c r="H864" i="2"/>
  <c r="I864" i="2"/>
  <c r="J864" i="2"/>
  <c r="K864" i="2"/>
  <c r="G865" i="2"/>
  <c r="H865" i="2"/>
  <c r="I865" i="2"/>
  <c r="J865" i="2"/>
  <c r="K865" i="2"/>
  <c r="G866" i="2"/>
  <c r="H866" i="2"/>
  <c r="I866" i="2"/>
  <c r="J866" i="2"/>
  <c r="K866" i="2"/>
  <c r="G867" i="2"/>
  <c r="H867" i="2"/>
  <c r="I867" i="2"/>
  <c r="J867" i="2"/>
  <c r="K867" i="2"/>
  <c r="G868" i="2"/>
  <c r="H868" i="2"/>
  <c r="I868" i="2"/>
  <c r="J868" i="2"/>
  <c r="K868" i="2"/>
  <c r="G869" i="2"/>
  <c r="H869" i="2"/>
  <c r="I869" i="2"/>
  <c r="J869" i="2"/>
  <c r="K869" i="2"/>
  <c r="G870" i="2"/>
  <c r="H870" i="2"/>
  <c r="I870" i="2"/>
  <c r="J870" i="2"/>
  <c r="K870" i="2"/>
  <c r="G871" i="2"/>
  <c r="H871" i="2"/>
  <c r="I871" i="2"/>
  <c r="J871" i="2"/>
  <c r="K871" i="2"/>
  <c r="G872" i="2"/>
  <c r="H872" i="2"/>
  <c r="I872" i="2"/>
  <c r="J872" i="2"/>
  <c r="K872" i="2"/>
  <c r="G873" i="2"/>
  <c r="H873" i="2"/>
  <c r="I873" i="2"/>
  <c r="J873" i="2"/>
  <c r="K873" i="2"/>
  <c r="G874" i="2"/>
  <c r="H874" i="2"/>
  <c r="I874" i="2"/>
  <c r="J874" i="2"/>
  <c r="K874" i="2"/>
  <c r="G41" i="2"/>
  <c r="H41" i="2"/>
  <c r="I41" i="2"/>
  <c r="J41" i="2"/>
  <c r="K41" i="2"/>
  <c r="G42" i="2"/>
  <c r="H42" i="2"/>
  <c r="I42" i="2"/>
  <c r="J42" i="2"/>
  <c r="K42" i="2"/>
  <c r="G43" i="2"/>
  <c r="H43" i="2"/>
  <c r="I43" i="2"/>
  <c r="J43" i="2"/>
  <c r="K43" i="2"/>
  <c r="G45" i="2"/>
  <c r="H45" i="2"/>
  <c r="I45" i="2"/>
  <c r="J45" i="2"/>
  <c r="K45" i="2"/>
  <c r="G46" i="2"/>
  <c r="H46" i="2"/>
  <c r="I46" i="2"/>
  <c r="J46" i="2"/>
  <c r="K46" i="2"/>
  <c r="G47" i="2"/>
  <c r="H47" i="2"/>
  <c r="I47" i="2"/>
  <c r="J47" i="2"/>
  <c r="K47" i="2"/>
  <c r="G49" i="2"/>
  <c r="H49" i="2"/>
  <c r="I49" i="2"/>
  <c r="J49" i="2"/>
  <c r="K49" i="2"/>
  <c r="G51" i="2"/>
  <c r="H51" i="2"/>
  <c r="I51" i="2"/>
  <c r="J51" i="2"/>
  <c r="K51" i="2"/>
  <c r="G52" i="2"/>
  <c r="H52" i="2"/>
  <c r="I52" i="2"/>
  <c r="J52" i="2"/>
  <c r="K52" i="2"/>
  <c r="G53" i="2"/>
  <c r="H53" i="2"/>
  <c r="I53" i="2"/>
  <c r="J53" i="2"/>
  <c r="K53" i="2"/>
  <c r="G54" i="2"/>
  <c r="H54" i="2"/>
  <c r="I54" i="2"/>
  <c r="J54" i="2"/>
  <c r="K54" i="2"/>
  <c r="G55" i="2"/>
  <c r="H55" i="2"/>
  <c r="I55" i="2"/>
  <c r="J55" i="2"/>
  <c r="K55" i="2"/>
  <c r="G56" i="2"/>
  <c r="H56" i="2"/>
  <c r="I56" i="2"/>
  <c r="J56" i="2"/>
  <c r="K56" i="2"/>
  <c r="G57" i="2"/>
  <c r="H57" i="2"/>
  <c r="I57" i="2"/>
  <c r="J57" i="2"/>
  <c r="K57" i="2"/>
  <c r="G697" i="2"/>
  <c r="H697" i="2"/>
  <c r="I697" i="2"/>
  <c r="J697" i="2"/>
  <c r="K697" i="2"/>
  <c r="G698" i="2"/>
  <c r="H698" i="2"/>
  <c r="I698" i="2"/>
  <c r="J698" i="2"/>
  <c r="K698" i="2"/>
  <c r="G699" i="2"/>
  <c r="H699" i="2"/>
  <c r="I699" i="2"/>
  <c r="J699" i="2"/>
  <c r="K699" i="2"/>
  <c r="G701" i="2"/>
  <c r="H701" i="2"/>
  <c r="I701" i="2"/>
  <c r="J701" i="2"/>
  <c r="K701" i="2"/>
  <c r="G702" i="2"/>
  <c r="H702" i="2"/>
  <c r="I702" i="2"/>
  <c r="J702" i="2"/>
  <c r="K702" i="2"/>
  <c r="G703" i="2"/>
  <c r="H703" i="2"/>
  <c r="I703" i="2"/>
  <c r="J703" i="2"/>
  <c r="K703" i="2"/>
  <c r="G704" i="2"/>
  <c r="H704" i="2"/>
  <c r="I704" i="2"/>
  <c r="J704" i="2"/>
  <c r="K704" i="2"/>
  <c r="G705" i="2"/>
  <c r="H705" i="2"/>
  <c r="I705" i="2"/>
  <c r="J705" i="2"/>
  <c r="K705" i="2"/>
  <c r="G706" i="2"/>
  <c r="H706" i="2"/>
  <c r="I706" i="2"/>
  <c r="J706" i="2"/>
  <c r="K706" i="2"/>
  <c r="G707" i="2"/>
  <c r="H707" i="2"/>
  <c r="I707" i="2"/>
  <c r="J707" i="2"/>
  <c r="K707" i="2"/>
  <c r="G709" i="2"/>
  <c r="H709" i="2"/>
  <c r="I709" i="2"/>
  <c r="J709" i="2"/>
  <c r="K709" i="2"/>
  <c r="G710" i="2"/>
  <c r="H710" i="2"/>
  <c r="I710" i="2"/>
  <c r="J710" i="2"/>
  <c r="K710" i="2"/>
  <c r="G711" i="2"/>
  <c r="H711" i="2"/>
  <c r="I711" i="2"/>
  <c r="J711" i="2"/>
  <c r="K711" i="2"/>
  <c r="G712" i="2"/>
  <c r="H712" i="2"/>
  <c r="I712" i="2"/>
  <c r="J712" i="2"/>
  <c r="K712" i="2"/>
  <c r="G713" i="2"/>
  <c r="H713" i="2"/>
  <c r="I713" i="2"/>
  <c r="J713" i="2"/>
  <c r="K713" i="2"/>
  <c r="G714" i="2"/>
  <c r="H714" i="2"/>
  <c r="I714" i="2"/>
  <c r="J714" i="2"/>
  <c r="K714" i="2"/>
  <c r="G715" i="2"/>
  <c r="H715" i="2"/>
  <c r="I715" i="2"/>
  <c r="J715" i="2"/>
  <c r="K715" i="2"/>
  <c r="G716" i="2"/>
  <c r="H716" i="2"/>
  <c r="I716" i="2"/>
  <c r="J716" i="2"/>
  <c r="K716" i="2"/>
  <c r="G717" i="2"/>
  <c r="H717" i="2"/>
  <c r="I717" i="2"/>
  <c r="J717" i="2"/>
  <c r="K717" i="2"/>
  <c r="G718" i="2"/>
  <c r="H718" i="2"/>
  <c r="I718" i="2"/>
  <c r="J718" i="2"/>
  <c r="K718" i="2"/>
  <c r="G719" i="2"/>
  <c r="H719" i="2"/>
  <c r="I719" i="2"/>
  <c r="J719" i="2"/>
  <c r="K719" i="2"/>
  <c r="G720" i="2"/>
  <c r="H720" i="2"/>
  <c r="I720" i="2"/>
  <c r="J720" i="2"/>
  <c r="K720" i="2"/>
  <c r="G721" i="2"/>
  <c r="H721" i="2"/>
  <c r="I721" i="2"/>
  <c r="J721" i="2"/>
  <c r="K721" i="2"/>
  <c r="G722" i="2"/>
  <c r="H722" i="2"/>
  <c r="I722" i="2"/>
  <c r="J722" i="2"/>
  <c r="K722" i="2"/>
  <c r="G723" i="2"/>
  <c r="H723" i="2"/>
  <c r="I723" i="2"/>
  <c r="J723" i="2"/>
  <c r="K723" i="2"/>
  <c r="G724" i="2"/>
  <c r="H724" i="2"/>
  <c r="I724" i="2"/>
  <c r="J724" i="2"/>
  <c r="K724" i="2"/>
  <c r="G725" i="2"/>
  <c r="H725" i="2"/>
  <c r="I725" i="2"/>
  <c r="J725" i="2"/>
  <c r="K725" i="2"/>
  <c r="G726" i="2"/>
  <c r="H726" i="2"/>
  <c r="I726" i="2"/>
  <c r="J726" i="2"/>
  <c r="K726" i="2"/>
  <c r="G727" i="2"/>
  <c r="H727" i="2"/>
  <c r="I727" i="2"/>
  <c r="J727" i="2"/>
  <c r="K727" i="2"/>
  <c r="G728" i="2"/>
  <c r="H728" i="2"/>
  <c r="I728" i="2"/>
  <c r="J728" i="2"/>
  <c r="K728" i="2"/>
  <c r="G729" i="2"/>
  <c r="H729" i="2"/>
  <c r="I729" i="2"/>
  <c r="J729" i="2"/>
  <c r="K729" i="2"/>
  <c r="G730" i="2"/>
  <c r="H730" i="2"/>
  <c r="I730" i="2"/>
  <c r="J730" i="2"/>
  <c r="K730" i="2"/>
  <c r="G731" i="2"/>
  <c r="H731" i="2"/>
  <c r="I731" i="2"/>
  <c r="J731" i="2"/>
  <c r="K731" i="2"/>
  <c r="G732" i="2"/>
  <c r="H732" i="2"/>
  <c r="I732" i="2"/>
  <c r="J732" i="2"/>
  <c r="K732" i="2"/>
  <c r="G733" i="2"/>
  <c r="H733" i="2"/>
  <c r="I733" i="2"/>
  <c r="J733" i="2"/>
  <c r="K733" i="2"/>
  <c r="G734" i="2"/>
  <c r="H734" i="2"/>
  <c r="I734" i="2"/>
  <c r="J734" i="2"/>
  <c r="K734" i="2"/>
  <c r="G735" i="2"/>
  <c r="H735" i="2"/>
  <c r="I735" i="2"/>
  <c r="J735" i="2"/>
  <c r="K735" i="2"/>
  <c r="G736" i="2"/>
  <c r="H736" i="2"/>
  <c r="I736" i="2"/>
  <c r="J736" i="2"/>
  <c r="K736" i="2"/>
  <c r="G737" i="2"/>
  <c r="H737" i="2"/>
  <c r="I737" i="2"/>
  <c r="J737" i="2"/>
  <c r="K737" i="2"/>
  <c r="G738" i="2"/>
  <c r="H738" i="2"/>
  <c r="I738" i="2"/>
  <c r="J738" i="2"/>
  <c r="K738" i="2"/>
  <c r="G739" i="2"/>
  <c r="H739" i="2"/>
  <c r="I739" i="2"/>
  <c r="J739" i="2"/>
  <c r="K739" i="2"/>
  <c r="G740" i="2"/>
  <c r="H740" i="2"/>
  <c r="I740" i="2"/>
  <c r="J740" i="2"/>
  <c r="K740" i="2"/>
  <c r="G741" i="2"/>
  <c r="H741" i="2"/>
  <c r="I741" i="2"/>
  <c r="J741" i="2"/>
  <c r="K741" i="2"/>
  <c r="G742" i="2"/>
  <c r="H742" i="2"/>
  <c r="I742" i="2"/>
  <c r="J742" i="2"/>
  <c r="K742" i="2"/>
  <c r="G743" i="2"/>
  <c r="H743" i="2"/>
  <c r="I743" i="2"/>
  <c r="J743" i="2"/>
  <c r="K743" i="2"/>
  <c r="G744" i="2"/>
  <c r="H744" i="2"/>
  <c r="I744" i="2"/>
  <c r="J744" i="2"/>
  <c r="K744" i="2"/>
  <c r="G745" i="2"/>
  <c r="H745" i="2"/>
  <c r="I745" i="2"/>
  <c r="J745" i="2"/>
  <c r="K745" i="2"/>
  <c r="G746" i="2"/>
  <c r="H746" i="2"/>
  <c r="I746" i="2"/>
  <c r="J746" i="2"/>
  <c r="K746" i="2"/>
  <c r="K9" i="2" l="1"/>
  <c r="J9" i="2"/>
  <c r="I9" i="2"/>
  <c r="H9" i="2"/>
  <c r="G9" i="2"/>
  <c r="K8" i="2"/>
  <c r="J8" i="2"/>
  <c r="I8" i="2"/>
  <c r="H8" i="2"/>
  <c r="G8" i="2"/>
  <c r="K7" i="2"/>
  <c r="J7" i="2"/>
  <c r="I7" i="2"/>
  <c r="H7" i="2"/>
  <c r="G7" i="2"/>
  <c r="K6" i="2"/>
  <c r="J6" i="2"/>
  <c r="I6" i="2"/>
  <c r="H6" i="2"/>
  <c r="G6" i="2"/>
  <c r="K5" i="2"/>
  <c r="J5" i="2"/>
  <c r="I5" i="2"/>
  <c r="H5" i="2"/>
  <c r="G5" i="2"/>
  <c r="A4" i="2"/>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769" i="2" l="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41" i="2" s="1"/>
  <c r="A42" i="2" s="1"/>
  <c r="A43" i="2" s="1"/>
  <c r="A45" i="2" s="1"/>
  <c r="A46" i="2" s="1"/>
  <c r="A47" i="2" s="1"/>
  <c r="A49" i="2" s="1"/>
  <c r="A4" i="6"/>
  <c r="A5" i="6" s="1"/>
  <c r="A51" i="2" l="1"/>
  <c r="A52" i="2" s="1"/>
  <c r="A53" i="2" s="1"/>
  <c r="A54" i="2" s="1"/>
  <c r="A55" i="2" s="1"/>
  <c r="A56" i="2" s="1"/>
  <c r="A57" i="2" s="1"/>
  <c r="A58" i="2" s="1"/>
  <c r="A59" i="2" s="1"/>
  <c r="A60" i="2" s="1"/>
  <c r="A61" i="2" s="1"/>
  <c r="A62" i="2" l="1"/>
  <c r="A63" i="2" s="1"/>
  <c r="A64" i="2" s="1"/>
  <c r="A65" i="2" s="1"/>
  <c r="A66" i="2" s="1"/>
  <c r="A697" i="2"/>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K4" i="2"/>
  <c r="J4" i="2"/>
  <c r="I4" i="2"/>
  <c r="H4" i="2"/>
  <c r="G4" i="2"/>
  <c r="G747" i="2" l="1"/>
  <c r="C3" i="3" s="1"/>
  <c r="H747" i="2" l="1"/>
  <c r="D3" i="3" s="1"/>
  <c r="I747" i="2" l="1"/>
  <c r="E3" i="3" s="1"/>
  <c r="H3" i="3" s="1"/>
  <c r="J747" i="2" l="1"/>
  <c r="F3" i="3" s="1"/>
  <c r="K747" i="2" l="1"/>
  <c r="G3" i="3" s="1"/>
  <c r="C8" i="3" l="1"/>
  <c r="E8" i="3" l="1"/>
  <c r="F8" i="3"/>
  <c r="D8" i="3" l="1"/>
  <c r="H8" i="3" l="1"/>
  <c r="G134" i="16" l="1"/>
  <c r="C5" i="3" s="1"/>
  <c r="H5" i="3" s="1"/>
</calcChain>
</file>

<file path=xl/sharedStrings.xml><?xml version="1.0" encoding="utf-8"?>
<sst xmlns="http://schemas.openxmlformats.org/spreadsheetml/2006/main" count="4500" uniqueCount="1059">
  <si>
    <t>Correct Y / N</t>
  </si>
  <si>
    <t>Test Case</t>
  </si>
  <si>
    <t>Expected Results</t>
  </si>
  <si>
    <t>Bug  ID</t>
  </si>
  <si>
    <t>Notes</t>
  </si>
  <si>
    <t>Pass</t>
  </si>
  <si>
    <t>Fail</t>
  </si>
  <si>
    <t>N/A</t>
  </si>
  <si>
    <t>Not Now</t>
  </si>
  <si>
    <t>To be Tested</t>
  </si>
  <si>
    <t>TOTAL</t>
  </si>
  <si>
    <t>Input data / Action / Field Name</t>
  </si>
  <si>
    <t>Data Dictionary</t>
  </si>
  <si>
    <t>Queries</t>
  </si>
  <si>
    <t>Run query:</t>
  </si>
  <si>
    <t>SELECT * FROM</t>
  </si>
  <si>
    <t>SHRTB2.SHR_TRANREK</t>
  </si>
  <si>
    <t>WITH UR</t>
  </si>
  <si>
    <t>Do not load a client</t>
  </si>
  <si>
    <t>Please load a client before using this function.</t>
  </si>
  <si>
    <t>Fund name</t>
  </si>
  <si>
    <t>SHRTB2.BANK_ACCOUNT</t>
  </si>
  <si>
    <t>Single DisInvestment</t>
  </si>
  <si>
    <t>Details of Recent Batch Transactions</t>
  </si>
  <si>
    <t>SHRTB2.SHR_TK_BATCH</t>
  </si>
  <si>
    <t>Details of Recent Transaction on REGNR</t>
  </si>
  <si>
    <t>WHERE REGNR = &lt;regnr&gt;</t>
  </si>
  <si>
    <t>All details should appear first here, befor any batch job is submitted</t>
  </si>
  <si>
    <t>SHRTB2.SHR_ALG</t>
  </si>
  <si>
    <t>Details of Recurring Repurchase Data</t>
  </si>
  <si>
    <t>SHRTB2.SHR_CONVERTER</t>
  </si>
  <si>
    <t>Details of Recent Changes Data</t>
  </si>
  <si>
    <t>SHRTB2.SHR_AUDIT</t>
  </si>
  <si>
    <t>Repurchase mandate details which must display IF created</t>
  </si>
  <si>
    <t>WHERE REK_TIPE = &lt;rek tipe&gt;</t>
  </si>
  <si>
    <t>AND BANK_REK = &lt;rekening&gt;</t>
  </si>
  <si>
    <t>Should see the Repurchase Instruction Details</t>
  </si>
  <si>
    <t>SHRTB2.SHR_TERUG_INST</t>
  </si>
  <si>
    <t>AND TRUST = &lt;trustnr&gt;</t>
  </si>
  <si>
    <t>Error Message:</t>
  </si>
  <si>
    <t>Go to Unit Transactions:</t>
  </si>
  <si>
    <t>Repurchases &gt; Normal Repurchases</t>
  </si>
  <si>
    <t>Warning message:</t>
  </si>
  <si>
    <t>‘Investor code Changed. Click OK to restart the repurchase process for the new investor code, pr click Cancel to proceed with the existing repurchase.</t>
  </si>
  <si>
    <t>Process flow description</t>
  </si>
  <si>
    <t>1.     Repurchase validation for &lt;  &gt;</t>
  </si>
  <si>
    <t>2.     Date of birth and/or bank account (input)</t>
  </si>
  <si>
    <t>If RF Company or LISP client, skip this step in the process flow.</t>
  </si>
  <si>
    <t>3.     Select validate command</t>
  </si>
  <si>
    <t>4.     Error message</t>
  </si>
  <si>
    <t>If the date of birth input field is displayed, but not captured, display error message</t>
  </si>
  <si>
    <t>5.     Validate date of birth</t>
  </si>
  <si>
    <t>Validate the captured date of birth</t>
  </si>
  <si>
    <t>6.     Error message</t>
  </si>
  <si>
    <t>If the captured date of birth does not correspond with the date of birth on record</t>
  </si>
  <si>
    <t>7.     Display ‘Next command button (on GUI 1)</t>
  </si>
  <si>
    <t>Display the next command button if the date of birth is not an input field or if the captured date of birth is successfully validated</t>
  </si>
  <si>
    <t>8.     End of validations</t>
  </si>
  <si>
    <t>If a bank account has not been captured, this is the end of the validations</t>
  </si>
  <si>
    <t>9.     Display bank account GUI (GUI 1A)</t>
  </si>
  <si>
    <t>Only applicable if a bank account has been captured</t>
  </si>
  <si>
    <t>10.  Validate the captured bank account</t>
  </si>
  <si>
    <t>Determine if the captured bank account exists</t>
  </si>
  <si>
    <t>11.  Warning message</t>
  </si>
  <si>
    <t>If captured bank account is not found, display warning message to this effect</t>
  </si>
  <si>
    <t>12.  Display bank detail for captured bank account</t>
  </si>
  <si>
    <t>Only if the bank account has been found</t>
  </si>
  <si>
    <t>13.  End of validations</t>
  </si>
  <si>
    <t>Validations end at this stage</t>
  </si>
  <si>
    <t>14.  Bank account usage detail</t>
  </si>
  <si>
    <t>If the user drill down on a bank account, display GUI 1B</t>
  </si>
  <si>
    <t>Ensure on the ‘Repurchase Validations’ screen, there should be a trigger for the bank details and/or the DOB.</t>
  </si>
  <si>
    <t>The validations for the bank details and the DOB are on the screen.</t>
  </si>
  <si>
    <t>If RF Company or LISP client, skip this step for DOB in the process flow.</t>
  </si>
  <si>
    <t xml:space="preserve">Initial validations exist of ‘The Date of Birth’. </t>
  </si>
  <si>
    <t>It should disappear from the ‘Landing Page’ when you select the Repurchases screen.</t>
  </si>
  <si>
    <t>Display input field only when DOB is on record.</t>
  </si>
  <si>
    <t>Input then is mandatory.</t>
  </si>
  <si>
    <t>Bank account number should always display an input filed.</t>
  </si>
  <si>
    <t>The input is optional. If data is captured, then the detail must be validated.</t>
  </si>
  <si>
    <t>When investor is under the age of 18, a warning message in red should be on the page.</t>
  </si>
  <si>
    <t>WARNING:</t>
  </si>
  <si>
    <t>INVESTOR IS A MINOR</t>
  </si>
  <si>
    <t>Click on the ‘Validate’ button without capture a DOB.</t>
  </si>
  <si>
    <t>Please supply a valid Date of Birth.</t>
  </si>
  <si>
    <t>Capture an incorrect DOB.</t>
  </si>
  <si>
    <t>Date of birth is incorrect.</t>
  </si>
  <si>
    <t>Captured bank account is not found on record.</t>
  </si>
  <si>
    <t>Pop-Up message:</t>
  </si>
  <si>
    <t>Captured bank account not on record.</t>
  </si>
  <si>
    <t>Capture a Bank account number that is valid on the database.</t>
  </si>
  <si>
    <t>2 Grids should appear when a bank account number is captured:</t>
  </si>
  <si>
    <t>Heading for 1st Grid for bank account number:</t>
  </si>
  <si>
    <t>Bank account usage detail for account number (123456789).</t>
  </si>
  <si>
    <t>Sub headings</t>
  </si>
  <si>
    <t>Make sure the following headings appear on the grid:</t>
  </si>
  <si>
    <t>-        PSNID</t>
  </si>
  <si>
    <t>-        Name</t>
  </si>
  <si>
    <t>-        Address</t>
  </si>
  <si>
    <t>-        DOB</t>
  </si>
  <si>
    <t>PSNID</t>
  </si>
  <si>
    <t>Input field allows only 9 decimals.</t>
  </si>
  <si>
    <t>Should display all PSNID’s that is linked to that bank account number.</t>
  </si>
  <si>
    <t>Name</t>
  </si>
  <si>
    <t>Input field allows 55 Characters.</t>
  </si>
  <si>
    <t>Is should display according to the client’s record</t>
  </si>
  <si>
    <t xml:space="preserve">  Surname</t>
  </si>
  <si>
    <t xml:space="preserve">  First name</t>
  </si>
  <si>
    <t xml:space="preserve">  All initials</t>
  </si>
  <si>
    <t>Address</t>
  </si>
  <si>
    <t>Input field allows 100 alphanumeric characters.</t>
  </si>
  <si>
    <t>This should be the address according to SHR_HOOF.</t>
  </si>
  <si>
    <t>DOB</t>
  </si>
  <si>
    <t>Input field allows 8 Characters.</t>
  </si>
  <si>
    <t>Should be the full DOB, with dd/mm/ccyy.</t>
  </si>
  <si>
    <t>Should display all PSNID’s with linked REGNR’s</t>
  </si>
  <si>
    <t>SHRTB2.SHR_INK_BEGUNS</t>
  </si>
  <si>
    <t>Select a PSNID from the 1st grid.</t>
  </si>
  <si>
    <t>All bank accounts that are linked to that PSNID in 1st grid should appear in 2nd grid.</t>
  </si>
  <si>
    <t>Heading for 2nd Grid for bank account number:</t>
  </si>
  <si>
    <t>Bank account linked to current client.</t>
  </si>
  <si>
    <t>This grid should be populated with all the bank account numbers that is linked to the current context PSNID.</t>
  </si>
  <si>
    <t>Initials and surname</t>
  </si>
  <si>
    <t>-        Initials and surname</t>
  </si>
  <si>
    <t>-        ID/ Passport/company registration number</t>
  </si>
  <si>
    <t>-        Account Number</t>
  </si>
  <si>
    <t>-        Branch code</t>
  </si>
  <si>
    <t>-        Suspended/Blocked</t>
  </si>
  <si>
    <t>-        Bank account status</t>
  </si>
  <si>
    <t>Initial and surname</t>
  </si>
  <si>
    <t>Is should display according to the client’s record, and should be the name detail of the owner of the bank.</t>
  </si>
  <si>
    <t>ID/ Passport/company registration number</t>
  </si>
  <si>
    <t>This detail should belong to the bank account owner.</t>
  </si>
  <si>
    <t>If both the passport and ID number captured, display only the ID number.</t>
  </si>
  <si>
    <t xml:space="preserve">  Input field for ID allows only 13 decimals.</t>
  </si>
  <si>
    <t xml:space="preserve">  Input field for Passport allows only 13 decimals.</t>
  </si>
  <si>
    <t xml:space="preserve">  Input field for Company Registration allows only 15 decimals.</t>
  </si>
  <si>
    <t>Account Number &amp; Branch code</t>
  </si>
  <si>
    <t>Display all bank accounts + 6 digit branch codes found according to the search criteria.</t>
  </si>
  <si>
    <t>Input field for Account number allows only 13 decimals.</t>
  </si>
  <si>
    <t>Input field for Branch code allows only 6 decimals.</t>
  </si>
  <si>
    <t>Suspended/blocked</t>
  </si>
  <si>
    <t>Display ‘S’ if bank account is suspended.</t>
  </si>
  <si>
    <t>Display ‘B’ if bank account is blocked.</t>
  </si>
  <si>
    <t>Input field allows only 2 characters</t>
  </si>
  <si>
    <t>If Bank Account is Blocked or Suspended.</t>
  </si>
  <si>
    <t xml:space="preserve">Display in red ‘S’ or ‘B’ in red. </t>
  </si>
  <si>
    <t>If account status is not:</t>
  </si>
  <si>
    <t>Display in red.</t>
  </si>
  <si>
    <t xml:space="preserve">   Manual verified</t>
  </si>
  <si>
    <t xml:space="preserve">   Automated verified</t>
  </si>
  <si>
    <t xml:space="preserve">   Not verified</t>
  </si>
  <si>
    <t xml:space="preserve">   Pending verification</t>
  </si>
  <si>
    <t>REGNR for that bank account should be populated.</t>
  </si>
  <si>
    <t>WHERE BANK_REK = BANK ACCOUNT NUMBER</t>
  </si>
  <si>
    <t>Selecting client in 2nd Grid.</t>
  </si>
  <si>
    <t>Screen with heading ‘Investors linked to the captured bank account’ should show.</t>
  </si>
  <si>
    <t>This is a non edible screen, information is pre-populated.</t>
  </si>
  <si>
    <t>Status date</t>
  </si>
  <si>
    <t>Add status date for the selected bank account.</t>
  </si>
  <si>
    <t>Sub-headings with input should be populated.</t>
  </si>
  <si>
    <t>Sub-headings:</t>
  </si>
  <si>
    <t xml:space="preserve">  Investor code</t>
  </si>
  <si>
    <t>An EXIT command button to return to previous screen.</t>
  </si>
  <si>
    <t>Investor code</t>
  </si>
  <si>
    <t>Investment owner</t>
  </si>
  <si>
    <t>Purpose</t>
  </si>
  <si>
    <t>Repurchase Information Tab | Normal Repurchase | Non-Lisp Clients</t>
  </si>
  <si>
    <t>Click on ‘NEXT”</t>
  </si>
  <si>
    <t>The ‘Repurchase process flow framework’ screen should appear.</t>
  </si>
  <si>
    <t>Should be able to navigate at all times between the various elements of the repurchase process.</t>
  </si>
  <si>
    <t>The tabs should be:</t>
  </si>
  <si>
    <t xml:space="preserve">  Repurchase Information</t>
  </si>
  <si>
    <t xml:space="preserve">  Personal detail</t>
  </si>
  <si>
    <t xml:space="preserve">  Price &amp; payment type</t>
  </si>
  <si>
    <t xml:space="preserve">  Quantities &amp; payment detail</t>
  </si>
  <si>
    <t xml:space="preserve">  Conclude</t>
  </si>
  <si>
    <t xml:space="preserve">  Recurring repurchase Landing page</t>
  </si>
  <si>
    <t>On the ‘Repurchase Information’ tab:</t>
  </si>
  <si>
    <t>This tab should show, and should load the Repurchase information by default.</t>
  </si>
  <si>
    <t>Business rules for the ‘Repurchase information’ tab.</t>
  </si>
  <si>
    <t>Primary Product:</t>
  </si>
  <si>
    <t>Should have a ‘dropdown’, which should display all the primary products that exists under that PSNID, and that the user have access to. Once you click on ‘NEXT’, this field will change to non-editable.</t>
  </si>
  <si>
    <t>Only funds which have a balance on which funds can be Repurchased, must be listed on the Repurchase screen</t>
  </si>
  <si>
    <t>Date of Birth:</t>
  </si>
  <si>
    <t>This will display with the clients DOB, in mm/dd/ccyy format. When there is no DOB, then this line will be hidden. The field length is 8 decimal characters.</t>
  </si>
  <si>
    <t>ID Number:</t>
  </si>
  <si>
    <t>This will be the ID of the client. When there is no ID, then this line will be hidden. The field length is 13 decimal characters.</t>
  </si>
  <si>
    <t>WARNING: NO UNITS EXISTS</t>
  </si>
  <si>
    <t>This message will display in red when no units exists for the PSNID.</t>
  </si>
  <si>
    <t>Zero Balance Correspondence</t>
  </si>
  <si>
    <t>This command button will only display if units for the PSNID = ZERO. You can select this button to request a Zero Balance letter to go to the client.</t>
  </si>
  <si>
    <t>Recent repurchase transactions</t>
  </si>
  <si>
    <t>If selections criteria are not found hide the selection box (do not display). If selected, the radio button should be tick. Display the selection only if repurchase transactions exist with transaction date within the last 14 calendar days for the current context primary product.</t>
  </si>
  <si>
    <t>Recent changes:</t>
  </si>
  <si>
    <t>If selections criteria are not found hide the selection box (do not display). If selected, the radio button should be tick. Display the selection box only if standing data have been changed during the last 12 months across primary products.</t>
  </si>
  <si>
    <t>Pledge &amp; Frozen detail:</t>
  </si>
  <si>
    <t>If selections criteria are not found hide the selection box (do not display). If selected, the radio button should be tick. Display the selection box only if pledge or frozen exists for investor codes + funds linked for the current context primary product.</t>
  </si>
  <si>
    <t>Notes:</t>
  </si>
  <si>
    <t>Display the selection box only if notes exist (across the primary product).</t>
  </si>
  <si>
    <t>Display the selection description in red until such time that it has been selected.</t>
  </si>
  <si>
    <t xml:space="preserve">Display the selection description in black once the selection box has been selected or if selection box is hidden. </t>
  </si>
  <si>
    <t>Next:</t>
  </si>
  <si>
    <t>Hide if normal or Special repurchase zero balance.</t>
  </si>
  <si>
    <t>Command button. This should display after all the radio buttons have been selected or if none radio buttons are selectable.</t>
  </si>
  <si>
    <t>When selecting the ‘Zero Balance Correspondence’ button.</t>
  </si>
  <si>
    <t>Heading should read:</t>
  </si>
  <si>
    <t>Request zero balance correspondence</t>
  </si>
  <si>
    <t>Sub headings should read from top to bottom.</t>
  </si>
  <si>
    <t>Investor Code: Field length should be 8 decimal characters. This should be pre-populated, and should be the current investor code of the current context primary product.</t>
  </si>
  <si>
    <t>Language: This should have radio buttons for English and Afrikaans. It should default the language of the client. When you change the language, you should change the Title and Salutation as well.</t>
  </si>
  <si>
    <t>Salutation (Display field): Field Length should be 6 characters. Should default the language of the client.</t>
  </si>
  <si>
    <t>English should be = Dear</t>
  </si>
  <si>
    <t>Afrikaans should be = Geagte</t>
  </si>
  <si>
    <t>If language is changed, then change the salutation accordingly.</t>
  </si>
  <si>
    <t>Salutation (Input field): Field length should be 57 characters. If it is individual, display title and surname of client.</t>
  </si>
  <si>
    <t>Else, if English, display ‘Sir’</t>
  </si>
  <si>
    <t>Else, if Afrikaans, display ‘Meneer’</t>
  </si>
  <si>
    <t>Your reference: Field length should be 20charaters. This is an option input field.</t>
  </si>
  <si>
    <t>Date: Field length should be 8 decimal characters. This should display the current date as default.</t>
  </si>
  <si>
    <t>Title: Field length should be 6 characters. This should have a drop down, but should display the current title of the client. If it is a non natural client, the title should display as ‘unknown’.</t>
  </si>
  <si>
    <t>Initials: Field length should be 4 characters. Display the client’s initials as default.</t>
  </si>
  <si>
    <t>Surname: Field length should be 50 characters. It should display the clients surname as default.</t>
  </si>
  <si>
    <t>Address 1, 2, 3, 4 &amp; Postal Code: Should display the address of the client as default.</t>
  </si>
  <si>
    <t>Submit Command button: If no validation failure, then hide the ‘Submit’ and ‘Restart’ command buttons, and display the conformation message.</t>
  </si>
  <si>
    <t>Restart Command button: This will re-set all the default values.</t>
  </si>
  <si>
    <t>Exit Command button: This will close the modal without saving the changes.</t>
  </si>
  <si>
    <t>Errors when the following input is incorrect:</t>
  </si>
  <si>
    <t>Salutation input contains word ‘dear’ or ‘geagte’: Please correct salutation</t>
  </si>
  <si>
    <t>No surname: Surname is compulsory</t>
  </si>
  <si>
    <t>No salutation input: Salutation input is compulsory</t>
  </si>
  <si>
    <t>No address: Address is compulsory</t>
  </si>
  <si>
    <t>No address 2: Address 2 compulsory</t>
  </si>
  <si>
    <t>If no postal code or incorrect postal code: Postal code incorrect (the correct postal code should be display between brackets)</t>
  </si>
  <si>
    <t>Address as populated per default is unknown Please take note that the address on record is unknown</t>
  </si>
  <si>
    <t>No failed validations: Zero correspondence letter has been placed successfully</t>
  </si>
  <si>
    <t>On selection of the ‘Recent repurchase transaction’ radio button.</t>
  </si>
  <si>
    <t>The heading should read: Recent repurchase transaction.</t>
  </si>
  <si>
    <t>The sub-headings in a table:</t>
  </si>
  <si>
    <t xml:space="preserve">  Fund</t>
  </si>
  <si>
    <t xml:space="preserve">  Price date</t>
  </si>
  <si>
    <t xml:space="preserve">  Transaction date</t>
  </si>
  <si>
    <t xml:space="preserve">  Units</t>
  </si>
  <si>
    <t xml:space="preserve">  Amount</t>
  </si>
  <si>
    <t>With an EXIT command button</t>
  </si>
  <si>
    <t>This should descending first on the transaction date, then on the investor code and then on the fund name.</t>
  </si>
  <si>
    <t>Investor code filed length should be 8 decimal characters and the Fund should have 15 characters.</t>
  </si>
  <si>
    <t>The Investor code and the Fund should display all repurchases which has been dine during the preceding 14 calendar days and has not been reversed. This must be to a maximum of the latest 5 per Investor code and Fund. This should display only the Investor codes and Funds linked to the selected primary product.</t>
  </si>
  <si>
    <t>Fund name should be in English in lower case with the short name version.</t>
  </si>
  <si>
    <t>The Price date should be 8 decimal characters.</t>
  </si>
  <si>
    <t>This should be the applicable price date.</t>
  </si>
  <si>
    <t>The Transaction Date should be 8 decimal characters.</t>
  </si>
  <si>
    <t>This should be the applicable transaction date.</t>
  </si>
  <si>
    <t>The Units should be 15,2 decimal characters.</t>
  </si>
  <si>
    <t>This should be the applicable units.</t>
  </si>
  <si>
    <t>The Amount should be 15,2 decimal characters.</t>
  </si>
  <si>
    <t>This should be the applicable repurchase amount.</t>
  </si>
  <si>
    <t>Exit command Button at the bottom of the table.</t>
  </si>
  <si>
    <t>This should close the modal and return the user to the ‘Repurchase Information’ tab.</t>
  </si>
  <si>
    <t>On selection of the ‘Recent changes’ radio button.</t>
  </si>
  <si>
    <t>Should display the ‘Audit Trail” records as it is in ‘Client Enquiries &gt; audit Trail</t>
  </si>
  <si>
    <t>On selection of the ‘Pledge &amp; Frozen’ radio button.</t>
  </si>
  <si>
    <t>The heading is: ‘Pledge &amp; Frozen detail’</t>
  </si>
  <si>
    <t xml:space="preserve">  Pledge</t>
  </si>
  <si>
    <t xml:space="preserve">  Frozen</t>
  </si>
  <si>
    <t>Should display all the Investor codes and Funds that are subject to either a pledge or is frozen.</t>
  </si>
  <si>
    <t>This should display only the Investor codes and Funds linked to the selected primary product.</t>
  </si>
  <si>
    <t>Pledge: View /Alter</t>
  </si>
  <si>
    <t>This should be display if applicable pledge or frozen status exists for the Investor Code and Fund.</t>
  </si>
  <si>
    <t>Frozen: View/Alter</t>
  </si>
  <si>
    <t>If this command buttons is selected, it will display the fund record in the maintenance mode in:</t>
  </si>
  <si>
    <t>These have command buttons.</t>
  </si>
  <si>
    <t>Client Maintenance &gt; Alter &gt; Alter Trust Record.</t>
  </si>
  <si>
    <t>The ‘Notes’ radio button</t>
  </si>
  <si>
    <t>Go to Notes on the Landing page. When it is red, then there are notes attached.</t>
  </si>
  <si>
    <t>Click ‘Next’ on the ‘Repurchase Information Tab’.</t>
  </si>
  <si>
    <t>This should take you to the ‘Personal Detail’ Tab.</t>
  </si>
  <si>
    <t>Primary product = 5 (Pension Fund administrator_</t>
  </si>
  <si>
    <t>Warning Message:</t>
  </si>
  <si>
    <t>Repurchases are not allowed on Pension fund administration products.</t>
  </si>
  <si>
    <t>Primary Product = 3 (Offshore)</t>
  </si>
  <si>
    <t>&amp;</t>
  </si>
  <si>
    <t>Special Repurchases not allowed for the primary Product.</t>
  </si>
  <si>
    <t>Type = Special repurchases</t>
  </si>
  <si>
    <t>On the ‘Personal Detail’ Tab:</t>
  </si>
  <si>
    <t>The ‘Alter Personal Detail’ screen should appear.</t>
  </si>
  <si>
    <t>Batch Generated Repurchase Reports</t>
  </si>
  <si>
    <t>The following reports print with the daily batch run:</t>
  </si>
  <si>
    <t>Afhandelings tye</t>
  </si>
  <si>
    <t>Total value of repurchases: (per mpy)</t>
  </si>
  <si>
    <t>Lys van terugkopes gevoer per klerk</t>
  </si>
  <si>
    <t>The following reports are printed with the printing of the repurchase cheques process (as the cheque nr’s are inserted manually via SUTUWA):</t>
  </si>
  <si>
    <t>Terugkope taak register (per klerk kode)</t>
  </si>
  <si>
    <t>Terugkope taak register vir d/o hold uitbetalings</t>
  </si>
  <si>
    <t>Terugkope taak register vir CVP uitbetalings</t>
  </si>
  <si>
    <t>Terugkope weieringslys</t>
  </si>
  <si>
    <t>Verslag wat druk vir die uitbetalings na die verskillende Sanlam polis afdelings (per afdeling)</t>
  </si>
  <si>
    <t>Groottjek taak register (dit is in 2 gesplit volgens die kliente se vanne {i.e. van A – M en van N – Z; die eerste groep word dan gedruk op klerk kode MP se groottjek taakblad en die tweede groep word gedruk op klerk kode MS se groottjek taakblad)</t>
  </si>
  <si>
    <t>Bank deposito lyste (per bank)</t>
  </si>
  <si>
    <t>Emailed Reports Generated With All Repurchase Transactions</t>
  </si>
  <si>
    <t>Repurchase transactions not authorised (mpy)</t>
  </si>
  <si>
    <t>Repurchase register – greater than R250 000</t>
  </si>
  <si>
    <t>Repurchase completion times (mpy)</t>
  </si>
  <si>
    <t>Profit and loss variance report (mpy)</t>
  </si>
  <si>
    <t>FICA repurchase transaction report</t>
  </si>
  <si>
    <t>Detailed SPI repurchase transactions</t>
  </si>
  <si>
    <t>Daily advisory fee report (mpy)</t>
  </si>
  <si>
    <t xml:space="preserve">KOS files for multi-data </t>
  </si>
  <si>
    <t>Terugkope lys waar bank veranderinge plaas gevind het (mpy)</t>
  </si>
  <si>
    <t>Geldmark terugkope binne 32 dae</t>
  </si>
  <si>
    <t>Daily repurchase checklist (mpy)</t>
  </si>
  <si>
    <t>Cash focus repurchase payments (mpy)</t>
  </si>
  <si>
    <t>SPI daily transactions</t>
  </si>
  <si>
    <t>Units in issue (mpy)</t>
  </si>
  <si>
    <t>Terugkope – bô maximum bedrag</t>
  </si>
  <si>
    <t>Tkpe = 3X mail for schedule nr 1</t>
  </si>
  <si>
    <t>Tkpe = 3X mail for schedule nr 2</t>
  </si>
  <si>
    <t>Tkpe = 3X mail for schedule nr 3</t>
  </si>
  <si>
    <t>Tkpe = 3X mail for schedule nr 4</t>
  </si>
  <si>
    <t>Tkpe = 3X mail for schedule nr 5</t>
  </si>
  <si>
    <t>Tkpe binne 6 weke</t>
  </si>
  <si>
    <t>Repurchase reversal exception report</t>
  </si>
  <si>
    <t>Projek 42</t>
  </si>
  <si>
    <t>Third party checks (mpy)</t>
  </si>
  <si>
    <t>Repurchases over R5 million (bulk)</t>
  </si>
  <si>
    <t>Repurchases over R5 million (normal)</t>
  </si>
  <si>
    <t>Repurchases processed late for (mpy)</t>
  </si>
  <si>
    <t>Inv and rep confirmation via sms</t>
  </si>
  <si>
    <t>T210 terugkope verslag (mpy)</t>
  </si>
  <si>
    <t>Transactions by SUT IT / BS personnel</t>
  </si>
  <si>
    <t>Hand cheques to be issued (mpy)</t>
  </si>
  <si>
    <t>Rep within 6 weeks of investment (mpy)</t>
  </si>
  <si>
    <t>Hand cheques to be issued for LISPS</t>
  </si>
  <si>
    <t>Journals for CRC (mpy)</t>
  </si>
  <si>
    <t>Reversal report*</t>
  </si>
  <si>
    <t>Inv reversals for price date in past (mpy)*</t>
  </si>
  <si>
    <t>Reversed transactions not authorised (mpy)*</t>
  </si>
  <si>
    <t>SCI personnel transaction report</t>
  </si>
  <si>
    <t>Testplan - Unit Transactions_Repurchases first part V0.1.doc</t>
  </si>
  <si>
    <t>ALL Companies</t>
  </si>
  <si>
    <t>Company registration number</t>
  </si>
  <si>
    <t>Not on initial test case</t>
  </si>
  <si>
    <t>???</t>
  </si>
  <si>
    <t>The following fields should be available</t>
  </si>
  <si>
    <t>Instruction Type</t>
  </si>
  <si>
    <t>Instruction Type = Previously selected</t>
  </si>
  <si>
    <t>Estimated Proceeds</t>
  </si>
  <si>
    <t>Payment Instruction</t>
  </si>
  <si>
    <t>Button</t>
  </si>
  <si>
    <t>Reset</t>
  </si>
  <si>
    <t>Next</t>
  </si>
  <si>
    <t>Investor Code</t>
  </si>
  <si>
    <t>Fund</t>
  </si>
  <si>
    <t>Avail Units</t>
  </si>
  <si>
    <t>Override</t>
  </si>
  <si>
    <t>Table</t>
  </si>
  <si>
    <t>Details per Porfolio</t>
  </si>
  <si>
    <t>Total Units</t>
  </si>
  <si>
    <t>Uncleared Units</t>
  </si>
  <si>
    <t>Pledged Units</t>
  </si>
  <si>
    <t>Certificated Units</t>
  </si>
  <si>
    <t>Available Value</t>
  </si>
  <si>
    <t>Total Value</t>
  </si>
  <si>
    <t>Latest Repurchase Price ©</t>
  </si>
  <si>
    <t>Transaction History</t>
  </si>
  <si>
    <t>Recurring Switches</t>
  </si>
  <si>
    <t>Recurring Repurchases</t>
  </si>
  <si>
    <t>Create / Alter Reroute</t>
  </si>
  <si>
    <t>Quantity</t>
  </si>
  <si>
    <t>Quantity Type: Dropdown menu: All, Amount, Units</t>
  </si>
  <si>
    <t>Clear | Should clear Quantity Type selected and Quantity captured</t>
  </si>
  <si>
    <t>Set Quantity Type = Amount</t>
  </si>
  <si>
    <t>Quantity Type = Amount</t>
  </si>
  <si>
    <t>Capture Quantity = 1000</t>
  </si>
  <si>
    <t>Quantity = 1000</t>
  </si>
  <si>
    <t>Click the "C" Clear button</t>
  </si>
  <si>
    <t>The above 2 fields should be cleared</t>
  </si>
  <si>
    <t>Should change to 1000 and font = red</t>
  </si>
  <si>
    <t>Repurchase 001</t>
  </si>
  <si>
    <t>Normal Repurchase | Repurchase Detail Tab | Repurchase Payment instructions (pop-up)</t>
  </si>
  <si>
    <t>Should be the same as on previous window</t>
  </si>
  <si>
    <t>Should be = All</t>
  </si>
  <si>
    <t>Instruction Status</t>
  </si>
  <si>
    <t>Should be = Busy with Instruction….</t>
  </si>
  <si>
    <t>Continue Process = disabled</t>
  </si>
  <si>
    <t>Exit</t>
  </si>
  <si>
    <t>Bank Accounts Linked to Current Client</t>
  </si>
  <si>
    <t>Initials and Surname</t>
  </si>
  <si>
    <t>ID / Passport / Company Registration Number</t>
  </si>
  <si>
    <t>Account Number</t>
  </si>
  <si>
    <t>Branch Code</t>
  </si>
  <si>
    <t>B/S</t>
  </si>
  <si>
    <t>Bank Account Status</t>
  </si>
  <si>
    <t>Repurchase Payment Detail</t>
  </si>
  <si>
    <t>Payment</t>
  </si>
  <si>
    <t>Payment Type</t>
  </si>
  <si>
    <t>Select Deposit</t>
  </si>
  <si>
    <t>The following should be displayed</t>
  </si>
  <si>
    <t>Deposit Type</t>
  </si>
  <si>
    <t>Deposit Type = ACB</t>
  </si>
  <si>
    <t>Deposit Reference</t>
  </si>
  <si>
    <t>Target Bank Account</t>
  </si>
  <si>
    <t>Lookup button</t>
  </si>
  <si>
    <t>Click Target Bank Account</t>
  </si>
  <si>
    <t>Find By</t>
  </si>
  <si>
    <t>New Window should be displayed with the following:</t>
  </si>
  <si>
    <t>Create</t>
  </si>
  <si>
    <t>Update</t>
  </si>
  <si>
    <t>Select</t>
  </si>
  <si>
    <t>This should be the default</t>
  </si>
  <si>
    <t>If the client doesn't have any banking details, message should be displayed in green
This Client currently has no bank accounts</t>
  </si>
  <si>
    <t>Search button should be available</t>
  </si>
  <si>
    <t>Another field should be available, to capture bank account number</t>
  </si>
  <si>
    <t>Capture "4059975660"</t>
  </si>
  <si>
    <t>Surname 001 should be found and displayed</t>
  </si>
  <si>
    <r>
      <t xml:space="preserve">Select </t>
    </r>
    <r>
      <rPr>
        <b/>
        <sz val="10"/>
        <color theme="1"/>
        <rFont val="Arial"/>
        <family val="2"/>
      </rPr>
      <t>Client Bank Accounts</t>
    </r>
  </si>
  <si>
    <r>
      <t xml:space="preserve">Select </t>
    </r>
    <r>
      <rPr>
        <b/>
        <sz val="10"/>
        <color theme="1"/>
        <rFont val="Arial"/>
        <family val="2"/>
      </rPr>
      <t>Bank Account Number</t>
    </r>
  </si>
  <si>
    <r>
      <t xml:space="preserve">Select </t>
    </r>
    <r>
      <rPr>
        <b/>
        <sz val="10"/>
        <color theme="1"/>
        <rFont val="Arial"/>
        <family val="2"/>
      </rPr>
      <t>ID Number</t>
    </r>
  </si>
  <si>
    <t>Capture 4610185030089</t>
  </si>
  <si>
    <r>
      <t xml:space="preserve">Select </t>
    </r>
    <r>
      <rPr>
        <b/>
        <sz val="10"/>
        <color theme="1"/>
        <rFont val="Arial"/>
        <family val="2"/>
      </rPr>
      <t>Passport Number</t>
    </r>
  </si>
  <si>
    <t>Dropdown menu:
   Client Bank Accounts
   Bank Account Number
   ID Number
   Passport Number
   Company Registration Number</t>
  </si>
  <si>
    <r>
      <t xml:space="preserve">Select </t>
    </r>
    <r>
      <rPr>
        <b/>
        <sz val="10"/>
        <color theme="1"/>
        <rFont val="Arial"/>
        <family val="2"/>
      </rPr>
      <t>Company Registration Number</t>
    </r>
  </si>
  <si>
    <t>Capture 12/12345/8</t>
  </si>
  <si>
    <t>Test Client 008 should be found and displayed</t>
  </si>
  <si>
    <r>
      <rPr>
        <b/>
        <sz val="10"/>
        <color theme="1"/>
        <rFont val="Arial"/>
        <family val="2"/>
      </rPr>
      <t>Load another Investor code</t>
    </r>
    <r>
      <rPr>
        <sz val="10"/>
        <color theme="1"/>
        <rFont val="Arial"/>
        <family val="2"/>
      </rPr>
      <t xml:space="preserve"> on the landing page, and ‘Submit’</t>
    </r>
  </si>
  <si>
    <t>Primary Product</t>
  </si>
  <si>
    <t>Dropdown Menu:
Should have a ‘dropdown’, which should display all the primary products that exists under that PSNID, and that the user have access to. Once you click on ‘NEXT’, this field will change to non-editable.</t>
  </si>
  <si>
    <t>Recent Changes</t>
  </si>
  <si>
    <t>Button - when invoked, should return new window with a full audit trail</t>
  </si>
  <si>
    <t>Button - when invoked, it will start the Repurchase process</t>
  </si>
  <si>
    <t>This is a re-use of the ‘Client Maintenance &gt; Alter &gt; Alter Details’ screen, except for a few minor changes.</t>
  </si>
  <si>
    <t>Alter/Proceed; and</t>
  </si>
  <si>
    <t>No Change/Proceed</t>
  </si>
  <si>
    <t>RF Detail</t>
  </si>
  <si>
    <t>Maintain Client Identification Detail</t>
  </si>
  <si>
    <t>Maintain Domicile</t>
  </si>
  <si>
    <t>Free text field, Blank</t>
  </si>
  <si>
    <r>
      <t xml:space="preserve">Click </t>
    </r>
    <r>
      <rPr>
        <b/>
        <sz val="10"/>
        <color theme="1"/>
        <rFont val="Arial"/>
        <family val="2"/>
      </rPr>
      <t>Maintain Client Identification Detail</t>
    </r>
  </si>
  <si>
    <t>Retail - Admin Fee</t>
  </si>
  <si>
    <t>Institutional - Admin Fee</t>
  </si>
  <si>
    <t>Internal - Admin Fee</t>
  </si>
  <si>
    <t>New window with the following:</t>
  </si>
  <si>
    <t>Should be selected</t>
  </si>
  <si>
    <t>Submit</t>
  </si>
  <si>
    <t>Should save and close window</t>
  </si>
  <si>
    <t>Should close window without savings</t>
  </si>
  <si>
    <t>Should revert changes back to default</t>
  </si>
  <si>
    <t>New Page with the following should be displayed</t>
  </si>
  <si>
    <t>Repurchase Detail</t>
  </si>
  <si>
    <t>Type</t>
  </si>
  <si>
    <t>Future Dated Repurchase</t>
  </si>
  <si>
    <t>Multiple Destinations</t>
  </si>
  <si>
    <t>Radio button: 
Normal Repurchase - Default</t>
  </si>
  <si>
    <t>One Destination - Default</t>
  </si>
  <si>
    <t>Non-MM Price Date = Current Date</t>
  </si>
  <si>
    <t>Estimated Proceeds = 0.00</t>
  </si>
  <si>
    <t>Click Clear Button</t>
  </si>
  <si>
    <t>Click Payment Instruction</t>
  </si>
  <si>
    <t>4610185030089</t>
  </si>
  <si>
    <t>4059975660</t>
  </si>
  <si>
    <t>632005</t>
  </si>
  <si>
    <t>Blank</t>
  </si>
  <si>
    <t>Not Verified</t>
  </si>
  <si>
    <t>Radio button with:
   ACB - Default
   Cheque with deposit slip</t>
  </si>
  <si>
    <r>
      <t xml:space="preserve">Free-text field - </t>
    </r>
    <r>
      <rPr>
        <b/>
        <sz val="10"/>
        <color theme="1"/>
        <rFont val="Arial"/>
        <family val="2"/>
      </rPr>
      <t>Test 001</t>
    </r>
  </si>
  <si>
    <t>Click Create</t>
  </si>
  <si>
    <t>Bank Account number</t>
  </si>
  <si>
    <t>6 Digit Branch Bank Code</t>
  </si>
  <si>
    <t>Account Type</t>
  </si>
  <si>
    <t>Is the current context client the bank account owner?</t>
  </si>
  <si>
    <t>Is the account holder an individual?</t>
  </si>
  <si>
    <t>Account Holder name</t>
  </si>
  <si>
    <t>Company Registration Number</t>
  </si>
  <si>
    <t>Bank Account Status Change</t>
  </si>
  <si>
    <t>Status Note</t>
  </si>
  <si>
    <t>4076860105</t>
  </si>
  <si>
    <r>
      <t xml:space="preserve">Dropdown menu: </t>
    </r>
    <r>
      <rPr>
        <b/>
        <sz val="10"/>
        <color theme="1"/>
        <rFont val="Arial"/>
        <family val="2"/>
      </rPr>
      <t>Cheque,</t>
    </r>
    <r>
      <rPr>
        <sz val="10"/>
        <color theme="1"/>
        <rFont val="Arial"/>
        <family val="2"/>
      </rPr>
      <t xml:space="preserve"> Savings, Transmission, Bond</t>
    </r>
  </si>
  <si>
    <t>Radio button: Yes, No - Yes Default</t>
  </si>
  <si>
    <t>Radio button: Yes, No - No Default (disabled)</t>
  </si>
  <si>
    <t>Client Name (Test Client 001)</t>
  </si>
  <si>
    <t>Company Registration Number (12/12345/1)</t>
  </si>
  <si>
    <t>Not Verified - default, Manually Verified</t>
  </si>
  <si>
    <t>Click Submit</t>
  </si>
  <si>
    <t>Bank Account successfully created</t>
  </si>
  <si>
    <t>Click Exit</t>
  </si>
  <si>
    <t>Window should close</t>
  </si>
  <si>
    <t>Is the Client the owner of the Bank Account?</t>
  </si>
  <si>
    <t>Radio button with Yes and No, Yes - Default</t>
  </si>
  <si>
    <t>Target Window should be closed</t>
  </si>
  <si>
    <t>Click Continue Process button</t>
  </si>
  <si>
    <t>Payment instruction should change to Green</t>
  </si>
  <si>
    <t>Click Next</t>
  </si>
  <si>
    <t>Repurchase Type, Batch (default) OR Online</t>
  </si>
  <si>
    <t>Print Letter, Yes, No (default)</t>
  </si>
  <si>
    <t>Repurchase successfully created. The transaction must still be authorised</t>
  </si>
  <si>
    <t>Repurchase Information Tab | Normal Repurchase</t>
  </si>
  <si>
    <t>Personal Detail Tab | Normal Repurchase</t>
  </si>
  <si>
    <t>Repurchase Detail Tab | Normal Repurchase</t>
  </si>
  <si>
    <t>Repurchase 002</t>
  </si>
  <si>
    <r>
      <t xml:space="preserve">Free-text field - </t>
    </r>
    <r>
      <rPr>
        <b/>
        <sz val="10"/>
        <color theme="1"/>
        <rFont val="Arial"/>
        <family val="2"/>
      </rPr>
      <t>Test 002</t>
    </r>
  </si>
  <si>
    <t>Repurchase 003</t>
  </si>
  <si>
    <t>Set Quantity Type = Units</t>
  </si>
  <si>
    <t>Quantity Type = Units</t>
  </si>
  <si>
    <t>INV-9</t>
  </si>
  <si>
    <t>Country Registered</t>
  </si>
  <si>
    <t>Should be auto filled with the Country as on Client</t>
  </si>
  <si>
    <t>Repurchase 004</t>
  </si>
  <si>
    <t>Conclusion Tab | Normal Repurchase</t>
  </si>
  <si>
    <t>Repurchase 005</t>
  </si>
  <si>
    <t>Load Client: 10011594</t>
  </si>
  <si>
    <t>Select Portfolio: SMM 30</t>
  </si>
  <si>
    <r>
      <t xml:space="preserve">Dropdown menu:
</t>
    </r>
    <r>
      <rPr>
        <b/>
        <sz val="10"/>
        <color theme="1"/>
        <rFont val="Arial"/>
        <family val="2"/>
      </rPr>
      <t xml:space="preserve">   Deposit - Only use this when Payment = System Payment</t>
    </r>
    <r>
      <rPr>
        <sz val="10"/>
        <color theme="1"/>
        <rFont val="Arial"/>
        <family val="2"/>
      </rPr>
      <t xml:space="preserve">
   Payment to Sanlam</t>
    </r>
    <r>
      <rPr>
        <b/>
        <sz val="10"/>
        <color theme="1"/>
        <rFont val="Arial"/>
        <family val="2"/>
      </rPr>
      <t xml:space="preserve"> - Do not use</t>
    </r>
    <r>
      <rPr>
        <sz val="10"/>
        <color theme="1"/>
        <rFont val="Arial"/>
        <family val="2"/>
      </rPr>
      <t xml:space="preserve">
   Payment to Sanlam Group  </t>
    </r>
    <r>
      <rPr>
        <b/>
        <sz val="10"/>
        <color theme="1"/>
        <rFont val="Arial"/>
        <family val="2"/>
      </rPr>
      <t>- Do not use</t>
    </r>
  </si>
  <si>
    <t>Select Portfolio: Stable Bonus</t>
  </si>
  <si>
    <r>
      <rPr>
        <b/>
        <u/>
        <sz val="10"/>
        <color theme="0"/>
        <rFont val="Arial"/>
        <family val="2"/>
      </rPr>
      <t>Normal</t>
    </r>
    <r>
      <rPr>
        <b/>
        <sz val="10"/>
        <color theme="0"/>
        <rFont val="Arial"/>
        <family val="2"/>
      </rPr>
      <t xml:space="preserve"> Repurchase - Market Link: Market Value at Price Date | Amount</t>
    </r>
  </si>
  <si>
    <r>
      <rPr>
        <b/>
        <u/>
        <sz val="10"/>
        <color theme="0"/>
        <rFont val="Arial"/>
        <family val="2"/>
      </rPr>
      <t>Normal</t>
    </r>
    <r>
      <rPr>
        <b/>
        <sz val="10"/>
        <color theme="0"/>
        <rFont val="Arial"/>
        <family val="2"/>
      </rPr>
      <t xml:space="preserve"> Repurchase - Market Link: Market Value at Price Date | Units</t>
    </r>
  </si>
  <si>
    <t>Select Portfolio: SMM 50</t>
  </si>
  <si>
    <t>Capture Quantity = 200</t>
  </si>
  <si>
    <t>Quantity = 200</t>
  </si>
  <si>
    <t>Should change to 200 X Price and font = red</t>
  </si>
  <si>
    <r>
      <t xml:space="preserve">Radio button with:
   System Payment - Default
</t>
    </r>
    <r>
      <rPr>
        <b/>
        <sz val="10"/>
        <color theme="1"/>
        <rFont val="Arial"/>
        <family val="2"/>
      </rPr>
      <t xml:space="preserve">   Payment in Suspense</t>
    </r>
  </si>
  <si>
    <t>n/a</t>
  </si>
  <si>
    <t>Select Client Bank Accounts</t>
  </si>
  <si>
    <t>Bank Account Selected</t>
  </si>
  <si>
    <t>Capture Note</t>
  </si>
  <si>
    <t>Required field</t>
  </si>
  <si>
    <r>
      <rPr>
        <b/>
        <u/>
        <sz val="10"/>
        <color theme="0"/>
        <rFont val="Arial"/>
        <family val="2"/>
      </rPr>
      <t>Normal</t>
    </r>
    <r>
      <rPr>
        <b/>
        <sz val="10"/>
        <color theme="0"/>
        <rFont val="Arial"/>
        <family val="2"/>
      </rPr>
      <t xml:space="preserve"> Repurchase - Market Link: Market Value at Price Date | ALL</t>
    </r>
  </si>
  <si>
    <t>Load Client: 10015468</t>
  </si>
  <si>
    <t>Load Client: 10013660</t>
  </si>
  <si>
    <t>Select Portfolio: Cash Ben Pen</t>
  </si>
  <si>
    <t>Set Quantity Type = ALL</t>
  </si>
  <si>
    <t>Quantity Type = ALL</t>
  </si>
  <si>
    <t>Capture Quantity = ALL</t>
  </si>
  <si>
    <t>Quantity = ALL</t>
  </si>
  <si>
    <t>All that is available</t>
  </si>
  <si>
    <t>Should change to ALL and font = red</t>
  </si>
  <si>
    <r>
      <t xml:space="preserve">Free-text field - </t>
    </r>
    <r>
      <rPr>
        <b/>
        <sz val="10"/>
        <color theme="1"/>
        <rFont val="Arial"/>
        <family val="2"/>
      </rPr>
      <t>Test 003</t>
    </r>
  </si>
  <si>
    <r>
      <rPr>
        <b/>
        <u/>
        <sz val="10"/>
        <color theme="0"/>
        <rFont val="Arial"/>
        <family val="2"/>
      </rPr>
      <t>Normal</t>
    </r>
    <r>
      <rPr>
        <b/>
        <sz val="10"/>
        <color theme="0"/>
        <rFont val="Arial"/>
        <family val="2"/>
      </rPr>
      <t xml:space="preserve"> Repurchase - Stable Bonus: Book Value on Transaction Date | Amount</t>
    </r>
  </si>
  <si>
    <t>Capture Quantity = 4000</t>
  </si>
  <si>
    <t>Quantity = 4000</t>
  </si>
  <si>
    <t>Select Request Type</t>
  </si>
  <si>
    <t>Benefit Payment OR Termination</t>
  </si>
  <si>
    <t>Select Benefit Payment</t>
  </si>
  <si>
    <t>Benefit Payment Selected, Should include Book Value + Addhoc Bonus + Addhoc Fees</t>
  </si>
  <si>
    <r>
      <t xml:space="preserve">Free-text field - </t>
    </r>
    <r>
      <rPr>
        <b/>
        <sz val="10"/>
        <color theme="1"/>
        <rFont val="Arial"/>
        <family val="2"/>
      </rPr>
      <t>Test 004</t>
    </r>
  </si>
  <si>
    <r>
      <rPr>
        <b/>
        <u/>
        <sz val="10"/>
        <color theme="0"/>
        <rFont val="Arial"/>
        <family val="2"/>
      </rPr>
      <t>Normal</t>
    </r>
    <r>
      <rPr>
        <b/>
        <sz val="10"/>
        <color theme="0"/>
        <rFont val="Arial"/>
        <family val="2"/>
      </rPr>
      <t xml:space="preserve"> Repurchase - Stable Bonus: Book Value on Transaction Date | Amount &amp; Termination</t>
    </r>
  </si>
  <si>
    <t>Capture Quantity = 5000</t>
  </si>
  <si>
    <t>Quantity = 5000</t>
  </si>
  <si>
    <r>
      <t xml:space="preserve">Free-text field - </t>
    </r>
    <r>
      <rPr>
        <b/>
        <sz val="10"/>
        <color theme="1"/>
        <rFont val="Arial"/>
        <family val="2"/>
      </rPr>
      <t>Test 005</t>
    </r>
  </si>
  <si>
    <t>Termination Selected, Smaller of BV and MV should be used</t>
  </si>
  <si>
    <r>
      <t xml:space="preserve">Free-text field - </t>
    </r>
    <r>
      <rPr>
        <b/>
        <sz val="10"/>
        <color theme="1"/>
        <rFont val="Arial"/>
        <family val="2"/>
      </rPr>
      <t>Test 006</t>
    </r>
  </si>
  <si>
    <r>
      <rPr>
        <b/>
        <u/>
        <sz val="10"/>
        <color theme="0"/>
        <rFont val="Arial"/>
        <family val="2"/>
      </rPr>
      <t>Normal</t>
    </r>
    <r>
      <rPr>
        <b/>
        <sz val="10"/>
        <color theme="0"/>
        <rFont val="Arial"/>
        <family val="2"/>
      </rPr>
      <t xml:space="preserve"> Repurchase - Stable Bonus: Book Value on Transaction Date | ALL &amp; Book Value</t>
    </r>
  </si>
  <si>
    <t>Repurchase 006</t>
  </si>
  <si>
    <t>Instruction Type = Select Benefit PAYMENT</t>
  </si>
  <si>
    <t>The following fields should be available &gt; Leave Defaults</t>
  </si>
  <si>
    <t>`</t>
  </si>
  <si>
    <r>
      <t xml:space="preserve">Verify Tranasction History &gt; </t>
    </r>
    <r>
      <rPr>
        <sz val="10"/>
        <color theme="1"/>
        <rFont val="Arial"/>
        <family val="2"/>
      </rPr>
      <t>Click Transaction History Button</t>
    </r>
  </si>
  <si>
    <t xml:space="preserve">Tranasction History displayed </t>
  </si>
  <si>
    <t>Series:</t>
  </si>
  <si>
    <t>Process date: Unknown</t>
  </si>
  <si>
    <t>Price Date: Current System Date</t>
  </si>
  <si>
    <t>Click the item entry for the new Transaction</t>
  </si>
  <si>
    <t>Details for Investment Displayed</t>
  </si>
  <si>
    <t>Price Date: Same as System Date that was captured</t>
  </si>
  <si>
    <t>Tranasction:UNPRICED REPURCHASE (201)</t>
  </si>
  <si>
    <t>Depending on the amout capture in the transaction</t>
  </si>
  <si>
    <t>Units: 00.00</t>
  </si>
  <si>
    <t>Balance: Unknown until Authorised</t>
  </si>
  <si>
    <t>All transactions are listed here</t>
  </si>
  <si>
    <t>Verification -  Client Total Value</t>
  </si>
  <si>
    <t xml:space="preserve">Portfolio &gt; Investment Value and Unit reflects the Amount </t>
  </si>
  <si>
    <r>
      <rPr>
        <b/>
        <sz val="10"/>
        <color theme="1"/>
        <rFont val="Arial"/>
        <family val="2"/>
      </rPr>
      <t>Unit:</t>
    </r>
    <r>
      <rPr>
        <sz val="10"/>
        <color theme="1"/>
        <rFont val="Arial"/>
        <family val="2"/>
      </rPr>
      <t xml:space="preserve"> Displays the Amount </t>
    </r>
  </si>
  <si>
    <r>
      <rPr>
        <b/>
        <sz val="10"/>
        <color theme="1"/>
        <rFont val="Arial"/>
        <family val="2"/>
      </rPr>
      <t>Value:</t>
    </r>
    <r>
      <rPr>
        <sz val="10"/>
        <color theme="1"/>
        <rFont val="Arial"/>
        <family val="2"/>
      </rPr>
      <t xml:space="preserve"> Displays the Amount </t>
    </r>
  </si>
  <si>
    <t>For the above selected Portfolio &gt; Check totals are correct</t>
  </si>
  <si>
    <r>
      <rPr>
        <b/>
        <sz val="10"/>
        <color theme="1"/>
        <rFont val="Arial"/>
        <family val="2"/>
      </rPr>
      <t>Total Value</t>
    </r>
    <r>
      <rPr>
        <sz val="10"/>
        <color theme="1"/>
        <rFont val="Arial"/>
        <family val="2"/>
      </rPr>
      <t xml:space="preserve"> : Displays the Total value - Repurchase Amount (as per the updated transaction history)  </t>
    </r>
  </si>
  <si>
    <t>Process date: Date Processed</t>
  </si>
  <si>
    <t>Price Date: Date transaction was captured</t>
  </si>
  <si>
    <t>Tranasction:REPURCHASE (201)</t>
  </si>
  <si>
    <t>Gross Amount: Amount Repurchased</t>
  </si>
  <si>
    <t>Units: Repurchase value in units</t>
  </si>
  <si>
    <t>Balance: New Unit balance for Selected Portfolio</t>
  </si>
  <si>
    <t>Verification -  Transaction History</t>
  </si>
  <si>
    <t>Verification -  Portfolio Totals</t>
  </si>
  <si>
    <r>
      <rPr>
        <b/>
        <sz val="10"/>
        <color theme="1"/>
        <rFont val="Arial"/>
        <family val="2"/>
      </rPr>
      <t>Fund:</t>
    </r>
    <r>
      <rPr>
        <sz val="10"/>
        <color theme="1"/>
        <rFont val="Arial"/>
        <family val="2"/>
      </rPr>
      <t xml:space="preserve"> Displays the Name of the Portfolio </t>
    </r>
  </si>
  <si>
    <r>
      <rPr>
        <b/>
        <sz val="10"/>
        <color theme="1"/>
        <rFont val="Arial"/>
        <family val="2"/>
      </rPr>
      <t>Price:</t>
    </r>
    <r>
      <rPr>
        <sz val="10"/>
        <color theme="1"/>
        <rFont val="Arial"/>
        <family val="2"/>
      </rPr>
      <t xml:space="preserve"> Displays the Amount </t>
    </r>
  </si>
  <si>
    <t>Price: Displays the new Amount</t>
  </si>
  <si>
    <t>Clerk:  Name of clerk who captured the Repurchase</t>
  </si>
  <si>
    <t>Deposit Reference#: Deposit Number captured on Bank Info screen</t>
  </si>
  <si>
    <t>Auth By: The person who Authed the transaction</t>
  </si>
  <si>
    <t>Payee Details: Client Details</t>
  </si>
  <si>
    <t>Bak Details: Bank details that were selected</t>
  </si>
  <si>
    <t>Intruction: Type of deposit</t>
  </si>
  <si>
    <t>Reference: Reference Number asigned to transaction</t>
  </si>
  <si>
    <t xml:space="preserve">Lookup an Internal Client where Primary Product Code = SEB RFA (24) </t>
  </si>
  <si>
    <t>Navigation Path - Client Maintenance &gt; Alter &gt; Alter Primary Product</t>
  </si>
  <si>
    <t>Alter Invest Code Details screen is loaded</t>
  </si>
  <si>
    <t xml:space="preserve">Primary Product Name </t>
  </si>
  <si>
    <t>Drop down list displays all primary Products associated with the Client</t>
  </si>
  <si>
    <t>Ensure that the Primary Product Name = SEB RFA (24)</t>
  </si>
  <si>
    <t>Investments Screen Is loaded</t>
  </si>
  <si>
    <t xml:space="preserve">Select  the transactions that were processed for the Porfolios </t>
  </si>
  <si>
    <t>Transactions Processed Succesfully</t>
  </si>
  <si>
    <t xml:space="preserve"> </t>
  </si>
  <si>
    <t>Click Button - Repurchase process started</t>
  </si>
  <si>
    <t>Click Alter/Proceed</t>
  </si>
  <si>
    <t>Repurchase Detail Tab is displayed</t>
  </si>
  <si>
    <t>Repurchase - Termination (Under Funded)</t>
  </si>
  <si>
    <t>Benefit Payment: Not Selected by default</t>
  </si>
  <si>
    <t>Termination Not Selected by default</t>
  </si>
  <si>
    <t>Quantity Type</t>
  </si>
  <si>
    <t>Select  &gt; Amount</t>
  </si>
  <si>
    <t>Check this value</t>
  </si>
  <si>
    <t xml:space="preserve">Quantity &gt; </t>
  </si>
  <si>
    <t>Select &gt; Termination Instruction Type</t>
  </si>
  <si>
    <t>Instruction Type = Select Termination</t>
  </si>
  <si>
    <r>
      <t xml:space="preserve">Portfolio listing is displayed: </t>
    </r>
    <r>
      <rPr>
        <i/>
        <sz val="10"/>
        <color theme="1"/>
        <rFont val="Arial"/>
        <family val="2"/>
      </rPr>
      <t>Select MBF</t>
    </r>
  </si>
  <si>
    <t>Confirmation Dialog Displayed - Underfunded Termination</t>
  </si>
  <si>
    <t>Current Funding Level: % value</t>
  </si>
  <si>
    <t>Do you want to continue at market value: Yes / No</t>
  </si>
  <si>
    <t>Radio Button &gt; Select No</t>
  </si>
  <si>
    <t>Message Dialiog &gt; Smoothed bonus product will be excluded from settlement. Please ensure necessary controls are in place for settlement when funded. Click OK to proceed or CANCEL to change your selection</t>
  </si>
  <si>
    <t>Message Dialog &gt; Click OK</t>
  </si>
  <si>
    <t>Repurchase Detail Tab | Request Type Selection - MV = NO</t>
  </si>
  <si>
    <t>Repurchase Detail Tab | Request Type Selection - MV = Yes</t>
  </si>
  <si>
    <t>Settlement Type = Market Value</t>
  </si>
  <si>
    <t>Radio Button &gt; Select Yes for Continue Market value</t>
  </si>
  <si>
    <t>Settlement Type</t>
  </si>
  <si>
    <t>Settlement Type = Fixed Amount</t>
  </si>
  <si>
    <t>Override &gt; Set</t>
  </si>
  <si>
    <t>Override = No</t>
  </si>
  <si>
    <t>Banking Details Screen Load</t>
  </si>
  <si>
    <t>Perform Bank Details Capture</t>
  </si>
  <si>
    <t>Submit &gt; Click to confirm</t>
  </si>
  <si>
    <t>Continue Process &gt; Click to Complete</t>
  </si>
  <si>
    <t>Gross Amount: -&lt;Amount&gt;</t>
  </si>
  <si>
    <t xml:space="preserve">Verification - Output </t>
  </si>
  <si>
    <t>Ensure that the correct Output is displayed on the system</t>
  </si>
  <si>
    <t>Market Value (MV) adjustment sum folows</t>
  </si>
  <si>
    <t xml:space="preserve"> Amount/Market % =  &lt;Amount&gt;</t>
  </si>
  <si>
    <t>Market Value Sum - Requested Amount</t>
  </si>
  <si>
    <t>Market Value Adjustment</t>
  </si>
  <si>
    <t>Settlement Type = Calculated Market Value</t>
  </si>
  <si>
    <t>Requested Amount/Market %*100 =  &lt;Amount&gt;</t>
  </si>
  <si>
    <t xml:space="preserve">Requested Amount - Market Value Sum </t>
  </si>
  <si>
    <t>Repurchase Reversal</t>
  </si>
  <si>
    <t xml:space="preserve">Terminations </t>
  </si>
  <si>
    <t>For Accouting  Requirement 4.1</t>
  </si>
  <si>
    <r>
      <t xml:space="preserve">Radio button with:
</t>
    </r>
    <r>
      <rPr>
        <b/>
        <sz val="10"/>
        <color theme="1"/>
        <rFont val="Arial"/>
        <family val="2"/>
      </rPr>
      <t xml:space="preserve">  Select System Payment - Default</t>
    </r>
    <r>
      <rPr>
        <sz val="10"/>
        <color theme="1"/>
        <rFont val="Arial"/>
        <family val="2"/>
      </rPr>
      <t xml:space="preserve">
   Payment in Suspense</t>
    </r>
  </si>
  <si>
    <t>Verification -  Accounting</t>
  </si>
  <si>
    <t xml:space="preserve"> Accounting Files - </t>
  </si>
  <si>
    <t>Refer to the Output file generated on the Walker System when Batch is completed</t>
  </si>
  <si>
    <r>
      <t xml:space="preserve"> Accouting Output must be verified : </t>
    </r>
    <r>
      <rPr>
        <b/>
        <sz val="10"/>
        <rFont val="Arial"/>
        <family val="2"/>
      </rPr>
      <t xml:space="preserve"> EA518, GH000, GP003, GP005, JE003 GF801/FA002/GA243 (depending on instruction type)</t>
    </r>
    <r>
      <rPr>
        <sz val="10"/>
        <rFont val="Arial"/>
        <family val="2"/>
      </rPr>
      <t xml:space="preserve">
</t>
    </r>
  </si>
  <si>
    <t>Repurchases &gt; Payment Type Benefit Payment</t>
  </si>
  <si>
    <t>Refer to Accounting Allocation Process Generated for Benefit  Payment &amp; Terminations: Coris Funds</t>
  </si>
  <si>
    <t>Refer to Accounting Allocation Process Generated for Benefit Payment &amp; Terminations: Coris Funds</t>
  </si>
  <si>
    <t xml:space="preserve">Lookup an External Client where Primary Product Code = TEST ABSA GROUP PENSION FUND  (25) </t>
  </si>
  <si>
    <t xml:space="preserve">Ensure that the Primary Product Name = ABSA (25) </t>
  </si>
  <si>
    <t>Navigation Path - Unit Transactions &gt; Repurhases &gt; Normal Repurchases</t>
  </si>
  <si>
    <t>Benefit Payment NON-Coris / SEB RFA</t>
  </si>
  <si>
    <t>For Accouting  Requirement 4.2</t>
  </si>
  <si>
    <t>Repurchase Info Tab Displayed</t>
  </si>
  <si>
    <t>Click Next &gt;</t>
  </si>
  <si>
    <t>Personal Details Tab displayed</t>
  </si>
  <si>
    <t>Click  &gt; No Change/Proceed Button</t>
  </si>
  <si>
    <t>Repurchase Details Tab is displayed</t>
  </si>
  <si>
    <t>Leave Default &gt; Selection</t>
  </si>
  <si>
    <t>Click Next Button</t>
  </si>
  <si>
    <t>Select Instruction Type</t>
  </si>
  <si>
    <t xml:space="preserve"> Click Next Button</t>
  </si>
  <si>
    <t>Repurchase Details | Payment Instruction</t>
  </si>
  <si>
    <t>Setup Payment Instruction</t>
  </si>
  <si>
    <r>
      <t xml:space="preserve">Dropdown Selection 
</t>
    </r>
    <r>
      <rPr>
        <b/>
        <sz val="10"/>
        <color theme="1"/>
        <rFont val="Arial"/>
        <family val="2"/>
      </rPr>
      <t xml:space="preserve">   Payment Type - System Payment</t>
    </r>
    <r>
      <rPr>
        <sz val="10"/>
        <color theme="1"/>
        <rFont val="Arial"/>
        <family val="2"/>
      </rPr>
      <t xml:space="preserve">
   Payment to Sanlam</t>
    </r>
    <r>
      <rPr>
        <b/>
        <sz val="10"/>
        <color theme="1"/>
        <rFont val="Arial"/>
        <family val="2"/>
      </rPr>
      <t xml:space="preserve"> - Do not use</t>
    </r>
    <r>
      <rPr>
        <sz val="10"/>
        <color theme="1"/>
        <rFont val="Arial"/>
        <family val="2"/>
      </rPr>
      <t xml:space="preserve">
   Payment to Sanlam Group  </t>
    </r>
    <r>
      <rPr>
        <b/>
        <sz val="10"/>
        <color theme="1"/>
        <rFont val="Arial"/>
        <family val="2"/>
      </rPr>
      <t>- Do not use</t>
    </r>
  </si>
  <si>
    <t>Selecion Payment Type Drop Down</t>
  </si>
  <si>
    <t>Select Portfolio</t>
  </si>
  <si>
    <t>MBF - Monthly Bonus Portfolio</t>
  </si>
  <si>
    <t>Enter Price Date</t>
  </si>
  <si>
    <t>Ensure Date = Current Date</t>
  </si>
  <si>
    <t>Select Quantity Type for Portfolio</t>
  </si>
  <si>
    <t>Quantity Type Selection - Amount</t>
  </si>
  <si>
    <t xml:space="preserve">Enter Amount </t>
  </si>
  <si>
    <t>Quantity Column - Amount Specified</t>
  </si>
  <si>
    <t xml:space="preserve">Message Reads - Repurchase Succesfully Create. Transaction Must be Authorised </t>
  </si>
  <si>
    <t>Refer to Accounting Allocation Process Generated for Benefit  Payments Non Coris Funds</t>
  </si>
  <si>
    <r>
      <t xml:space="preserve"> Accouting Output must be verified : </t>
    </r>
    <r>
      <rPr>
        <b/>
        <sz val="10"/>
        <rFont val="Arial"/>
        <family val="2"/>
      </rPr>
      <t xml:space="preserve"> SG003 (Note 2), GH000, GP003, GP005, JE003, GF801/FA002/GA243 (depending on instruction type)
</t>
    </r>
    <r>
      <rPr>
        <sz val="10"/>
        <rFont val="Arial"/>
        <family val="2"/>
      </rPr>
      <t xml:space="preserve">
</t>
    </r>
  </si>
  <si>
    <t xml:space="preserve"> Accounting Files </t>
  </si>
  <si>
    <r>
      <t xml:space="preserve"> Accouting Output must be verified : </t>
    </r>
    <r>
      <rPr>
        <b/>
        <sz val="10"/>
        <rFont val="Arial"/>
        <family val="2"/>
      </rPr>
      <t xml:space="preserve">SH420, GH000, GP003, GP005, JE003, GF801/FA002/GA243 (depending on instruction type)
</t>
    </r>
    <r>
      <rPr>
        <sz val="10"/>
        <rFont val="Arial"/>
        <family val="2"/>
      </rPr>
      <t xml:space="preserve">
</t>
    </r>
  </si>
  <si>
    <t>Refer to Accounting Allocation Process Generated for Terminations Non Coris Funds</t>
  </si>
  <si>
    <t>For Accouting  Requirement 4.3</t>
  </si>
  <si>
    <t>Benefit Payment: Realize No-Vesting Bonuses</t>
  </si>
  <si>
    <t xml:space="preserve">Lookup an Internal Client where Primary Product Code = TEST ASSMANG SANLAM PROVIDENT FUND - SEB RFA (24) </t>
  </si>
  <si>
    <t>Please Ensure that the Client you use has a Stable Bonus Configured. Alternatively you can use LISA TEST CLIENT which is also configured with a stable bonus</t>
  </si>
  <si>
    <t xml:space="preserve">Ensure that there is a Stable Bonus </t>
  </si>
  <si>
    <t>Ensure that the Portfolio Stable Bonus is CBA applicable</t>
  </si>
  <si>
    <t xml:space="preserve"> Apply</t>
  </si>
  <si>
    <t>Navigate - Administrator &gt; Authorize Transactions . Investments</t>
  </si>
  <si>
    <t>SEB RFA Not necessary to be Authorized</t>
  </si>
  <si>
    <t>Tick Authorise box</t>
  </si>
  <si>
    <t>Navigate - Unit Tranactions &gt; Investments &gt; Apply Unpriced investments</t>
  </si>
  <si>
    <t>Tick Apply box</t>
  </si>
  <si>
    <r>
      <t xml:space="preserve"> Accouting Output must be verified : </t>
    </r>
    <r>
      <rPr>
        <b/>
        <sz val="10"/>
        <rFont val="Arial"/>
        <family val="2"/>
      </rPr>
      <t xml:space="preserve">PE512, PE012, GP005
, GP003
</t>
    </r>
    <r>
      <rPr>
        <sz val="10"/>
        <rFont val="Arial"/>
        <family val="2"/>
      </rPr>
      <t xml:space="preserve">
</t>
    </r>
  </si>
  <si>
    <t>Refer to Accounting Allocation Process Generated for BRealize No-Vesting Bonuses Non Coris Funds</t>
  </si>
  <si>
    <t>Check Funding Level for Portfolio</t>
  </si>
  <si>
    <t>Navigation Path - Adminstrator &gt; Smoothed Bonus  &gt; Update SB Funding Level</t>
  </si>
  <si>
    <t>Smooth Bonus Funding Level Maintenance Displayed</t>
  </si>
  <si>
    <t>Smoothed Bonus Product &gt; Select STABLE BONUS PORTFOLIO</t>
  </si>
  <si>
    <t>Enter the Start Date as the current date</t>
  </si>
  <si>
    <t>Enter the 90% for Funding level</t>
  </si>
  <si>
    <t>Funding Level Updated</t>
  </si>
  <si>
    <t>Set Funding Level to Underfunded 90%</t>
  </si>
  <si>
    <r>
      <t xml:space="preserve"> Accouting Output must be verified : </t>
    </r>
    <r>
      <rPr>
        <b/>
        <sz val="10"/>
        <rFont val="Arial"/>
        <family val="2"/>
      </rPr>
      <t>JC009, JC010, GP003, GP005, JE003, GH000</t>
    </r>
    <r>
      <rPr>
        <sz val="10"/>
        <rFont val="Arial"/>
        <family val="2"/>
      </rPr>
      <t xml:space="preserve">
</t>
    </r>
  </si>
  <si>
    <t>For Accouting  Requirement 4.5</t>
  </si>
  <si>
    <t>Refer to Accounting Allocation Process Generated for Market Value Adjustments</t>
  </si>
  <si>
    <t>Market Value Adjustments  SEB RFA (24)</t>
  </si>
  <si>
    <t>Market Value Adjustments External Client e.g. ABSA</t>
  </si>
  <si>
    <r>
      <t xml:space="preserve">Ensure that the Primary Product Name = ROBSON SAVAGE or that it is </t>
    </r>
    <r>
      <rPr>
        <b/>
        <sz val="10"/>
        <color theme="1"/>
        <rFont val="Arial"/>
        <family val="2"/>
      </rPr>
      <t>external</t>
    </r>
  </si>
  <si>
    <t xml:space="preserve"> Stable Bonus </t>
  </si>
  <si>
    <t xml:space="preserve">Stable Bonus </t>
  </si>
  <si>
    <t>Benefit Payments</t>
  </si>
  <si>
    <t xml:space="preserve">Market Value Adjustments </t>
  </si>
  <si>
    <t>Disinvestments Internal &amp; External</t>
  </si>
  <si>
    <t>Select Portfolio: STABLE BONUS</t>
  </si>
  <si>
    <t>R3012-00</t>
  </si>
  <si>
    <t>Repurchases &gt; Normal</t>
  </si>
  <si>
    <t>Load a Client &gt; TEST SANLAM UMBRELLA PENSION FUND</t>
  </si>
  <si>
    <t>LOADED</t>
  </si>
  <si>
    <t>Instruction Type = NO REQUEST TYPE SELECTED</t>
  </si>
  <si>
    <t>Selecion Payment Type Drop Down &gt; Select System Payment</t>
  </si>
  <si>
    <t>Select Payment &gt; Payment In Suspense</t>
  </si>
  <si>
    <t>Radio button with Payment in Suspense Selected</t>
  </si>
  <si>
    <r>
      <t xml:space="preserve">Dropdown Selection 
</t>
    </r>
    <r>
      <rPr>
        <b/>
        <sz val="10"/>
        <color theme="1"/>
        <rFont val="Arial"/>
        <family val="2"/>
      </rPr>
      <t xml:space="preserve">   Payment Type - Other</t>
    </r>
    <r>
      <rPr>
        <sz val="10"/>
        <color theme="1"/>
        <rFont val="Arial"/>
        <family val="2"/>
      </rPr>
      <t xml:space="preserve">
  </t>
    </r>
  </si>
  <si>
    <t>Enter Note</t>
  </si>
  <si>
    <t>Test entered into Note Input</t>
  </si>
  <si>
    <t xml:space="preserve">Click Submit </t>
  </si>
  <si>
    <t xml:space="preserve">Message Reads - Repurchase Succesfully Created. Transaction Must still be Authorised </t>
  </si>
  <si>
    <t>Gross Amount: - 100.00?</t>
  </si>
  <si>
    <r>
      <rPr>
        <b/>
        <sz val="10"/>
        <color theme="1"/>
        <rFont val="Arial"/>
        <family val="2"/>
      </rPr>
      <t>Total Value</t>
    </r>
    <r>
      <rPr>
        <sz val="10"/>
        <color theme="1"/>
        <rFont val="Arial"/>
        <family val="2"/>
      </rPr>
      <t xml:space="preserve"> : Displays the Total value</t>
    </r>
  </si>
  <si>
    <t xml:space="preserve"> Authorise and  Apply</t>
  </si>
  <si>
    <t>Navigate - Unit Tranactions &gt; Investments &gt; Apply/Delete Unprocessed</t>
  </si>
  <si>
    <t>If no prices are available then create a Prices Manally</t>
  </si>
  <si>
    <r>
      <t xml:space="preserve"> Accouting Output must be verified : </t>
    </r>
    <r>
      <rPr>
        <b/>
        <sz val="10"/>
        <rFont val="Arial"/>
        <family val="2"/>
      </rPr>
      <t xml:space="preserve"> JE003 (JE003),, GF801 (GF801), GP003, GP005, EA518, GH000
</t>
    </r>
    <r>
      <rPr>
        <sz val="10"/>
        <rFont val="Arial"/>
        <family val="2"/>
      </rPr>
      <t xml:space="preserve">
</t>
    </r>
  </si>
  <si>
    <t>Accouting Requirement 3.2</t>
  </si>
  <si>
    <t>Investments and Disinvestments for Coris Funds</t>
  </si>
  <si>
    <t>Payment Instruction = Payment In Suspense</t>
  </si>
  <si>
    <t>Refer to Accounting Disinvestment Process Generated for Investments and Disinvestments for Coris Funds</t>
  </si>
  <si>
    <t>Refer to the Output file generated on the Walker System when Batch is completed. Refer to the SCI Projects Accounting requirements</t>
  </si>
  <si>
    <t>Load a Client &gt; TEST AEGIS GROUP PENSION FUND</t>
  </si>
  <si>
    <t>Select a Market Value Portfolio &gt; e.g. Sanlam Cash</t>
  </si>
  <si>
    <t>Sanlam Cash Selected</t>
  </si>
  <si>
    <t>Instruction Status = Other</t>
  </si>
  <si>
    <t xml:space="preserve">Select the Bank </t>
  </si>
  <si>
    <t>Bank Selected</t>
  </si>
  <si>
    <t>Conclusion Tab Displayed</t>
  </si>
  <si>
    <t>Repurchase successfully created. The transaction must still be authorised. Note(s) added successfully.</t>
  </si>
  <si>
    <t>Price: Displays Amount</t>
  </si>
  <si>
    <t>Investments and Disinvestments for Non-Coris Funds</t>
  </si>
  <si>
    <t>Refer to the Output file generated on the Walker System when Batch is completed. Refer to the SCI Projects Accounting requirements. EA518 For SEB RFA</t>
  </si>
  <si>
    <r>
      <t xml:space="preserve"> Accouting Output must be verified : </t>
    </r>
    <r>
      <rPr>
        <b/>
        <sz val="10"/>
        <rFont val="Arial"/>
        <family val="2"/>
      </rPr>
      <t xml:space="preserve">  JE003 (JE003)
 , GF801 (GF801), GP003, GP005, SH420, GH000
</t>
    </r>
    <r>
      <rPr>
        <sz val="10"/>
        <rFont val="Arial"/>
        <family val="2"/>
      </rPr>
      <t xml:space="preserve">
</t>
    </r>
  </si>
  <si>
    <t>Accouting Requirement 4.3</t>
  </si>
  <si>
    <t>This is just to verify that the correct client has the correct Primary Product Value</t>
  </si>
  <si>
    <t>Instruction Type = Terminations</t>
  </si>
  <si>
    <t>Setup Payment Instruction -Payment In Suspense</t>
  </si>
  <si>
    <t>Benefit Payment and Terminations SEB RFA - Ben Payment &gt; Other</t>
  </si>
  <si>
    <r>
      <t xml:space="preserve">Dropdown Selection 
</t>
    </r>
    <r>
      <rPr>
        <b/>
        <sz val="10"/>
        <color theme="1"/>
        <rFont val="Arial"/>
        <family val="2"/>
      </rPr>
      <t xml:space="preserve">   Payment Type - Deposit </t>
    </r>
    <r>
      <rPr>
        <sz val="10"/>
        <color theme="1"/>
        <rFont val="Arial"/>
        <family val="2"/>
      </rPr>
      <t xml:space="preserve">
   Payment to Sanlam</t>
    </r>
    <r>
      <rPr>
        <b/>
        <sz val="10"/>
        <color theme="1"/>
        <rFont val="Arial"/>
        <family val="2"/>
      </rPr>
      <t xml:space="preserve"> - Do not use</t>
    </r>
    <r>
      <rPr>
        <sz val="10"/>
        <color theme="1"/>
        <rFont val="Arial"/>
        <family val="2"/>
      </rPr>
      <t xml:space="preserve">
   Payment to Sanlam Group  </t>
    </r>
    <r>
      <rPr>
        <b/>
        <sz val="10"/>
        <color theme="1"/>
        <rFont val="Arial"/>
        <family val="2"/>
      </rPr>
      <t>- Do not use</t>
    </r>
  </si>
  <si>
    <t>Deposit Type Radio Button &gt; Select ACB</t>
  </si>
  <si>
    <t>ACB Selected</t>
  </si>
  <si>
    <t>System Payment &gt; Deposit</t>
  </si>
  <si>
    <t>Details for Disinvestment Investment Displayed</t>
  </si>
  <si>
    <t xml:space="preserve">Dropdown Selection 
   Payment Type - Payment to Sanlam Group
  </t>
  </si>
  <si>
    <t>Repeat Verification of Client Total</t>
  </si>
  <si>
    <t>Repeat Verification of Transaction History</t>
  </si>
  <si>
    <t xml:space="preserve">Client Totals checked </t>
  </si>
  <si>
    <t xml:space="preserve">Transaction History checked </t>
  </si>
  <si>
    <t>Repurchase Details | Payment Instruction Suspense</t>
  </si>
  <si>
    <t>Payment Type - Asset Transfer</t>
  </si>
  <si>
    <t xml:space="preserve">Dropdown Selection 
   Payment Type -Asset Transfer
  </t>
  </si>
  <si>
    <t xml:space="preserve">Dropdown Selection 
   Payment Type - EFT ABSA
  </t>
  </si>
  <si>
    <t>Payment Type - EFT ABSA</t>
  </si>
  <si>
    <t>Select Instruction Drop Down &gt; Select Instruction</t>
  </si>
  <si>
    <t>Payment Type - Sanlam Group (SEB SEED CAPITAL)</t>
  </si>
  <si>
    <t xml:space="preserve">Dropdown Selection 
   Instruction - SEB SEED CAPITAL
  </t>
  </si>
  <si>
    <t>Select Payment Type Drop Down &gt; Select  Payment Type</t>
  </si>
  <si>
    <t xml:space="preserve">Benefit Payment and Terminations SEB RFA -  Payment InSuspense </t>
  </si>
  <si>
    <t>This must be performed for each Instruction Type</t>
  </si>
  <si>
    <t>Instruction Status = Asset Transfer</t>
  </si>
  <si>
    <t>Repeat from 2.0000 Step Until 2.0024</t>
  </si>
  <si>
    <t>Instruction Status = Suspense</t>
  </si>
  <si>
    <r>
      <rPr>
        <b/>
        <sz val="10"/>
        <color theme="1"/>
        <rFont val="Arial"/>
        <family val="2"/>
      </rPr>
      <t>Reference:</t>
    </r>
    <r>
      <rPr>
        <sz val="10"/>
        <color theme="1"/>
        <rFont val="Arial"/>
        <family val="2"/>
      </rPr>
      <t xml:space="preserve"> Reference Number assigned to Instruction EFT ABSA -2C</t>
    </r>
  </si>
  <si>
    <r>
      <rPr>
        <b/>
        <sz val="10"/>
        <color theme="1"/>
        <rFont val="Arial"/>
        <family val="2"/>
      </rPr>
      <t>Reference:</t>
    </r>
    <r>
      <rPr>
        <sz val="10"/>
        <color theme="1"/>
        <rFont val="Arial"/>
        <family val="2"/>
      </rPr>
      <t xml:space="preserve"> Reference Number assigned to Instruction SEB SEED CAPITAL - 2X</t>
    </r>
  </si>
  <si>
    <r>
      <rPr>
        <b/>
        <sz val="10"/>
        <color theme="1"/>
        <rFont val="Arial"/>
        <family val="2"/>
      </rPr>
      <t>Reference:</t>
    </r>
    <r>
      <rPr>
        <sz val="10"/>
        <color theme="1"/>
        <rFont val="Arial"/>
        <family val="2"/>
      </rPr>
      <t xml:space="preserve"> Reference Number assigned to Instruction ASSET TRANSFER - 2R</t>
    </r>
  </si>
  <si>
    <r>
      <rPr>
        <b/>
        <sz val="10"/>
        <color theme="1"/>
        <rFont val="Arial"/>
        <family val="2"/>
      </rPr>
      <t>Reference:</t>
    </r>
    <r>
      <rPr>
        <sz val="10"/>
        <color theme="1"/>
        <rFont val="Arial"/>
        <family val="2"/>
      </rPr>
      <t xml:space="preserve"> Reference Number assigned to Instruction OTHER - 2D</t>
    </r>
  </si>
  <si>
    <t>Tranasction:REPURCHASE (201/ ? 81)</t>
  </si>
  <si>
    <t>Bonus (970/84)</t>
  </si>
  <si>
    <t>SEB Invest Admin Fee (201/86)</t>
  </si>
  <si>
    <t>Depending on Instruction</t>
  </si>
  <si>
    <r>
      <rPr>
        <b/>
        <sz val="10"/>
        <color theme="1"/>
        <rFont val="Arial"/>
        <family val="2"/>
      </rPr>
      <t>Reference:</t>
    </r>
    <r>
      <rPr>
        <sz val="10"/>
        <color theme="1"/>
        <rFont val="Arial"/>
        <family val="2"/>
      </rPr>
      <t xml:space="preserve"> Reference Number assigned to Instruction SEB  PROVIDER PENSION - 2X</t>
    </r>
  </si>
  <si>
    <t>Payment Type - Sanlam Group (SEB PROVIDER PENSIONS)</t>
  </si>
  <si>
    <t xml:space="preserve">Dropdown Selection 
   Instruction - SEB  PROVIDER PENSION
  </t>
  </si>
  <si>
    <t>Instruction Status = OthSEB SEED CAPITALer</t>
  </si>
  <si>
    <t>Terminations NON-Coris / SEB RFA - Payment In Suspense</t>
  </si>
  <si>
    <t>Repurchases &gt; Request Type  Payment In   Suspense</t>
  </si>
  <si>
    <t>Enter DEPOSITI Reference</t>
  </si>
  <si>
    <t>ANY TEXT ENTERED</t>
  </si>
  <si>
    <t>Instruction Status = SUSPENSE</t>
  </si>
  <si>
    <t>Instruction Status = SUSPENSE SCHEDULE CHEQUE</t>
  </si>
  <si>
    <t>Normal DisInvestment</t>
  </si>
  <si>
    <t>SB Investment Fee (201/86)</t>
  </si>
  <si>
    <t>SB Invest admin fee (201/86)</t>
  </si>
  <si>
    <t>EFT ABSA</t>
  </si>
  <si>
    <t xml:space="preserve">ASSET TRANSFER </t>
  </si>
  <si>
    <t>Tranasction:REPURCHASE (201/ 69)</t>
  </si>
  <si>
    <t>Tranasction:Termination (201/ 81)</t>
  </si>
  <si>
    <t>Payment To Sanlam Group - SEB PROVIDER PENSION</t>
  </si>
  <si>
    <t>Payment To Sanlam Group - SEB SEED CAPITAL</t>
  </si>
  <si>
    <t>Displayed for Each Payment Type</t>
  </si>
  <si>
    <t>Other</t>
  </si>
  <si>
    <t>Displayed for each of the Above transactions</t>
  </si>
  <si>
    <t>For Accouting  Requirement 4.4</t>
  </si>
  <si>
    <t>Pre-Requisite - Please ensure that the CBA asset value is checked, if no asset value exists then the user must create a balance</t>
  </si>
  <si>
    <t>Check that asset value exists for a Stable Bonus Portfolio</t>
  </si>
  <si>
    <r>
      <t xml:space="preserve">Dropdown Selection 
</t>
    </r>
    <r>
      <rPr>
        <b/>
        <sz val="10"/>
        <color theme="1"/>
        <rFont val="Arial"/>
        <family val="2"/>
      </rPr>
      <t xml:space="preserve">   Payment Type - Deposit</t>
    </r>
    <r>
      <rPr>
        <sz val="10"/>
        <color theme="1"/>
        <rFont val="Arial"/>
        <family val="2"/>
      </rPr>
      <t xml:space="preserve">
  </t>
    </r>
  </si>
  <si>
    <t>Tranasction: Terminations (201)</t>
  </si>
  <si>
    <t>Tranasction:Benefit Payment (201/ ? 80)</t>
  </si>
  <si>
    <t>Price: Displays the Price</t>
  </si>
  <si>
    <t>Intruction: Payment deposit</t>
  </si>
  <si>
    <t>Tranasction: Terminations (201/81)</t>
  </si>
  <si>
    <t>For Smoothed Bonus - SEB Investment Admin Fee</t>
  </si>
  <si>
    <r>
      <t xml:space="preserve"> Accouting Output must be verified : </t>
    </r>
    <r>
      <rPr>
        <b/>
        <sz val="10"/>
        <rFont val="Arial"/>
        <family val="2"/>
      </rPr>
      <t>Dr WS908,Cr WS907,Dr GP003,
Cr GP005,Dr JE003,Cr GH000</t>
    </r>
  </si>
  <si>
    <r>
      <t>Refer to Accounting 6.1</t>
    </r>
    <r>
      <rPr>
        <sz val="7"/>
        <color theme="1"/>
        <rFont val="Times New Roman"/>
        <family val="1"/>
      </rPr>
      <t xml:space="preserve"> </t>
    </r>
    <r>
      <rPr>
        <sz val="10"/>
        <color theme="1"/>
        <rFont val="Comic Sans MS"/>
        <family val="4"/>
      </rPr>
      <t>Smoothed Bonus Investment Admin Fee</t>
    </r>
  </si>
  <si>
    <r>
      <t xml:space="preserve"> Accouting Output must be verified : </t>
    </r>
    <r>
      <rPr>
        <b/>
        <sz val="10"/>
        <rFont val="Arial"/>
        <family val="2"/>
      </rPr>
      <t>Dr WS908,CrWS907,Dr GP003,Cr GP005,Dr JE003,Cr GH000</t>
    </r>
  </si>
  <si>
    <r>
      <t>4.1</t>
    </r>
    <r>
      <rPr>
        <sz val="7"/>
        <color theme="1"/>
        <rFont val="Times New Roman"/>
        <family val="1"/>
      </rPr>
      <t xml:space="preserve">   </t>
    </r>
    <r>
      <rPr>
        <sz val="10"/>
        <color theme="1"/>
        <rFont val="Comic Sans MS"/>
        <family val="4"/>
      </rPr>
      <t>Benefit Payments:  Realise Non-vesting Bonuses</t>
    </r>
  </si>
  <si>
    <t xml:space="preserve">where a Capital Bonus Account (CBA) exists </t>
  </si>
  <si>
    <r>
      <t xml:space="preserve"> Accouting Output must be verified :</t>
    </r>
    <r>
      <rPr>
        <b/>
        <sz val="10"/>
        <rFont val="Arial"/>
        <family val="2"/>
      </rPr>
      <t>Dr PE512,Cr PE012,
Dr GP005,Cr GP003</t>
    </r>
  </si>
  <si>
    <t>Tranasction:Benefit Payment (201/80)</t>
  </si>
  <si>
    <t>Seb Invest Admin Fee (201/86)</t>
  </si>
  <si>
    <t>Benefit Payment Internal</t>
  </si>
  <si>
    <t xml:space="preserve">Unit: Displays the new unit total </t>
  </si>
  <si>
    <t>Portfolio - Cash Ben Pending (unitised Portfolio)</t>
  </si>
  <si>
    <t>Tranasction: REPURCHASE (201)</t>
  </si>
  <si>
    <t>Refer to Accounting Allocation Process Generated for Market Value Adjustments 4.5</t>
  </si>
  <si>
    <t>Take Note SERIES NO</t>
  </si>
  <si>
    <t>SERIES Number Recorded</t>
  </si>
  <si>
    <t>Verification -  CBA History</t>
  </si>
  <si>
    <t>Only Applicable to STABLE Bonus</t>
  </si>
  <si>
    <t>CBA Amount :  Displays the Amount</t>
  </si>
  <si>
    <t>CBA Series : CBA Series Assigned</t>
  </si>
  <si>
    <t>CBA Date: Same as System Date that was captured</t>
  </si>
  <si>
    <t>Price  Date: Same as System Date that was captured</t>
  </si>
  <si>
    <t>Click the SERIES No entry for the Above Transaction</t>
  </si>
  <si>
    <t>Balance: The new Balance</t>
  </si>
  <si>
    <t>Repurchase Details Tab is displayed (note: If the domicile address is missing the system mentions it and have the option to continue or complete it)</t>
  </si>
  <si>
    <t>Radio button: 
Type: Normal Repurchase - Default</t>
  </si>
  <si>
    <t>Instruction type: One destination</t>
  </si>
  <si>
    <t>Instruction Type = NO REQUEST TYPE SELECTED at this point</t>
  </si>
  <si>
    <t>Test Future dated repurchase and Multiple destinations?</t>
  </si>
  <si>
    <t>Balance of history are indicated</t>
  </si>
  <si>
    <t>Selection Payment Type Drop Down &gt; Select System Payment</t>
  </si>
  <si>
    <t>Bank accounts is linked to current client - no option to select the Bank</t>
  </si>
  <si>
    <t>Please Confirm notification "Possible duplicate exists. Click OK to continue, else Cancel to return to the page."</t>
  </si>
  <si>
    <t>No - Riefat confirmed we currently do not print letters</t>
  </si>
  <si>
    <t>Batch</t>
  </si>
  <si>
    <t>Tranasction History displayed</t>
  </si>
  <si>
    <t xml:space="preserve">Process date: Unknown </t>
  </si>
  <si>
    <t>Depending on the amout capture in the transaction (eg.R3012.00)</t>
  </si>
  <si>
    <t>Units: 0.00</t>
  </si>
  <si>
    <t>At this stage we not testing System payment.</t>
  </si>
  <si>
    <t>Auth By: The person who Authorised the transaction</t>
  </si>
  <si>
    <t>"BATCH"</t>
  </si>
  <si>
    <t>Bank Details: Bank details that were selected</t>
  </si>
  <si>
    <t>(Chose "SUSPENSE")</t>
  </si>
  <si>
    <t>DEPENDING IF IT’S A UNITIZED PORTFOLIO - 0 (0)</t>
  </si>
  <si>
    <t>NO</t>
  </si>
  <si>
    <t>Verification -  Client Total Value (before Authorisation)</t>
  </si>
  <si>
    <t>(check right side of screen the correct Units, Values and the Total Value is displayed)</t>
  </si>
  <si>
    <t>Navigate - Administrator &gt; Authorize Transactions &gt; Repurchases</t>
  </si>
  <si>
    <t>Additional detail appears</t>
  </si>
  <si>
    <t>Transactions Processed Succesfully - and the transaction disappears from the Repurchases screen</t>
  </si>
  <si>
    <t>Navigate - Unit Transactions &gt; Repurchase &gt; Apply/Delete Unprocessed</t>
  </si>
  <si>
    <t>Select the transactions that were processed for the Porfolios - 
Tick Authorise box</t>
  </si>
  <si>
    <t>Repurchases Screen Is loaded</t>
  </si>
  <si>
    <t>Apply/Delete unprocessed repurchase Screen Is loaded</t>
  </si>
  <si>
    <t xml:space="preserve">Select the transactions that were processed for the Porfolios </t>
  </si>
  <si>
    <t>The Portfolio details ("10012604 Sanlam Cash Portfolio") appears. Click on Apply box</t>
  </si>
  <si>
    <t>Transactions Processed Succesfully - the transaction disappears from the Repurchases screen</t>
  </si>
  <si>
    <t>Verification -  Client Total Value (after Authorisation)</t>
  </si>
  <si>
    <t>(Check right side of screen the correct Units, Values and the Total Value is displayed)</t>
  </si>
  <si>
    <t>Details for REPURCHASE Displayed</t>
  </si>
  <si>
    <t>"20"</t>
  </si>
  <si>
    <t>Instruction: Type of deposit</t>
  </si>
  <si>
    <t>"SUSPENSE"</t>
  </si>
  <si>
    <t>Since no option to select indicates "0 (0) UNKNOWN - UNKNOWN</t>
  </si>
  <si>
    <t>"TEST AEGIS GROUP PENSION FUND"</t>
  </si>
  <si>
    <t>Not indicated</t>
  </si>
  <si>
    <t>Authorised YES
Auth By: The person who Authorised the transaction</t>
  </si>
  <si>
    <t>Radio button: 
One destination - Default</t>
  </si>
  <si>
    <t>Repurchase Payment Instructions screen appears</t>
  </si>
  <si>
    <t xml:space="preserve">Click on Payment Instruction button. </t>
  </si>
  <si>
    <t xml:space="preserve">Click on Payment Instruction button.  </t>
  </si>
  <si>
    <t>"Batch"</t>
  </si>
  <si>
    <t>"No"</t>
  </si>
  <si>
    <t xml:space="preserve">Transaction History displayed </t>
  </si>
  <si>
    <t>Transaction:Repurchase (201)</t>
  </si>
  <si>
    <t>Depending on the amout capture in the transaction (50000)</t>
  </si>
  <si>
    <t>Details for UNPRICED REPURCHASE (201) screen Displayed</t>
  </si>
  <si>
    <t>0 (0)</t>
  </si>
  <si>
    <t>Authorised NO
Auth Electronic Payment NO</t>
  </si>
  <si>
    <t>Other Details</t>
  </si>
  <si>
    <t>Verification -  Transaction History (before Authorisation)</t>
  </si>
  <si>
    <t>Riefat confirmed amount not displayed until its authorised</t>
  </si>
  <si>
    <t>0  (Riefat confirmed amount not displayed until its authorised)</t>
  </si>
  <si>
    <r>
      <t xml:space="preserve">Verify Transaction History &gt; </t>
    </r>
    <r>
      <rPr>
        <sz val="10"/>
        <color theme="1"/>
        <rFont val="Arial"/>
        <family val="2"/>
      </rPr>
      <t>Click Transaction History Button</t>
    </r>
  </si>
  <si>
    <t>Verification -  Transaction History (after Authorisation)</t>
  </si>
  <si>
    <t>Transaction:REPURCHASE (201)</t>
  </si>
  <si>
    <t>"TEST SANLAM UMBRELLA PENSION FUND"</t>
  </si>
  <si>
    <t>Authorise Electronic Payment  NO</t>
  </si>
  <si>
    <t>It deducted unit amount
 (474 627.17-1303.16=473 324.01)</t>
  </si>
  <si>
    <t>It deducted unit amount 
 (474627.17-1303.16=473324.01)</t>
  </si>
  <si>
    <t>It deducted unit amount 
 (107 228.06 – 50 000 = 57228.06)</t>
  </si>
  <si>
    <t xml:space="preserve">Lookup an External Client where Primary Product Code = TEST ACUMEN PROVIDENT FUND </t>
  </si>
  <si>
    <t>Navigation Path - Administrator &gt; Smoothed Bonus  &gt; Update SB Funding Level</t>
  </si>
  <si>
    <t>default date was added</t>
  </si>
  <si>
    <t>Navigation Path - Unit Transactions &gt; Repurchases &gt; Normal Repurchases</t>
  </si>
  <si>
    <r>
      <t xml:space="preserve">If no prices are available then create a Price Manually </t>
    </r>
    <r>
      <rPr>
        <i/>
        <sz val="10"/>
        <color theme="1"/>
        <rFont val="Arial"/>
        <family val="2"/>
      </rPr>
      <t>(Treasurer &gt; Price Administration</t>
    </r>
    <r>
      <rPr>
        <sz val="10"/>
        <color theme="1"/>
        <rFont val="Arial"/>
        <family val="2"/>
      </rPr>
      <t xml:space="preserve"> Type in Fund under Price Maintenance, todays date, Capital Price eg 100 and NAV eg 100) - preferably before Authorise and Apply 
</t>
    </r>
  </si>
  <si>
    <t>Smooth bonus funding level saved successfully</t>
  </si>
  <si>
    <t xml:space="preserve">Any % less than 100% will be underfunded. Later a pop up will appear mentioning the fund is underfunded. </t>
  </si>
  <si>
    <r>
      <t xml:space="preserve">Dropdown Selection - Payment Type for System Payment 
Choose in dropdown selection - Payment type: Deposit
</t>
    </r>
    <r>
      <rPr>
        <b/>
        <sz val="10"/>
        <color theme="1"/>
        <rFont val="Arial"/>
        <family val="2"/>
      </rPr>
      <t xml:space="preserve">   </t>
    </r>
    <r>
      <rPr>
        <sz val="10"/>
        <color theme="1"/>
        <rFont val="Arial"/>
        <family val="2"/>
      </rPr>
      <t>Payment to Sanlam</t>
    </r>
    <r>
      <rPr>
        <b/>
        <sz val="10"/>
        <color theme="1"/>
        <rFont val="Arial"/>
        <family val="2"/>
      </rPr>
      <t xml:space="preserve"> - Do not use</t>
    </r>
    <r>
      <rPr>
        <sz val="10"/>
        <color theme="1"/>
        <rFont val="Arial"/>
        <family val="2"/>
      </rPr>
      <t xml:space="preserve">
   Payment to Sanlam Group  </t>
    </r>
    <r>
      <rPr>
        <b/>
        <sz val="10"/>
        <color theme="1"/>
        <rFont val="Arial"/>
        <family val="2"/>
      </rPr>
      <t>- Do not use</t>
    </r>
  </si>
  <si>
    <t>Deposit type: ACB radio button</t>
  </si>
  <si>
    <t>Used user name for this test "Laila Paulsen"</t>
  </si>
  <si>
    <t>Lookup button - Click on Select bank account</t>
  </si>
  <si>
    <t>New Window (Repurchase Payment Instructions screen appears) should be displayed with the following:</t>
  </si>
  <si>
    <t>Click on Submit</t>
  </si>
  <si>
    <r>
      <t xml:space="preserve">This should be the default. </t>
    </r>
    <r>
      <rPr>
        <b/>
        <sz val="10"/>
        <color theme="1"/>
        <rFont val="Arial"/>
        <family val="2"/>
      </rPr>
      <t>Click on the bank details indicated and click on Select  the banking details will appear below</t>
    </r>
  </si>
  <si>
    <t>Repurchase payment insutructions screen pops up again with Instruction Status: "SYSTEM PAYMENT : DEPOSIT1, "Bank account number, Branch code number"</t>
  </si>
  <si>
    <t xml:space="preserve">SYSTEM PAYMENT : DEPOSIT1,1454061030,145405 </t>
  </si>
  <si>
    <t>No</t>
  </si>
  <si>
    <t>Click on Next</t>
  </si>
  <si>
    <t>Conclusion tab</t>
  </si>
  <si>
    <t>Authorise and  Apply</t>
  </si>
  <si>
    <t>Navigate - Administrator &gt; Authorize Transactions  &gt; Repurchases</t>
  </si>
  <si>
    <t>Tick Authorise box, Aditional detail appears</t>
  </si>
  <si>
    <t>Verification -  Transaction History (after Authorise)</t>
  </si>
  <si>
    <t>Click the item entry for the new Transaction (after Authorise)</t>
  </si>
  <si>
    <t>90% will reflect that this portfolio is under funded (</t>
  </si>
  <si>
    <t>Request Type = Select Termination</t>
  </si>
  <si>
    <t>Used user name for this test "Laila Paulsen intern"</t>
  </si>
  <si>
    <t>"SYSTEM PAYMENT : DEPOSIT1,4067413048,632005"</t>
  </si>
  <si>
    <t>Please Confirm note: Possible duplicate exists. Click OK to continue, else Cancel to return to the page.</t>
  </si>
  <si>
    <t>No (Riefat confirmed unable to print at the moment)</t>
  </si>
  <si>
    <t>Authorise and Apply</t>
  </si>
  <si>
    <r>
      <t xml:space="preserve">Navigate - Administrator &gt; Authorize Transactions  &gt; </t>
    </r>
    <r>
      <rPr>
        <b/>
        <sz val="10"/>
        <color theme="1"/>
        <rFont val="Arial"/>
        <family val="2"/>
      </rPr>
      <t>Repurchases</t>
    </r>
  </si>
  <si>
    <r>
      <t>Navigate - Unit Tranactions &gt;Repurchase &gt;</t>
    </r>
    <r>
      <rPr>
        <b/>
        <sz val="10"/>
        <color theme="1"/>
        <rFont val="Arial"/>
        <family val="2"/>
      </rPr>
      <t xml:space="preserve"> Apply / Delete uprocessed repurchase</t>
    </r>
  </si>
  <si>
    <t>Apply/Delete unprocessed Screen Is loaded</t>
  </si>
  <si>
    <t>Select Portfolio: STABLE BONUS / MBF</t>
  </si>
  <si>
    <t>382-385</t>
  </si>
  <si>
    <t>Termination (201/81)</t>
  </si>
  <si>
    <t>Transaction: MV Adjustment (201/82)</t>
  </si>
  <si>
    <t>1D</t>
  </si>
  <si>
    <t>"PAYMENT DEPOSIT"</t>
  </si>
  <si>
    <t>"ABSA BANK"</t>
  </si>
  <si>
    <t>"TEST ASSMANG SANLAM PROVIDENT FUND"</t>
  </si>
  <si>
    <t>Authorised  YES
Auth By: The person who Authorised the transaction</t>
  </si>
  <si>
    <t>"Laila Paulsen intern"</t>
  </si>
  <si>
    <t>"ABSA BANK ABSA ELECTRONIC SETTLEMENT CNT 0"</t>
  </si>
  <si>
    <t>Details for Termination (201/81):</t>
  </si>
  <si>
    <t>Details for Bonus (970/84):</t>
  </si>
  <si>
    <t xml:space="preserve">Net Amount </t>
  </si>
  <si>
    <t>Charge %   0.00</t>
  </si>
  <si>
    <t>Authorised  NO</t>
  </si>
  <si>
    <t>(Checked with Riefat this is not necessary to be authorised since it was done by Terminations)</t>
  </si>
  <si>
    <t>Charges®  0.00</t>
  </si>
  <si>
    <t>Vat  0.00</t>
  </si>
  <si>
    <t>Pakkode  0</t>
  </si>
  <si>
    <t>Depoist # 0</t>
  </si>
  <si>
    <t xml:space="preserve">Agent  80000S SEB Broker  </t>
  </si>
  <si>
    <t>Production 182.24</t>
  </si>
  <si>
    <t>Details for SB Invest admin fee (201/86)</t>
  </si>
  <si>
    <r>
      <t>Reference</t>
    </r>
    <r>
      <rPr>
        <b/>
        <sz val="10"/>
        <color theme="1"/>
        <rFont val="Arial"/>
        <family val="2"/>
      </rPr>
      <t>:</t>
    </r>
    <r>
      <rPr>
        <sz val="10"/>
        <color theme="1"/>
        <rFont val="Arial"/>
        <family val="2"/>
      </rPr>
      <t xml:space="preserve">   201/00385</t>
    </r>
  </si>
  <si>
    <t>Unknown</t>
  </si>
  <si>
    <t>Authorised   NO</t>
  </si>
  <si>
    <t>Details for MV Adjustment (201/82)</t>
  </si>
  <si>
    <t>0 (0) UNKNOWN - UNKNOWN</t>
  </si>
  <si>
    <t>SAME AS TXN SERIES</t>
  </si>
  <si>
    <t>Verify each CBA Entry for Transaction likend to it</t>
  </si>
  <si>
    <t>Unit: Displays the new unit total</t>
  </si>
  <si>
    <r>
      <t xml:space="preserve">If no prices are available then create a Price Manually </t>
    </r>
    <r>
      <rPr>
        <i/>
        <sz val="10"/>
        <color theme="1"/>
        <rFont val="Arial"/>
        <family val="2"/>
      </rPr>
      <t>(Treasurer &gt; Price Administration</t>
    </r>
    <r>
      <rPr>
        <sz val="10"/>
        <color theme="1"/>
        <rFont val="Arial"/>
        <family val="2"/>
      </rPr>
      <t xml:space="preserve"> Type in Fund under Price Maintenance. Create: todays date, Capital Price eg 100 and NAV eg 100) - preferably before Authorise and Apply 
</t>
    </r>
  </si>
  <si>
    <t xml:space="preserve">SEB RFA Not necessary to be Authorized
</t>
  </si>
  <si>
    <t>"1D"</t>
  </si>
  <si>
    <t>"ACC NUMBER (BRANCH CODE) NAME OF BANK NEDCOR BANK</t>
  </si>
  <si>
    <t>"TEST ACUMEN PROVIDENT FUND"</t>
  </si>
  <si>
    <r>
      <t xml:space="preserve">Underfund Amount  </t>
    </r>
    <r>
      <rPr>
        <b/>
        <sz val="10"/>
        <color theme="1"/>
        <rFont val="Arial"/>
        <family val="2"/>
      </rPr>
      <t>FIXED</t>
    </r>
  </si>
  <si>
    <r>
      <t xml:space="preserve">Underfund Amount  </t>
    </r>
    <r>
      <rPr>
        <b/>
        <sz val="10"/>
        <color theme="1"/>
        <rFont val="Arial"/>
        <family val="2"/>
      </rPr>
      <t>MARKET</t>
    </r>
  </si>
  <si>
    <t>"Laila Paulsen extern"</t>
  </si>
  <si>
    <t>"NEDCOR BANK CORPORATE CLIENT SERVICES JHB 0"</t>
  </si>
  <si>
    <t>Production 44.19</t>
  </si>
  <si>
    <t>"R5000"</t>
  </si>
  <si>
    <t>"R19000"</t>
  </si>
  <si>
    <r>
      <t>Reference</t>
    </r>
    <r>
      <rPr>
        <b/>
        <sz val="10"/>
        <color theme="1"/>
        <rFont val="Arial"/>
        <family val="2"/>
      </rPr>
      <t>:</t>
    </r>
    <r>
      <rPr>
        <sz val="10"/>
        <color theme="1"/>
        <rFont val="Arial"/>
        <family val="2"/>
      </rPr>
      <t xml:space="preserve">   201/00033</t>
    </r>
  </si>
  <si>
    <t>original value</t>
  </si>
  <si>
    <t>balance value after repurchase</t>
  </si>
  <si>
    <t xml:space="preserve">balance </t>
  </si>
  <si>
    <t>bonus</t>
  </si>
  <si>
    <t>SB Invest admin fee</t>
  </si>
  <si>
    <t>Transaction: BENEFIT PAYMENT (201/80)</t>
  </si>
  <si>
    <t>Load Client: 10012493 (TEST SANLAM STAFF UMBRELLA PENSION)</t>
  </si>
  <si>
    <r>
      <t xml:space="preserve">Dropdown Menu:
Select the Primary Product : </t>
    </r>
    <r>
      <rPr>
        <strike/>
        <sz val="10"/>
        <color theme="1"/>
        <rFont val="Arial"/>
        <family val="2"/>
      </rPr>
      <t xml:space="preserve">Metropolitan (30) </t>
    </r>
    <r>
      <rPr>
        <sz val="10"/>
        <color theme="1"/>
        <rFont val="Arial"/>
        <family val="2"/>
      </rPr>
      <t>SEB RFA (24)</t>
    </r>
  </si>
  <si>
    <t>Go to Unit Transactions &gt; Repurchases &gt; Normal Repurchases</t>
  </si>
  <si>
    <t>Exclusion</t>
  </si>
  <si>
    <t xml:space="preserve">Repurchase Information Tab | Normal Repurchase </t>
  </si>
  <si>
    <t>Instruction type: One destination (default)</t>
  </si>
  <si>
    <t>Repurchase Detail with Quantity &amp; payment screen is displayed</t>
  </si>
  <si>
    <r>
      <t xml:space="preserve">Specify and Amount </t>
    </r>
    <r>
      <rPr>
        <b/>
        <sz val="10"/>
        <color theme="1"/>
        <rFont val="Arial"/>
        <family val="2"/>
      </rPr>
      <t>greater than the Available Amount</t>
    </r>
  </si>
  <si>
    <t>Confirmation Message Displayed&gt; You chose to exclude product from settlement!</t>
  </si>
  <si>
    <r>
      <t xml:space="preserve">Settlement Type = </t>
    </r>
    <r>
      <rPr>
        <b/>
        <sz val="10"/>
        <color rgb="FFFF0000"/>
        <rFont val="Arial"/>
        <family val="2"/>
      </rPr>
      <t>Market Value</t>
    </r>
  </si>
  <si>
    <t>Market Value (MV) adjustment sum follows</t>
  </si>
  <si>
    <t>"Instruction to "Please supply a valid quantity (smaller or equal to available amount)" - Unable to continue if a greater amount is indicated under Amount.</t>
  </si>
  <si>
    <t>NOTE: These tests are similar to MV Adjustment Internal and External (tested Fixed and Market Value)</t>
  </si>
  <si>
    <t xml:space="preserve">  Conclusion</t>
  </si>
  <si>
    <t xml:space="preserve">  Repurchase Info</t>
  </si>
  <si>
    <t xml:space="preserve">  Personal Details</t>
  </si>
  <si>
    <t xml:space="preserve">  Repurchase Detail</t>
  </si>
  <si>
    <t>(12/8/36828)</t>
  </si>
  <si>
    <t xml:space="preserve">Button - when invoked, should open a new window with Recent repurchase transactions </t>
  </si>
  <si>
    <t>TEST SANLAM UMBRELLA PENSION FUND</t>
  </si>
  <si>
    <t xml:space="preserve">Should close window without savings </t>
  </si>
  <si>
    <t>Click on Alter / Proceed button or No Change / Proceed button
New Page with the following should be displayed</t>
  </si>
  <si>
    <t>Please Confirm box pops up: "Domicile address not captured
Click "OK" to continue, else "Cancel" to return to the page.</t>
  </si>
  <si>
    <t>Elize confirmed Functionality will be implemented in the future</t>
  </si>
  <si>
    <t>Click Next button</t>
  </si>
  <si>
    <t>Repurchase Detail (only Type and Instruction Type is indicated on the screen)</t>
  </si>
  <si>
    <t>Screen now indicates the following fields below:</t>
  </si>
  <si>
    <t>"One destination"</t>
  </si>
  <si>
    <t>Found below Non-MM price date</t>
  </si>
  <si>
    <t>greyed out</t>
  </si>
  <si>
    <t>12/8/36828</t>
  </si>
  <si>
    <r>
      <t xml:space="preserve">Radio button with:
   System Payment - </t>
    </r>
    <r>
      <rPr>
        <b/>
        <sz val="10"/>
        <color theme="1"/>
        <rFont val="Arial"/>
        <family val="2"/>
      </rPr>
      <t>Default</t>
    </r>
    <r>
      <rPr>
        <sz val="10"/>
        <color theme="1"/>
        <rFont val="Arial"/>
        <family val="2"/>
      </rPr>
      <t xml:space="preserve">
   Payment in Suspense</t>
    </r>
  </si>
  <si>
    <t>Another field should be available, to capture ID number</t>
  </si>
  <si>
    <t>Another field should be available, to capture passport number</t>
  </si>
  <si>
    <t>this client has bank details indicated - 4067972456</t>
  </si>
  <si>
    <t>Another field should be available, to capture Company Registration number</t>
  </si>
  <si>
    <t>require a passport number to test</t>
  </si>
  <si>
    <t>This is if client does not have a bank account created on the system</t>
  </si>
  <si>
    <t>If you type in different details the following error comes up: No matching accounts found</t>
  </si>
  <si>
    <t>this client has company registration details indicated - 12/8/36828</t>
  </si>
  <si>
    <t>Unable to find a different client</t>
  </si>
  <si>
    <t>Lookup button (Select bank account)</t>
  </si>
  <si>
    <r>
      <rPr>
        <b/>
        <sz val="10"/>
        <color theme="1"/>
        <rFont val="Arial"/>
        <family val="2"/>
      </rPr>
      <t>Reference:</t>
    </r>
    <r>
      <rPr>
        <sz val="10"/>
        <color theme="1"/>
        <rFont val="Arial"/>
        <family val="2"/>
      </rPr>
      <t xml:space="preserve"> Reference Number assigned to Instruction OTHER - 2O</t>
    </r>
  </si>
  <si>
    <r>
      <t xml:space="preserve">Radio button with:
</t>
    </r>
    <r>
      <rPr>
        <b/>
        <sz val="10"/>
        <color theme="1"/>
        <rFont val="Arial"/>
        <family val="2"/>
      </rPr>
      <t xml:space="preserve">  Select System Payment - DEPOSIT</t>
    </r>
    <r>
      <rPr>
        <sz val="10"/>
        <color theme="1"/>
        <rFont val="Arial"/>
        <family val="2"/>
      </rPr>
      <t xml:space="preserve">
   Payment in Suspense</t>
    </r>
  </si>
  <si>
    <t>NB</t>
  </si>
  <si>
    <t>Please note that this test set can only be executing once the Funding Level is set a day in advanced!</t>
  </si>
  <si>
    <t>Underfunded Termination Dialog</t>
  </si>
  <si>
    <t>Do you want to continue at market value</t>
  </si>
  <si>
    <t>Leave Default</t>
  </si>
  <si>
    <t>Current funding level %</t>
  </si>
  <si>
    <t>90% - What was configured in previous step</t>
  </si>
  <si>
    <t>Settlement type</t>
  </si>
  <si>
    <t>Fixed Type - Selected</t>
  </si>
  <si>
    <t>Override Funding Level % as agreed with actuary</t>
  </si>
  <si>
    <t>Click  Next</t>
  </si>
  <si>
    <t>Calculated Market Value - Not Selected</t>
  </si>
  <si>
    <t>Radio button: Yes Selected</t>
  </si>
  <si>
    <t xml:space="preserve">Radio button: No - Not Selected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</si>
</sst>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R&quot;\ #,##0;[Red]&quot;R&quot;\ \-#,##0"/>
    <numFmt numFmtId="164" formatCode="0.0000"/>
  </numFmts>
  <fonts count="27" x14ac:knownFonts="1">
    <font>
      <sz val="11"/>
      <color theme="1"/>
      <name val="Calibri"/>
      <family val="2"/>
      <scheme val="minor"/>
    </font>
    <font>
      <sz val="10"/>
      <color theme="1"/>
      <name val="Arial"/>
      <family val="2"/>
    </font>
    <font>
      <b/>
      <sz val="11"/>
      <color theme="1"/>
      <name val="Arial"/>
      <family val="2"/>
    </font>
    <font>
      <b/>
      <sz val="11"/>
      <color theme="1"/>
      <name val="Calibri"/>
      <family val="2"/>
      <scheme val="minor"/>
    </font>
    <font>
      <b/>
      <sz val="11"/>
      <color theme="0"/>
      <name val="Calibri"/>
      <family val="2"/>
      <scheme val="minor"/>
    </font>
    <font>
      <b/>
      <sz val="10"/>
      <color theme="0"/>
      <name val="Arial"/>
      <family val="2"/>
    </font>
    <font>
      <b/>
      <sz val="10"/>
      <color theme="1"/>
      <name val="Arial"/>
      <family val="2"/>
    </font>
    <font>
      <sz val="10"/>
      <color rgb="FFFF0000"/>
      <name val="Arial"/>
      <family val="2"/>
    </font>
    <font>
      <b/>
      <u/>
      <sz val="10"/>
      <color theme="0"/>
      <name val="Arial"/>
      <family val="2"/>
    </font>
    <font>
      <i/>
      <sz val="10"/>
      <color theme="1"/>
      <name val="Arial"/>
      <family val="2"/>
    </font>
    <font>
      <sz val="10"/>
      <name val="Arial"/>
      <family val="2"/>
    </font>
    <font>
      <b/>
      <sz val="10"/>
      <name val="Arial"/>
      <family val="2"/>
    </font>
    <font>
      <sz val="11"/>
      <color rgb="FF000000"/>
      <name val="Verdana"/>
      <family val="2"/>
    </font>
    <font>
      <sz val="11"/>
      <color rgb="FF000000"/>
      <name val="Calibri"/>
      <family val="2"/>
    </font>
    <font>
      <b/>
      <sz val="11"/>
      <name val="Calibri"/>
      <family val="2"/>
      <scheme val="minor"/>
    </font>
    <font>
      <sz val="10"/>
      <color theme="1"/>
      <name val="Comic Sans MS"/>
      <family val="4"/>
    </font>
    <font>
      <sz val="7"/>
      <color theme="1"/>
      <name val="Times New Roman"/>
      <family val="1"/>
    </font>
    <font>
      <b/>
      <u/>
      <sz val="10"/>
      <color theme="1"/>
      <name val="Arial"/>
      <family val="2"/>
    </font>
    <font>
      <b/>
      <u/>
      <sz val="10"/>
      <color theme="1"/>
      <name val="Comic Sans MS"/>
      <family val="4"/>
    </font>
    <font>
      <i/>
      <sz val="10"/>
      <color rgb="FFFF0000"/>
      <name val="Arial"/>
      <family val="2"/>
    </font>
    <font>
      <i/>
      <sz val="11"/>
      <color theme="1"/>
      <name val="Calibri"/>
      <family val="2"/>
      <scheme val="minor"/>
    </font>
    <font>
      <strike/>
      <sz val="10"/>
      <color theme="1"/>
      <name val="Arial"/>
      <family val="2"/>
    </font>
    <font>
      <sz val="10"/>
      <color rgb="FF000000"/>
      <name val="Arial"/>
      <family val="2"/>
    </font>
    <font>
      <b/>
      <sz val="10"/>
      <color rgb="FFFF0000"/>
      <name val="Arial"/>
      <family val="2"/>
    </font>
    <font>
      <i/>
      <sz val="10"/>
      <color rgb="FF00B050"/>
      <name val="Arial"/>
      <family val="2"/>
    </font>
    <font>
      <i/>
      <sz val="10"/>
      <name val="Arial"/>
      <family val="2"/>
    </font>
    <font>
      <b/>
      <sz val="11"/>
      <name val="Arial"/>
      <family val="2"/>
    </font>
  </fonts>
  <fills count="12">
    <fill>
      <patternFill patternType="none"/>
    </fill>
    <fill>
      <patternFill patternType="gray125"/>
    </fill>
    <fill>
      <patternFill patternType="solid">
        <fgColor rgb="FFE0E0E0"/>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4"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s>
  <cellStyleXfs count="1">
    <xf numFmtId="0" fontId="0" fillId="0" borderId="0"/>
  </cellStyleXfs>
  <cellXfs count="184">
    <xf numFmtId="0" fontId="0" fillId="0" borderId="0" xfId="0"/>
    <xf numFmtId="0" fontId="0" fillId="0" borderId="0" xfId="0" applyAlignment="1">
      <alignment wrapText="1"/>
    </xf>
    <xf numFmtId="0" fontId="0" fillId="3" borderId="0" xfId="0" applyFill="1"/>
    <xf numFmtId="164" fontId="0" fillId="0" borderId="0" xfId="0" applyNumberFormat="1" applyAlignment="1">
      <alignment wrapText="1"/>
    </xf>
    <xf numFmtId="164" fontId="1" fillId="3" borderId="1" xfId="0" applyNumberFormat="1" applyFont="1" applyFill="1" applyBorder="1" applyAlignment="1">
      <alignment vertical="center" wrapText="1"/>
    </xf>
    <xf numFmtId="0" fontId="1" fillId="3" borderId="1" xfId="0" applyFont="1" applyFill="1" applyBorder="1" applyAlignment="1">
      <alignment vertical="center" wrapText="1"/>
    </xf>
    <xf numFmtId="0" fontId="1" fillId="0" borderId="1" xfId="0" applyFont="1" applyBorder="1" applyAlignment="1">
      <alignment vertical="center" wrapText="1"/>
    </xf>
    <xf numFmtId="0" fontId="0" fillId="0" borderId="1" xfId="0" applyBorder="1" applyAlignment="1">
      <alignment wrapText="1"/>
    </xf>
    <xf numFmtId="0" fontId="1" fillId="3" borderId="1" xfId="0" applyFont="1" applyFill="1" applyBorder="1" applyAlignment="1">
      <alignment horizontal="left" vertical="center" wrapText="1"/>
    </xf>
    <xf numFmtId="164" fontId="2" fillId="2" borderId="1" xfId="0" applyNumberFormat="1" applyFont="1" applyFill="1" applyBorder="1" applyAlignment="1">
      <alignment wrapText="1"/>
    </xf>
    <xf numFmtId="0" fontId="2" fillId="2" borderId="1" xfId="0" applyFont="1" applyFill="1" applyBorder="1" applyAlignment="1">
      <alignment wrapText="1"/>
    </xf>
    <xf numFmtId="0" fontId="2" fillId="2" borderId="1" xfId="0" applyFont="1" applyFill="1" applyBorder="1" applyAlignment="1">
      <alignment horizontal="center" wrapText="1"/>
    </xf>
    <xf numFmtId="0" fontId="2" fillId="2"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164" fontId="5" fillId="5" borderId="1" xfId="0" applyNumberFormat="1" applyFont="1" applyFill="1" applyBorder="1" applyAlignment="1">
      <alignment vertical="center" wrapText="1"/>
    </xf>
    <xf numFmtId="0" fontId="5" fillId="5" borderId="1" xfId="0" applyFont="1" applyFill="1" applyBorder="1" applyAlignment="1">
      <alignment vertical="center" wrapText="1"/>
    </xf>
    <xf numFmtId="0" fontId="5" fillId="5" borderId="1" xfId="0" applyFont="1" applyFill="1" applyBorder="1" applyAlignment="1">
      <alignment horizontal="left" vertical="center" wrapText="1"/>
    </xf>
    <xf numFmtId="0" fontId="4" fillId="5" borderId="1" xfId="0" applyFont="1" applyFill="1" applyBorder="1" applyAlignment="1">
      <alignment wrapText="1"/>
    </xf>
    <xf numFmtId="0" fontId="3" fillId="0" borderId="0" xfId="0" applyFont="1" applyAlignment="1">
      <alignment wrapText="1"/>
    </xf>
    <xf numFmtId="0" fontId="1" fillId="0" borderId="1" xfId="0" quotePrefix="1" applyFont="1" applyBorder="1" applyAlignment="1">
      <alignment vertical="center" wrapText="1"/>
    </xf>
    <xf numFmtId="164" fontId="1" fillId="3" borderId="2" xfId="0" applyNumberFormat="1" applyFont="1" applyFill="1" applyBorder="1" applyAlignment="1">
      <alignment vertical="center" wrapText="1"/>
    </xf>
    <xf numFmtId="0" fontId="1" fillId="3" borderId="3" xfId="0" applyFont="1" applyFill="1" applyBorder="1" applyAlignment="1">
      <alignment horizontal="left" vertical="center" wrapText="1"/>
    </xf>
    <xf numFmtId="0" fontId="1" fillId="3" borderId="3" xfId="0" applyFont="1" applyFill="1" applyBorder="1" applyAlignment="1">
      <alignment vertical="center" wrapText="1"/>
    </xf>
    <xf numFmtId="0" fontId="1" fillId="3" borderId="4" xfId="0" applyFont="1" applyFill="1" applyBorder="1" applyAlignment="1">
      <alignment vertical="center" wrapText="1"/>
    </xf>
    <xf numFmtId="0" fontId="1" fillId="3" borderId="6" xfId="0" applyFont="1" applyFill="1" applyBorder="1" applyAlignment="1">
      <alignment vertical="center" wrapText="1"/>
    </xf>
    <xf numFmtId="0" fontId="1" fillId="3" borderId="5" xfId="0" applyFont="1" applyFill="1" applyBorder="1" applyAlignment="1">
      <alignment vertical="center" wrapText="1"/>
    </xf>
    <xf numFmtId="0" fontId="1" fillId="0" borderId="4" xfId="0" applyFont="1" applyBorder="1" applyAlignment="1">
      <alignment vertical="center" wrapText="1"/>
    </xf>
    <xf numFmtId="0" fontId="1" fillId="3" borderId="6" xfId="0" applyFont="1" applyFill="1" applyBorder="1" applyAlignment="1">
      <alignment horizontal="left" vertical="center" wrapText="1" indent="1"/>
    </xf>
    <xf numFmtId="0" fontId="1" fillId="3" borderId="5" xfId="0" applyFont="1" applyFill="1" applyBorder="1" applyAlignment="1">
      <alignment horizontal="left" vertical="center" wrapText="1" indent="1"/>
    </xf>
    <xf numFmtId="0" fontId="1" fillId="3" borderId="9" xfId="0" applyFont="1" applyFill="1" applyBorder="1" applyAlignment="1">
      <alignment vertical="center" wrapText="1"/>
    </xf>
    <xf numFmtId="0" fontId="1" fillId="3" borderId="10" xfId="0" applyFont="1" applyFill="1" applyBorder="1" applyAlignment="1">
      <alignment vertical="center" wrapText="1"/>
    </xf>
    <xf numFmtId="164" fontId="1" fillId="3" borderId="7" xfId="0" applyNumberFormat="1" applyFont="1" applyFill="1" applyBorder="1" applyAlignment="1">
      <alignment vertical="center" wrapText="1"/>
    </xf>
    <xf numFmtId="0" fontId="0" fillId="0" borderId="4" xfId="0" applyBorder="1" applyAlignment="1">
      <alignment wrapText="1"/>
    </xf>
    <xf numFmtId="164" fontId="5" fillId="5" borderId="5" xfId="0" applyNumberFormat="1" applyFont="1" applyFill="1" applyBorder="1" applyAlignment="1">
      <alignment vertical="center" wrapText="1"/>
    </xf>
    <xf numFmtId="0" fontId="5" fillId="5" borderId="5" xfId="0" applyFont="1" applyFill="1" applyBorder="1" applyAlignment="1">
      <alignment horizontal="left" vertical="center" wrapText="1"/>
    </xf>
    <xf numFmtId="0" fontId="5" fillId="5" borderId="5" xfId="0" applyFont="1" applyFill="1" applyBorder="1" applyAlignment="1">
      <alignment vertical="center" wrapText="1"/>
    </xf>
    <xf numFmtId="0" fontId="4" fillId="5" borderId="5" xfId="0" applyFont="1" applyFill="1" applyBorder="1" applyAlignment="1">
      <alignment wrapText="1"/>
    </xf>
    <xf numFmtId="0" fontId="0" fillId="3" borderId="9" xfId="0" applyFill="1" applyBorder="1" applyAlignment="1">
      <alignment wrapText="1"/>
    </xf>
    <xf numFmtId="0" fontId="2" fillId="2" borderId="2" xfId="0" applyFont="1" applyFill="1" applyBorder="1" applyAlignment="1">
      <alignment wrapText="1"/>
    </xf>
    <xf numFmtId="0" fontId="2" fillId="2" borderId="3" xfId="0" applyFont="1" applyFill="1" applyBorder="1" applyAlignment="1">
      <alignment horizontal="center" wrapText="1"/>
    </xf>
    <xf numFmtId="0" fontId="1" fillId="3" borderId="4" xfId="0" applyFont="1" applyFill="1" applyBorder="1" applyAlignment="1">
      <alignment horizontal="left" vertical="center" wrapText="1"/>
    </xf>
    <xf numFmtId="0" fontId="1" fillId="3" borderId="6" xfId="0" applyFont="1" applyFill="1" applyBorder="1" applyAlignment="1">
      <alignment horizontal="left" vertical="center" wrapText="1"/>
    </xf>
    <xf numFmtId="0" fontId="1" fillId="3" borderId="5" xfId="0" applyFont="1" applyFill="1" applyBorder="1" applyAlignment="1">
      <alignment horizontal="left" vertical="center" wrapText="1"/>
    </xf>
    <xf numFmtId="0" fontId="5" fillId="5" borderId="1" xfId="0" applyFont="1" applyFill="1" applyBorder="1" applyAlignment="1">
      <alignment vertical="center"/>
    </xf>
    <xf numFmtId="0" fontId="1" fillId="3" borderId="10" xfId="0" applyFont="1" applyFill="1" applyBorder="1" applyAlignment="1">
      <alignment horizontal="left" vertical="center" wrapText="1"/>
    </xf>
    <xf numFmtId="0" fontId="1" fillId="3" borderId="9" xfId="0" applyFont="1" applyFill="1" applyBorder="1" applyAlignment="1">
      <alignment horizontal="left" vertical="center" wrapText="1"/>
    </xf>
    <xf numFmtId="0" fontId="5" fillId="5" borderId="1" xfId="0" applyFont="1" applyFill="1" applyBorder="1" applyAlignment="1">
      <alignment horizontal="left" vertical="center" indent="1"/>
    </xf>
    <xf numFmtId="0" fontId="1" fillId="3" borderId="3" xfId="0" quotePrefix="1" applyFont="1" applyFill="1" applyBorder="1" applyAlignment="1">
      <alignment vertical="center" wrapText="1"/>
    </xf>
    <xf numFmtId="164" fontId="1" fillId="3" borderId="12" xfId="0" applyNumberFormat="1" applyFont="1" applyFill="1" applyBorder="1" applyAlignment="1">
      <alignment vertical="center" wrapText="1"/>
    </xf>
    <xf numFmtId="0" fontId="1" fillId="3" borderId="13" xfId="0" applyFont="1" applyFill="1" applyBorder="1" applyAlignment="1">
      <alignment vertical="center" wrapText="1"/>
    </xf>
    <xf numFmtId="0" fontId="1" fillId="0" borderId="5" xfId="0" applyFont="1" applyBorder="1" applyAlignment="1">
      <alignment vertical="center" wrapText="1"/>
    </xf>
    <xf numFmtId="0" fontId="0" fillId="0" borderId="5" xfId="0" applyBorder="1" applyAlignment="1">
      <alignment wrapText="1"/>
    </xf>
    <xf numFmtId="0" fontId="1" fillId="3" borderId="14" xfId="0" applyFont="1" applyFill="1" applyBorder="1" applyAlignment="1">
      <alignment vertical="center" wrapText="1"/>
    </xf>
    <xf numFmtId="0" fontId="1" fillId="3" borderId="0" xfId="0" applyFont="1" applyFill="1" applyBorder="1" applyAlignment="1">
      <alignment vertical="center" wrapText="1"/>
    </xf>
    <xf numFmtId="0" fontId="0" fillId="3" borderId="0" xfId="0" applyFill="1" applyBorder="1" applyAlignment="1">
      <alignment wrapText="1"/>
    </xf>
    <xf numFmtId="164" fontId="1" fillId="3" borderId="15" xfId="0" applyNumberFormat="1" applyFont="1" applyFill="1" applyBorder="1" applyAlignment="1">
      <alignment vertical="center" wrapText="1"/>
    </xf>
    <xf numFmtId="0" fontId="1" fillId="3" borderId="8" xfId="0" applyFont="1" applyFill="1" applyBorder="1" applyAlignment="1">
      <alignment vertical="center" wrapText="1"/>
    </xf>
    <xf numFmtId="0" fontId="0" fillId="3" borderId="8" xfId="0" applyFill="1" applyBorder="1" applyAlignment="1">
      <alignment wrapText="1"/>
    </xf>
    <xf numFmtId="164" fontId="0" fillId="3" borderId="0" xfId="0" applyNumberFormat="1" applyFill="1" applyAlignment="1">
      <alignment wrapText="1"/>
    </xf>
    <xf numFmtId="0" fontId="0" fillId="3" borderId="0" xfId="0" applyFill="1" applyAlignment="1">
      <alignment wrapText="1"/>
    </xf>
    <xf numFmtId="0" fontId="3" fillId="3" borderId="11" xfId="0" applyFont="1" applyFill="1" applyBorder="1" applyAlignment="1">
      <alignment wrapText="1"/>
    </xf>
    <xf numFmtId="0" fontId="1" fillId="0" borderId="3" xfId="0" applyFont="1" applyBorder="1" applyAlignment="1">
      <alignment vertical="center" wrapText="1"/>
    </xf>
    <xf numFmtId="0" fontId="6" fillId="3" borderId="1" xfId="0" applyFont="1" applyFill="1" applyBorder="1" applyAlignment="1">
      <alignment vertical="center" wrapText="1"/>
    </xf>
    <xf numFmtId="0" fontId="6" fillId="3" borderId="4" xfId="0" applyFont="1" applyFill="1" applyBorder="1" applyAlignment="1">
      <alignment vertical="center" wrapText="1"/>
    </xf>
    <xf numFmtId="0" fontId="6" fillId="3" borderId="5" xfId="0" applyFont="1" applyFill="1" applyBorder="1" applyAlignment="1">
      <alignment vertical="center" wrapText="1"/>
    </xf>
    <xf numFmtId="0" fontId="1" fillId="3" borderId="1" xfId="0" applyFont="1" applyFill="1" applyBorder="1" applyAlignment="1">
      <alignment horizontal="left" vertical="center" wrapText="1" indent="1"/>
    </xf>
    <xf numFmtId="0" fontId="1" fillId="3" borderId="1" xfId="0" applyFont="1" applyFill="1" applyBorder="1" applyAlignment="1">
      <alignment horizontal="left" vertical="center" wrapText="1" indent="2"/>
    </xf>
    <xf numFmtId="0" fontId="1" fillId="3" borderId="4" xfId="0" applyFont="1" applyFill="1" applyBorder="1" applyAlignment="1">
      <alignment horizontal="left" vertical="center" wrapText="1" indent="3"/>
    </xf>
    <xf numFmtId="0" fontId="1" fillId="3" borderId="6" xfId="0" applyFont="1" applyFill="1" applyBorder="1" applyAlignment="1">
      <alignment horizontal="left" vertical="center" wrapText="1" indent="3"/>
    </xf>
    <xf numFmtId="0" fontId="1" fillId="3" borderId="5" xfId="0" applyFont="1" applyFill="1" applyBorder="1" applyAlignment="1">
      <alignment horizontal="left" vertical="center" wrapText="1" indent="3"/>
    </xf>
    <xf numFmtId="0" fontId="5" fillId="5" borderId="3" xfId="0" applyFont="1" applyFill="1" applyBorder="1" applyAlignment="1">
      <alignment vertical="center"/>
    </xf>
    <xf numFmtId="0" fontId="6" fillId="3" borderId="10" xfId="0" applyFont="1" applyFill="1" applyBorder="1" applyAlignment="1">
      <alignment vertical="center" wrapText="1"/>
    </xf>
    <xf numFmtId="0" fontId="1" fillId="3" borderId="14" xfId="0" applyFont="1" applyFill="1" applyBorder="1" applyAlignment="1">
      <alignment horizontal="left" vertical="center" wrapText="1" indent="1"/>
    </xf>
    <xf numFmtId="0" fontId="7" fillId="3" borderId="14" xfId="0" applyFont="1" applyFill="1" applyBorder="1" applyAlignment="1">
      <alignment horizontal="left" vertical="center" wrapText="1" indent="1"/>
    </xf>
    <xf numFmtId="0" fontId="1" fillId="3" borderId="0" xfId="0" applyFont="1" applyFill="1" applyBorder="1" applyAlignment="1">
      <alignment horizontal="left" vertical="center" wrapText="1" indent="1"/>
    </xf>
    <xf numFmtId="0" fontId="6" fillId="3" borderId="14" xfId="0" applyFont="1" applyFill="1" applyBorder="1" applyAlignment="1">
      <alignment horizontal="center" vertical="center" wrapText="1"/>
    </xf>
    <xf numFmtId="0" fontId="1" fillId="3" borderId="14" xfId="0" applyFont="1" applyFill="1" applyBorder="1" applyAlignment="1">
      <alignment horizontal="left" vertical="center" wrapText="1"/>
    </xf>
    <xf numFmtId="164" fontId="5" fillId="6" borderId="1" xfId="0" applyNumberFormat="1" applyFont="1" applyFill="1" applyBorder="1" applyAlignment="1">
      <alignment vertical="center" wrapText="1"/>
    </xf>
    <xf numFmtId="0" fontId="5" fillId="6" borderId="1" xfId="0" applyFont="1" applyFill="1" applyBorder="1" applyAlignment="1">
      <alignment horizontal="left" vertical="center" indent="1"/>
    </xf>
    <xf numFmtId="0" fontId="5" fillId="6" borderId="1" xfId="0" applyFont="1" applyFill="1" applyBorder="1" applyAlignment="1">
      <alignment horizontal="left" vertical="center" wrapText="1"/>
    </xf>
    <xf numFmtId="0" fontId="5" fillId="6" borderId="1" xfId="0" applyFont="1" applyFill="1" applyBorder="1" applyAlignment="1">
      <alignment vertical="center" wrapText="1"/>
    </xf>
    <xf numFmtId="0" fontId="4" fillId="6" borderId="1" xfId="0" applyFont="1" applyFill="1" applyBorder="1" applyAlignment="1">
      <alignment wrapText="1"/>
    </xf>
    <xf numFmtId="164" fontId="5" fillId="7" borderId="1" xfId="0" applyNumberFormat="1" applyFont="1" applyFill="1" applyBorder="1" applyAlignment="1">
      <alignment vertical="center" wrapText="1"/>
    </xf>
    <xf numFmtId="0" fontId="5" fillId="7" borderId="1" xfId="0" applyFont="1" applyFill="1" applyBorder="1" applyAlignment="1">
      <alignment horizontal="left" vertical="center" wrapText="1"/>
    </xf>
    <xf numFmtId="0" fontId="5" fillId="7" borderId="1" xfId="0" applyFont="1" applyFill="1" applyBorder="1" applyAlignment="1">
      <alignment vertical="center" wrapText="1"/>
    </xf>
    <xf numFmtId="0" fontId="4" fillId="7" borderId="1" xfId="0" applyFont="1" applyFill="1" applyBorder="1" applyAlignment="1">
      <alignment wrapText="1"/>
    </xf>
    <xf numFmtId="0" fontId="5" fillId="6" borderId="4" xfId="0" applyFont="1" applyFill="1" applyBorder="1" applyAlignment="1">
      <alignment horizontal="left" vertical="center" indent="1"/>
    </xf>
    <xf numFmtId="0" fontId="6" fillId="3" borderId="6" xfId="0" applyFont="1" applyFill="1" applyBorder="1" applyAlignment="1">
      <alignment vertical="center" wrapText="1"/>
    </xf>
    <xf numFmtId="0" fontId="1" fillId="3" borderId="3" xfId="0" quotePrefix="1" applyFont="1" applyFill="1" applyBorder="1" applyAlignment="1">
      <alignment horizontal="left" vertical="center" wrapText="1"/>
    </xf>
    <xf numFmtId="0" fontId="6" fillId="3" borderId="4" xfId="0" applyFont="1" applyFill="1" applyBorder="1" applyAlignment="1">
      <alignment horizontal="left" vertical="center" wrapText="1" indent="4"/>
    </xf>
    <xf numFmtId="0" fontId="1" fillId="3" borderId="6" xfId="0" applyFont="1" applyFill="1" applyBorder="1" applyAlignment="1">
      <alignment horizontal="left" vertical="center" wrapText="1" indent="4"/>
    </xf>
    <xf numFmtId="0" fontId="1" fillId="3" borderId="5" xfId="0" applyFont="1" applyFill="1" applyBorder="1" applyAlignment="1">
      <alignment horizontal="left" vertical="center" wrapText="1" indent="4"/>
    </xf>
    <xf numFmtId="0" fontId="5" fillId="7" borderId="1" xfId="0" applyFont="1" applyFill="1" applyBorder="1" applyAlignment="1">
      <alignment horizontal="left" vertical="center" indent="2"/>
    </xf>
    <xf numFmtId="0" fontId="6" fillId="3" borderId="3" xfId="0" applyFont="1" applyFill="1" applyBorder="1" applyAlignment="1">
      <alignment horizontal="left" vertical="center" wrapText="1"/>
    </xf>
    <xf numFmtId="0" fontId="3" fillId="0" borderId="11" xfId="0" applyFont="1" applyBorder="1" applyAlignment="1">
      <alignment wrapText="1"/>
    </xf>
    <xf numFmtId="0" fontId="6" fillId="0" borderId="1" xfId="0" applyFont="1" applyBorder="1" applyAlignment="1">
      <alignment vertical="center" wrapText="1"/>
    </xf>
    <xf numFmtId="0" fontId="1" fillId="0" borderId="0" xfId="0" applyFont="1" applyBorder="1" applyAlignment="1">
      <alignment vertical="center" wrapText="1"/>
    </xf>
    <xf numFmtId="0" fontId="2" fillId="0" borderId="1" xfId="0" applyFont="1" applyFill="1" applyBorder="1" applyAlignment="1">
      <alignment wrapText="1"/>
    </xf>
    <xf numFmtId="0" fontId="2" fillId="0" borderId="1" xfId="0" applyFont="1" applyFill="1" applyBorder="1" applyAlignment="1">
      <alignment horizontal="center" wrapText="1"/>
    </xf>
    <xf numFmtId="0" fontId="0" fillId="0" borderId="0" xfId="0" applyFill="1" applyAlignment="1">
      <alignment wrapText="1"/>
    </xf>
    <xf numFmtId="164" fontId="2" fillId="8" borderId="1" xfId="0" applyNumberFormat="1" applyFont="1" applyFill="1" applyBorder="1" applyAlignment="1">
      <alignment wrapText="1"/>
    </xf>
    <xf numFmtId="0" fontId="2" fillId="8" borderId="1" xfId="0" applyFont="1" applyFill="1" applyBorder="1" applyAlignment="1">
      <alignment horizontal="center" wrapText="1"/>
    </xf>
    <xf numFmtId="0" fontId="10" fillId="0" borderId="1" xfId="0" applyFont="1" applyFill="1" applyBorder="1" applyAlignment="1">
      <alignment vertical="center" wrapText="1"/>
    </xf>
    <xf numFmtId="0" fontId="10" fillId="0" borderId="1" xfId="0" applyFont="1" applyFill="1" applyBorder="1" applyAlignment="1">
      <alignment horizontal="left" vertical="center" wrapText="1"/>
    </xf>
    <xf numFmtId="0" fontId="5" fillId="5" borderId="4" xfId="0" applyFont="1" applyFill="1" applyBorder="1" applyAlignment="1">
      <alignment horizontal="left" vertical="center" indent="1"/>
    </xf>
    <xf numFmtId="0" fontId="5" fillId="0" borderId="1" xfId="0" applyFont="1" applyFill="1" applyBorder="1" applyAlignment="1">
      <alignment horizontal="left" vertical="center" indent="1"/>
    </xf>
    <xf numFmtId="0" fontId="10" fillId="0" borderId="1" xfId="0" applyFont="1" applyFill="1" applyBorder="1" applyAlignment="1">
      <alignment horizontal="left" vertical="center" indent="1"/>
    </xf>
    <xf numFmtId="0" fontId="5" fillId="0" borderId="4" xfId="0" applyFont="1" applyFill="1" applyBorder="1" applyAlignment="1">
      <alignment horizontal="left" vertical="center" indent="1"/>
    </xf>
    <xf numFmtId="0" fontId="5" fillId="0" borderId="1" xfId="0" applyFont="1" applyFill="1" applyBorder="1" applyAlignment="1">
      <alignment horizontal="left" vertical="center" wrapText="1"/>
    </xf>
    <xf numFmtId="0" fontId="11" fillId="5" borderId="1" xfId="0" applyFont="1" applyFill="1" applyBorder="1" applyAlignment="1">
      <alignment horizontal="left" vertical="center" indent="2"/>
    </xf>
    <xf numFmtId="0" fontId="11" fillId="5" borderId="1" xfId="0" applyFont="1" applyFill="1" applyBorder="1" applyAlignment="1">
      <alignment horizontal="left" vertical="center" wrapText="1"/>
    </xf>
    <xf numFmtId="0" fontId="1" fillId="0" borderId="1" xfId="0" applyFont="1" applyFill="1" applyBorder="1" applyAlignment="1">
      <alignment vertical="center" wrapText="1"/>
    </xf>
    <xf numFmtId="0" fontId="2" fillId="2" borderId="1" xfId="0" applyFont="1" applyFill="1" applyBorder="1" applyAlignment="1">
      <alignment horizontal="left" wrapText="1"/>
    </xf>
    <xf numFmtId="0" fontId="2" fillId="8" borderId="1" xfId="0" applyFont="1" applyFill="1" applyBorder="1" applyAlignment="1">
      <alignment horizontal="left" wrapText="1"/>
    </xf>
    <xf numFmtId="0" fontId="1" fillId="0" borderId="1" xfId="0" applyFont="1" applyBorder="1" applyAlignment="1">
      <alignment horizontal="left" vertical="center" wrapText="1"/>
    </xf>
    <xf numFmtId="0" fontId="1" fillId="0" borderId="1" xfId="0" quotePrefix="1" applyFont="1" applyBorder="1" applyAlignment="1">
      <alignment horizontal="left" vertical="center" wrapText="1"/>
    </xf>
    <xf numFmtId="0" fontId="0" fillId="0" borderId="1" xfId="0" applyBorder="1" applyAlignment="1">
      <alignment horizontal="left" wrapText="1"/>
    </xf>
    <xf numFmtId="0" fontId="0" fillId="0" borderId="0" xfId="0" applyAlignment="1">
      <alignment horizontal="left" wrapText="1"/>
    </xf>
    <xf numFmtId="0" fontId="12" fillId="0" borderId="0" xfId="0" applyFont="1"/>
    <xf numFmtId="0" fontId="1" fillId="9" borderId="1" xfId="0" applyFont="1" applyFill="1" applyBorder="1" applyAlignment="1">
      <alignment vertical="center" wrapText="1"/>
    </xf>
    <xf numFmtId="0" fontId="1" fillId="9" borderId="3" xfId="0" applyFont="1" applyFill="1" applyBorder="1" applyAlignment="1">
      <alignment vertical="center" wrapText="1"/>
    </xf>
    <xf numFmtId="0" fontId="6" fillId="9" borderId="1" xfId="0" applyFont="1" applyFill="1" applyBorder="1" applyAlignment="1">
      <alignment vertical="center" wrapText="1"/>
    </xf>
    <xf numFmtId="0" fontId="6" fillId="0" borderId="1" xfId="0" applyFont="1" applyFill="1" applyBorder="1" applyAlignment="1">
      <alignment horizontal="left" vertical="center" wrapText="1" indent="1"/>
    </xf>
    <xf numFmtId="0" fontId="6" fillId="0" borderId="3" xfId="0" applyFont="1" applyFill="1" applyBorder="1" applyAlignment="1">
      <alignment horizontal="left" vertical="center" wrapText="1"/>
    </xf>
    <xf numFmtId="0" fontId="0" fillId="9" borderId="1" xfId="0" applyFill="1" applyBorder="1" applyAlignment="1">
      <alignment wrapText="1"/>
    </xf>
    <xf numFmtId="0" fontId="6" fillId="10" borderId="1" xfId="0" applyFont="1" applyFill="1" applyBorder="1" applyAlignment="1">
      <alignment vertical="center" wrapText="1"/>
    </xf>
    <xf numFmtId="0" fontId="6" fillId="10" borderId="3" xfId="0" applyFont="1" applyFill="1" applyBorder="1" applyAlignment="1">
      <alignment vertical="center" wrapText="1"/>
    </xf>
    <xf numFmtId="0" fontId="3" fillId="10" borderId="1" xfId="0" applyFont="1" applyFill="1" applyBorder="1" applyAlignment="1">
      <alignment wrapText="1"/>
    </xf>
    <xf numFmtId="0" fontId="6" fillId="0" borderId="1" xfId="0" applyFont="1" applyFill="1" applyBorder="1" applyAlignment="1">
      <alignment vertical="center" wrapText="1"/>
    </xf>
    <xf numFmtId="0" fontId="6" fillId="0" borderId="3" xfId="0" applyFont="1" applyFill="1" applyBorder="1" applyAlignment="1">
      <alignment vertical="center" wrapText="1"/>
    </xf>
    <xf numFmtId="0" fontId="3" fillId="0" borderId="1" xfId="0" applyFont="1" applyFill="1" applyBorder="1" applyAlignment="1">
      <alignment wrapText="1"/>
    </xf>
    <xf numFmtId="0" fontId="3" fillId="0" borderId="1" xfId="0" applyFont="1" applyBorder="1" applyAlignment="1">
      <alignment wrapText="1"/>
    </xf>
    <xf numFmtId="0" fontId="0" fillId="0" borderId="1" xfId="0" quotePrefix="1" applyBorder="1" applyAlignment="1">
      <alignment wrapText="1"/>
    </xf>
    <xf numFmtId="164" fontId="11" fillId="0" borderId="1" xfId="0" applyNumberFormat="1" applyFont="1" applyFill="1" applyBorder="1" applyAlignment="1">
      <alignment vertical="center" wrapText="1"/>
    </xf>
    <xf numFmtId="0" fontId="11" fillId="0" borderId="1" xfId="0" applyFont="1" applyFill="1" applyBorder="1" applyAlignment="1">
      <alignment vertical="center" wrapText="1"/>
    </xf>
    <xf numFmtId="0" fontId="14" fillId="0" borderId="1" xfId="0" applyFont="1" applyFill="1" applyBorder="1" applyAlignment="1">
      <alignment wrapText="1"/>
    </xf>
    <xf numFmtId="0" fontId="14" fillId="0" borderId="0" xfId="0" applyFont="1" applyFill="1" applyAlignment="1">
      <alignment wrapText="1"/>
    </xf>
    <xf numFmtId="0" fontId="11" fillId="9" borderId="1" xfId="0" applyFont="1" applyFill="1" applyBorder="1" applyAlignment="1">
      <alignment vertical="center" wrapText="1"/>
    </xf>
    <xf numFmtId="0" fontId="11" fillId="9" borderId="1" xfId="0" applyFont="1" applyFill="1" applyBorder="1" applyAlignment="1">
      <alignment horizontal="left" vertical="center" wrapText="1"/>
    </xf>
    <xf numFmtId="0" fontId="15" fillId="0" borderId="0" xfId="0" applyFont="1" applyAlignment="1">
      <alignment vertical="center"/>
    </xf>
    <xf numFmtId="0" fontId="15" fillId="0" borderId="1" xfId="0" applyFont="1" applyBorder="1" applyAlignment="1">
      <alignment vertical="center"/>
    </xf>
    <xf numFmtId="164" fontId="1" fillId="3" borderId="4" xfId="0" applyNumberFormat="1" applyFont="1" applyFill="1" applyBorder="1" applyAlignment="1">
      <alignment vertical="center" wrapText="1"/>
    </xf>
    <xf numFmtId="0" fontId="15" fillId="0" borderId="4" xfId="0" applyFont="1" applyBorder="1" applyAlignment="1">
      <alignment vertical="center"/>
    </xf>
    <xf numFmtId="0" fontId="10" fillId="0" borderId="4" xfId="0" applyFont="1" applyFill="1" applyBorder="1" applyAlignment="1">
      <alignment horizontal="left" vertical="center" wrapText="1"/>
    </xf>
    <xf numFmtId="0" fontId="17" fillId="0" borderId="1" xfId="0" applyFont="1" applyBorder="1" applyAlignment="1">
      <alignment vertical="center" wrapText="1"/>
    </xf>
    <xf numFmtId="0" fontId="18" fillId="0" borderId="0" xfId="0" applyFont="1"/>
    <xf numFmtId="0" fontId="9" fillId="0" borderId="1" xfId="0" applyFont="1" applyBorder="1" applyAlignment="1">
      <alignment horizontal="left" vertical="center" wrapText="1"/>
    </xf>
    <xf numFmtId="0" fontId="7" fillId="0" borderId="1" xfId="0" applyFont="1" applyBorder="1" applyAlignment="1">
      <alignment horizontal="left" vertical="center" wrapText="1"/>
    </xf>
    <xf numFmtId="0" fontId="19" fillId="9" borderId="1" xfId="0" applyFont="1" applyFill="1" applyBorder="1" applyAlignment="1">
      <alignment horizontal="left" vertical="center" wrapText="1"/>
    </xf>
    <xf numFmtId="0" fontId="20" fillId="0" borderId="1" xfId="0" applyFont="1" applyBorder="1" applyAlignment="1">
      <alignment horizontal="left" wrapText="1"/>
    </xf>
    <xf numFmtId="6" fontId="1" fillId="0" borderId="1" xfId="0" applyNumberFormat="1" applyFont="1" applyBorder="1" applyAlignment="1">
      <alignment horizontal="left" vertical="center" wrapText="1"/>
    </xf>
    <xf numFmtId="2" fontId="1" fillId="0" borderId="1" xfId="0" applyNumberFormat="1" applyFont="1" applyBorder="1" applyAlignment="1">
      <alignment horizontal="left" vertical="center" wrapText="1"/>
    </xf>
    <xf numFmtId="0" fontId="21" fillId="0" borderId="1" xfId="0" applyFont="1" applyBorder="1" applyAlignment="1">
      <alignment vertical="center" wrapText="1"/>
    </xf>
    <xf numFmtId="0" fontId="6" fillId="0" borderId="1" xfId="0" applyFont="1" applyBorder="1" applyAlignment="1">
      <alignment horizontal="left" vertical="center" wrapText="1"/>
    </xf>
    <xf numFmtId="0" fontId="9" fillId="0" borderId="1" xfId="0" applyFont="1" applyBorder="1" applyAlignment="1">
      <alignment vertical="center" wrapText="1"/>
    </xf>
    <xf numFmtId="0" fontId="22" fillId="0" borderId="0" xfId="0" applyFont="1"/>
    <xf numFmtId="2" fontId="21" fillId="0" borderId="1" xfId="0" applyNumberFormat="1" applyFont="1" applyBorder="1" applyAlignment="1">
      <alignment vertical="center" wrapText="1"/>
    </xf>
    <xf numFmtId="0" fontId="6" fillId="9" borderId="3" xfId="0" applyFont="1" applyFill="1" applyBorder="1" applyAlignment="1">
      <alignment horizontal="left" vertical="center" wrapText="1"/>
    </xf>
    <xf numFmtId="0" fontId="22" fillId="0" borderId="0" xfId="0" applyFont="1" applyAlignment="1">
      <alignment vertical="center"/>
    </xf>
    <xf numFmtId="0" fontId="7" fillId="0" borderId="1" xfId="0" applyFont="1" applyBorder="1" applyAlignment="1">
      <alignment vertical="center" wrapText="1"/>
    </xf>
    <xf numFmtId="0" fontId="0" fillId="0" borderId="1" xfId="0" applyFont="1" applyBorder="1" applyAlignment="1">
      <alignment wrapText="1"/>
    </xf>
    <xf numFmtId="0" fontId="24" fillId="0" borderId="1" xfId="0" applyFont="1" applyBorder="1" applyAlignment="1">
      <alignment vertical="center" wrapText="1"/>
    </xf>
    <xf numFmtId="0" fontId="22" fillId="0" borderId="1" xfId="0" applyFont="1" applyBorder="1" applyAlignment="1">
      <alignment horizontal="right"/>
    </xf>
    <xf numFmtId="0" fontId="1" fillId="9" borderId="3" xfId="0" applyFont="1" applyFill="1" applyBorder="1" applyAlignment="1">
      <alignment horizontal="left" vertical="center" wrapText="1"/>
    </xf>
    <xf numFmtId="0" fontId="0" fillId="0" borderId="1" xfId="0" applyFill="1" applyBorder="1" applyAlignment="1">
      <alignment wrapText="1"/>
    </xf>
    <xf numFmtId="0" fontId="22" fillId="0" borderId="0" xfId="0" applyFont="1" applyFill="1" applyAlignment="1">
      <alignment wrapText="1"/>
    </xf>
    <xf numFmtId="0" fontId="9" fillId="0" borderId="1" xfId="0" applyFont="1" applyFill="1" applyBorder="1" applyAlignment="1">
      <alignment vertical="center" wrapText="1"/>
    </xf>
    <xf numFmtId="0" fontId="25" fillId="0" borderId="0" xfId="0" applyFont="1" applyFill="1" applyAlignment="1">
      <alignment wrapText="1"/>
    </xf>
    <xf numFmtId="164" fontId="2" fillId="9" borderId="1" xfId="0" applyNumberFormat="1" applyFont="1" applyFill="1" applyBorder="1" applyAlignment="1">
      <alignment wrapText="1"/>
    </xf>
    <xf numFmtId="0" fontId="2" fillId="9" borderId="2" xfId="0" applyFont="1" applyFill="1" applyBorder="1" applyAlignment="1">
      <alignment horizontal="center" wrapText="1"/>
    </xf>
    <xf numFmtId="0" fontId="0" fillId="9" borderId="3" xfId="0" applyFill="1" applyBorder="1" applyAlignment="1">
      <alignment horizontal="center" wrapText="1"/>
    </xf>
    <xf numFmtId="0" fontId="2" fillId="9" borderId="1" xfId="0" applyFont="1" applyFill="1" applyBorder="1" applyAlignment="1">
      <alignment horizontal="center" wrapText="1"/>
    </xf>
    <xf numFmtId="0" fontId="11" fillId="0" borderId="1" xfId="0" applyFont="1" applyFill="1" applyBorder="1" applyAlignment="1">
      <alignment horizontal="left" vertical="center" indent="2"/>
    </xf>
    <xf numFmtId="0" fontId="11" fillId="0" borderId="3" xfId="0" applyFont="1" applyFill="1" applyBorder="1" applyAlignment="1">
      <alignment horizontal="left" vertical="center" wrapText="1"/>
    </xf>
    <xf numFmtId="0" fontId="5" fillId="0" borderId="1" xfId="0" applyFont="1" applyFill="1" applyBorder="1" applyAlignment="1">
      <alignment vertical="center" wrapText="1"/>
    </xf>
    <xf numFmtId="0" fontId="11" fillId="0" borderId="1" xfId="0" applyFont="1" applyFill="1" applyBorder="1" applyAlignment="1">
      <alignment horizontal="left" vertical="center" wrapText="1"/>
    </xf>
    <xf numFmtId="0" fontId="6" fillId="11" borderId="1" xfId="0" applyFont="1" applyFill="1" applyBorder="1" applyAlignment="1">
      <alignment vertical="center" wrapText="1"/>
    </xf>
    <xf numFmtId="0" fontId="6" fillId="11" borderId="3" xfId="0" applyFont="1" applyFill="1" applyBorder="1" applyAlignment="1">
      <alignment horizontal="left" vertical="center" wrapText="1"/>
    </xf>
    <xf numFmtId="0" fontId="1" fillId="11" borderId="1" xfId="0" applyFont="1" applyFill="1" applyBorder="1" applyAlignment="1">
      <alignment vertical="center" wrapText="1"/>
    </xf>
    <xf numFmtId="0" fontId="22" fillId="0" borderId="1" xfId="0" applyFont="1" applyBorder="1"/>
    <xf numFmtId="0" fontId="26" fillId="0" borderId="0" xfId="0" applyFont="1" applyAlignment="1">
      <alignment vertical="center" wrapText="1"/>
    </xf>
    <xf numFmtId="0" fontId="2" fillId="8" borderId="2" xfId="0" applyFont="1" applyFill="1" applyBorder="1" applyAlignment="1">
      <alignment horizontal="center" wrapText="1"/>
    </xf>
    <xf numFmtId="0" fontId="0" fillId="0" borderId="3" xfId="0" applyBorder="1" applyAlignment="1">
      <alignment horizontal="center" wrapText="1"/>
    </xf>
  </cellXfs>
  <cellStyles count="1">
    <cellStyle name="Normal" xfId="0" builtinId="0"/>
  </cellStyles>
  <dxfs count="1490">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
      <font>
        <color rgb="FFFF0000"/>
      </font>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8</xdr:row>
          <xdr:rowOff>57150</xdr:rowOff>
        </xdr:from>
        <xdr:to>
          <xdr:col>0</xdr:col>
          <xdr:colOff>581025</xdr:colOff>
          <xdr:row>9</xdr:row>
          <xdr:rowOff>104775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581025</xdr:colOff>
          <xdr:row>2</xdr:row>
          <xdr:rowOff>171450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581025</xdr:colOff>
          <xdr:row>3</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28575</xdr:rowOff>
        </xdr:from>
        <xdr:to>
          <xdr:col>0</xdr:col>
          <xdr:colOff>581025</xdr:colOff>
          <xdr:row>4</xdr:row>
          <xdr:rowOff>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0</xdr:rowOff>
        </xdr:from>
        <xdr:to>
          <xdr:col>0</xdr:col>
          <xdr:colOff>581025</xdr:colOff>
          <xdr:row>4</xdr:row>
          <xdr:rowOff>161925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2114550</xdr:colOff>
          <xdr:row>0</xdr:row>
          <xdr:rowOff>57150</xdr:rowOff>
        </xdr:from>
        <xdr:to>
          <xdr:col>2</xdr:col>
          <xdr:colOff>2924175</xdr:colOff>
          <xdr:row>0</xdr:row>
          <xdr:rowOff>342900</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Button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685800</xdr:colOff>
          <xdr:row>0</xdr:row>
          <xdr:rowOff>180975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939818\Documents\_Project%20Documents\SVN%20TEST%20%20team\_Sutuwa\Testing\Release%201\Stats\SEB_InvestAdmin_Investmen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B43351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ternal"/>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Test Case"/>
      <sheetName val="Internal - Benefit Payment"/>
      <sheetName val="Internal - Termination"/>
      <sheetName val="Repurchase Reversal"/>
      <sheetName val="Termination Under Funded"/>
      <sheetName val="External - Benefit Payment"/>
      <sheetName val="External - Terminations"/>
      <sheetName val="Internal - Benefit Payment CBA"/>
      <sheetName val="CB433510"/>
    </sheetNames>
    <definedNames>
      <definedName name="Button5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H8"/>
  <sheetViews>
    <sheetView zoomScaleNormal="100" workbookViewId="0">
      <selection activeCell="B26" sqref="B26"/>
    </sheetView>
  </sheetViews>
  <sheetFormatPr defaultRowHeight="15" x14ac:dyDescent="0.25"/>
  <cols>
    <col min="1" max="1" width="9.140625" style="2"/>
    <col min="2" max="2" width="50.85546875" style="2" customWidth="1"/>
    <col min="3" max="8" width="15" style="2" customWidth="1"/>
    <col min="9" max="16384" width="9.140625" style="2"/>
  </cols>
  <sheetData>
    <row r="2" spans="2:8" x14ac:dyDescent="0.25">
      <c r="B2" s="12" t="s">
        <v>718</v>
      </c>
      <c r="C2" s="12" t="s">
        <v>5</v>
      </c>
      <c r="D2" s="12" t="s">
        <v>6</v>
      </c>
      <c r="E2" s="12" t="s">
        <v>9</v>
      </c>
      <c r="F2" s="12" t="s">
        <v>7</v>
      </c>
      <c r="G2" s="12" t="s">
        <v>8</v>
      </c>
      <c r="H2" s="12" t="s">
        <v>10</v>
      </c>
    </row>
    <row r="3" spans="2:8" x14ac:dyDescent="0.25">
      <c r="B3" s="12" t="s">
        <v>22</v>
      </c>
      <c r="C3" s="13">
        <f>'Test Case'!G747</f>
        <v>104</v>
      </c>
      <c r="D3" s="13">
        <f>'Test Case'!H747</f>
        <v>0</v>
      </c>
      <c r="E3" s="13">
        <f>'Test Case'!I747</f>
        <v>489</v>
      </c>
      <c r="F3" s="14">
        <f>'Test Case'!J747</f>
        <v>35</v>
      </c>
      <c r="G3" s="14">
        <f>'Test Case'!K747</f>
        <v>75</v>
      </c>
      <c r="H3" s="13">
        <f t="shared" ref="H3:H8" si="0">SUM(C3:E3)</f>
        <v>593</v>
      </c>
    </row>
    <row r="4" spans="2:8" x14ac:dyDescent="0.25">
      <c r="B4" s="12" t="s">
        <v>803</v>
      </c>
      <c r="C4" s="13">
        <f>'Internal Repurchase - Normal'!G108+'External Repurchase - Normal'!G107</f>
        <v>116</v>
      </c>
      <c r="D4" s="13">
        <f>'Internal Repurchase - Normal'!H108+'External Repurchase - Normal'!H107</f>
        <v>0</v>
      </c>
      <c r="E4" s="13">
        <f>'Internal Repurchase - Normal'!I108+'External Repurchase - Normal'!I107</f>
        <v>0</v>
      </c>
      <c r="F4" s="13">
        <f>'Internal Repurchase - Normal'!J108+'External Repurchase - Normal'!J107</f>
        <v>6</v>
      </c>
      <c r="G4" s="13">
        <f>'Internal Repurchase - Normal'!K108+'External Repurchase - Normal'!K107</f>
        <v>2</v>
      </c>
      <c r="H4" s="13">
        <f t="shared" si="0"/>
        <v>116</v>
      </c>
    </row>
    <row r="5" spans="2:8" x14ac:dyDescent="0.25">
      <c r="B5" s="12" t="s">
        <v>717</v>
      </c>
      <c r="C5" s="13">
        <f>'Internal - MV Adjustment'!G137+'External - MV Adjustment'!G134</f>
        <v>208</v>
      </c>
      <c r="D5" s="13">
        <f>'Internal - MV Adjustment'!H137+'External - MV Adjustment'!H134</f>
        <v>0</v>
      </c>
      <c r="E5" s="13">
        <f>'Internal - MV Adjustment'!I137+'External - MV Adjustment'!I134</f>
        <v>0</v>
      </c>
      <c r="F5" s="14">
        <f>'Internal - MV Adjustment'!J137+'External - MV Adjustment'!J134</f>
        <v>0</v>
      </c>
      <c r="G5" s="14">
        <f>'Internal - MV Adjustment'!K137+'External - MV Adjustment'!K134</f>
        <v>2</v>
      </c>
      <c r="H5" s="13">
        <f t="shared" si="0"/>
        <v>208</v>
      </c>
    </row>
    <row r="6" spans="2:8" x14ac:dyDescent="0.25">
      <c r="B6" s="12" t="s">
        <v>716</v>
      </c>
      <c r="C6" s="13">
        <f>'Internal - Ben Payment '!G89+'External - Benefit Payment'!G82+'Internal - Benefit Payment CBA'!G91</f>
        <v>158</v>
      </c>
      <c r="D6" s="13">
        <f>'Internal - Ben Payment '!H89+'Internal - Benefit Payment CBA'!H91+'External - Benefit Payment'!H82</f>
        <v>0</v>
      </c>
      <c r="E6" s="13">
        <f>'Internal - Ben Payment '!I89+'External - Benefit Payment'!I82+'Internal - Benefit Payment CBA'!I91</f>
        <v>0</v>
      </c>
      <c r="F6" s="14">
        <f>'Internal - Ben Payment '!J89+'External - Benefit Payment'!J82+'Internal - Benefit Payment CBA'!J91</f>
        <v>5</v>
      </c>
      <c r="G6" s="14">
        <f>'Internal - Ben Payment '!K89+'External - Benefit Payment'!K82+'Internal - Benefit Payment CBA'!K91</f>
        <v>3</v>
      </c>
      <c r="H6" s="13">
        <f t="shared" si="0"/>
        <v>158</v>
      </c>
    </row>
    <row r="7" spans="2:8" x14ac:dyDescent="0.25">
      <c r="B7" s="12" t="s">
        <v>644</v>
      </c>
      <c r="C7" s="13">
        <f>'Termination Under Funded'!G131+'External - Terminations'!G206+'Internal - Termination'!G172</f>
        <v>187</v>
      </c>
      <c r="D7" s="13">
        <f>'Termination Under Funded'!H131</f>
        <v>0</v>
      </c>
      <c r="E7" s="13">
        <f>'Termination Under Funded'!I131+'External - Benefit Payment'!I82</f>
        <v>18</v>
      </c>
      <c r="F7" s="14">
        <f>'Termination Under Funded'!J131</f>
        <v>0</v>
      </c>
      <c r="G7" s="14">
        <f>'Termination Under Funded'!K131</f>
        <v>63</v>
      </c>
      <c r="H7" s="13">
        <f t="shared" si="0"/>
        <v>205</v>
      </c>
    </row>
    <row r="8" spans="2:8" x14ac:dyDescent="0.25">
      <c r="B8" s="12" t="s">
        <v>643</v>
      </c>
      <c r="C8" s="13" t="e">
        <f>#REF!</f>
        <v>#REF!</v>
      </c>
      <c r="D8" s="13" t="e">
        <f>#REF!</f>
        <v>#REF!</v>
      </c>
      <c r="E8" s="13" t="e">
        <f>#REF!</f>
        <v>#REF!</v>
      </c>
      <c r="F8" s="14" t="e">
        <f>#REF!</f>
        <v>#REF!</v>
      </c>
      <c r="G8" s="14" t="e">
        <f>#REF!</f>
        <v>#REF!</v>
      </c>
      <c r="H8" s="13" t="e">
        <f t="shared" si="0"/>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_xludf.CLEAR">
                <anchor moveWithCells="1">
                  <from>
                    <xdr:col>0</xdr:col>
                    <xdr:colOff>38100</xdr:colOff>
                    <xdr:row>8</xdr:row>
                    <xdr:rowOff>57150</xdr:rowOff>
                  </from>
                  <to>
                    <xdr:col>0</xdr:col>
                    <xdr:colOff>581025</xdr:colOff>
                    <xdr:row>9</xdr:row>
                    <xdr:rowOff>104775</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from>
                    <xdr:col>0</xdr:col>
                    <xdr:colOff>38100</xdr:colOff>
                    <xdr:row>2</xdr:row>
                    <xdr:rowOff>9525</xdr:rowOff>
                  </from>
                  <to>
                    <xdr:col>0</xdr:col>
                    <xdr:colOff>581025</xdr:colOff>
                    <xdr:row>2</xdr:row>
                    <xdr:rowOff>171450</xdr:rowOff>
                  </to>
                </anchor>
              </controlPr>
            </control>
          </mc:Choice>
        </mc:AlternateContent>
        <mc:AlternateContent xmlns:mc="http://schemas.openxmlformats.org/markup-compatibility/2006">
          <mc:Choice Requires="x14">
            <control shapeId="3075" r:id="rId6" name="Button 3">
              <controlPr defaultSize="0" print="0" autoFill="0" autoPict="0" macro="[0]!Button1_Click">
                <anchor moveWithCells="1">
                  <from>
                    <xdr:col>0</xdr:col>
                    <xdr:colOff>38100</xdr:colOff>
                    <xdr:row>3</xdr:row>
                    <xdr:rowOff>0</xdr:rowOff>
                  </from>
                  <to>
                    <xdr:col>0</xdr:col>
                    <xdr:colOff>581025</xdr:colOff>
                    <xdr:row>3</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Button4_Click">
                <anchor moveWithCells="1">
                  <from>
                    <xdr:col>0</xdr:col>
                    <xdr:colOff>38100</xdr:colOff>
                    <xdr:row>3</xdr:row>
                    <xdr:rowOff>28575</xdr:rowOff>
                  </from>
                  <to>
                    <xdr:col>0</xdr:col>
                    <xdr:colOff>581025</xdr:colOff>
                    <xdr:row>4</xdr:row>
                    <xdr:rowOff>0</xdr:rowOff>
                  </to>
                </anchor>
              </controlPr>
            </control>
          </mc:Choice>
        </mc:AlternateContent>
        <mc:AlternateContent xmlns:mc="http://schemas.openxmlformats.org/markup-compatibility/2006">
          <mc:Choice Requires="x14">
            <control shapeId="3077" r:id="rId8" name="Button 5">
              <controlPr defaultSize="0" print="0" autoFill="0" autoPict="0" macro="[0]!Button3_Click">
                <anchor moveWithCells="1">
                  <from>
                    <xdr:col>0</xdr:col>
                    <xdr:colOff>38100</xdr:colOff>
                    <xdr:row>4</xdr:row>
                    <xdr:rowOff>0</xdr:rowOff>
                  </from>
                  <to>
                    <xdr:col>0</xdr:col>
                    <xdr:colOff>581025</xdr:colOff>
                    <xdr:row>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981"/>
  <sheetViews>
    <sheetView zoomScaleNormal="100" workbookViewId="0">
      <pane ySplit="1" topLeftCell="A154" activePane="bottomLeft" state="frozen"/>
      <selection pane="bottomLeft" activeCell="C162" sqref="C162"/>
    </sheetView>
  </sheetViews>
  <sheetFormatPr defaultRowHeight="15" outlineLevelRow="1" x14ac:dyDescent="0.25"/>
  <cols>
    <col min="1" max="1" width="11.28515625" style="3" bestFit="1" customWidth="1"/>
    <col min="2" max="2" width="48.5703125" style="1" customWidth="1"/>
    <col min="3" max="3" width="67.7109375" style="1" customWidth="1"/>
    <col min="4" max="4" width="27.5703125" style="1" customWidth="1"/>
    <col min="5" max="5" width="13.42578125" style="1" customWidth="1"/>
    <col min="6" max="6" width="14.7109375"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39" t="s">
        <v>11</v>
      </c>
      <c r="C1" s="39" t="s">
        <v>2</v>
      </c>
      <c r="D1" s="40" t="s">
        <v>4</v>
      </c>
      <c r="E1" s="11" t="s">
        <v>3</v>
      </c>
      <c r="F1" s="10" t="s">
        <v>0</v>
      </c>
      <c r="G1" s="11" t="s">
        <v>5</v>
      </c>
      <c r="H1" s="11" t="s">
        <v>6</v>
      </c>
      <c r="I1" s="11"/>
      <c r="J1" s="11" t="s">
        <v>7</v>
      </c>
      <c r="K1" s="11" t="s">
        <v>8</v>
      </c>
      <c r="L1" s="11" t="s">
        <v>12</v>
      </c>
    </row>
    <row r="2" spans="1:12" s="19" customFormat="1" x14ac:dyDescent="0.25">
      <c r="A2" s="15">
        <v>1</v>
      </c>
      <c r="B2" s="16" t="s">
        <v>339</v>
      </c>
      <c r="C2" s="35"/>
      <c r="D2" s="16"/>
      <c r="E2" s="16"/>
      <c r="F2" s="18"/>
      <c r="G2" s="18"/>
      <c r="H2" s="18"/>
      <c r="I2" s="18"/>
      <c r="J2" s="18"/>
      <c r="K2" s="18"/>
      <c r="L2" s="16"/>
    </row>
    <row r="3" spans="1:12" s="19" customFormat="1" x14ac:dyDescent="0.25">
      <c r="A3" s="15">
        <v>1</v>
      </c>
      <c r="B3" s="16" t="s">
        <v>13</v>
      </c>
      <c r="C3" s="17" t="s">
        <v>338</v>
      </c>
      <c r="D3" s="16"/>
      <c r="E3" s="16"/>
      <c r="F3" s="18"/>
      <c r="G3" s="18"/>
      <c r="H3" s="18"/>
      <c r="I3" s="18"/>
      <c r="J3" s="18"/>
      <c r="K3" s="18"/>
      <c r="L3" s="16"/>
    </row>
    <row r="4" spans="1:12" hidden="1" x14ac:dyDescent="0.25">
      <c r="A4" s="21">
        <f t="shared" ref="A4:A39" si="0">A3+0.0001</f>
        <v>1.0001</v>
      </c>
      <c r="B4" s="41" t="s">
        <v>15</v>
      </c>
      <c r="C4" s="22" t="s">
        <v>23</v>
      </c>
      <c r="D4" s="6"/>
      <c r="E4" s="5"/>
      <c r="F4" s="7" t="s">
        <v>8</v>
      </c>
      <c r="G4" s="7">
        <f t="shared" ref="G4:K30" si="1">IF($F4=G$1,1,0)</f>
        <v>0</v>
      </c>
      <c r="H4" s="7">
        <f t="shared" si="1"/>
        <v>0</v>
      </c>
      <c r="I4" s="7">
        <f t="shared" si="1"/>
        <v>0</v>
      </c>
      <c r="J4" s="7">
        <f t="shared" si="1"/>
        <v>0</v>
      </c>
      <c r="K4" s="7">
        <f t="shared" si="1"/>
        <v>1</v>
      </c>
      <c r="L4" s="6"/>
    </row>
    <row r="5" spans="1:12" hidden="1" x14ac:dyDescent="0.25">
      <c r="A5" s="21">
        <f t="shared" si="0"/>
        <v>1.0002</v>
      </c>
      <c r="B5" s="42" t="s">
        <v>24</v>
      </c>
      <c r="C5" s="22"/>
      <c r="D5" s="6"/>
      <c r="E5" s="5"/>
      <c r="F5" s="7" t="s">
        <v>8</v>
      </c>
      <c r="G5" s="7">
        <f t="shared" si="1"/>
        <v>0</v>
      </c>
      <c r="H5" s="7">
        <f t="shared" si="1"/>
        <v>0</v>
      </c>
      <c r="I5" s="7">
        <f t="shared" si="1"/>
        <v>0</v>
      </c>
      <c r="J5" s="7">
        <f t="shared" si="1"/>
        <v>0</v>
      </c>
      <c r="K5" s="7">
        <f t="shared" si="1"/>
        <v>1</v>
      </c>
      <c r="L5" s="6"/>
    </row>
    <row r="6" spans="1:12" hidden="1" x14ac:dyDescent="0.25">
      <c r="A6" s="21">
        <f t="shared" si="0"/>
        <v>1.0003</v>
      </c>
      <c r="B6" s="42" t="s">
        <v>17</v>
      </c>
      <c r="C6" s="23"/>
      <c r="D6" s="6"/>
      <c r="E6" s="6"/>
      <c r="F6" s="7" t="s">
        <v>8</v>
      </c>
      <c r="G6" s="7">
        <f t="shared" si="1"/>
        <v>0</v>
      </c>
      <c r="H6" s="7">
        <f t="shared" si="1"/>
        <v>0</v>
      </c>
      <c r="I6" s="7">
        <f t="shared" si="1"/>
        <v>0</v>
      </c>
      <c r="J6" s="7">
        <f t="shared" si="1"/>
        <v>0</v>
      </c>
      <c r="K6" s="7">
        <f t="shared" si="1"/>
        <v>1</v>
      </c>
      <c r="L6" s="6"/>
    </row>
    <row r="7" spans="1:12" hidden="1" x14ac:dyDescent="0.25">
      <c r="A7" s="21">
        <f t="shared" si="0"/>
        <v>1.0004</v>
      </c>
      <c r="B7" s="41" t="s">
        <v>15</v>
      </c>
      <c r="C7" s="23" t="s">
        <v>25</v>
      </c>
      <c r="D7" s="6"/>
      <c r="E7" s="6"/>
      <c r="F7" s="7" t="s">
        <v>8</v>
      </c>
      <c r="G7" s="7">
        <f t="shared" si="1"/>
        <v>0</v>
      </c>
      <c r="H7" s="7">
        <f t="shared" si="1"/>
        <v>0</v>
      </c>
      <c r="I7" s="7">
        <f t="shared" si="1"/>
        <v>0</v>
      </c>
      <c r="J7" s="7">
        <f t="shared" si="1"/>
        <v>0</v>
      </c>
      <c r="K7" s="7">
        <f t="shared" si="1"/>
        <v>1</v>
      </c>
      <c r="L7" s="6"/>
    </row>
    <row r="8" spans="1:12" hidden="1" x14ac:dyDescent="0.25">
      <c r="A8" s="21">
        <f t="shared" si="0"/>
        <v>1.0004999999999999</v>
      </c>
      <c r="B8" s="42" t="s">
        <v>16</v>
      </c>
      <c r="C8" s="23"/>
      <c r="D8" s="6"/>
      <c r="E8" s="6"/>
      <c r="F8" s="7" t="s">
        <v>8</v>
      </c>
      <c r="G8" s="7">
        <f t="shared" si="1"/>
        <v>0</v>
      </c>
      <c r="H8" s="7">
        <f t="shared" si="1"/>
        <v>0</v>
      </c>
      <c r="I8" s="7">
        <f t="shared" si="1"/>
        <v>0</v>
      </c>
      <c r="J8" s="7">
        <f t="shared" si="1"/>
        <v>0</v>
      </c>
      <c r="K8" s="7">
        <f t="shared" si="1"/>
        <v>1</v>
      </c>
      <c r="L8" s="6"/>
    </row>
    <row r="9" spans="1:12" hidden="1" x14ac:dyDescent="0.25">
      <c r="A9" s="21">
        <f t="shared" si="0"/>
        <v>1.0005999999999999</v>
      </c>
      <c r="B9" s="42" t="s">
        <v>26</v>
      </c>
      <c r="C9" s="22"/>
      <c r="D9" s="6"/>
      <c r="E9" s="5"/>
      <c r="F9" s="7" t="s">
        <v>8</v>
      </c>
      <c r="G9" s="7">
        <f t="shared" si="1"/>
        <v>0</v>
      </c>
      <c r="H9" s="7">
        <f t="shared" si="1"/>
        <v>0</v>
      </c>
      <c r="I9" s="7">
        <f t="shared" si="1"/>
        <v>0</v>
      </c>
      <c r="J9" s="7">
        <f t="shared" si="1"/>
        <v>0</v>
      </c>
      <c r="K9" s="7">
        <f t="shared" si="1"/>
        <v>1</v>
      </c>
      <c r="L9" s="6"/>
    </row>
    <row r="10" spans="1:12" hidden="1" x14ac:dyDescent="0.25">
      <c r="A10" s="21">
        <f t="shared" si="0"/>
        <v>1.0006999999999999</v>
      </c>
      <c r="B10" s="42" t="s">
        <v>17</v>
      </c>
      <c r="C10" s="22"/>
      <c r="D10" s="6"/>
      <c r="E10" s="5"/>
      <c r="F10" s="7" t="s">
        <v>8</v>
      </c>
      <c r="G10" s="7">
        <f t="shared" si="1"/>
        <v>0</v>
      </c>
      <c r="H10" s="7">
        <f t="shared" si="1"/>
        <v>0</v>
      </c>
      <c r="I10" s="7">
        <f t="shared" si="1"/>
        <v>0</v>
      </c>
      <c r="J10" s="7">
        <f t="shared" si="1"/>
        <v>0</v>
      </c>
      <c r="K10" s="7">
        <f t="shared" si="1"/>
        <v>1</v>
      </c>
      <c r="L10" s="6"/>
    </row>
    <row r="11" spans="1:12" hidden="1" x14ac:dyDescent="0.25">
      <c r="A11" s="21">
        <f t="shared" si="0"/>
        <v>1.0007999999999999</v>
      </c>
      <c r="B11" s="41" t="s">
        <v>15</v>
      </c>
      <c r="C11" s="22" t="s">
        <v>27</v>
      </c>
      <c r="D11" s="6"/>
      <c r="E11" s="5"/>
      <c r="F11" s="7" t="s">
        <v>8</v>
      </c>
      <c r="G11" s="7">
        <f t="shared" si="1"/>
        <v>0</v>
      </c>
      <c r="H11" s="7">
        <f t="shared" si="1"/>
        <v>0</v>
      </c>
      <c r="I11" s="7">
        <f t="shared" si="1"/>
        <v>0</v>
      </c>
      <c r="J11" s="7">
        <f t="shared" si="1"/>
        <v>0</v>
      </c>
      <c r="K11" s="7">
        <f t="shared" si="1"/>
        <v>1</v>
      </c>
      <c r="L11" s="6"/>
    </row>
    <row r="12" spans="1:12" hidden="1" x14ac:dyDescent="0.25">
      <c r="A12" s="21">
        <f t="shared" si="0"/>
        <v>1.0008999999999999</v>
      </c>
      <c r="B12" s="42" t="s">
        <v>28</v>
      </c>
      <c r="C12" s="22"/>
      <c r="D12" s="6"/>
      <c r="E12" s="5"/>
      <c r="F12" s="7" t="s">
        <v>8</v>
      </c>
      <c r="G12" s="7">
        <f t="shared" si="1"/>
        <v>0</v>
      </c>
      <c r="H12" s="7">
        <f t="shared" si="1"/>
        <v>0</v>
      </c>
      <c r="I12" s="7">
        <f t="shared" si="1"/>
        <v>0</v>
      </c>
      <c r="J12" s="7">
        <f t="shared" si="1"/>
        <v>0</v>
      </c>
      <c r="K12" s="7">
        <f t="shared" si="1"/>
        <v>1</v>
      </c>
      <c r="L12" s="6"/>
    </row>
    <row r="13" spans="1:12" hidden="1" x14ac:dyDescent="0.25">
      <c r="A13" s="21">
        <f t="shared" si="0"/>
        <v>1.0009999999999999</v>
      </c>
      <c r="B13" s="42" t="s">
        <v>26</v>
      </c>
      <c r="C13" s="22"/>
      <c r="D13" s="6"/>
      <c r="E13" s="5"/>
      <c r="F13" s="7" t="s">
        <v>8</v>
      </c>
      <c r="G13" s="7">
        <f t="shared" si="1"/>
        <v>0</v>
      </c>
      <c r="H13" s="7">
        <f t="shared" si="1"/>
        <v>0</v>
      </c>
      <c r="I13" s="7">
        <f t="shared" si="1"/>
        <v>0</v>
      </c>
      <c r="J13" s="7">
        <f t="shared" si="1"/>
        <v>0</v>
      </c>
      <c r="K13" s="7">
        <f t="shared" si="1"/>
        <v>1</v>
      </c>
      <c r="L13" s="6"/>
    </row>
    <row r="14" spans="1:12" hidden="1" x14ac:dyDescent="0.25">
      <c r="A14" s="21">
        <f t="shared" si="0"/>
        <v>1.0010999999999999</v>
      </c>
      <c r="B14" s="42" t="s">
        <v>17</v>
      </c>
      <c r="C14" s="22"/>
      <c r="D14" s="6"/>
      <c r="E14" s="5"/>
      <c r="F14" s="7" t="s">
        <v>8</v>
      </c>
      <c r="G14" s="7">
        <f t="shared" si="1"/>
        <v>0</v>
      </c>
      <c r="H14" s="7">
        <f t="shared" si="1"/>
        <v>0</v>
      </c>
      <c r="I14" s="7">
        <f t="shared" si="1"/>
        <v>0</v>
      </c>
      <c r="J14" s="7">
        <f t="shared" si="1"/>
        <v>0</v>
      </c>
      <c r="K14" s="7">
        <f t="shared" si="1"/>
        <v>1</v>
      </c>
      <c r="L14" s="6"/>
    </row>
    <row r="15" spans="1:12" hidden="1" x14ac:dyDescent="0.25">
      <c r="A15" s="21">
        <f t="shared" si="0"/>
        <v>1.0011999999999999</v>
      </c>
      <c r="B15" s="41" t="s">
        <v>15</v>
      </c>
      <c r="C15" s="22" t="s">
        <v>29</v>
      </c>
      <c r="D15" s="6"/>
      <c r="E15" s="5"/>
      <c r="F15" s="7" t="s">
        <v>8</v>
      </c>
      <c r="G15" s="7">
        <f t="shared" si="1"/>
        <v>0</v>
      </c>
      <c r="H15" s="7">
        <f t="shared" si="1"/>
        <v>0</v>
      </c>
      <c r="I15" s="7">
        <f t="shared" si="1"/>
        <v>0</v>
      </c>
      <c r="J15" s="7">
        <f t="shared" si="1"/>
        <v>0</v>
      </c>
      <c r="K15" s="7">
        <f t="shared" si="1"/>
        <v>1</v>
      </c>
      <c r="L15" s="6"/>
    </row>
    <row r="16" spans="1:12" hidden="1" x14ac:dyDescent="0.25">
      <c r="A16" s="21">
        <f t="shared" si="0"/>
        <v>1.0012999999999999</v>
      </c>
      <c r="B16" s="42" t="s">
        <v>30</v>
      </c>
      <c r="C16" s="22"/>
      <c r="D16" s="6"/>
      <c r="E16" s="5"/>
      <c r="F16" s="7" t="s">
        <v>8</v>
      </c>
      <c r="G16" s="7">
        <f t="shared" si="1"/>
        <v>0</v>
      </c>
      <c r="H16" s="7">
        <f t="shared" si="1"/>
        <v>0</v>
      </c>
      <c r="I16" s="7">
        <f t="shared" si="1"/>
        <v>0</v>
      </c>
      <c r="J16" s="7">
        <f t="shared" si="1"/>
        <v>0</v>
      </c>
      <c r="K16" s="7">
        <f t="shared" si="1"/>
        <v>1</v>
      </c>
      <c r="L16" s="6"/>
    </row>
    <row r="17" spans="1:12" hidden="1" x14ac:dyDescent="0.25">
      <c r="A17" s="21">
        <f t="shared" si="0"/>
        <v>1.0013999999999998</v>
      </c>
      <c r="B17" s="42" t="s">
        <v>17</v>
      </c>
      <c r="C17" s="22"/>
      <c r="D17" s="6"/>
      <c r="E17" s="5"/>
      <c r="F17" s="7" t="s">
        <v>8</v>
      </c>
      <c r="G17" s="7">
        <f t="shared" si="1"/>
        <v>0</v>
      </c>
      <c r="H17" s="7">
        <f t="shared" si="1"/>
        <v>0</v>
      </c>
      <c r="I17" s="7">
        <f t="shared" si="1"/>
        <v>0</v>
      </c>
      <c r="J17" s="7">
        <f t="shared" si="1"/>
        <v>0</v>
      </c>
      <c r="K17" s="7">
        <f t="shared" si="1"/>
        <v>1</v>
      </c>
      <c r="L17" s="6"/>
    </row>
    <row r="18" spans="1:12" hidden="1" x14ac:dyDescent="0.25">
      <c r="A18" s="21">
        <f t="shared" si="0"/>
        <v>1.0014999999999998</v>
      </c>
      <c r="B18" s="41" t="s">
        <v>15</v>
      </c>
      <c r="C18" s="22" t="s">
        <v>31</v>
      </c>
      <c r="D18" s="6"/>
      <c r="E18" s="5"/>
      <c r="F18" s="7" t="s">
        <v>8</v>
      </c>
      <c r="G18" s="7">
        <f t="shared" si="1"/>
        <v>0</v>
      </c>
      <c r="H18" s="7">
        <f t="shared" si="1"/>
        <v>0</v>
      </c>
      <c r="I18" s="7">
        <f t="shared" si="1"/>
        <v>0</v>
      </c>
      <c r="J18" s="7">
        <f t="shared" si="1"/>
        <v>0</v>
      </c>
      <c r="K18" s="7">
        <f t="shared" si="1"/>
        <v>1</v>
      </c>
      <c r="L18" s="6"/>
    </row>
    <row r="19" spans="1:12" hidden="1" x14ac:dyDescent="0.25">
      <c r="A19" s="21">
        <f t="shared" si="0"/>
        <v>1.0015999999999998</v>
      </c>
      <c r="B19" s="42" t="s">
        <v>32</v>
      </c>
      <c r="C19" s="22"/>
      <c r="D19" s="6"/>
      <c r="E19" s="5"/>
      <c r="F19" s="7" t="s">
        <v>8</v>
      </c>
      <c r="G19" s="7">
        <f t="shared" si="1"/>
        <v>0</v>
      </c>
      <c r="H19" s="7">
        <f t="shared" si="1"/>
        <v>0</v>
      </c>
      <c r="I19" s="7">
        <f t="shared" si="1"/>
        <v>0</v>
      </c>
      <c r="J19" s="7">
        <f t="shared" si="1"/>
        <v>0</v>
      </c>
      <c r="K19" s="7">
        <f t="shared" si="1"/>
        <v>1</v>
      </c>
      <c r="L19" s="6"/>
    </row>
    <row r="20" spans="1:12" hidden="1" x14ac:dyDescent="0.25">
      <c r="A20" s="21">
        <f t="shared" si="0"/>
        <v>1.0016999999999998</v>
      </c>
      <c r="B20" s="42" t="s">
        <v>17</v>
      </c>
      <c r="C20" s="22"/>
      <c r="D20" s="6"/>
      <c r="E20" s="5"/>
      <c r="F20" s="7" t="s">
        <v>8</v>
      </c>
      <c r="G20" s="7">
        <f t="shared" si="1"/>
        <v>0</v>
      </c>
      <c r="H20" s="7">
        <f t="shared" si="1"/>
        <v>0</v>
      </c>
      <c r="I20" s="7">
        <f t="shared" si="1"/>
        <v>0</v>
      </c>
      <c r="J20" s="7">
        <f t="shared" si="1"/>
        <v>0</v>
      </c>
      <c r="K20" s="7">
        <f t="shared" si="1"/>
        <v>1</v>
      </c>
      <c r="L20" s="6"/>
    </row>
    <row r="21" spans="1:12" hidden="1" x14ac:dyDescent="0.25">
      <c r="A21" s="21">
        <f t="shared" si="0"/>
        <v>1.0017999999999998</v>
      </c>
      <c r="B21" s="41" t="s">
        <v>15</v>
      </c>
      <c r="C21" s="22" t="s">
        <v>33</v>
      </c>
      <c r="D21" s="6"/>
      <c r="E21" s="5"/>
      <c r="F21" s="7" t="s">
        <v>8</v>
      </c>
      <c r="G21" s="7">
        <f t="shared" si="1"/>
        <v>0</v>
      </c>
      <c r="H21" s="7">
        <f t="shared" si="1"/>
        <v>0</v>
      </c>
      <c r="I21" s="7">
        <f t="shared" si="1"/>
        <v>0</v>
      </c>
      <c r="J21" s="7">
        <f t="shared" si="1"/>
        <v>0</v>
      </c>
      <c r="K21" s="7">
        <f t="shared" si="1"/>
        <v>1</v>
      </c>
      <c r="L21" s="6"/>
    </row>
    <row r="22" spans="1:12" hidden="1" x14ac:dyDescent="0.25">
      <c r="A22" s="21">
        <f t="shared" si="0"/>
        <v>1.0018999999999998</v>
      </c>
      <c r="B22" s="42" t="s">
        <v>21</v>
      </c>
      <c r="C22" s="22"/>
      <c r="D22" s="6"/>
      <c r="E22" s="5"/>
      <c r="F22" s="7" t="s">
        <v>8</v>
      </c>
      <c r="G22" s="7">
        <f t="shared" si="1"/>
        <v>0</v>
      </c>
      <c r="H22" s="7">
        <f t="shared" si="1"/>
        <v>0</v>
      </c>
      <c r="I22" s="7">
        <f t="shared" si="1"/>
        <v>0</v>
      </c>
      <c r="J22" s="7">
        <f t="shared" si="1"/>
        <v>0</v>
      </c>
      <c r="K22" s="7">
        <f t="shared" si="1"/>
        <v>1</v>
      </c>
      <c r="L22" s="6"/>
    </row>
    <row r="23" spans="1:12" hidden="1" x14ac:dyDescent="0.25">
      <c r="A23" s="21">
        <f t="shared" si="0"/>
        <v>1.0019999999999998</v>
      </c>
      <c r="B23" s="42" t="s">
        <v>34</v>
      </c>
      <c r="C23" s="22"/>
      <c r="D23" s="6"/>
      <c r="E23" s="5"/>
      <c r="F23" s="7" t="s">
        <v>8</v>
      </c>
      <c r="G23" s="7">
        <f t="shared" si="1"/>
        <v>0</v>
      </c>
      <c r="H23" s="7">
        <f t="shared" si="1"/>
        <v>0</v>
      </c>
      <c r="I23" s="7">
        <f t="shared" si="1"/>
        <v>0</v>
      </c>
      <c r="J23" s="7">
        <f t="shared" si="1"/>
        <v>0</v>
      </c>
      <c r="K23" s="7">
        <f t="shared" si="1"/>
        <v>1</v>
      </c>
      <c r="L23" s="6"/>
    </row>
    <row r="24" spans="1:12" hidden="1" x14ac:dyDescent="0.25">
      <c r="A24" s="21">
        <f t="shared" si="0"/>
        <v>1.0020999999999998</v>
      </c>
      <c r="B24" s="42" t="s">
        <v>35</v>
      </c>
      <c r="C24" s="22"/>
      <c r="D24" s="6"/>
      <c r="E24" s="5"/>
      <c r="F24" s="7" t="s">
        <v>8</v>
      </c>
      <c r="G24" s="7">
        <f t="shared" si="1"/>
        <v>0</v>
      </c>
      <c r="H24" s="7">
        <f t="shared" si="1"/>
        <v>0</v>
      </c>
      <c r="I24" s="7">
        <f t="shared" si="1"/>
        <v>0</v>
      </c>
      <c r="J24" s="7">
        <f t="shared" si="1"/>
        <v>0</v>
      </c>
      <c r="K24" s="7">
        <f t="shared" si="1"/>
        <v>1</v>
      </c>
      <c r="L24" s="6"/>
    </row>
    <row r="25" spans="1:12" hidden="1" x14ac:dyDescent="0.25">
      <c r="A25" s="21">
        <f t="shared" si="0"/>
        <v>1.0021999999999998</v>
      </c>
      <c r="B25" s="42" t="s">
        <v>17</v>
      </c>
      <c r="C25" s="22"/>
      <c r="D25" s="6"/>
      <c r="E25" s="5"/>
      <c r="F25" s="7" t="s">
        <v>8</v>
      </c>
      <c r="G25" s="7">
        <f t="shared" si="1"/>
        <v>0</v>
      </c>
      <c r="H25" s="7">
        <f t="shared" si="1"/>
        <v>0</v>
      </c>
      <c r="I25" s="7">
        <f t="shared" si="1"/>
        <v>0</v>
      </c>
      <c r="J25" s="7">
        <f t="shared" si="1"/>
        <v>0</v>
      </c>
      <c r="K25" s="7">
        <f t="shared" si="1"/>
        <v>1</v>
      </c>
      <c r="L25" s="6"/>
    </row>
    <row r="26" spans="1:12" hidden="1" x14ac:dyDescent="0.25">
      <c r="A26" s="21">
        <f t="shared" si="0"/>
        <v>1.0022999999999997</v>
      </c>
      <c r="B26" s="41" t="s">
        <v>15</v>
      </c>
      <c r="C26" s="22" t="s">
        <v>36</v>
      </c>
      <c r="D26" s="6"/>
      <c r="E26" s="5"/>
      <c r="F26" s="7" t="s">
        <v>8</v>
      </c>
      <c r="G26" s="7">
        <f t="shared" si="1"/>
        <v>0</v>
      </c>
      <c r="H26" s="7">
        <f t="shared" si="1"/>
        <v>0</v>
      </c>
      <c r="I26" s="7">
        <f t="shared" si="1"/>
        <v>0</v>
      </c>
      <c r="J26" s="7">
        <f t="shared" si="1"/>
        <v>0</v>
      </c>
      <c r="K26" s="7">
        <f t="shared" si="1"/>
        <v>1</v>
      </c>
      <c r="L26" s="6"/>
    </row>
    <row r="27" spans="1:12" hidden="1" x14ac:dyDescent="0.25">
      <c r="A27" s="21">
        <f t="shared" si="0"/>
        <v>1.0023999999999997</v>
      </c>
      <c r="B27" s="42" t="s">
        <v>37</v>
      </c>
      <c r="C27" s="22"/>
      <c r="D27" s="6"/>
      <c r="E27" s="5"/>
      <c r="F27" s="7" t="s">
        <v>8</v>
      </c>
      <c r="G27" s="7">
        <f t="shared" si="1"/>
        <v>0</v>
      </c>
      <c r="H27" s="7">
        <f t="shared" si="1"/>
        <v>0</v>
      </c>
      <c r="I27" s="7">
        <f t="shared" si="1"/>
        <v>0</v>
      </c>
      <c r="J27" s="7">
        <f t="shared" si="1"/>
        <v>0</v>
      </c>
      <c r="K27" s="7">
        <f t="shared" si="1"/>
        <v>1</v>
      </c>
      <c r="L27" s="6"/>
    </row>
    <row r="28" spans="1:12" hidden="1" x14ac:dyDescent="0.25">
      <c r="A28" s="21">
        <f t="shared" si="0"/>
        <v>1.0024999999999997</v>
      </c>
      <c r="B28" s="42" t="s">
        <v>26</v>
      </c>
      <c r="C28" s="22"/>
      <c r="D28" s="6"/>
      <c r="E28" s="5"/>
      <c r="F28" s="7" t="s">
        <v>8</v>
      </c>
      <c r="G28" s="7">
        <f t="shared" si="1"/>
        <v>0</v>
      </c>
      <c r="H28" s="7">
        <f t="shared" si="1"/>
        <v>0</v>
      </c>
      <c r="I28" s="7">
        <f t="shared" si="1"/>
        <v>0</v>
      </c>
      <c r="J28" s="7">
        <f t="shared" si="1"/>
        <v>0</v>
      </c>
      <c r="K28" s="7">
        <f t="shared" si="1"/>
        <v>1</v>
      </c>
      <c r="L28" s="6"/>
    </row>
    <row r="29" spans="1:12" hidden="1" x14ac:dyDescent="0.25">
      <c r="A29" s="21">
        <f t="shared" si="0"/>
        <v>1.0025999999999997</v>
      </c>
      <c r="B29" s="42" t="s">
        <v>38</v>
      </c>
      <c r="C29" s="22"/>
      <c r="D29" s="6"/>
      <c r="E29" s="5"/>
      <c r="F29" s="7" t="s">
        <v>8</v>
      </c>
      <c r="G29" s="7">
        <f t="shared" si="1"/>
        <v>0</v>
      </c>
      <c r="H29" s="7">
        <f t="shared" si="1"/>
        <v>0</v>
      </c>
      <c r="I29" s="7">
        <f t="shared" si="1"/>
        <v>0</v>
      </c>
      <c r="J29" s="7">
        <f t="shared" si="1"/>
        <v>0</v>
      </c>
      <c r="K29" s="7">
        <f t="shared" si="1"/>
        <v>1</v>
      </c>
      <c r="L29" s="6"/>
    </row>
    <row r="30" spans="1:12" hidden="1" x14ac:dyDescent="0.25">
      <c r="A30" s="21">
        <f t="shared" si="0"/>
        <v>1.0026999999999997</v>
      </c>
      <c r="B30" s="43" t="s">
        <v>17</v>
      </c>
      <c r="C30" s="22"/>
      <c r="D30" s="6"/>
      <c r="E30" s="5"/>
      <c r="F30" s="7" t="s">
        <v>8</v>
      </c>
      <c r="G30" s="7">
        <f t="shared" si="1"/>
        <v>0</v>
      </c>
      <c r="H30" s="7">
        <f t="shared" si="1"/>
        <v>0</v>
      </c>
      <c r="I30" s="7">
        <f t="shared" si="1"/>
        <v>0</v>
      </c>
      <c r="J30" s="7">
        <f t="shared" si="1"/>
        <v>0</v>
      </c>
      <c r="K30" s="7">
        <f t="shared" si="1"/>
        <v>1</v>
      </c>
      <c r="L30" s="6"/>
    </row>
    <row r="31" spans="1:12" s="19" customFormat="1" collapsed="1" x14ac:dyDescent="0.25">
      <c r="A31" s="15">
        <v>2</v>
      </c>
      <c r="B31" s="71" t="s">
        <v>513</v>
      </c>
      <c r="C31" s="35"/>
      <c r="D31" s="36"/>
      <c r="E31" s="36"/>
      <c r="F31" s="37"/>
      <c r="G31" s="37"/>
      <c r="H31" s="37"/>
      <c r="I31" s="37"/>
      <c r="J31" s="37"/>
      <c r="K31" s="37"/>
      <c r="L31" s="36"/>
    </row>
    <row r="32" spans="1:12" outlineLevel="1" x14ac:dyDescent="0.25">
      <c r="A32" s="4">
        <f t="shared" si="0"/>
        <v>2.0001000000000002</v>
      </c>
      <c r="B32" s="72" t="s">
        <v>18</v>
      </c>
      <c r="C32" s="22" t="s">
        <v>39</v>
      </c>
      <c r="D32" s="6"/>
      <c r="E32" s="5"/>
      <c r="F32" s="7" t="s">
        <v>5</v>
      </c>
      <c r="G32" s="7">
        <f t="shared" ref="G32:K34" si="2">IF($F32=G$1,1,0)</f>
        <v>1</v>
      </c>
      <c r="H32" s="7">
        <f t="shared" si="2"/>
        <v>0</v>
      </c>
      <c r="I32" s="7">
        <f t="shared" si="2"/>
        <v>0</v>
      </c>
      <c r="J32" s="7">
        <f t="shared" si="2"/>
        <v>0</v>
      </c>
      <c r="K32" s="7">
        <f t="shared" si="2"/>
        <v>0</v>
      </c>
      <c r="L32" s="6"/>
    </row>
    <row r="33" spans="1:12" outlineLevel="1" x14ac:dyDescent="0.25">
      <c r="A33" s="4">
        <f t="shared" si="0"/>
        <v>2.0002000000000004</v>
      </c>
      <c r="B33" s="53" t="s">
        <v>40</v>
      </c>
      <c r="C33" s="22" t="s">
        <v>19</v>
      </c>
      <c r="D33" s="6"/>
      <c r="E33" s="5"/>
      <c r="F33" s="7" t="s">
        <v>5</v>
      </c>
      <c r="G33" s="7">
        <f t="shared" si="2"/>
        <v>1</v>
      </c>
      <c r="H33" s="7">
        <f t="shared" si="2"/>
        <v>0</v>
      </c>
      <c r="I33" s="7">
        <f t="shared" si="2"/>
        <v>0</v>
      </c>
      <c r="J33" s="7">
        <f t="shared" si="2"/>
        <v>0</v>
      </c>
      <c r="K33" s="7">
        <f t="shared" si="2"/>
        <v>0</v>
      </c>
      <c r="L33" s="6"/>
    </row>
    <row r="34" spans="1:12" outlineLevel="1" x14ac:dyDescent="0.25">
      <c r="A34" s="4">
        <f t="shared" si="0"/>
        <v>2.0003000000000006</v>
      </c>
      <c r="B34" s="53" t="s">
        <v>41</v>
      </c>
      <c r="C34" s="22"/>
      <c r="D34" s="6"/>
      <c r="E34" s="5"/>
      <c r="F34" s="7" t="s">
        <v>5</v>
      </c>
      <c r="G34" s="7">
        <f t="shared" si="2"/>
        <v>1</v>
      </c>
      <c r="H34" s="7">
        <f t="shared" si="2"/>
        <v>0</v>
      </c>
      <c r="I34" s="7">
        <f t="shared" si="2"/>
        <v>0</v>
      </c>
      <c r="J34" s="7">
        <f t="shared" si="2"/>
        <v>0</v>
      </c>
      <c r="K34" s="7">
        <f t="shared" si="2"/>
        <v>0</v>
      </c>
      <c r="L34" s="6"/>
    </row>
    <row r="35" spans="1:12" ht="25.5" outlineLevel="1" x14ac:dyDescent="0.25">
      <c r="A35" s="4">
        <f t="shared" si="0"/>
        <v>2.0004000000000008</v>
      </c>
      <c r="B35" s="5" t="s">
        <v>424</v>
      </c>
      <c r="C35" s="121" t="s">
        <v>42</v>
      </c>
      <c r="D35" s="6"/>
      <c r="E35" s="6"/>
      <c r="F35" s="161" t="s">
        <v>5</v>
      </c>
      <c r="G35" s="7">
        <f t="shared" ref="G35:K39" si="3">IF($F35=G$1,1,0)</f>
        <v>1</v>
      </c>
      <c r="H35" s="7">
        <f t="shared" si="3"/>
        <v>0</v>
      </c>
      <c r="I35" s="7">
        <f t="shared" si="3"/>
        <v>0</v>
      </c>
      <c r="J35" s="7">
        <f t="shared" si="3"/>
        <v>0</v>
      </c>
      <c r="K35" s="7">
        <f t="shared" si="3"/>
        <v>0</v>
      </c>
      <c r="L35" s="6"/>
    </row>
    <row r="36" spans="1:12" ht="25.5" outlineLevel="1" x14ac:dyDescent="0.25">
      <c r="A36" s="4">
        <f t="shared" si="0"/>
        <v>2.0005000000000011</v>
      </c>
      <c r="B36" s="53"/>
      <c r="C36" s="121" t="s">
        <v>43</v>
      </c>
      <c r="D36" s="6"/>
      <c r="E36" s="6"/>
      <c r="F36" s="161" t="s">
        <v>5</v>
      </c>
      <c r="G36" s="7">
        <f t="shared" si="3"/>
        <v>1</v>
      </c>
      <c r="H36" s="7">
        <f t="shared" si="3"/>
        <v>0</v>
      </c>
      <c r="I36" s="7">
        <f t="shared" si="3"/>
        <v>0</v>
      </c>
      <c r="J36" s="7">
        <f t="shared" si="3"/>
        <v>0</v>
      </c>
      <c r="K36" s="7">
        <f t="shared" si="3"/>
        <v>0</v>
      </c>
      <c r="L36" s="6"/>
    </row>
    <row r="37" spans="1:12" ht="25.5" outlineLevel="1" x14ac:dyDescent="0.25">
      <c r="A37" s="4">
        <f t="shared" si="0"/>
        <v>2.0006000000000013</v>
      </c>
      <c r="B37" s="63" t="s">
        <v>509</v>
      </c>
      <c r="C37" s="94" t="s">
        <v>510</v>
      </c>
      <c r="D37" s="6" t="s">
        <v>1020</v>
      </c>
      <c r="E37" s="5"/>
      <c r="F37" s="7" t="s">
        <v>5</v>
      </c>
      <c r="G37" s="7">
        <f t="shared" si="3"/>
        <v>1</v>
      </c>
      <c r="H37" s="7">
        <f t="shared" si="3"/>
        <v>0</v>
      </c>
      <c r="I37" s="7">
        <f t="shared" si="3"/>
        <v>0</v>
      </c>
      <c r="J37" s="7">
        <f t="shared" si="3"/>
        <v>0</v>
      </c>
      <c r="K37" s="7">
        <f t="shared" si="3"/>
        <v>0</v>
      </c>
      <c r="L37" s="6"/>
    </row>
    <row r="38" spans="1:12" outlineLevel="1" x14ac:dyDescent="0.25">
      <c r="A38" s="4">
        <f t="shared" si="0"/>
        <v>2.0007000000000015</v>
      </c>
      <c r="B38" s="53" t="s">
        <v>40</v>
      </c>
      <c r="C38" s="22"/>
      <c r="D38" s="6"/>
      <c r="E38" s="5"/>
      <c r="F38" s="7" t="s">
        <v>5</v>
      </c>
      <c r="G38" s="7">
        <f t="shared" si="3"/>
        <v>1</v>
      </c>
      <c r="H38" s="7">
        <f t="shared" si="3"/>
        <v>0</v>
      </c>
      <c r="I38" s="7">
        <f t="shared" si="3"/>
        <v>0</v>
      </c>
      <c r="J38" s="7">
        <f t="shared" si="3"/>
        <v>0</v>
      </c>
      <c r="K38" s="7">
        <f t="shared" si="3"/>
        <v>0</v>
      </c>
      <c r="L38" s="6"/>
    </row>
    <row r="39" spans="1:12" outlineLevel="1" x14ac:dyDescent="0.25">
      <c r="A39" s="4">
        <f t="shared" si="0"/>
        <v>2.0008000000000017</v>
      </c>
      <c r="B39" s="53" t="s">
        <v>41</v>
      </c>
      <c r="C39" s="22"/>
      <c r="D39" s="6"/>
      <c r="E39" s="5"/>
      <c r="F39" s="7" t="s">
        <v>5</v>
      </c>
      <c r="G39" s="7">
        <f t="shared" si="3"/>
        <v>1</v>
      </c>
      <c r="H39" s="7">
        <f t="shared" si="3"/>
        <v>0</v>
      </c>
      <c r="I39" s="7">
        <f t="shared" si="3"/>
        <v>0</v>
      </c>
      <c r="J39" s="7">
        <f t="shared" si="3"/>
        <v>0</v>
      </c>
      <c r="K39" s="7">
        <f t="shared" si="3"/>
        <v>0</v>
      </c>
      <c r="L39" s="6"/>
    </row>
    <row r="40" spans="1:12" s="19" customFormat="1" x14ac:dyDescent="0.25">
      <c r="A40" s="78">
        <v>2.1</v>
      </c>
      <c r="B40" s="87" t="s">
        <v>495</v>
      </c>
      <c r="C40" s="80"/>
      <c r="D40" s="81"/>
      <c r="E40" s="81"/>
      <c r="F40" s="82"/>
      <c r="G40" s="82"/>
      <c r="H40" s="82"/>
      <c r="I40" s="82"/>
      <c r="J40" s="82"/>
      <c r="K40" s="82"/>
      <c r="L40" s="81"/>
    </row>
    <row r="41" spans="1:12" ht="51" outlineLevel="1" x14ac:dyDescent="0.25">
      <c r="A41" s="21">
        <f t="shared" ref="A41:A47" si="4">A40+0.0001</f>
        <v>2.1001000000000003</v>
      </c>
      <c r="B41" s="24" t="s">
        <v>425</v>
      </c>
      <c r="C41" s="22" t="s">
        <v>426</v>
      </c>
      <c r="D41" s="6"/>
      <c r="E41" s="6"/>
      <c r="F41" s="7" t="s">
        <v>5</v>
      </c>
      <c r="G41" s="7">
        <f t="shared" ref="G41:K49" si="5">IF($F41=G$1,1,0)</f>
        <v>1</v>
      </c>
      <c r="H41" s="7">
        <f t="shared" si="5"/>
        <v>0</v>
      </c>
      <c r="I41" s="7">
        <f t="shared" si="5"/>
        <v>0</v>
      </c>
      <c r="J41" s="7">
        <f t="shared" si="5"/>
        <v>0</v>
      </c>
      <c r="K41" s="7">
        <f t="shared" si="5"/>
        <v>0</v>
      </c>
      <c r="L41" s="6"/>
    </row>
    <row r="42" spans="1:12" outlineLevel="1" x14ac:dyDescent="0.25">
      <c r="A42" s="21">
        <f t="shared" si="4"/>
        <v>2.1002000000000005</v>
      </c>
      <c r="B42" s="25" t="s">
        <v>171</v>
      </c>
      <c r="C42" s="22" t="s">
        <v>1015</v>
      </c>
      <c r="D42" s="6"/>
      <c r="E42" s="6"/>
      <c r="F42" s="7" t="s">
        <v>5</v>
      </c>
      <c r="G42" s="7">
        <f t="shared" si="5"/>
        <v>1</v>
      </c>
      <c r="H42" s="7">
        <f t="shared" si="5"/>
        <v>0</v>
      </c>
      <c r="I42" s="7">
        <f t="shared" si="5"/>
        <v>0</v>
      </c>
      <c r="J42" s="7">
        <f t="shared" si="5"/>
        <v>0</v>
      </c>
      <c r="K42" s="7">
        <f t="shared" si="5"/>
        <v>0</v>
      </c>
      <c r="L42" s="6"/>
    </row>
    <row r="43" spans="1:12" outlineLevel="1" x14ac:dyDescent="0.25">
      <c r="A43" s="21">
        <f t="shared" si="4"/>
        <v>2.1003000000000007</v>
      </c>
      <c r="B43" s="25"/>
      <c r="C43" s="22" t="s">
        <v>1016</v>
      </c>
      <c r="D43" s="6"/>
      <c r="E43" s="6"/>
      <c r="F43" s="7" t="s">
        <v>5</v>
      </c>
      <c r="G43" s="7">
        <f t="shared" si="5"/>
        <v>1</v>
      </c>
      <c r="H43" s="7">
        <f t="shared" si="5"/>
        <v>0</v>
      </c>
      <c r="I43" s="7">
        <f t="shared" si="5"/>
        <v>0</v>
      </c>
      <c r="J43" s="7">
        <f t="shared" si="5"/>
        <v>0</v>
      </c>
      <c r="K43" s="7">
        <f t="shared" si="5"/>
        <v>0</v>
      </c>
      <c r="L43" s="6"/>
    </row>
    <row r="44" spans="1:12" outlineLevel="1" x14ac:dyDescent="0.25">
      <c r="A44" s="21"/>
      <c r="B44" s="25"/>
      <c r="C44" s="22" t="s">
        <v>1017</v>
      </c>
      <c r="D44" s="6"/>
      <c r="E44" s="6"/>
      <c r="F44" s="7" t="s">
        <v>5</v>
      </c>
      <c r="G44" s="7">
        <f t="shared" si="5"/>
        <v>1</v>
      </c>
      <c r="H44" s="7">
        <f t="shared" si="5"/>
        <v>0</v>
      </c>
      <c r="I44" s="7">
        <f t="shared" si="5"/>
        <v>0</v>
      </c>
      <c r="J44" s="7">
        <f t="shared" si="5"/>
        <v>0</v>
      </c>
      <c r="K44" s="7">
        <f t="shared" si="5"/>
        <v>0</v>
      </c>
      <c r="L44" s="6"/>
    </row>
    <row r="45" spans="1:12" outlineLevel="1" x14ac:dyDescent="0.25">
      <c r="A45" s="21">
        <f>A43+0.0001</f>
        <v>2.1004000000000009</v>
      </c>
      <c r="B45" s="25"/>
      <c r="C45" s="23" t="s">
        <v>1014</v>
      </c>
      <c r="D45" s="6"/>
      <c r="E45" s="6"/>
      <c r="F45" s="7" t="s">
        <v>5</v>
      </c>
      <c r="G45" s="7">
        <f t="shared" si="5"/>
        <v>1</v>
      </c>
      <c r="H45" s="7">
        <f t="shared" si="5"/>
        <v>0</v>
      </c>
      <c r="I45" s="7">
        <f t="shared" si="5"/>
        <v>0</v>
      </c>
      <c r="J45" s="7">
        <f t="shared" si="5"/>
        <v>0</v>
      </c>
      <c r="K45" s="7">
        <f t="shared" si="5"/>
        <v>0</v>
      </c>
      <c r="L45" s="6"/>
    </row>
    <row r="46" spans="1:12" outlineLevel="1" x14ac:dyDescent="0.25">
      <c r="A46" s="21">
        <f t="shared" si="4"/>
        <v>2.1005000000000011</v>
      </c>
      <c r="B46" s="25" t="s">
        <v>340</v>
      </c>
      <c r="C46" s="23" t="s">
        <v>1018</v>
      </c>
      <c r="D46" s="6"/>
      <c r="E46" s="6"/>
      <c r="F46" s="7" t="s">
        <v>5</v>
      </c>
      <c r="G46" s="7">
        <f t="shared" si="5"/>
        <v>1</v>
      </c>
      <c r="H46" s="7">
        <f t="shared" si="5"/>
        <v>0</v>
      </c>
      <c r="I46" s="7">
        <f t="shared" si="5"/>
        <v>0</v>
      </c>
      <c r="J46" s="7">
        <f t="shared" si="5"/>
        <v>0</v>
      </c>
      <c r="K46" s="7">
        <f t="shared" si="5"/>
        <v>0</v>
      </c>
      <c r="L46" s="6"/>
    </row>
    <row r="47" spans="1:12" ht="25.5" outlineLevel="1" x14ac:dyDescent="0.25">
      <c r="A47" s="21">
        <f t="shared" si="4"/>
        <v>2.1006000000000014</v>
      </c>
      <c r="B47" s="25" t="s">
        <v>192</v>
      </c>
      <c r="C47" s="23" t="s">
        <v>1019</v>
      </c>
      <c r="E47" s="6"/>
      <c r="F47" s="7" t="s">
        <v>5</v>
      </c>
      <c r="G47" s="7">
        <f t="shared" si="5"/>
        <v>1</v>
      </c>
      <c r="H47" s="7">
        <f t="shared" si="5"/>
        <v>0</v>
      </c>
      <c r="I47" s="7">
        <f t="shared" si="5"/>
        <v>0</v>
      </c>
      <c r="J47" s="7">
        <f t="shared" si="5"/>
        <v>0</v>
      </c>
      <c r="K47" s="7">
        <f t="shared" si="5"/>
        <v>0</v>
      </c>
      <c r="L47" s="6"/>
    </row>
    <row r="48" spans="1:12" outlineLevel="1" x14ac:dyDescent="0.25">
      <c r="A48" s="21"/>
      <c r="B48" s="25" t="s">
        <v>427</v>
      </c>
      <c r="C48" s="23" t="s">
        <v>428</v>
      </c>
      <c r="D48" s="6"/>
      <c r="E48" s="6"/>
      <c r="F48" s="7" t="s">
        <v>5</v>
      </c>
      <c r="G48" s="7">
        <f t="shared" si="5"/>
        <v>1</v>
      </c>
      <c r="H48" s="7">
        <f t="shared" si="5"/>
        <v>0</v>
      </c>
      <c r="I48" s="7">
        <f t="shared" si="5"/>
        <v>0</v>
      </c>
      <c r="J48" s="7">
        <f t="shared" si="5"/>
        <v>0</v>
      </c>
      <c r="K48" s="7">
        <f t="shared" si="5"/>
        <v>0</v>
      </c>
      <c r="L48" s="6"/>
    </row>
    <row r="49" spans="1:12" outlineLevel="1" x14ac:dyDescent="0.25">
      <c r="A49" s="21">
        <f>A47+0.0001</f>
        <v>2.1007000000000016</v>
      </c>
      <c r="B49" s="43" t="s">
        <v>350</v>
      </c>
      <c r="C49" s="23" t="s">
        <v>429</v>
      </c>
      <c r="D49" s="6"/>
      <c r="E49" s="6"/>
      <c r="F49" s="7" t="s">
        <v>5</v>
      </c>
      <c r="G49" s="7">
        <f t="shared" si="5"/>
        <v>1</v>
      </c>
      <c r="H49" s="7">
        <f t="shared" si="5"/>
        <v>0</v>
      </c>
      <c r="I49" s="7">
        <f t="shared" si="5"/>
        <v>0</v>
      </c>
      <c r="J49" s="7">
        <f t="shared" si="5"/>
        <v>0</v>
      </c>
      <c r="K49" s="7">
        <f t="shared" si="5"/>
        <v>0</v>
      </c>
      <c r="L49" s="6"/>
    </row>
    <row r="50" spans="1:12" x14ac:dyDescent="0.25">
      <c r="A50" s="78">
        <v>2.2000000000000002</v>
      </c>
      <c r="B50" s="87" t="s">
        <v>496</v>
      </c>
      <c r="C50" s="80"/>
      <c r="D50" s="81"/>
      <c r="E50" s="81"/>
      <c r="F50" s="82"/>
      <c r="G50" s="82"/>
      <c r="H50" s="82"/>
      <c r="I50" s="82"/>
      <c r="J50" s="82"/>
      <c r="K50" s="82"/>
      <c r="L50" s="81"/>
    </row>
    <row r="51" spans="1:12" outlineLevel="1" x14ac:dyDescent="0.25">
      <c r="A51" s="21">
        <f t="shared" ref="A51:A66" si="6">A50+0.0001</f>
        <v>2.2001000000000004</v>
      </c>
      <c r="B51" s="24" t="s">
        <v>284</v>
      </c>
      <c r="C51" s="23" t="s">
        <v>285</v>
      </c>
      <c r="D51" s="6"/>
      <c r="E51" s="6"/>
      <c r="F51" s="7" t="s">
        <v>5</v>
      </c>
      <c r="G51" s="7">
        <f t="shared" ref="G51:K64" si="7">IF($F51=G$1,1,0)</f>
        <v>1</v>
      </c>
      <c r="H51" s="7">
        <f t="shared" si="7"/>
        <v>0</v>
      </c>
      <c r="I51" s="7">
        <f t="shared" si="7"/>
        <v>0</v>
      </c>
      <c r="J51" s="7">
        <f t="shared" si="7"/>
        <v>0</v>
      </c>
      <c r="K51" s="7">
        <f t="shared" si="7"/>
        <v>0</v>
      </c>
      <c r="L51" s="6"/>
    </row>
    <row r="52" spans="1:12" ht="25.5" outlineLevel="1" x14ac:dyDescent="0.25">
      <c r="A52" s="21">
        <f t="shared" si="6"/>
        <v>2.2002000000000006</v>
      </c>
      <c r="B52" s="25"/>
      <c r="C52" s="23" t="s">
        <v>430</v>
      </c>
      <c r="D52" s="6"/>
      <c r="E52" s="6"/>
      <c r="F52" s="7" t="s">
        <v>5</v>
      </c>
      <c r="G52" s="7">
        <f t="shared" si="7"/>
        <v>1</v>
      </c>
      <c r="H52" s="7">
        <f t="shared" si="7"/>
        <v>0</v>
      </c>
      <c r="I52" s="7">
        <f t="shared" si="7"/>
        <v>0</v>
      </c>
      <c r="J52" s="7">
        <f t="shared" si="7"/>
        <v>0</v>
      </c>
      <c r="K52" s="7">
        <f t="shared" si="7"/>
        <v>0</v>
      </c>
      <c r="L52" s="6"/>
    </row>
    <row r="53" spans="1:12" outlineLevel="1" x14ac:dyDescent="0.25">
      <c r="A53" s="21">
        <f t="shared" si="6"/>
        <v>2.2003000000000008</v>
      </c>
      <c r="B53" s="25" t="s">
        <v>348</v>
      </c>
      <c r="C53" s="48" t="s">
        <v>431</v>
      </c>
      <c r="D53" s="6"/>
      <c r="E53" s="6"/>
      <c r="F53" s="7" t="s">
        <v>5</v>
      </c>
      <c r="G53" s="7">
        <f t="shared" si="7"/>
        <v>1</v>
      </c>
      <c r="H53" s="7">
        <f t="shared" si="7"/>
        <v>0</v>
      </c>
      <c r="I53" s="7">
        <f t="shared" si="7"/>
        <v>0</v>
      </c>
      <c r="J53" s="7">
        <f t="shared" si="7"/>
        <v>0</v>
      </c>
      <c r="K53" s="7">
        <f t="shared" si="7"/>
        <v>0</v>
      </c>
      <c r="L53" s="6"/>
    </row>
    <row r="54" spans="1:12" outlineLevel="1" x14ac:dyDescent="0.25">
      <c r="A54" s="21">
        <f t="shared" si="6"/>
        <v>2.200400000000001</v>
      </c>
      <c r="B54" s="25" t="s">
        <v>348</v>
      </c>
      <c r="C54" s="48" t="s">
        <v>432</v>
      </c>
      <c r="D54" s="6"/>
      <c r="E54" s="6"/>
      <c r="F54" s="7" t="s">
        <v>5</v>
      </c>
      <c r="G54" s="7">
        <f t="shared" si="7"/>
        <v>1</v>
      </c>
      <c r="H54" s="7">
        <f t="shared" si="7"/>
        <v>0</v>
      </c>
      <c r="I54" s="7">
        <f t="shared" si="7"/>
        <v>0</v>
      </c>
      <c r="J54" s="7">
        <f t="shared" si="7"/>
        <v>0</v>
      </c>
      <c r="K54" s="7">
        <f t="shared" si="7"/>
        <v>0</v>
      </c>
      <c r="L54" s="6"/>
    </row>
    <row r="55" spans="1:12" outlineLevel="1" x14ac:dyDescent="0.25">
      <c r="A55" s="21">
        <f t="shared" si="6"/>
        <v>2.2005000000000012</v>
      </c>
      <c r="B55" s="25" t="s">
        <v>348</v>
      </c>
      <c r="C55" s="23" t="s">
        <v>433</v>
      </c>
      <c r="D55" s="6"/>
      <c r="E55" s="6"/>
      <c r="F55" s="7" t="s">
        <v>5</v>
      </c>
      <c r="G55" s="7">
        <f t="shared" si="7"/>
        <v>1</v>
      </c>
      <c r="H55" s="7">
        <f t="shared" si="7"/>
        <v>0</v>
      </c>
      <c r="I55" s="7">
        <f t="shared" si="7"/>
        <v>0</v>
      </c>
      <c r="J55" s="7">
        <f t="shared" si="7"/>
        <v>0</v>
      </c>
      <c r="K55" s="7">
        <f t="shared" si="7"/>
        <v>0</v>
      </c>
      <c r="L55" s="6"/>
    </row>
    <row r="56" spans="1:12" outlineLevel="1" x14ac:dyDescent="0.25">
      <c r="A56" s="21">
        <f t="shared" si="6"/>
        <v>2.2006000000000014</v>
      </c>
      <c r="B56" s="25" t="s">
        <v>348</v>
      </c>
      <c r="C56" s="23" t="s">
        <v>434</v>
      </c>
      <c r="D56" s="6"/>
      <c r="E56" s="6"/>
      <c r="F56" s="7" t="s">
        <v>5</v>
      </c>
      <c r="G56" s="7">
        <f t="shared" si="7"/>
        <v>1</v>
      </c>
      <c r="H56" s="7">
        <f t="shared" si="7"/>
        <v>0</v>
      </c>
      <c r="I56" s="7">
        <f t="shared" si="7"/>
        <v>0</v>
      </c>
      <c r="J56" s="7">
        <f t="shared" si="7"/>
        <v>0</v>
      </c>
      <c r="K56" s="7">
        <f t="shared" si="7"/>
        <v>0</v>
      </c>
      <c r="L56" s="6"/>
    </row>
    <row r="57" spans="1:12" outlineLevel="1" x14ac:dyDescent="0.25">
      <c r="A57" s="21">
        <f t="shared" si="6"/>
        <v>2.2007000000000017</v>
      </c>
      <c r="B57" s="25" t="s">
        <v>348</v>
      </c>
      <c r="C57" s="23" t="s">
        <v>435</v>
      </c>
      <c r="D57" s="6"/>
      <c r="E57" s="6"/>
      <c r="F57" s="7" t="s">
        <v>5</v>
      </c>
      <c r="G57" s="7">
        <f t="shared" si="7"/>
        <v>1</v>
      </c>
      <c r="H57" s="7">
        <f t="shared" si="7"/>
        <v>0</v>
      </c>
      <c r="I57" s="7">
        <f t="shared" si="7"/>
        <v>0</v>
      </c>
      <c r="J57" s="7">
        <f t="shared" si="7"/>
        <v>0</v>
      </c>
      <c r="K57" s="7">
        <f t="shared" si="7"/>
        <v>0</v>
      </c>
      <c r="L57" s="6"/>
    </row>
    <row r="58" spans="1:12" outlineLevel="1" x14ac:dyDescent="0.25">
      <c r="A58" s="21">
        <f t="shared" si="6"/>
        <v>2.2008000000000019</v>
      </c>
      <c r="B58" s="5" t="s">
        <v>504</v>
      </c>
      <c r="C58" s="23" t="s">
        <v>505</v>
      </c>
      <c r="D58" s="6"/>
      <c r="E58" s="6" t="s">
        <v>503</v>
      </c>
      <c r="F58" s="7" t="s">
        <v>5</v>
      </c>
      <c r="G58" s="7">
        <f t="shared" si="7"/>
        <v>1</v>
      </c>
      <c r="H58" s="7">
        <f t="shared" si="7"/>
        <v>0</v>
      </c>
      <c r="I58" s="7">
        <f t="shared" si="7"/>
        <v>0</v>
      </c>
      <c r="J58" s="7">
        <f t="shared" si="7"/>
        <v>0</v>
      </c>
      <c r="K58" s="7">
        <f t="shared" si="7"/>
        <v>0</v>
      </c>
      <c r="L58" s="6"/>
    </row>
    <row r="59" spans="1:12" outlineLevel="1" x14ac:dyDescent="0.25">
      <c r="A59" s="21">
        <f t="shared" si="6"/>
        <v>2.2009000000000021</v>
      </c>
      <c r="B59" s="25" t="s">
        <v>437</v>
      </c>
      <c r="C59" s="23" t="s">
        <v>441</v>
      </c>
      <c r="D59" s="6"/>
      <c r="E59" s="6"/>
      <c r="F59" s="7" t="s">
        <v>5</v>
      </c>
      <c r="G59" s="7">
        <f t="shared" si="7"/>
        <v>1</v>
      </c>
      <c r="H59" s="7">
        <f t="shared" si="7"/>
        <v>0</v>
      </c>
      <c r="I59" s="7">
        <f t="shared" si="7"/>
        <v>0</v>
      </c>
      <c r="J59" s="7">
        <f t="shared" si="7"/>
        <v>0</v>
      </c>
      <c r="K59" s="7">
        <f t="shared" si="7"/>
        <v>0</v>
      </c>
      <c r="L59" s="6"/>
    </row>
    <row r="60" spans="1:12" outlineLevel="1" x14ac:dyDescent="0.25">
      <c r="A60" s="21">
        <f t="shared" si="6"/>
        <v>2.2010000000000023</v>
      </c>
      <c r="B60" s="25"/>
      <c r="C60" s="23" t="s">
        <v>438</v>
      </c>
      <c r="D60" s="6"/>
      <c r="E60" s="6"/>
      <c r="F60" s="7" t="s">
        <v>5</v>
      </c>
      <c r="G60" s="7">
        <f t="shared" si="7"/>
        <v>1</v>
      </c>
      <c r="H60" s="7">
        <f t="shared" si="7"/>
        <v>0</v>
      </c>
      <c r="I60" s="7">
        <f t="shared" si="7"/>
        <v>0</v>
      </c>
      <c r="J60" s="7">
        <f t="shared" si="7"/>
        <v>0</v>
      </c>
      <c r="K60" s="7">
        <f t="shared" si="7"/>
        <v>0</v>
      </c>
      <c r="L60" s="6"/>
    </row>
    <row r="61" spans="1:12" outlineLevel="1" x14ac:dyDescent="0.25">
      <c r="A61" s="21">
        <f t="shared" si="6"/>
        <v>2.2011000000000025</v>
      </c>
      <c r="B61" s="25"/>
      <c r="C61" s="23" t="s">
        <v>439</v>
      </c>
      <c r="D61" s="6"/>
      <c r="E61" s="6"/>
      <c r="F61" s="7" t="s">
        <v>5</v>
      </c>
      <c r="G61" s="7">
        <f t="shared" si="7"/>
        <v>1</v>
      </c>
      <c r="H61" s="7">
        <f t="shared" si="7"/>
        <v>0</v>
      </c>
      <c r="I61" s="7">
        <f t="shared" si="7"/>
        <v>0</v>
      </c>
      <c r="J61" s="7">
        <f t="shared" si="7"/>
        <v>0</v>
      </c>
      <c r="K61" s="7">
        <f t="shared" si="7"/>
        <v>0</v>
      </c>
      <c r="L61" s="6"/>
    </row>
    <row r="62" spans="1:12" outlineLevel="1" x14ac:dyDescent="0.25">
      <c r="A62" s="21">
        <f t="shared" si="6"/>
        <v>2.2012000000000027</v>
      </c>
      <c r="B62" s="25"/>
      <c r="C62" s="23" t="s">
        <v>440</v>
      </c>
      <c r="D62" s="6"/>
      <c r="E62" s="6"/>
      <c r="F62" s="7" t="s">
        <v>5</v>
      </c>
      <c r="G62" s="7">
        <f t="shared" si="7"/>
        <v>1</v>
      </c>
      <c r="H62" s="7">
        <f t="shared" si="7"/>
        <v>0</v>
      </c>
      <c r="I62" s="7">
        <f t="shared" si="7"/>
        <v>0</v>
      </c>
      <c r="J62" s="7">
        <f t="shared" si="7"/>
        <v>0</v>
      </c>
      <c r="K62" s="7">
        <f t="shared" si="7"/>
        <v>0</v>
      </c>
      <c r="L62" s="6"/>
    </row>
    <row r="63" spans="1:12" outlineLevel="1" x14ac:dyDescent="0.25">
      <c r="A63" s="21">
        <f t="shared" si="6"/>
        <v>2.2013000000000029</v>
      </c>
      <c r="B63" s="25" t="s">
        <v>440</v>
      </c>
      <c r="C63" s="23" t="s">
        <v>442</v>
      </c>
      <c r="D63" s="6"/>
      <c r="E63" s="6"/>
      <c r="F63" s="7" t="s">
        <v>5</v>
      </c>
      <c r="G63" s="7">
        <f t="shared" si="7"/>
        <v>1</v>
      </c>
      <c r="H63" s="7">
        <f t="shared" si="7"/>
        <v>0</v>
      </c>
      <c r="I63" s="7">
        <f t="shared" si="7"/>
        <v>0</v>
      </c>
      <c r="J63" s="7">
        <f t="shared" si="7"/>
        <v>0</v>
      </c>
      <c r="K63" s="7">
        <f t="shared" si="7"/>
        <v>0</v>
      </c>
      <c r="L63" s="6"/>
    </row>
    <row r="64" spans="1:12" outlineLevel="1" x14ac:dyDescent="0.25">
      <c r="A64" s="21">
        <f t="shared" si="6"/>
        <v>2.2014000000000031</v>
      </c>
      <c r="B64" s="25" t="s">
        <v>443</v>
      </c>
      <c r="C64" s="23" t="s">
        <v>444</v>
      </c>
      <c r="D64" s="6"/>
      <c r="E64" s="6"/>
      <c r="F64" s="7" t="s">
        <v>5</v>
      </c>
      <c r="G64" s="7">
        <f t="shared" si="7"/>
        <v>1</v>
      </c>
      <c r="H64" s="7">
        <f t="shared" si="7"/>
        <v>0</v>
      </c>
      <c r="I64" s="7">
        <f t="shared" si="7"/>
        <v>0</v>
      </c>
      <c r="J64" s="7">
        <f t="shared" si="7"/>
        <v>0</v>
      </c>
      <c r="K64" s="7">
        <f t="shared" si="7"/>
        <v>0</v>
      </c>
      <c r="L64" s="6"/>
    </row>
    <row r="65" spans="1:12" outlineLevel="1" x14ac:dyDescent="0.25">
      <c r="A65" s="21">
        <f t="shared" si="6"/>
        <v>2.2015000000000033</v>
      </c>
      <c r="B65" s="25" t="s">
        <v>349</v>
      </c>
      <c r="C65" s="23" t="s">
        <v>446</v>
      </c>
      <c r="D65" s="6"/>
      <c r="E65" s="6"/>
      <c r="F65" s="7" t="s">
        <v>5</v>
      </c>
      <c r="G65" s="7">
        <f t="shared" ref="G65:K66" si="8">IF($F65=G$1,1,0)</f>
        <v>1</v>
      </c>
      <c r="H65" s="7">
        <f t="shared" si="8"/>
        <v>0</v>
      </c>
      <c r="I65" s="7">
        <f t="shared" si="8"/>
        <v>0</v>
      </c>
      <c r="J65" s="7">
        <f t="shared" si="8"/>
        <v>0</v>
      </c>
      <c r="K65" s="7">
        <f t="shared" si="8"/>
        <v>0</v>
      </c>
      <c r="L65" s="6"/>
    </row>
    <row r="66" spans="1:12" ht="38.25" outlineLevel="1" x14ac:dyDescent="0.25">
      <c r="A66" s="21">
        <f t="shared" si="6"/>
        <v>2.2016000000000036</v>
      </c>
      <c r="B66" s="25" t="s">
        <v>385</v>
      </c>
      <c r="C66" s="23" t="s">
        <v>1021</v>
      </c>
      <c r="D66" s="162" t="s">
        <v>1024</v>
      </c>
      <c r="E66" s="6"/>
      <c r="F66" s="7" t="s">
        <v>7</v>
      </c>
      <c r="G66" s="7">
        <f t="shared" si="8"/>
        <v>0</v>
      </c>
      <c r="H66" s="7">
        <f t="shared" si="8"/>
        <v>0</v>
      </c>
      <c r="I66" s="7">
        <f t="shared" si="8"/>
        <v>0</v>
      </c>
      <c r="J66" s="7">
        <f t="shared" si="8"/>
        <v>1</v>
      </c>
      <c r="K66" s="7">
        <f t="shared" si="8"/>
        <v>0</v>
      </c>
      <c r="L66" s="6"/>
    </row>
    <row r="67" spans="1:12" s="19" customFormat="1" x14ac:dyDescent="0.25">
      <c r="A67" s="78">
        <v>2.2999999999999998</v>
      </c>
      <c r="B67" s="79" t="s">
        <v>497</v>
      </c>
      <c r="C67" s="80"/>
      <c r="D67" s="81"/>
      <c r="E67" s="81"/>
      <c r="F67" s="82"/>
      <c r="G67" s="82"/>
      <c r="H67" s="82"/>
      <c r="I67" s="82"/>
      <c r="J67" s="82"/>
      <c r="K67" s="82"/>
      <c r="L67" s="81"/>
    </row>
    <row r="68" spans="1:12" ht="51" outlineLevel="1" x14ac:dyDescent="0.25">
      <c r="A68" s="21">
        <f>A67+0.0001</f>
        <v>2.3001</v>
      </c>
      <c r="B68" s="24" t="s">
        <v>1022</v>
      </c>
      <c r="C68" s="22" t="s">
        <v>1026</v>
      </c>
      <c r="D68" s="6" t="s">
        <v>1023</v>
      </c>
      <c r="E68" s="5"/>
      <c r="F68" s="7" t="s">
        <v>5</v>
      </c>
      <c r="G68" s="7">
        <f t="shared" ref="G68:K105" si="9">IF($F68=G$1,1,0)</f>
        <v>1</v>
      </c>
      <c r="H68" s="7">
        <f t="shared" si="9"/>
        <v>0</v>
      </c>
      <c r="I68" s="7">
        <f t="shared" si="9"/>
        <v>0</v>
      </c>
      <c r="J68" s="7">
        <f t="shared" si="9"/>
        <v>0</v>
      </c>
      <c r="K68" s="7">
        <f t="shared" si="9"/>
        <v>0</v>
      </c>
      <c r="L68" s="6"/>
    </row>
    <row r="69" spans="1:12" ht="25.5" outlineLevel="1" x14ac:dyDescent="0.25">
      <c r="A69" s="21">
        <f t="shared" ref="A69:A105" si="10">A68+0.0001</f>
        <v>2.3002000000000002</v>
      </c>
      <c r="B69" s="24" t="s">
        <v>449</v>
      </c>
      <c r="C69" s="22" t="s">
        <v>452</v>
      </c>
      <c r="D69" s="6"/>
      <c r="E69" s="5"/>
      <c r="F69" s="7" t="s">
        <v>5</v>
      </c>
      <c r="G69" s="7">
        <f t="shared" si="9"/>
        <v>1</v>
      </c>
      <c r="H69" s="7">
        <f t="shared" si="9"/>
        <v>0</v>
      </c>
      <c r="I69" s="7">
        <f t="shared" si="9"/>
        <v>0</v>
      </c>
      <c r="J69" s="7">
        <f t="shared" si="9"/>
        <v>0</v>
      </c>
      <c r="K69" s="7">
        <f t="shared" si="9"/>
        <v>0</v>
      </c>
      <c r="L69" s="6"/>
    </row>
    <row r="70" spans="1:12" outlineLevel="1" x14ac:dyDescent="0.25">
      <c r="A70" s="21">
        <f t="shared" si="10"/>
        <v>2.3003000000000005</v>
      </c>
      <c r="B70" s="26"/>
      <c r="C70" s="22" t="s">
        <v>450</v>
      </c>
      <c r="D70" s="6"/>
      <c r="E70" s="5"/>
      <c r="F70" s="7" t="s">
        <v>5</v>
      </c>
      <c r="G70" s="7">
        <f t="shared" si="9"/>
        <v>1</v>
      </c>
      <c r="H70" s="7">
        <f t="shared" si="9"/>
        <v>0</v>
      </c>
      <c r="I70" s="7">
        <f t="shared" si="9"/>
        <v>0</v>
      </c>
      <c r="J70" s="7">
        <f t="shared" si="9"/>
        <v>0</v>
      </c>
      <c r="K70" s="7">
        <f t="shared" si="9"/>
        <v>0</v>
      </c>
      <c r="L70" s="6"/>
    </row>
    <row r="71" spans="1:12" outlineLevel="1" x14ac:dyDescent="0.25">
      <c r="A71" s="21">
        <f t="shared" si="10"/>
        <v>2.3004000000000007</v>
      </c>
      <c r="B71" s="5" t="s">
        <v>344</v>
      </c>
      <c r="C71" s="22" t="s">
        <v>453</v>
      </c>
      <c r="D71" s="6"/>
      <c r="E71" s="5"/>
      <c r="F71" s="7" t="s">
        <v>5</v>
      </c>
      <c r="G71" s="7">
        <f t="shared" si="9"/>
        <v>1</v>
      </c>
      <c r="H71" s="7">
        <f t="shared" si="9"/>
        <v>0</v>
      </c>
      <c r="I71" s="7">
        <f t="shared" si="9"/>
        <v>0</v>
      </c>
      <c r="J71" s="7">
        <f t="shared" si="9"/>
        <v>0</v>
      </c>
      <c r="K71" s="7">
        <f t="shared" si="9"/>
        <v>0</v>
      </c>
      <c r="L71" s="6"/>
    </row>
    <row r="72" spans="1:12" outlineLevel="1" x14ac:dyDescent="0.25">
      <c r="A72" s="21">
        <f t="shared" si="10"/>
        <v>2.3005000000000009</v>
      </c>
      <c r="B72" s="26"/>
      <c r="C72" s="22" t="s">
        <v>451</v>
      </c>
      <c r="D72" s="6"/>
      <c r="E72" s="5"/>
      <c r="F72" s="7" t="s">
        <v>5</v>
      </c>
      <c r="G72" s="7">
        <f t="shared" si="9"/>
        <v>1</v>
      </c>
      <c r="H72" s="7">
        <f t="shared" si="9"/>
        <v>0</v>
      </c>
      <c r="I72" s="7">
        <f t="shared" si="9"/>
        <v>0</v>
      </c>
      <c r="J72" s="7">
        <f t="shared" si="9"/>
        <v>0</v>
      </c>
      <c r="K72" s="7">
        <f t="shared" si="9"/>
        <v>0</v>
      </c>
      <c r="L72" s="6"/>
    </row>
    <row r="73" spans="1:12" outlineLevel="1" x14ac:dyDescent="0.25">
      <c r="A73" s="21">
        <f t="shared" si="10"/>
        <v>2.3006000000000011</v>
      </c>
      <c r="B73" s="25" t="s">
        <v>348</v>
      </c>
      <c r="C73" s="22" t="s">
        <v>350</v>
      </c>
      <c r="D73" s="6"/>
      <c r="E73" s="5"/>
      <c r="F73" s="7" t="s">
        <v>5</v>
      </c>
      <c r="G73" s="7">
        <f t="shared" si="9"/>
        <v>1</v>
      </c>
      <c r="H73" s="7">
        <f t="shared" si="9"/>
        <v>0</v>
      </c>
      <c r="I73" s="7">
        <f t="shared" si="9"/>
        <v>0</v>
      </c>
      <c r="J73" s="7">
        <f t="shared" si="9"/>
        <v>0</v>
      </c>
      <c r="K73" s="7">
        <f t="shared" si="9"/>
        <v>0</v>
      </c>
      <c r="L73" s="6"/>
    </row>
    <row r="74" spans="1:12" outlineLevel="1" x14ac:dyDescent="0.25">
      <c r="A74" s="21"/>
      <c r="B74" s="5" t="s">
        <v>1025</v>
      </c>
      <c r="C74" s="22" t="s">
        <v>1027</v>
      </c>
      <c r="D74" s="6"/>
      <c r="E74" s="5"/>
      <c r="F74" s="7" t="s">
        <v>5</v>
      </c>
      <c r="G74" s="7">
        <f t="shared" si="9"/>
        <v>1</v>
      </c>
      <c r="H74" s="7">
        <f t="shared" si="9"/>
        <v>0</v>
      </c>
      <c r="I74" s="7">
        <f t="shared" si="9"/>
        <v>0</v>
      </c>
      <c r="J74" s="7">
        <f t="shared" si="9"/>
        <v>0</v>
      </c>
      <c r="K74" s="7">
        <f t="shared" si="9"/>
        <v>0</v>
      </c>
      <c r="L74" s="6"/>
    </row>
    <row r="75" spans="1:12" outlineLevel="1" x14ac:dyDescent="0.25">
      <c r="A75" s="21">
        <f>A73+0.0001</f>
        <v>2.3007000000000013</v>
      </c>
      <c r="B75" s="24" t="s">
        <v>343</v>
      </c>
      <c r="C75" s="22" t="s">
        <v>345</v>
      </c>
      <c r="D75" s="6" t="s">
        <v>1028</v>
      </c>
      <c r="E75" s="5"/>
      <c r="F75" s="7" t="s">
        <v>5</v>
      </c>
      <c r="G75" s="7">
        <f t="shared" si="9"/>
        <v>1</v>
      </c>
      <c r="H75" s="7">
        <f t="shared" si="9"/>
        <v>0</v>
      </c>
      <c r="I75" s="7">
        <f t="shared" si="9"/>
        <v>0</v>
      </c>
      <c r="J75" s="7">
        <f t="shared" si="9"/>
        <v>0</v>
      </c>
      <c r="K75" s="7">
        <f t="shared" si="9"/>
        <v>0</v>
      </c>
      <c r="L75" s="6"/>
    </row>
    <row r="76" spans="1:12" outlineLevel="1" x14ac:dyDescent="0.25">
      <c r="A76" s="21">
        <f t="shared" si="10"/>
        <v>2.3008000000000015</v>
      </c>
      <c r="B76" s="25"/>
      <c r="C76" s="22" t="s">
        <v>454</v>
      </c>
      <c r="D76" s="6"/>
      <c r="E76" s="5"/>
      <c r="F76" s="7" t="s">
        <v>5</v>
      </c>
      <c r="G76" s="7">
        <f t="shared" si="9"/>
        <v>1</v>
      </c>
      <c r="H76" s="7">
        <f t="shared" si="9"/>
        <v>0</v>
      </c>
      <c r="I76" s="7">
        <f t="shared" si="9"/>
        <v>0</v>
      </c>
      <c r="J76" s="7">
        <f t="shared" si="9"/>
        <v>0</v>
      </c>
      <c r="K76" s="7">
        <f t="shared" si="9"/>
        <v>0</v>
      </c>
      <c r="L76" s="6"/>
    </row>
    <row r="77" spans="1:12" outlineLevel="1" x14ac:dyDescent="0.25">
      <c r="A77" s="21">
        <f t="shared" si="10"/>
        <v>2.3009000000000017</v>
      </c>
      <c r="B77" s="25"/>
      <c r="C77" s="22" t="s">
        <v>455</v>
      </c>
      <c r="D77" s="6"/>
      <c r="E77" s="5"/>
      <c r="F77" s="7" t="s">
        <v>5</v>
      </c>
      <c r="G77" s="7">
        <f t="shared" si="9"/>
        <v>1</v>
      </c>
      <c r="H77" s="7">
        <f t="shared" si="9"/>
        <v>0</v>
      </c>
      <c r="I77" s="7">
        <f t="shared" si="9"/>
        <v>0</v>
      </c>
      <c r="J77" s="7">
        <f t="shared" si="9"/>
        <v>0</v>
      </c>
      <c r="K77" s="7">
        <f t="shared" si="9"/>
        <v>0</v>
      </c>
      <c r="L77" s="6"/>
    </row>
    <row r="78" spans="1:12" outlineLevel="1" x14ac:dyDescent="0.25">
      <c r="A78" s="21">
        <f t="shared" si="10"/>
        <v>2.3010000000000019</v>
      </c>
      <c r="B78" s="25" t="s">
        <v>348</v>
      </c>
      <c r="C78" s="22" t="s">
        <v>347</v>
      </c>
      <c r="D78" s="6"/>
      <c r="E78" s="5"/>
      <c r="F78" s="7" t="s">
        <v>5</v>
      </c>
      <c r="G78" s="7">
        <f t="shared" si="9"/>
        <v>1</v>
      </c>
      <c r="H78" s="7">
        <f t="shared" si="9"/>
        <v>0</v>
      </c>
      <c r="I78" s="7">
        <f t="shared" si="9"/>
        <v>0</v>
      </c>
      <c r="J78" s="7">
        <f t="shared" si="9"/>
        <v>0</v>
      </c>
      <c r="K78" s="7">
        <f t="shared" si="9"/>
        <v>0</v>
      </c>
      <c r="L78" s="6"/>
    </row>
    <row r="79" spans="1:12" outlineLevel="1" x14ac:dyDescent="0.25">
      <c r="A79" s="21">
        <f t="shared" si="10"/>
        <v>2.3011000000000021</v>
      </c>
      <c r="B79" s="25" t="s">
        <v>348</v>
      </c>
      <c r="C79" s="22" t="s">
        <v>349</v>
      </c>
      <c r="D79" s="6"/>
      <c r="E79" s="5"/>
      <c r="F79" s="7" t="s">
        <v>5</v>
      </c>
      <c r="G79" s="7">
        <f t="shared" si="9"/>
        <v>1</v>
      </c>
      <c r="H79" s="7">
        <f t="shared" si="9"/>
        <v>0</v>
      </c>
      <c r="I79" s="7">
        <f t="shared" si="9"/>
        <v>0</v>
      </c>
      <c r="J79" s="7">
        <f t="shared" si="9"/>
        <v>0</v>
      </c>
      <c r="K79" s="7">
        <f t="shared" si="9"/>
        <v>0</v>
      </c>
      <c r="L79" s="6"/>
    </row>
    <row r="80" spans="1:12" outlineLevel="1" x14ac:dyDescent="0.25">
      <c r="A80" s="21">
        <f t="shared" si="10"/>
        <v>2.3012000000000024</v>
      </c>
      <c r="B80" s="25" t="s">
        <v>348</v>
      </c>
      <c r="C80" s="22" t="s">
        <v>350</v>
      </c>
      <c r="D80" s="6"/>
      <c r="E80" s="5"/>
      <c r="F80" s="7" t="s">
        <v>5</v>
      </c>
      <c r="G80" s="7">
        <f t="shared" si="9"/>
        <v>1</v>
      </c>
      <c r="H80" s="7">
        <f t="shared" si="9"/>
        <v>0</v>
      </c>
      <c r="I80" s="7">
        <f t="shared" si="9"/>
        <v>0</v>
      </c>
      <c r="J80" s="7">
        <f t="shared" si="9"/>
        <v>0</v>
      </c>
      <c r="K80" s="7">
        <f t="shared" si="9"/>
        <v>0</v>
      </c>
      <c r="L80" s="6"/>
    </row>
    <row r="81" spans="1:12" outlineLevel="1" x14ac:dyDescent="0.25">
      <c r="A81" s="21">
        <f t="shared" si="10"/>
        <v>2.3013000000000026</v>
      </c>
      <c r="B81" s="24" t="s">
        <v>355</v>
      </c>
      <c r="C81" s="22" t="s">
        <v>351</v>
      </c>
      <c r="D81" s="6"/>
      <c r="E81" s="5"/>
      <c r="F81" s="7" t="s">
        <v>5</v>
      </c>
      <c r="G81" s="7">
        <f t="shared" si="9"/>
        <v>1</v>
      </c>
      <c r="H81" s="7">
        <f t="shared" si="9"/>
        <v>0</v>
      </c>
      <c r="I81" s="7">
        <f t="shared" si="9"/>
        <v>0</v>
      </c>
      <c r="J81" s="7">
        <f t="shared" si="9"/>
        <v>0</v>
      </c>
      <c r="K81" s="7">
        <f t="shared" si="9"/>
        <v>0</v>
      </c>
      <c r="L81" s="6"/>
    </row>
    <row r="82" spans="1:12" outlineLevel="1" x14ac:dyDescent="0.25">
      <c r="A82" s="21">
        <f t="shared" si="10"/>
        <v>2.3014000000000028</v>
      </c>
      <c r="B82" s="25"/>
      <c r="C82" s="22" t="s">
        <v>352</v>
      </c>
      <c r="D82" s="6"/>
      <c r="E82" s="5"/>
      <c r="F82" s="7" t="s">
        <v>5</v>
      </c>
      <c r="G82" s="7">
        <f t="shared" si="9"/>
        <v>1</v>
      </c>
      <c r="H82" s="7">
        <f t="shared" si="9"/>
        <v>0</v>
      </c>
      <c r="I82" s="7">
        <f t="shared" si="9"/>
        <v>0</v>
      </c>
      <c r="J82" s="7">
        <f t="shared" si="9"/>
        <v>0</v>
      </c>
      <c r="K82" s="7">
        <f t="shared" si="9"/>
        <v>0</v>
      </c>
      <c r="L82" s="6"/>
    </row>
    <row r="83" spans="1:12" outlineLevel="1" x14ac:dyDescent="0.25">
      <c r="A83" s="21">
        <f t="shared" si="10"/>
        <v>2.301500000000003</v>
      </c>
      <c r="B83" s="25"/>
      <c r="C83" s="22" t="s">
        <v>353</v>
      </c>
      <c r="D83" s="6"/>
      <c r="E83" s="5"/>
      <c r="F83" s="7" t="s">
        <v>5</v>
      </c>
      <c r="G83" s="7">
        <f t="shared" si="9"/>
        <v>1</v>
      </c>
      <c r="H83" s="7">
        <f t="shared" si="9"/>
        <v>0</v>
      </c>
      <c r="I83" s="7">
        <f t="shared" si="9"/>
        <v>0</v>
      </c>
      <c r="J83" s="7">
        <f t="shared" si="9"/>
        <v>0</v>
      </c>
      <c r="K83" s="7">
        <f t="shared" si="9"/>
        <v>0</v>
      </c>
      <c r="L83" s="6"/>
    </row>
    <row r="84" spans="1:12" outlineLevel="1" x14ac:dyDescent="0.25">
      <c r="A84" s="21">
        <f t="shared" si="10"/>
        <v>2.3016000000000032</v>
      </c>
      <c r="B84" s="25"/>
      <c r="C84" s="22" t="s">
        <v>354</v>
      </c>
      <c r="D84" s="6"/>
      <c r="E84" s="5"/>
      <c r="F84" s="7" t="s">
        <v>5</v>
      </c>
      <c r="G84" s="7">
        <f t="shared" si="9"/>
        <v>1</v>
      </c>
      <c r="H84" s="7">
        <f t="shared" si="9"/>
        <v>0</v>
      </c>
      <c r="I84" s="7">
        <f t="shared" si="9"/>
        <v>0</v>
      </c>
      <c r="J84" s="7">
        <f t="shared" si="9"/>
        <v>0</v>
      </c>
      <c r="K84" s="7">
        <f t="shared" si="9"/>
        <v>0</v>
      </c>
      <c r="L84" s="6"/>
    </row>
    <row r="85" spans="1:12" outlineLevel="1" x14ac:dyDescent="0.25">
      <c r="A85" s="21">
        <f t="shared" si="10"/>
        <v>2.3017000000000034</v>
      </c>
      <c r="B85" s="25"/>
      <c r="C85" s="22" t="s">
        <v>369</v>
      </c>
      <c r="D85" s="6"/>
      <c r="E85" s="5"/>
      <c r="F85" s="7" t="s">
        <v>5</v>
      </c>
      <c r="G85" s="7">
        <f t="shared" si="9"/>
        <v>1</v>
      </c>
      <c r="H85" s="7">
        <f t="shared" si="9"/>
        <v>0</v>
      </c>
      <c r="I85" s="7">
        <f t="shared" si="9"/>
        <v>0</v>
      </c>
      <c r="J85" s="7">
        <f t="shared" si="9"/>
        <v>0</v>
      </c>
      <c r="K85" s="7">
        <f t="shared" si="9"/>
        <v>0</v>
      </c>
      <c r="L85" s="6"/>
    </row>
    <row r="86" spans="1:12" outlineLevel="1" x14ac:dyDescent="0.25">
      <c r="A86" s="21">
        <f t="shared" si="10"/>
        <v>2.3018000000000036</v>
      </c>
      <c r="B86" s="25"/>
      <c r="C86" s="22" t="s">
        <v>368</v>
      </c>
      <c r="D86" s="6"/>
      <c r="E86" s="5"/>
      <c r="F86" s="7" t="s">
        <v>5</v>
      </c>
      <c r="G86" s="7">
        <f t="shared" si="9"/>
        <v>1</v>
      </c>
      <c r="H86" s="7">
        <f t="shared" si="9"/>
        <v>0</v>
      </c>
      <c r="I86" s="7">
        <f t="shared" si="9"/>
        <v>0</v>
      </c>
      <c r="J86" s="7">
        <f t="shared" si="9"/>
        <v>0</v>
      </c>
      <c r="K86" s="7">
        <f t="shared" si="9"/>
        <v>0</v>
      </c>
      <c r="L86" s="6"/>
    </row>
    <row r="87" spans="1:12" outlineLevel="1" x14ac:dyDescent="0.25">
      <c r="A87" s="21">
        <f t="shared" si="10"/>
        <v>2.3019000000000038</v>
      </c>
      <c r="B87" s="88" t="s">
        <v>456</v>
      </c>
      <c r="C87" s="22" t="s">
        <v>370</v>
      </c>
      <c r="D87" s="6"/>
      <c r="E87" s="5"/>
      <c r="F87" s="7" t="s">
        <v>5</v>
      </c>
      <c r="G87" s="7">
        <f t="shared" si="9"/>
        <v>1</v>
      </c>
      <c r="H87" s="7">
        <f t="shared" si="9"/>
        <v>0</v>
      </c>
      <c r="I87" s="7">
        <f t="shared" si="9"/>
        <v>0</v>
      </c>
      <c r="J87" s="7">
        <f t="shared" si="9"/>
        <v>0</v>
      </c>
      <c r="K87" s="7">
        <f t="shared" si="9"/>
        <v>0</v>
      </c>
      <c r="L87" s="6"/>
    </row>
    <row r="88" spans="1:12" outlineLevel="1" x14ac:dyDescent="0.25">
      <c r="A88" s="21">
        <f t="shared" si="10"/>
        <v>2.302000000000004</v>
      </c>
      <c r="B88" s="24" t="s">
        <v>356</v>
      </c>
      <c r="C88" s="22" t="s">
        <v>357</v>
      </c>
      <c r="D88" s="6"/>
      <c r="E88" s="5"/>
      <c r="F88" s="7" t="s">
        <v>5</v>
      </c>
      <c r="G88" s="7">
        <f t="shared" si="9"/>
        <v>1</v>
      </c>
      <c r="H88" s="7">
        <f t="shared" si="9"/>
        <v>0</v>
      </c>
      <c r="I88" s="7">
        <f t="shared" si="9"/>
        <v>0</v>
      </c>
      <c r="J88" s="7">
        <f t="shared" si="9"/>
        <v>0</v>
      </c>
      <c r="K88" s="7">
        <f t="shared" si="9"/>
        <v>0</v>
      </c>
      <c r="L88" s="6"/>
    </row>
    <row r="89" spans="1:12" outlineLevel="1" x14ac:dyDescent="0.25">
      <c r="A89" s="21">
        <f t="shared" si="10"/>
        <v>2.3021000000000043</v>
      </c>
      <c r="B89" s="25"/>
      <c r="C89" s="22" t="s">
        <v>358</v>
      </c>
      <c r="D89" s="6"/>
      <c r="E89" s="5"/>
      <c r="F89" s="7" t="s">
        <v>5</v>
      </c>
      <c r="G89" s="7">
        <f t="shared" si="9"/>
        <v>1</v>
      </c>
      <c r="H89" s="7">
        <f t="shared" si="9"/>
        <v>0</v>
      </c>
      <c r="I89" s="7">
        <f t="shared" si="9"/>
        <v>0</v>
      </c>
      <c r="J89" s="7">
        <f t="shared" si="9"/>
        <v>0</v>
      </c>
      <c r="K89" s="7">
        <f t="shared" si="9"/>
        <v>0</v>
      </c>
      <c r="L89" s="6"/>
    </row>
    <row r="90" spans="1:12" outlineLevel="1" x14ac:dyDescent="0.25">
      <c r="A90" s="21">
        <f t="shared" si="10"/>
        <v>2.3022000000000045</v>
      </c>
      <c r="B90" s="25"/>
      <c r="C90" s="22" t="s">
        <v>359</v>
      </c>
      <c r="D90" s="6"/>
      <c r="E90" s="5"/>
      <c r="F90" s="7" t="s">
        <v>5</v>
      </c>
      <c r="G90" s="7">
        <f t="shared" si="9"/>
        <v>1</v>
      </c>
      <c r="H90" s="7">
        <f t="shared" si="9"/>
        <v>0</v>
      </c>
      <c r="I90" s="7">
        <f t="shared" si="9"/>
        <v>0</v>
      </c>
      <c r="J90" s="7">
        <f t="shared" si="9"/>
        <v>0</v>
      </c>
      <c r="K90" s="7">
        <f t="shared" si="9"/>
        <v>0</v>
      </c>
      <c r="L90" s="6"/>
    </row>
    <row r="91" spans="1:12" outlineLevel="1" x14ac:dyDescent="0.25">
      <c r="A91" s="21">
        <f t="shared" si="10"/>
        <v>2.3023000000000047</v>
      </c>
      <c r="B91" s="25"/>
      <c r="C91" s="22" t="s">
        <v>360</v>
      </c>
      <c r="D91" s="6"/>
      <c r="E91" s="5"/>
      <c r="F91" s="7" t="s">
        <v>5</v>
      </c>
      <c r="G91" s="7">
        <f t="shared" si="9"/>
        <v>1</v>
      </c>
      <c r="H91" s="7">
        <f t="shared" si="9"/>
        <v>0</v>
      </c>
      <c r="I91" s="7">
        <f t="shared" si="9"/>
        <v>0</v>
      </c>
      <c r="J91" s="7">
        <f t="shared" si="9"/>
        <v>0</v>
      </c>
      <c r="K91" s="7">
        <f t="shared" si="9"/>
        <v>0</v>
      </c>
      <c r="L91" s="6"/>
    </row>
    <row r="92" spans="1:12" outlineLevel="1" x14ac:dyDescent="0.25">
      <c r="A92" s="21">
        <f t="shared" si="10"/>
        <v>2.3024000000000049</v>
      </c>
      <c r="B92" s="25"/>
      <c r="C92" s="22" t="s">
        <v>361</v>
      </c>
      <c r="D92" s="6"/>
      <c r="E92" s="5"/>
      <c r="F92" s="7" t="s">
        <v>5</v>
      </c>
      <c r="G92" s="7">
        <f t="shared" si="9"/>
        <v>1</v>
      </c>
      <c r="H92" s="7">
        <f t="shared" si="9"/>
        <v>0</v>
      </c>
      <c r="I92" s="7">
        <f t="shared" si="9"/>
        <v>0</v>
      </c>
      <c r="J92" s="7">
        <f t="shared" si="9"/>
        <v>0</v>
      </c>
      <c r="K92" s="7">
        <f t="shared" si="9"/>
        <v>0</v>
      </c>
      <c r="L92" s="6"/>
    </row>
    <row r="93" spans="1:12" outlineLevel="1" x14ac:dyDescent="0.25">
      <c r="A93" s="21">
        <f t="shared" si="10"/>
        <v>2.3025000000000051</v>
      </c>
      <c r="B93" s="25"/>
      <c r="C93" s="22" t="s">
        <v>362</v>
      </c>
      <c r="D93" s="6"/>
      <c r="E93" s="5"/>
      <c r="F93" s="7" t="s">
        <v>5</v>
      </c>
      <c r="G93" s="7">
        <f t="shared" si="9"/>
        <v>1</v>
      </c>
      <c r="H93" s="7">
        <f t="shared" si="9"/>
        <v>0</v>
      </c>
      <c r="I93" s="7">
        <f t="shared" si="9"/>
        <v>0</v>
      </c>
      <c r="J93" s="7">
        <f t="shared" si="9"/>
        <v>0</v>
      </c>
      <c r="K93" s="7">
        <f t="shared" si="9"/>
        <v>0</v>
      </c>
      <c r="L93" s="6"/>
    </row>
    <row r="94" spans="1:12" outlineLevel="1" x14ac:dyDescent="0.25">
      <c r="A94" s="21">
        <f t="shared" si="10"/>
        <v>2.3026000000000053</v>
      </c>
      <c r="B94" s="25"/>
      <c r="C94" s="22" t="s">
        <v>363</v>
      </c>
      <c r="D94" s="6"/>
      <c r="E94" s="5"/>
      <c r="F94" s="7" t="s">
        <v>5</v>
      </c>
      <c r="G94" s="7">
        <f t="shared" si="9"/>
        <v>1</v>
      </c>
      <c r="H94" s="7">
        <f t="shared" si="9"/>
        <v>0</v>
      </c>
      <c r="I94" s="7">
        <f t="shared" si="9"/>
        <v>0</v>
      </c>
      <c r="J94" s="7">
        <f t="shared" si="9"/>
        <v>0</v>
      </c>
      <c r="K94" s="7">
        <f t="shared" si="9"/>
        <v>0</v>
      </c>
      <c r="L94" s="6"/>
    </row>
    <row r="95" spans="1:12" outlineLevel="1" x14ac:dyDescent="0.25">
      <c r="A95" s="21">
        <f t="shared" si="10"/>
        <v>2.3027000000000055</v>
      </c>
      <c r="B95" s="24" t="s">
        <v>348</v>
      </c>
      <c r="C95" s="22" t="s">
        <v>364</v>
      </c>
      <c r="D95" s="6"/>
      <c r="E95" s="5"/>
      <c r="F95" s="7" t="s">
        <v>5</v>
      </c>
      <c r="G95" s="7">
        <f t="shared" si="9"/>
        <v>1</v>
      </c>
      <c r="H95" s="7">
        <f t="shared" si="9"/>
        <v>0</v>
      </c>
      <c r="I95" s="7">
        <f t="shared" si="9"/>
        <v>0</v>
      </c>
      <c r="J95" s="7">
        <f t="shared" si="9"/>
        <v>0</v>
      </c>
      <c r="K95" s="7">
        <f t="shared" si="9"/>
        <v>0</v>
      </c>
      <c r="L95" s="6"/>
    </row>
    <row r="96" spans="1:12" outlineLevel="1" x14ac:dyDescent="0.25">
      <c r="A96" s="21">
        <f t="shared" si="10"/>
        <v>2.3028000000000057</v>
      </c>
      <c r="B96" s="25" t="s">
        <v>348</v>
      </c>
      <c r="C96" s="22" t="s">
        <v>365</v>
      </c>
      <c r="D96" s="6"/>
      <c r="E96" s="5"/>
      <c r="F96" s="7" t="s">
        <v>5</v>
      </c>
      <c r="G96" s="7">
        <f t="shared" si="9"/>
        <v>1</v>
      </c>
      <c r="H96" s="7">
        <f t="shared" si="9"/>
        <v>0</v>
      </c>
      <c r="I96" s="7">
        <f t="shared" si="9"/>
        <v>0</v>
      </c>
      <c r="J96" s="7">
        <f t="shared" si="9"/>
        <v>0</v>
      </c>
      <c r="K96" s="7">
        <f t="shared" si="9"/>
        <v>0</v>
      </c>
      <c r="L96" s="6"/>
    </row>
    <row r="97" spans="1:12" outlineLevel="1" x14ac:dyDescent="0.25">
      <c r="A97" s="21">
        <f t="shared" si="10"/>
        <v>2.3029000000000059</v>
      </c>
      <c r="B97" s="25" t="s">
        <v>348</v>
      </c>
      <c r="C97" s="22" t="s">
        <v>366</v>
      </c>
      <c r="D97" s="6"/>
      <c r="E97" s="5"/>
      <c r="F97" s="7" t="s">
        <v>5</v>
      </c>
      <c r="G97" s="7">
        <f t="shared" si="9"/>
        <v>1</v>
      </c>
      <c r="H97" s="7">
        <f t="shared" si="9"/>
        <v>0</v>
      </c>
      <c r="I97" s="7">
        <f t="shared" si="9"/>
        <v>0</v>
      </c>
      <c r="J97" s="7">
        <f t="shared" si="9"/>
        <v>0</v>
      </c>
      <c r="K97" s="7">
        <f t="shared" si="9"/>
        <v>0</v>
      </c>
      <c r="L97" s="6"/>
    </row>
    <row r="98" spans="1:12" outlineLevel="1" x14ac:dyDescent="0.25">
      <c r="A98" s="21">
        <f t="shared" si="10"/>
        <v>2.3030000000000062</v>
      </c>
      <c r="B98" s="26" t="s">
        <v>348</v>
      </c>
      <c r="C98" s="22" t="s">
        <v>367</v>
      </c>
      <c r="D98" s="6"/>
      <c r="E98" s="5"/>
      <c r="F98" s="7" t="s">
        <v>5</v>
      </c>
      <c r="G98" s="7">
        <f t="shared" si="9"/>
        <v>1</v>
      </c>
      <c r="H98" s="7">
        <f t="shared" si="9"/>
        <v>0</v>
      </c>
      <c r="I98" s="7">
        <f t="shared" si="9"/>
        <v>0</v>
      </c>
      <c r="J98" s="7">
        <f t="shared" si="9"/>
        <v>0</v>
      </c>
      <c r="K98" s="7">
        <f t="shared" si="9"/>
        <v>0</v>
      </c>
      <c r="L98" s="6"/>
    </row>
    <row r="99" spans="1:12" outlineLevel="1" x14ac:dyDescent="0.25">
      <c r="A99" s="21">
        <f t="shared" si="10"/>
        <v>2.3031000000000064</v>
      </c>
      <c r="B99" s="65" t="s">
        <v>378</v>
      </c>
      <c r="C99" s="22"/>
      <c r="D99" s="6"/>
      <c r="E99" s="5"/>
      <c r="F99" s="7" t="s">
        <v>5</v>
      </c>
      <c r="G99" s="7">
        <f t="shared" si="9"/>
        <v>1</v>
      </c>
      <c r="H99" s="7">
        <f t="shared" si="9"/>
        <v>0</v>
      </c>
      <c r="I99" s="7">
        <f t="shared" si="9"/>
        <v>0</v>
      </c>
      <c r="J99" s="7">
        <f t="shared" si="9"/>
        <v>0</v>
      </c>
      <c r="K99" s="7">
        <f t="shared" si="9"/>
        <v>0</v>
      </c>
      <c r="L99" s="6"/>
    </row>
    <row r="100" spans="1:12" outlineLevel="1" x14ac:dyDescent="0.25">
      <c r="A100" s="21">
        <f t="shared" si="10"/>
        <v>2.3032000000000066</v>
      </c>
      <c r="B100" s="26" t="s">
        <v>371</v>
      </c>
      <c r="C100" s="22" t="s">
        <v>372</v>
      </c>
      <c r="D100" s="6"/>
      <c r="E100" s="5"/>
      <c r="F100" s="7" t="s">
        <v>5</v>
      </c>
      <c r="G100" s="7">
        <f t="shared" si="9"/>
        <v>1</v>
      </c>
      <c r="H100" s="7">
        <f t="shared" si="9"/>
        <v>0</v>
      </c>
      <c r="I100" s="7">
        <f t="shared" si="9"/>
        <v>0</v>
      </c>
      <c r="J100" s="7">
        <f t="shared" si="9"/>
        <v>0</v>
      </c>
      <c r="K100" s="7">
        <f t="shared" si="9"/>
        <v>0</v>
      </c>
      <c r="L100" s="6"/>
    </row>
    <row r="101" spans="1:12" outlineLevel="1" x14ac:dyDescent="0.25">
      <c r="A101" s="21">
        <f t="shared" si="10"/>
        <v>2.3033000000000068</v>
      </c>
      <c r="B101" s="26" t="s">
        <v>373</v>
      </c>
      <c r="C101" s="22" t="s">
        <v>374</v>
      </c>
      <c r="D101" s="6"/>
      <c r="E101" s="5"/>
      <c r="F101" s="7" t="s">
        <v>5</v>
      </c>
      <c r="G101" s="7">
        <f t="shared" si="9"/>
        <v>1</v>
      </c>
      <c r="H101" s="7">
        <f t="shared" si="9"/>
        <v>0</v>
      </c>
      <c r="I101" s="7">
        <f t="shared" si="9"/>
        <v>0</v>
      </c>
      <c r="J101" s="7">
        <f t="shared" si="9"/>
        <v>0</v>
      </c>
      <c r="K101" s="7">
        <f t="shared" si="9"/>
        <v>0</v>
      </c>
      <c r="L101" s="6"/>
    </row>
    <row r="102" spans="1:12" outlineLevel="1" x14ac:dyDescent="0.25">
      <c r="A102" s="21">
        <f t="shared" si="10"/>
        <v>2.303400000000007</v>
      </c>
      <c r="B102" s="5" t="s">
        <v>375</v>
      </c>
      <c r="C102" s="22" t="s">
        <v>376</v>
      </c>
      <c r="D102" s="6"/>
      <c r="E102" s="5"/>
      <c r="F102" s="7" t="s">
        <v>5</v>
      </c>
      <c r="G102" s="7">
        <f t="shared" si="9"/>
        <v>1</v>
      </c>
      <c r="H102" s="7">
        <f t="shared" si="9"/>
        <v>0</v>
      </c>
      <c r="I102" s="7">
        <f t="shared" si="9"/>
        <v>0</v>
      </c>
      <c r="J102" s="7">
        <f t="shared" si="9"/>
        <v>0</v>
      </c>
      <c r="K102" s="7">
        <f t="shared" si="9"/>
        <v>0</v>
      </c>
      <c r="L102" s="6"/>
    </row>
    <row r="103" spans="1:12" outlineLevel="1" x14ac:dyDescent="0.25">
      <c r="A103" s="21">
        <f t="shared" si="10"/>
        <v>2.3035000000000072</v>
      </c>
      <c r="B103" s="26" t="s">
        <v>371</v>
      </c>
      <c r="C103" s="22" t="s">
        <v>372</v>
      </c>
      <c r="D103" s="6"/>
      <c r="E103" s="5"/>
      <c r="F103" s="7" t="s">
        <v>5</v>
      </c>
      <c r="G103" s="7">
        <f t="shared" si="9"/>
        <v>1</v>
      </c>
      <c r="H103" s="7">
        <f t="shared" si="9"/>
        <v>0</v>
      </c>
      <c r="I103" s="7">
        <f t="shared" si="9"/>
        <v>0</v>
      </c>
      <c r="J103" s="7">
        <f t="shared" si="9"/>
        <v>0</v>
      </c>
      <c r="K103" s="7">
        <f t="shared" si="9"/>
        <v>0</v>
      </c>
      <c r="L103" s="6"/>
    </row>
    <row r="104" spans="1:12" outlineLevel="1" x14ac:dyDescent="0.25">
      <c r="A104" s="21">
        <f t="shared" si="10"/>
        <v>2.3036000000000074</v>
      </c>
      <c r="B104" s="26" t="s">
        <v>373</v>
      </c>
      <c r="C104" s="22" t="s">
        <v>374</v>
      </c>
      <c r="D104" s="6"/>
      <c r="E104" s="5"/>
      <c r="F104" s="7" t="s">
        <v>5</v>
      </c>
      <c r="G104" s="7">
        <f t="shared" si="9"/>
        <v>1</v>
      </c>
      <c r="H104" s="7">
        <f t="shared" si="9"/>
        <v>0</v>
      </c>
      <c r="I104" s="7">
        <f t="shared" si="9"/>
        <v>0</v>
      </c>
      <c r="J104" s="7">
        <f t="shared" si="9"/>
        <v>0</v>
      </c>
      <c r="K104" s="7">
        <f t="shared" si="9"/>
        <v>0</v>
      </c>
      <c r="L104" s="6"/>
    </row>
    <row r="105" spans="1:12" outlineLevel="1" x14ac:dyDescent="0.25">
      <c r="A105" s="21">
        <f t="shared" si="10"/>
        <v>2.3037000000000076</v>
      </c>
      <c r="B105" s="5" t="s">
        <v>346</v>
      </c>
      <c r="C105" s="22" t="s">
        <v>377</v>
      </c>
      <c r="D105" s="156" t="s">
        <v>1029</v>
      </c>
      <c r="E105" s="5"/>
      <c r="F105" s="7" t="s">
        <v>5</v>
      </c>
      <c r="G105" s="7">
        <f t="shared" si="9"/>
        <v>1</v>
      </c>
      <c r="H105" s="7">
        <f t="shared" si="9"/>
        <v>0</v>
      </c>
      <c r="I105" s="7">
        <f t="shared" si="9"/>
        <v>0</v>
      </c>
      <c r="J105" s="7">
        <f t="shared" si="9"/>
        <v>0</v>
      </c>
      <c r="K105" s="7">
        <f t="shared" si="9"/>
        <v>0</v>
      </c>
      <c r="L105" s="6"/>
    </row>
    <row r="106" spans="1:12" s="19" customFormat="1" x14ac:dyDescent="0.25">
      <c r="A106" s="83">
        <v>2.4</v>
      </c>
      <c r="B106" s="93" t="s">
        <v>379</v>
      </c>
      <c r="C106" s="84"/>
      <c r="D106" s="85"/>
      <c r="E106" s="85"/>
      <c r="F106" s="86"/>
      <c r="G106" s="86"/>
      <c r="H106" s="86"/>
      <c r="I106" s="86"/>
      <c r="J106" s="86"/>
      <c r="K106" s="86"/>
      <c r="L106" s="85"/>
    </row>
    <row r="107" spans="1:12" outlineLevel="1" x14ac:dyDescent="0.25">
      <c r="A107" s="21">
        <f>A106+0.0001</f>
        <v>2.4001000000000001</v>
      </c>
      <c r="B107" s="63" t="s">
        <v>457</v>
      </c>
      <c r="C107" s="22" t="s">
        <v>405</v>
      </c>
      <c r="D107" s="6"/>
      <c r="E107" s="5"/>
      <c r="F107" s="7" t="s">
        <v>5</v>
      </c>
      <c r="G107" s="7">
        <f t="shared" ref="G107:K157" si="11">IF($F107=G$1,1,0)</f>
        <v>1</v>
      </c>
      <c r="H107" s="7">
        <f t="shared" si="11"/>
        <v>0</v>
      </c>
      <c r="I107" s="7">
        <f t="shared" si="11"/>
        <v>0</v>
      </c>
      <c r="J107" s="7">
        <f t="shared" si="11"/>
        <v>0</v>
      </c>
      <c r="K107" s="7">
        <f t="shared" si="11"/>
        <v>0</v>
      </c>
      <c r="L107" s="6"/>
    </row>
    <row r="108" spans="1:12" outlineLevel="1" x14ac:dyDescent="0.25">
      <c r="A108" s="21">
        <f t="shared" ref="A108:A164" si="12">A107+0.0001</f>
        <v>2.4002000000000003</v>
      </c>
      <c r="B108" s="5" t="s">
        <v>346</v>
      </c>
      <c r="C108" s="22" t="s">
        <v>380</v>
      </c>
      <c r="D108" s="6"/>
      <c r="E108" s="5"/>
      <c r="F108" s="7" t="s">
        <v>5</v>
      </c>
      <c r="G108" s="7">
        <f t="shared" si="11"/>
        <v>1</v>
      </c>
      <c r="H108" s="7">
        <f t="shared" si="11"/>
        <v>0</v>
      </c>
      <c r="I108" s="7">
        <f t="shared" si="11"/>
        <v>0</v>
      </c>
      <c r="J108" s="7">
        <f t="shared" si="11"/>
        <v>0</v>
      </c>
      <c r="K108" s="7">
        <f t="shared" si="11"/>
        <v>0</v>
      </c>
      <c r="L108" s="6"/>
    </row>
    <row r="109" spans="1:12" outlineLevel="1" x14ac:dyDescent="0.25">
      <c r="A109" s="21">
        <f t="shared" si="12"/>
        <v>2.4003000000000005</v>
      </c>
      <c r="B109" s="5" t="s">
        <v>344</v>
      </c>
      <c r="C109" s="22" t="s">
        <v>381</v>
      </c>
      <c r="D109" s="6" t="s">
        <v>1030</v>
      </c>
      <c r="E109" s="5"/>
      <c r="F109" s="7" t="s">
        <v>5</v>
      </c>
      <c r="G109" s="7">
        <f t="shared" si="11"/>
        <v>1</v>
      </c>
      <c r="H109" s="7">
        <f t="shared" si="11"/>
        <v>0</v>
      </c>
      <c r="I109" s="7">
        <f t="shared" si="11"/>
        <v>0</v>
      </c>
      <c r="J109" s="7">
        <f t="shared" si="11"/>
        <v>0</v>
      </c>
      <c r="K109" s="7">
        <f t="shared" si="11"/>
        <v>0</v>
      </c>
      <c r="L109" s="6"/>
    </row>
    <row r="110" spans="1:12" outlineLevel="1" x14ac:dyDescent="0.25">
      <c r="A110" s="21">
        <f t="shared" si="12"/>
        <v>2.4004000000000008</v>
      </c>
      <c r="B110" s="5" t="s">
        <v>382</v>
      </c>
      <c r="C110" s="22" t="s">
        <v>383</v>
      </c>
      <c r="D110" s="6"/>
      <c r="E110" s="5"/>
      <c r="F110" s="7" t="s">
        <v>5</v>
      </c>
      <c r="G110" s="7">
        <f t="shared" si="11"/>
        <v>1</v>
      </c>
      <c r="H110" s="7">
        <f t="shared" si="11"/>
        <v>0</v>
      </c>
      <c r="I110" s="7">
        <f t="shared" si="11"/>
        <v>0</v>
      </c>
      <c r="J110" s="7">
        <f t="shared" si="11"/>
        <v>0</v>
      </c>
      <c r="K110" s="7">
        <f t="shared" si="11"/>
        <v>0</v>
      </c>
      <c r="L110" s="6"/>
    </row>
    <row r="111" spans="1:12" outlineLevel="1" x14ac:dyDescent="0.25">
      <c r="A111" s="21">
        <f t="shared" si="12"/>
        <v>2.400500000000001</v>
      </c>
      <c r="B111" s="5" t="s">
        <v>348</v>
      </c>
      <c r="C111" s="22" t="s">
        <v>384</v>
      </c>
      <c r="D111" s="6"/>
      <c r="E111" s="5"/>
      <c r="F111" s="7" t="s">
        <v>5</v>
      </c>
      <c r="G111" s="7">
        <f t="shared" si="11"/>
        <v>1</v>
      </c>
      <c r="H111" s="7">
        <f t="shared" si="11"/>
        <v>0</v>
      </c>
      <c r="I111" s="7">
        <f t="shared" si="11"/>
        <v>0</v>
      </c>
      <c r="J111" s="7">
        <f t="shared" si="11"/>
        <v>0</v>
      </c>
      <c r="K111" s="7">
        <f t="shared" si="11"/>
        <v>0</v>
      </c>
      <c r="L111" s="6"/>
    </row>
    <row r="112" spans="1:12" outlineLevel="1" x14ac:dyDescent="0.25">
      <c r="A112" s="21">
        <f t="shared" si="12"/>
        <v>2.4006000000000012</v>
      </c>
      <c r="B112" s="5" t="s">
        <v>348</v>
      </c>
      <c r="C112" s="22" t="s">
        <v>349</v>
      </c>
      <c r="D112" s="6"/>
      <c r="E112" s="5"/>
      <c r="F112" s="7" t="s">
        <v>5</v>
      </c>
      <c r="G112" s="7">
        <f t="shared" si="11"/>
        <v>1</v>
      </c>
      <c r="H112" s="7">
        <f t="shared" si="11"/>
        <v>0</v>
      </c>
      <c r="I112" s="7">
        <f t="shared" si="11"/>
        <v>0</v>
      </c>
      <c r="J112" s="7">
        <f t="shared" si="11"/>
        <v>0</v>
      </c>
      <c r="K112" s="7">
        <f t="shared" si="11"/>
        <v>0</v>
      </c>
      <c r="L112" s="6"/>
    </row>
    <row r="113" spans="1:12" outlineLevel="1" x14ac:dyDescent="0.25">
      <c r="A113" s="21">
        <f t="shared" si="12"/>
        <v>2.4007000000000014</v>
      </c>
      <c r="B113" s="5" t="s">
        <v>348</v>
      </c>
      <c r="C113" s="22" t="s">
        <v>385</v>
      </c>
      <c r="D113" s="6"/>
      <c r="E113" s="5"/>
      <c r="F113" s="7" t="s">
        <v>5</v>
      </c>
      <c r="G113" s="7">
        <f t="shared" si="11"/>
        <v>1</v>
      </c>
      <c r="H113" s="7">
        <f t="shared" si="11"/>
        <v>0</v>
      </c>
      <c r="I113" s="7">
        <f t="shared" si="11"/>
        <v>0</v>
      </c>
      <c r="J113" s="7">
        <f t="shared" si="11"/>
        <v>0</v>
      </c>
      <c r="K113" s="7">
        <f t="shared" si="11"/>
        <v>0</v>
      </c>
      <c r="L113" s="6"/>
    </row>
    <row r="114" spans="1:12" outlineLevel="1" x14ac:dyDescent="0.25">
      <c r="A114" s="21">
        <f t="shared" si="12"/>
        <v>2.4008000000000016</v>
      </c>
      <c r="B114" s="63" t="s">
        <v>386</v>
      </c>
      <c r="C114" s="22"/>
      <c r="D114" s="6"/>
      <c r="E114" s="5"/>
      <c r="F114" s="7" t="s">
        <v>5</v>
      </c>
      <c r="G114" s="7">
        <f t="shared" si="11"/>
        <v>1</v>
      </c>
      <c r="H114" s="7">
        <f t="shared" si="11"/>
        <v>0</v>
      </c>
      <c r="I114" s="7">
        <f t="shared" si="11"/>
        <v>0</v>
      </c>
      <c r="J114" s="7">
        <f t="shared" si="11"/>
        <v>0</v>
      </c>
      <c r="K114" s="7">
        <f t="shared" si="11"/>
        <v>0</v>
      </c>
      <c r="L114" s="6"/>
    </row>
    <row r="115" spans="1:12" outlineLevel="1" x14ac:dyDescent="0.25">
      <c r="A115" s="21">
        <f t="shared" si="12"/>
        <v>2.4009000000000018</v>
      </c>
      <c r="B115" s="66" t="s">
        <v>387</v>
      </c>
      <c r="C115" s="164" t="s">
        <v>414</v>
      </c>
      <c r="D115" s="6"/>
      <c r="E115" s="5"/>
      <c r="F115" s="7" t="s">
        <v>5</v>
      </c>
      <c r="G115" s="7">
        <f t="shared" si="11"/>
        <v>1</v>
      </c>
      <c r="H115" s="7">
        <f t="shared" si="11"/>
        <v>0</v>
      </c>
      <c r="I115" s="7">
        <f t="shared" si="11"/>
        <v>0</v>
      </c>
      <c r="J115" s="7">
        <f t="shared" si="11"/>
        <v>0</v>
      </c>
      <c r="K115" s="7">
        <f t="shared" si="11"/>
        <v>0</v>
      </c>
      <c r="L115" s="6"/>
    </row>
    <row r="116" spans="1:12" outlineLevel="1" x14ac:dyDescent="0.25">
      <c r="A116" s="21">
        <f t="shared" si="12"/>
        <v>2.401000000000002</v>
      </c>
      <c r="B116" s="66" t="s">
        <v>388</v>
      </c>
      <c r="C116" s="89" t="s">
        <v>458</v>
      </c>
      <c r="D116" s="163" t="s">
        <v>1031</v>
      </c>
      <c r="E116" s="5"/>
      <c r="F116" s="7" t="s">
        <v>5</v>
      </c>
      <c r="G116" s="7">
        <f t="shared" si="11"/>
        <v>1</v>
      </c>
      <c r="H116" s="7">
        <f t="shared" si="11"/>
        <v>0</v>
      </c>
      <c r="I116" s="7">
        <f t="shared" si="11"/>
        <v>0</v>
      </c>
      <c r="J116" s="7">
        <f t="shared" si="11"/>
        <v>0</v>
      </c>
      <c r="K116" s="7">
        <f t="shared" si="11"/>
        <v>0</v>
      </c>
      <c r="L116" s="6"/>
    </row>
    <row r="117" spans="1:12" outlineLevel="1" x14ac:dyDescent="0.25">
      <c r="A117" s="21">
        <f t="shared" si="12"/>
        <v>2.4011000000000022</v>
      </c>
      <c r="B117" s="66" t="s">
        <v>389</v>
      </c>
      <c r="C117" s="89" t="s">
        <v>459</v>
      </c>
      <c r="D117" s="163">
        <v>4067972456</v>
      </c>
      <c r="E117" s="5"/>
      <c r="F117" s="7" t="s">
        <v>5</v>
      </c>
      <c r="G117" s="7">
        <f t="shared" si="11"/>
        <v>1</v>
      </c>
      <c r="H117" s="7">
        <f t="shared" si="11"/>
        <v>0</v>
      </c>
      <c r="I117" s="7">
        <f t="shared" si="11"/>
        <v>0</v>
      </c>
      <c r="J117" s="7">
        <f t="shared" si="11"/>
        <v>0</v>
      </c>
      <c r="K117" s="7">
        <f t="shared" si="11"/>
        <v>0</v>
      </c>
      <c r="L117" s="6"/>
    </row>
    <row r="118" spans="1:12" outlineLevel="1" x14ac:dyDescent="0.25">
      <c r="A118" s="21">
        <f t="shared" si="12"/>
        <v>2.4012000000000024</v>
      </c>
      <c r="B118" s="66" t="s">
        <v>390</v>
      </c>
      <c r="C118" s="89" t="s">
        <v>460</v>
      </c>
      <c r="D118" s="6"/>
      <c r="E118" s="5"/>
      <c r="F118" s="7" t="s">
        <v>5</v>
      </c>
      <c r="G118" s="7">
        <f t="shared" si="11"/>
        <v>1</v>
      </c>
      <c r="H118" s="7">
        <f t="shared" si="11"/>
        <v>0</v>
      </c>
      <c r="I118" s="7">
        <f t="shared" si="11"/>
        <v>0</v>
      </c>
      <c r="J118" s="7">
        <f t="shared" si="11"/>
        <v>0</v>
      </c>
      <c r="K118" s="7">
        <f t="shared" si="11"/>
        <v>0</v>
      </c>
      <c r="L118" s="6"/>
    </row>
    <row r="119" spans="1:12" outlineLevel="1" x14ac:dyDescent="0.25">
      <c r="A119" s="21">
        <f t="shared" si="12"/>
        <v>2.4013000000000027</v>
      </c>
      <c r="B119" s="66" t="s">
        <v>391</v>
      </c>
      <c r="C119" s="22" t="s">
        <v>461</v>
      </c>
      <c r="D119" s="6"/>
      <c r="E119" s="5"/>
      <c r="F119" s="7" t="s">
        <v>5</v>
      </c>
      <c r="G119" s="7">
        <f t="shared" si="11"/>
        <v>1</v>
      </c>
      <c r="H119" s="7">
        <f t="shared" si="11"/>
        <v>0</v>
      </c>
      <c r="I119" s="7">
        <f t="shared" si="11"/>
        <v>0</v>
      </c>
      <c r="J119" s="7">
        <f t="shared" si="11"/>
        <v>0</v>
      </c>
      <c r="K119" s="7">
        <f t="shared" si="11"/>
        <v>0</v>
      </c>
      <c r="L119" s="6"/>
    </row>
    <row r="120" spans="1:12" outlineLevel="1" x14ac:dyDescent="0.25">
      <c r="A120" s="21">
        <f t="shared" si="12"/>
        <v>2.4014000000000029</v>
      </c>
      <c r="B120" s="66" t="s">
        <v>392</v>
      </c>
      <c r="C120" s="22" t="s">
        <v>462</v>
      </c>
      <c r="D120" s="6"/>
      <c r="E120" s="5"/>
      <c r="F120" s="7" t="s">
        <v>5</v>
      </c>
      <c r="G120" s="7">
        <f t="shared" si="11"/>
        <v>1</v>
      </c>
      <c r="H120" s="7">
        <f t="shared" si="11"/>
        <v>0</v>
      </c>
      <c r="I120" s="7">
        <f t="shared" si="11"/>
        <v>0</v>
      </c>
      <c r="J120" s="7">
        <f t="shared" si="11"/>
        <v>0</v>
      </c>
      <c r="K120" s="7">
        <f t="shared" si="11"/>
        <v>0</v>
      </c>
      <c r="L120" s="6"/>
    </row>
    <row r="121" spans="1:12" outlineLevel="1" x14ac:dyDescent="0.25">
      <c r="A121" s="21">
        <f t="shared" si="12"/>
        <v>2.4015000000000031</v>
      </c>
      <c r="B121" s="63" t="s">
        <v>393</v>
      </c>
      <c r="C121" s="22"/>
      <c r="D121" s="6"/>
      <c r="E121" s="5"/>
      <c r="F121" s="7" t="s">
        <v>5</v>
      </c>
      <c r="G121" s="7">
        <f t="shared" si="11"/>
        <v>1</v>
      </c>
      <c r="H121" s="7">
        <f t="shared" si="11"/>
        <v>0</v>
      </c>
      <c r="I121" s="7">
        <f t="shared" si="11"/>
        <v>0</v>
      </c>
      <c r="J121" s="7">
        <f t="shared" si="11"/>
        <v>0</v>
      </c>
      <c r="K121" s="7">
        <f t="shared" si="11"/>
        <v>0</v>
      </c>
      <c r="L121" s="6"/>
    </row>
    <row r="122" spans="1:12" ht="38.25" outlineLevel="1" x14ac:dyDescent="0.25">
      <c r="A122" s="21">
        <f t="shared" si="12"/>
        <v>2.4016000000000033</v>
      </c>
      <c r="B122" s="66" t="s">
        <v>394</v>
      </c>
      <c r="C122" s="22" t="s">
        <v>1032</v>
      </c>
      <c r="D122" s="6"/>
      <c r="E122" s="5"/>
      <c r="F122" s="7" t="s">
        <v>5</v>
      </c>
      <c r="G122" s="7">
        <f t="shared" si="11"/>
        <v>1</v>
      </c>
      <c r="H122" s="7">
        <f t="shared" si="11"/>
        <v>0</v>
      </c>
      <c r="I122" s="7">
        <f t="shared" si="11"/>
        <v>0</v>
      </c>
      <c r="J122" s="7">
        <f t="shared" si="11"/>
        <v>0</v>
      </c>
      <c r="K122" s="7">
        <f t="shared" si="11"/>
        <v>0</v>
      </c>
      <c r="L122" s="6"/>
    </row>
    <row r="123" spans="1:12" ht="51" outlineLevel="1" x14ac:dyDescent="0.25">
      <c r="A123" s="21">
        <f t="shared" si="12"/>
        <v>2.4017000000000035</v>
      </c>
      <c r="B123" s="66" t="s">
        <v>395</v>
      </c>
      <c r="C123" s="22" t="s">
        <v>511</v>
      </c>
      <c r="D123" s="6"/>
      <c r="E123" s="5"/>
      <c r="F123" s="7" t="s">
        <v>5</v>
      </c>
      <c r="G123" s="7">
        <f t="shared" si="11"/>
        <v>1</v>
      </c>
      <c r="H123" s="7">
        <f t="shared" si="11"/>
        <v>0</v>
      </c>
      <c r="I123" s="7">
        <f t="shared" si="11"/>
        <v>0</v>
      </c>
      <c r="J123" s="7">
        <f t="shared" si="11"/>
        <v>0</v>
      </c>
      <c r="K123" s="7">
        <f t="shared" si="11"/>
        <v>0</v>
      </c>
      <c r="L123" s="6"/>
    </row>
    <row r="124" spans="1:12" outlineLevel="1" x14ac:dyDescent="0.25">
      <c r="A124" s="21">
        <f t="shared" si="12"/>
        <v>2.4018000000000037</v>
      </c>
      <c r="B124" s="63" t="s">
        <v>396</v>
      </c>
      <c r="C124" s="22" t="s">
        <v>397</v>
      </c>
      <c r="D124" s="6"/>
      <c r="E124" s="5"/>
      <c r="F124" s="7" t="s">
        <v>5</v>
      </c>
      <c r="G124" s="7">
        <f t="shared" si="11"/>
        <v>1</v>
      </c>
      <c r="H124" s="7">
        <f t="shared" si="11"/>
        <v>0</v>
      </c>
      <c r="I124" s="7">
        <f t="shared" si="11"/>
        <v>0</v>
      </c>
      <c r="J124" s="7">
        <f t="shared" si="11"/>
        <v>0</v>
      </c>
      <c r="K124" s="7">
        <f t="shared" si="11"/>
        <v>0</v>
      </c>
      <c r="L124" s="6"/>
    </row>
    <row r="125" spans="1:12" ht="38.25" outlineLevel="1" x14ac:dyDescent="0.25">
      <c r="A125" s="21">
        <f t="shared" si="12"/>
        <v>2.4019000000000039</v>
      </c>
      <c r="B125" s="67" t="s">
        <v>398</v>
      </c>
      <c r="C125" s="22" t="s">
        <v>463</v>
      </c>
      <c r="D125" s="6"/>
      <c r="E125" s="5"/>
      <c r="F125" s="7" t="s">
        <v>5</v>
      </c>
      <c r="G125" s="7">
        <f t="shared" si="11"/>
        <v>1</v>
      </c>
      <c r="H125" s="7">
        <f t="shared" si="11"/>
        <v>0</v>
      </c>
      <c r="I125" s="7">
        <f t="shared" si="11"/>
        <v>0</v>
      </c>
      <c r="J125" s="7">
        <f t="shared" si="11"/>
        <v>0</v>
      </c>
      <c r="K125" s="7">
        <f t="shared" si="11"/>
        <v>0</v>
      </c>
      <c r="L125" s="6"/>
    </row>
    <row r="126" spans="1:12" outlineLevel="1" x14ac:dyDescent="0.25">
      <c r="A126" s="21">
        <f t="shared" si="12"/>
        <v>2.4020000000000041</v>
      </c>
      <c r="B126" s="67" t="s">
        <v>399</v>
      </c>
      <c r="C126" s="22"/>
      <c r="D126" s="6"/>
      <c r="E126" s="5"/>
      <c r="F126" s="7" t="s">
        <v>5</v>
      </c>
      <c r="G126" s="7">
        <f t="shared" si="11"/>
        <v>1</v>
      </c>
      <c r="H126" s="7">
        <f t="shared" si="11"/>
        <v>0</v>
      </c>
      <c r="I126" s="7">
        <f t="shared" si="11"/>
        <v>0</v>
      </c>
      <c r="J126" s="7">
        <f t="shared" si="11"/>
        <v>0</v>
      </c>
      <c r="K126" s="7">
        <f t="shared" si="11"/>
        <v>0</v>
      </c>
      <c r="L126" s="6"/>
    </row>
    <row r="127" spans="1:12" outlineLevel="1" x14ac:dyDescent="0.25">
      <c r="A127" s="21">
        <f t="shared" si="12"/>
        <v>2.4021000000000043</v>
      </c>
      <c r="B127" s="67" t="s">
        <v>400</v>
      </c>
      <c r="C127" s="22" t="s">
        <v>464</v>
      </c>
      <c r="D127" s="6"/>
      <c r="E127" s="5"/>
      <c r="F127" s="7" t="s">
        <v>5</v>
      </c>
      <c r="G127" s="7">
        <f t="shared" si="11"/>
        <v>1</v>
      </c>
      <c r="H127" s="7">
        <f t="shared" si="11"/>
        <v>0</v>
      </c>
      <c r="I127" s="7">
        <f t="shared" si="11"/>
        <v>0</v>
      </c>
      <c r="J127" s="7">
        <f t="shared" si="11"/>
        <v>0</v>
      </c>
      <c r="K127" s="7">
        <f t="shared" si="11"/>
        <v>0</v>
      </c>
      <c r="L127" s="6"/>
    </row>
    <row r="128" spans="1:12" outlineLevel="1" x14ac:dyDescent="0.25">
      <c r="A128" s="21">
        <f t="shared" si="12"/>
        <v>2.4022000000000046</v>
      </c>
      <c r="B128" s="67" t="s">
        <v>401</v>
      </c>
      <c r="C128" s="22" t="s">
        <v>1042</v>
      </c>
      <c r="D128" s="6"/>
      <c r="E128" s="5"/>
      <c r="F128" s="7" t="s">
        <v>5</v>
      </c>
      <c r="G128" s="7">
        <f t="shared" si="11"/>
        <v>1</v>
      </c>
      <c r="H128" s="7">
        <f t="shared" si="11"/>
        <v>0</v>
      </c>
      <c r="I128" s="7">
        <f t="shared" si="11"/>
        <v>0</v>
      </c>
      <c r="J128" s="7">
        <f t="shared" si="11"/>
        <v>0</v>
      </c>
      <c r="K128" s="7">
        <f t="shared" si="11"/>
        <v>0</v>
      </c>
      <c r="L128" s="6"/>
    </row>
    <row r="129" spans="1:12" outlineLevel="1" x14ac:dyDescent="0.25">
      <c r="A129" s="21">
        <f t="shared" si="12"/>
        <v>2.4023000000000048</v>
      </c>
      <c r="B129" s="63" t="s">
        <v>403</v>
      </c>
      <c r="C129" s="22" t="s">
        <v>405</v>
      </c>
      <c r="D129" s="6"/>
      <c r="E129" s="5"/>
      <c r="F129" s="7" t="s">
        <v>5</v>
      </c>
      <c r="G129" s="7">
        <f t="shared" si="11"/>
        <v>1</v>
      </c>
      <c r="H129" s="7">
        <f t="shared" si="11"/>
        <v>0</v>
      </c>
      <c r="I129" s="7">
        <f t="shared" si="11"/>
        <v>0</v>
      </c>
      <c r="J129" s="7">
        <f t="shared" si="11"/>
        <v>0</v>
      </c>
      <c r="K129" s="7">
        <f t="shared" si="11"/>
        <v>0</v>
      </c>
      <c r="L129" s="6"/>
    </row>
    <row r="130" spans="1:12" ht="76.5" outlineLevel="1" x14ac:dyDescent="0.25">
      <c r="A130" s="21">
        <f t="shared" si="12"/>
        <v>2.402400000000005</v>
      </c>
      <c r="B130" s="5" t="s">
        <v>404</v>
      </c>
      <c r="C130" s="22" t="s">
        <v>420</v>
      </c>
      <c r="D130" s="6"/>
      <c r="E130" s="5"/>
      <c r="F130" s="7" t="s">
        <v>5</v>
      </c>
      <c r="G130" s="7">
        <f t="shared" si="11"/>
        <v>1</v>
      </c>
      <c r="H130" s="7">
        <f t="shared" si="11"/>
        <v>0</v>
      </c>
      <c r="I130" s="7">
        <f t="shared" si="11"/>
        <v>0</v>
      </c>
      <c r="J130" s="7">
        <f t="shared" si="11"/>
        <v>0</v>
      </c>
      <c r="K130" s="7">
        <f t="shared" si="11"/>
        <v>0</v>
      </c>
      <c r="L130" s="6"/>
    </row>
    <row r="131" spans="1:12" outlineLevel="1" x14ac:dyDescent="0.25">
      <c r="A131" s="21">
        <f t="shared" si="12"/>
        <v>2.4025000000000052</v>
      </c>
      <c r="B131" s="5" t="s">
        <v>348</v>
      </c>
      <c r="C131" s="22" t="s">
        <v>406</v>
      </c>
      <c r="D131" s="6"/>
      <c r="E131" s="5"/>
      <c r="F131" s="7" t="s">
        <v>5</v>
      </c>
      <c r="G131" s="7">
        <f t="shared" si="11"/>
        <v>1</v>
      </c>
      <c r="H131" s="7">
        <f t="shared" si="11"/>
        <v>0</v>
      </c>
      <c r="I131" s="7">
        <f t="shared" si="11"/>
        <v>0</v>
      </c>
      <c r="J131" s="7">
        <f t="shared" si="11"/>
        <v>0</v>
      </c>
      <c r="K131" s="7">
        <f t="shared" si="11"/>
        <v>0</v>
      </c>
      <c r="L131" s="6"/>
    </row>
    <row r="132" spans="1:12" outlineLevel="1" x14ac:dyDescent="0.25">
      <c r="A132" s="21">
        <f t="shared" si="12"/>
        <v>2.4026000000000054</v>
      </c>
      <c r="B132" s="5" t="s">
        <v>348</v>
      </c>
      <c r="C132" s="22" t="s">
        <v>407</v>
      </c>
      <c r="D132" s="6" t="s">
        <v>1030</v>
      </c>
      <c r="E132" s="5"/>
      <c r="F132" s="7" t="s">
        <v>5</v>
      </c>
      <c r="G132" s="7">
        <f t="shared" si="11"/>
        <v>1</v>
      </c>
      <c r="H132" s="7">
        <f t="shared" si="11"/>
        <v>0</v>
      </c>
      <c r="I132" s="7">
        <f t="shared" si="11"/>
        <v>0</v>
      </c>
      <c r="J132" s="7">
        <f t="shared" si="11"/>
        <v>0</v>
      </c>
      <c r="K132" s="7">
        <f t="shared" si="11"/>
        <v>0</v>
      </c>
      <c r="L132" s="6"/>
    </row>
    <row r="133" spans="1:12" outlineLevel="1" x14ac:dyDescent="0.25">
      <c r="A133" s="21">
        <f t="shared" si="12"/>
        <v>2.4027000000000056</v>
      </c>
      <c r="B133" s="5" t="s">
        <v>348</v>
      </c>
      <c r="C133" s="22" t="s">
        <v>408</v>
      </c>
      <c r="D133" s="6" t="s">
        <v>1030</v>
      </c>
      <c r="E133" s="5"/>
      <c r="F133" s="7" t="s">
        <v>5</v>
      </c>
      <c r="G133" s="7">
        <f t="shared" si="11"/>
        <v>1</v>
      </c>
      <c r="H133" s="7">
        <f t="shared" si="11"/>
        <v>0</v>
      </c>
      <c r="I133" s="7">
        <f t="shared" si="11"/>
        <v>0</v>
      </c>
      <c r="J133" s="7">
        <f t="shared" si="11"/>
        <v>0</v>
      </c>
      <c r="K133" s="7">
        <f t="shared" si="11"/>
        <v>0</v>
      </c>
      <c r="L133" s="6"/>
    </row>
    <row r="134" spans="1:12" outlineLevel="1" x14ac:dyDescent="0.25">
      <c r="A134" s="21">
        <f t="shared" si="12"/>
        <v>2.4028000000000058</v>
      </c>
      <c r="B134" s="24" t="s">
        <v>348</v>
      </c>
      <c r="C134" s="22" t="s">
        <v>385</v>
      </c>
      <c r="D134" s="6"/>
      <c r="E134" s="5"/>
      <c r="F134" s="7" t="s">
        <v>5</v>
      </c>
      <c r="G134" s="7">
        <f t="shared" si="11"/>
        <v>1</v>
      </c>
      <c r="H134" s="7">
        <f t="shared" si="11"/>
        <v>0</v>
      </c>
      <c r="I134" s="7">
        <f t="shared" si="11"/>
        <v>0</v>
      </c>
      <c r="J134" s="7">
        <f t="shared" si="11"/>
        <v>0</v>
      </c>
      <c r="K134" s="7">
        <f t="shared" si="11"/>
        <v>0</v>
      </c>
      <c r="L134" s="6"/>
    </row>
    <row r="135" spans="1:12" outlineLevel="1" x14ac:dyDescent="0.25">
      <c r="A135" s="21">
        <f t="shared" si="12"/>
        <v>2.402900000000006</v>
      </c>
      <c r="B135" s="24" t="s">
        <v>415</v>
      </c>
      <c r="C135" s="22" t="s">
        <v>409</v>
      </c>
      <c r="D135" s="6"/>
      <c r="E135" s="5"/>
      <c r="F135" s="7" t="s">
        <v>5</v>
      </c>
      <c r="G135" s="7">
        <f t="shared" si="11"/>
        <v>1</v>
      </c>
      <c r="H135" s="7">
        <f t="shared" si="11"/>
        <v>0</v>
      </c>
      <c r="I135" s="7">
        <f t="shared" si="11"/>
        <v>0</v>
      </c>
      <c r="J135" s="7">
        <f t="shared" si="11"/>
        <v>0</v>
      </c>
      <c r="K135" s="7">
        <f t="shared" si="11"/>
        <v>0</v>
      </c>
      <c r="L135" s="6"/>
    </row>
    <row r="136" spans="1:12" ht="38.25" outlineLevel="1" x14ac:dyDescent="0.25">
      <c r="A136" s="21">
        <f t="shared" si="12"/>
        <v>2.4030000000000062</v>
      </c>
      <c r="B136" s="25"/>
      <c r="C136" s="22" t="s">
        <v>410</v>
      </c>
      <c r="D136" s="167" t="s">
        <v>1035</v>
      </c>
      <c r="E136" s="5"/>
      <c r="F136" s="7" t="s">
        <v>7</v>
      </c>
      <c r="G136" s="7">
        <f t="shared" si="11"/>
        <v>0</v>
      </c>
      <c r="H136" s="7">
        <f t="shared" si="11"/>
        <v>0</v>
      </c>
      <c r="I136" s="7">
        <f t="shared" si="11"/>
        <v>0</v>
      </c>
      <c r="J136" s="7">
        <f t="shared" si="11"/>
        <v>1</v>
      </c>
      <c r="K136" s="7">
        <f t="shared" si="11"/>
        <v>0</v>
      </c>
      <c r="L136" s="6"/>
    </row>
    <row r="137" spans="1:12" outlineLevel="1" x14ac:dyDescent="0.25">
      <c r="A137" s="21">
        <f t="shared" si="12"/>
        <v>2.4031000000000065</v>
      </c>
      <c r="B137" s="25"/>
      <c r="C137" s="22" t="s">
        <v>411</v>
      </c>
      <c r="D137" s="112"/>
      <c r="E137" s="5"/>
      <c r="F137" s="7" t="s">
        <v>7</v>
      </c>
      <c r="G137" s="7">
        <f t="shared" si="11"/>
        <v>0</v>
      </c>
      <c r="H137" s="7">
        <f t="shared" si="11"/>
        <v>0</v>
      </c>
      <c r="I137" s="7">
        <f t="shared" si="11"/>
        <v>0</v>
      </c>
      <c r="J137" s="7">
        <f t="shared" si="11"/>
        <v>1</v>
      </c>
      <c r="K137" s="7">
        <f t="shared" si="11"/>
        <v>0</v>
      </c>
      <c r="L137" s="6"/>
    </row>
    <row r="138" spans="1:12" outlineLevel="1" x14ac:dyDescent="0.25">
      <c r="A138" s="21">
        <f t="shared" si="12"/>
        <v>2.4032000000000067</v>
      </c>
      <c r="B138" s="68" t="s">
        <v>416</v>
      </c>
      <c r="C138" s="22" t="s">
        <v>412</v>
      </c>
      <c r="D138" s="112"/>
      <c r="E138" s="5"/>
      <c r="F138" s="7" t="s">
        <v>7</v>
      </c>
      <c r="G138" s="7">
        <f t="shared" si="11"/>
        <v>0</v>
      </c>
      <c r="H138" s="7">
        <f t="shared" si="11"/>
        <v>0</v>
      </c>
      <c r="I138" s="7">
        <f t="shared" si="11"/>
        <v>0</v>
      </c>
      <c r="J138" s="7">
        <f t="shared" si="11"/>
        <v>1</v>
      </c>
      <c r="K138" s="7">
        <f t="shared" si="11"/>
        <v>0</v>
      </c>
      <c r="L138" s="6"/>
    </row>
    <row r="139" spans="1:12" outlineLevel="1" x14ac:dyDescent="0.25">
      <c r="A139" s="21">
        <f t="shared" si="12"/>
        <v>2.4033000000000069</v>
      </c>
      <c r="B139" s="69"/>
      <c r="C139" s="22" t="s">
        <v>411</v>
      </c>
      <c r="D139" s="112"/>
      <c r="E139" s="5"/>
      <c r="F139" s="7" t="s">
        <v>7</v>
      </c>
      <c r="G139" s="7">
        <f t="shared" si="11"/>
        <v>0</v>
      </c>
      <c r="H139" s="7">
        <f t="shared" si="11"/>
        <v>0</v>
      </c>
      <c r="I139" s="7">
        <f t="shared" si="11"/>
        <v>0</v>
      </c>
      <c r="J139" s="7">
        <f t="shared" si="11"/>
        <v>1</v>
      </c>
      <c r="K139" s="7">
        <f t="shared" si="11"/>
        <v>0</v>
      </c>
      <c r="L139" s="6"/>
    </row>
    <row r="140" spans="1:12" outlineLevel="1" x14ac:dyDescent="0.25">
      <c r="A140" s="21">
        <f t="shared" si="12"/>
        <v>2.4034000000000071</v>
      </c>
      <c r="B140" s="69" t="s">
        <v>413</v>
      </c>
      <c r="C140" s="22" t="s">
        <v>414</v>
      </c>
      <c r="D140" s="112"/>
      <c r="E140" s="5"/>
      <c r="F140" s="7" t="s">
        <v>7</v>
      </c>
      <c r="G140" s="7">
        <f t="shared" si="11"/>
        <v>0</v>
      </c>
      <c r="H140" s="7">
        <f t="shared" si="11"/>
        <v>0</v>
      </c>
      <c r="I140" s="7">
        <f t="shared" si="11"/>
        <v>0</v>
      </c>
      <c r="J140" s="7">
        <f t="shared" si="11"/>
        <v>1</v>
      </c>
      <c r="K140" s="7">
        <f t="shared" si="11"/>
        <v>0</v>
      </c>
      <c r="L140" s="6"/>
    </row>
    <row r="141" spans="1:12" outlineLevel="1" x14ac:dyDescent="0.25">
      <c r="A141" s="21">
        <f t="shared" si="12"/>
        <v>2.4035000000000073</v>
      </c>
      <c r="B141" s="68" t="s">
        <v>417</v>
      </c>
      <c r="C141" s="22" t="s">
        <v>1033</v>
      </c>
      <c r="D141" s="165"/>
      <c r="E141" s="5"/>
      <c r="F141" s="7" t="s">
        <v>7</v>
      </c>
      <c r="G141" s="7">
        <f t="shared" si="11"/>
        <v>0</v>
      </c>
      <c r="H141" s="7">
        <f t="shared" si="11"/>
        <v>0</v>
      </c>
      <c r="I141" s="7">
        <f t="shared" si="11"/>
        <v>0</v>
      </c>
      <c r="J141" s="7">
        <f t="shared" si="11"/>
        <v>1</v>
      </c>
      <c r="K141" s="7">
        <f t="shared" si="11"/>
        <v>0</v>
      </c>
      <c r="L141" s="6"/>
    </row>
    <row r="142" spans="1:12" ht="39" outlineLevel="1" x14ac:dyDescent="0.25">
      <c r="A142" s="21">
        <f t="shared" si="12"/>
        <v>2.4036000000000075</v>
      </c>
      <c r="B142" s="69" t="s">
        <v>418</v>
      </c>
      <c r="C142" s="22" t="s">
        <v>411</v>
      </c>
      <c r="D142" s="168" t="s">
        <v>1039</v>
      </c>
      <c r="E142" s="5"/>
      <c r="F142" s="7" t="s">
        <v>7</v>
      </c>
      <c r="G142" s="7">
        <f t="shared" si="11"/>
        <v>0</v>
      </c>
      <c r="H142" s="7">
        <f t="shared" si="11"/>
        <v>0</v>
      </c>
      <c r="I142" s="7">
        <f t="shared" si="11"/>
        <v>0</v>
      </c>
      <c r="J142" s="7">
        <f t="shared" si="11"/>
        <v>1</v>
      </c>
      <c r="K142" s="7">
        <f t="shared" si="11"/>
        <v>0</v>
      </c>
      <c r="L142" s="6"/>
    </row>
    <row r="143" spans="1:12" outlineLevel="1" x14ac:dyDescent="0.25">
      <c r="A143" s="21">
        <f t="shared" si="12"/>
        <v>2.4037000000000077</v>
      </c>
      <c r="B143" s="69"/>
      <c r="C143" s="22" t="s">
        <v>414</v>
      </c>
      <c r="D143" s="112"/>
      <c r="E143" s="5"/>
      <c r="F143" s="7" t="s">
        <v>7</v>
      </c>
      <c r="G143" s="7">
        <f t="shared" si="11"/>
        <v>0</v>
      </c>
      <c r="H143" s="7">
        <f t="shared" si="11"/>
        <v>0</v>
      </c>
      <c r="I143" s="7">
        <f t="shared" si="11"/>
        <v>0</v>
      </c>
      <c r="J143" s="7">
        <f t="shared" si="11"/>
        <v>1</v>
      </c>
      <c r="K143" s="7">
        <f t="shared" si="11"/>
        <v>0</v>
      </c>
      <c r="L143" s="6"/>
    </row>
    <row r="144" spans="1:12" ht="25.5" outlineLevel="1" x14ac:dyDescent="0.25">
      <c r="A144" s="21">
        <f t="shared" si="12"/>
        <v>2.4038000000000079</v>
      </c>
      <c r="B144" s="68" t="s">
        <v>419</v>
      </c>
      <c r="C144" s="22" t="s">
        <v>1034</v>
      </c>
      <c r="D144" s="112" t="s">
        <v>1037</v>
      </c>
      <c r="E144" s="5"/>
      <c r="F144" s="7" t="s">
        <v>7</v>
      </c>
      <c r="G144" s="7">
        <f t="shared" si="11"/>
        <v>0</v>
      </c>
      <c r="H144" s="7">
        <f t="shared" si="11"/>
        <v>0</v>
      </c>
      <c r="I144" s="7">
        <f t="shared" si="11"/>
        <v>0</v>
      </c>
      <c r="J144" s="7">
        <f t="shared" si="11"/>
        <v>1</v>
      </c>
      <c r="K144" s="7">
        <f t="shared" si="11"/>
        <v>0</v>
      </c>
      <c r="L144" s="6"/>
    </row>
    <row r="145" spans="1:12" outlineLevel="1" x14ac:dyDescent="0.25">
      <c r="A145" s="21">
        <f t="shared" si="12"/>
        <v>2.4039000000000081</v>
      </c>
      <c r="B145" s="70"/>
      <c r="C145" s="22" t="s">
        <v>411</v>
      </c>
      <c r="D145" s="112"/>
      <c r="E145" s="5"/>
      <c r="F145" s="7" t="s">
        <v>7</v>
      </c>
      <c r="G145" s="7">
        <f t="shared" si="11"/>
        <v>0</v>
      </c>
      <c r="H145" s="7">
        <f t="shared" si="11"/>
        <v>0</v>
      </c>
      <c r="I145" s="7">
        <f t="shared" si="11"/>
        <v>0</v>
      </c>
      <c r="J145" s="7">
        <f t="shared" si="11"/>
        <v>1</v>
      </c>
      <c r="K145" s="7">
        <f t="shared" si="11"/>
        <v>0</v>
      </c>
      <c r="L145" s="6"/>
    </row>
    <row r="146" spans="1:12" ht="39" outlineLevel="1" x14ac:dyDescent="0.25">
      <c r="A146" s="21">
        <f t="shared" si="12"/>
        <v>2.4040000000000084</v>
      </c>
      <c r="B146" s="69" t="s">
        <v>421</v>
      </c>
      <c r="C146" s="22" t="s">
        <v>1036</v>
      </c>
      <c r="D146" s="166" t="s">
        <v>1040</v>
      </c>
      <c r="E146" s="5"/>
      <c r="F146" s="7" t="s">
        <v>7</v>
      </c>
      <c r="G146" s="7">
        <f t="shared" si="11"/>
        <v>0</v>
      </c>
      <c r="H146" s="7">
        <f t="shared" si="11"/>
        <v>0</v>
      </c>
      <c r="I146" s="7">
        <f t="shared" si="11"/>
        <v>0</v>
      </c>
      <c r="J146" s="7">
        <f t="shared" si="11"/>
        <v>1</v>
      </c>
      <c r="K146" s="7">
        <f t="shared" si="11"/>
        <v>0</v>
      </c>
      <c r="L146" s="6"/>
    </row>
    <row r="147" spans="1:12" outlineLevel="1" x14ac:dyDescent="0.25">
      <c r="A147" s="21">
        <f t="shared" si="12"/>
        <v>2.4041000000000086</v>
      </c>
      <c r="B147" s="69" t="s">
        <v>422</v>
      </c>
      <c r="C147" s="22" t="s">
        <v>411</v>
      </c>
      <c r="D147" s="112"/>
      <c r="E147" s="5"/>
      <c r="F147" s="7" t="s">
        <v>7</v>
      </c>
      <c r="G147" s="7">
        <f t="shared" si="11"/>
        <v>0</v>
      </c>
      <c r="H147" s="7">
        <f t="shared" si="11"/>
        <v>0</v>
      </c>
      <c r="I147" s="7">
        <f t="shared" si="11"/>
        <v>0</v>
      </c>
      <c r="J147" s="7">
        <f t="shared" si="11"/>
        <v>1</v>
      </c>
      <c r="K147" s="7">
        <f t="shared" si="11"/>
        <v>0</v>
      </c>
      <c r="L147" s="6"/>
    </row>
    <row r="148" spans="1:12" outlineLevel="1" x14ac:dyDescent="0.25">
      <c r="A148" s="21">
        <f t="shared" si="12"/>
        <v>2.4042000000000088</v>
      </c>
      <c r="B148" s="69"/>
      <c r="C148" s="22" t="s">
        <v>423</v>
      </c>
      <c r="D148" s="103" t="s">
        <v>1041</v>
      </c>
      <c r="E148" s="5"/>
      <c r="F148" s="7" t="s">
        <v>7</v>
      </c>
      <c r="G148" s="7">
        <f t="shared" si="11"/>
        <v>0</v>
      </c>
      <c r="H148" s="7">
        <f t="shared" si="11"/>
        <v>0</v>
      </c>
      <c r="I148" s="7">
        <f t="shared" si="11"/>
        <v>0</v>
      </c>
      <c r="J148" s="7">
        <f t="shared" si="11"/>
        <v>1</v>
      </c>
      <c r="K148" s="7">
        <f t="shared" si="11"/>
        <v>0</v>
      </c>
      <c r="L148" s="6"/>
    </row>
    <row r="149" spans="1:12" outlineLevel="1" x14ac:dyDescent="0.25">
      <c r="A149" s="21">
        <f t="shared" si="12"/>
        <v>2.404300000000009</v>
      </c>
      <c r="B149" s="90" t="s">
        <v>465</v>
      </c>
      <c r="C149" s="22" t="s">
        <v>405</v>
      </c>
      <c r="D149" s="112"/>
      <c r="E149" s="5"/>
      <c r="F149" s="7" t="s">
        <v>7</v>
      </c>
      <c r="G149" s="7">
        <f t="shared" si="11"/>
        <v>0</v>
      </c>
      <c r="H149" s="7">
        <f t="shared" si="11"/>
        <v>0</v>
      </c>
      <c r="I149" s="7">
        <f t="shared" si="11"/>
        <v>0</v>
      </c>
      <c r="J149" s="7">
        <f t="shared" si="11"/>
        <v>1</v>
      </c>
      <c r="K149" s="7">
        <f t="shared" si="11"/>
        <v>0</v>
      </c>
      <c r="L149" s="6"/>
    </row>
    <row r="150" spans="1:12" ht="38.25" outlineLevel="1" x14ac:dyDescent="0.25">
      <c r="A150" s="21">
        <f t="shared" si="12"/>
        <v>2.4044000000000092</v>
      </c>
      <c r="B150" s="91" t="s">
        <v>466</v>
      </c>
      <c r="C150" s="89" t="s">
        <v>475</v>
      </c>
      <c r="D150" s="103" t="s">
        <v>1038</v>
      </c>
      <c r="E150" s="5"/>
      <c r="F150" s="7" t="s">
        <v>7</v>
      </c>
      <c r="G150" s="7">
        <f t="shared" si="11"/>
        <v>0</v>
      </c>
      <c r="H150" s="7">
        <f t="shared" si="11"/>
        <v>0</v>
      </c>
      <c r="I150" s="7">
        <f t="shared" si="11"/>
        <v>0</v>
      </c>
      <c r="J150" s="7">
        <f t="shared" si="11"/>
        <v>1</v>
      </c>
      <c r="K150" s="7">
        <f t="shared" si="11"/>
        <v>0</v>
      </c>
      <c r="L150" s="6"/>
    </row>
    <row r="151" spans="1:12" outlineLevel="1" x14ac:dyDescent="0.25">
      <c r="A151" s="21">
        <f t="shared" si="12"/>
        <v>2.4045000000000094</v>
      </c>
      <c r="B151" s="91" t="s">
        <v>467</v>
      </c>
      <c r="C151" s="89" t="s">
        <v>460</v>
      </c>
      <c r="D151" s="6"/>
      <c r="E151" s="5"/>
      <c r="F151" s="7" t="s">
        <v>7</v>
      </c>
      <c r="G151" s="7">
        <f t="shared" si="11"/>
        <v>0</v>
      </c>
      <c r="H151" s="7">
        <f t="shared" si="11"/>
        <v>0</v>
      </c>
      <c r="I151" s="7">
        <f t="shared" si="11"/>
        <v>0</v>
      </c>
      <c r="J151" s="7">
        <f t="shared" si="11"/>
        <v>1</v>
      </c>
      <c r="K151" s="7">
        <f t="shared" si="11"/>
        <v>0</v>
      </c>
      <c r="L151" s="6"/>
    </row>
    <row r="152" spans="1:12" outlineLevel="1" x14ac:dyDescent="0.25">
      <c r="A152" s="21">
        <f t="shared" si="12"/>
        <v>2.4046000000000096</v>
      </c>
      <c r="B152" s="91" t="s">
        <v>468</v>
      </c>
      <c r="C152" s="22" t="s">
        <v>476</v>
      </c>
      <c r="D152" s="6"/>
      <c r="E152" s="5"/>
      <c r="F152" s="7" t="s">
        <v>7</v>
      </c>
      <c r="G152" s="7">
        <f t="shared" si="11"/>
        <v>0</v>
      </c>
      <c r="H152" s="7">
        <f t="shared" si="11"/>
        <v>0</v>
      </c>
      <c r="I152" s="7">
        <f t="shared" si="11"/>
        <v>0</v>
      </c>
      <c r="J152" s="7">
        <f t="shared" si="11"/>
        <v>1</v>
      </c>
      <c r="K152" s="7">
        <f t="shared" si="11"/>
        <v>0</v>
      </c>
      <c r="L152" s="6"/>
    </row>
    <row r="153" spans="1:12" ht="25.5" outlineLevel="1" x14ac:dyDescent="0.25">
      <c r="A153" s="21">
        <f t="shared" si="12"/>
        <v>2.4047000000000098</v>
      </c>
      <c r="B153" s="91" t="s">
        <v>469</v>
      </c>
      <c r="C153" s="22" t="s">
        <v>477</v>
      </c>
      <c r="D153" s="6"/>
      <c r="E153" s="5"/>
      <c r="F153" s="7" t="s">
        <v>7</v>
      </c>
      <c r="G153" s="7">
        <f t="shared" si="11"/>
        <v>0</v>
      </c>
      <c r="H153" s="7">
        <f t="shared" si="11"/>
        <v>0</v>
      </c>
      <c r="I153" s="7">
        <f t="shared" si="11"/>
        <v>0</v>
      </c>
      <c r="J153" s="7">
        <f t="shared" si="11"/>
        <v>1</v>
      </c>
      <c r="K153" s="7">
        <f t="shared" si="11"/>
        <v>0</v>
      </c>
      <c r="L153" s="6"/>
    </row>
    <row r="154" spans="1:12" outlineLevel="1" x14ac:dyDescent="0.25">
      <c r="A154" s="21">
        <f t="shared" si="12"/>
        <v>2.40480000000001</v>
      </c>
      <c r="B154" s="91" t="s">
        <v>470</v>
      </c>
      <c r="C154" s="22" t="s">
        <v>478</v>
      </c>
      <c r="D154" s="6"/>
      <c r="E154" s="5"/>
      <c r="F154" s="7" t="s">
        <v>7</v>
      </c>
      <c r="G154" s="7">
        <f t="shared" si="11"/>
        <v>0</v>
      </c>
      <c r="H154" s="7">
        <f t="shared" si="11"/>
        <v>0</v>
      </c>
      <c r="I154" s="7">
        <f t="shared" si="11"/>
        <v>0</v>
      </c>
      <c r="J154" s="7">
        <f t="shared" si="11"/>
        <v>1</v>
      </c>
      <c r="K154" s="7">
        <f t="shared" si="11"/>
        <v>0</v>
      </c>
      <c r="L154" s="6"/>
    </row>
    <row r="155" spans="1:12" ht="25.5" outlineLevel="1" x14ac:dyDescent="0.25">
      <c r="A155" s="21">
        <f t="shared" si="12"/>
        <v>2.4049000000000103</v>
      </c>
      <c r="B155" s="91" t="s">
        <v>471</v>
      </c>
      <c r="C155" s="22" t="s">
        <v>479</v>
      </c>
      <c r="D155" s="6" t="s">
        <v>1020</v>
      </c>
      <c r="E155" s="5"/>
      <c r="F155" s="7" t="s">
        <v>7</v>
      </c>
      <c r="G155" s="7">
        <f t="shared" si="11"/>
        <v>0</v>
      </c>
      <c r="H155" s="7">
        <f t="shared" si="11"/>
        <v>0</v>
      </c>
      <c r="I155" s="7">
        <f t="shared" si="11"/>
        <v>0</v>
      </c>
      <c r="J155" s="7">
        <f t="shared" si="11"/>
        <v>1</v>
      </c>
      <c r="K155" s="7">
        <f t="shared" si="11"/>
        <v>0</v>
      </c>
      <c r="L155" s="6"/>
    </row>
    <row r="156" spans="1:12" outlineLevel="1" x14ac:dyDescent="0.25">
      <c r="A156" s="21">
        <f t="shared" si="12"/>
        <v>2.4050000000000105</v>
      </c>
      <c r="B156" s="91" t="s">
        <v>472</v>
      </c>
      <c r="C156" s="22" t="s">
        <v>480</v>
      </c>
      <c r="D156" s="6" t="s">
        <v>1031</v>
      </c>
      <c r="E156" s="5"/>
      <c r="F156" s="7" t="s">
        <v>7</v>
      </c>
      <c r="G156" s="7">
        <f t="shared" si="11"/>
        <v>0</v>
      </c>
      <c r="H156" s="7">
        <f t="shared" si="11"/>
        <v>0</v>
      </c>
      <c r="I156" s="7">
        <f t="shared" si="11"/>
        <v>0</v>
      </c>
      <c r="J156" s="7">
        <f t="shared" si="11"/>
        <v>1</v>
      </c>
      <c r="K156" s="7">
        <f t="shared" si="11"/>
        <v>0</v>
      </c>
      <c r="L156" s="6"/>
    </row>
    <row r="157" spans="1:12" outlineLevel="1" x14ac:dyDescent="0.25">
      <c r="A157" s="21">
        <f t="shared" si="12"/>
        <v>2.4051000000000107</v>
      </c>
      <c r="B157" s="91" t="s">
        <v>473</v>
      </c>
      <c r="C157" s="22" t="s">
        <v>481</v>
      </c>
      <c r="D157" s="6"/>
      <c r="E157" s="5"/>
      <c r="F157" s="7" t="s">
        <v>7</v>
      </c>
      <c r="G157" s="7">
        <f t="shared" si="11"/>
        <v>0</v>
      </c>
      <c r="H157" s="7">
        <f t="shared" si="11"/>
        <v>0</v>
      </c>
      <c r="I157" s="7">
        <f t="shared" si="11"/>
        <v>0</v>
      </c>
      <c r="J157" s="7">
        <f t="shared" si="11"/>
        <v>1</v>
      </c>
      <c r="K157" s="7">
        <f t="shared" si="11"/>
        <v>0</v>
      </c>
      <c r="L157" s="6"/>
    </row>
    <row r="158" spans="1:12" outlineLevel="1" x14ac:dyDescent="0.25">
      <c r="A158" s="21">
        <f t="shared" si="12"/>
        <v>2.4052000000000109</v>
      </c>
      <c r="B158" s="91" t="s">
        <v>474</v>
      </c>
      <c r="C158" s="22" t="s">
        <v>436</v>
      </c>
      <c r="D158" s="6"/>
      <c r="E158" s="5"/>
      <c r="F158" s="7" t="s">
        <v>7</v>
      </c>
      <c r="G158" s="7">
        <f t="shared" ref="G158:K164" si="13">IF($F158=G$1,1,0)</f>
        <v>0</v>
      </c>
      <c r="H158" s="7">
        <f t="shared" si="13"/>
        <v>0</v>
      </c>
      <c r="I158" s="7">
        <f t="shared" si="13"/>
        <v>0</v>
      </c>
      <c r="J158" s="7">
        <f t="shared" si="13"/>
        <v>1</v>
      </c>
      <c r="K158" s="7">
        <f t="shared" si="13"/>
        <v>0</v>
      </c>
      <c r="L158" s="6"/>
    </row>
    <row r="159" spans="1:12" outlineLevel="1" x14ac:dyDescent="0.25">
      <c r="A159" s="21">
        <f t="shared" si="12"/>
        <v>2.4053000000000111</v>
      </c>
      <c r="B159" s="91" t="s">
        <v>482</v>
      </c>
      <c r="C159" s="22" t="s">
        <v>483</v>
      </c>
      <c r="D159" s="6"/>
      <c r="E159" s="5"/>
      <c r="F159" s="7" t="s">
        <v>7</v>
      </c>
      <c r="G159" s="7">
        <f t="shared" si="13"/>
        <v>0</v>
      </c>
      <c r="H159" s="7">
        <f t="shared" si="13"/>
        <v>0</v>
      </c>
      <c r="I159" s="7">
        <f t="shared" si="13"/>
        <v>0</v>
      </c>
      <c r="J159" s="7">
        <f t="shared" si="13"/>
        <v>1</v>
      </c>
      <c r="K159" s="7">
        <f t="shared" si="13"/>
        <v>0</v>
      </c>
      <c r="L159" s="6"/>
    </row>
    <row r="160" spans="1:12" outlineLevel="1" x14ac:dyDescent="0.25">
      <c r="A160" s="21">
        <f t="shared" si="12"/>
        <v>2.4054000000000113</v>
      </c>
      <c r="B160" s="92" t="s">
        <v>484</v>
      </c>
      <c r="C160" s="22" t="s">
        <v>485</v>
      </c>
      <c r="D160" s="6"/>
      <c r="E160" s="5"/>
      <c r="F160" s="7" t="s">
        <v>5</v>
      </c>
      <c r="G160" s="7">
        <f t="shared" si="13"/>
        <v>1</v>
      </c>
      <c r="H160" s="7">
        <f t="shared" si="13"/>
        <v>0</v>
      </c>
      <c r="I160" s="7">
        <f t="shared" si="13"/>
        <v>0</v>
      </c>
      <c r="J160" s="7">
        <f t="shared" si="13"/>
        <v>0</v>
      </c>
      <c r="K160" s="7">
        <f t="shared" si="13"/>
        <v>0</v>
      </c>
      <c r="L160" s="6"/>
    </row>
    <row r="161" spans="1:12" outlineLevel="1" x14ac:dyDescent="0.25">
      <c r="A161" s="21">
        <f t="shared" si="12"/>
        <v>2.4055000000000115</v>
      </c>
      <c r="B161" s="26" t="s">
        <v>486</v>
      </c>
      <c r="C161" s="22" t="s">
        <v>487</v>
      </c>
      <c r="D161" s="6"/>
      <c r="E161" s="5"/>
      <c r="F161" s="7" t="s">
        <v>5</v>
      </c>
      <c r="G161" s="7">
        <f t="shared" si="13"/>
        <v>1</v>
      </c>
      <c r="H161" s="7">
        <f t="shared" si="13"/>
        <v>0</v>
      </c>
      <c r="I161" s="7">
        <f t="shared" si="13"/>
        <v>0</v>
      </c>
      <c r="J161" s="7">
        <f t="shared" si="13"/>
        <v>0</v>
      </c>
      <c r="K161" s="7">
        <f t="shared" si="13"/>
        <v>0</v>
      </c>
      <c r="L161" s="6"/>
    </row>
    <row r="162" spans="1:12" outlineLevel="1" x14ac:dyDescent="0.25">
      <c r="A162" s="21">
        <f t="shared" si="12"/>
        <v>2.4056000000000117</v>
      </c>
      <c r="B162" s="5" t="s">
        <v>482</v>
      </c>
      <c r="C162" s="22" t="s">
        <v>488</v>
      </c>
      <c r="D162" s="6"/>
      <c r="E162" s="5"/>
      <c r="F162" s="7" t="s">
        <v>5</v>
      </c>
      <c r="G162" s="7">
        <f t="shared" si="13"/>
        <v>1</v>
      </c>
      <c r="H162" s="7">
        <f t="shared" si="13"/>
        <v>0</v>
      </c>
      <c r="I162" s="7">
        <f t="shared" si="13"/>
        <v>0</v>
      </c>
      <c r="J162" s="7">
        <f t="shared" si="13"/>
        <v>0</v>
      </c>
      <c r="K162" s="7">
        <f t="shared" si="13"/>
        <v>0</v>
      </c>
      <c r="L162" s="6"/>
    </row>
    <row r="163" spans="1:12" outlineLevel="1" x14ac:dyDescent="0.25">
      <c r="A163" s="21">
        <f t="shared" si="12"/>
        <v>2.4057000000000119</v>
      </c>
      <c r="B163" s="5" t="s">
        <v>489</v>
      </c>
      <c r="C163" s="22" t="s">
        <v>490</v>
      </c>
      <c r="D163" s="6"/>
      <c r="E163" s="5"/>
      <c r="F163" s="7" t="s">
        <v>5</v>
      </c>
      <c r="G163" s="7">
        <f t="shared" si="13"/>
        <v>1</v>
      </c>
      <c r="H163" s="7">
        <f t="shared" si="13"/>
        <v>0</v>
      </c>
      <c r="I163" s="7">
        <f t="shared" si="13"/>
        <v>0</v>
      </c>
      <c r="J163" s="7">
        <f t="shared" si="13"/>
        <v>0</v>
      </c>
      <c r="K163" s="7">
        <f t="shared" si="13"/>
        <v>0</v>
      </c>
      <c r="L163" s="6"/>
    </row>
    <row r="164" spans="1:12" outlineLevel="1" x14ac:dyDescent="0.25">
      <c r="A164" s="21">
        <f t="shared" si="12"/>
        <v>2.4058000000000122</v>
      </c>
      <c r="B164" s="5" t="s">
        <v>491</v>
      </c>
      <c r="C164" s="22"/>
      <c r="D164" s="6"/>
      <c r="E164" s="5"/>
      <c r="F164" s="7" t="s">
        <v>5</v>
      </c>
      <c r="G164" s="7">
        <f t="shared" si="13"/>
        <v>1</v>
      </c>
      <c r="H164" s="7">
        <f t="shared" si="13"/>
        <v>0</v>
      </c>
      <c r="I164" s="7">
        <f t="shared" si="13"/>
        <v>0</v>
      </c>
      <c r="J164" s="7">
        <f t="shared" si="13"/>
        <v>0</v>
      </c>
      <c r="K164" s="7">
        <f t="shared" si="13"/>
        <v>0</v>
      </c>
      <c r="L164" s="6"/>
    </row>
    <row r="165" spans="1:12" s="19" customFormat="1" x14ac:dyDescent="0.25">
      <c r="A165" s="78">
        <v>2.5</v>
      </c>
      <c r="B165" s="79" t="s">
        <v>507</v>
      </c>
      <c r="C165" s="80"/>
      <c r="D165" s="81"/>
      <c r="E165" s="81"/>
      <c r="F165" s="82"/>
      <c r="G165" s="82"/>
      <c r="H165" s="82"/>
      <c r="I165" s="82"/>
      <c r="J165" s="82"/>
      <c r="K165" s="82"/>
      <c r="L165" s="81"/>
    </row>
    <row r="166" spans="1:12" outlineLevel="1" x14ac:dyDescent="0.25">
      <c r="A166" s="21">
        <f>A165+0.0001</f>
        <v>2.5001000000000002</v>
      </c>
      <c r="B166" s="5" t="s">
        <v>343</v>
      </c>
      <c r="C166" s="22" t="s">
        <v>492</v>
      </c>
      <c r="D166" s="6"/>
      <c r="E166" s="5"/>
      <c r="F166" s="7"/>
      <c r="G166" s="7">
        <f t="shared" ref="G166:K168" si="14">IF($F166=G$1,1,0)</f>
        <v>0</v>
      </c>
      <c r="H166" s="7">
        <f t="shared" si="14"/>
        <v>0</v>
      </c>
      <c r="I166" s="7">
        <f t="shared" si="14"/>
        <v>1</v>
      </c>
      <c r="J166" s="7">
        <f t="shared" si="14"/>
        <v>0</v>
      </c>
      <c r="K166" s="7">
        <f t="shared" si="14"/>
        <v>0</v>
      </c>
      <c r="L166" s="6"/>
    </row>
    <row r="167" spans="1:12" outlineLevel="1" x14ac:dyDescent="0.25">
      <c r="A167" s="21">
        <f>A166+0.0001</f>
        <v>2.5002000000000004</v>
      </c>
      <c r="B167" s="5"/>
      <c r="C167" s="22" t="s">
        <v>493</v>
      </c>
      <c r="D167" s="6"/>
      <c r="E167" s="5"/>
      <c r="F167" s="7"/>
      <c r="G167" s="7">
        <f t="shared" si="14"/>
        <v>0</v>
      </c>
      <c r="H167" s="7">
        <f t="shared" si="14"/>
        <v>0</v>
      </c>
      <c r="I167" s="7">
        <f t="shared" si="14"/>
        <v>1</v>
      </c>
      <c r="J167" s="7">
        <f t="shared" si="14"/>
        <v>0</v>
      </c>
      <c r="K167" s="7">
        <f t="shared" si="14"/>
        <v>0</v>
      </c>
      <c r="L167" s="6"/>
    </row>
    <row r="168" spans="1:12" outlineLevel="1" x14ac:dyDescent="0.25">
      <c r="A168" s="21">
        <f>A167+0.0001</f>
        <v>2.5003000000000006</v>
      </c>
      <c r="B168" s="5" t="s">
        <v>482</v>
      </c>
      <c r="C168" s="22" t="s">
        <v>494</v>
      </c>
      <c r="D168" s="6"/>
      <c r="E168" s="5"/>
      <c r="F168" s="7"/>
      <c r="G168" s="7">
        <f t="shared" si="14"/>
        <v>0</v>
      </c>
      <c r="H168" s="7">
        <f t="shared" si="14"/>
        <v>0</v>
      </c>
      <c r="I168" s="7">
        <f t="shared" si="14"/>
        <v>1</v>
      </c>
      <c r="J168" s="7">
        <f t="shared" si="14"/>
        <v>0</v>
      </c>
      <c r="K168" s="7">
        <f t="shared" si="14"/>
        <v>0</v>
      </c>
      <c r="L168" s="6"/>
    </row>
    <row r="169" spans="1:12" s="19" customFormat="1" x14ac:dyDescent="0.25">
      <c r="A169" s="15">
        <v>3</v>
      </c>
      <c r="B169" s="71" t="s">
        <v>514</v>
      </c>
      <c r="C169" s="35"/>
      <c r="D169" s="36"/>
      <c r="E169" s="36"/>
      <c r="F169" s="37"/>
      <c r="G169" s="37"/>
      <c r="H169" s="37"/>
      <c r="I169" s="37"/>
      <c r="J169" s="37"/>
      <c r="K169" s="37"/>
      <c r="L169" s="36"/>
    </row>
    <row r="170" spans="1:12" outlineLevel="1" x14ac:dyDescent="0.25">
      <c r="A170" s="4">
        <f t="shared" ref="A170:A177" si="15">A169+0.0001</f>
        <v>3.0001000000000002</v>
      </c>
      <c r="B170" s="72" t="s">
        <v>18</v>
      </c>
      <c r="C170" s="22" t="s">
        <v>39</v>
      </c>
      <c r="D170" s="6"/>
      <c r="E170" s="5"/>
      <c r="F170" s="7"/>
      <c r="G170" s="7">
        <f t="shared" ref="G170:K177" si="16">IF($F170=G$1,1,0)</f>
        <v>0</v>
      </c>
      <c r="H170" s="7">
        <f t="shared" si="16"/>
        <v>0</v>
      </c>
      <c r="I170" s="7">
        <f t="shared" si="16"/>
        <v>1</v>
      </c>
      <c r="J170" s="7">
        <f t="shared" si="16"/>
        <v>0</v>
      </c>
      <c r="K170" s="7">
        <f t="shared" si="16"/>
        <v>0</v>
      </c>
      <c r="L170" s="6"/>
    </row>
    <row r="171" spans="1:12" outlineLevel="1" x14ac:dyDescent="0.25">
      <c r="A171" s="4">
        <f t="shared" si="15"/>
        <v>3.0002000000000004</v>
      </c>
      <c r="B171" s="53" t="s">
        <v>40</v>
      </c>
      <c r="C171" s="22" t="s">
        <v>19</v>
      </c>
      <c r="D171" s="6"/>
      <c r="E171" s="5"/>
      <c r="F171" s="7"/>
      <c r="G171" s="7">
        <f t="shared" si="16"/>
        <v>0</v>
      </c>
      <c r="H171" s="7">
        <f t="shared" si="16"/>
        <v>0</v>
      </c>
      <c r="I171" s="7">
        <f t="shared" si="16"/>
        <v>1</v>
      </c>
      <c r="J171" s="7">
        <f t="shared" si="16"/>
        <v>0</v>
      </c>
      <c r="K171" s="7">
        <f t="shared" si="16"/>
        <v>0</v>
      </c>
      <c r="L171" s="6"/>
    </row>
    <row r="172" spans="1:12" outlineLevel="1" x14ac:dyDescent="0.25">
      <c r="A172" s="4">
        <f t="shared" si="15"/>
        <v>3.0003000000000006</v>
      </c>
      <c r="B172" s="53" t="s">
        <v>41</v>
      </c>
      <c r="C172" s="22"/>
      <c r="D172" s="6"/>
      <c r="E172" s="5"/>
      <c r="F172" s="7"/>
      <c r="G172" s="7">
        <f t="shared" si="16"/>
        <v>0</v>
      </c>
      <c r="H172" s="7">
        <f t="shared" si="16"/>
        <v>0</v>
      </c>
      <c r="I172" s="7">
        <f t="shared" si="16"/>
        <v>1</v>
      </c>
      <c r="J172" s="7">
        <f t="shared" si="16"/>
        <v>0</v>
      </c>
      <c r="K172" s="7">
        <f t="shared" si="16"/>
        <v>0</v>
      </c>
      <c r="L172" s="6"/>
    </row>
    <row r="173" spans="1:12" ht="25.5" outlineLevel="1" x14ac:dyDescent="0.25">
      <c r="A173" s="4">
        <f t="shared" si="15"/>
        <v>3.0004000000000008</v>
      </c>
      <c r="B173" s="31" t="s">
        <v>424</v>
      </c>
      <c r="C173" s="23" t="s">
        <v>42</v>
      </c>
      <c r="D173" s="6"/>
      <c r="E173" s="6"/>
      <c r="F173" s="7"/>
      <c r="G173" s="7">
        <f t="shared" si="16"/>
        <v>0</v>
      </c>
      <c r="H173" s="7">
        <f t="shared" si="16"/>
        <v>0</v>
      </c>
      <c r="I173" s="7">
        <f t="shared" si="16"/>
        <v>1</v>
      </c>
      <c r="J173" s="7">
        <f t="shared" si="16"/>
        <v>0</v>
      </c>
      <c r="K173" s="7">
        <f t="shared" si="16"/>
        <v>0</v>
      </c>
      <c r="L173" s="6"/>
    </row>
    <row r="174" spans="1:12" ht="25.5" outlineLevel="1" x14ac:dyDescent="0.25">
      <c r="A174" s="4">
        <f t="shared" si="15"/>
        <v>3.0005000000000011</v>
      </c>
      <c r="B174" s="53"/>
      <c r="C174" s="23" t="s">
        <v>43</v>
      </c>
      <c r="D174" s="6"/>
      <c r="E174" s="6"/>
      <c r="F174" s="7"/>
      <c r="G174" s="7">
        <f t="shared" si="16"/>
        <v>0</v>
      </c>
      <c r="H174" s="7">
        <f t="shared" si="16"/>
        <v>0</v>
      </c>
      <c r="I174" s="7">
        <f t="shared" si="16"/>
        <v>1</v>
      </c>
      <c r="J174" s="7">
        <f t="shared" si="16"/>
        <v>0</v>
      </c>
      <c r="K174" s="7">
        <f t="shared" si="16"/>
        <v>0</v>
      </c>
      <c r="L174" s="6"/>
    </row>
    <row r="175" spans="1:12" outlineLevel="1" x14ac:dyDescent="0.25">
      <c r="A175" s="4">
        <f t="shared" si="15"/>
        <v>3.0006000000000013</v>
      </c>
      <c r="B175" s="72" t="s">
        <v>509</v>
      </c>
      <c r="C175" s="94" t="s">
        <v>515</v>
      </c>
      <c r="D175" s="6"/>
      <c r="E175" s="5"/>
      <c r="F175" s="7"/>
      <c r="G175" s="7">
        <f t="shared" si="16"/>
        <v>0</v>
      </c>
      <c r="H175" s="7">
        <f t="shared" si="16"/>
        <v>0</v>
      </c>
      <c r="I175" s="7">
        <f t="shared" si="16"/>
        <v>1</v>
      </c>
      <c r="J175" s="7">
        <f t="shared" si="16"/>
        <v>0</v>
      </c>
      <c r="K175" s="7">
        <f t="shared" si="16"/>
        <v>0</v>
      </c>
      <c r="L175" s="6"/>
    </row>
    <row r="176" spans="1:12" outlineLevel="1" x14ac:dyDescent="0.25">
      <c r="A176" s="4">
        <f t="shared" si="15"/>
        <v>3.0007000000000015</v>
      </c>
      <c r="B176" s="53" t="s">
        <v>40</v>
      </c>
      <c r="C176" s="22"/>
      <c r="D176" s="6"/>
      <c r="E176" s="5"/>
      <c r="F176" s="7"/>
      <c r="G176" s="7">
        <f t="shared" si="16"/>
        <v>0</v>
      </c>
      <c r="H176" s="7">
        <f t="shared" si="16"/>
        <v>0</v>
      </c>
      <c r="I176" s="7">
        <f t="shared" si="16"/>
        <v>1</v>
      </c>
      <c r="J176" s="7">
        <f t="shared" si="16"/>
        <v>0</v>
      </c>
      <c r="K176" s="7">
        <f t="shared" si="16"/>
        <v>0</v>
      </c>
      <c r="L176" s="6"/>
    </row>
    <row r="177" spans="1:12" outlineLevel="1" x14ac:dyDescent="0.25">
      <c r="A177" s="4">
        <f t="shared" si="15"/>
        <v>3.0008000000000017</v>
      </c>
      <c r="B177" s="53" t="s">
        <v>41</v>
      </c>
      <c r="C177" s="22"/>
      <c r="D177" s="6"/>
      <c r="E177" s="5"/>
      <c r="F177" s="7"/>
      <c r="G177" s="7">
        <f t="shared" si="16"/>
        <v>0</v>
      </c>
      <c r="H177" s="7">
        <f t="shared" si="16"/>
        <v>0</v>
      </c>
      <c r="I177" s="7">
        <f t="shared" si="16"/>
        <v>1</v>
      </c>
      <c r="J177" s="7">
        <f t="shared" si="16"/>
        <v>0</v>
      </c>
      <c r="K177" s="7">
        <f t="shared" si="16"/>
        <v>0</v>
      </c>
      <c r="L177" s="6"/>
    </row>
    <row r="178" spans="1:12" s="19" customFormat="1" x14ac:dyDescent="0.25">
      <c r="A178" s="78">
        <v>3.1</v>
      </c>
      <c r="B178" s="87" t="s">
        <v>495</v>
      </c>
      <c r="C178" s="80"/>
      <c r="D178" s="81"/>
      <c r="E178" s="81"/>
      <c r="F178" s="82"/>
      <c r="G178" s="82"/>
      <c r="H178" s="82"/>
      <c r="I178" s="82"/>
      <c r="J178" s="82"/>
      <c r="K178" s="82"/>
      <c r="L178" s="81"/>
    </row>
    <row r="179" spans="1:12" ht="51" outlineLevel="1" x14ac:dyDescent="0.25">
      <c r="A179" s="21">
        <f t="shared" ref="A179:A185" si="17">A178+0.0001</f>
        <v>3.1001000000000003</v>
      </c>
      <c r="B179" s="24" t="s">
        <v>425</v>
      </c>
      <c r="C179" s="22" t="s">
        <v>426</v>
      </c>
      <c r="D179" s="6"/>
      <c r="E179" s="6"/>
      <c r="F179" s="7"/>
      <c r="G179" s="7">
        <f t="shared" ref="G179:K185" si="18">IF($F179=G$1,1,0)</f>
        <v>0</v>
      </c>
      <c r="H179" s="7">
        <f t="shared" si="18"/>
        <v>0</v>
      </c>
      <c r="I179" s="7">
        <f t="shared" si="18"/>
        <v>1</v>
      </c>
      <c r="J179" s="7">
        <f t="shared" si="18"/>
        <v>0</v>
      </c>
      <c r="K179" s="7">
        <f t="shared" si="18"/>
        <v>0</v>
      </c>
      <c r="L179" s="6"/>
    </row>
    <row r="180" spans="1:12" outlineLevel="1" x14ac:dyDescent="0.25">
      <c r="A180" s="21">
        <f t="shared" si="17"/>
        <v>3.1002000000000005</v>
      </c>
      <c r="B180" s="25" t="s">
        <v>171</v>
      </c>
      <c r="C180" s="22" t="s">
        <v>172</v>
      </c>
      <c r="D180" s="6"/>
      <c r="E180" s="6"/>
      <c r="F180" s="7"/>
      <c r="G180" s="7">
        <f t="shared" si="18"/>
        <v>0</v>
      </c>
      <c r="H180" s="7">
        <f t="shared" si="18"/>
        <v>0</v>
      </c>
      <c r="I180" s="7">
        <f t="shared" si="18"/>
        <v>1</v>
      </c>
      <c r="J180" s="7">
        <f t="shared" si="18"/>
        <v>0</v>
      </c>
      <c r="K180" s="7">
        <f t="shared" si="18"/>
        <v>0</v>
      </c>
      <c r="L180" s="6"/>
    </row>
    <row r="181" spans="1:12" outlineLevel="1" x14ac:dyDescent="0.25">
      <c r="A181" s="21">
        <f t="shared" si="17"/>
        <v>3.1003000000000007</v>
      </c>
      <c r="B181" s="25"/>
      <c r="C181" s="22" t="s">
        <v>173</v>
      </c>
      <c r="D181" s="6"/>
      <c r="E181" s="6"/>
      <c r="F181" s="7"/>
      <c r="G181" s="7">
        <f t="shared" si="18"/>
        <v>0</v>
      </c>
      <c r="H181" s="7">
        <f t="shared" si="18"/>
        <v>0</v>
      </c>
      <c r="I181" s="7">
        <f t="shared" si="18"/>
        <v>1</v>
      </c>
      <c r="J181" s="7">
        <f t="shared" si="18"/>
        <v>0</v>
      </c>
      <c r="K181" s="7">
        <f t="shared" si="18"/>
        <v>0</v>
      </c>
      <c r="L181" s="6"/>
    </row>
    <row r="182" spans="1:12" outlineLevel="1" x14ac:dyDescent="0.25">
      <c r="A182" s="21">
        <f t="shared" si="17"/>
        <v>3.1004000000000009</v>
      </c>
      <c r="B182" s="25"/>
      <c r="C182" s="23" t="s">
        <v>176</v>
      </c>
      <c r="D182" s="6"/>
      <c r="E182" s="6"/>
      <c r="F182" s="7"/>
      <c r="G182" s="7">
        <f t="shared" si="18"/>
        <v>0</v>
      </c>
      <c r="H182" s="7">
        <f t="shared" si="18"/>
        <v>0</v>
      </c>
      <c r="I182" s="7">
        <f t="shared" si="18"/>
        <v>1</v>
      </c>
      <c r="J182" s="7">
        <f t="shared" si="18"/>
        <v>0</v>
      </c>
      <c r="K182" s="7">
        <f t="shared" si="18"/>
        <v>0</v>
      </c>
      <c r="L182" s="6"/>
    </row>
    <row r="183" spans="1:12" outlineLevel="1" x14ac:dyDescent="0.25">
      <c r="A183" s="21">
        <f t="shared" si="17"/>
        <v>3.1005000000000011</v>
      </c>
      <c r="B183" s="25" t="s">
        <v>340</v>
      </c>
      <c r="C183" s="23"/>
      <c r="D183" s="6"/>
      <c r="E183" s="6"/>
      <c r="F183" s="7"/>
      <c r="G183" s="7">
        <f t="shared" si="18"/>
        <v>0</v>
      </c>
      <c r="H183" s="7">
        <f t="shared" si="18"/>
        <v>0</v>
      </c>
      <c r="I183" s="7">
        <f t="shared" si="18"/>
        <v>1</v>
      </c>
      <c r="J183" s="7">
        <f t="shared" si="18"/>
        <v>0</v>
      </c>
      <c r="K183" s="7">
        <f t="shared" si="18"/>
        <v>0</v>
      </c>
      <c r="L183" s="6"/>
    </row>
    <row r="184" spans="1:12" outlineLevel="1" x14ac:dyDescent="0.25">
      <c r="A184" s="21">
        <f t="shared" si="17"/>
        <v>3.1006000000000014</v>
      </c>
      <c r="B184" s="25" t="s">
        <v>427</v>
      </c>
      <c r="C184" s="23" t="s">
        <v>428</v>
      </c>
      <c r="D184" s="6"/>
      <c r="E184" s="6"/>
      <c r="F184" s="7"/>
      <c r="G184" s="7">
        <f t="shared" si="18"/>
        <v>0</v>
      </c>
      <c r="H184" s="7">
        <f t="shared" si="18"/>
        <v>0</v>
      </c>
      <c r="I184" s="7">
        <f t="shared" si="18"/>
        <v>1</v>
      </c>
      <c r="J184" s="7">
        <f t="shared" si="18"/>
        <v>0</v>
      </c>
      <c r="K184" s="7">
        <f t="shared" si="18"/>
        <v>0</v>
      </c>
      <c r="L184" s="6"/>
    </row>
    <row r="185" spans="1:12" outlineLevel="1" x14ac:dyDescent="0.25">
      <c r="A185" s="21">
        <f t="shared" si="17"/>
        <v>3.1007000000000016</v>
      </c>
      <c r="B185" s="43" t="s">
        <v>350</v>
      </c>
      <c r="C185" s="23" t="s">
        <v>429</v>
      </c>
      <c r="D185" s="6"/>
      <c r="E185" s="6"/>
      <c r="F185" s="7"/>
      <c r="G185" s="7">
        <f t="shared" si="18"/>
        <v>0</v>
      </c>
      <c r="H185" s="7">
        <f t="shared" si="18"/>
        <v>0</v>
      </c>
      <c r="I185" s="7">
        <f t="shared" si="18"/>
        <v>1</v>
      </c>
      <c r="J185" s="7">
        <f t="shared" si="18"/>
        <v>0</v>
      </c>
      <c r="K185" s="7">
        <f t="shared" si="18"/>
        <v>0</v>
      </c>
      <c r="L185" s="6"/>
    </row>
    <row r="186" spans="1:12" x14ac:dyDescent="0.25">
      <c r="A186" s="78">
        <v>3.2</v>
      </c>
      <c r="B186" s="87" t="s">
        <v>496</v>
      </c>
      <c r="C186" s="80"/>
      <c r="D186" s="81"/>
      <c r="E186" s="81"/>
      <c r="F186" s="82"/>
      <c r="G186" s="82"/>
      <c r="H186" s="82"/>
      <c r="I186" s="82"/>
      <c r="J186" s="82"/>
      <c r="K186" s="82"/>
      <c r="L186" s="81"/>
    </row>
    <row r="187" spans="1:12" outlineLevel="1" x14ac:dyDescent="0.25">
      <c r="A187" s="21">
        <f t="shared" ref="A187:A202" si="19">A186+0.0001</f>
        <v>3.2001000000000004</v>
      </c>
      <c r="B187" s="24" t="s">
        <v>284</v>
      </c>
      <c r="C187" s="23" t="s">
        <v>285</v>
      </c>
      <c r="D187" s="6"/>
      <c r="E187" s="6"/>
      <c r="F187" s="7"/>
      <c r="G187" s="7">
        <f t="shared" ref="G187:K200" si="20">IF($F187=G$1,1,0)</f>
        <v>0</v>
      </c>
      <c r="H187" s="7">
        <f t="shared" si="20"/>
        <v>0</v>
      </c>
      <c r="I187" s="7">
        <f t="shared" si="20"/>
        <v>1</v>
      </c>
      <c r="J187" s="7">
        <f t="shared" si="20"/>
        <v>0</v>
      </c>
      <c r="K187" s="7">
        <f t="shared" si="20"/>
        <v>0</v>
      </c>
      <c r="L187" s="6"/>
    </row>
    <row r="188" spans="1:12" ht="25.5" outlineLevel="1" x14ac:dyDescent="0.25">
      <c r="A188" s="21">
        <f t="shared" si="19"/>
        <v>3.2002000000000006</v>
      </c>
      <c r="B188" s="25"/>
      <c r="C188" s="23" t="s">
        <v>430</v>
      </c>
      <c r="D188" s="6"/>
      <c r="E188" s="6"/>
      <c r="F188" s="7"/>
      <c r="G188" s="7">
        <f t="shared" si="20"/>
        <v>0</v>
      </c>
      <c r="H188" s="7">
        <f t="shared" si="20"/>
        <v>0</v>
      </c>
      <c r="I188" s="7">
        <f t="shared" si="20"/>
        <v>1</v>
      </c>
      <c r="J188" s="7">
        <f t="shared" si="20"/>
        <v>0</v>
      </c>
      <c r="K188" s="7">
        <f t="shared" si="20"/>
        <v>0</v>
      </c>
      <c r="L188" s="6"/>
    </row>
    <row r="189" spans="1:12" outlineLevel="1" x14ac:dyDescent="0.25">
      <c r="A189" s="21">
        <f t="shared" si="19"/>
        <v>3.2003000000000008</v>
      </c>
      <c r="B189" s="25" t="s">
        <v>348</v>
      </c>
      <c r="C189" s="48" t="s">
        <v>431</v>
      </c>
      <c r="D189" s="6"/>
      <c r="E189" s="6"/>
      <c r="F189" s="7"/>
      <c r="G189" s="7">
        <f t="shared" si="20"/>
        <v>0</v>
      </c>
      <c r="H189" s="7">
        <f t="shared" si="20"/>
        <v>0</v>
      </c>
      <c r="I189" s="7">
        <f t="shared" si="20"/>
        <v>1</v>
      </c>
      <c r="J189" s="7">
        <f t="shared" si="20"/>
        <v>0</v>
      </c>
      <c r="K189" s="7">
        <f t="shared" si="20"/>
        <v>0</v>
      </c>
      <c r="L189" s="6"/>
    </row>
    <row r="190" spans="1:12" outlineLevel="1" x14ac:dyDescent="0.25">
      <c r="A190" s="21">
        <f t="shared" si="19"/>
        <v>3.200400000000001</v>
      </c>
      <c r="B190" s="25" t="s">
        <v>348</v>
      </c>
      <c r="C190" s="48" t="s">
        <v>432</v>
      </c>
      <c r="D190" s="6"/>
      <c r="E190" s="6"/>
      <c r="F190" s="7"/>
      <c r="G190" s="7">
        <f t="shared" si="20"/>
        <v>0</v>
      </c>
      <c r="H190" s="7">
        <f t="shared" si="20"/>
        <v>0</v>
      </c>
      <c r="I190" s="7">
        <f t="shared" si="20"/>
        <v>1</v>
      </c>
      <c r="J190" s="7">
        <f t="shared" si="20"/>
        <v>0</v>
      </c>
      <c r="K190" s="7">
        <f t="shared" si="20"/>
        <v>0</v>
      </c>
      <c r="L190" s="6"/>
    </row>
    <row r="191" spans="1:12" outlineLevel="1" x14ac:dyDescent="0.25">
      <c r="A191" s="21">
        <f t="shared" si="19"/>
        <v>3.2005000000000012</v>
      </c>
      <c r="B191" s="25" t="s">
        <v>348</v>
      </c>
      <c r="C191" s="23" t="s">
        <v>433</v>
      </c>
      <c r="D191" s="6"/>
      <c r="E191" s="6"/>
      <c r="F191" s="7"/>
      <c r="G191" s="7">
        <f t="shared" si="20"/>
        <v>0</v>
      </c>
      <c r="H191" s="7">
        <f t="shared" si="20"/>
        <v>0</v>
      </c>
      <c r="I191" s="7">
        <f t="shared" si="20"/>
        <v>1</v>
      </c>
      <c r="J191" s="7">
        <f t="shared" si="20"/>
        <v>0</v>
      </c>
      <c r="K191" s="7">
        <f t="shared" si="20"/>
        <v>0</v>
      </c>
      <c r="L191" s="6"/>
    </row>
    <row r="192" spans="1:12" outlineLevel="1" x14ac:dyDescent="0.25">
      <c r="A192" s="21">
        <f t="shared" si="19"/>
        <v>3.2006000000000014</v>
      </c>
      <c r="B192" s="25" t="s">
        <v>348</v>
      </c>
      <c r="C192" s="23" t="s">
        <v>434</v>
      </c>
      <c r="D192" s="6"/>
      <c r="E192" s="6"/>
      <c r="F192" s="7"/>
      <c r="G192" s="7">
        <f t="shared" si="20"/>
        <v>0</v>
      </c>
      <c r="H192" s="7">
        <f t="shared" si="20"/>
        <v>0</v>
      </c>
      <c r="I192" s="7">
        <f t="shared" si="20"/>
        <v>1</v>
      </c>
      <c r="J192" s="7">
        <f t="shared" si="20"/>
        <v>0</v>
      </c>
      <c r="K192" s="7">
        <f t="shared" si="20"/>
        <v>0</v>
      </c>
      <c r="L192" s="6"/>
    </row>
    <row r="193" spans="1:12" outlineLevel="1" x14ac:dyDescent="0.25">
      <c r="A193" s="21">
        <f t="shared" si="19"/>
        <v>3.2007000000000017</v>
      </c>
      <c r="B193" s="25" t="s">
        <v>348</v>
      </c>
      <c r="C193" s="23" t="s">
        <v>435</v>
      </c>
      <c r="D193" s="6"/>
      <c r="E193" s="6"/>
      <c r="F193" s="7"/>
      <c r="G193" s="7">
        <f t="shared" si="20"/>
        <v>0</v>
      </c>
      <c r="H193" s="7">
        <f t="shared" si="20"/>
        <v>0</v>
      </c>
      <c r="I193" s="7">
        <f t="shared" si="20"/>
        <v>1</v>
      </c>
      <c r="J193" s="7">
        <f t="shared" si="20"/>
        <v>0</v>
      </c>
      <c r="K193" s="7">
        <f t="shared" si="20"/>
        <v>0</v>
      </c>
      <c r="L193" s="6"/>
    </row>
    <row r="194" spans="1:12" outlineLevel="1" x14ac:dyDescent="0.25">
      <c r="A194" s="21">
        <f t="shared" si="19"/>
        <v>3.2008000000000019</v>
      </c>
      <c r="B194" s="5" t="s">
        <v>504</v>
      </c>
      <c r="C194" s="23" t="s">
        <v>505</v>
      </c>
      <c r="D194" s="6"/>
      <c r="E194" s="6" t="s">
        <v>503</v>
      </c>
      <c r="F194" s="7"/>
      <c r="G194" s="7">
        <f t="shared" si="20"/>
        <v>0</v>
      </c>
      <c r="H194" s="7">
        <f t="shared" si="20"/>
        <v>0</v>
      </c>
      <c r="I194" s="7">
        <f t="shared" si="20"/>
        <v>1</v>
      </c>
      <c r="J194" s="7">
        <f t="shared" si="20"/>
        <v>0</v>
      </c>
      <c r="K194" s="7">
        <f t="shared" si="20"/>
        <v>0</v>
      </c>
      <c r="L194" s="6"/>
    </row>
    <row r="195" spans="1:12" outlineLevel="1" x14ac:dyDescent="0.25">
      <c r="A195" s="21">
        <f t="shared" si="19"/>
        <v>3.2009000000000021</v>
      </c>
      <c r="B195" s="25" t="s">
        <v>437</v>
      </c>
      <c r="C195" s="23" t="s">
        <v>441</v>
      </c>
      <c r="D195" s="6"/>
      <c r="E195" s="6"/>
      <c r="F195" s="7"/>
      <c r="G195" s="7">
        <f t="shared" si="20"/>
        <v>0</v>
      </c>
      <c r="H195" s="7">
        <f t="shared" si="20"/>
        <v>0</v>
      </c>
      <c r="I195" s="7">
        <f t="shared" si="20"/>
        <v>1</v>
      </c>
      <c r="J195" s="7">
        <f t="shared" si="20"/>
        <v>0</v>
      </c>
      <c r="K195" s="7">
        <f t="shared" si="20"/>
        <v>0</v>
      </c>
      <c r="L195" s="6"/>
    </row>
    <row r="196" spans="1:12" outlineLevel="1" x14ac:dyDescent="0.25">
      <c r="A196" s="21">
        <f t="shared" si="19"/>
        <v>3.2010000000000023</v>
      </c>
      <c r="B196" s="25"/>
      <c r="C196" s="23" t="s">
        <v>438</v>
      </c>
      <c r="D196" s="6"/>
      <c r="E196" s="6"/>
      <c r="F196" s="7"/>
      <c r="G196" s="7">
        <f t="shared" si="20"/>
        <v>0</v>
      </c>
      <c r="H196" s="7">
        <f t="shared" si="20"/>
        <v>0</v>
      </c>
      <c r="I196" s="7">
        <f t="shared" si="20"/>
        <v>1</v>
      </c>
      <c r="J196" s="7">
        <f t="shared" si="20"/>
        <v>0</v>
      </c>
      <c r="K196" s="7">
        <f t="shared" si="20"/>
        <v>0</v>
      </c>
      <c r="L196" s="6"/>
    </row>
    <row r="197" spans="1:12" outlineLevel="1" x14ac:dyDescent="0.25">
      <c r="A197" s="21">
        <f t="shared" si="19"/>
        <v>3.2011000000000025</v>
      </c>
      <c r="B197" s="25"/>
      <c r="C197" s="23" t="s">
        <v>439</v>
      </c>
      <c r="D197" s="6"/>
      <c r="E197" s="6"/>
      <c r="F197" s="7"/>
      <c r="G197" s="7">
        <f t="shared" si="20"/>
        <v>0</v>
      </c>
      <c r="H197" s="7">
        <f t="shared" si="20"/>
        <v>0</v>
      </c>
      <c r="I197" s="7">
        <f t="shared" si="20"/>
        <v>1</v>
      </c>
      <c r="J197" s="7">
        <f t="shared" si="20"/>
        <v>0</v>
      </c>
      <c r="K197" s="7">
        <f t="shared" si="20"/>
        <v>0</v>
      </c>
      <c r="L197" s="6"/>
    </row>
    <row r="198" spans="1:12" outlineLevel="1" x14ac:dyDescent="0.25">
      <c r="A198" s="21">
        <f t="shared" si="19"/>
        <v>3.2012000000000027</v>
      </c>
      <c r="B198" s="25"/>
      <c r="C198" s="23" t="s">
        <v>440</v>
      </c>
      <c r="D198" s="6"/>
      <c r="E198" s="6"/>
      <c r="F198" s="7"/>
      <c r="G198" s="7">
        <f t="shared" si="20"/>
        <v>0</v>
      </c>
      <c r="H198" s="7">
        <f t="shared" si="20"/>
        <v>0</v>
      </c>
      <c r="I198" s="7">
        <f t="shared" si="20"/>
        <v>1</v>
      </c>
      <c r="J198" s="7">
        <f t="shared" si="20"/>
        <v>0</v>
      </c>
      <c r="K198" s="7">
        <f t="shared" si="20"/>
        <v>0</v>
      </c>
      <c r="L198" s="6"/>
    </row>
    <row r="199" spans="1:12" outlineLevel="1" x14ac:dyDescent="0.25">
      <c r="A199" s="21">
        <f t="shared" si="19"/>
        <v>3.2013000000000029</v>
      </c>
      <c r="B199" s="25" t="s">
        <v>440</v>
      </c>
      <c r="C199" s="23" t="s">
        <v>442</v>
      </c>
      <c r="D199" s="6"/>
      <c r="E199" s="6"/>
      <c r="F199" s="7"/>
      <c r="G199" s="7">
        <f t="shared" si="20"/>
        <v>0</v>
      </c>
      <c r="H199" s="7">
        <f t="shared" si="20"/>
        <v>0</v>
      </c>
      <c r="I199" s="7">
        <f t="shared" si="20"/>
        <v>1</v>
      </c>
      <c r="J199" s="7">
        <f t="shared" si="20"/>
        <v>0</v>
      </c>
      <c r="K199" s="7">
        <f t="shared" si="20"/>
        <v>0</v>
      </c>
      <c r="L199" s="6"/>
    </row>
    <row r="200" spans="1:12" outlineLevel="1" x14ac:dyDescent="0.25">
      <c r="A200" s="21">
        <f t="shared" si="19"/>
        <v>3.2014000000000031</v>
      </c>
      <c r="B200" s="25" t="s">
        <v>443</v>
      </c>
      <c r="C200" s="23" t="s">
        <v>444</v>
      </c>
      <c r="D200" s="6"/>
      <c r="E200" s="6"/>
      <c r="F200" s="7"/>
      <c r="G200" s="7">
        <f t="shared" si="20"/>
        <v>0</v>
      </c>
      <c r="H200" s="7">
        <f t="shared" si="20"/>
        <v>0</v>
      </c>
      <c r="I200" s="7">
        <f t="shared" si="20"/>
        <v>1</v>
      </c>
      <c r="J200" s="7">
        <f t="shared" si="20"/>
        <v>0</v>
      </c>
      <c r="K200" s="7">
        <f t="shared" si="20"/>
        <v>0</v>
      </c>
      <c r="L200" s="6"/>
    </row>
    <row r="201" spans="1:12" outlineLevel="1" x14ac:dyDescent="0.25">
      <c r="A201" s="21">
        <f t="shared" si="19"/>
        <v>3.2015000000000033</v>
      </c>
      <c r="B201" s="25" t="s">
        <v>349</v>
      </c>
      <c r="C201" s="23" t="s">
        <v>446</v>
      </c>
      <c r="D201" s="6"/>
      <c r="E201" s="6"/>
      <c r="F201" s="7"/>
      <c r="G201" s="7">
        <f t="shared" ref="G201:K202" si="21">IF($F201=G$1,1,0)</f>
        <v>0</v>
      </c>
      <c r="H201" s="7">
        <f t="shared" si="21"/>
        <v>0</v>
      </c>
      <c r="I201" s="7">
        <f t="shared" si="21"/>
        <v>1</v>
      </c>
      <c r="J201" s="7">
        <f t="shared" si="21"/>
        <v>0</v>
      </c>
      <c r="K201" s="7">
        <f t="shared" si="21"/>
        <v>0</v>
      </c>
      <c r="L201" s="6"/>
    </row>
    <row r="202" spans="1:12" outlineLevel="1" x14ac:dyDescent="0.25">
      <c r="A202" s="21">
        <f t="shared" si="19"/>
        <v>3.2016000000000036</v>
      </c>
      <c r="B202" s="25" t="s">
        <v>385</v>
      </c>
      <c r="C202" s="23" t="s">
        <v>445</v>
      </c>
      <c r="D202" s="6"/>
      <c r="E202" s="6"/>
      <c r="F202" s="7"/>
      <c r="G202" s="7">
        <f t="shared" si="21"/>
        <v>0</v>
      </c>
      <c r="H202" s="7">
        <f t="shared" si="21"/>
        <v>0</v>
      </c>
      <c r="I202" s="7">
        <f t="shared" si="21"/>
        <v>1</v>
      </c>
      <c r="J202" s="7">
        <f t="shared" si="21"/>
        <v>0</v>
      </c>
      <c r="K202" s="7">
        <f t="shared" si="21"/>
        <v>0</v>
      </c>
      <c r="L202" s="6"/>
    </row>
    <row r="203" spans="1:12" s="19" customFormat="1" x14ac:dyDescent="0.25">
      <c r="A203" s="78">
        <v>3.3</v>
      </c>
      <c r="B203" s="79" t="s">
        <v>497</v>
      </c>
      <c r="C203" s="80"/>
      <c r="D203" s="81"/>
      <c r="E203" s="81"/>
      <c r="F203" s="82"/>
      <c r="G203" s="82"/>
      <c r="H203" s="82"/>
      <c r="I203" s="82"/>
      <c r="J203" s="82"/>
      <c r="K203" s="82"/>
      <c r="L203" s="81"/>
    </row>
    <row r="204" spans="1:12" outlineLevel="1" x14ac:dyDescent="0.25">
      <c r="A204" s="21">
        <f>A203+0.0001</f>
        <v>3.3001</v>
      </c>
      <c r="B204" s="24" t="s">
        <v>447</v>
      </c>
      <c r="C204" s="22" t="s">
        <v>448</v>
      </c>
      <c r="D204" s="6"/>
      <c r="E204" s="5"/>
      <c r="F204" s="7"/>
      <c r="G204" s="7">
        <f t="shared" ref="G204:K240" si="22">IF($F204=G$1,1,0)</f>
        <v>0</v>
      </c>
      <c r="H204" s="7">
        <f t="shared" si="22"/>
        <v>0</v>
      </c>
      <c r="I204" s="7">
        <f t="shared" si="22"/>
        <v>1</v>
      </c>
      <c r="J204" s="7">
        <f t="shared" si="22"/>
        <v>0</v>
      </c>
      <c r="K204" s="7">
        <f t="shared" si="22"/>
        <v>0</v>
      </c>
      <c r="L204" s="6"/>
    </row>
    <row r="205" spans="1:12" ht="25.5" outlineLevel="1" x14ac:dyDescent="0.25">
      <c r="A205" s="21">
        <f t="shared" ref="A205:A240" si="23">A204+0.0001</f>
        <v>3.3002000000000002</v>
      </c>
      <c r="B205" s="24" t="s">
        <v>449</v>
      </c>
      <c r="C205" s="22" t="s">
        <v>452</v>
      </c>
      <c r="D205" s="6"/>
      <c r="E205" s="5"/>
      <c r="F205" s="7"/>
      <c r="G205" s="7">
        <f t="shared" si="22"/>
        <v>0</v>
      </c>
      <c r="H205" s="7">
        <f t="shared" si="22"/>
        <v>0</v>
      </c>
      <c r="I205" s="7">
        <f t="shared" si="22"/>
        <v>1</v>
      </c>
      <c r="J205" s="7">
        <f t="shared" si="22"/>
        <v>0</v>
      </c>
      <c r="K205" s="7">
        <f t="shared" si="22"/>
        <v>0</v>
      </c>
      <c r="L205" s="6"/>
    </row>
    <row r="206" spans="1:12" outlineLevel="1" x14ac:dyDescent="0.25">
      <c r="A206" s="21">
        <f t="shared" si="23"/>
        <v>3.3003000000000005</v>
      </c>
      <c r="B206" s="26"/>
      <c r="C206" s="22" t="s">
        <v>450</v>
      </c>
      <c r="D206" s="6"/>
      <c r="E206" s="5"/>
      <c r="F206" s="7"/>
      <c r="G206" s="7">
        <f t="shared" si="22"/>
        <v>0</v>
      </c>
      <c r="H206" s="7">
        <f t="shared" si="22"/>
        <v>0</v>
      </c>
      <c r="I206" s="7">
        <f t="shared" si="22"/>
        <v>1</v>
      </c>
      <c r="J206" s="7">
        <f t="shared" si="22"/>
        <v>0</v>
      </c>
      <c r="K206" s="7">
        <f t="shared" si="22"/>
        <v>0</v>
      </c>
      <c r="L206" s="6"/>
    </row>
    <row r="207" spans="1:12" outlineLevel="1" x14ac:dyDescent="0.25">
      <c r="A207" s="21">
        <f t="shared" si="23"/>
        <v>3.3004000000000007</v>
      </c>
      <c r="B207" s="25" t="s">
        <v>344</v>
      </c>
      <c r="C207" s="22" t="s">
        <v>453</v>
      </c>
      <c r="D207" s="6"/>
      <c r="E207" s="5"/>
      <c r="F207" s="7"/>
      <c r="G207" s="7">
        <f t="shared" si="22"/>
        <v>0</v>
      </c>
      <c r="H207" s="7">
        <f t="shared" si="22"/>
        <v>0</v>
      </c>
      <c r="I207" s="7">
        <f t="shared" si="22"/>
        <v>1</v>
      </c>
      <c r="J207" s="7">
        <f t="shared" si="22"/>
        <v>0</v>
      </c>
      <c r="K207" s="7">
        <f t="shared" si="22"/>
        <v>0</v>
      </c>
      <c r="L207" s="6"/>
    </row>
    <row r="208" spans="1:12" outlineLevel="1" x14ac:dyDescent="0.25">
      <c r="A208" s="21">
        <f t="shared" si="23"/>
        <v>3.3005000000000009</v>
      </c>
      <c r="B208" s="26"/>
      <c r="C208" s="22" t="s">
        <v>451</v>
      </c>
      <c r="D208" s="6"/>
      <c r="E208" s="5"/>
      <c r="F208" s="7"/>
      <c r="G208" s="7">
        <f t="shared" si="22"/>
        <v>0</v>
      </c>
      <c r="H208" s="7">
        <f t="shared" si="22"/>
        <v>0</v>
      </c>
      <c r="I208" s="7">
        <f t="shared" si="22"/>
        <v>1</v>
      </c>
      <c r="J208" s="7">
        <f t="shared" si="22"/>
        <v>0</v>
      </c>
      <c r="K208" s="7">
        <f t="shared" si="22"/>
        <v>0</v>
      </c>
      <c r="L208" s="6"/>
    </row>
    <row r="209" spans="1:12" outlineLevel="1" x14ac:dyDescent="0.25">
      <c r="A209" s="21">
        <f t="shared" si="23"/>
        <v>3.3006000000000011</v>
      </c>
      <c r="B209" s="25" t="s">
        <v>348</v>
      </c>
      <c r="C209" s="22" t="s">
        <v>350</v>
      </c>
      <c r="D209" s="6"/>
      <c r="E209" s="5"/>
      <c r="F209" s="7"/>
      <c r="G209" s="7">
        <f t="shared" si="22"/>
        <v>0</v>
      </c>
      <c r="H209" s="7">
        <f t="shared" si="22"/>
        <v>0</v>
      </c>
      <c r="I209" s="7">
        <f t="shared" si="22"/>
        <v>1</v>
      </c>
      <c r="J209" s="7">
        <f t="shared" si="22"/>
        <v>0</v>
      </c>
      <c r="K209" s="7">
        <f t="shared" si="22"/>
        <v>0</v>
      </c>
      <c r="L209" s="6"/>
    </row>
    <row r="210" spans="1:12" outlineLevel="1" x14ac:dyDescent="0.25">
      <c r="A210" s="21">
        <f t="shared" si="23"/>
        <v>3.3007000000000013</v>
      </c>
      <c r="B210" s="24" t="s">
        <v>343</v>
      </c>
      <c r="C210" s="22" t="s">
        <v>345</v>
      </c>
      <c r="D210" s="6"/>
      <c r="E210" s="5"/>
      <c r="F210" s="7"/>
      <c r="G210" s="7">
        <f t="shared" si="22"/>
        <v>0</v>
      </c>
      <c r="H210" s="7">
        <f t="shared" si="22"/>
        <v>0</v>
      </c>
      <c r="I210" s="7">
        <f t="shared" si="22"/>
        <v>1</v>
      </c>
      <c r="J210" s="7">
        <f t="shared" si="22"/>
        <v>0</v>
      </c>
      <c r="K210" s="7">
        <f t="shared" si="22"/>
        <v>0</v>
      </c>
      <c r="L210" s="6"/>
    </row>
    <row r="211" spans="1:12" outlineLevel="1" x14ac:dyDescent="0.25">
      <c r="A211" s="21">
        <f t="shared" si="23"/>
        <v>3.3008000000000015</v>
      </c>
      <c r="B211" s="25"/>
      <c r="C211" s="22" t="s">
        <v>454</v>
      </c>
      <c r="D211" s="6"/>
      <c r="E211" s="5"/>
      <c r="F211" s="7"/>
      <c r="G211" s="7">
        <f t="shared" si="22"/>
        <v>0</v>
      </c>
      <c r="H211" s="7">
        <f t="shared" si="22"/>
        <v>0</v>
      </c>
      <c r="I211" s="7">
        <f t="shared" si="22"/>
        <v>1</v>
      </c>
      <c r="J211" s="7">
        <f t="shared" si="22"/>
        <v>0</v>
      </c>
      <c r="K211" s="7">
        <f t="shared" si="22"/>
        <v>0</v>
      </c>
      <c r="L211" s="6"/>
    </row>
    <row r="212" spans="1:12" outlineLevel="1" x14ac:dyDescent="0.25">
      <c r="A212" s="21">
        <f t="shared" si="23"/>
        <v>3.3009000000000017</v>
      </c>
      <c r="B212" s="25"/>
      <c r="C212" s="22" t="s">
        <v>455</v>
      </c>
      <c r="D212" s="6"/>
      <c r="E212" s="5"/>
      <c r="F212" s="7"/>
      <c r="G212" s="7">
        <f t="shared" si="22"/>
        <v>0</v>
      </c>
      <c r="H212" s="7">
        <f t="shared" si="22"/>
        <v>0</v>
      </c>
      <c r="I212" s="7">
        <f t="shared" si="22"/>
        <v>1</v>
      </c>
      <c r="J212" s="7">
        <f t="shared" si="22"/>
        <v>0</v>
      </c>
      <c r="K212" s="7">
        <f t="shared" si="22"/>
        <v>0</v>
      </c>
      <c r="L212" s="6"/>
    </row>
    <row r="213" spans="1:12" outlineLevel="1" x14ac:dyDescent="0.25">
      <c r="A213" s="21">
        <f t="shared" si="23"/>
        <v>3.3010000000000019</v>
      </c>
      <c r="B213" s="25" t="s">
        <v>348</v>
      </c>
      <c r="C213" s="22" t="s">
        <v>347</v>
      </c>
      <c r="D213" s="6"/>
      <c r="E213" s="5"/>
      <c r="F213" s="7"/>
      <c r="G213" s="7">
        <f t="shared" si="22"/>
        <v>0</v>
      </c>
      <c r="H213" s="7">
        <f t="shared" si="22"/>
        <v>0</v>
      </c>
      <c r="I213" s="7">
        <f t="shared" si="22"/>
        <v>1</v>
      </c>
      <c r="J213" s="7">
        <f t="shared" si="22"/>
        <v>0</v>
      </c>
      <c r="K213" s="7">
        <f t="shared" si="22"/>
        <v>0</v>
      </c>
      <c r="L213" s="6"/>
    </row>
    <row r="214" spans="1:12" outlineLevel="1" x14ac:dyDescent="0.25">
      <c r="A214" s="21">
        <f t="shared" si="23"/>
        <v>3.3011000000000021</v>
      </c>
      <c r="B214" s="25" t="s">
        <v>348</v>
      </c>
      <c r="C214" s="22" t="s">
        <v>349</v>
      </c>
      <c r="D214" s="6"/>
      <c r="E214" s="5"/>
      <c r="F214" s="7"/>
      <c r="G214" s="7">
        <f t="shared" si="22"/>
        <v>0</v>
      </c>
      <c r="H214" s="7">
        <f t="shared" si="22"/>
        <v>0</v>
      </c>
      <c r="I214" s="7">
        <f t="shared" si="22"/>
        <v>1</v>
      </c>
      <c r="J214" s="7">
        <f t="shared" si="22"/>
        <v>0</v>
      </c>
      <c r="K214" s="7">
        <f t="shared" si="22"/>
        <v>0</v>
      </c>
      <c r="L214" s="6"/>
    </row>
    <row r="215" spans="1:12" outlineLevel="1" x14ac:dyDescent="0.25">
      <c r="A215" s="21">
        <f t="shared" si="23"/>
        <v>3.3012000000000024</v>
      </c>
      <c r="B215" s="25" t="s">
        <v>348</v>
      </c>
      <c r="C215" s="22" t="s">
        <v>350</v>
      </c>
      <c r="D215" s="6"/>
      <c r="E215" s="5"/>
      <c r="F215" s="7"/>
      <c r="G215" s="7">
        <f t="shared" si="22"/>
        <v>0</v>
      </c>
      <c r="H215" s="7">
        <f t="shared" si="22"/>
        <v>0</v>
      </c>
      <c r="I215" s="7">
        <f t="shared" si="22"/>
        <v>1</v>
      </c>
      <c r="J215" s="7">
        <f t="shared" si="22"/>
        <v>0</v>
      </c>
      <c r="K215" s="7">
        <f t="shared" si="22"/>
        <v>0</v>
      </c>
      <c r="L215" s="6"/>
    </row>
    <row r="216" spans="1:12" outlineLevel="1" x14ac:dyDescent="0.25">
      <c r="A216" s="21">
        <f t="shared" si="23"/>
        <v>3.3013000000000026</v>
      </c>
      <c r="B216" s="24" t="s">
        <v>355</v>
      </c>
      <c r="C216" s="22" t="s">
        <v>351</v>
      </c>
      <c r="D216" s="6"/>
      <c r="E216" s="5"/>
      <c r="F216" s="7"/>
      <c r="G216" s="7">
        <f t="shared" si="22"/>
        <v>0</v>
      </c>
      <c r="H216" s="7">
        <f t="shared" si="22"/>
        <v>0</v>
      </c>
      <c r="I216" s="7">
        <f t="shared" si="22"/>
        <v>1</v>
      </c>
      <c r="J216" s="7">
        <f t="shared" si="22"/>
        <v>0</v>
      </c>
      <c r="K216" s="7">
        <f t="shared" si="22"/>
        <v>0</v>
      </c>
      <c r="L216" s="6"/>
    </row>
    <row r="217" spans="1:12" outlineLevel="1" x14ac:dyDescent="0.25">
      <c r="A217" s="21">
        <f t="shared" si="23"/>
        <v>3.3014000000000028</v>
      </c>
      <c r="B217" s="25"/>
      <c r="C217" s="22" t="s">
        <v>352</v>
      </c>
      <c r="D217" s="6"/>
      <c r="E217" s="5"/>
      <c r="F217" s="7"/>
      <c r="G217" s="7">
        <f t="shared" si="22"/>
        <v>0</v>
      </c>
      <c r="H217" s="7">
        <f t="shared" si="22"/>
        <v>0</v>
      </c>
      <c r="I217" s="7">
        <f t="shared" si="22"/>
        <v>1</v>
      </c>
      <c r="J217" s="7">
        <f t="shared" si="22"/>
        <v>0</v>
      </c>
      <c r="K217" s="7">
        <f t="shared" si="22"/>
        <v>0</v>
      </c>
      <c r="L217" s="6"/>
    </row>
    <row r="218" spans="1:12" outlineLevel="1" x14ac:dyDescent="0.25">
      <c r="A218" s="21">
        <f t="shared" si="23"/>
        <v>3.301500000000003</v>
      </c>
      <c r="B218" s="25"/>
      <c r="C218" s="22" t="s">
        <v>353</v>
      </c>
      <c r="D218" s="6"/>
      <c r="E218" s="5"/>
      <c r="F218" s="7"/>
      <c r="G218" s="7">
        <f t="shared" si="22"/>
        <v>0</v>
      </c>
      <c r="H218" s="7">
        <f t="shared" si="22"/>
        <v>0</v>
      </c>
      <c r="I218" s="7">
        <f t="shared" si="22"/>
        <v>1</v>
      </c>
      <c r="J218" s="7">
        <f t="shared" si="22"/>
        <v>0</v>
      </c>
      <c r="K218" s="7">
        <f t="shared" si="22"/>
        <v>0</v>
      </c>
      <c r="L218" s="6"/>
    </row>
    <row r="219" spans="1:12" outlineLevel="1" x14ac:dyDescent="0.25">
      <c r="A219" s="21">
        <f t="shared" si="23"/>
        <v>3.3016000000000032</v>
      </c>
      <c r="B219" s="25"/>
      <c r="C219" s="22" t="s">
        <v>354</v>
      </c>
      <c r="D219" s="6"/>
      <c r="E219" s="5"/>
      <c r="F219" s="7"/>
      <c r="G219" s="7">
        <f t="shared" si="22"/>
        <v>0</v>
      </c>
      <c r="H219" s="7">
        <f t="shared" si="22"/>
        <v>0</v>
      </c>
      <c r="I219" s="7">
        <f t="shared" si="22"/>
        <v>1</v>
      </c>
      <c r="J219" s="7">
        <f t="shared" si="22"/>
        <v>0</v>
      </c>
      <c r="K219" s="7">
        <f t="shared" si="22"/>
        <v>0</v>
      </c>
      <c r="L219" s="6"/>
    </row>
    <row r="220" spans="1:12" outlineLevel="1" x14ac:dyDescent="0.25">
      <c r="A220" s="21">
        <f t="shared" si="23"/>
        <v>3.3017000000000034</v>
      </c>
      <c r="B220" s="25"/>
      <c r="C220" s="22" t="s">
        <v>369</v>
      </c>
      <c r="D220" s="6"/>
      <c r="E220" s="5"/>
      <c r="F220" s="7"/>
      <c r="G220" s="7">
        <f t="shared" si="22"/>
        <v>0</v>
      </c>
      <c r="H220" s="7">
        <f t="shared" si="22"/>
        <v>0</v>
      </c>
      <c r="I220" s="7">
        <f t="shared" si="22"/>
        <v>1</v>
      </c>
      <c r="J220" s="7">
        <f t="shared" si="22"/>
        <v>0</v>
      </c>
      <c r="K220" s="7">
        <f t="shared" si="22"/>
        <v>0</v>
      </c>
      <c r="L220" s="6"/>
    </row>
    <row r="221" spans="1:12" outlineLevel="1" x14ac:dyDescent="0.25">
      <c r="A221" s="21">
        <f t="shared" si="23"/>
        <v>3.3018000000000036</v>
      </c>
      <c r="B221" s="25"/>
      <c r="C221" s="22" t="s">
        <v>368</v>
      </c>
      <c r="D221" s="6"/>
      <c r="E221" s="5"/>
      <c r="F221" s="7"/>
      <c r="G221" s="7">
        <f t="shared" si="22"/>
        <v>0</v>
      </c>
      <c r="H221" s="7">
        <f t="shared" si="22"/>
        <v>0</v>
      </c>
      <c r="I221" s="7">
        <f t="shared" si="22"/>
        <v>1</v>
      </c>
      <c r="J221" s="7">
        <f t="shared" si="22"/>
        <v>0</v>
      </c>
      <c r="K221" s="7">
        <f t="shared" si="22"/>
        <v>0</v>
      </c>
      <c r="L221" s="6"/>
    </row>
    <row r="222" spans="1:12" outlineLevel="1" x14ac:dyDescent="0.25">
      <c r="A222" s="21">
        <f t="shared" si="23"/>
        <v>3.3019000000000038</v>
      </c>
      <c r="B222" s="88" t="s">
        <v>456</v>
      </c>
      <c r="C222" s="22" t="s">
        <v>370</v>
      </c>
      <c r="D222" s="6"/>
      <c r="E222" s="5"/>
      <c r="F222" s="7"/>
      <c r="G222" s="7">
        <f t="shared" si="22"/>
        <v>0</v>
      </c>
      <c r="H222" s="7">
        <f t="shared" si="22"/>
        <v>0</v>
      </c>
      <c r="I222" s="7">
        <f t="shared" si="22"/>
        <v>1</v>
      </c>
      <c r="J222" s="7">
        <f t="shared" si="22"/>
        <v>0</v>
      </c>
      <c r="K222" s="7">
        <f t="shared" si="22"/>
        <v>0</v>
      </c>
      <c r="L222" s="6"/>
    </row>
    <row r="223" spans="1:12" outlineLevel="1" x14ac:dyDescent="0.25">
      <c r="A223" s="21">
        <f t="shared" si="23"/>
        <v>3.302000000000004</v>
      </c>
      <c r="B223" s="24" t="s">
        <v>356</v>
      </c>
      <c r="C223" s="22" t="s">
        <v>357</v>
      </c>
      <c r="D223" s="6"/>
      <c r="E223" s="5"/>
      <c r="F223" s="7"/>
      <c r="G223" s="7">
        <f t="shared" si="22"/>
        <v>0</v>
      </c>
      <c r="H223" s="7">
        <f t="shared" si="22"/>
        <v>0</v>
      </c>
      <c r="I223" s="7">
        <f t="shared" si="22"/>
        <v>1</v>
      </c>
      <c r="J223" s="7">
        <f t="shared" si="22"/>
        <v>0</v>
      </c>
      <c r="K223" s="7">
        <f t="shared" si="22"/>
        <v>0</v>
      </c>
      <c r="L223" s="6"/>
    </row>
    <row r="224" spans="1:12" outlineLevel="1" x14ac:dyDescent="0.25">
      <c r="A224" s="21">
        <f t="shared" si="23"/>
        <v>3.3021000000000043</v>
      </c>
      <c r="B224" s="25"/>
      <c r="C224" s="22" t="s">
        <v>358</v>
      </c>
      <c r="D224" s="6"/>
      <c r="E224" s="5"/>
      <c r="F224" s="7"/>
      <c r="G224" s="7">
        <f t="shared" si="22"/>
        <v>0</v>
      </c>
      <c r="H224" s="7">
        <f t="shared" si="22"/>
        <v>0</v>
      </c>
      <c r="I224" s="7">
        <f t="shared" si="22"/>
        <v>1</v>
      </c>
      <c r="J224" s="7">
        <f t="shared" si="22"/>
        <v>0</v>
      </c>
      <c r="K224" s="7">
        <f t="shared" si="22"/>
        <v>0</v>
      </c>
      <c r="L224" s="6"/>
    </row>
    <row r="225" spans="1:12" outlineLevel="1" x14ac:dyDescent="0.25">
      <c r="A225" s="21">
        <f t="shared" si="23"/>
        <v>3.3022000000000045</v>
      </c>
      <c r="B225" s="25"/>
      <c r="C225" s="22" t="s">
        <v>359</v>
      </c>
      <c r="D225" s="6"/>
      <c r="E225" s="5"/>
      <c r="F225" s="7"/>
      <c r="G225" s="7">
        <f t="shared" si="22"/>
        <v>0</v>
      </c>
      <c r="H225" s="7">
        <f t="shared" si="22"/>
        <v>0</v>
      </c>
      <c r="I225" s="7">
        <f t="shared" si="22"/>
        <v>1</v>
      </c>
      <c r="J225" s="7">
        <f t="shared" si="22"/>
        <v>0</v>
      </c>
      <c r="K225" s="7">
        <f t="shared" si="22"/>
        <v>0</v>
      </c>
      <c r="L225" s="6"/>
    </row>
    <row r="226" spans="1:12" outlineLevel="1" x14ac:dyDescent="0.25">
      <c r="A226" s="21">
        <f t="shared" si="23"/>
        <v>3.3023000000000047</v>
      </c>
      <c r="B226" s="25"/>
      <c r="C226" s="22" t="s">
        <v>360</v>
      </c>
      <c r="D226" s="6"/>
      <c r="E226" s="5"/>
      <c r="F226" s="7"/>
      <c r="G226" s="7">
        <f t="shared" si="22"/>
        <v>0</v>
      </c>
      <c r="H226" s="7">
        <f t="shared" si="22"/>
        <v>0</v>
      </c>
      <c r="I226" s="7">
        <f t="shared" si="22"/>
        <v>1</v>
      </c>
      <c r="J226" s="7">
        <f t="shared" si="22"/>
        <v>0</v>
      </c>
      <c r="K226" s="7">
        <f t="shared" si="22"/>
        <v>0</v>
      </c>
      <c r="L226" s="6"/>
    </row>
    <row r="227" spans="1:12" outlineLevel="1" x14ac:dyDescent="0.25">
      <c r="A227" s="21">
        <f t="shared" si="23"/>
        <v>3.3024000000000049</v>
      </c>
      <c r="B227" s="25"/>
      <c r="C227" s="22" t="s">
        <v>361</v>
      </c>
      <c r="D227" s="6"/>
      <c r="E227" s="5"/>
      <c r="F227" s="7"/>
      <c r="G227" s="7">
        <f t="shared" si="22"/>
        <v>0</v>
      </c>
      <c r="H227" s="7">
        <f t="shared" si="22"/>
        <v>0</v>
      </c>
      <c r="I227" s="7">
        <f t="shared" si="22"/>
        <v>1</v>
      </c>
      <c r="J227" s="7">
        <f t="shared" si="22"/>
        <v>0</v>
      </c>
      <c r="K227" s="7">
        <f t="shared" si="22"/>
        <v>0</v>
      </c>
      <c r="L227" s="6"/>
    </row>
    <row r="228" spans="1:12" outlineLevel="1" x14ac:dyDescent="0.25">
      <c r="A228" s="21">
        <f t="shared" si="23"/>
        <v>3.3025000000000051</v>
      </c>
      <c r="B228" s="25"/>
      <c r="C228" s="22" t="s">
        <v>362</v>
      </c>
      <c r="D228" s="6"/>
      <c r="E228" s="5"/>
      <c r="F228" s="7"/>
      <c r="G228" s="7">
        <f t="shared" si="22"/>
        <v>0</v>
      </c>
      <c r="H228" s="7">
        <f t="shared" si="22"/>
        <v>0</v>
      </c>
      <c r="I228" s="7">
        <f t="shared" si="22"/>
        <v>1</v>
      </c>
      <c r="J228" s="7">
        <f t="shared" si="22"/>
        <v>0</v>
      </c>
      <c r="K228" s="7">
        <f t="shared" si="22"/>
        <v>0</v>
      </c>
      <c r="L228" s="6"/>
    </row>
    <row r="229" spans="1:12" outlineLevel="1" x14ac:dyDescent="0.25">
      <c r="A229" s="21">
        <f t="shared" si="23"/>
        <v>3.3026000000000053</v>
      </c>
      <c r="B229" s="25"/>
      <c r="C229" s="22" t="s">
        <v>363</v>
      </c>
      <c r="D229" s="6"/>
      <c r="E229" s="5"/>
      <c r="F229" s="7"/>
      <c r="G229" s="7">
        <f t="shared" si="22"/>
        <v>0</v>
      </c>
      <c r="H229" s="7">
        <f t="shared" si="22"/>
        <v>0</v>
      </c>
      <c r="I229" s="7">
        <f t="shared" si="22"/>
        <v>1</v>
      </c>
      <c r="J229" s="7">
        <f t="shared" si="22"/>
        <v>0</v>
      </c>
      <c r="K229" s="7">
        <f t="shared" si="22"/>
        <v>0</v>
      </c>
      <c r="L229" s="6"/>
    </row>
    <row r="230" spans="1:12" outlineLevel="1" x14ac:dyDescent="0.25">
      <c r="A230" s="21">
        <f t="shared" si="23"/>
        <v>3.3027000000000055</v>
      </c>
      <c r="B230" s="24" t="s">
        <v>348</v>
      </c>
      <c r="C230" s="22" t="s">
        <v>364</v>
      </c>
      <c r="D230" s="6"/>
      <c r="E230" s="5"/>
      <c r="F230" s="7"/>
      <c r="G230" s="7">
        <f t="shared" si="22"/>
        <v>0</v>
      </c>
      <c r="H230" s="7">
        <f t="shared" si="22"/>
        <v>0</v>
      </c>
      <c r="I230" s="7">
        <f t="shared" si="22"/>
        <v>1</v>
      </c>
      <c r="J230" s="7">
        <f t="shared" si="22"/>
        <v>0</v>
      </c>
      <c r="K230" s="7">
        <f t="shared" si="22"/>
        <v>0</v>
      </c>
      <c r="L230" s="6"/>
    </row>
    <row r="231" spans="1:12" outlineLevel="1" x14ac:dyDescent="0.25">
      <c r="A231" s="21">
        <f t="shared" si="23"/>
        <v>3.3028000000000057</v>
      </c>
      <c r="B231" s="25" t="s">
        <v>348</v>
      </c>
      <c r="C231" s="22" t="s">
        <v>365</v>
      </c>
      <c r="D231" s="6"/>
      <c r="E231" s="5"/>
      <c r="F231" s="7"/>
      <c r="G231" s="7">
        <f t="shared" si="22"/>
        <v>0</v>
      </c>
      <c r="H231" s="7">
        <f t="shared" si="22"/>
        <v>0</v>
      </c>
      <c r="I231" s="7">
        <f t="shared" si="22"/>
        <v>1</v>
      </c>
      <c r="J231" s="7">
        <f t="shared" si="22"/>
        <v>0</v>
      </c>
      <c r="K231" s="7">
        <f t="shared" si="22"/>
        <v>0</v>
      </c>
      <c r="L231" s="6"/>
    </row>
    <row r="232" spans="1:12" outlineLevel="1" x14ac:dyDescent="0.25">
      <c r="A232" s="21">
        <f t="shared" si="23"/>
        <v>3.3029000000000059</v>
      </c>
      <c r="B232" s="25" t="s">
        <v>348</v>
      </c>
      <c r="C232" s="22" t="s">
        <v>366</v>
      </c>
      <c r="D232" s="6"/>
      <c r="E232" s="5"/>
      <c r="F232" s="7"/>
      <c r="G232" s="7">
        <f t="shared" si="22"/>
        <v>0</v>
      </c>
      <c r="H232" s="7">
        <f t="shared" si="22"/>
        <v>0</v>
      </c>
      <c r="I232" s="7">
        <f t="shared" si="22"/>
        <v>1</v>
      </c>
      <c r="J232" s="7">
        <f t="shared" si="22"/>
        <v>0</v>
      </c>
      <c r="K232" s="7">
        <f t="shared" si="22"/>
        <v>0</v>
      </c>
      <c r="L232" s="6"/>
    </row>
    <row r="233" spans="1:12" outlineLevel="1" x14ac:dyDescent="0.25">
      <c r="A233" s="21">
        <f t="shared" si="23"/>
        <v>3.3030000000000062</v>
      </c>
      <c r="B233" s="26" t="s">
        <v>348</v>
      </c>
      <c r="C233" s="22" t="s">
        <v>367</v>
      </c>
      <c r="D233" s="6"/>
      <c r="E233" s="5"/>
      <c r="F233" s="7"/>
      <c r="G233" s="7">
        <f t="shared" si="22"/>
        <v>0</v>
      </c>
      <c r="H233" s="7">
        <f t="shared" si="22"/>
        <v>0</v>
      </c>
      <c r="I233" s="7">
        <f t="shared" si="22"/>
        <v>1</v>
      </c>
      <c r="J233" s="7">
        <f t="shared" si="22"/>
        <v>0</v>
      </c>
      <c r="K233" s="7">
        <f t="shared" si="22"/>
        <v>0</v>
      </c>
      <c r="L233" s="6"/>
    </row>
    <row r="234" spans="1:12" outlineLevel="1" x14ac:dyDescent="0.25">
      <c r="A234" s="21">
        <f t="shared" si="23"/>
        <v>3.3031000000000064</v>
      </c>
      <c r="B234" s="65" t="s">
        <v>498</v>
      </c>
      <c r="C234" s="22"/>
      <c r="D234" s="6"/>
      <c r="E234" s="5"/>
      <c r="F234" s="7"/>
      <c r="G234" s="7">
        <f t="shared" si="22"/>
        <v>0</v>
      </c>
      <c r="H234" s="7">
        <f t="shared" si="22"/>
        <v>0</v>
      </c>
      <c r="I234" s="7">
        <f t="shared" si="22"/>
        <v>1</v>
      </c>
      <c r="J234" s="7">
        <f t="shared" si="22"/>
        <v>0</v>
      </c>
      <c r="K234" s="7">
        <f t="shared" si="22"/>
        <v>0</v>
      </c>
      <c r="L234" s="6"/>
    </row>
    <row r="235" spans="1:12" outlineLevel="1" x14ac:dyDescent="0.25">
      <c r="A235" s="21">
        <f t="shared" si="23"/>
        <v>3.3032000000000066</v>
      </c>
      <c r="B235" s="26" t="s">
        <v>501</v>
      </c>
      <c r="C235" s="22" t="s">
        <v>502</v>
      </c>
      <c r="D235" s="6"/>
      <c r="E235" s="5"/>
      <c r="F235" s="7"/>
      <c r="G235" s="7">
        <f t="shared" si="22"/>
        <v>0</v>
      </c>
      <c r="H235" s="7">
        <f t="shared" si="22"/>
        <v>0</v>
      </c>
      <c r="I235" s="7">
        <f t="shared" si="22"/>
        <v>1</v>
      </c>
      <c r="J235" s="7">
        <f t="shared" si="22"/>
        <v>0</v>
      </c>
      <c r="K235" s="7">
        <f t="shared" si="22"/>
        <v>0</v>
      </c>
      <c r="L235" s="6"/>
    </row>
    <row r="236" spans="1:12" outlineLevel="1" x14ac:dyDescent="0.25">
      <c r="A236" s="21">
        <f t="shared" si="23"/>
        <v>3.3033000000000068</v>
      </c>
      <c r="B236" s="26" t="s">
        <v>516</v>
      </c>
      <c r="C236" s="22" t="s">
        <v>517</v>
      </c>
      <c r="D236" s="6"/>
      <c r="E236" s="5"/>
      <c r="F236" s="7"/>
      <c r="G236" s="7">
        <f t="shared" si="22"/>
        <v>0</v>
      </c>
      <c r="H236" s="7">
        <f t="shared" si="22"/>
        <v>0</v>
      </c>
      <c r="I236" s="7">
        <f t="shared" si="22"/>
        <v>1</v>
      </c>
      <c r="J236" s="7">
        <f t="shared" si="22"/>
        <v>0</v>
      </c>
      <c r="K236" s="7">
        <f t="shared" si="22"/>
        <v>0</v>
      </c>
      <c r="L236" s="6"/>
    </row>
    <row r="237" spans="1:12" outlineLevel="1" x14ac:dyDescent="0.25">
      <c r="A237" s="21">
        <f t="shared" si="23"/>
        <v>3.303400000000007</v>
      </c>
      <c r="B237" s="5" t="s">
        <v>375</v>
      </c>
      <c r="C237" s="22" t="s">
        <v>376</v>
      </c>
      <c r="D237" s="6"/>
      <c r="E237" s="5"/>
      <c r="F237" s="7"/>
      <c r="G237" s="7">
        <f t="shared" si="22"/>
        <v>0</v>
      </c>
      <c r="H237" s="7">
        <f t="shared" si="22"/>
        <v>0</v>
      </c>
      <c r="I237" s="7">
        <f t="shared" si="22"/>
        <v>1</v>
      </c>
      <c r="J237" s="7">
        <f t="shared" si="22"/>
        <v>0</v>
      </c>
      <c r="K237" s="7">
        <f t="shared" si="22"/>
        <v>0</v>
      </c>
      <c r="L237" s="6"/>
    </row>
    <row r="238" spans="1:12" outlineLevel="1" x14ac:dyDescent="0.25">
      <c r="A238" s="21">
        <f t="shared" si="23"/>
        <v>3.3035000000000072</v>
      </c>
      <c r="B238" s="22" t="str">
        <f>B235</f>
        <v>Set Quantity Type = Units</v>
      </c>
      <c r="C238" s="22" t="str">
        <f>C235</f>
        <v>Quantity Type = Units</v>
      </c>
      <c r="D238" s="6"/>
      <c r="E238" s="5"/>
      <c r="F238" s="7"/>
      <c r="G238" s="7">
        <f t="shared" si="22"/>
        <v>0</v>
      </c>
      <c r="H238" s="7">
        <f t="shared" si="22"/>
        <v>0</v>
      </c>
      <c r="I238" s="7">
        <f t="shared" si="22"/>
        <v>1</v>
      </c>
      <c r="J238" s="7">
        <f t="shared" si="22"/>
        <v>0</v>
      </c>
      <c r="K238" s="7">
        <f t="shared" si="22"/>
        <v>0</v>
      </c>
      <c r="L238" s="6"/>
    </row>
    <row r="239" spans="1:12" outlineLevel="1" x14ac:dyDescent="0.25">
      <c r="A239" s="21">
        <f t="shared" si="23"/>
        <v>3.3036000000000074</v>
      </c>
      <c r="B239" s="26" t="str">
        <f>B236</f>
        <v>Capture Quantity = 200</v>
      </c>
      <c r="C239" s="22" t="str">
        <f>C236</f>
        <v>Quantity = 200</v>
      </c>
      <c r="D239" s="6"/>
      <c r="E239" s="5"/>
      <c r="F239" s="7"/>
      <c r="G239" s="7">
        <f t="shared" si="22"/>
        <v>0</v>
      </c>
      <c r="H239" s="7">
        <f t="shared" si="22"/>
        <v>0</v>
      </c>
      <c r="I239" s="7">
        <f t="shared" si="22"/>
        <v>1</v>
      </c>
      <c r="J239" s="7">
        <f t="shared" si="22"/>
        <v>0</v>
      </c>
      <c r="K239" s="7">
        <f t="shared" si="22"/>
        <v>0</v>
      </c>
      <c r="L239" s="6"/>
    </row>
    <row r="240" spans="1:12" outlineLevel="1" x14ac:dyDescent="0.25">
      <c r="A240" s="21">
        <f t="shared" si="23"/>
        <v>3.3037000000000076</v>
      </c>
      <c r="B240" s="5" t="s">
        <v>346</v>
      </c>
      <c r="C240" s="22" t="s">
        <v>518</v>
      </c>
      <c r="D240" s="6"/>
      <c r="E240" s="5"/>
      <c r="F240" s="7"/>
      <c r="G240" s="7">
        <f t="shared" si="22"/>
        <v>0</v>
      </c>
      <c r="H240" s="7">
        <f t="shared" si="22"/>
        <v>0</v>
      </c>
      <c r="I240" s="7">
        <f t="shared" si="22"/>
        <v>1</v>
      </c>
      <c r="J240" s="7">
        <f t="shared" si="22"/>
        <v>0</v>
      </c>
      <c r="K240" s="7">
        <f t="shared" si="22"/>
        <v>0</v>
      </c>
      <c r="L240" s="6"/>
    </row>
    <row r="241" spans="1:12" s="19" customFormat="1" x14ac:dyDescent="0.25">
      <c r="A241" s="83">
        <v>3.4</v>
      </c>
      <c r="B241" s="93" t="s">
        <v>379</v>
      </c>
      <c r="C241" s="84"/>
      <c r="D241" s="85"/>
      <c r="E241" s="85"/>
      <c r="F241" s="86"/>
      <c r="G241" s="86"/>
      <c r="H241" s="86"/>
      <c r="I241" s="86"/>
      <c r="J241" s="86"/>
      <c r="K241" s="86"/>
      <c r="L241" s="85"/>
    </row>
    <row r="242" spans="1:12" outlineLevel="1" x14ac:dyDescent="0.25">
      <c r="A242" s="21">
        <f>A241+0.0001</f>
        <v>3.4001000000000001</v>
      </c>
      <c r="B242" s="63" t="s">
        <v>457</v>
      </c>
      <c r="C242" s="22" t="s">
        <v>405</v>
      </c>
      <c r="D242" s="6"/>
      <c r="E242" s="5"/>
      <c r="F242" s="7"/>
      <c r="G242" s="7">
        <f t="shared" ref="G242:K264" si="24">IF($F242=G$1,1,0)</f>
        <v>0</v>
      </c>
      <c r="H242" s="7">
        <f t="shared" si="24"/>
        <v>0</v>
      </c>
      <c r="I242" s="7">
        <f t="shared" si="24"/>
        <v>1</v>
      </c>
      <c r="J242" s="7">
        <f t="shared" si="24"/>
        <v>0</v>
      </c>
      <c r="K242" s="7">
        <f t="shared" si="24"/>
        <v>0</v>
      </c>
      <c r="L242" s="6"/>
    </row>
    <row r="243" spans="1:12" outlineLevel="1" x14ac:dyDescent="0.25">
      <c r="A243" s="21">
        <f t="shared" ref="A243:A268" si="25">A242+0.0001</f>
        <v>3.4002000000000003</v>
      </c>
      <c r="B243" s="5" t="s">
        <v>346</v>
      </c>
      <c r="C243" s="22" t="s">
        <v>380</v>
      </c>
      <c r="D243" s="6"/>
      <c r="E243" s="5"/>
      <c r="F243" s="7"/>
      <c r="G243" s="7">
        <f t="shared" si="24"/>
        <v>0</v>
      </c>
      <c r="H243" s="7">
        <f t="shared" si="24"/>
        <v>0</v>
      </c>
      <c r="I243" s="7">
        <f t="shared" si="24"/>
        <v>1</v>
      </c>
      <c r="J243" s="7">
        <f t="shared" si="24"/>
        <v>0</v>
      </c>
      <c r="K243" s="7">
        <f t="shared" si="24"/>
        <v>0</v>
      </c>
      <c r="L243" s="6"/>
    </row>
    <row r="244" spans="1:12" outlineLevel="1" x14ac:dyDescent="0.25">
      <c r="A244" s="21">
        <f t="shared" si="25"/>
        <v>3.4003000000000005</v>
      </c>
      <c r="B244" s="5" t="s">
        <v>344</v>
      </c>
      <c r="C244" s="22" t="s">
        <v>381</v>
      </c>
      <c r="D244" s="6"/>
      <c r="E244" s="5"/>
      <c r="F244" s="7"/>
      <c r="G244" s="7">
        <f t="shared" si="24"/>
        <v>0</v>
      </c>
      <c r="H244" s="7">
        <f t="shared" si="24"/>
        <v>0</v>
      </c>
      <c r="I244" s="7">
        <f t="shared" si="24"/>
        <v>1</v>
      </c>
      <c r="J244" s="7">
        <f t="shared" si="24"/>
        <v>0</v>
      </c>
      <c r="K244" s="7">
        <f t="shared" si="24"/>
        <v>0</v>
      </c>
      <c r="L244" s="6"/>
    </row>
    <row r="245" spans="1:12" outlineLevel="1" x14ac:dyDescent="0.25">
      <c r="A245" s="21">
        <f t="shared" si="25"/>
        <v>3.4004000000000008</v>
      </c>
      <c r="B245" s="5" t="s">
        <v>382</v>
      </c>
      <c r="C245" s="22" t="s">
        <v>383</v>
      </c>
      <c r="D245" s="6"/>
      <c r="E245" s="5"/>
      <c r="F245" s="7"/>
      <c r="G245" s="7">
        <f t="shared" si="24"/>
        <v>0</v>
      </c>
      <c r="H245" s="7">
        <f t="shared" si="24"/>
        <v>0</v>
      </c>
      <c r="I245" s="7">
        <f t="shared" si="24"/>
        <v>1</v>
      </c>
      <c r="J245" s="7">
        <f t="shared" si="24"/>
        <v>0</v>
      </c>
      <c r="K245" s="7">
        <f t="shared" si="24"/>
        <v>0</v>
      </c>
      <c r="L245" s="6"/>
    </row>
    <row r="246" spans="1:12" outlineLevel="1" x14ac:dyDescent="0.25">
      <c r="A246" s="21">
        <f t="shared" si="25"/>
        <v>3.400500000000001</v>
      </c>
      <c r="B246" s="5" t="s">
        <v>348</v>
      </c>
      <c r="C246" s="22" t="s">
        <v>384</v>
      </c>
      <c r="D246" s="6"/>
      <c r="E246" s="5"/>
      <c r="F246" s="7"/>
      <c r="G246" s="7">
        <f t="shared" si="24"/>
        <v>0</v>
      </c>
      <c r="H246" s="7">
        <f t="shared" si="24"/>
        <v>0</v>
      </c>
      <c r="I246" s="7">
        <f t="shared" si="24"/>
        <v>1</v>
      </c>
      <c r="J246" s="7">
        <f t="shared" si="24"/>
        <v>0</v>
      </c>
      <c r="K246" s="7">
        <f t="shared" si="24"/>
        <v>0</v>
      </c>
      <c r="L246" s="6"/>
    </row>
    <row r="247" spans="1:12" outlineLevel="1" x14ac:dyDescent="0.25">
      <c r="A247" s="21">
        <f t="shared" si="25"/>
        <v>3.4006000000000012</v>
      </c>
      <c r="B247" s="5" t="s">
        <v>348</v>
      </c>
      <c r="C247" s="22" t="s">
        <v>349</v>
      </c>
      <c r="D247" s="6"/>
      <c r="E247" s="5"/>
      <c r="F247" s="7"/>
      <c r="G247" s="7">
        <f t="shared" si="24"/>
        <v>0</v>
      </c>
      <c r="H247" s="7">
        <f t="shared" si="24"/>
        <v>0</v>
      </c>
      <c r="I247" s="7">
        <f t="shared" si="24"/>
        <v>1</v>
      </c>
      <c r="J247" s="7">
        <f t="shared" si="24"/>
        <v>0</v>
      </c>
      <c r="K247" s="7">
        <f t="shared" si="24"/>
        <v>0</v>
      </c>
      <c r="L247" s="6"/>
    </row>
    <row r="248" spans="1:12" outlineLevel="1" x14ac:dyDescent="0.25">
      <c r="A248" s="21">
        <f t="shared" si="25"/>
        <v>3.4007000000000014</v>
      </c>
      <c r="B248" s="5" t="s">
        <v>348</v>
      </c>
      <c r="C248" s="22" t="s">
        <v>385</v>
      </c>
      <c r="D248" s="6"/>
      <c r="E248" s="5"/>
      <c r="F248" s="7"/>
      <c r="G248" s="7">
        <f t="shared" si="24"/>
        <v>0</v>
      </c>
      <c r="H248" s="7">
        <f t="shared" si="24"/>
        <v>0</v>
      </c>
      <c r="I248" s="7">
        <f t="shared" si="24"/>
        <v>1</v>
      </c>
      <c r="J248" s="7">
        <f t="shared" si="24"/>
        <v>0</v>
      </c>
      <c r="K248" s="7">
        <f t="shared" si="24"/>
        <v>0</v>
      </c>
      <c r="L248" s="6"/>
    </row>
    <row r="249" spans="1:12" outlineLevel="1" x14ac:dyDescent="0.25">
      <c r="A249" s="21">
        <f t="shared" si="25"/>
        <v>3.4008000000000016</v>
      </c>
      <c r="B249" s="63" t="s">
        <v>393</v>
      </c>
      <c r="C249" s="22"/>
      <c r="D249" s="6"/>
      <c r="E249" s="5"/>
      <c r="F249" s="7"/>
      <c r="G249" s="7">
        <f t="shared" si="24"/>
        <v>0</v>
      </c>
      <c r="H249" s="7">
        <f t="shared" si="24"/>
        <v>0</v>
      </c>
      <c r="I249" s="7">
        <f t="shared" si="24"/>
        <v>1</v>
      </c>
      <c r="J249" s="7">
        <f t="shared" si="24"/>
        <v>0</v>
      </c>
      <c r="K249" s="7">
        <f t="shared" si="24"/>
        <v>0</v>
      </c>
      <c r="L249" s="6"/>
    </row>
    <row r="250" spans="1:12" ht="38.25" outlineLevel="1" x14ac:dyDescent="0.25">
      <c r="A250" s="21">
        <f t="shared" si="25"/>
        <v>3.4009000000000018</v>
      </c>
      <c r="B250" s="66" t="s">
        <v>394</v>
      </c>
      <c r="C250" s="22" t="s">
        <v>519</v>
      </c>
      <c r="D250" s="6"/>
      <c r="E250" s="5"/>
      <c r="F250" s="7"/>
      <c r="G250" s="7">
        <f t="shared" si="24"/>
        <v>0</v>
      </c>
      <c r="H250" s="7">
        <f t="shared" si="24"/>
        <v>0</v>
      </c>
      <c r="I250" s="7">
        <f t="shared" si="24"/>
        <v>1</v>
      </c>
      <c r="J250" s="7">
        <f t="shared" si="24"/>
        <v>0</v>
      </c>
      <c r="K250" s="7">
        <f t="shared" si="24"/>
        <v>0</v>
      </c>
      <c r="L250" s="6"/>
    </row>
    <row r="251" spans="1:12" ht="51" outlineLevel="1" x14ac:dyDescent="0.25">
      <c r="A251" s="21">
        <f t="shared" si="25"/>
        <v>3.401000000000002</v>
      </c>
      <c r="B251" s="66" t="s">
        <v>395</v>
      </c>
      <c r="C251" s="22" t="s">
        <v>511</v>
      </c>
      <c r="D251" s="6"/>
      <c r="E251" s="5"/>
      <c r="F251" s="7"/>
      <c r="G251" s="7">
        <f t="shared" si="24"/>
        <v>0</v>
      </c>
      <c r="H251" s="7">
        <f t="shared" si="24"/>
        <v>0</v>
      </c>
      <c r="I251" s="7">
        <f t="shared" si="24"/>
        <v>1</v>
      </c>
      <c r="J251" s="7">
        <f t="shared" si="24"/>
        <v>0</v>
      </c>
      <c r="K251" s="7">
        <f t="shared" si="24"/>
        <v>0</v>
      </c>
      <c r="L251" s="6"/>
    </row>
    <row r="252" spans="1:12" outlineLevel="1" x14ac:dyDescent="0.25">
      <c r="A252" s="21">
        <f t="shared" si="25"/>
        <v>3.4011000000000022</v>
      </c>
      <c r="B252" s="63" t="s">
        <v>396</v>
      </c>
      <c r="C252" s="22" t="s">
        <v>397</v>
      </c>
      <c r="D252" s="6"/>
      <c r="E252" s="5"/>
      <c r="F252" s="7"/>
      <c r="G252" s="7">
        <f t="shared" si="24"/>
        <v>0</v>
      </c>
      <c r="H252" s="7">
        <f t="shared" si="24"/>
        <v>0</v>
      </c>
      <c r="I252" s="7">
        <f t="shared" si="24"/>
        <v>1</v>
      </c>
      <c r="J252" s="7">
        <f t="shared" si="24"/>
        <v>0</v>
      </c>
      <c r="K252" s="7">
        <f t="shared" si="24"/>
        <v>0</v>
      </c>
      <c r="L252" s="6"/>
    </row>
    <row r="253" spans="1:12" ht="38.25" outlineLevel="1" x14ac:dyDescent="0.25">
      <c r="A253" s="21">
        <f t="shared" si="25"/>
        <v>3.4012000000000024</v>
      </c>
      <c r="B253" s="67" t="s">
        <v>398</v>
      </c>
      <c r="C253" s="22" t="s">
        <v>463</v>
      </c>
      <c r="D253" s="6"/>
      <c r="E253" s="5"/>
      <c r="F253" s="7" t="s">
        <v>520</v>
      </c>
      <c r="G253" s="7">
        <f t="shared" si="24"/>
        <v>0</v>
      </c>
      <c r="H253" s="7">
        <f t="shared" si="24"/>
        <v>0</v>
      </c>
      <c r="I253" s="7">
        <f t="shared" si="24"/>
        <v>0</v>
      </c>
      <c r="J253" s="7">
        <f t="shared" si="24"/>
        <v>1</v>
      </c>
      <c r="K253" s="7">
        <f t="shared" si="24"/>
        <v>0</v>
      </c>
      <c r="L253" s="6"/>
    </row>
    <row r="254" spans="1:12" outlineLevel="1" x14ac:dyDescent="0.25">
      <c r="A254" s="21">
        <f t="shared" si="25"/>
        <v>3.4013000000000027</v>
      </c>
      <c r="B254" s="67" t="s">
        <v>399</v>
      </c>
      <c r="C254" s="22"/>
      <c r="D254" s="6"/>
      <c r="E254" s="5"/>
      <c r="F254" s="7" t="s">
        <v>520</v>
      </c>
      <c r="G254" s="7">
        <f t="shared" si="24"/>
        <v>0</v>
      </c>
      <c r="H254" s="7">
        <f t="shared" si="24"/>
        <v>0</v>
      </c>
      <c r="I254" s="7">
        <f t="shared" si="24"/>
        <v>0</v>
      </c>
      <c r="J254" s="7">
        <f t="shared" si="24"/>
        <v>1</v>
      </c>
      <c r="K254" s="7">
        <f t="shared" si="24"/>
        <v>0</v>
      </c>
      <c r="L254" s="6"/>
    </row>
    <row r="255" spans="1:12" outlineLevel="1" x14ac:dyDescent="0.25">
      <c r="A255" s="21">
        <f t="shared" si="25"/>
        <v>3.4014000000000029</v>
      </c>
      <c r="B255" s="67" t="s">
        <v>400</v>
      </c>
      <c r="C255" s="22" t="s">
        <v>499</v>
      </c>
      <c r="D255" s="6"/>
      <c r="E255" s="5"/>
      <c r="F255" s="7"/>
      <c r="G255" s="7">
        <f t="shared" si="24"/>
        <v>0</v>
      </c>
      <c r="H255" s="7">
        <f t="shared" si="24"/>
        <v>0</v>
      </c>
      <c r="I255" s="7">
        <f t="shared" si="24"/>
        <v>1</v>
      </c>
      <c r="J255" s="7">
        <f t="shared" si="24"/>
        <v>0</v>
      </c>
      <c r="K255" s="7">
        <f t="shared" si="24"/>
        <v>0</v>
      </c>
      <c r="L255" s="6"/>
    </row>
    <row r="256" spans="1:12" outlineLevel="1" x14ac:dyDescent="0.25">
      <c r="A256" s="21">
        <f t="shared" si="25"/>
        <v>3.4015000000000031</v>
      </c>
      <c r="B256" s="67" t="s">
        <v>401</v>
      </c>
      <c r="C256" s="22" t="s">
        <v>402</v>
      </c>
      <c r="D256" s="6"/>
      <c r="E256" s="5"/>
      <c r="F256" s="7"/>
      <c r="G256" s="7">
        <f t="shared" si="24"/>
        <v>0</v>
      </c>
      <c r="H256" s="7">
        <f t="shared" si="24"/>
        <v>0</v>
      </c>
      <c r="I256" s="7">
        <f t="shared" si="24"/>
        <v>1</v>
      </c>
      <c r="J256" s="7">
        <f t="shared" si="24"/>
        <v>0</v>
      </c>
      <c r="K256" s="7">
        <f t="shared" si="24"/>
        <v>0</v>
      </c>
      <c r="L256" s="6"/>
    </row>
    <row r="257" spans="1:12" outlineLevel="1" x14ac:dyDescent="0.25">
      <c r="A257" s="21">
        <f t="shared" si="25"/>
        <v>3.4016000000000033</v>
      </c>
      <c r="B257" s="63" t="s">
        <v>403</v>
      </c>
      <c r="C257" s="22" t="s">
        <v>405</v>
      </c>
      <c r="D257" s="6"/>
      <c r="E257" s="5"/>
      <c r="F257" s="7"/>
      <c r="G257" s="7">
        <f t="shared" si="24"/>
        <v>0</v>
      </c>
      <c r="H257" s="7">
        <f t="shared" si="24"/>
        <v>0</v>
      </c>
      <c r="I257" s="7">
        <f t="shared" si="24"/>
        <v>1</v>
      </c>
      <c r="J257" s="7">
        <f t="shared" si="24"/>
        <v>0</v>
      </c>
      <c r="K257" s="7">
        <f t="shared" si="24"/>
        <v>0</v>
      </c>
      <c r="L257" s="6"/>
    </row>
    <row r="258" spans="1:12" ht="76.5" outlineLevel="1" x14ac:dyDescent="0.25">
      <c r="A258" s="21">
        <f t="shared" si="25"/>
        <v>3.4017000000000035</v>
      </c>
      <c r="B258" s="5" t="s">
        <v>404</v>
      </c>
      <c r="C258" s="22" t="s">
        <v>420</v>
      </c>
      <c r="D258" s="6"/>
      <c r="E258" s="5"/>
      <c r="F258" s="7"/>
      <c r="G258" s="7">
        <f t="shared" si="24"/>
        <v>0</v>
      </c>
      <c r="H258" s="7">
        <f t="shared" si="24"/>
        <v>0</v>
      </c>
      <c r="I258" s="7">
        <f t="shared" si="24"/>
        <v>1</v>
      </c>
      <c r="J258" s="7">
        <f t="shared" si="24"/>
        <v>0</v>
      </c>
      <c r="K258" s="7">
        <f t="shared" si="24"/>
        <v>0</v>
      </c>
      <c r="L258" s="6"/>
    </row>
    <row r="259" spans="1:12" outlineLevel="1" x14ac:dyDescent="0.25">
      <c r="A259" s="21">
        <f t="shared" si="25"/>
        <v>3.4018000000000037</v>
      </c>
      <c r="B259" s="5" t="s">
        <v>348</v>
      </c>
      <c r="C259" s="22" t="s">
        <v>406</v>
      </c>
      <c r="D259" s="6"/>
      <c r="E259" s="5"/>
      <c r="F259" s="7"/>
      <c r="G259" s="7">
        <f t="shared" si="24"/>
        <v>0</v>
      </c>
      <c r="H259" s="7">
        <f t="shared" si="24"/>
        <v>0</v>
      </c>
      <c r="I259" s="7">
        <f t="shared" si="24"/>
        <v>1</v>
      </c>
      <c r="J259" s="7">
        <f t="shared" si="24"/>
        <v>0</v>
      </c>
      <c r="K259" s="7">
        <f t="shared" si="24"/>
        <v>0</v>
      </c>
      <c r="L259" s="6"/>
    </row>
    <row r="260" spans="1:12" outlineLevel="1" x14ac:dyDescent="0.25">
      <c r="A260" s="21">
        <f t="shared" si="25"/>
        <v>3.4019000000000039</v>
      </c>
      <c r="B260" s="5" t="s">
        <v>348</v>
      </c>
      <c r="C260" s="22" t="s">
        <v>407</v>
      </c>
      <c r="D260" s="6"/>
      <c r="E260" s="5"/>
      <c r="F260" s="7"/>
      <c r="G260" s="7">
        <f t="shared" si="24"/>
        <v>0</v>
      </c>
      <c r="H260" s="7">
        <f t="shared" si="24"/>
        <v>0</v>
      </c>
      <c r="I260" s="7">
        <f t="shared" si="24"/>
        <v>1</v>
      </c>
      <c r="J260" s="7">
        <f t="shared" si="24"/>
        <v>0</v>
      </c>
      <c r="K260" s="7">
        <f t="shared" si="24"/>
        <v>0</v>
      </c>
      <c r="L260" s="6"/>
    </row>
    <row r="261" spans="1:12" outlineLevel="1" x14ac:dyDescent="0.25">
      <c r="A261" s="21">
        <f t="shared" si="25"/>
        <v>3.4020000000000041</v>
      </c>
      <c r="B261" s="5" t="s">
        <v>348</v>
      </c>
      <c r="C261" s="22" t="s">
        <v>408</v>
      </c>
      <c r="D261" s="6"/>
      <c r="E261" s="5"/>
      <c r="F261" s="7"/>
      <c r="G261" s="7">
        <f t="shared" si="24"/>
        <v>0</v>
      </c>
      <c r="H261" s="7">
        <f t="shared" si="24"/>
        <v>0</v>
      </c>
      <c r="I261" s="7">
        <f t="shared" si="24"/>
        <v>1</v>
      </c>
      <c r="J261" s="7">
        <f t="shared" si="24"/>
        <v>0</v>
      </c>
      <c r="K261" s="7">
        <f t="shared" si="24"/>
        <v>0</v>
      </c>
      <c r="L261" s="6"/>
    </row>
    <row r="262" spans="1:12" outlineLevel="1" x14ac:dyDescent="0.25">
      <c r="A262" s="21">
        <f t="shared" si="25"/>
        <v>3.4021000000000043</v>
      </c>
      <c r="B262" s="5" t="s">
        <v>521</v>
      </c>
      <c r="C262" s="22" t="s">
        <v>522</v>
      </c>
      <c r="D262" s="6"/>
      <c r="E262" s="5"/>
      <c r="F262" s="7"/>
      <c r="G262" s="7">
        <f t="shared" ref="G262:K263" si="26">IF($F262=G$1,1,0)</f>
        <v>0</v>
      </c>
      <c r="H262" s="7">
        <f t="shared" si="26"/>
        <v>0</v>
      </c>
      <c r="I262" s="7">
        <f t="shared" si="26"/>
        <v>1</v>
      </c>
      <c r="J262" s="7">
        <f t="shared" si="26"/>
        <v>0</v>
      </c>
      <c r="K262" s="7">
        <f t="shared" si="26"/>
        <v>0</v>
      </c>
      <c r="L262" s="6"/>
    </row>
    <row r="263" spans="1:12" outlineLevel="1" x14ac:dyDescent="0.25">
      <c r="A263" s="21">
        <f t="shared" si="25"/>
        <v>3.4022000000000046</v>
      </c>
      <c r="B263" s="5" t="s">
        <v>523</v>
      </c>
      <c r="C263" s="22" t="s">
        <v>524</v>
      </c>
      <c r="D263" s="6"/>
      <c r="E263" s="5"/>
      <c r="F263" s="7"/>
      <c r="G263" s="7">
        <f t="shared" si="26"/>
        <v>0</v>
      </c>
      <c r="H263" s="7">
        <f t="shared" si="26"/>
        <v>0</v>
      </c>
      <c r="I263" s="7">
        <f t="shared" si="26"/>
        <v>1</v>
      </c>
      <c r="J263" s="7">
        <f t="shared" si="26"/>
        <v>0</v>
      </c>
      <c r="K263" s="7">
        <f t="shared" si="26"/>
        <v>0</v>
      </c>
      <c r="L263" s="6"/>
    </row>
    <row r="264" spans="1:12" outlineLevel="1" x14ac:dyDescent="0.25">
      <c r="A264" s="21">
        <f t="shared" si="25"/>
        <v>3.4023000000000048</v>
      </c>
      <c r="B264" s="24" t="s">
        <v>348</v>
      </c>
      <c r="C264" s="22" t="s">
        <v>385</v>
      </c>
      <c r="D264" s="6"/>
      <c r="E264" s="5"/>
      <c r="F264" s="7"/>
      <c r="G264" s="7">
        <f t="shared" si="24"/>
        <v>0</v>
      </c>
      <c r="H264" s="7">
        <f t="shared" si="24"/>
        <v>0</v>
      </c>
      <c r="I264" s="7">
        <f t="shared" si="24"/>
        <v>1</v>
      </c>
      <c r="J264" s="7">
        <f t="shared" si="24"/>
        <v>0</v>
      </c>
      <c r="K264" s="7">
        <f t="shared" si="24"/>
        <v>0</v>
      </c>
      <c r="L264" s="6"/>
    </row>
    <row r="265" spans="1:12" outlineLevel="1" x14ac:dyDescent="0.25">
      <c r="A265" s="21">
        <f t="shared" si="25"/>
        <v>3.402400000000005</v>
      </c>
      <c r="B265" s="26" t="s">
        <v>486</v>
      </c>
      <c r="C265" s="22" t="s">
        <v>487</v>
      </c>
      <c r="D265" s="6"/>
      <c r="E265" s="5"/>
      <c r="F265" s="7"/>
      <c r="G265" s="7">
        <f t="shared" ref="G265:K268" si="27">IF($F265=G$1,1,0)</f>
        <v>0</v>
      </c>
      <c r="H265" s="7">
        <f t="shared" si="27"/>
        <v>0</v>
      </c>
      <c r="I265" s="7">
        <f t="shared" si="27"/>
        <v>1</v>
      </c>
      <c r="J265" s="7">
        <f t="shared" si="27"/>
        <v>0</v>
      </c>
      <c r="K265" s="7">
        <f t="shared" si="27"/>
        <v>0</v>
      </c>
      <c r="L265" s="6"/>
    </row>
    <row r="266" spans="1:12" outlineLevel="1" x14ac:dyDescent="0.25">
      <c r="A266" s="21">
        <f t="shared" si="25"/>
        <v>3.4025000000000052</v>
      </c>
      <c r="B266" s="5" t="s">
        <v>482</v>
      </c>
      <c r="C266" s="22" t="s">
        <v>488</v>
      </c>
      <c r="D266" s="6"/>
      <c r="E266" s="5"/>
      <c r="F266" s="7"/>
      <c r="G266" s="7">
        <f t="shared" si="27"/>
        <v>0</v>
      </c>
      <c r="H266" s="7">
        <f t="shared" si="27"/>
        <v>0</v>
      </c>
      <c r="I266" s="7">
        <f t="shared" si="27"/>
        <v>1</v>
      </c>
      <c r="J266" s="7">
        <f t="shared" si="27"/>
        <v>0</v>
      </c>
      <c r="K266" s="7">
        <f t="shared" si="27"/>
        <v>0</v>
      </c>
      <c r="L266" s="6"/>
    </row>
    <row r="267" spans="1:12" outlineLevel="1" x14ac:dyDescent="0.25">
      <c r="A267" s="21">
        <f t="shared" si="25"/>
        <v>3.4026000000000054</v>
      </c>
      <c r="B267" s="5" t="s">
        <v>489</v>
      </c>
      <c r="C267" s="22" t="s">
        <v>490</v>
      </c>
      <c r="D267" s="6"/>
      <c r="E267" s="5"/>
      <c r="F267" s="7"/>
      <c r="G267" s="7">
        <f t="shared" si="27"/>
        <v>0</v>
      </c>
      <c r="H267" s="7">
        <f t="shared" si="27"/>
        <v>0</v>
      </c>
      <c r="I267" s="7">
        <f t="shared" si="27"/>
        <v>1</v>
      </c>
      <c r="J267" s="7">
        <f t="shared" si="27"/>
        <v>0</v>
      </c>
      <c r="K267" s="7">
        <f t="shared" si="27"/>
        <v>0</v>
      </c>
      <c r="L267" s="6"/>
    </row>
    <row r="268" spans="1:12" outlineLevel="1" x14ac:dyDescent="0.25">
      <c r="A268" s="21">
        <f t="shared" si="25"/>
        <v>3.4027000000000056</v>
      </c>
      <c r="B268" s="5" t="s">
        <v>491</v>
      </c>
      <c r="C268" s="22"/>
      <c r="D268" s="6"/>
      <c r="E268" s="5"/>
      <c r="F268" s="7"/>
      <c r="G268" s="7">
        <f t="shared" si="27"/>
        <v>0</v>
      </c>
      <c r="H268" s="7">
        <f t="shared" si="27"/>
        <v>0</v>
      </c>
      <c r="I268" s="7">
        <f t="shared" si="27"/>
        <v>1</v>
      </c>
      <c r="J268" s="7">
        <f t="shared" si="27"/>
        <v>0</v>
      </c>
      <c r="K268" s="7">
        <f t="shared" si="27"/>
        <v>0</v>
      </c>
      <c r="L268" s="6"/>
    </row>
    <row r="269" spans="1:12" s="19" customFormat="1" x14ac:dyDescent="0.25">
      <c r="A269" s="78">
        <v>3.5</v>
      </c>
      <c r="B269" s="79" t="s">
        <v>507</v>
      </c>
      <c r="C269" s="80"/>
      <c r="D269" s="81"/>
      <c r="E269" s="81"/>
      <c r="F269" s="82"/>
      <c r="G269" s="82"/>
      <c r="H269" s="82"/>
      <c r="I269" s="82"/>
      <c r="J269" s="82"/>
      <c r="K269" s="82"/>
      <c r="L269" s="81"/>
    </row>
    <row r="270" spans="1:12" outlineLevel="1" x14ac:dyDescent="0.25">
      <c r="A270" s="21">
        <f>A269+0.0001</f>
        <v>3.5001000000000002</v>
      </c>
      <c r="B270" s="5" t="s">
        <v>343</v>
      </c>
      <c r="C270" s="22" t="s">
        <v>492</v>
      </c>
      <c r="D270" s="6"/>
      <c r="E270" s="5"/>
      <c r="F270" s="7"/>
      <c r="G270" s="7">
        <f t="shared" ref="G270:K272" si="28">IF($F270=G$1,1,0)</f>
        <v>0</v>
      </c>
      <c r="H270" s="7">
        <f t="shared" si="28"/>
        <v>0</v>
      </c>
      <c r="I270" s="7">
        <f t="shared" si="28"/>
        <v>1</v>
      </c>
      <c r="J270" s="7">
        <f t="shared" si="28"/>
        <v>0</v>
      </c>
      <c r="K270" s="7">
        <f t="shared" si="28"/>
        <v>0</v>
      </c>
      <c r="L270" s="6"/>
    </row>
    <row r="271" spans="1:12" outlineLevel="1" x14ac:dyDescent="0.25">
      <c r="A271" s="21">
        <f>A270+0.0001</f>
        <v>3.5002000000000004</v>
      </c>
      <c r="B271" s="5"/>
      <c r="C271" s="22" t="s">
        <v>493</v>
      </c>
      <c r="D271" s="6"/>
      <c r="E271" s="5"/>
      <c r="F271" s="7"/>
      <c r="G271" s="7">
        <f t="shared" si="28"/>
        <v>0</v>
      </c>
      <c r="H271" s="7">
        <f t="shared" si="28"/>
        <v>0</v>
      </c>
      <c r="I271" s="7">
        <f t="shared" si="28"/>
        <v>1</v>
      </c>
      <c r="J271" s="7">
        <f t="shared" si="28"/>
        <v>0</v>
      </c>
      <c r="K271" s="7">
        <f t="shared" si="28"/>
        <v>0</v>
      </c>
      <c r="L271" s="6"/>
    </row>
    <row r="272" spans="1:12" outlineLevel="1" x14ac:dyDescent="0.25">
      <c r="A272" s="21">
        <f>A271+0.0001</f>
        <v>3.5003000000000006</v>
      </c>
      <c r="B272" s="5" t="s">
        <v>482</v>
      </c>
      <c r="C272" s="22" t="s">
        <v>494</v>
      </c>
      <c r="D272" s="6"/>
      <c r="E272" s="5"/>
      <c r="F272" s="7"/>
      <c r="G272" s="7">
        <f t="shared" si="28"/>
        <v>0</v>
      </c>
      <c r="H272" s="7">
        <f t="shared" si="28"/>
        <v>0</v>
      </c>
      <c r="I272" s="7">
        <f t="shared" si="28"/>
        <v>1</v>
      </c>
      <c r="J272" s="7">
        <f t="shared" si="28"/>
        <v>0</v>
      </c>
      <c r="K272" s="7">
        <f t="shared" si="28"/>
        <v>0</v>
      </c>
      <c r="L272" s="6"/>
    </row>
    <row r="273" spans="1:12" s="19" customFormat="1" x14ac:dyDescent="0.25">
      <c r="A273" s="15">
        <v>4</v>
      </c>
      <c r="B273" s="71" t="s">
        <v>525</v>
      </c>
      <c r="C273" s="35"/>
      <c r="D273" s="36"/>
      <c r="E273" s="36"/>
      <c r="F273" s="37"/>
      <c r="G273" s="37"/>
      <c r="H273" s="37"/>
      <c r="I273" s="37"/>
      <c r="J273" s="37"/>
      <c r="K273" s="37"/>
      <c r="L273" s="36"/>
    </row>
    <row r="274" spans="1:12" outlineLevel="1" x14ac:dyDescent="0.25">
      <c r="A274" s="4">
        <f t="shared" ref="A274:A281" si="29">A273+0.0001</f>
        <v>4.0000999999999998</v>
      </c>
      <c r="B274" s="72" t="s">
        <v>18</v>
      </c>
      <c r="C274" s="22" t="s">
        <v>39</v>
      </c>
      <c r="D274" s="6"/>
      <c r="E274" s="5"/>
      <c r="F274" s="7"/>
      <c r="G274" s="7">
        <f t="shared" ref="G274:K281" si="30">IF($F274=G$1,1,0)</f>
        <v>0</v>
      </c>
      <c r="H274" s="7">
        <f t="shared" si="30"/>
        <v>0</v>
      </c>
      <c r="I274" s="7">
        <f t="shared" si="30"/>
        <v>1</v>
      </c>
      <c r="J274" s="7">
        <f t="shared" si="30"/>
        <v>0</v>
      </c>
      <c r="K274" s="7">
        <f t="shared" si="30"/>
        <v>0</v>
      </c>
      <c r="L274" s="6"/>
    </row>
    <row r="275" spans="1:12" outlineLevel="1" x14ac:dyDescent="0.25">
      <c r="A275" s="4">
        <f t="shared" si="29"/>
        <v>4.0001999999999995</v>
      </c>
      <c r="B275" s="53" t="s">
        <v>40</v>
      </c>
      <c r="C275" s="22" t="s">
        <v>19</v>
      </c>
      <c r="D275" s="6"/>
      <c r="E275" s="5"/>
      <c r="F275" s="7"/>
      <c r="G275" s="7">
        <f t="shared" si="30"/>
        <v>0</v>
      </c>
      <c r="H275" s="7">
        <f t="shared" si="30"/>
        <v>0</v>
      </c>
      <c r="I275" s="7">
        <f t="shared" si="30"/>
        <v>1</v>
      </c>
      <c r="J275" s="7">
        <f t="shared" si="30"/>
        <v>0</v>
      </c>
      <c r="K275" s="7">
        <f t="shared" si="30"/>
        <v>0</v>
      </c>
      <c r="L275" s="6"/>
    </row>
    <row r="276" spans="1:12" outlineLevel="1" x14ac:dyDescent="0.25">
      <c r="A276" s="4">
        <f t="shared" si="29"/>
        <v>4.0002999999999993</v>
      </c>
      <c r="B276" s="53" t="s">
        <v>41</v>
      </c>
      <c r="C276" s="22"/>
      <c r="D276" s="6"/>
      <c r="E276" s="5"/>
      <c r="F276" s="7"/>
      <c r="G276" s="7">
        <f t="shared" si="30"/>
        <v>0</v>
      </c>
      <c r="H276" s="7">
        <f t="shared" si="30"/>
        <v>0</v>
      </c>
      <c r="I276" s="7">
        <f t="shared" si="30"/>
        <v>1</v>
      </c>
      <c r="J276" s="7">
        <f t="shared" si="30"/>
        <v>0</v>
      </c>
      <c r="K276" s="7">
        <f t="shared" si="30"/>
        <v>0</v>
      </c>
      <c r="L276" s="6"/>
    </row>
    <row r="277" spans="1:12" ht="25.5" outlineLevel="1" x14ac:dyDescent="0.25">
      <c r="A277" s="4">
        <f t="shared" si="29"/>
        <v>4.0003999999999991</v>
      </c>
      <c r="B277" s="31" t="s">
        <v>424</v>
      </c>
      <c r="C277" s="23" t="s">
        <v>42</v>
      </c>
      <c r="D277" s="6"/>
      <c r="E277" s="6"/>
      <c r="F277" s="7"/>
      <c r="G277" s="7">
        <f t="shared" si="30"/>
        <v>0</v>
      </c>
      <c r="H277" s="7">
        <f t="shared" si="30"/>
        <v>0</v>
      </c>
      <c r="I277" s="7">
        <f t="shared" si="30"/>
        <v>1</v>
      </c>
      <c r="J277" s="7">
        <f t="shared" si="30"/>
        <v>0</v>
      </c>
      <c r="K277" s="7">
        <f t="shared" si="30"/>
        <v>0</v>
      </c>
      <c r="L277" s="6"/>
    </row>
    <row r="278" spans="1:12" ht="25.5" outlineLevel="1" x14ac:dyDescent="0.25">
      <c r="A278" s="4">
        <f t="shared" si="29"/>
        <v>4.0004999999999988</v>
      </c>
      <c r="B278" s="53"/>
      <c r="C278" s="23" t="s">
        <v>43</v>
      </c>
      <c r="D278" s="6"/>
      <c r="E278" s="6"/>
      <c r="F278" s="7"/>
      <c r="G278" s="7">
        <f t="shared" si="30"/>
        <v>0</v>
      </c>
      <c r="H278" s="7">
        <f t="shared" si="30"/>
        <v>0</v>
      </c>
      <c r="I278" s="7">
        <f t="shared" si="30"/>
        <v>1</v>
      </c>
      <c r="J278" s="7">
        <f t="shared" si="30"/>
        <v>0</v>
      </c>
      <c r="K278" s="7">
        <f t="shared" si="30"/>
        <v>0</v>
      </c>
      <c r="L278" s="6"/>
    </row>
    <row r="279" spans="1:12" outlineLevel="1" x14ac:dyDescent="0.25">
      <c r="A279" s="4">
        <f t="shared" si="29"/>
        <v>4.0005999999999986</v>
      </c>
      <c r="B279" s="72" t="s">
        <v>527</v>
      </c>
      <c r="C279" s="94" t="s">
        <v>528</v>
      </c>
      <c r="D279" s="6"/>
      <c r="E279" s="5"/>
      <c r="F279" s="7"/>
      <c r="G279" s="7">
        <f t="shared" si="30"/>
        <v>0</v>
      </c>
      <c r="H279" s="7">
        <f t="shared" si="30"/>
        <v>0</v>
      </c>
      <c r="I279" s="7">
        <f t="shared" si="30"/>
        <v>1</v>
      </c>
      <c r="J279" s="7">
        <f t="shared" si="30"/>
        <v>0</v>
      </c>
      <c r="K279" s="7">
        <f t="shared" si="30"/>
        <v>0</v>
      </c>
      <c r="L279" s="6"/>
    </row>
    <row r="280" spans="1:12" outlineLevel="1" x14ac:dyDescent="0.25">
      <c r="A280" s="4">
        <f t="shared" si="29"/>
        <v>4.0006999999999984</v>
      </c>
      <c r="B280" s="53" t="s">
        <v>40</v>
      </c>
      <c r="C280" s="22"/>
      <c r="D280" s="6"/>
      <c r="E280" s="5"/>
      <c r="F280" s="7"/>
      <c r="G280" s="7">
        <f t="shared" si="30"/>
        <v>0</v>
      </c>
      <c r="H280" s="7">
        <f t="shared" si="30"/>
        <v>0</v>
      </c>
      <c r="I280" s="7">
        <f t="shared" si="30"/>
        <v>1</v>
      </c>
      <c r="J280" s="7">
        <f t="shared" si="30"/>
        <v>0</v>
      </c>
      <c r="K280" s="7">
        <f t="shared" si="30"/>
        <v>0</v>
      </c>
      <c r="L280" s="6"/>
    </row>
    <row r="281" spans="1:12" outlineLevel="1" x14ac:dyDescent="0.25">
      <c r="A281" s="4">
        <f t="shared" si="29"/>
        <v>4.0007999999999981</v>
      </c>
      <c r="B281" s="53" t="s">
        <v>41</v>
      </c>
      <c r="C281" s="22"/>
      <c r="D281" s="6"/>
      <c r="E281" s="5"/>
      <c r="F281" s="7"/>
      <c r="G281" s="7">
        <f t="shared" si="30"/>
        <v>0</v>
      </c>
      <c r="H281" s="7">
        <f t="shared" si="30"/>
        <v>0</v>
      </c>
      <c r="I281" s="7">
        <f t="shared" si="30"/>
        <v>1</v>
      </c>
      <c r="J281" s="7">
        <f t="shared" si="30"/>
        <v>0</v>
      </c>
      <c r="K281" s="7">
        <f t="shared" si="30"/>
        <v>0</v>
      </c>
      <c r="L281" s="6"/>
    </row>
    <row r="282" spans="1:12" s="19" customFormat="1" x14ac:dyDescent="0.25">
      <c r="A282" s="78">
        <v>4.0999999999999996</v>
      </c>
      <c r="B282" s="87" t="s">
        <v>495</v>
      </c>
      <c r="C282" s="80"/>
      <c r="D282" s="81"/>
      <c r="E282" s="81"/>
      <c r="F282" s="82"/>
      <c r="G282" s="82"/>
      <c r="H282" s="82"/>
      <c r="I282" s="82"/>
      <c r="J282" s="82"/>
      <c r="K282" s="82"/>
      <c r="L282" s="81"/>
    </row>
    <row r="283" spans="1:12" ht="51" outlineLevel="1" x14ac:dyDescent="0.25">
      <c r="A283" s="21">
        <f t="shared" ref="A283:A289" si="31">A282+0.0001</f>
        <v>4.1000999999999994</v>
      </c>
      <c r="B283" s="24" t="s">
        <v>425</v>
      </c>
      <c r="C283" s="22" t="s">
        <v>426</v>
      </c>
      <c r="D283" s="6"/>
      <c r="E283" s="6"/>
      <c r="F283" s="7"/>
      <c r="G283" s="7">
        <f t="shared" ref="G283:K289" si="32">IF($F283=G$1,1,0)</f>
        <v>0</v>
      </c>
      <c r="H283" s="7">
        <f t="shared" si="32"/>
        <v>0</v>
      </c>
      <c r="I283" s="7">
        <f t="shared" si="32"/>
        <v>1</v>
      </c>
      <c r="J283" s="7">
        <f t="shared" si="32"/>
        <v>0</v>
      </c>
      <c r="K283" s="7">
        <f t="shared" si="32"/>
        <v>0</v>
      </c>
      <c r="L283" s="6"/>
    </row>
    <row r="284" spans="1:12" outlineLevel="1" x14ac:dyDescent="0.25">
      <c r="A284" s="21">
        <f t="shared" si="31"/>
        <v>4.1001999999999992</v>
      </c>
      <c r="B284" s="25" t="s">
        <v>171</v>
      </c>
      <c r="C284" s="22" t="s">
        <v>172</v>
      </c>
      <c r="D284" s="6"/>
      <c r="E284" s="6"/>
      <c r="F284" s="7"/>
      <c r="G284" s="7">
        <f t="shared" si="32"/>
        <v>0</v>
      </c>
      <c r="H284" s="7">
        <f t="shared" si="32"/>
        <v>0</v>
      </c>
      <c r="I284" s="7">
        <f t="shared" si="32"/>
        <v>1</v>
      </c>
      <c r="J284" s="7">
        <f t="shared" si="32"/>
        <v>0</v>
      </c>
      <c r="K284" s="7">
        <f t="shared" si="32"/>
        <v>0</v>
      </c>
      <c r="L284" s="6"/>
    </row>
    <row r="285" spans="1:12" outlineLevel="1" x14ac:dyDescent="0.25">
      <c r="A285" s="21">
        <f t="shared" si="31"/>
        <v>4.1002999999999989</v>
      </c>
      <c r="B285" s="25"/>
      <c r="C285" s="22" t="s">
        <v>173</v>
      </c>
      <c r="D285" s="6"/>
      <c r="E285" s="6"/>
      <c r="F285" s="7"/>
      <c r="G285" s="7">
        <f t="shared" si="32"/>
        <v>0</v>
      </c>
      <c r="H285" s="7">
        <f t="shared" si="32"/>
        <v>0</v>
      </c>
      <c r="I285" s="7">
        <f t="shared" si="32"/>
        <v>1</v>
      </c>
      <c r="J285" s="7">
        <f t="shared" si="32"/>
        <v>0</v>
      </c>
      <c r="K285" s="7">
        <f t="shared" si="32"/>
        <v>0</v>
      </c>
      <c r="L285" s="6"/>
    </row>
    <row r="286" spans="1:12" outlineLevel="1" x14ac:dyDescent="0.25">
      <c r="A286" s="21">
        <f t="shared" si="31"/>
        <v>4.1003999999999987</v>
      </c>
      <c r="B286" s="25"/>
      <c r="C286" s="23" t="s">
        <v>176</v>
      </c>
      <c r="D286" s="6"/>
      <c r="E286" s="6"/>
      <c r="F286" s="7"/>
      <c r="G286" s="7">
        <f t="shared" si="32"/>
        <v>0</v>
      </c>
      <c r="H286" s="7">
        <f t="shared" si="32"/>
        <v>0</v>
      </c>
      <c r="I286" s="7">
        <f t="shared" si="32"/>
        <v>1</v>
      </c>
      <c r="J286" s="7">
        <f t="shared" si="32"/>
        <v>0</v>
      </c>
      <c r="K286" s="7">
        <f t="shared" si="32"/>
        <v>0</v>
      </c>
      <c r="L286" s="6"/>
    </row>
    <row r="287" spans="1:12" outlineLevel="1" x14ac:dyDescent="0.25">
      <c r="A287" s="21">
        <f t="shared" si="31"/>
        <v>4.1004999999999985</v>
      </c>
      <c r="B287" s="25" t="s">
        <v>340</v>
      </c>
      <c r="C287" s="23"/>
      <c r="D287" s="6"/>
      <c r="E287" s="6"/>
      <c r="F287" s="7"/>
      <c r="G287" s="7">
        <f t="shared" si="32"/>
        <v>0</v>
      </c>
      <c r="H287" s="7">
        <f t="shared" si="32"/>
        <v>0</v>
      </c>
      <c r="I287" s="7">
        <f t="shared" si="32"/>
        <v>1</v>
      </c>
      <c r="J287" s="7">
        <f t="shared" si="32"/>
        <v>0</v>
      </c>
      <c r="K287" s="7">
        <f t="shared" si="32"/>
        <v>0</v>
      </c>
      <c r="L287" s="6"/>
    </row>
    <row r="288" spans="1:12" outlineLevel="1" x14ac:dyDescent="0.25">
      <c r="A288" s="21">
        <f t="shared" si="31"/>
        <v>4.1005999999999982</v>
      </c>
      <c r="B288" s="25" t="s">
        <v>427</v>
      </c>
      <c r="C288" s="23" t="s">
        <v>428</v>
      </c>
      <c r="D288" s="6"/>
      <c r="E288" s="6"/>
      <c r="F288" s="7"/>
      <c r="G288" s="7">
        <f t="shared" si="32"/>
        <v>0</v>
      </c>
      <c r="H288" s="7">
        <f t="shared" si="32"/>
        <v>0</v>
      </c>
      <c r="I288" s="7">
        <f t="shared" si="32"/>
        <v>1</v>
      </c>
      <c r="J288" s="7">
        <f t="shared" si="32"/>
        <v>0</v>
      </c>
      <c r="K288" s="7">
        <f t="shared" si="32"/>
        <v>0</v>
      </c>
      <c r="L288" s="6"/>
    </row>
    <row r="289" spans="1:12" outlineLevel="1" x14ac:dyDescent="0.25">
      <c r="A289" s="21">
        <f t="shared" si="31"/>
        <v>4.100699999999998</v>
      </c>
      <c r="B289" s="43" t="s">
        <v>350</v>
      </c>
      <c r="C289" s="23" t="s">
        <v>429</v>
      </c>
      <c r="D289" s="6"/>
      <c r="E289" s="6"/>
      <c r="F289" s="7"/>
      <c r="G289" s="7">
        <f t="shared" si="32"/>
        <v>0</v>
      </c>
      <c r="H289" s="7">
        <f t="shared" si="32"/>
        <v>0</v>
      </c>
      <c r="I289" s="7">
        <f t="shared" si="32"/>
        <v>1</v>
      </c>
      <c r="J289" s="7">
        <f t="shared" si="32"/>
        <v>0</v>
      </c>
      <c r="K289" s="7">
        <f t="shared" si="32"/>
        <v>0</v>
      </c>
      <c r="L289" s="6"/>
    </row>
    <row r="290" spans="1:12" x14ac:dyDescent="0.25">
      <c r="A290" s="78">
        <v>4.2</v>
      </c>
      <c r="B290" s="87" t="s">
        <v>496</v>
      </c>
      <c r="C290" s="80"/>
      <c r="D290" s="81"/>
      <c r="E290" s="81"/>
      <c r="F290" s="82"/>
      <c r="G290" s="82"/>
      <c r="H290" s="82"/>
      <c r="I290" s="82"/>
      <c r="J290" s="82"/>
      <c r="K290" s="82"/>
      <c r="L290" s="81"/>
    </row>
    <row r="291" spans="1:12" outlineLevel="1" x14ac:dyDescent="0.25">
      <c r="A291" s="21">
        <f t="shared" ref="A291:A306" si="33">A290+0.0001</f>
        <v>4.2000999999999999</v>
      </c>
      <c r="B291" s="24" t="s">
        <v>284</v>
      </c>
      <c r="C291" s="23" t="s">
        <v>285</v>
      </c>
      <c r="D291" s="6"/>
      <c r="E291" s="6"/>
      <c r="F291" s="7"/>
      <c r="G291" s="7">
        <f t="shared" ref="G291:K306" si="34">IF($F291=G$1,1,0)</f>
        <v>0</v>
      </c>
      <c r="H291" s="7">
        <f t="shared" si="34"/>
        <v>0</v>
      </c>
      <c r="I291" s="7">
        <f t="shared" si="34"/>
        <v>1</v>
      </c>
      <c r="J291" s="7">
        <f t="shared" si="34"/>
        <v>0</v>
      </c>
      <c r="K291" s="7">
        <f t="shared" si="34"/>
        <v>0</v>
      </c>
      <c r="L291" s="6"/>
    </row>
    <row r="292" spans="1:12" ht="25.5" outlineLevel="1" x14ac:dyDescent="0.25">
      <c r="A292" s="21">
        <f t="shared" si="33"/>
        <v>4.2001999999999997</v>
      </c>
      <c r="B292" s="25"/>
      <c r="C292" s="23" t="s">
        <v>430</v>
      </c>
      <c r="D292" s="6"/>
      <c r="E292" s="6"/>
      <c r="F292" s="7"/>
      <c r="G292" s="7">
        <f t="shared" si="34"/>
        <v>0</v>
      </c>
      <c r="H292" s="7">
        <f t="shared" si="34"/>
        <v>0</v>
      </c>
      <c r="I292" s="7">
        <f t="shared" si="34"/>
        <v>1</v>
      </c>
      <c r="J292" s="7">
        <f t="shared" si="34"/>
        <v>0</v>
      </c>
      <c r="K292" s="7">
        <f t="shared" si="34"/>
        <v>0</v>
      </c>
      <c r="L292" s="6"/>
    </row>
    <row r="293" spans="1:12" outlineLevel="1" x14ac:dyDescent="0.25">
      <c r="A293" s="21">
        <f t="shared" si="33"/>
        <v>4.2002999999999995</v>
      </c>
      <c r="B293" s="25" t="s">
        <v>348</v>
      </c>
      <c r="C293" s="48" t="s">
        <v>431</v>
      </c>
      <c r="D293" s="6"/>
      <c r="E293" s="6"/>
      <c r="F293" s="7"/>
      <c r="G293" s="7">
        <f t="shared" si="34"/>
        <v>0</v>
      </c>
      <c r="H293" s="7">
        <f t="shared" si="34"/>
        <v>0</v>
      </c>
      <c r="I293" s="7">
        <f t="shared" si="34"/>
        <v>1</v>
      </c>
      <c r="J293" s="7">
        <f t="shared" si="34"/>
        <v>0</v>
      </c>
      <c r="K293" s="7">
        <f t="shared" si="34"/>
        <v>0</v>
      </c>
      <c r="L293" s="6"/>
    </row>
    <row r="294" spans="1:12" outlineLevel="1" x14ac:dyDescent="0.25">
      <c r="A294" s="21">
        <f t="shared" si="33"/>
        <v>4.2003999999999992</v>
      </c>
      <c r="B294" s="25" t="s">
        <v>348</v>
      </c>
      <c r="C294" s="48" t="s">
        <v>432</v>
      </c>
      <c r="D294" s="6"/>
      <c r="E294" s="6"/>
      <c r="F294" s="7"/>
      <c r="G294" s="7">
        <f t="shared" si="34"/>
        <v>0</v>
      </c>
      <c r="H294" s="7">
        <f t="shared" si="34"/>
        <v>0</v>
      </c>
      <c r="I294" s="7">
        <f t="shared" si="34"/>
        <v>1</v>
      </c>
      <c r="J294" s="7">
        <f t="shared" si="34"/>
        <v>0</v>
      </c>
      <c r="K294" s="7">
        <f t="shared" si="34"/>
        <v>0</v>
      </c>
      <c r="L294" s="6"/>
    </row>
    <row r="295" spans="1:12" outlineLevel="1" x14ac:dyDescent="0.25">
      <c r="A295" s="21">
        <f t="shared" si="33"/>
        <v>4.200499999999999</v>
      </c>
      <c r="B295" s="25" t="s">
        <v>348</v>
      </c>
      <c r="C295" s="23" t="s">
        <v>433</v>
      </c>
      <c r="D295" s="6"/>
      <c r="E295" s="6"/>
      <c r="F295" s="7"/>
      <c r="G295" s="7">
        <f t="shared" si="34"/>
        <v>0</v>
      </c>
      <c r="H295" s="7">
        <f t="shared" si="34"/>
        <v>0</v>
      </c>
      <c r="I295" s="7">
        <f t="shared" si="34"/>
        <v>1</v>
      </c>
      <c r="J295" s="7">
        <f t="shared" si="34"/>
        <v>0</v>
      </c>
      <c r="K295" s="7">
        <f t="shared" si="34"/>
        <v>0</v>
      </c>
      <c r="L295" s="6"/>
    </row>
    <row r="296" spans="1:12" outlineLevel="1" x14ac:dyDescent="0.25">
      <c r="A296" s="21">
        <f t="shared" si="33"/>
        <v>4.2005999999999988</v>
      </c>
      <c r="B296" s="25" t="s">
        <v>348</v>
      </c>
      <c r="C296" s="23" t="s">
        <v>434</v>
      </c>
      <c r="D296" s="6"/>
      <c r="E296" s="6"/>
      <c r="F296" s="7"/>
      <c r="G296" s="7">
        <f t="shared" si="34"/>
        <v>0</v>
      </c>
      <c r="H296" s="7">
        <f t="shared" si="34"/>
        <v>0</v>
      </c>
      <c r="I296" s="7">
        <f t="shared" si="34"/>
        <v>1</v>
      </c>
      <c r="J296" s="7">
        <f t="shared" si="34"/>
        <v>0</v>
      </c>
      <c r="K296" s="7">
        <f t="shared" si="34"/>
        <v>0</v>
      </c>
      <c r="L296" s="6"/>
    </row>
    <row r="297" spans="1:12" outlineLevel="1" x14ac:dyDescent="0.25">
      <c r="A297" s="21">
        <f t="shared" si="33"/>
        <v>4.2006999999999985</v>
      </c>
      <c r="B297" s="25" t="s">
        <v>348</v>
      </c>
      <c r="C297" s="23" t="s">
        <v>435</v>
      </c>
      <c r="D297" s="6"/>
      <c r="E297" s="6"/>
      <c r="F297" s="7"/>
      <c r="G297" s="7">
        <f t="shared" si="34"/>
        <v>0</v>
      </c>
      <c r="H297" s="7">
        <f t="shared" si="34"/>
        <v>0</v>
      </c>
      <c r="I297" s="7">
        <f t="shared" si="34"/>
        <v>1</v>
      </c>
      <c r="J297" s="7">
        <f t="shared" si="34"/>
        <v>0</v>
      </c>
      <c r="K297" s="7">
        <f t="shared" si="34"/>
        <v>0</v>
      </c>
      <c r="L297" s="6"/>
    </row>
    <row r="298" spans="1:12" outlineLevel="1" x14ac:dyDescent="0.25">
      <c r="A298" s="21">
        <f t="shared" si="33"/>
        <v>4.2007999999999983</v>
      </c>
      <c r="B298" s="5" t="s">
        <v>504</v>
      </c>
      <c r="C298" s="23" t="s">
        <v>505</v>
      </c>
      <c r="D298" s="6"/>
      <c r="E298" s="6" t="s">
        <v>503</v>
      </c>
      <c r="F298" s="7"/>
      <c r="G298" s="7">
        <f t="shared" si="34"/>
        <v>0</v>
      </c>
      <c r="H298" s="7">
        <f t="shared" si="34"/>
        <v>0</v>
      </c>
      <c r="I298" s="7">
        <f t="shared" si="34"/>
        <v>1</v>
      </c>
      <c r="J298" s="7">
        <f t="shared" si="34"/>
        <v>0</v>
      </c>
      <c r="K298" s="7">
        <f t="shared" si="34"/>
        <v>0</v>
      </c>
      <c r="L298" s="6"/>
    </row>
    <row r="299" spans="1:12" outlineLevel="1" x14ac:dyDescent="0.25">
      <c r="A299" s="21">
        <f t="shared" si="33"/>
        <v>4.2008999999999981</v>
      </c>
      <c r="B299" s="25" t="s">
        <v>437</v>
      </c>
      <c r="C299" s="23" t="s">
        <v>441</v>
      </c>
      <c r="D299" s="6"/>
      <c r="E299" s="6"/>
      <c r="F299" s="7"/>
      <c r="G299" s="7">
        <f t="shared" si="34"/>
        <v>0</v>
      </c>
      <c r="H299" s="7">
        <f t="shared" si="34"/>
        <v>0</v>
      </c>
      <c r="I299" s="7">
        <f t="shared" si="34"/>
        <v>1</v>
      </c>
      <c r="J299" s="7">
        <f t="shared" si="34"/>
        <v>0</v>
      </c>
      <c r="K299" s="7">
        <f t="shared" si="34"/>
        <v>0</v>
      </c>
      <c r="L299" s="6"/>
    </row>
    <row r="300" spans="1:12" outlineLevel="1" x14ac:dyDescent="0.25">
      <c r="A300" s="21">
        <f t="shared" si="33"/>
        <v>4.2009999999999978</v>
      </c>
      <c r="B300" s="25"/>
      <c r="C300" s="23" t="s">
        <v>438</v>
      </c>
      <c r="D300" s="6"/>
      <c r="E300" s="6"/>
      <c r="F300" s="7"/>
      <c r="G300" s="7">
        <f t="shared" si="34"/>
        <v>0</v>
      </c>
      <c r="H300" s="7">
        <f t="shared" si="34"/>
        <v>0</v>
      </c>
      <c r="I300" s="7">
        <f t="shared" si="34"/>
        <v>1</v>
      </c>
      <c r="J300" s="7">
        <f t="shared" si="34"/>
        <v>0</v>
      </c>
      <c r="K300" s="7">
        <f t="shared" si="34"/>
        <v>0</v>
      </c>
      <c r="L300" s="6"/>
    </row>
    <row r="301" spans="1:12" outlineLevel="1" x14ac:dyDescent="0.25">
      <c r="A301" s="21">
        <f t="shared" si="33"/>
        <v>4.2010999999999976</v>
      </c>
      <c r="B301" s="25"/>
      <c r="C301" s="23" t="s">
        <v>439</v>
      </c>
      <c r="D301" s="6"/>
      <c r="E301" s="6"/>
      <c r="F301" s="7"/>
      <c r="G301" s="7">
        <f t="shared" si="34"/>
        <v>0</v>
      </c>
      <c r="H301" s="7">
        <f t="shared" si="34"/>
        <v>0</v>
      </c>
      <c r="I301" s="7">
        <f t="shared" si="34"/>
        <v>1</v>
      </c>
      <c r="J301" s="7">
        <f t="shared" si="34"/>
        <v>0</v>
      </c>
      <c r="K301" s="7">
        <f t="shared" si="34"/>
        <v>0</v>
      </c>
      <c r="L301" s="6"/>
    </row>
    <row r="302" spans="1:12" outlineLevel="1" x14ac:dyDescent="0.25">
      <c r="A302" s="21">
        <f t="shared" si="33"/>
        <v>4.2011999999999974</v>
      </c>
      <c r="B302" s="25"/>
      <c r="C302" s="23" t="s">
        <v>440</v>
      </c>
      <c r="D302" s="6"/>
      <c r="E302" s="6"/>
      <c r="F302" s="7"/>
      <c r="G302" s="7">
        <f t="shared" si="34"/>
        <v>0</v>
      </c>
      <c r="H302" s="7">
        <f t="shared" si="34"/>
        <v>0</v>
      </c>
      <c r="I302" s="7">
        <f t="shared" si="34"/>
        <v>1</v>
      </c>
      <c r="J302" s="7">
        <f t="shared" si="34"/>
        <v>0</v>
      </c>
      <c r="K302" s="7">
        <f t="shared" si="34"/>
        <v>0</v>
      </c>
      <c r="L302" s="6"/>
    </row>
    <row r="303" spans="1:12" outlineLevel="1" x14ac:dyDescent="0.25">
      <c r="A303" s="21">
        <f t="shared" si="33"/>
        <v>4.2012999999999971</v>
      </c>
      <c r="B303" s="25" t="s">
        <v>440</v>
      </c>
      <c r="C303" s="23" t="s">
        <v>442</v>
      </c>
      <c r="D303" s="6"/>
      <c r="E303" s="6"/>
      <c r="F303" s="7"/>
      <c r="G303" s="7">
        <f t="shared" si="34"/>
        <v>0</v>
      </c>
      <c r="H303" s="7">
        <f t="shared" si="34"/>
        <v>0</v>
      </c>
      <c r="I303" s="7">
        <f t="shared" si="34"/>
        <v>1</v>
      </c>
      <c r="J303" s="7">
        <f t="shared" si="34"/>
        <v>0</v>
      </c>
      <c r="K303" s="7">
        <f t="shared" si="34"/>
        <v>0</v>
      </c>
      <c r="L303" s="6"/>
    </row>
    <row r="304" spans="1:12" outlineLevel="1" x14ac:dyDescent="0.25">
      <c r="A304" s="21">
        <f t="shared" si="33"/>
        <v>4.2013999999999969</v>
      </c>
      <c r="B304" s="25" t="s">
        <v>443</v>
      </c>
      <c r="C304" s="23" t="s">
        <v>444</v>
      </c>
      <c r="D304" s="6"/>
      <c r="E304" s="6"/>
      <c r="F304" s="7"/>
      <c r="G304" s="7">
        <f t="shared" si="34"/>
        <v>0</v>
      </c>
      <c r="H304" s="7">
        <f t="shared" si="34"/>
        <v>0</v>
      </c>
      <c r="I304" s="7">
        <f t="shared" si="34"/>
        <v>1</v>
      </c>
      <c r="J304" s="7">
        <f t="shared" si="34"/>
        <v>0</v>
      </c>
      <c r="K304" s="7">
        <f t="shared" si="34"/>
        <v>0</v>
      </c>
      <c r="L304" s="6"/>
    </row>
    <row r="305" spans="1:12" outlineLevel="1" x14ac:dyDescent="0.25">
      <c r="A305" s="21">
        <f t="shared" si="33"/>
        <v>4.2014999999999967</v>
      </c>
      <c r="B305" s="25" t="s">
        <v>349</v>
      </c>
      <c r="C305" s="23" t="s">
        <v>446</v>
      </c>
      <c r="D305" s="6"/>
      <c r="E305" s="6"/>
      <c r="F305" s="7"/>
      <c r="G305" s="7">
        <f t="shared" si="34"/>
        <v>0</v>
      </c>
      <c r="H305" s="7">
        <f t="shared" si="34"/>
        <v>0</v>
      </c>
      <c r="I305" s="7">
        <f t="shared" si="34"/>
        <v>1</v>
      </c>
      <c r="J305" s="7">
        <f t="shared" si="34"/>
        <v>0</v>
      </c>
      <c r="K305" s="7">
        <f t="shared" si="34"/>
        <v>0</v>
      </c>
      <c r="L305" s="6"/>
    </row>
    <row r="306" spans="1:12" outlineLevel="1" x14ac:dyDescent="0.25">
      <c r="A306" s="21">
        <f t="shared" si="33"/>
        <v>4.2015999999999964</v>
      </c>
      <c r="B306" s="25" t="s">
        <v>385</v>
      </c>
      <c r="C306" s="23" t="s">
        <v>445</v>
      </c>
      <c r="D306" s="6"/>
      <c r="E306" s="6"/>
      <c r="F306" s="7"/>
      <c r="G306" s="7">
        <f t="shared" si="34"/>
        <v>0</v>
      </c>
      <c r="H306" s="7">
        <f t="shared" si="34"/>
        <v>0</v>
      </c>
      <c r="I306" s="7">
        <f t="shared" si="34"/>
        <v>1</v>
      </c>
      <c r="J306" s="7">
        <f t="shared" si="34"/>
        <v>0</v>
      </c>
      <c r="K306" s="7">
        <f t="shared" si="34"/>
        <v>0</v>
      </c>
      <c r="L306" s="6"/>
    </row>
    <row r="307" spans="1:12" s="19" customFormat="1" x14ac:dyDescent="0.25">
      <c r="A307" s="78">
        <v>4.3</v>
      </c>
      <c r="B307" s="79" t="s">
        <v>497</v>
      </c>
      <c r="C307" s="80"/>
      <c r="D307" s="81"/>
      <c r="E307" s="81"/>
      <c r="F307" s="82"/>
      <c r="G307" s="82"/>
      <c r="H307" s="82"/>
      <c r="I307" s="82"/>
      <c r="J307" s="82"/>
      <c r="K307" s="82"/>
      <c r="L307" s="81"/>
    </row>
    <row r="308" spans="1:12" outlineLevel="1" x14ac:dyDescent="0.25">
      <c r="A308" s="21">
        <f>A307+0.0001</f>
        <v>4.3000999999999996</v>
      </c>
      <c r="B308" s="24" t="s">
        <v>447</v>
      </c>
      <c r="C308" s="22" t="s">
        <v>448</v>
      </c>
      <c r="D308" s="6"/>
      <c r="E308" s="5"/>
      <c r="F308" s="7"/>
      <c r="G308" s="7">
        <f t="shared" ref="G308:K344" si="35">IF($F308=G$1,1,0)</f>
        <v>0</v>
      </c>
      <c r="H308" s="7">
        <f t="shared" si="35"/>
        <v>0</v>
      </c>
      <c r="I308" s="7">
        <f t="shared" si="35"/>
        <v>1</v>
      </c>
      <c r="J308" s="7">
        <f t="shared" si="35"/>
        <v>0</v>
      </c>
      <c r="K308" s="7">
        <f t="shared" si="35"/>
        <v>0</v>
      </c>
      <c r="L308" s="6"/>
    </row>
    <row r="309" spans="1:12" ht="25.5" outlineLevel="1" x14ac:dyDescent="0.25">
      <c r="A309" s="21">
        <f t="shared" ref="A309:A344" si="36">A308+0.0001</f>
        <v>4.3001999999999994</v>
      </c>
      <c r="B309" s="24" t="s">
        <v>449</v>
      </c>
      <c r="C309" s="22" t="s">
        <v>452</v>
      </c>
      <c r="D309" s="6"/>
      <c r="E309" s="5"/>
      <c r="F309" s="7"/>
      <c r="G309" s="7">
        <f t="shared" si="35"/>
        <v>0</v>
      </c>
      <c r="H309" s="7">
        <f t="shared" si="35"/>
        <v>0</v>
      </c>
      <c r="I309" s="7">
        <f t="shared" si="35"/>
        <v>1</v>
      </c>
      <c r="J309" s="7">
        <f t="shared" si="35"/>
        <v>0</v>
      </c>
      <c r="K309" s="7">
        <f t="shared" si="35"/>
        <v>0</v>
      </c>
      <c r="L309" s="6"/>
    </row>
    <row r="310" spans="1:12" outlineLevel="1" x14ac:dyDescent="0.25">
      <c r="A310" s="21">
        <f t="shared" si="36"/>
        <v>4.3002999999999991</v>
      </c>
      <c r="B310" s="26"/>
      <c r="C310" s="22" t="s">
        <v>450</v>
      </c>
      <c r="D310" s="6"/>
      <c r="E310" s="5"/>
      <c r="F310" s="7"/>
      <c r="G310" s="7">
        <f t="shared" si="35"/>
        <v>0</v>
      </c>
      <c r="H310" s="7">
        <f t="shared" si="35"/>
        <v>0</v>
      </c>
      <c r="I310" s="7">
        <f t="shared" si="35"/>
        <v>1</v>
      </c>
      <c r="J310" s="7">
        <f t="shared" si="35"/>
        <v>0</v>
      </c>
      <c r="K310" s="7">
        <f t="shared" si="35"/>
        <v>0</v>
      </c>
      <c r="L310" s="6"/>
    </row>
    <row r="311" spans="1:12" outlineLevel="1" x14ac:dyDescent="0.25">
      <c r="A311" s="21">
        <f t="shared" si="36"/>
        <v>4.3003999999999989</v>
      </c>
      <c r="B311" s="25" t="s">
        <v>344</v>
      </c>
      <c r="C311" s="22" t="s">
        <v>453</v>
      </c>
      <c r="D311" s="6"/>
      <c r="E311" s="5"/>
      <c r="F311" s="7"/>
      <c r="G311" s="7">
        <f t="shared" si="35"/>
        <v>0</v>
      </c>
      <c r="H311" s="7">
        <f t="shared" si="35"/>
        <v>0</v>
      </c>
      <c r="I311" s="7">
        <f t="shared" si="35"/>
        <v>1</v>
      </c>
      <c r="J311" s="7">
        <f t="shared" si="35"/>
        <v>0</v>
      </c>
      <c r="K311" s="7">
        <f t="shared" si="35"/>
        <v>0</v>
      </c>
      <c r="L311" s="6"/>
    </row>
    <row r="312" spans="1:12" outlineLevel="1" x14ac:dyDescent="0.25">
      <c r="A312" s="21">
        <f t="shared" si="36"/>
        <v>4.3004999999999987</v>
      </c>
      <c r="B312" s="26"/>
      <c r="C312" s="22" t="s">
        <v>451</v>
      </c>
      <c r="D312" s="6"/>
      <c r="E312" s="5"/>
      <c r="F312" s="7"/>
      <c r="G312" s="7">
        <f t="shared" si="35"/>
        <v>0</v>
      </c>
      <c r="H312" s="7">
        <f t="shared" si="35"/>
        <v>0</v>
      </c>
      <c r="I312" s="7">
        <f t="shared" si="35"/>
        <v>1</v>
      </c>
      <c r="J312" s="7">
        <f t="shared" si="35"/>
        <v>0</v>
      </c>
      <c r="K312" s="7">
        <f t="shared" si="35"/>
        <v>0</v>
      </c>
      <c r="L312" s="6"/>
    </row>
    <row r="313" spans="1:12" outlineLevel="1" x14ac:dyDescent="0.25">
      <c r="A313" s="21">
        <f t="shared" si="36"/>
        <v>4.3005999999999984</v>
      </c>
      <c r="B313" s="25" t="s">
        <v>348</v>
      </c>
      <c r="C313" s="22" t="s">
        <v>350</v>
      </c>
      <c r="D313" s="6"/>
      <c r="E313" s="5"/>
      <c r="F313" s="7"/>
      <c r="G313" s="7">
        <f t="shared" si="35"/>
        <v>0</v>
      </c>
      <c r="H313" s="7">
        <f t="shared" si="35"/>
        <v>0</v>
      </c>
      <c r="I313" s="7">
        <f t="shared" si="35"/>
        <v>1</v>
      </c>
      <c r="J313" s="7">
        <f t="shared" si="35"/>
        <v>0</v>
      </c>
      <c r="K313" s="7">
        <f t="shared" si="35"/>
        <v>0</v>
      </c>
      <c r="L313" s="6"/>
    </row>
    <row r="314" spans="1:12" outlineLevel="1" x14ac:dyDescent="0.25">
      <c r="A314" s="21">
        <f t="shared" si="36"/>
        <v>4.3006999999999982</v>
      </c>
      <c r="B314" s="24" t="s">
        <v>343</v>
      </c>
      <c r="C314" s="22" t="s">
        <v>345</v>
      </c>
      <c r="D314" s="6"/>
      <c r="E314" s="5"/>
      <c r="F314" s="7"/>
      <c r="G314" s="7">
        <f t="shared" si="35"/>
        <v>0</v>
      </c>
      <c r="H314" s="7">
        <f t="shared" si="35"/>
        <v>0</v>
      </c>
      <c r="I314" s="7">
        <f t="shared" si="35"/>
        <v>1</v>
      </c>
      <c r="J314" s="7">
        <f t="shared" si="35"/>
        <v>0</v>
      </c>
      <c r="K314" s="7">
        <f t="shared" si="35"/>
        <v>0</v>
      </c>
      <c r="L314" s="6"/>
    </row>
    <row r="315" spans="1:12" outlineLevel="1" x14ac:dyDescent="0.25">
      <c r="A315" s="21">
        <f t="shared" si="36"/>
        <v>4.300799999999998</v>
      </c>
      <c r="B315" s="25"/>
      <c r="C315" s="22" t="s">
        <v>454</v>
      </c>
      <c r="D315" s="6"/>
      <c r="E315" s="5"/>
      <c r="F315" s="7"/>
      <c r="G315" s="7">
        <f t="shared" si="35"/>
        <v>0</v>
      </c>
      <c r="H315" s="7">
        <f t="shared" si="35"/>
        <v>0</v>
      </c>
      <c r="I315" s="7">
        <f t="shared" si="35"/>
        <v>1</v>
      </c>
      <c r="J315" s="7">
        <f t="shared" si="35"/>
        <v>0</v>
      </c>
      <c r="K315" s="7">
        <f t="shared" si="35"/>
        <v>0</v>
      </c>
      <c r="L315" s="6"/>
    </row>
    <row r="316" spans="1:12" outlineLevel="1" x14ac:dyDescent="0.25">
      <c r="A316" s="21">
        <f t="shared" si="36"/>
        <v>4.3008999999999977</v>
      </c>
      <c r="B316" s="25"/>
      <c r="C316" s="22" t="s">
        <v>455</v>
      </c>
      <c r="D316" s="6"/>
      <c r="E316" s="5"/>
      <c r="F316" s="7"/>
      <c r="G316" s="7">
        <f t="shared" si="35"/>
        <v>0</v>
      </c>
      <c r="H316" s="7">
        <f t="shared" si="35"/>
        <v>0</v>
      </c>
      <c r="I316" s="7">
        <f t="shared" si="35"/>
        <v>1</v>
      </c>
      <c r="J316" s="7">
        <f t="shared" si="35"/>
        <v>0</v>
      </c>
      <c r="K316" s="7">
        <f t="shared" si="35"/>
        <v>0</v>
      </c>
      <c r="L316" s="6"/>
    </row>
    <row r="317" spans="1:12" outlineLevel="1" x14ac:dyDescent="0.25">
      <c r="A317" s="21">
        <f t="shared" si="36"/>
        <v>4.3009999999999975</v>
      </c>
      <c r="B317" s="25" t="s">
        <v>348</v>
      </c>
      <c r="C317" s="22" t="s">
        <v>347</v>
      </c>
      <c r="D317" s="6"/>
      <c r="E317" s="5"/>
      <c r="F317" s="7"/>
      <c r="G317" s="7">
        <f t="shared" si="35"/>
        <v>0</v>
      </c>
      <c r="H317" s="7">
        <f t="shared" si="35"/>
        <v>0</v>
      </c>
      <c r="I317" s="7">
        <f t="shared" si="35"/>
        <v>1</v>
      </c>
      <c r="J317" s="7">
        <f t="shared" si="35"/>
        <v>0</v>
      </c>
      <c r="K317" s="7">
        <f t="shared" si="35"/>
        <v>0</v>
      </c>
      <c r="L317" s="6"/>
    </row>
    <row r="318" spans="1:12" outlineLevel="1" x14ac:dyDescent="0.25">
      <c r="A318" s="21">
        <f t="shared" si="36"/>
        <v>4.3010999999999973</v>
      </c>
      <c r="B318" s="25" t="s">
        <v>348</v>
      </c>
      <c r="C318" s="22" t="s">
        <v>349</v>
      </c>
      <c r="D318" s="6"/>
      <c r="E318" s="5"/>
      <c r="F318" s="7"/>
      <c r="G318" s="7">
        <f t="shared" si="35"/>
        <v>0</v>
      </c>
      <c r="H318" s="7">
        <f t="shared" si="35"/>
        <v>0</v>
      </c>
      <c r="I318" s="7">
        <f t="shared" si="35"/>
        <v>1</v>
      </c>
      <c r="J318" s="7">
        <f t="shared" si="35"/>
        <v>0</v>
      </c>
      <c r="K318" s="7">
        <f t="shared" si="35"/>
        <v>0</v>
      </c>
      <c r="L318" s="6"/>
    </row>
    <row r="319" spans="1:12" outlineLevel="1" x14ac:dyDescent="0.25">
      <c r="A319" s="21">
        <f t="shared" si="36"/>
        <v>4.301199999999997</v>
      </c>
      <c r="B319" s="25" t="s">
        <v>348</v>
      </c>
      <c r="C319" s="22" t="s">
        <v>350</v>
      </c>
      <c r="D319" s="6"/>
      <c r="E319" s="5"/>
      <c r="F319" s="7"/>
      <c r="G319" s="7">
        <f t="shared" si="35"/>
        <v>0</v>
      </c>
      <c r="H319" s="7">
        <f t="shared" si="35"/>
        <v>0</v>
      </c>
      <c r="I319" s="7">
        <f t="shared" si="35"/>
        <v>1</v>
      </c>
      <c r="J319" s="7">
        <f t="shared" si="35"/>
        <v>0</v>
      </c>
      <c r="K319" s="7">
        <f t="shared" si="35"/>
        <v>0</v>
      </c>
      <c r="L319" s="6"/>
    </row>
    <row r="320" spans="1:12" outlineLevel="1" x14ac:dyDescent="0.25">
      <c r="A320" s="21">
        <f t="shared" si="36"/>
        <v>4.3012999999999968</v>
      </c>
      <c r="B320" s="24" t="s">
        <v>355</v>
      </c>
      <c r="C320" s="22" t="s">
        <v>351</v>
      </c>
      <c r="D320" s="6"/>
      <c r="E320" s="5"/>
      <c r="F320" s="7"/>
      <c r="G320" s="7">
        <f t="shared" si="35"/>
        <v>0</v>
      </c>
      <c r="H320" s="7">
        <f t="shared" si="35"/>
        <v>0</v>
      </c>
      <c r="I320" s="7">
        <f t="shared" si="35"/>
        <v>1</v>
      </c>
      <c r="J320" s="7">
        <f t="shared" si="35"/>
        <v>0</v>
      </c>
      <c r="K320" s="7">
        <f t="shared" si="35"/>
        <v>0</v>
      </c>
      <c r="L320" s="6"/>
    </row>
    <row r="321" spans="1:12" outlineLevel="1" x14ac:dyDescent="0.25">
      <c r="A321" s="21">
        <f t="shared" si="36"/>
        <v>4.3013999999999966</v>
      </c>
      <c r="B321" s="25"/>
      <c r="C321" s="22" t="s">
        <v>352</v>
      </c>
      <c r="D321" s="6"/>
      <c r="E321" s="5"/>
      <c r="F321" s="7"/>
      <c r="G321" s="7">
        <f t="shared" si="35"/>
        <v>0</v>
      </c>
      <c r="H321" s="7">
        <f t="shared" si="35"/>
        <v>0</v>
      </c>
      <c r="I321" s="7">
        <f t="shared" si="35"/>
        <v>1</v>
      </c>
      <c r="J321" s="7">
        <f t="shared" si="35"/>
        <v>0</v>
      </c>
      <c r="K321" s="7">
        <f t="shared" si="35"/>
        <v>0</v>
      </c>
      <c r="L321" s="6"/>
    </row>
    <row r="322" spans="1:12" outlineLevel="1" x14ac:dyDescent="0.25">
      <c r="A322" s="21">
        <f t="shared" si="36"/>
        <v>4.3014999999999963</v>
      </c>
      <c r="B322" s="25"/>
      <c r="C322" s="22" t="s">
        <v>353</v>
      </c>
      <c r="D322" s="6"/>
      <c r="E322" s="5"/>
      <c r="F322" s="7"/>
      <c r="G322" s="7">
        <f t="shared" si="35"/>
        <v>0</v>
      </c>
      <c r="H322" s="7">
        <f t="shared" si="35"/>
        <v>0</v>
      </c>
      <c r="I322" s="7">
        <f t="shared" si="35"/>
        <v>1</v>
      </c>
      <c r="J322" s="7">
        <f t="shared" si="35"/>
        <v>0</v>
      </c>
      <c r="K322" s="7">
        <f t="shared" si="35"/>
        <v>0</v>
      </c>
      <c r="L322" s="6"/>
    </row>
    <row r="323" spans="1:12" outlineLevel="1" x14ac:dyDescent="0.25">
      <c r="A323" s="21">
        <f t="shared" si="36"/>
        <v>4.3015999999999961</v>
      </c>
      <c r="B323" s="25"/>
      <c r="C323" s="22" t="s">
        <v>354</v>
      </c>
      <c r="D323" s="6"/>
      <c r="E323" s="5"/>
      <c r="F323" s="7"/>
      <c r="G323" s="7">
        <f t="shared" si="35"/>
        <v>0</v>
      </c>
      <c r="H323" s="7">
        <f t="shared" si="35"/>
        <v>0</v>
      </c>
      <c r="I323" s="7">
        <f t="shared" si="35"/>
        <v>1</v>
      </c>
      <c r="J323" s="7">
        <f t="shared" si="35"/>
        <v>0</v>
      </c>
      <c r="K323" s="7">
        <f t="shared" si="35"/>
        <v>0</v>
      </c>
      <c r="L323" s="6"/>
    </row>
    <row r="324" spans="1:12" outlineLevel="1" x14ac:dyDescent="0.25">
      <c r="A324" s="21">
        <f t="shared" si="36"/>
        <v>4.3016999999999959</v>
      </c>
      <c r="B324" s="25"/>
      <c r="C324" s="22" t="s">
        <v>369</v>
      </c>
      <c r="D324" s="6"/>
      <c r="E324" s="5"/>
      <c r="F324" s="7"/>
      <c r="G324" s="7">
        <f t="shared" si="35"/>
        <v>0</v>
      </c>
      <c r="H324" s="7">
        <f t="shared" si="35"/>
        <v>0</v>
      </c>
      <c r="I324" s="7">
        <f t="shared" si="35"/>
        <v>1</v>
      </c>
      <c r="J324" s="7">
        <f t="shared" si="35"/>
        <v>0</v>
      </c>
      <c r="K324" s="7">
        <f t="shared" si="35"/>
        <v>0</v>
      </c>
      <c r="L324" s="6"/>
    </row>
    <row r="325" spans="1:12" outlineLevel="1" x14ac:dyDescent="0.25">
      <c r="A325" s="21">
        <f t="shared" si="36"/>
        <v>4.3017999999999956</v>
      </c>
      <c r="B325" s="25"/>
      <c r="C325" s="22" t="s">
        <v>368</v>
      </c>
      <c r="D325" s="6"/>
      <c r="E325" s="5"/>
      <c r="F325" s="7"/>
      <c r="G325" s="7">
        <f t="shared" si="35"/>
        <v>0</v>
      </c>
      <c r="H325" s="7">
        <f t="shared" si="35"/>
        <v>0</v>
      </c>
      <c r="I325" s="7">
        <f t="shared" si="35"/>
        <v>1</v>
      </c>
      <c r="J325" s="7">
        <f t="shared" si="35"/>
        <v>0</v>
      </c>
      <c r="K325" s="7">
        <f t="shared" si="35"/>
        <v>0</v>
      </c>
      <c r="L325" s="6"/>
    </row>
    <row r="326" spans="1:12" outlineLevel="1" x14ac:dyDescent="0.25">
      <c r="A326" s="21">
        <f t="shared" si="36"/>
        <v>4.3018999999999954</v>
      </c>
      <c r="B326" s="88" t="s">
        <v>456</v>
      </c>
      <c r="C326" s="22" t="s">
        <v>370</v>
      </c>
      <c r="D326" s="6"/>
      <c r="E326" s="5"/>
      <c r="F326" s="7"/>
      <c r="G326" s="7">
        <f t="shared" si="35"/>
        <v>0</v>
      </c>
      <c r="H326" s="7">
        <f t="shared" si="35"/>
        <v>0</v>
      </c>
      <c r="I326" s="7">
        <f t="shared" si="35"/>
        <v>1</v>
      </c>
      <c r="J326" s="7">
        <f t="shared" si="35"/>
        <v>0</v>
      </c>
      <c r="K326" s="7">
        <f t="shared" si="35"/>
        <v>0</v>
      </c>
      <c r="L326" s="6"/>
    </row>
    <row r="327" spans="1:12" outlineLevel="1" x14ac:dyDescent="0.25">
      <c r="A327" s="21">
        <f t="shared" si="36"/>
        <v>4.3019999999999952</v>
      </c>
      <c r="B327" s="24" t="s">
        <v>356</v>
      </c>
      <c r="C327" s="22" t="s">
        <v>357</v>
      </c>
      <c r="D327" s="6"/>
      <c r="E327" s="5"/>
      <c r="F327" s="7"/>
      <c r="G327" s="7">
        <f t="shared" si="35"/>
        <v>0</v>
      </c>
      <c r="H327" s="7">
        <f t="shared" si="35"/>
        <v>0</v>
      </c>
      <c r="I327" s="7">
        <f t="shared" si="35"/>
        <v>1</v>
      </c>
      <c r="J327" s="7">
        <f t="shared" si="35"/>
        <v>0</v>
      </c>
      <c r="K327" s="7">
        <f t="shared" si="35"/>
        <v>0</v>
      </c>
      <c r="L327" s="6"/>
    </row>
    <row r="328" spans="1:12" outlineLevel="1" x14ac:dyDescent="0.25">
      <c r="A328" s="21">
        <f t="shared" si="36"/>
        <v>4.3020999999999949</v>
      </c>
      <c r="B328" s="25"/>
      <c r="C328" s="22" t="s">
        <v>358</v>
      </c>
      <c r="D328" s="6"/>
      <c r="E328" s="5"/>
      <c r="F328" s="7"/>
      <c r="G328" s="7">
        <f t="shared" si="35"/>
        <v>0</v>
      </c>
      <c r="H328" s="7">
        <f t="shared" si="35"/>
        <v>0</v>
      </c>
      <c r="I328" s="7">
        <f t="shared" si="35"/>
        <v>1</v>
      </c>
      <c r="J328" s="7">
        <f t="shared" si="35"/>
        <v>0</v>
      </c>
      <c r="K328" s="7">
        <f t="shared" si="35"/>
        <v>0</v>
      </c>
      <c r="L328" s="6"/>
    </row>
    <row r="329" spans="1:12" outlineLevel="1" x14ac:dyDescent="0.25">
      <c r="A329" s="21">
        <f t="shared" si="36"/>
        <v>4.3021999999999947</v>
      </c>
      <c r="B329" s="25"/>
      <c r="C329" s="22" t="s">
        <v>359</v>
      </c>
      <c r="D329" s="6"/>
      <c r="E329" s="5"/>
      <c r="F329" s="7"/>
      <c r="G329" s="7">
        <f t="shared" si="35"/>
        <v>0</v>
      </c>
      <c r="H329" s="7">
        <f t="shared" si="35"/>
        <v>0</v>
      </c>
      <c r="I329" s="7">
        <f t="shared" si="35"/>
        <v>1</v>
      </c>
      <c r="J329" s="7">
        <f t="shared" si="35"/>
        <v>0</v>
      </c>
      <c r="K329" s="7">
        <f t="shared" si="35"/>
        <v>0</v>
      </c>
      <c r="L329" s="6"/>
    </row>
    <row r="330" spans="1:12" outlineLevel="1" x14ac:dyDescent="0.25">
      <c r="A330" s="21">
        <f t="shared" si="36"/>
        <v>4.3022999999999945</v>
      </c>
      <c r="B330" s="25"/>
      <c r="C330" s="22" t="s">
        <v>360</v>
      </c>
      <c r="D330" s="6"/>
      <c r="E330" s="5"/>
      <c r="F330" s="7"/>
      <c r="G330" s="7">
        <f t="shared" si="35"/>
        <v>0</v>
      </c>
      <c r="H330" s="7">
        <f t="shared" si="35"/>
        <v>0</v>
      </c>
      <c r="I330" s="7">
        <f t="shared" si="35"/>
        <v>1</v>
      </c>
      <c r="J330" s="7">
        <f t="shared" si="35"/>
        <v>0</v>
      </c>
      <c r="K330" s="7">
        <f t="shared" si="35"/>
        <v>0</v>
      </c>
      <c r="L330" s="6"/>
    </row>
    <row r="331" spans="1:12" outlineLevel="1" x14ac:dyDescent="0.25">
      <c r="A331" s="21">
        <f t="shared" si="36"/>
        <v>4.3023999999999942</v>
      </c>
      <c r="B331" s="25"/>
      <c r="C331" s="22" t="s">
        <v>361</v>
      </c>
      <c r="D331" s="6"/>
      <c r="E331" s="5"/>
      <c r="F331" s="7"/>
      <c r="G331" s="7">
        <f t="shared" si="35"/>
        <v>0</v>
      </c>
      <c r="H331" s="7">
        <f t="shared" si="35"/>
        <v>0</v>
      </c>
      <c r="I331" s="7">
        <f t="shared" si="35"/>
        <v>1</v>
      </c>
      <c r="J331" s="7">
        <f t="shared" si="35"/>
        <v>0</v>
      </c>
      <c r="K331" s="7">
        <f t="shared" si="35"/>
        <v>0</v>
      </c>
      <c r="L331" s="6"/>
    </row>
    <row r="332" spans="1:12" outlineLevel="1" x14ac:dyDescent="0.25">
      <c r="A332" s="21">
        <f t="shared" si="36"/>
        <v>4.302499999999994</v>
      </c>
      <c r="B332" s="25"/>
      <c r="C332" s="22" t="s">
        <v>362</v>
      </c>
      <c r="D332" s="6"/>
      <c r="E332" s="5"/>
      <c r="F332" s="7"/>
      <c r="G332" s="7">
        <f t="shared" si="35"/>
        <v>0</v>
      </c>
      <c r="H332" s="7">
        <f t="shared" si="35"/>
        <v>0</v>
      </c>
      <c r="I332" s="7">
        <f t="shared" si="35"/>
        <v>1</v>
      </c>
      <c r="J332" s="7">
        <f t="shared" si="35"/>
        <v>0</v>
      </c>
      <c r="K332" s="7">
        <f t="shared" si="35"/>
        <v>0</v>
      </c>
      <c r="L332" s="6"/>
    </row>
    <row r="333" spans="1:12" outlineLevel="1" x14ac:dyDescent="0.25">
      <c r="A333" s="21">
        <f t="shared" si="36"/>
        <v>4.3025999999999938</v>
      </c>
      <c r="B333" s="25"/>
      <c r="C333" s="22" t="s">
        <v>363</v>
      </c>
      <c r="D333" s="6"/>
      <c r="E333" s="5"/>
      <c r="F333" s="7"/>
      <c r="G333" s="7">
        <f t="shared" si="35"/>
        <v>0</v>
      </c>
      <c r="H333" s="7">
        <f t="shared" si="35"/>
        <v>0</v>
      </c>
      <c r="I333" s="7">
        <f t="shared" si="35"/>
        <v>1</v>
      </c>
      <c r="J333" s="7">
        <f t="shared" si="35"/>
        <v>0</v>
      </c>
      <c r="K333" s="7">
        <f t="shared" si="35"/>
        <v>0</v>
      </c>
      <c r="L333" s="6"/>
    </row>
    <row r="334" spans="1:12" outlineLevel="1" x14ac:dyDescent="0.25">
      <c r="A334" s="21">
        <f t="shared" si="36"/>
        <v>4.3026999999999935</v>
      </c>
      <c r="B334" s="24" t="s">
        <v>348</v>
      </c>
      <c r="C334" s="22" t="s">
        <v>364</v>
      </c>
      <c r="D334" s="6"/>
      <c r="E334" s="5"/>
      <c r="F334" s="7"/>
      <c r="G334" s="7">
        <f t="shared" si="35"/>
        <v>0</v>
      </c>
      <c r="H334" s="7">
        <f t="shared" si="35"/>
        <v>0</v>
      </c>
      <c r="I334" s="7">
        <f t="shared" si="35"/>
        <v>1</v>
      </c>
      <c r="J334" s="7">
        <f t="shared" si="35"/>
        <v>0</v>
      </c>
      <c r="K334" s="7">
        <f t="shared" si="35"/>
        <v>0</v>
      </c>
      <c r="L334" s="6"/>
    </row>
    <row r="335" spans="1:12" outlineLevel="1" x14ac:dyDescent="0.25">
      <c r="A335" s="21">
        <f t="shared" si="36"/>
        <v>4.3027999999999933</v>
      </c>
      <c r="B335" s="25" t="s">
        <v>348</v>
      </c>
      <c r="C335" s="22" t="s">
        <v>365</v>
      </c>
      <c r="D335" s="6"/>
      <c r="E335" s="5"/>
      <c r="F335" s="7"/>
      <c r="G335" s="7">
        <f t="shared" si="35"/>
        <v>0</v>
      </c>
      <c r="H335" s="7">
        <f t="shared" si="35"/>
        <v>0</v>
      </c>
      <c r="I335" s="7">
        <f t="shared" si="35"/>
        <v>1</v>
      </c>
      <c r="J335" s="7">
        <f t="shared" si="35"/>
        <v>0</v>
      </c>
      <c r="K335" s="7">
        <f t="shared" si="35"/>
        <v>0</v>
      </c>
      <c r="L335" s="6"/>
    </row>
    <row r="336" spans="1:12" outlineLevel="1" x14ac:dyDescent="0.25">
      <c r="A336" s="21">
        <f t="shared" si="36"/>
        <v>4.3028999999999931</v>
      </c>
      <c r="B336" s="25" t="s">
        <v>348</v>
      </c>
      <c r="C336" s="22" t="s">
        <v>366</v>
      </c>
      <c r="D336" s="6"/>
      <c r="E336" s="5"/>
      <c r="F336" s="7"/>
      <c r="G336" s="7">
        <f t="shared" si="35"/>
        <v>0</v>
      </c>
      <c r="H336" s="7">
        <f t="shared" si="35"/>
        <v>0</v>
      </c>
      <c r="I336" s="7">
        <f t="shared" si="35"/>
        <v>1</v>
      </c>
      <c r="J336" s="7">
        <f t="shared" si="35"/>
        <v>0</v>
      </c>
      <c r="K336" s="7">
        <f t="shared" si="35"/>
        <v>0</v>
      </c>
      <c r="L336" s="6"/>
    </row>
    <row r="337" spans="1:12" outlineLevel="1" x14ac:dyDescent="0.25">
      <c r="A337" s="21">
        <f t="shared" si="36"/>
        <v>4.3029999999999928</v>
      </c>
      <c r="B337" s="26" t="s">
        <v>348</v>
      </c>
      <c r="C337" s="22" t="s">
        <v>367</v>
      </c>
      <c r="D337" s="6"/>
      <c r="E337" s="5"/>
      <c r="F337" s="7"/>
      <c r="G337" s="7">
        <f t="shared" si="35"/>
        <v>0</v>
      </c>
      <c r="H337" s="7">
        <f t="shared" si="35"/>
        <v>0</v>
      </c>
      <c r="I337" s="7">
        <f t="shared" si="35"/>
        <v>1</v>
      </c>
      <c r="J337" s="7">
        <f t="shared" si="35"/>
        <v>0</v>
      </c>
      <c r="K337" s="7">
        <f t="shared" si="35"/>
        <v>0</v>
      </c>
      <c r="L337" s="6"/>
    </row>
    <row r="338" spans="1:12" outlineLevel="1" x14ac:dyDescent="0.25">
      <c r="A338" s="21">
        <f t="shared" si="36"/>
        <v>4.3030999999999926</v>
      </c>
      <c r="B338" s="65" t="s">
        <v>500</v>
      </c>
      <c r="C338" s="22"/>
      <c r="D338" s="6"/>
      <c r="E338" s="5"/>
      <c r="F338" s="7"/>
      <c r="G338" s="7">
        <f t="shared" si="35"/>
        <v>0</v>
      </c>
      <c r="H338" s="7">
        <f t="shared" si="35"/>
        <v>0</v>
      </c>
      <c r="I338" s="7">
        <f t="shared" si="35"/>
        <v>1</v>
      </c>
      <c r="J338" s="7">
        <f t="shared" si="35"/>
        <v>0</v>
      </c>
      <c r="K338" s="7">
        <f t="shared" si="35"/>
        <v>0</v>
      </c>
      <c r="L338" s="6"/>
    </row>
    <row r="339" spans="1:12" outlineLevel="1" x14ac:dyDescent="0.25">
      <c r="A339" s="21">
        <f t="shared" si="36"/>
        <v>4.3031999999999924</v>
      </c>
      <c r="B339" s="26" t="s">
        <v>529</v>
      </c>
      <c r="C339" s="22" t="s">
        <v>530</v>
      </c>
      <c r="D339" s="6"/>
      <c r="E339" s="5"/>
      <c r="F339" s="7"/>
      <c r="G339" s="7">
        <f t="shared" si="35"/>
        <v>0</v>
      </c>
      <c r="H339" s="7">
        <f t="shared" si="35"/>
        <v>0</v>
      </c>
      <c r="I339" s="7">
        <f t="shared" si="35"/>
        <v>1</v>
      </c>
      <c r="J339" s="7">
        <f t="shared" si="35"/>
        <v>0</v>
      </c>
      <c r="K339" s="7">
        <f t="shared" si="35"/>
        <v>0</v>
      </c>
      <c r="L339" s="6"/>
    </row>
    <row r="340" spans="1:12" outlineLevel="1" x14ac:dyDescent="0.25">
      <c r="A340" s="21">
        <f t="shared" si="36"/>
        <v>4.3032999999999921</v>
      </c>
      <c r="B340" s="26" t="s">
        <v>531</v>
      </c>
      <c r="C340" s="22" t="s">
        <v>532</v>
      </c>
      <c r="D340" s="6" t="s">
        <v>533</v>
      </c>
      <c r="E340" s="5"/>
      <c r="F340" s="7"/>
      <c r="G340" s="7">
        <f t="shared" si="35"/>
        <v>0</v>
      </c>
      <c r="H340" s="7">
        <f t="shared" si="35"/>
        <v>0</v>
      </c>
      <c r="I340" s="7">
        <f t="shared" si="35"/>
        <v>1</v>
      </c>
      <c r="J340" s="7">
        <f t="shared" si="35"/>
        <v>0</v>
      </c>
      <c r="K340" s="7">
        <f t="shared" si="35"/>
        <v>0</v>
      </c>
      <c r="L340" s="6"/>
    </row>
    <row r="341" spans="1:12" outlineLevel="1" x14ac:dyDescent="0.25">
      <c r="A341" s="21">
        <f t="shared" si="36"/>
        <v>4.3033999999999919</v>
      </c>
      <c r="B341" s="5" t="s">
        <v>375</v>
      </c>
      <c r="C341" s="22" t="s">
        <v>376</v>
      </c>
      <c r="D341" s="6"/>
      <c r="E341" s="5"/>
      <c r="F341" s="7"/>
      <c r="G341" s="7">
        <f t="shared" si="35"/>
        <v>0</v>
      </c>
      <c r="H341" s="7">
        <f t="shared" si="35"/>
        <v>0</v>
      </c>
      <c r="I341" s="7">
        <f t="shared" si="35"/>
        <v>1</v>
      </c>
      <c r="J341" s="7">
        <f t="shared" si="35"/>
        <v>0</v>
      </c>
      <c r="K341" s="7">
        <f t="shared" si="35"/>
        <v>0</v>
      </c>
      <c r="L341" s="6"/>
    </row>
    <row r="342" spans="1:12" outlineLevel="1" x14ac:dyDescent="0.25">
      <c r="A342" s="21">
        <f t="shared" si="36"/>
        <v>4.3034999999999917</v>
      </c>
      <c r="B342" s="8" t="str">
        <f>B339</f>
        <v>Set Quantity Type = ALL</v>
      </c>
      <c r="C342" s="22" t="str">
        <f>C339</f>
        <v>Quantity Type = ALL</v>
      </c>
      <c r="D342" s="6"/>
      <c r="E342" s="5"/>
      <c r="F342" s="7"/>
      <c r="G342" s="7">
        <f t="shared" si="35"/>
        <v>0</v>
      </c>
      <c r="H342" s="7">
        <f t="shared" si="35"/>
        <v>0</v>
      </c>
      <c r="I342" s="7">
        <f t="shared" si="35"/>
        <v>1</v>
      </c>
      <c r="J342" s="7">
        <f t="shared" si="35"/>
        <v>0</v>
      </c>
      <c r="K342" s="7">
        <f t="shared" si="35"/>
        <v>0</v>
      </c>
      <c r="L342" s="6"/>
    </row>
    <row r="343" spans="1:12" outlineLevel="1" x14ac:dyDescent="0.25">
      <c r="A343" s="21">
        <f t="shared" si="36"/>
        <v>4.3035999999999914</v>
      </c>
      <c r="B343" s="26" t="str">
        <f>B340</f>
        <v>Capture Quantity = ALL</v>
      </c>
      <c r="C343" s="22" t="str">
        <f>C340</f>
        <v>Quantity = ALL</v>
      </c>
      <c r="D343" s="6"/>
      <c r="E343" s="5"/>
      <c r="F343" s="7"/>
      <c r="G343" s="7">
        <f t="shared" si="35"/>
        <v>0</v>
      </c>
      <c r="H343" s="7">
        <f t="shared" si="35"/>
        <v>0</v>
      </c>
      <c r="I343" s="7">
        <f t="shared" si="35"/>
        <v>1</v>
      </c>
      <c r="J343" s="7">
        <f t="shared" si="35"/>
        <v>0</v>
      </c>
      <c r="K343" s="7">
        <f t="shared" si="35"/>
        <v>0</v>
      </c>
      <c r="L343" s="6"/>
    </row>
    <row r="344" spans="1:12" outlineLevel="1" x14ac:dyDescent="0.25">
      <c r="A344" s="21">
        <f t="shared" si="36"/>
        <v>4.3036999999999912</v>
      </c>
      <c r="B344" s="5" t="s">
        <v>346</v>
      </c>
      <c r="C344" s="22" t="s">
        <v>534</v>
      </c>
      <c r="D344" s="6" t="s">
        <v>533</v>
      </c>
      <c r="E344" s="5"/>
      <c r="F344" s="7"/>
      <c r="G344" s="7">
        <f t="shared" si="35"/>
        <v>0</v>
      </c>
      <c r="H344" s="7">
        <f t="shared" si="35"/>
        <v>0</v>
      </c>
      <c r="I344" s="7">
        <f t="shared" si="35"/>
        <v>1</v>
      </c>
      <c r="J344" s="7">
        <f t="shared" si="35"/>
        <v>0</v>
      </c>
      <c r="K344" s="7">
        <f t="shared" si="35"/>
        <v>0</v>
      </c>
      <c r="L344" s="6"/>
    </row>
    <row r="345" spans="1:12" s="19" customFormat="1" x14ac:dyDescent="0.25">
      <c r="A345" s="83">
        <v>4.4000000000000004</v>
      </c>
      <c r="B345" s="93" t="s">
        <v>379</v>
      </c>
      <c r="C345" s="84"/>
      <c r="D345" s="85"/>
      <c r="E345" s="85"/>
      <c r="F345" s="86"/>
      <c r="G345" s="86"/>
      <c r="H345" s="86"/>
      <c r="I345" s="86"/>
      <c r="J345" s="86"/>
      <c r="K345" s="86"/>
      <c r="L345" s="85"/>
    </row>
    <row r="346" spans="1:12" outlineLevel="1" x14ac:dyDescent="0.25">
      <c r="A346" s="21">
        <f>A345+0.0001</f>
        <v>4.4001000000000001</v>
      </c>
      <c r="B346" s="63" t="s">
        <v>457</v>
      </c>
      <c r="C346" s="22" t="s">
        <v>405</v>
      </c>
      <c r="D346" s="6"/>
      <c r="E346" s="5"/>
      <c r="F346" s="7"/>
      <c r="G346" s="7">
        <f t="shared" ref="G346:K368" si="37">IF($F346=G$1,1,0)</f>
        <v>0</v>
      </c>
      <c r="H346" s="7">
        <f t="shared" si="37"/>
        <v>0</v>
      </c>
      <c r="I346" s="7">
        <f t="shared" si="37"/>
        <v>1</v>
      </c>
      <c r="J346" s="7">
        <f t="shared" si="37"/>
        <v>0</v>
      </c>
      <c r="K346" s="7">
        <f t="shared" si="37"/>
        <v>0</v>
      </c>
      <c r="L346" s="6"/>
    </row>
    <row r="347" spans="1:12" outlineLevel="1" x14ac:dyDescent="0.25">
      <c r="A347" s="21">
        <f t="shared" ref="A347:A372" si="38">A346+0.0001</f>
        <v>4.4001999999999999</v>
      </c>
      <c r="B347" s="5" t="s">
        <v>346</v>
      </c>
      <c r="C347" s="22" t="s">
        <v>380</v>
      </c>
      <c r="D347" s="6"/>
      <c r="E347" s="5"/>
      <c r="F347" s="7"/>
      <c r="G347" s="7">
        <f t="shared" si="37"/>
        <v>0</v>
      </c>
      <c r="H347" s="7">
        <f t="shared" si="37"/>
        <v>0</v>
      </c>
      <c r="I347" s="7">
        <f t="shared" si="37"/>
        <v>1</v>
      </c>
      <c r="J347" s="7">
        <f t="shared" si="37"/>
        <v>0</v>
      </c>
      <c r="K347" s="7">
        <f t="shared" si="37"/>
        <v>0</v>
      </c>
      <c r="L347" s="6"/>
    </row>
    <row r="348" spans="1:12" outlineLevel="1" x14ac:dyDescent="0.25">
      <c r="A348" s="21">
        <f t="shared" si="38"/>
        <v>4.4002999999999997</v>
      </c>
      <c r="B348" s="5" t="s">
        <v>344</v>
      </c>
      <c r="C348" s="22" t="s">
        <v>381</v>
      </c>
      <c r="D348" s="6"/>
      <c r="E348" s="5"/>
      <c r="F348" s="7"/>
      <c r="G348" s="7">
        <f t="shared" si="37"/>
        <v>0</v>
      </c>
      <c r="H348" s="7">
        <f t="shared" si="37"/>
        <v>0</v>
      </c>
      <c r="I348" s="7">
        <f t="shared" si="37"/>
        <v>1</v>
      </c>
      <c r="J348" s="7">
        <f t="shared" si="37"/>
        <v>0</v>
      </c>
      <c r="K348" s="7">
        <f t="shared" si="37"/>
        <v>0</v>
      </c>
      <c r="L348" s="6"/>
    </row>
    <row r="349" spans="1:12" outlineLevel="1" x14ac:dyDescent="0.25">
      <c r="A349" s="21">
        <f t="shared" si="38"/>
        <v>4.4003999999999994</v>
      </c>
      <c r="B349" s="5" t="s">
        <v>382</v>
      </c>
      <c r="C349" s="22" t="s">
        <v>383</v>
      </c>
      <c r="D349" s="6"/>
      <c r="E349" s="5"/>
      <c r="F349" s="7"/>
      <c r="G349" s="7">
        <f t="shared" si="37"/>
        <v>0</v>
      </c>
      <c r="H349" s="7">
        <f t="shared" si="37"/>
        <v>0</v>
      </c>
      <c r="I349" s="7">
        <f t="shared" si="37"/>
        <v>1</v>
      </c>
      <c r="J349" s="7">
        <f t="shared" si="37"/>
        <v>0</v>
      </c>
      <c r="K349" s="7">
        <f t="shared" si="37"/>
        <v>0</v>
      </c>
      <c r="L349" s="6"/>
    </row>
    <row r="350" spans="1:12" outlineLevel="1" x14ac:dyDescent="0.25">
      <c r="A350" s="21">
        <f t="shared" si="38"/>
        <v>4.4004999999999992</v>
      </c>
      <c r="B350" s="5" t="s">
        <v>348</v>
      </c>
      <c r="C350" s="22" t="s">
        <v>384</v>
      </c>
      <c r="D350" s="6"/>
      <c r="E350" s="5"/>
      <c r="F350" s="7"/>
      <c r="G350" s="7">
        <f t="shared" si="37"/>
        <v>0</v>
      </c>
      <c r="H350" s="7">
        <f t="shared" si="37"/>
        <v>0</v>
      </c>
      <c r="I350" s="7">
        <f t="shared" si="37"/>
        <v>1</v>
      </c>
      <c r="J350" s="7">
        <f t="shared" si="37"/>
        <v>0</v>
      </c>
      <c r="K350" s="7">
        <f t="shared" si="37"/>
        <v>0</v>
      </c>
      <c r="L350" s="6"/>
    </row>
    <row r="351" spans="1:12" outlineLevel="1" x14ac:dyDescent="0.25">
      <c r="A351" s="21">
        <f t="shared" si="38"/>
        <v>4.400599999999999</v>
      </c>
      <c r="B351" s="5" t="s">
        <v>348</v>
      </c>
      <c r="C351" s="22" t="s">
        <v>349</v>
      </c>
      <c r="D351" s="6"/>
      <c r="E351" s="5"/>
      <c r="F351" s="7"/>
      <c r="G351" s="7">
        <f t="shared" si="37"/>
        <v>0</v>
      </c>
      <c r="H351" s="7">
        <f t="shared" si="37"/>
        <v>0</v>
      </c>
      <c r="I351" s="7">
        <f t="shared" si="37"/>
        <v>1</v>
      </c>
      <c r="J351" s="7">
        <f t="shared" si="37"/>
        <v>0</v>
      </c>
      <c r="K351" s="7">
        <f t="shared" si="37"/>
        <v>0</v>
      </c>
      <c r="L351" s="6"/>
    </row>
    <row r="352" spans="1:12" outlineLevel="1" x14ac:dyDescent="0.25">
      <c r="A352" s="21">
        <f t="shared" si="38"/>
        <v>4.4006999999999987</v>
      </c>
      <c r="B352" s="5" t="s">
        <v>348</v>
      </c>
      <c r="C352" s="22" t="s">
        <v>385</v>
      </c>
      <c r="D352" s="6"/>
      <c r="E352" s="5"/>
      <c r="F352" s="7"/>
      <c r="G352" s="7">
        <f t="shared" si="37"/>
        <v>0</v>
      </c>
      <c r="H352" s="7">
        <f t="shared" si="37"/>
        <v>0</v>
      </c>
      <c r="I352" s="7">
        <f t="shared" si="37"/>
        <v>1</v>
      </c>
      <c r="J352" s="7">
        <f t="shared" si="37"/>
        <v>0</v>
      </c>
      <c r="K352" s="7">
        <f t="shared" si="37"/>
        <v>0</v>
      </c>
      <c r="L352" s="6"/>
    </row>
    <row r="353" spans="1:12" outlineLevel="1" x14ac:dyDescent="0.25">
      <c r="A353" s="21">
        <f t="shared" si="38"/>
        <v>4.4007999999999985</v>
      </c>
      <c r="B353" s="63" t="s">
        <v>393</v>
      </c>
      <c r="C353" s="22"/>
      <c r="D353" s="6"/>
      <c r="E353" s="5"/>
      <c r="F353" s="7"/>
      <c r="G353" s="7">
        <f t="shared" si="37"/>
        <v>0</v>
      </c>
      <c r="H353" s="7">
        <f t="shared" si="37"/>
        <v>0</v>
      </c>
      <c r="I353" s="7">
        <f t="shared" si="37"/>
        <v>1</v>
      </c>
      <c r="J353" s="7">
        <f t="shared" si="37"/>
        <v>0</v>
      </c>
      <c r="K353" s="7">
        <f t="shared" si="37"/>
        <v>0</v>
      </c>
      <c r="L353" s="6"/>
    </row>
    <row r="354" spans="1:12" ht="38.25" outlineLevel="1" x14ac:dyDescent="0.25">
      <c r="A354" s="21">
        <f t="shared" si="38"/>
        <v>4.4008999999999983</v>
      </c>
      <c r="B354" s="66" t="s">
        <v>394</v>
      </c>
      <c r="C354" s="22" t="s">
        <v>519</v>
      </c>
      <c r="D354" s="6"/>
      <c r="E354" s="5"/>
      <c r="F354" s="7"/>
      <c r="G354" s="7">
        <f t="shared" si="37"/>
        <v>0</v>
      </c>
      <c r="H354" s="7">
        <f t="shared" si="37"/>
        <v>0</v>
      </c>
      <c r="I354" s="7">
        <f t="shared" si="37"/>
        <v>1</v>
      </c>
      <c r="J354" s="7">
        <f t="shared" si="37"/>
        <v>0</v>
      </c>
      <c r="K354" s="7">
        <f t="shared" si="37"/>
        <v>0</v>
      </c>
      <c r="L354" s="6"/>
    </row>
    <row r="355" spans="1:12" ht="51" outlineLevel="1" x14ac:dyDescent="0.25">
      <c r="A355" s="21">
        <f t="shared" si="38"/>
        <v>4.400999999999998</v>
      </c>
      <c r="B355" s="66" t="s">
        <v>395</v>
      </c>
      <c r="C355" s="22" t="s">
        <v>511</v>
      </c>
      <c r="D355" s="6"/>
      <c r="E355" s="5"/>
      <c r="F355" s="7"/>
      <c r="G355" s="7">
        <f t="shared" si="37"/>
        <v>0</v>
      </c>
      <c r="H355" s="7">
        <f t="shared" si="37"/>
        <v>0</v>
      </c>
      <c r="I355" s="7">
        <f t="shared" si="37"/>
        <v>1</v>
      </c>
      <c r="J355" s="7">
        <f t="shared" si="37"/>
        <v>0</v>
      </c>
      <c r="K355" s="7">
        <f t="shared" si="37"/>
        <v>0</v>
      </c>
      <c r="L355" s="6"/>
    </row>
    <row r="356" spans="1:12" outlineLevel="1" x14ac:dyDescent="0.25">
      <c r="A356" s="21">
        <f t="shared" si="38"/>
        <v>4.4010999999999978</v>
      </c>
      <c r="B356" s="63" t="s">
        <v>396</v>
      </c>
      <c r="C356" s="22" t="s">
        <v>397</v>
      </c>
      <c r="D356" s="6"/>
      <c r="E356" s="5"/>
      <c r="F356" s="7"/>
      <c r="G356" s="7">
        <f t="shared" si="37"/>
        <v>0</v>
      </c>
      <c r="H356" s="7">
        <f t="shared" si="37"/>
        <v>0</v>
      </c>
      <c r="I356" s="7">
        <f t="shared" si="37"/>
        <v>1</v>
      </c>
      <c r="J356" s="7">
        <f t="shared" si="37"/>
        <v>0</v>
      </c>
      <c r="K356" s="7">
        <f t="shared" si="37"/>
        <v>0</v>
      </c>
      <c r="L356" s="6"/>
    </row>
    <row r="357" spans="1:12" ht="38.25" outlineLevel="1" x14ac:dyDescent="0.25">
      <c r="A357" s="21">
        <f t="shared" si="38"/>
        <v>4.4011999999999976</v>
      </c>
      <c r="B357" s="67" t="s">
        <v>398</v>
      </c>
      <c r="C357" s="22" t="s">
        <v>463</v>
      </c>
      <c r="D357" s="6"/>
      <c r="E357" s="5"/>
      <c r="F357" s="7" t="s">
        <v>520</v>
      </c>
      <c r="G357" s="7">
        <f t="shared" si="37"/>
        <v>0</v>
      </c>
      <c r="H357" s="7">
        <f t="shared" si="37"/>
        <v>0</v>
      </c>
      <c r="I357" s="7">
        <f t="shared" si="37"/>
        <v>0</v>
      </c>
      <c r="J357" s="7">
        <f t="shared" si="37"/>
        <v>1</v>
      </c>
      <c r="K357" s="7">
        <f t="shared" si="37"/>
        <v>0</v>
      </c>
      <c r="L357" s="6"/>
    </row>
    <row r="358" spans="1:12" outlineLevel="1" x14ac:dyDescent="0.25">
      <c r="A358" s="21">
        <f t="shared" si="38"/>
        <v>4.4012999999999973</v>
      </c>
      <c r="B358" s="67" t="s">
        <v>399</v>
      </c>
      <c r="C358" s="22"/>
      <c r="D358" s="6"/>
      <c r="E358" s="5"/>
      <c r="F358" s="7" t="s">
        <v>520</v>
      </c>
      <c r="G358" s="7">
        <f t="shared" si="37"/>
        <v>0</v>
      </c>
      <c r="H358" s="7">
        <f t="shared" si="37"/>
        <v>0</v>
      </c>
      <c r="I358" s="7">
        <f t="shared" si="37"/>
        <v>0</v>
      </c>
      <c r="J358" s="7">
        <f t="shared" si="37"/>
        <v>1</v>
      </c>
      <c r="K358" s="7">
        <f t="shared" si="37"/>
        <v>0</v>
      </c>
      <c r="L358" s="6"/>
    </row>
    <row r="359" spans="1:12" outlineLevel="1" x14ac:dyDescent="0.25">
      <c r="A359" s="21">
        <f t="shared" si="38"/>
        <v>4.4013999999999971</v>
      </c>
      <c r="B359" s="67" t="s">
        <v>400</v>
      </c>
      <c r="C359" s="22" t="s">
        <v>535</v>
      </c>
      <c r="D359" s="6"/>
      <c r="E359" s="5"/>
      <c r="F359" s="7"/>
      <c r="G359" s="7">
        <f t="shared" si="37"/>
        <v>0</v>
      </c>
      <c r="H359" s="7">
        <f t="shared" si="37"/>
        <v>0</v>
      </c>
      <c r="I359" s="7">
        <f t="shared" si="37"/>
        <v>1</v>
      </c>
      <c r="J359" s="7">
        <f t="shared" si="37"/>
        <v>0</v>
      </c>
      <c r="K359" s="7">
        <f t="shared" si="37"/>
        <v>0</v>
      </c>
      <c r="L359" s="6"/>
    </row>
    <row r="360" spans="1:12" outlineLevel="1" x14ac:dyDescent="0.25">
      <c r="A360" s="21">
        <f t="shared" si="38"/>
        <v>4.4014999999999969</v>
      </c>
      <c r="B360" s="67" t="s">
        <v>401</v>
      </c>
      <c r="C360" s="22" t="s">
        <v>402</v>
      </c>
      <c r="D360" s="6"/>
      <c r="E360" s="5"/>
      <c r="F360" s="7"/>
      <c r="G360" s="7">
        <f t="shared" si="37"/>
        <v>0</v>
      </c>
      <c r="H360" s="7">
        <f t="shared" si="37"/>
        <v>0</v>
      </c>
      <c r="I360" s="7">
        <f t="shared" si="37"/>
        <v>1</v>
      </c>
      <c r="J360" s="7">
        <f t="shared" si="37"/>
        <v>0</v>
      </c>
      <c r="K360" s="7">
        <f t="shared" si="37"/>
        <v>0</v>
      </c>
      <c r="L360" s="6"/>
    </row>
    <row r="361" spans="1:12" outlineLevel="1" x14ac:dyDescent="0.25">
      <c r="A361" s="21">
        <f t="shared" si="38"/>
        <v>4.4015999999999966</v>
      </c>
      <c r="B361" s="63" t="s">
        <v>403</v>
      </c>
      <c r="C361" s="22" t="s">
        <v>405</v>
      </c>
      <c r="D361" s="6"/>
      <c r="E361" s="5"/>
      <c r="F361" s="7"/>
      <c r="G361" s="7">
        <f t="shared" si="37"/>
        <v>0</v>
      </c>
      <c r="H361" s="7">
        <f t="shared" si="37"/>
        <v>0</v>
      </c>
      <c r="I361" s="7">
        <f t="shared" si="37"/>
        <v>1</v>
      </c>
      <c r="J361" s="7">
        <f t="shared" si="37"/>
        <v>0</v>
      </c>
      <c r="K361" s="7">
        <f t="shared" si="37"/>
        <v>0</v>
      </c>
      <c r="L361" s="6"/>
    </row>
    <row r="362" spans="1:12" ht="76.5" outlineLevel="1" x14ac:dyDescent="0.25">
      <c r="A362" s="21">
        <f t="shared" si="38"/>
        <v>4.4016999999999964</v>
      </c>
      <c r="B362" s="5" t="s">
        <v>404</v>
      </c>
      <c r="C362" s="22" t="s">
        <v>420</v>
      </c>
      <c r="D362" s="6"/>
      <c r="E362" s="5"/>
      <c r="F362" s="7"/>
      <c r="G362" s="7">
        <f t="shared" si="37"/>
        <v>0</v>
      </c>
      <c r="H362" s="7">
        <f t="shared" si="37"/>
        <v>0</v>
      </c>
      <c r="I362" s="7">
        <f t="shared" si="37"/>
        <v>1</v>
      </c>
      <c r="J362" s="7">
        <f t="shared" si="37"/>
        <v>0</v>
      </c>
      <c r="K362" s="7">
        <f t="shared" si="37"/>
        <v>0</v>
      </c>
      <c r="L362" s="6"/>
    </row>
    <row r="363" spans="1:12" outlineLevel="1" x14ac:dyDescent="0.25">
      <c r="A363" s="21">
        <f t="shared" si="38"/>
        <v>4.4017999999999962</v>
      </c>
      <c r="B363" s="5" t="s">
        <v>348</v>
      </c>
      <c r="C363" s="22" t="s">
        <v>406</v>
      </c>
      <c r="D363" s="6"/>
      <c r="E363" s="5"/>
      <c r="F363" s="7"/>
      <c r="G363" s="7">
        <f t="shared" si="37"/>
        <v>0</v>
      </c>
      <c r="H363" s="7">
        <f t="shared" si="37"/>
        <v>0</v>
      </c>
      <c r="I363" s="7">
        <f t="shared" si="37"/>
        <v>1</v>
      </c>
      <c r="J363" s="7">
        <f t="shared" si="37"/>
        <v>0</v>
      </c>
      <c r="K363" s="7">
        <f t="shared" si="37"/>
        <v>0</v>
      </c>
      <c r="L363" s="6"/>
    </row>
    <row r="364" spans="1:12" outlineLevel="1" x14ac:dyDescent="0.25">
      <c r="A364" s="21">
        <f t="shared" si="38"/>
        <v>4.4018999999999959</v>
      </c>
      <c r="B364" s="5" t="s">
        <v>348</v>
      </c>
      <c r="C364" s="22" t="s">
        <v>407</v>
      </c>
      <c r="D364" s="6"/>
      <c r="E364" s="5"/>
      <c r="F364" s="7"/>
      <c r="G364" s="7">
        <f t="shared" si="37"/>
        <v>0</v>
      </c>
      <c r="H364" s="7">
        <f t="shared" si="37"/>
        <v>0</v>
      </c>
      <c r="I364" s="7">
        <f t="shared" si="37"/>
        <v>1</v>
      </c>
      <c r="J364" s="7">
        <f t="shared" si="37"/>
        <v>0</v>
      </c>
      <c r="K364" s="7">
        <f t="shared" si="37"/>
        <v>0</v>
      </c>
      <c r="L364" s="6"/>
    </row>
    <row r="365" spans="1:12" outlineLevel="1" x14ac:dyDescent="0.25">
      <c r="A365" s="21">
        <f t="shared" si="38"/>
        <v>4.4019999999999957</v>
      </c>
      <c r="B365" s="5" t="s">
        <v>348</v>
      </c>
      <c r="C365" s="22" t="s">
        <v>408</v>
      </c>
      <c r="D365" s="6"/>
      <c r="E365" s="5"/>
      <c r="F365" s="7"/>
      <c r="G365" s="7">
        <f t="shared" si="37"/>
        <v>0</v>
      </c>
      <c r="H365" s="7">
        <f t="shared" si="37"/>
        <v>0</v>
      </c>
      <c r="I365" s="7">
        <f t="shared" si="37"/>
        <v>1</v>
      </c>
      <c r="J365" s="7">
        <f t="shared" si="37"/>
        <v>0</v>
      </c>
      <c r="K365" s="7">
        <f t="shared" si="37"/>
        <v>0</v>
      </c>
      <c r="L365" s="6"/>
    </row>
    <row r="366" spans="1:12" outlineLevel="1" x14ac:dyDescent="0.25">
      <c r="A366" s="21">
        <f t="shared" si="38"/>
        <v>4.4020999999999955</v>
      </c>
      <c r="B366" s="5" t="s">
        <v>521</v>
      </c>
      <c r="C366" s="22" t="s">
        <v>522</v>
      </c>
      <c r="D366" s="6"/>
      <c r="E366" s="5"/>
      <c r="F366" s="7"/>
      <c r="G366" s="7">
        <f t="shared" si="37"/>
        <v>0</v>
      </c>
      <c r="H366" s="7">
        <f t="shared" si="37"/>
        <v>0</v>
      </c>
      <c r="I366" s="7">
        <f t="shared" si="37"/>
        <v>1</v>
      </c>
      <c r="J366" s="7">
        <f t="shared" si="37"/>
        <v>0</v>
      </c>
      <c r="K366" s="7">
        <f t="shared" si="37"/>
        <v>0</v>
      </c>
      <c r="L366" s="6"/>
    </row>
    <row r="367" spans="1:12" outlineLevel="1" x14ac:dyDescent="0.25">
      <c r="A367" s="21">
        <f t="shared" si="38"/>
        <v>4.4021999999999952</v>
      </c>
      <c r="B367" s="5" t="s">
        <v>523</v>
      </c>
      <c r="C367" s="22" t="s">
        <v>524</v>
      </c>
      <c r="D367" s="6"/>
      <c r="E367" s="5"/>
      <c r="F367" s="7"/>
      <c r="G367" s="7">
        <f t="shared" si="37"/>
        <v>0</v>
      </c>
      <c r="H367" s="7">
        <f t="shared" si="37"/>
        <v>0</v>
      </c>
      <c r="I367" s="7">
        <f t="shared" si="37"/>
        <v>1</v>
      </c>
      <c r="J367" s="7">
        <f t="shared" si="37"/>
        <v>0</v>
      </c>
      <c r="K367" s="7">
        <f t="shared" si="37"/>
        <v>0</v>
      </c>
      <c r="L367" s="6"/>
    </row>
    <row r="368" spans="1:12" outlineLevel="1" x14ac:dyDescent="0.25">
      <c r="A368" s="21">
        <f t="shared" si="38"/>
        <v>4.402299999999995</v>
      </c>
      <c r="B368" s="24" t="s">
        <v>348</v>
      </c>
      <c r="C368" s="22" t="s">
        <v>385</v>
      </c>
      <c r="D368" s="6"/>
      <c r="E368" s="5"/>
      <c r="F368" s="7"/>
      <c r="G368" s="7">
        <f t="shared" si="37"/>
        <v>0</v>
      </c>
      <c r="H368" s="7">
        <f t="shared" si="37"/>
        <v>0</v>
      </c>
      <c r="I368" s="7">
        <f t="shared" si="37"/>
        <v>1</v>
      </c>
      <c r="J368" s="7">
        <f t="shared" si="37"/>
        <v>0</v>
      </c>
      <c r="K368" s="7">
        <f t="shared" si="37"/>
        <v>0</v>
      </c>
      <c r="L368" s="6"/>
    </row>
    <row r="369" spans="1:12" outlineLevel="1" x14ac:dyDescent="0.25">
      <c r="A369" s="21">
        <f t="shared" si="38"/>
        <v>4.4023999999999948</v>
      </c>
      <c r="B369" s="26" t="s">
        <v>486</v>
      </c>
      <c r="C369" s="22" t="s">
        <v>487</v>
      </c>
      <c r="D369" s="6"/>
      <c r="E369" s="5"/>
      <c r="F369" s="7"/>
      <c r="G369" s="7">
        <f t="shared" ref="G369:K372" si="39">IF($F369=G$1,1,0)</f>
        <v>0</v>
      </c>
      <c r="H369" s="7">
        <f t="shared" si="39"/>
        <v>0</v>
      </c>
      <c r="I369" s="7">
        <f t="shared" si="39"/>
        <v>1</v>
      </c>
      <c r="J369" s="7">
        <f t="shared" si="39"/>
        <v>0</v>
      </c>
      <c r="K369" s="7">
        <f t="shared" si="39"/>
        <v>0</v>
      </c>
      <c r="L369" s="6"/>
    </row>
    <row r="370" spans="1:12" outlineLevel="1" x14ac:dyDescent="0.25">
      <c r="A370" s="21">
        <f t="shared" si="38"/>
        <v>4.4024999999999945</v>
      </c>
      <c r="B370" s="5" t="s">
        <v>482</v>
      </c>
      <c r="C370" s="22" t="s">
        <v>488</v>
      </c>
      <c r="D370" s="6"/>
      <c r="E370" s="5"/>
      <c r="F370" s="7"/>
      <c r="G370" s="7">
        <f t="shared" si="39"/>
        <v>0</v>
      </c>
      <c r="H370" s="7">
        <f t="shared" si="39"/>
        <v>0</v>
      </c>
      <c r="I370" s="7">
        <f t="shared" si="39"/>
        <v>1</v>
      </c>
      <c r="J370" s="7">
        <f t="shared" si="39"/>
        <v>0</v>
      </c>
      <c r="K370" s="7">
        <f t="shared" si="39"/>
        <v>0</v>
      </c>
      <c r="L370" s="6"/>
    </row>
    <row r="371" spans="1:12" outlineLevel="1" x14ac:dyDescent="0.25">
      <c r="A371" s="21">
        <f t="shared" si="38"/>
        <v>4.4025999999999943</v>
      </c>
      <c r="B371" s="5" t="s">
        <v>489</v>
      </c>
      <c r="C371" s="22" t="s">
        <v>490</v>
      </c>
      <c r="D371" s="6"/>
      <c r="E371" s="5"/>
      <c r="F371" s="7"/>
      <c r="G371" s="7">
        <f t="shared" si="39"/>
        <v>0</v>
      </c>
      <c r="H371" s="7">
        <f t="shared" si="39"/>
        <v>0</v>
      </c>
      <c r="I371" s="7">
        <f t="shared" si="39"/>
        <v>1</v>
      </c>
      <c r="J371" s="7">
        <f t="shared" si="39"/>
        <v>0</v>
      </c>
      <c r="K371" s="7">
        <f t="shared" si="39"/>
        <v>0</v>
      </c>
      <c r="L371" s="6"/>
    </row>
    <row r="372" spans="1:12" outlineLevel="1" x14ac:dyDescent="0.25">
      <c r="A372" s="21">
        <f t="shared" si="38"/>
        <v>4.4026999999999941</v>
      </c>
      <c r="B372" s="5" t="s">
        <v>491</v>
      </c>
      <c r="C372" s="22"/>
      <c r="D372" s="6"/>
      <c r="E372" s="5"/>
      <c r="F372" s="7"/>
      <c r="G372" s="7">
        <f t="shared" si="39"/>
        <v>0</v>
      </c>
      <c r="H372" s="7">
        <f t="shared" si="39"/>
        <v>0</v>
      </c>
      <c r="I372" s="7">
        <f t="shared" si="39"/>
        <v>1</v>
      </c>
      <c r="J372" s="7">
        <f t="shared" si="39"/>
        <v>0</v>
      </c>
      <c r="K372" s="7">
        <f t="shared" si="39"/>
        <v>0</v>
      </c>
      <c r="L372" s="6"/>
    </row>
    <row r="373" spans="1:12" s="19" customFormat="1" x14ac:dyDescent="0.25">
      <c r="A373" s="78">
        <v>4.5</v>
      </c>
      <c r="B373" s="79" t="s">
        <v>507</v>
      </c>
      <c r="C373" s="80"/>
      <c r="D373" s="81"/>
      <c r="E373" s="81"/>
      <c r="F373" s="82"/>
      <c r="G373" s="82"/>
      <c r="H373" s="82"/>
      <c r="I373" s="82"/>
      <c r="J373" s="82"/>
      <c r="K373" s="82"/>
      <c r="L373" s="81"/>
    </row>
    <row r="374" spans="1:12" outlineLevel="1" x14ac:dyDescent="0.25">
      <c r="A374" s="21">
        <f>A373+0.0001</f>
        <v>4.5000999999999998</v>
      </c>
      <c r="B374" s="5" t="s">
        <v>343</v>
      </c>
      <c r="C374" s="22" t="s">
        <v>492</v>
      </c>
      <c r="D374" s="6"/>
      <c r="E374" s="5"/>
      <c r="F374" s="7"/>
      <c r="G374" s="7">
        <f t="shared" ref="G374:K376" si="40">IF($F374=G$1,1,0)</f>
        <v>0</v>
      </c>
      <c r="H374" s="7">
        <f t="shared" si="40"/>
        <v>0</v>
      </c>
      <c r="I374" s="7">
        <f t="shared" si="40"/>
        <v>1</v>
      </c>
      <c r="J374" s="7">
        <f t="shared" si="40"/>
        <v>0</v>
      </c>
      <c r="K374" s="7">
        <f t="shared" si="40"/>
        <v>0</v>
      </c>
      <c r="L374" s="6"/>
    </row>
    <row r="375" spans="1:12" outlineLevel="1" x14ac:dyDescent="0.25">
      <c r="A375" s="21">
        <f>A374+0.0001</f>
        <v>4.5001999999999995</v>
      </c>
      <c r="B375" s="5"/>
      <c r="C375" s="22" t="s">
        <v>493</v>
      </c>
      <c r="D375" s="6"/>
      <c r="E375" s="5"/>
      <c r="F375" s="7"/>
      <c r="G375" s="7">
        <f t="shared" si="40"/>
        <v>0</v>
      </c>
      <c r="H375" s="7">
        <f t="shared" si="40"/>
        <v>0</v>
      </c>
      <c r="I375" s="7">
        <f t="shared" si="40"/>
        <v>1</v>
      </c>
      <c r="J375" s="7">
        <f t="shared" si="40"/>
        <v>0</v>
      </c>
      <c r="K375" s="7">
        <f t="shared" si="40"/>
        <v>0</v>
      </c>
      <c r="L375" s="6"/>
    </row>
    <row r="376" spans="1:12" outlineLevel="1" x14ac:dyDescent="0.25">
      <c r="A376" s="21">
        <f>A375+0.0001</f>
        <v>4.5002999999999993</v>
      </c>
      <c r="B376" s="5" t="s">
        <v>482</v>
      </c>
      <c r="C376" s="22" t="s">
        <v>494</v>
      </c>
      <c r="D376" s="6"/>
      <c r="E376" s="5"/>
      <c r="F376" s="7"/>
      <c r="G376" s="7">
        <f t="shared" si="40"/>
        <v>0</v>
      </c>
      <c r="H376" s="7">
        <f t="shared" si="40"/>
        <v>0</v>
      </c>
      <c r="I376" s="7">
        <f t="shared" si="40"/>
        <v>1</v>
      </c>
      <c r="J376" s="7">
        <f t="shared" si="40"/>
        <v>0</v>
      </c>
      <c r="K376" s="7">
        <f t="shared" si="40"/>
        <v>0</v>
      </c>
      <c r="L376" s="6"/>
    </row>
    <row r="377" spans="1:12" s="19" customFormat="1" x14ac:dyDescent="0.25">
      <c r="A377" s="15">
        <v>5</v>
      </c>
      <c r="B377" s="71" t="s">
        <v>536</v>
      </c>
      <c r="C377" s="35"/>
      <c r="D377" s="36"/>
      <c r="E377" s="36"/>
      <c r="F377" s="37"/>
      <c r="G377" s="37"/>
      <c r="H377" s="37"/>
      <c r="I377" s="37"/>
      <c r="J377" s="37"/>
      <c r="K377" s="37"/>
      <c r="L377" s="36"/>
    </row>
    <row r="378" spans="1:12" outlineLevel="1" x14ac:dyDescent="0.25">
      <c r="A378" s="4">
        <f t="shared" ref="A378:A385" si="41">A377+0.0001</f>
        <v>5.0000999999999998</v>
      </c>
      <c r="B378" s="72" t="s">
        <v>18</v>
      </c>
      <c r="C378" s="22" t="s">
        <v>39</v>
      </c>
      <c r="D378" s="6"/>
      <c r="E378" s="5"/>
      <c r="F378" s="7"/>
      <c r="G378" s="7">
        <f t="shared" ref="G378:K385" si="42">IF($F378=G$1,1,0)</f>
        <v>0</v>
      </c>
      <c r="H378" s="7">
        <f t="shared" si="42"/>
        <v>0</v>
      </c>
      <c r="I378" s="7">
        <f t="shared" si="42"/>
        <v>1</v>
      </c>
      <c r="J378" s="7">
        <f t="shared" si="42"/>
        <v>0</v>
      </c>
      <c r="K378" s="7">
        <f t="shared" si="42"/>
        <v>0</v>
      </c>
      <c r="L378" s="6"/>
    </row>
    <row r="379" spans="1:12" outlineLevel="1" x14ac:dyDescent="0.25">
      <c r="A379" s="4">
        <f t="shared" si="41"/>
        <v>5.0001999999999995</v>
      </c>
      <c r="B379" s="53" t="s">
        <v>40</v>
      </c>
      <c r="C379" s="22" t="s">
        <v>19</v>
      </c>
      <c r="D379" s="6"/>
      <c r="E379" s="5"/>
      <c r="F379" s="7"/>
      <c r="G379" s="7">
        <f t="shared" si="42"/>
        <v>0</v>
      </c>
      <c r="H379" s="7">
        <f t="shared" si="42"/>
        <v>0</v>
      </c>
      <c r="I379" s="7">
        <f t="shared" si="42"/>
        <v>1</v>
      </c>
      <c r="J379" s="7">
        <f t="shared" si="42"/>
        <v>0</v>
      </c>
      <c r="K379" s="7">
        <f t="shared" si="42"/>
        <v>0</v>
      </c>
      <c r="L379" s="6"/>
    </row>
    <row r="380" spans="1:12" outlineLevel="1" x14ac:dyDescent="0.25">
      <c r="A380" s="4">
        <f t="shared" si="41"/>
        <v>5.0002999999999993</v>
      </c>
      <c r="B380" s="53" t="s">
        <v>41</v>
      </c>
      <c r="C380" s="22"/>
      <c r="D380" s="6"/>
      <c r="E380" s="5"/>
      <c r="F380" s="7"/>
      <c r="G380" s="7">
        <f t="shared" si="42"/>
        <v>0</v>
      </c>
      <c r="H380" s="7">
        <f t="shared" si="42"/>
        <v>0</v>
      </c>
      <c r="I380" s="7">
        <f t="shared" si="42"/>
        <v>1</v>
      </c>
      <c r="J380" s="7">
        <f t="shared" si="42"/>
        <v>0</v>
      </c>
      <c r="K380" s="7">
        <f t="shared" si="42"/>
        <v>0</v>
      </c>
      <c r="L380" s="6"/>
    </row>
    <row r="381" spans="1:12" ht="25.5" outlineLevel="1" x14ac:dyDescent="0.25">
      <c r="A381" s="4">
        <f t="shared" si="41"/>
        <v>5.0003999999999991</v>
      </c>
      <c r="B381" s="31" t="s">
        <v>424</v>
      </c>
      <c r="C381" s="23" t="s">
        <v>42</v>
      </c>
      <c r="D381" s="6"/>
      <c r="E381" s="6"/>
      <c r="F381" s="7"/>
      <c r="G381" s="7">
        <f t="shared" si="42"/>
        <v>0</v>
      </c>
      <c r="H381" s="7">
        <f t="shared" si="42"/>
        <v>0</v>
      </c>
      <c r="I381" s="7">
        <f t="shared" si="42"/>
        <v>1</v>
      </c>
      <c r="J381" s="7">
        <f t="shared" si="42"/>
        <v>0</v>
      </c>
      <c r="K381" s="7">
        <f t="shared" si="42"/>
        <v>0</v>
      </c>
      <c r="L381" s="6"/>
    </row>
    <row r="382" spans="1:12" ht="25.5" outlineLevel="1" x14ac:dyDescent="0.25">
      <c r="A382" s="4">
        <f t="shared" si="41"/>
        <v>5.0004999999999988</v>
      </c>
      <c r="B382" s="53"/>
      <c r="C382" s="23" t="s">
        <v>43</v>
      </c>
      <c r="D382" s="6"/>
      <c r="E382" s="6"/>
      <c r="F382" s="7"/>
      <c r="G382" s="7">
        <f t="shared" si="42"/>
        <v>0</v>
      </c>
      <c r="H382" s="7">
        <f t="shared" si="42"/>
        <v>0</v>
      </c>
      <c r="I382" s="7">
        <f t="shared" si="42"/>
        <v>1</v>
      </c>
      <c r="J382" s="7">
        <f t="shared" si="42"/>
        <v>0</v>
      </c>
      <c r="K382" s="7">
        <f t="shared" si="42"/>
        <v>0</v>
      </c>
      <c r="L382" s="6"/>
    </row>
    <row r="383" spans="1:12" outlineLevel="1" x14ac:dyDescent="0.25">
      <c r="A383" s="4">
        <f t="shared" si="41"/>
        <v>5.0005999999999986</v>
      </c>
      <c r="B383" s="72" t="s">
        <v>509</v>
      </c>
      <c r="C383" s="94" t="s">
        <v>512</v>
      </c>
      <c r="D383" s="6"/>
      <c r="E383" s="5"/>
      <c r="F383" s="7"/>
      <c r="G383" s="7">
        <f t="shared" si="42"/>
        <v>0</v>
      </c>
      <c r="H383" s="7">
        <f t="shared" si="42"/>
        <v>0</v>
      </c>
      <c r="I383" s="7">
        <f t="shared" si="42"/>
        <v>1</v>
      </c>
      <c r="J383" s="7">
        <f t="shared" si="42"/>
        <v>0</v>
      </c>
      <c r="K383" s="7">
        <f t="shared" si="42"/>
        <v>0</v>
      </c>
      <c r="L383" s="6"/>
    </row>
    <row r="384" spans="1:12" outlineLevel="1" x14ac:dyDescent="0.25">
      <c r="A384" s="4">
        <f t="shared" si="41"/>
        <v>5.0006999999999984</v>
      </c>
      <c r="B384" s="53" t="s">
        <v>40</v>
      </c>
      <c r="C384" s="22"/>
      <c r="D384" s="6"/>
      <c r="E384" s="5"/>
      <c r="F384" s="7"/>
      <c r="G384" s="7">
        <f t="shared" si="42"/>
        <v>0</v>
      </c>
      <c r="H384" s="7">
        <f t="shared" si="42"/>
        <v>0</v>
      </c>
      <c r="I384" s="7">
        <f t="shared" si="42"/>
        <v>1</v>
      </c>
      <c r="J384" s="7">
        <f t="shared" si="42"/>
        <v>0</v>
      </c>
      <c r="K384" s="7">
        <f t="shared" si="42"/>
        <v>0</v>
      </c>
      <c r="L384" s="6"/>
    </row>
    <row r="385" spans="1:12" outlineLevel="1" x14ac:dyDescent="0.25">
      <c r="A385" s="4">
        <f t="shared" si="41"/>
        <v>5.0007999999999981</v>
      </c>
      <c r="B385" s="53" t="s">
        <v>41</v>
      </c>
      <c r="C385" s="22"/>
      <c r="D385" s="6"/>
      <c r="E385" s="5"/>
      <c r="F385" s="7"/>
      <c r="G385" s="7">
        <f t="shared" si="42"/>
        <v>0</v>
      </c>
      <c r="H385" s="7">
        <f t="shared" si="42"/>
        <v>0</v>
      </c>
      <c r="I385" s="7">
        <f t="shared" si="42"/>
        <v>1</v>
      </c>
      <c r="J385" s="7">
        <f t="shared" si="42"/>
        <v>0</v>
      </c>
      <c r="K385" s="7">
        <f t="shared" si="42"/>
        <v>0</v>
      </c>
      <c r="L385" s="6"/>
    </row>
    <row r="386" spans="1:12" s="19" customFormat="1" x14ac:dyDescent="0.25">
      <c r="A386" s="78">
        <v>5.0999999999999996</v>
      </c>
      <c r="B386" s="87" t="s">
        <v>495</v>
      </c>
      <c r="C386" s="80"/>
      <c r="D386" s="81"/>
      <c r="E386" s="81"/>
      <c r="F386" s="82"/>
      <c r="G386" s="82"/>
      <c r="H386" s="82"/>
      <c r="I386" s="82"/>
      <c r="J386" s="82"/>
      <c r="K386" s="82"/>
      <c r="L386" s="81"/>
    </row>
    <row r="387" spans="1:12" ht="51" outlineLevel="1" x14ac:dyDescent="0.25">
      <c r="A387" s="21">
        <f t="shared" ref="A387:A393" si="43">A386+0.0001</f>
        <v>5.1000999999999994</v>
      </c>
      <c r="B387" s="24" t="s">
        <v>425</v>
      </c>
      <c r="C387" s="22" t="s">
        <v>426</v>
      </c>
      <c r="D387" s="6"/>
      <c r="E387" s="6"/>
      <c r="F387" s="7"/>
      <c r="G387" s="7">
        <f t="shared" ref="G387:K393" si="44">IF($F387=G$1,1,0)</f>
        <v>0</v>
      </c>
      <c r="H387" s="7">
        <f t="shared" si="44"/>
        <v>0</v>
      </c>
      <c r="I387" s="7">
        <f t="shared" si="44"/>
        <v>1</v>
      </c>
      <c r="J387" s="7">
        <f t="shared" si="44"/>
        <v>0</v>
      </c>
      <c r="K387" s="7">
        <f t="shared" si="44"/>
        <v>0</v>
      </c>
      <c r="L387" s="6"/>
    </row>
    <row r="388" spans="1:12" outlineLevel="1" x14ac:dyDescent="0.25">
      <c r="A388" s="21">
        <f t="shared" si="43"/>
        <v>5.1001999999999992</v>
      </c>
      <c r="B388" s="25" t="s">
        <v>171</v>
      </c>
      <c r="C388" s="22" t="s">
        <v>172</v>
      </c>
      <c r="D388" s="6"/>
      <c r="E388" s="6"/>
      <c r="F388" s="7"/>
      <c r="G388" s="7">
        <f t="shared" si="44"/>
        <v>0</v>
      </c>
      <c r="H388" s="7">
        <f t="shared" si="44"/>
        <v>0</v>
      </c>
      <c r="I388" s="7">
        <f t="shared" si="44"/>
        <v>1</v>
      </c>
      <c r="J388" s="7">
        <f t="shared" si="44"/>
        <v>0</v>
      </c>
      <c r="K388" s="7">
        <f t="shared" si="44"/>
        <v>0</v>
      </c>
      <c r="L388" s="6"/>
    </row>
    <row r="389" spans="1:12" outlineLevel="1" x14ac:dyDescent="0.25">
      <c r="A389" s="21">
        <f t="shared" si="43"/>
        <v>5.1002999999999989</v>
      </c>
      <c r="B389" s="25"/>
      <c r="C389" s="22" t="s">
        <v>173</v>
      </c>
      <c r="D389" s="6"/>
      <c r="E389" s="6"/>
      <c r="F389" s="7"/>
      <c r="G389" s="7">
        <f t="shared" si="44"/>
        <v>0</v>
      </c>
      <c r="H389" s="7">
        <f t="shared" si="44"/>
        <v>0</v>
      </c>
      <c r="I389" s="7">
        <f t="shared" si="44"/>
        <v>1</v>
      </c>
      <c r="J389" s="7">
        <f t="shared" si="44"/>
        <v>0</v>
      </c>
      <c r="K389" s="7">
        <f t="shared" si="44"/>
        <v>0</v>
      </c>
      <c r="L389" s="6"/>
    </row>
    <row r="390" spans="1:12" outlineLevel="1" x14ac:dyDescent="0.25">
      <c r="A390" s="21">
        <f t="shared" si="43"/>
        <v>5.1003999999999987</v>
      </c>
      <c r="B390" s="25"/>
      <c r="C390" s="23" t="s">
        <v>176</v>
      </c>
      <c r="D390" s="6"/>
      <c r="E390" s="6"/>
      <c r="F390" s="7"/>
      <c r="G390" s="7">
        <f t="shared" si="44"/>
        <v>0</v>
      </c>
      <c r="H390" s="7">
        <f t="shared" si="44"/>
        <v>0</v>
      </c>
      <c r="I390" s="7">
        <f t="shared" si="44"/>
        <v>1</v>
      </c>
      <c r="J390" s="7">
        <f t="shared" si="44"/>
        <v>0</v>
      </c>
      <c r="K390" s="7">
        <f t="shared" si="44"/>
        <v>0</v>
      </c>
      <c r="L390" s="6"/>
    </row>
    <row r="391" spans="1:12" outlineLevel="1" x14ac:dyDescent="0.25">
      <c r="A391" s="21">
        <f t="shared" si="43"/>
        <v>5.1004999999999985</v>
      </c>
      <c r="B391" s="25" t="s">
        <v>340</v>
      </c>
      <c r="C391" s="23"/>
      <c r="D391" s="6"/>
      <c r="E391" s="6"/>
      <c r="F391" s="7"/>
      <c r="G391" s="7">
        <f t="shared" si="44"/>
        <v>0</v>
      </c>
      <c r="H391" s="7">
        <f t="shared" si="44"/>
        <v>0</v>
      </c>
      <c r="I391" s="7">
        <f t="shared" si="44"/>
        <v>1</v>
      </c>
      <c r="J391" s="7">
        <f t="shared" si="44"/>
        <v>0</v>
      </c>
      <c r="K391" s="7">
        <f t="shared" si="44"/>
        <v>0</v>
      </c>
      <c r="L391" s="6"/>
    </row>
    <row r="392" spans="1:12" outlineLevel="1" x14ac:dyDescent="0.25">
      <c r="A392" s="21">
        <f t="shared" si="43"/>
        <v>5.1005999999999982</v>
      </c>
      <c r="B392" s="25" t="s">
        <v>427</v>
      </c>
      <c r="C392" s="23" t="s">
        <v>428</v>
      </c>
      <c r="D392" s="6"/>
      <c r="E392" s="6"/>
      <c r="F392" s="7"/>
      <c r="G392" s="7">
        <f t="shared" si="44"/>
        <v>0</v>
      </c>
      <c r="H392" s="7">
        <f t="shared" si="44"/>
        <v>0</v>
      </c>
      <c r="I392" s="7">
        <f t="shared" si="44"/>
        <v>1</v>
      </c>
      <c r="J392" s="7">
        <f t="shared" si="44"/>
        <v>0</v>
      </c>
      <c r="K392" s="7">
        <f t="shared" si="44"/>
        <v>0</v>
      </c>
      <c r="L392" s="6"/>
    </row>
    <row r="393" spans="1:12" outlineLevel="1" x14ac:dyDescent="0.25">
      <c r="A393" s="21">
        <f t="shared" si="43"/>
        <v>5.100699999999998</v>
      </c>
      <c r="B393" s="43" t="s">
        <v>350</v>
      </c>
      <c r="C393" s="23" t="s">
        <v>429</v>
      </c>
      <c r="D393" s="6"/>
      <c r="E393" s="6"/>
      <c r="F393" s="7"/>
      <c r="G393" s="7">
        <f t="shared" si="44"/>
        <v>0</v>
      </c>
      <c r="H393" s="7">
        <f t="shared" si="44"/>
        <v>0</v>
      </c>
      <c r="I393" s="7">
        <f t="shared" si="44"/>
        <v>1</v>
      </c>
      <c r="J393" s="7">
        <f t="shared" si="44"/>
        <v>0</v>
      </c>
      <c r="K393" s="7">
        <f t="shared" si="44"/>
        <v>0</v>
      </c>
      <c r="L393" s="6"/>
    </row>
    <row r="394" spans="1:12" x14ac:dyDescent="0.25">
      <c r="A394" s="78">
        <v>5.2</v>
      </c>
      <c r="B394" s="87" t="s">
        <v>496</v>
      </c>
      <c r="C394" s="80"/>
      <c r="D394" s="81"/>
      <c r="E394" s="81"/>
      <c r="F394" s="82"/>
      <c r="G394" s="82"/>
      <c r="H394" s="82"/>
      <c r="I394" s="82"/>
      <c r="J394" s="82"/>
      <c r="K394" s="82"/>
      <c r="L394" s="81"/>
    </row>
    <row r="395" spans="1:12" outlineLevel="1" x14ac:dyDescent="0.25">
      <c r="A395" s="21">
        <f t="shared" ref="A395:A410" si="45">A394+0.0001</f>
        <v>5.2000999999999999</v>
      </c>
      <c r="B395" s="24" t="s">
        <v>284</v>
      </c>
      <c r="C395" s="23" t="s">
        <v>285</v>
      </c>
      <c r="D395" s="6"/>
      <c r="E395" s="6"/>
      <c r="F395" s="7"/>
      <c r="G395" s="7">
        <f t="shared" ref="G395:K410" si="46">IF($F395=G$1,1,0)</f>
        <v>0</v>
      </c>
      <c r="H395" s="7">
        <f t="shared" si="46"/>
        <v>0</v>
      </c>
      <c r="I395" s="7">
        <f t="shared" si="46"/>
        <v>1</v>
      </c>
      <c r="J395" s="7">
        <f t="shared" si="46"/>
        <v>0</v>
      </c>
      <c r="K395" s="7">
        <f t="shared" si="46"/>
        <v>0</v>
      </c>
      <c r="L395" s="6"/>
    </row>
    <row r="396" spans="1:12" ht="25.5" outlineLevel="1" x14ac:dyDescent="0.25">
      <c r="A396" s="21">
        <f t="shared" si="45"/>
        <v>5.2001999999999997</v>
      </c>
      <c r="B396" s="25"/>
      <c r="C396" s="23" t="s">
        <v>430</v>
      </c>
      <c r="D396" s="6"/>
      <c r="E396" s="6"/>
      <c r="F396" s="7"/>
      <c r="G396" s="7">
        <f t="shared" si="46"/>
        <v>0</v>
      </c>
      <c r="H396" s="7">
        <f t="shared" si="46"/>
        <v>0</v>
      </c>
      <c r="I396" s="7">
        <f t="shared" si="46"/>
        <v>1</v>
      </c>
      <c r="J396" s="7">
        <f t="shared" si="46"/>
        <v>0</v>
      </c>
      <c r="K396" s="7">
        <f t="shared" si="46"/>
        <v>0</v>
      </c>
      <c r="L396" s="6"/>
    </row>
    <row r="397" spans="1:12" outlineLevel="1" x14ac:dyDescent="0.25">
      <c r="A397" s="21">
        <f t="shared" si="45"/>
        <v>5.2002999999999995</v>
      </c>
      <c r="B397" s="25" t="s">
        <v>348</v>
      </c>
      <c r="C397" s="48" t="s">
        <v>431</v>
      </c>
      <c r="D397" s="6"/>
      <c r="E397" s="6"/>
      <c r="F397" s="7"/>
      <c r="G397" s="7">
        <f t="shared" si="46"/>
        <v>0</v>
      </c>
      <c r="H397" s="7">
        <f t="shared" si="46"/>
        <v>0</v>
      </c>
      <c r="I397" s="7">
        <f t="shared" si="46"/>
        <v>1</v>
      </c>
      <c r="J397" s="7">
        <f t="shared" si="46"/>
        <v>0</v>
      </c>
      <c r="K397" s="7">
        <f t="shared" si="46"/>
        <v>0</v>
      </c>
      <c r="L397" s="6"/>
    </row>
    <row r="398" spans="1:12" outlineLevel="1" x14ac:dyDescent="0.25">
      <c r="A398" s="21">
        <f t="shared" si="45"/>
        <v>5.2003999999999992</v>
      </c>
      <c r="B398" s="25" t="s">
        <v>348</v>
      </c>
      <c r="C398" s="48" t="s">
        <v>432</v>
      </c>
      <c r="D398" s="6"/>
      <c r="E398" s="6"/>
      <c r="F398" s="7"/>
      <c r="G398" s="7">
        <f t="shared" si="46"/>
        <v>0</v>
      </c>
      <c r="H398" s="7">
        <f t="shared" si="46"/>
        <v>0</v>
      </c>
      <c r="I398" s="7">
        <f t="shared" si="46"/>
        <v>1</v>
      </c>
      <c r="J398" s="7">
        <f t="shared" si="46"/>
        <v>0</v>
      </c>
      <c r="K398" s="7">
        <f t="shared" si="46"/>
        <v>0</v>
      </c>
      <c r="L398" s="6"/>
    </row>
    <row r="399" spans="1:12" outlineLevel="1" x14ac:dyDescent="0.25">
      <c r="A399" s="21">
        <f t="shared" si="45"/>
        <v>5.200499999999999</v>
      </c>
      <c r="B399" s="25" t="s">
        <v>348</v>
      </c>
      <c r="C399" s="23" t="s">
        <v>433</v>
      </c>
      <c r="D399" s="6"/>
      <c r="E399" s="6"/>
      <c r="F399" s="7"/>
      <c r="G399" s="7">
        <f t="shared" si="46"/>
        <v>0</v>
      </c>
      <c r="H399" s="7">
        <f t="shared" si="46"/>
        <v>0</v>
      </c>
      <c r="I399" s="7">
        <f t="shared" si="46"/>
        <v>1</v>
      </c>
      <c r="J399" s="7">
        <f t="shared" si="46"/>
        <v>0</v>
      </c>
      <c r="K399" s="7">
        <f t="shared" si="46"/>
        <v>0</v>
      </c>
      <c r="L399" s="6"/>
    </row>
    <row r="400" spans="1:12" outlineLevel="1" x14ac:dyDescent="0.25">
      <c r="A400" s="21">
        <f t="shared" si="45"/>
        <v>5.2005999999999988</v>
      </c>
      <c r="B400" s="25" t="s">
        <v>348</v>
      </c>
      <c r="C400" s="23" t="s">
        <v>434</v>
      </c>
      <c r="D400" s="6"/>
      <c r="E400" s="6"/>
      <c r="F400" s="7"/>
      <c r="G400" s="7">
        <f t="shared" si="46"/>
        <v>0</v>
      </c>
      <c r="H400" s="7">
        <f t="shared" si="46"/>
        <v>0</v>
      </c>
      <c r="I400" s="7">
        <f t="shared" si="46"/>
        <v>1</v>
      </c>
      <c r="J400" s="7">
        <f t="shared" si="46"/>
        <v>0</v>
      </c>
      <c r="K400" s="7">
        <f t="shared" si="46"/>
        <v>0</v>
      </c>
      <c r="L400" s="6"/>
    </row>
    <row r="401" spans="1:12" outlineLevel="1" x14ac:dyDescent="0.25">
      <c r="A401" s="21">
        <f t="shared" si="45"/>
        <v>5.2006999999999985</v>
      </c>
      <c r="B401" s="25" t="s">
        <v>348</v>
      </c>
      <c r="C401" s="23" t="s">
        <v>435</v>
      </c>
      <c r="D401" s="6"/>
      <c r="E401" s="6"/>
      <c r="F401" s="7"/>
      <c r="G401" s="7">
        <f t="shared" si="46"/>
        <v>0</v>
      </c>
      <c r="H401" s="7">
        <f t="shared" si="46"/>
        <v>0</v>
      </c>
      <c r="I401" s="7">
        <f t="shared" si="46"/>
        <v>1</v>
      </c>
      <c r="J401" s="7">
        <f t="shared" si="46"/>
        <v>0</v>
      </c>
      <c r="K401" s="7">
        <f t="shared" si="46"/>
        <v>0</v>
      </c>
      <c r="L401" s="6"/>
    </row>
    <row r="402" spans="1:12" outlineLevel="1" x14ac:dyDescent="0.25">
      <c r="A402" s="21">
        <f t="shared" si="45"/>
        <v>5.2007999999999983</v>
      </c>
      <c r="B402" s="5" t="s">
        <v>504</v>
      </c>
      <c r="C402" s="23" t="s">
        <v>505</v>
      </c>
      <c r="D402" s="6"/>
      <c r="E402" s="6" t="s">
        <v>503</v>
      </c>
      <c r="F402" s="7"/>
      <c r="G402" s="7">
        <f t="shared" si="46"/>
        <v>0</v>
      </c>
      <c r="H402" s="7">
        <f t="shared" si="46"/>
        <v>0</v>
      </c>
      <c r="I402" s="7">
        <f t="shared" si="46"/>
        <v>1</v>
      </c>
      <c r="J402" s="7">
        <f t="shared" si="46"/>
        <v>0</v>
      </c>
      <c r="K402" s="7">
        <f t="shared" si="46"/>
        <v>0</v>
      </c>
      <c r="L402" s="6"/>
    </row>
    <row r="403" spans="1:12" outlineLevel="1" x14ac:dyDescent="0.25">
      <c r="A403" s="21">
        <f t="shared" si="45"/>
        <v>5.2008999999999981</v>
      </c>
      <c r="B403" s="25" t="s">
        <v>437</v>
      </c>
      <c r="C403" s="23" t="s">
        <v>441</v>
      </c>
      <c r="D403" s="6"/>
      <c r="E403" s="6"/>
      <c r="F403" s="7"/>
      <c r="G403" s="7">
        <f t="shared" si="46"/>
        <v>0</v>
      </c>
      <c r="H403" s="7">
        <f t="shared" si="46"/>
        <v>0</v>
      </c>
      <c r="I403" s="7">
        <f t="shared" si="46"/>
        <v>1</v>
      </c>
      <c r="J403" s="7">
        <f t="shared" si="46"/>
        <v>0</v>
      </c>
      <c r="K403" s="7">
        <f t="shared" si="46"/>
        <v>0</v>
      </c>
      <c r="L403" s="6"/>
    </row>
    <row r="404" spans="1:12" outlineLevel="1" x14ac:dyDescent="0.25">
      <c r="A404" s="21">
        <f t="shared" si="45"/>
        <v>5.2009999999999978</v>
      </c>
      <c r="B404" s="25"/>
      <c r="C404" s="23" t="s">
        <v>438</v>
      </c>
      <c r="D404" s="6"/>
      <c r="E404" s="6"/>
      <c r="F404" s="7"/>
      <c r="G404" s="7">
        <f t="shared" si="46"/>
        <v>0</v>
      </c>
      <c r="H404" s="7">
        <f t="shared" si="46"/>
        <v>0</v>
      </c>
      <c r="I404" s="7">
        <f t="shared" si="46"/>
        <v>1</v>
      </c>
      <c r="J404" s="7">
        <f t="shared" si="46"/>
        <v>0</v>
      </c>
      <c r="K404" s="7">
        <f t="shared" si="46"/>
        <v>0</v>
      </c>
      <c r="L404" s="6"/>
    </row>
    <row r="405" spans="1:12" outlineLevel="1" x14ac:dyDescent="0.25">
      <c r="A405" s="21">
        <f t="shared" si="45"/>
        <v>5.2010999999999976</v>
      </c>
      <c r="B405" s="25"/>
      <c r="C405" s="23" t="s">
        <v>439</v>
      </c>
      <c r="D405" s="6"/>
      <c r="E405" s="6"/>
      <c r="F405" s="7"/>
      <c r="G405" s="7">
        <f t="shared" si="46"/>
        <v>0</v>
      </c>
      <c r="H405" s="7">
        <f t="shared" si="46"/>
        <v>0</v>
      </c>
      <c r="I405" s="7">
        <f t="shared" si="46"/>
        <v>1</v>
      </c>
      <c r="J405" s="7">
        <f t="shared" si="46"/>
        <v>0</v>
      </c>
      <c r="K405" s="7">
        <f t="shared" si="46"/>
        <v>0</v>
      </c>
      <c r="L405" s="6"/>
    </row>
    <row r="406" spans="1:12" outlineLevel="1" x14ac:dyDescent="0.25">
      <c r="A406" s="21">
        <f t="shared" si="45"/>
        <v>5.2011999999999974</v>
      </c>
      <c r="B406" s="25"/>
      <c r="C406" s="23" t="s">
        <v>440</v>
      </c>
      <c r="D406" s="6"/>
      <c r="E406" s="6"/>
      <c r="F406" s="7"/>
      <c r="G406" s="7">
        <f t="shared" si="46"/>
        <v>0</v>
      </c>
      <c r="H406" s="7">
        <f t="shared" si="46"/>
        <v>0</v>
      </c>
      <c r="I406" s="7">
        <f t="shared" si="46"/>
        <v>1</v>
      </c>
      <c r="J406" s="7">
        <f t="shared" si="46"/>
        <v>0</v>
      </c>
      <c r="K406" s="7">
        <f t="shared" si="46"/>
        <v>0</v>
      </c>
      <c r="L406" s="6"/>
    </row>
    <row r="407" spans="1:12" outlineLevel="1" x14ac:dyDescent="0.25">
      <c r="A407" s="21">
        <f t="shared" si="45"/>
        <v>5.2012999999999971</v>
      </c>
      <c r="B407" s="25" t="s">
        <v>440</v>
      </c>
      <c r="C407" s="23" t="s">
        <v>442</v>
      </c>
      <c r="D407" s="6"/>
      <c r="E407" s="6"/>
      <c r="F407" s="7"/>
      <c r="G407" s="7">
        <f t="shared" si="46"/>
        <v>0</v>
      </c>
      <c r="H407" s="7">
        <f t="shared" si="46"/>
        <v>0</v>
      </c>
      <c r="I407" s="7">
        <f t="shared" si="46"/>
        <v>1</v>
      </c>
      <c r="J407" s="7">
        <f t="shared" si="46"/>
        <v>0</v>
      </c>
      <c r="K407" s="7">
        <f t="shared" si="46"/>
        <v>0</v>
      </c>
      <c r="L407" s="6"/>
    </row>
    <row r="408" spans="1:12" outlineLevel="1" x14ac:dyDescent="0.25">
      <c r="A408" s="21">
        <f t="shared" si="45"/>
        <v>5.2013999999999969</v>
      </c>
      <c r="B408" s="25" t="s">
        <v>443</v>
      </c>
      <c r="C408" s="23" t="s">
        <v>444</v>
      </c>
      <c r="D408" s="6"/>
      <c r="E408" s="6"/>
      <c r="F408" s="7"/>
      <c r="G408" s="7">
        <f t="shared" si="46"/>
        <v>0</v>
      </c>
      <c r="H408" s="7">
        <f t="shared" si="46"/>
        <v>0</v>
      </c>
      <c r="I408" s="7">
        <f t="shared" si="46"/>
        <v>1</v>
      </c>
      <c r="J408" s="7">
        <f t="shared" si="46"/>
        <v>0</v>
      </c>
      <c r="K408" s="7">
        <f t="shared" si="46"/>
        <v>0</v>
      </c>
      <c r="L408" s="6"/>
    </row>
    <row r="409" spans="1:12" outlineLevel="1" x14ac:dyDescent="0.25">
      <c r="A409" s="21">
        <f t="shared" si="45"/>
        <v>5.2014999999999967</v>
      </c>
      <c r="B409" s="25" t="s">
        <v>349</v>
      </c>
      <c r="C409" s="23" t="s">
        <v>446</v>
      </c>
      <c r="D409" s="6"/>
      <c r="E409" s="6"/>
      <c r="F409" s="7"/>
      <c r="G409" s="7">
        <f t="shared" si="46"/>
        <v>0</v>
      </c>
      <c r="H409" s="7">
        <f t="shared" si="46"/>
        <v>0</v>
      </c>
      <c r="I409" s="7">
        <f t="shared" si="46"/>
        <v>1</v>
      </c>
      <c r="J409" s="7">
        <f t="shared" si="46"/>
        <v>0</v>
      </c>
      <c r="K409" s="7">
        <f t="shared" si="46"/>
        <v>0</v>
      </c>
      <c r="L409" s="6"/>
    </row>
    <row r="410" spans="1:12" outlineLevel="1" x14ac:dyDescent="0.25">
      <c r="A410" s="21">
        <f t="shared" si="45"/>
        <v>5.2015999999999964</v>
      </c>
      <c r="B410" s="25" t="s">
        <v>385</v>
      </c>
      <c r="C410" s="23" t="s">
        <v>445</v>
      </c>
      <c r="D410" s="6"/>
      <c r="E410" s="6"/>
      <c r="F410" s="7"/>
      <c r="G410" s="7">
        <f t="shared" si="46"/>
        <v>0</v>
      </c>
      <c r="H410" s="7">
        <f t="shared" si="46"/>
        <v>0</v>
      </c>
      <c r="I410" s="7">
        <f t="shared" si="46"/>
        <v>1</v>
      </c>
      <c r="J410" s="7">
        <f t="shared" si="46"/>
        <v>0</v>
      </c>
      <c r="K410" s="7">
        <f t="shared" si="46"/>
        <v>0</v>
      </c>
      <c r="L410" s="6"/>
    </row>
    <row r="411" spans="1:12" s="19" customFormat="1" x14ac:dyDescent="0.25">
      <c r="A411" s="78">
        <v>5.3</v>
      </c>
      <c r="B411" s="79" t="s">
        <v>497</v>
      </c>
      <c r="C411" s="80"/>
      <c r="D411" s="81"/>
      <c r="E411" s="81"/>
      <c r="F411" s="82"/>
      <c r="G411" s="82"/>
      <c r="H411" s="82"/>
      <c r="I411" s="82"/>
      <c r="J411" s="82"/>
      <c r="K411" s="82"/>
      <c r="L411" s="81"/>
    </row>
    <row r="412" spans="1:12" outlineLevel="1" x14ac:dyDescent="0.25">
      <c r="A412" s="21">
        <f>A411+0.0001</f>
        <v>5.3000999999999996</v>
      </c>
      <c r="B412" s="24" t="s">
        <v>447</v>
      </c>
      <c r="C412" s="22" t="s">
        <v>448</v>
      </c>
      <c r="D412" s="6"/>
      <c r="E412" s="5"/>
      <c r="F412" s="7"/>
      <c r="G412" s="7">
        <f t="shared" ref="G412:K450" si="47">IF($F412=G$1,1,0)</f>
        <v>0</v>
      </c>
      <c r="H412" s="7">
        <f t="shared" si="47"/>
        <v>0</v>
      </c>
      <c r="I412" s="7">
        <f t="shared" si="47"/>
        <v>1</v>
      </c>
      <c r="J412" s="7">
        <f t="shared" si="47"/>
        <v>0</v>
      </c>
      <c r="K412" s="7">
        <f t="shared" si="47"/>
        <v>0</v>
      </c>
      <c r="L412" s="6"/>
    </row>
    <row r="413" spans="1:12" ht="25.5" outlineLevel="1" x14ac:dyDescent="0.25">
      <c r="A413" s="21">
        <f t="shared" ref="A413:A447" si="48">A412+0.0001</f>
        <v>5.3001999999999994</v>
      </c>
      <c r="B413" s="24" t="s">
        <v>449</v>
      </c>
      <c r="C413" s="22" t="s">
        <v>452</v>
      </c>
      <c r="D413" s="6"/>
      <c r="E413" s="5"/>
      <c r="F413" s="7"/>
      <c r="G413" s="7">
        <f t="shared" si="47"/>
        <v>0</v>
      </c>
      <c r="H413" s="7">
        <f t="shared" si="47"/>
        <v>0</v>
      </c>
      <c r="I413" s="7">
        <f t="shared" si="47"/>
        <v>1</v>
      </c>
      <c r="J413" s="7">
        <f t="shared" si="47"/>
        <v>0</v>
      </c>
      <c r="K413" s="7">
        <f t="shared" si="47"/>
        <v>0</v>
      </c>
      <c r="L413" s="6"/>
    </row>
    <row r="414" spans="1:12" outlineLevel="1" x14ac:dyDescent="0.25">
      <c r="A414" s="21">
        <f t="shared" si="48"/>
        <v>5.3002999999999991</v>
      </c>
      <c r="B414" s="26"/>
      <c r="C414" s="22" t="s">
        <v>450</v>
      </c>
      <c r="D414" s="6"/>
      <c r="E414" s="5"/>
      <c r="F414" s="7"/>
      <c r="G414" s="7">
        <f t="shared" si="47"/>
        <v>0</v>
      </c>
      <c r="H414" s="7">
        <f t="shared" si="47"/>
        <v>0</v>
      </c>
      <c r="I414" s="7">
        <f t="shared" si="47"/>
        <v>1</v>
      </c>
      <c r="J414" s="7">
        <f t="shared" si="47"/>
        <v>0</v>
      </c>
      <c r="K414" s="7">
        <f t="shared" si="47"/>
        <v>0</v>
      </c>
      <c r="L414" s="6"/>
    </row>
    <row r="415" spans="1:12" outlineLevel="1" x14ac:dyDescent="0.25">
      <c r="A415" s="21">
        <f t="shared" si="48"/>
        <v>5.3003999999999989</v>
      </c>
      <c r="B415" s="25" t="s">
        <v>344</v>
      </c>
      <c r="C415" s="22" t="s">
        <v>453</v>
      </c>
      <c r="D415" s="6"/>
      <c r="E415" s="5"/>
      <c r="F415" s="7"/>
      <c r="G415" s="7">
        <f t="shared" si="47"/>
        <v>0</v>
      </c>
      <c r="H415" s="7">
        <f t="shared" si="47"/>
        <v>0</v>
      </c>
      <c r="I415" s="7">
        <f t="shared" si="47"/>
        <v>1</v>
      </c>
      <c r="J415" s="7">
        <f t="shared" si="47"/>
        <v>0</v>
      </c>
      <c r="K415" s="7">
        <f t="shared" si="47"/>
        <v>0</v>
      </c>
      <c r="L415" s="6"/>
    </row>
    <row r="416" spans="1:12" outlineLevel="1" x14ac:dyDescent="0.25">
      <c r="A416" s="21">
        <f t="shared" si="48"/>
        <v>5.3004999999999987</v>
      </c>
      <c r="B416" s="26"/>
      <c r="C416" s="22" t="s">
        <v>451</v>
      </c>
      <c r="D416" s="6"/>
      <c r="E416" s="5"/>
      <c r="F416" s="7"/>
      <c r="G416" s="7">
        <f t="shared" si="47"/>
        <v>0</v>
      </c>
      <c r="H416" s="7">
        <f t="shared" si="47"/>
        <v>0</v>
      </c>
      <c r="I416" s="7">
        <f t="shared" si="47"/>
        <v>1</v>
      </c>
      <c r="J416" s="7">
        <f t="shared" si="47"/>
        <v>0</v>
      </c>
      <c r="K416" s="7">
        <f t="shared" si="47"/>
        <v>0</v>
      </c>
      <c r="L416" s="6"/>
    </row>
    <row r="417" spans="1:12" outlineLevel="1" x14ac:dyDescent="0.25">
      <c r="A417" s="21">
        <f t="shared" si="48"/>
        <v>5.3005999999999984</v>
      </c>
      <c r="B417" s="25" t="s">
        <v>348</v>
      </c>
      <c r="C417" s="22" t="s">
        <v>350</v>
      </c>
      <c r="D417" s="6"/>
      <c r="E417" s="5"/>
      <c r="F417" s="7"/>
      <c r="G417" s="7">
        <f t="shared" si="47"/>
        <v>0</v>
      </c>
      <c r="H417" s="7">
        <f t="shared" si="47"/>
        <v>0</v>
      </c>
      <c r="I417" s="7">
        <f t="shared" si="47"/>
        <v>1</v>
      </c>
      <c r="J417" s="7">
        <f t="shared" si="47"/>
        <v>0</v>
      </c>
      <c r="K417" s="7">
        <f t="shared" si="47"/>
        <v>0</v>
      </c>
      <c r="L417" s="6"/>
    </row>
    <row r="418" spans="1:12" outlineLevel="1" x14ac:dyDescent="0.25">
      <c r="A418" s="21">
        <f t="shared" si="48"/>
        <v>5.3006999999999982</v>
      </c>
      <c r="B418" s="24" t="s">
        <v>343</v>
      </c>
      <c r="C418" s="22" t="s">
        <v>345</v>
      </c>
      <c r="D418" s="6"/>
      <c r="E418" s="5"/>
      <c r="F418" s="7"/>
      <c r="G418" s="7">
        <f t="shared" si="47"/>
        <v>0</v>
      </c>
      <c r="H418" s="7">
        <f t="shared" si="47"/>
        <v>0</v>
      </c>
      <c r="I418" s="7">
        <f t="shared" si="47"/>
        <v>1</v>
      </c>
      <c r="J418" s="7">
        <f t="shared" si="47"/>
        <v>0</v>
      </c>
      <c r="K418" s="7">
        <f t="shared" si="47"/>
        <v>0</v>
      </c>
      <c r="L418" s="6"/>
    </row>
    <row r="419" spans="1:12" outlineLevel="1" x14ac:dyDescent="0.25">
      <c r="A419" s="21">
        <f t="shared" si="48"/>
        <v>5.300799999999998</v>
      </c>
      <c r="B419" s="25"/>
      <c r="C419" s="22" t="s">
        <v>454</v>
      </c>
      <c r="D419" s="6"/>
      <c r="E419" s="5"/>
      <c r="F419" s="7"/>
      <c r="G419" s="7">
        <f t="shared" si="47"/>
        <v>0</v>
      </c>
      <c r="H419" s="7">
        <f t="shared" si="47"/>
        <v>0</v>
      </c>
      <c r="I419" s="7">
        <f t="shared" si="47"/>
        <v>1</v>
      </c>
      <c r="J419" s="7">
        <f t="shared" si="47"/>
        <v>0</v>
      </c>
      <c r="K419" s="7">
        <f t="shared" si="47"/>
        <v>0</v>
      </c>
      <c r="L419" s="6"/>
    </row>
    <row r="420" spans="1:12" outlineLevel="1" x14ac:dyDescent="0.25">
      <c r="A420" s="21">
        <f t="shared" si="48"/>
        <v>5.3008999999999977</v>
      </c>
      <c r="B420" s="25"/>
      <c r="C420" s="22" t="s">
        <v>455</v>
      </c>
      <c r="D420" s="6"/>
      <c r="E420" s="5"/>
      <c r="F420" s="7"/>
      <c r="G420" s="7">
        <f t="shared" si="47"/>
        <v>0</v>
      </c>
      <c r="H420" s="7">
        <f t="shared" si="47"/>
        <v>0</v>
      </c>
      <c r="I420" s="7">
        <f t="shared" si="47"/>
        <v>1</v>
      </c>
      <c r="J420" s="7">
        <f t="shared" si="47"/>
        <v>0</v>
      </c>
      <c r="K420" s="7">
        <f t="shared" si="47"/>
        <v>0</v>
      </c>
      <c r="L420" s="6"/>
    </row>
    <row r="421" spans="1:12" outlineLevel="1" x14ac:dyDescent="0.25">
      <c r="A421" s="21">
        <f t="shared" si="48"/>
        <v>5.3009999999999975</v>
      </c>
      <c r="B421" s="25" t="s">
        <v>348</v>
      </c>
      <c r="C421" s="22" t="s">
        <v>347</v>
      </c>
      <c r="D421" s="6"/>
      <c r="E421" s="5"/>
      <c r="F421" s="7"/>
      <c r="G421" s="7">
        <f t="shared" si="47"/>
        <v>0</v>
      </c>
      <c r="H421" s="7">
        <f t="shared" si="47"/>
        <v>0</v>
      </c>
      <c r="I421" s="7">
        <f t="shared" si="47"/>
        <v>1</v>
      </c>
      <c r="J421" s="7">
        <f t="shared" si="47"/>
        <v>0</v>
      </c>
      <c r="K421" s="7">
        <f t="shared" si="47"/>
        <v>0</v>
      </c>
      <c r="L421" s="6"/>
    </row>
    <row r="422" spans="1:12" outlineLevel="1" x14ac:dyDescent="0.25">
      <c r="A422" s="21">
        <f t="shared" si="48"/>
        <v>5.3010999999999973</v>
      </c>
      <c r="B422" s="25" t="s">
        <v>348</v>
      </c>
      <c r="C422" s="22" t="s">
        <v>349</v>
      </c>
      <c r="D422" s="6"/>
      <c r="E422" s="5"/>
      <c r="F422" s="7"/>
      <c r="G422" s="7">
        <f t="shared" si="47"/>
        <v>0</v>
      </c>
      <c r="H422" s="7">
        <f t="shared" si="47"/>
        <v>0</v>
      </c>
      <c r="I422" s="7">
        <f t="shared" si="47"/>
        <v>1</v>
      </c>
      <c r="J422" s="7">
        <f t="shared" si="47"/>
        <v>0</v>
      </c>
      <c r="K422" s="7">
        <f t="shared" si="47"/>
        <v>0</v>
      </c>
      <c r="L422" s="6"/>
    </row>
    <row r="423" spans="1:12" outlineLevel="1" x14ac:dyDescent="0.25">
      <c r="A423" s="21">
        <f t="shared" si="48"/>
        <v>5.301199999999997</v>
      </c>
      <c r="B423" s="25" t="s">
        <v>348</v>
      </c>
      <c r="C423" s="22" t="s">
        <v>350</v>
      </c>
      <c r="D423" s="6"/>
      <c r="E423" s="5"/>
      <c r="F423" s="7"/>
      <c r="G423" s="7">
        <f t="shared" si="47"/>
        <v>0</v>
      </c>
      <c r="H423" s="7">
        <f t="shared" si="47"/>
        <v>0</v>
      </c>
      <c r="I423" s="7">
        <f t="shared" si="47"/>
        <v>1</v>
      </c>
      <c r="J423" s="7">
        <f t="shared" si="47"/>
        <v>0</v>
      </c>
      <c r="K423" s="7">
        <f t="shared" si="47"/>
        <v>0</v>
      </c>
      <c r="L423" s="6"/>
    </row>
    <row r="424" spans="1:12" outlineLevel="1" x14ac:dyDescent="0.25">
      <c r="A424" s="21">
        <f t="shared" si="48"/>
        <v>5.3012999999999968</v>
      </c>
      <c r="B424" s="24" t="s">
        <v>355</v>
      </c>
      <c r="C424" s="22" t="s">
        <v>351</v>
      </c>
      <c r="D424" s="6"/>
      <c r="E424" s="5"/>
      <c r="F424" s="7"/>
      <c r="G424" s="7">
        <f t="shared" si="47"/>
        <v>0</v>
      </c>
      <c r="H424" s="7">
        <f t="shared" si="47"/>
        <v>0</v>
      </c>
      <c r="I424" s="7">
        <f t="shared" si="47"/>
        <v>1</v>
      </c>
      <c r="J424" s="7">
        <f t="shared" si="47"/>
        <v>0</v>
      </c>
      <c r="K424" s="7">
        <f t="shared" si="47"/>
        <v>0</v>
      </c>
      <c r="L424" s="6"/>
    </row>
    <row r="425" spans="1:12" outlineLevel="1" x14ac:dyDescent="0.25">
      <c r="A425" s="21">
        <f t="shared" si="48"/>
        <v>5.3013999999999966</v>
      </c>
      <c r="B425" s="25"/>
      <c r="C425" s="22" t="s">
        <v>352</v>
      </c>
      <c r="D425" s="6"/>
      <c r="E425" s="5"/>
      <c r="F425" s="7"/>
      <c r="G425" s="7">
        <f t="shared" si="47"/>
        <v>0</v>
      </c>
      <c r="H425" s="7">
        <f t="shared" si="47"/>
        <v>0</v>
      </c>
      <c r="I425" s="7">
        <f t="shared" si="47"/>
        <v>1</v>
      </c>
      <c r="J425" s="7">
        <f t="shared" si="47"/>
        <v>0</v>
      </c>
      <c r="K425" s="7">
        <f t="shared" si="47"/>
        <v>0</v>
      </c>
      <c r="L425" s="6"/>
    </row>
    <row r="426" spans="1:12" outlineLevel="1" x14ac:dyDescent="0.25">
      <c r="A426" s="21">
        <f t="shared" si="48"/>
        <v>5.3014999999999963</v>
      </c>
      <c r="B426" s="25"/>
      <c r="C426" s="22" t="s">
        <v>353</v>
      </c>
      <c r="D426" s="6"/>
      <c r="E426" s="5"/>
      <c r="F426" s="7"/>
      <c r="G426" s="7">
        <f t="shared" si="47"/>
        <v>0</v>
      </c>
      <c r="H426" s="7">
        <f t="shared" si="47"/>
        <v>0</v>
      </c>
      <c r="I426" s="7">
        <f t="shared" si="47"/>
        <v>1</v>
      </c>
      <c r="J426" s="7">
        <f t="shared" si="47"/>
        <v>0</v>
      </c>
      <c r="K426" s="7">
        <f t="shared" si="47"/>
        <v>0</v>
      </c>
      <c r="L426" s="6"/>
    </row>
    <row r="427" spans="1:12" outlineLevel="1" x14ac:dyDescent="0.25">
      <c r="A427" s="21">
        <f t="shared" si="48"/>
        <v>5.3015999999999961</v>
      </c>
      <c r="B427" s="25"/>
      <c r="C427" s="22" t="s">
        <v>354</v>
      </c>
      <c r="D427" s="6"/>
      <c r="E427" s="5"/>
      <c r="F427" s="7"/>
      <c r="G427" s="7">
        <f t="shared" si="47"/>
        <v>0</v>
      </c>
      <c r="H427" s="7">
        <f t="shared" si="47"/>
        <v>0</v>
      </c>
      <c r="I427" s="7">
        <f t="shared" si="47"/>
        <v>1</v>
      </c>
      <c r="J427" s="7">
        <f t="shared" si="47"/>
        <v>0</v>
      </c>
      <c r="K427" s="7">
        <f t="shared" si="47"/>
        <v>0</v>
      </c>
      <c r="L427" s="6"/>
    </row>
    <row r="428" spans="1:12" outlineLevel="1" x14ac:dyDescent="0.25">
      <c r="A428" s="21">
        <f t="shared" si="48"/>
        <v>5.3016999999999959</v>
      </c>
      <c r="B428" s="25"/>
      <c r="C428" s="22" t="s">
        <v>369</v>
      </c>
      <c r="D428" s="6"/>
      <c r="E428" s="5"/>
      <c r="F428" s="7"/>
      <c r="G428" s="7">
        <f t="shared" si="47"/>
        <v>0</v>
      </c>
      <c r="H428" s="7">
        <f t="shared" si="47"/>
        <v>0</v>
      </c>
      <c r="I428" s="7">
        <f t="shared" si="47"/>
        <v>1</v>
      </c>
      <c r="J428" s="7">
        <f t="shared" si="47"/>
        <v>0</v>
      </c>
      <c r="K428" s="7">
        <f t="shared" si="47"/>
        <v>0</v>
      </c>
      <c r="L428" s="6"/>
    </row>
    <row r="429" spans="1:12" outlineLevel="1" x14ac:dyDescent="0.25">
      <c r="A429" s="21">
        <f t="shared" si="48"/>
        <v>5.3017999999999956</v>
      </c>
      <c r="B429" s="25"/>
      <c r="C429" s="22" t="s">
        <v>368</v>
      </c>
      <c r="D429" s="6"/>
      <c r="E429" s="5"/>
      <c r="F429" s="7"/>
      <c r="G429" s="7">
        <f t="shared" si="47"/>
        <v>0</v>
      </c>
      <c r="H429" s="7">
        <f t="shared" si="47"/>
        <v>0</v>
      </c>
      <c r="I429" s="7">
        <f t="shared" si="47"/>
        <v>1</v>
      </c>
      <c r="J429" s="7">
        <f t="shared" si="47"/>
        <v>0</v>
      </c>
      <c r="K429" s="7">
        <f t="shared" si="47"/>
        <v>0</v>
      </c>
      <c r="L429" s="6"/>
    </row>
    <row r="430" spans="1:12" outlineLevel="1" x14ac:dyDescent="0.25">
      <c r="A430" s="21">
        <f t="shared" si="48"/>
        <v>5.3018999999999954</v>
      </c>
      <c r="B430" s="88" t="s">
        <v>456</v>
      </c>
      <c r="C430" s="22" t="s">
        <v>370</v>
      </c>
      <c r="D430" s="6"/>
      <c r="E430" s="5"/>
      <c r="F430" s="7"/>
      <c r="G430" s="7">
        <f t="shared" si="47"/>
        <v>0</v>
      </c>
      <c r="H430" s="7">
        <f t="shared" si="47"/>
        <v>0</v>
      </c>
      <c r="I430" s="7">
        <f t="shared" si="47"/>
        <v>1</v>
      </c>
      <c r="J430" s="7">
        <f t="shared" si="47"/>
        <v>0</v>
      </c>
      <c r="K430" s="7">
        <f t="shared" si="47"/>
        <v>0</v>
      </c>
      <c r="L430" s="6"/>
    </row>
    <row r="431" spans="1:12" outlineLevel="1" x14ac:dyDescent="0.25">
      <c r="A431" s="21">
        <f t="shared" si="48"/>
        <v>5.3019999999999952</v>
      </c>
      <c r="B431" s="24" t="s">
        <v>356</v>
      </c>
      <c r="C431" s="22" t="s">
        <v>357</v>
      </c>
      <c r="D431" s="6"/>
      <c r="E431" s="5"/>
      <c r="F431" s="7"/>
      <c r="G431" s="7">
        <f t="shared" si="47"/>
        <v>0</v>
      </c>
      <c r="H431" s="7">
        <f t="shared" si="47"/>
        <v>0</v>
      </c>
      <c r="I431" s="7">
        <f t="shared" si="47"/>
        <v>1</v>
      </c>
      <c r="J431" s="7">
        <f t="shared" si="47"/>
        <v>0</v>
      </c>
      <c r="K431" s="7">
        <f t="shared" si="47"/>
        <v>0</v>
      </c>
      <c r="L431" s="6"/>
    </row>
    <row r="432" spans="1:12" outlineLevel="1" x14ac:dyDescent="0.25">
      <c r="A432" s="21">
        <f t="shared" si="48"/>
        <v>5.3020999999999949</v>
      </c>
      <c r="B432" s="25"/>
      <c r="C432" s="22" t="s">
        <v>358</v>
      </c>
      <c r="D432" s="6"/>
      <c r="E432" s="5"/>
      <c r="F432" s="7"/>
      <c r="G432" s="7">
        <f t="shared" si="47"/>
        <v>0</v>
      </c>
      <c r="H432" s="7">
        <f t="shared" si="47"/>
        <v>0</v>
      </c>
      <c r="I432" s="7">
        <f t="shared" si="47"/>
        <v>1</v>
      </c>
      <c r="J432" s="7">
        <f t="shared" si="47"/>
        <v>0</v>
      </c>
      <c r="K432" s="7">
        <f t="shared" si="47"/>
        <v>0</v>
      </c>
      <c r="L432" s="6"/>
    </row>
    <row r="433" spans="1:12" outlineLevel="1" x14ac:dyDescent="0.25">
      <c r="A433" s="21">
        <f t="shared" si="48"/>
        <v>5.3021999999999947</v>
      </c>
      <c r="B433" s="25"/>
      <c r="C433" s="22" t="s">
        <v>359</v>
      </c>
      <c r="D433" s="6"/>
      <c r="E433" s="5"/>
      <c r="F433" s="7"/>
      <c r="G433" s="7">
        <f t="shared" si="47"/>
        <v>0</v>
      </c>
      <c r="H433" s="7">
        <f t="shared" si="47"/>
        <v>0</v>
      </c>
      <c r="I433" s="7">
        <f t="shared" si="47"/>
        <v>1</v>
      </c>
      <c r="J433" s="7">
        <f t="shared" si="47"/>
        <v>0</v>
      </c>
      <c r="K433" s="7">
        <f t="shared" si="47"/>
        <v>0</v>
      </c>
      <c r="L433" s="6"/>
    </row>
    <row r="434" spans="1:12" outlineLevel="1" x14ac:dyDescent="0.25">
      <c r="A434" s="21">
        <f t="shared" si="48"/>
        <v>5.3022999999999945</v>
      </c>
      <c r="B434" s="25"/>
      <c r="C434" s="22" t="s">
        <v>360</v>
      </c>
      <c r="D434" s="6"/>
      <c r="E434" s="5"/>
      <c r="F434" s="7"/>
      <c r="G434" s="7">
        <f t="shared" si="47"/>
        <v>0</v>
      </c>
      <c r="H434" s="7">
        <f t="shared" si="47"/>
        <v>0</v>
      </c>
      <c r="I434" s="7">
        <f t="shared" si="47"/>
        <v>1</v>
      </c>
      <c r="J434" s="7">
        <f t="shared" si="47"/>
        <v>0</v>
      </c>
      <c r="K434" s="7">
        <f t="shared" si="47"/>
        <v>0</v>
      </c>
      <c r="L434" s="6"/>
    </row>
    <row r="435" spans="1:12" outlineLevel="1" x14ac:dyDescent="0.25">
      <c r="A435" s="21">
        <f t="shared" si="48"/>
        <v>5.3023999999999942</v>
      </c>
      <c r="B435" s="25"/>
      <c r="C435" s="22" t="s">
        <v>361</v>
      </c>
      <c r="D435" s="6"/>
      <c r="E435" s="5"/>
      <c r="F435" s="7"/>
      <c r="G435" s="7">
        <f t="shared" si="47"/>
        <v>0</v>
      </c>
      <c r="H435" s="7">
        <f t="shared" si="47"/>
        <v>0</v>
      </c>
      <c r="I435" s="7">
        <f t="shared" si="47"/>
        <v>1</v>
      </c>
      <c r="J435" s="7">
        <f t="shared" si="47"/>
        <v>0</v>
      </c>
      <c r="K435" s="7">
        <f t="shared" si="47"/>
        <v>0</v>
      </c>
      <c r="L435" s="6"/>
    </row>
    <row r="436" spans="1:12" outlineLevel="1" x14ac:dyDescent="0.25">
      <c r="A436" s="21">
        <f t="shared" si="48"/>
        <v>5.302499999999994</v>
      </c>
      <c r="B436" s="25"/>
      <c r="C436" s="22" t="s">
        <v>362</v>
      </c>
      <c r="D436" s="6"/>
      <c r="E436" s="5"/>
      <c r="F436" s="7"/>
      <c r="G436" s="7">
        <f t="shared" si="47"/>
        <v>0</v>
      </c>
      <c r="H436" s="7">
        <f t="shared" si="47"/>
        <v>0</v>
      </c>
      <c r="I436" s="7">
        <f t="shared" si="47"/>
        <v>1</v>
      </c>
      <c r="J436" s="7">
        <f t="shared" si="47"/>
        <v>0</v>
      </c>
      <c r="K436" s="7">
        <f t="shared" si="47"/>
        <v>0</v>
      </c>
      <c r="L436" s="6"/>
    </row>
    <row r="437" spans="1:12" outlineLevel="1" x14ac:dyDescent="0.25">
      <c r="A437" s="21">
        <f t="shared" si="48"/>
        <v>5.3025999999999938</v>
      </c>
      <c r="B437" s="25"/>
      <c r="C437" s="22" t="s">
        <v>363</v>
      </c>
      <c r="D437" s="6"/>
      <c r="E437" s="5"/>
      <c r="F437" s="7"/>
      <c r="G437" s="7">
        <f t="shared" si="47"/>
        <v>0</v>
      </c>
      <c r="H437" s="7">
        <f t="shared" si="47"/>
        <v>0</v>
      </c>
      <c r="I437" s="7">
        <f t="shared" si="47"/>
        <v>1</v>
      </c>
      <c r="J437" s="7">
        <f t="shared" si="47"/>
        <v>0</v>
      </c>
      <c r="K437" s="7">
        <f t="shared" si="47"/>
        <v>0</v>
      </c>
      <c r="L437" s="6"/>
    </row>
    <row r="438" spans="1:12" outlineLevel="1" x14ac:dyDescent="0.25">
      <c r="A438" s="21">
        <f t="shared" si="48"/>
        <v>5.3026999999999935</v>
      </c>
      <c r="B438" s="24" t="s">
        <v>348</v>
      </c>
      <c r="C438" s="22" t="s">
        <v>364</v>
      </c>
      <c r="D438" s="6"/>
      <c r="E438" s="5"/>
      <c r="F438" s="7"/>
      <c r="G438" s="7">
        <f t="shared" si="47"/>
        <v>0</v>
      </c>
      <c r="H438" s="7">
        <f t="shared" si="47"/>
        <v>0</v>
      </c>
      <c r="I438" s="7">
        <f t="shared" si="47"/>
        <v>1</v>
      </c>
      <c r="J438" s="7">
        <f t="shared" si="47"/>
        <v>0</v>
      </c>
      <c r="K438" s="7">
        <f t="shared" si="47"/>
        <v>0</v>
      </c>
      <c r="L438" s="6"/>
    </row>
    <row r="439" spans="1:12" outlineLevel="1" x14ac:dyDescent="0.25">
      <c r="A439" s="21">
        <f t="shared" si="48"/>
        <v>5.3027999999999933</v>
      </c>
      <c r="B439" s="25" t="s">
        <v>348</v>
      </c>
      <c r="C439" s="22" t="s">
        <v>365</v>
      </c>
      <c r="D439" s="6"/>
      <c r="E439" s="5"/>
      <c r="F439" s="7"/>
      <c r="G439" s="7">
        <f t="shared" si="47"/>
        <v>0</v>
      </c>
      <c r="H439" s="7">
        <f t="shared" si="47"/>
        <v>0</v>
      </c>
      <c r="I439" s="7">
        <f t="shared" si="47"/>
        <v>1</v>
      </c>
      <c r="J439" s="7">
        <f t="shared" si="47"/>
        <v>0</v>
      </c>
      <c r="K439" s="7">
        <f t="shared" si="47"/>
        <v>0</v>
      </c>
      <c r="L439" s="6"/>
    </row>
    <row r="440" spans="1:12" outlineLevel="1" x14ac:dyDescent="0.25">
      <c r="A440" s="21">
        <f t="shared" si="48"/>
        <v>5.3028999999999931</v>
      </c>
      <c r="B440" s="25" t="s">
        <v>348</v>
      </c>
      <c r="C440" s="22" t="s">
        <v>366</v>
      </c>
      <c r="D440" s="6"/>
      <c r="E440" s="5"/>
      <c r="F440" s="7"/>
      <c r="G440" s="7">
        <f t="shared" si="47"/>
        <v>0</v>
      </c>
      <c r="H440" s="7">
        <f t="shared" si="47"/>
        <v>0</v>
      </c>
      <c r="I440" s="7">
        <f t="shared" si="47"/>
        <v>1</v>
      </c>
      <c r="J440" s="7">
        <f t="shared" si="47"/>
        <v>0</v>
      </c>
      <c r="K440" s="7">
        <f t="shared" si="47"/>
        <v>0</v>
      </c>
      <c r="L440" s="6"/>
    </row>
    <row r="441" spans="1:12" outlineLevel="1" x14ac:dyDescent="0.25">
      <c r="A441" s="21">
        <f t="shared" si="48"/>
        <v>5.3029999999999928</v>
      </c>
      <c r="B441" s="26" t="s">
        <v>348</v>
      </c>
      <c r="C441" s="22" t="s">
        <v>367</v>
      </c>
      <c r="D441" s="6"/>
      <c r="E441" s="5"/>
      <c r="F441" s="7"/>
      <c r="G441" s="7">
        <f t="shared" si="47"/>
        <v>0</v>
      </c>
      <c r="H441" s="7">
        <f t="shared" si="47"/>
        <v>0</v>
      </c>
      <c r="I441" s="7">
        <f t="shared" si="47"/>
        <v>1</v>
      </c>
      <c r="J441" s="7">
        <f t="shared" si="47"/>
        <v>0</v>
      </c>
      <c r="K441" s="7">
        <f t="shared" si="47"/>
        <v>0</v>
      </c>
      <c r="L441" s="6"/>
    </row>
    <row r="442" spans="1:12" outlineLevel="1" x14ac:dyDescent="0.25">
      <c r="A442" s="21">
        <f t="shared" si="48"/>
        <v>5.3030999999999926</v>
      </c>
      <c r="B442" s="65" t="s">
        <v>506</v>
      </c>
      <c r="C442" s="22"/>
      <c r="D442" s="6"/>
      <c r="E442" s="5"/>
      <c r="F442" s="7"/>
      <c r="G442" s="7">
        <f t="shared" si="47"/>
        <v>0</v>
      </c>
      <c r="H442" s="7">
        <f t="shared" si="47"/>
        <v>0</v>
      </c>
      <c r="I442" s="7">
        <f t="shared" si="47"/>
        <v>1</v>
      </c>
      <c r="J442" s="7">
        <f t="shared" si="47"/>
        <v>0</v>
      </c>
      <c r="K442" s="7">
        <f t="shared" si="47"/>
        <v>0</v>
      </c>
      <c r="L442" s="6"/>
    </row>
    <row r="443" spans="1:12" outlineLevel="1" x14ac:dyDescent="0.25">
      <c r="A443" s="21">
        <f t="shared" si="48"/>
        <v>5.3031999999999924</v>
      </c>
      <c r="B443" s="26" t="s">
        <v>371</v>
      </c>
      <c r="C443" s="22" t="s">
        <v>372</v>
      </c>
      <c r="D443" s="6"/>
      <c r="E443" s="5"/>
      <c r="F443" s="7"/>
      <c r="G443" s="7">
        <f t="shared" si="47"/>
        <v>0</v>
      </c>
      <c r="H443" s="7">
        <f t="shared" si="47"/>
        <v>0</v>
      </c>
      <c r="I443" s="7">
        <f t="shared" si="47"/>
        <v>1</v>
      </c>
      <c r="J443" s="7">
        <f t="shared" si="47"/>
        <v>0</v>
      </c>
      <c r="K443" s="7">
        <f t="shared" si="47"/>
        <v>0</v>
      </c>
      <c r="L443" s="6"/>
    </row>
    <row r="444" spans="1:12" outlineLevel="1" x14ac:dyDescent="0.25">
      <c r="A444" s="21">
        <f t="shared" si="48"/>
        <v>5.3032999999999921</v>
      </c>
      <c r="B444" s="26" t="s">
        <v>537</v>
      </c>
      <c r="C444" s="22" t="s">
        <v>538</v>
      </c>
      <c r="D444" s="6"/>
      <c r="E444" s="5"/>
      <c r="F444" s="7"/>
      <c r="G444" s="7">
        <f t="shared" si="47"/>
        <v>0</v>
      </c>
      <c r="H444" s="7">
        <f t="shared" si="47"/>
        <v>0</v>
      </c>
      <c r="I444" s="7">
        <f t="shared" si="47"/>
        <v>1</v>
      </c>
      <c r="J444" s="7">
        <f t="shared" si="47"/>
        <v>0</v>
      </c>
      <c r="K444" s="7">
        <f t="shared" si="47"/>
        <v>0</v>
      </c>
      <c r="L444" s="6"/>
    </row>
    <row r="445" spans="1:12" outlineLevel="1" x14ac:dyDescent="0.25">
      <c r="A445" s="21">
        <f t="shared" si="48"/>
        <v>5.3033999999999919</v>
      </c>
      <c r="B445" s="5" t="s">
        <v>375</v>
      </c>
      <c r="C445" s="22" t="s">
        <v>376</v>
      </c>
      <c r="D445" s="6"/>
      <c r="E445" s="5"/>
      <c r="F445" s="7"/>
      <c r="G445" s="7">
        <f t="shared" si="47"/>
        <v>0</v>
      </c>
      <c r="H445" s="7">
        <f t="shared" si="47"/>
        <v>0</v>
      </c>
      <c r="I445" s="7">
        <f t="shared" si="47"/>
        <v>1</v>
      </c>
      <c r="J445" s="7">
        <f t="shared" si="47"/>
        <v>0</v>
      </c>
      <c r="K445" s="7">
        <f t="shared" si="47"/>
        <v>0</v>
      </c>
      <c r="L445" s="6"/>
    </row>
    <row r="446" spans="1:12" outlineLevel="1" x14ac:dyDescent="0.25">
      <c r="A446" s="21">
        <f t="shared" si="48"/>
        <v>5.3034999999999917</v>
      </c>
      <c r="B446" s="8" t="str">
        <f>B443</f>
        <v>Set Quantity Type = Amount</v>
      </c>
      <c r="C446" s="22" t="str">
        <f>C443</f>
        <v>Quantity Type = Amount</v>
      </c>
      <c r="D446" s="6"/>
      <c r="E446" s="5"/>
      <c r="F446" s="7"/>
      <c r="G446" s="7">
        <f t="shared" si="47"/>
        <v>0</v>
      </c>
      <c r="H446" s="7">
        <f t="shared" si="47"/>
        <v>0</v>
      </c>
      <c r="I446" s="7">
        <f t="shared" si="47"/>
        <v>1</v>
      </c>
      <c r="J446" s="7">
        <f t="shared" si="47"/>
        <v>0</v>
      </c>
      <c r="K446" s="7">
        <f t="shared" si="47"/>
        <v>0</v>
      </c>
      <c r="L446" s="6"/>
    </row>
    <row r="447" spans="1:12" outlineLevel="1" x14ac:dyDescent="0.25">
      <c r="A447" s="21">
        <f t="shared" si="48"/>
        <v>5.3035999999999914</v>
      </c>
      <c r="B447" s="26" t="str">
        <f>B444</f>
        <v>Capture Quantity = 4000</v>
      </c>
      <c r="C447" s="22" t="str">
        <f>C444</f>
        <v>Quantity = 4000</v>
      </c>
      <c r="D447" s="6"/>
      <c r="E447" s="5"/>
      <c r="F447" s="7"/>
      <c r="G447" s="7">
        <f t="shared" si="47"/>
        <v>0</v>
      </c>
      <c r="H447" s="7">
        <f t="shared" si="47"/>
        <v>0</v>
      </c>
      <c r="I447" s="7">
        <f t="shared" si="47"/>
        <v>1</v>
      </c>
      <c r="J447" s="7">
        <f t="shared" si="47"/>
        <v>0</v>
      </c>
      <c r="K447" s="7">
        <f t="shared" si="47"/>
        <v>0</v>
      </c>
      <c r="L447" s="6"/>
    </row>
    <row r="448" spans="1:12" outlineLevel="1" x14ac:dyDescent="0.25">
      <c r="A448" s="21">
        <f>A446+0.0001</f>
        <v>5.3035999999999914</v>
      </c>
      <c r="B448" s="5" t="s">
        <v>346</v>
      </c>
      <c r="C448" s="22" t="s">
        <v>534</v>
      </c>
      <c r="D448" s="6"/>
      <c r="E448" s="5"/>
      <c r="F448" s="7"/>
      <c r="G448" s="7">
        <f t="shared" si="47"/>
        <v>0</v>
      </c>
      <c r="H448" s="7">
        <f t="shared" si="47"/>
        <v>0</v>
      </c>
      <c r="I448" s="7">
        <f t="shared" si="47"/>
        <v>1</v>
      </c>
      <c r="J448" s="7">
        <f t="shared" si="47"/>
        <v>0</v>
      </c>
      <c r="K448" s="7">
        <f t="shared" si="47"/>
        <v>0</v>
      </c>
      <c r="L448" s="6"/>
    </row>
    <row r="449" spans="1:12" outlineLevel="1" x14ac:dyDescent="0.25">
      <c r="A449" s="21">
        <f>A446+0.0001</f>
        <v>5.3035999999999914</v>
      </c>
      <c r="B449" s="5" t="s">
        <v>539</v>
      </c>
      <c r="C449" s="22" t="s">
        <v>540</v>
      </c>
      <c r="D449" s="6"/>
      <c r="E449" s="5"/>
      <c r="F449" s="7"/>
      <c r="G449" s="7">
        <f t="shared" si="47"/>
        <v>0</v>
      </c>
      <c r="H449" s="7">
        <f t="shared" si="47"/>
        <v>0</v>
      </c>
      <c r="I449" s="7">
        <f t="shared" si="47"/>
        <v>1</v>
      </c>
      <c r="J449" s="7">
        <f t="shared" si="47"/>
        <v>0</v>
      </c>
      <c r="K449" s="7">
        <f t="shared" si="47"/>
        <v>0</v>
      </c>
      <c r="L449" s="6"/>
    </row>
    <row r="450" spans="1:12" ht="25.5" outlineLevel="1" x14ac:dyDescent="0.25">
      <c r="A450" s="21">
        <f>A447+0.0001</f>
        <v>5.3036999999999912</v>
      </c>
      <c r="B450" s="5" t="s">
        <v>541</v>
      </c>
      <c r="C450" s="22" t="s">
        <v>542</v>
      </c>
      <c r="D450" s="6"/>
      <c r="E450" s="5"/>
      <c r="F450" s="7"/>
      <c r="G450" s="7">
        <f t="shared" si="47"/>
        <v>0</v>
      </c>
      <c r="H450" s="7">
        <f t="shared" si="47"/>
        <v>0</v>
      </c>
      <c r="I450" s="7">
        <f t="shared" si="47"/>
        <v>1</v>
      </c>
      <c r="J450" s="7">
        <f t="shared" si="47"/>
        <v>0</v>
      </c>
      <c r="K450" s="7">
        <f t="shared" si="47"/>
        <v>0</v>
      </c>
      <c r="L450" s="6"/>
    </row>
    <row r="451" spans="1:12" s="19" customFormat="1" x14ac:dyDescent="0.25">
      <c r="A451" s="83">
        <v>5.4</v>
      </c>
      <c r="B451" s="93" t="s">
        <v>379</v>
      </c>
      <c r="C451" s="84"/>
      <c r="D451" s="85"/>
      <c r="E451" s="85"/>
      <c r="F451" s="86"/>
      <c r="G451" s="86"/>
      <c r="H451" s="86"/>
      <c r="I451" s="86"/>
      <c r="J451" s="86"/>
      <c r="K451" s="86"/>
      <c r="L451" s="85"/>
    </row>
    <row r="452" spans="1:12" outlineLevel="1" x14ac:dyDescent="0.25">
      <c r="A452" s="21">
        <f>A451+0.0001</f>
        <v>5.4001000000000001</v>
      </c>
      <c r="B452" s="63" t="s">
        <v>457</v>
      </c>
      <c r="C452" s="22" t="s">
        <v>405</v>
      </c>
      <c r="D452" s="6"/>
      <c r="E452" s="5"/>
      <c r="F452" s="7"/>
      <c r="G452" s="7">
        <f t="shared" ref="G452:K474" si="49">IF($F452=G$1,1,0)</f>
        <v>0</v>
      </c>
      <c r="H452" s="7">
        <f t="shared" si="49"/>
        <v>0</v>
      </c>
      <c r="I452" s="7">
        <f t="shared" si="49"/>
        <v>1</v>
      </c>
      <c r="J452" s="7">
        <f t="shared" si="49"/>
        <v>0</v>
      </c>
      <c r="K452" s="7">
        <f t="shared" si="49"/>
        <v>0</v>
      </c>
      <c r="L452" s="6"/>
    </row>
    <row r="453" spans="1:12" outlineLevel="1" x14ac:dyDescent="0.25">
      <c r="A453" s="21">
        <f t="shared" ref="A453:A478" si="50">A452+0.0001</f>
        <v>5.4001999999999999</v>
      </c>
      <c r="B453" s="5" t="s">
        <v>346</v>
      </c>
      <c r="C453" s="22" t="s">
        <v>380</v>
      </c>
      <c r="D453" s="6"/>
      <c r="E453" s="5"/>
      <c r="F453" s="7"/>
      <c r="G453" s="7">
        <f t="shared" si="49"/>
        <v>0</v>
      </c>
      <c r="H453" s="7">
        <f t="shared" si="49"/>
        <v>0</v>
      </c>
      <c r="I453" s="7">
        <f t="shared" si="49"/>
        <v>1</v>
      </c>
      <c r="J453" s="7">
        <f t="shared" si="49"/>
        <v>0</v>
      </c>
      <c r="K453" s="7">
        <f t="shared" si="49"/>
        <v>0</v>
      </c>
      <c r="L453" s="6"/>
    </row>
    <row r="454" spans="1:12" outlineLevel="1" x14ac:dyDescent="0.25">
      <c r="A454" s="21">
        <f t="shared" si="50"/>
        <v>5.4002999999999997</v>
      </c>
      <c r="B454" s="5" t="s">
        <v>344</v>
      </c>
      <c r="C454" s="22" t="s">
        <v>381</v>
      </c>
      <c r="D454" s="6"/>
      <c r="E454" s="5"/>
      <c r="F454" s="7"/>
      <c r="G454" s="7">
        <f t="shared" si="49"/>
        <v>0</v>
      </c>
      <c r="H454" s="7">
        <f t="shared" si="49"/>
        <v>0</v>
      </c>
      <c r="I454" s="7">
        <f t="shared" si="49"/>
        <v>1</v>
      </c>
      <c r="J454" s="7">
        <f t="shared" si="49"/>
        <v>0</v>
      </c>
      <c r="K454" s="7">
        <f t="shared" si="49"/>
        <v>0</v>
      </c>
      <c r="L454" s="6"/>
    </row>
    <row r="455" spans="1:12" outlineLevel="1" x14ac:dyDescent="0.25">
      <c r="A455" s="21">
        <f t="shared" si="50"/>
        <v>5.4003999999999994</v>
      </c>
      <c r="B455" s="5" t="s">
        <v>382</v>
      </c>
      <c r="C455" s="22" t="s">
        <v>383</v>
      </c>
      <c r="D455" s="6"/>
      <c r="E455" s="5"/>
      <c r="F455" s="7"/>
      <c r="G455" s="7">
        <f t="shared" si="49"/>
        <v>0</v>
      </c>
      <c r="H455" s="7">
        <f t="shared" si="49"/>
        <v>0</v>
      </c>
      <c r="I455" s="7">
        <f t="shared" si="49"/>
        <v>1</v>
      </c>
      <c r="J455" s="7">
        <f t="shared" si="49"/>
        <v>0</v>
      </c>
      <c r="K455" s="7">
        <f t="shared" si="49"/>
        <v>0</v>
      </c>
      <c r="L455" s="6"/>
    </row>
    <row r="456" spans="1:12" outlineLevel="1" x14ac:dyDescent="0.25">
      <c r="A456" s="21">
        <f t="shared" si="50"/>
        <v>5.4004999999999992</v>
      </c>
      <c r="B456" s="5" t="s">
        <v>348</v>
      </c>
      <c r="C456" s="22" t="s">
        <v>384</v>
      </c>
      <c r="D456" s="6"/>
      <c r="E456" s="5"/>
      <c r="F456" s="7"/>
      <c r="G456" s="7">
        <f t="shared" si="49"/>
        <v>0</v>
      </c>
      <c r="H456" s="7">
        <f t="shared" si="49"/>
        <v>0</v>
      </c>
      <c r="I456" s="7">
        <f t="shared" si="49"/>
        <v>1</v>
      </c>
      <c r="J456" s="7">
        <f t="shared" si="49"/>
        <v>0</v>
      </c>
      <c r="K456" s="7">
        <f t="shared" si="49"/>
        <v>0</v>
      </c>
      <c r="L456" s="6"/>
    </row>
    <row r="457" spans="1:12" outlineLevel="1" x14ac:dyDescent="0.25">
      <c r="A457" s="21">
        <f t="shared" si="50"/>
        <v>5.400599999999999</v>
      </c>
      <c r="B457" s="5" t="s">
        <v>348</v>
      </c>
      <c r="C457" s="22" t="s">
        <v>349</v>
      </c>
      <c r="D457" s="6"/>
      <c r="E457" s="5"/>
      <c r="F457" s="7"/>
      <c r="G457" s="7">
        <f t="shared" si="49"/>
        <v>0</v>
      </c>
      <c r="H457" s="7">
        <f t="shared" si="49"/>
        <v>0</v>
      </c>
      <c r="I457" s="7">
        <f t="shared" si="49"/>
        <v>1</v>
      </c>
      <c r="J457" s="7">
        <f t="shared" si="49"/>
        <v>0</v>
      </c>
      <c r="K457" s="7">
        <f t="shared" si="49"/>
        <v>0</v>
      </c>
      <c r="L457" s="6"/>
    </row>
    <row r="458" spans="1:12" outlineLevel="1" x14ac:dyDescent="0.25">
      <c r="A458" s="21">
        <f t="shared" si="50"/>
        <v>5.4006999999999987</v>
      </c>
      <c r="B458" s="5" t="s">
        <v>348</v>
      </c>
      <c r="C458" s="22" t="s">
        <v>385</v>
      </c>
      <c r="D458" s="6"/>
      <c r="E458" s="5"/>
      <c r="F458" s="7"/>
      <c r="G458" s="7">
        <f t="shared" si="49"/>
        <v>0</v>
      </c>
      <c r="H458" s="7">
        <f t="shared" si="49"/>
        <v>0</v>
      </c>
      <c r="I458" s="7">
        <f t="shared" si="49"/>
        <v>1</v>
      </c>
      <c r="J458" s="7">
        <f t="shared" si="49"/>
        <v>0</v>
      </c>
      <c r="K458" s="7">
        <f t="shared" si="49"/>
        <v>0</v>
      </c>
      <c r="L458" s="6"/>
    </row>
    <row r="459" spans="1:12" outlineLevel="1" x14ac:dyDescent="0.25">
      <c r="A459" s="21">
        <f t="shared" si="50"/>
        <v>5.4007999999999985</v>
      </c>
      <c r="B459" s="63" t="s">
        <v>393</v>
      </c>
      <c r="C459" s="22"/>
      <c r="D459" s="6"/>
      <c r="E459" s="5"/>
      <c r="F459" s="7"/>
      <c r="G459" s="7">
        <f t="shared" si="49"/>
        <v>0</v>
      </c>
      <c r="H459" s="7">
        <f t="shared" si="49"/>
        <v>0</v>
      </c>
      <c r="I459" s="7">
        <f t="shared" si="49"/>
        <v>1</v>
      </c>
      <c r="J459" s="7">
        <f t="shared" si="49"/>
        <v>0</v>
      </c>
      <c r="K459" s="7">
        <f t="shared" si="49"/>
        <v>0</v>
      </c>
      <c r="L459" s="6"/>
    </row>
    <row r="460" spans="1:12" ht="38.25" outlineLevel="1" x14ac:dyDescent="0.25">
      <c r="A460" s="21">
        <f t="shared" si="50"/>
        <v>5.4008999999999983</v>
      </c>
      <c r="B460" s="66" t="s">
        <v>394</v>
      </c>
      <c r="C460" s="22" t="s">
        <v>519</v>
      </c>
      <c r="D460" s="6"/>
      <c r="E460" s="5"/>
      <c r="F460" s="7"/>
      <c r="G460" s="7">
        <f t="shared" si="49"/>
        <v>0</v>
      </c>
      <c r="H460" s="7">
        <f t="shared" si="49"/>
        <v>0</v>
      </c>
      <c r="I460" s="7">
        <f t="shared" si="49"/>
        <v>1</v>
      </c>
      <c r="J460" s="7">
        <f t="shared" si="49"/>
        <v>0</v>
      </c>
      <c r="K460" s="7">
        <f t="shared" si="49"/>
        <v>0</v>
      </c>
      <c r="L460" s="6"/>
    </row>
    <row r="461" spans="1:12" ht="51" outlineLevel="1" x14ac:dyDescent="0.25">
      <c r="A461" s="21">
        <f t="shared" si="50"/>
        <v>5.400999999999998</v>
      </c>
      <c r="B461" s="66" t="s">
        <v>395</v>
      </c>
      <c r="C461" s="22" t="s">
        <v>511</v>
      </c>
      <c r="D461" s="6"/>
      <c r="E461" s="5"/>
      <c r="F461" s="7"/>
      <c r="G461" s="7">
        <f t="shared" si="49"/>
        <v>0</v>
      </c>
      <c r="H461" s="7">
        <f t="shared" si="49"/>
        <v>0</v>
      </c>
      <c r="I461" s="7">
        <f t="shared" si="49"/>
        <v>1</v>
      </c>
      <c r="J461" s="7">
        <f t="shared" si="49"/>
        <v>0</v>
      </c>
      <c r="K461" s="7">
        <f t="shared" si="49"/>
        <v>0</v>
      </c>
      <c r="L461" s="6"/>
    </row>
    <row r="462" spans="1:12" outlineLevel="1" x14ac:dyDescent="0.25">
      <c r="A462" s="21">
        <f t="shared" si="50"/>
        <v>5.4010999999999978</v>
      </c>
      <c r="B462" s="63" t="s">
        <v>396</v>
      </c>
      <c r="C462" s="22" t="s">
        <v>397</v>
      </c>
      <c r="D462" s="6"/>
      <c r="E462" s="5"/>
      <c r="F462" s="7"/>
      <c r="G462" s="7">
        <f t="shared" si="49"/>
        <v>0</v>
      </c>
      <c r="H462" s="7">
        <f t="shared" si="49"/>
        <v>0</v>
      </c>
      <c r="I462" s="7">
        <f t="shared" si="49"/>
        <v>1</v>
      </c>
      <c r="J462" s="7">
        <f t="shared" si="49"/>
        <v>0</v>
      </c>
      <c r="K462" s="7">
        <f t="shared" si="49"/>
        <v>0</v>
      </c>
      <c r="L462" s="6"/>
    </row>
    <row r="463" spans="1:12" ht="38.25" outlineLevel="1" x14ac:dyDescent="0.25">
      <c r="A463" s="21">
        <f t="shared" si="50"/>
        <v>5.4011999999999976</v>
      </c>
      <c r="B463" s="67" t="s">
        <v>398</v>
      </c>
      <c r="C463" s="22" t="s">
        <v>463</v>
      </c>
      <c r="D463" s="6"/>
      <c r="E463" s="5"/>
      <c r="F463" s="7" t="s">
        <v>520</v>
      </c>
      <c r="G463" s="7">
        <f t="shared" si="49"/>
        <v>0</v>
      </c>
      <c r="H463" s="7">
        <f t="shared" si="49"/>
        <v>0</v>
      </c>
      <c r="I463" s="7">
        <f t="shared" si="49"/>
        <v>0</v>
      </c>
      <c r="J463" s="7">
        <f t="shared" si="49"/>
        <v>1</v>
      </c>
      <c r="K463" s="7">
        <f t="shared" si="49"/>
        <v>0</v>
      </c>
      <c r="L463" s="6"/>
    </row>
    <row r="464" spans="1:12" outlineLevel="1" x14ac:dyDescent="0.25">
      <c r="A464" s="21">
        <f t="shared" si="50"/>
        <v>5.4012999999999973</v>
      </c>
      <c r="B464" s="67" t="s">
        <v>399</v>
      </c>
      <c r="C464" s="22"/>
      <c r="D464" s="6"/>
      <c r="E464" s="5"/>
      <c r="F464" s="7" t="s">
        <v>520</v>
      </c>
      <c r="G464" s="7">
        <f t="shared" si="49"/>
        <v>0</v>
      </c>
      <c r="H464" s="7">
        <f t="shared" si="49"/>
        <v>0</v>
      </c>
      <c r="I464" s="7">
        <f t="shared" si="49"/>
        <v>0</v>
      </c>
      <c r="J464" s="7">
        <f t="shared" si="49"/>
        <v>1</v>
      </c>
      <c r="K464" s="7">
        <f t="shared" si="49"/>
        <v>0</v>
      </c>
      <c r="L464" s="6"/>
    </row>
    <row r="465" spans="1:12" outlineLevel="1" x14ac:dyDescent="0.25">
      <c r="A465" s="21">
        <f t="shared" si="50"/>
        <v>5.4013999999999971</v>
      </c>
      <c r="B465" s="67" t="s">
        <v>400</v>
      </c>
      <c r="C465" s="22" t="s">
        <v>543</v>
      </c>
      <c r="D465" s="6"/>
      <c r="E465" s="5"/>
      <c r="F465" s="7"/>
      <c r="G465" s="7">
        <f t="shared" si="49"/>
        <v>0</v>
      </c>
      <c r="H465" s="7">
        <f t="shared" si="49"/>
        <v>0</v>
      </c>
      <c r="I465" s="7">
        <f t="shared" si="49"/>
        <v>1</v>
      </c>
      <c r="J465" s="7">
        <f t="shared" si="49"/>
        <v>0</v>
      </c>
      <c r="K465" s="7">
        <f t="shared" si="49"/>
        <v>0</v>
      </c>
      <c r="L465" s="6"/>
    </row>
    <row r="466" spans="1:12" outlineLevel="1" x14ac:dyDescent="0.25">
      <c r="A466" s="21">
        <f t="shared" si="50"/>
        <v>5.4014999999999969</v>
      </c>
      <c r="B466" s="67" t="s">
        <v>401</v>
      </c>
      <c r="C466" s="22" t="s">
        <v>402</v>
      </c>
      <c r="D466" s="6"/>
      <c r="E466" s="5"/>
      <c r="F466" s="7"/>
      <c r="G466" s="7">
        <f t="shared" si="49"/>
        <v>0</v>
      </c>
      <c r="H466" s="7">
        <f t="shared" si="49"/>
        <v>0</v>
      </c>
      <c r="I466" s="7">
        <f t="shared" si="49"/>
        <v>1</v>
      </c>
      <c r="J466" s="7">
        <f t="shared" si="49"/>
        <v>0</v>
      </c>
      <c r="K466" s="7">
        <f t="shared" si="49"/>
        <v>0</v>
      </c>
      <c r="L466" s="6"/>
    </row>
    <row r="467" spans="1:12" outlineLevel="1" x14ac:dyDescent="0.25">
      <c r="A467" s="21">
        <f t="shared" si="50"/>
        <v>5.4015999999999966</v>
      </c>
      <c r="B467" s="63" t="s">
        <v>403</v>
      </c>
      <c r="C467" s="22" t="s">
        <v>405</v>
      </c>
      <c r="D467" s="6"/>
      <c r="E467" s="5"/>
      <c r="F467" s="7"/>
      <c r="G467" s="7">
        <f t="shared" si="49"/>
        <v>0</v>
      </c>
      <c r="H467" s="7">
        <f t="shared" si="49"/>
        <v>0</v>
      </c>
      <c r="I467" s="7">
        <f t="shared" si="49"/>
        <v>1</v>
      </c>
      <c r="J467" s="7">
        <f t="shared" si="49"/>
        <v>0</v>
      </c>
      <c r="K467" s="7">
        <f t="shared" si="49"/>
        <v>0</v>
      </c>
      <c r="L467" s="6"/>
    </row>
    <row r="468" spans="1:12" ht="76.5" outlineLevel="1" x14ac:dyDescent="0.25">
      <c r="A468" s="21">
        <f t="shared" si="50"/>
        <v>5.4016999999999964</v>
      </c>
      <c r="B468" s="5" t="s">
        <v>404</v>
      </c>
      <c r="C468" s="22" t="s">
        <v>420</v>
      </c>
      <c r="D468" s="6"/>
      <c r="E468" s="5"/>
      <c r="F468" s="7"/>
      <c r="G468" s="7">
        <f t="shared" si="49"/>
        <v>0</v>
      </c>
      <c r="H468" s="7">
        <f t="shared" si="49"/>
        <v>0</v>
      </c>
      <c r="I468" s="7">
        <f t="shared" si="49"/>
        <v>1</v>
      </c>
      <c r="J468" s="7">
        <f t="shared" si="49"/>
        <v>0</v>
      </c>
      <c r="K468" s="7">
        <f t="shared" si="49"/>
        <v>0</v>
      </c>
      <c r="L468" s="6"/>
    </row>
    <row r="469" spans="1:12" outlineLevel="1" x14ac:dyDescent="0.25">
      <c r="A469" s="21">
        <f t="shared" si="50"/>
        <v>5.4017999999999962</v>
      </c>
      <c r="B469" s="5" t="s">
        <v>348</v>
      </c>
      <c r="C469" s="22" t="s">
        <v>406</v>
      </c>
      <c r="D469" s="6"/>
      <c r="E469" s="5"/>
      <c r="F469" s="7"/>
      <c r="G469" s="7">
        <f t="shared" si="49"/>
        <v>0</v>
      </c>
      <c r="H469" s="7">
        <f t="shared" si="49"/>
        <v>0</v>
      </c>
      <c r="I469" s="7">
        <f t="shared" si="49"/>
        <v>1</v>
      </c>
      <c r="J469" s="7">
        <f t="shared" si="49"/>
        <v>0</v>
      </c>
      <c r="K469" s="7">
        <f t="shared" si="49"/>
        <v>0</v>
      </c>
      <c r="L469" s="6"/>
    </row>
    <row r="470" spans="1:12" outlineLevel="1" x14ac:dyDescent="0.25">
      <c r="A470" s="21">
        <f t="shared" si="50"/>
        <v>5.4018999999999959</v>
      </c>
      <c r="B470" s="5" t="s">
        <v>348</v>
      </c>
      <c r="C470" s="22" t="s">
        <v>407</v>
      </c>
      <c r="D470" s="6"/>
      <c r="E470" s="5"/>
      <c r="F470" s="7"/>
      <c r="G470" s="7">
        <f t="shared" si="49"/>
        <v>0</v>
      </c>
      <c r="H470" s="7">
        <f t="shared" si="49"/>
        <v>0</v>
      </c>
      <c r="I470" s="7">
        <f t="shared" si="49"/>
        <v>1</v>
      </c>
      <c r="J470" s="7">
        <f t="shared" si="49"/>
        <v>0</v>
      </c>
      <c r="K470" s="7">
        <f t="shared" si="49"/>
        <v>0</v>
      </c>
      <c r="L470" s="6"/>
    </row>
    <row r="471" spans="1:12" outlineLevel="1" x14ac:dyDescent="0.25">
      <c r="A471" s="21">
        <f t="shared" si="50"/>
        <v>5.4019999999999957</v>
      </c>
      <c r="B471" s="5" t="s">
        <v>348</v>
      </c>
      <c r="C471" s="22" t="s">
        <v>408</v>
      </c>
      <c r="D471" s="6"/>
      <c r="E471" s="5"/>
      <c r="F471" s="7"/>
      <c r="G471" s="7">
        <f t="shared" si="49"/>
        <v>0</v>
      </c>
      <c r="H471" s="7">
        <f t="shared" si="49"/>
        <v>0</v>
      </c>
      <c r="I471" s="7">
        <f t="shared" si="49"/>
        <v>1</v>
      </c>
      <c r="J471" s="7">
        <f t="shared" si="49"/>
        <v>0</v>
      </c>
      <c r="K471" s="7">
        <f t="shared" si="49"/>
        <v>0</v>
      </c>
      <c r="L471" s="6"/>
    </row>
    <row r="472" spans="1:12" outlineLevel="1" x14ac:dyDescent="0.25">
      <c r="A472" s="21">
        <f t="shared" si="50"/>
        <v>5.4020999999999955</v>
      </c>
      <c r="B472" s="5" t="s">
        <v>521</v>
      </c>
      <c r="C472" s="22" t="s">
        <v>522</v>
      </c>
      <c r="D472" s="6"/>
      <c r="E472" s="5"/>
      <c r="F472" s="7"/>
      <c r="G472" s="7">
        <f t="shared" si="49"/>
        <v>0</v>
      </c>
      <c r="H472" s="7">
        <f t="shared" si="49"/>
        <v>0</v>
      </c>
      <c r="I472" s="7">
        <f t="shared" si="49"/>
        <v>1</v>
      </c>
      <c r="J472" s="7">
        <f t="shared" si="49"/>
        <v>0</v>
      </c>
      <c r="K472" s="7">
        <f t="shared" si="49"/>
        <v>0</v>
      </c>
      <c r="L472" s="6"/>
    </row>
    <row r="473" spans="1:12" outlineLevel="1" x14ac:dyDescent="0.25">
      <c r="A473" s="21">
        <f t="shared" si="50"/>
        <v>5.4021999999999952</v>
      </c>
      <c r="B473" s="5" t="s">
        <v>523</v>
      </c>
      <c r="C473" s="22" t="s">
        <v>524</v>
      </c>
      <c r="D473" s="6"/>
      <c r="E473" s="5"/>
      <c r="F473" s="7"/>
      <c r="G473" s="7">
        <f t="shared" si="49"/>
        <v>0</v>
      </c>
      <c r="H473" s="7">
        <f t="shared" si="49"/>
        <v>0</v>
      </c>
      <c r="I473" s="7">
        <f t="shared" si="49"/>
        <v>1</v>
      </c>
      <c r="J473" s="7">
        <f t="shared" si="49"/>
        <v>0</v>
      </c>
      <c r="K473" s="7">
        <f t="shared" si="49"/>
        <v>0</v>
      </c>
      <c r="L473" s="6"/>
    </row>
    <row r="474" spans="1:12" outlineLevel="1" x14ac:dyDescent="0.25">
      <c r="A474" s="21">
        <f t="shared" si="50"/>
        <v>5.402299999999995</v>
      </c>
      <c r="B474" s="24" t="s">
        <v>348</v>
      </c>
      <c r="C474" s="22" t="s">
        <v>385</v>
      </c>
      <c r="D474" s="6"/>
      <c r="E474" s="5"/>
      <c r="F474" s="7"/>
      <c r="G474" s="7">
        <f t="shared" si="49"/>
        <v>0</v>
      </c>
      <c r="H474" s="7">
        <f t="shared" si="49"/>
        <v>0</v>
      </c>
      <c r="I474" s="7">
        <f t="shared" si="49"/>
        <v>1</v>
      </c>
      <c r="J474" s="7">
        <f t="shared" si="49"/>
        <v>0</v>
      </c>
      <c r="K474" s="7">
        <f t="shared" si="49"/>
        <v>0</v>
      </c>
      <c r="L474" s="6"/>
    </row>
    <row r="475" spans="1:12" outlineLevel="1" x14ac:dyDescent="0.25">
      <c r="A475" s="21">
        <f t="shared" si="50"/>
        <v>5.4023999999999948</v>
      </c>
      <c r="B475" s="26" t="s">
        <v>486</v>
      </c>
      <c r="C475" s="22" t="s">
        <v>487</v>
      </c>
      <c r="D475" s="6"/>
      <c r="E475" s="5"/>
      <c r="F475" s="7"/>
      <c r="G475" s="7">
        <f t="shared" ref="G475:K478" si="51">IF($F475=G$1,1,0)</f>
        <v>0</v>
      </c>
      <c r="H475" s="7">
        <f t="shared" si="51"/>
        <v>0</v>
      </c>
      <c r="I475" s="7">
        <f t="shared" si="51"/>
        <v>1</v>
      </c>
      <c r="J475" s="7">
        <f t="shared" si="51"/>
        <v>0</v>
      </c>
      <c r="K475" s="7">
        <f t="shared" si="51"/>
        <v>0</v>
      </c>
      <c r="L475" s="6"/>
    </row>
    <row r="476" spans="1:12" outlineLevel="1" x14ac:dyDescent="0.25">
      <c r="A476" s="21">
        <f t="shared" si="50"/>
        <v>5.4024999999999945</v>
      </c>
      <c r="B476" s="5" t="s">
        <v>482</v>
      </c>
      <c r="C476" s="22" t="s">
        <v>488</v>
      </c>
      <c r="D476" s="6"/>
      <c r="E476" s="5"/>
      <c r="F476" s="7"/>
      <c r="G476" s="7">
        <f t="shared" si="51"/>
        <v>0</v>
      </c>
      <c r="H476" s="7">
        <f t="shared" si="51"/>
        <v>0</v>
      </c>
      <c r="I476" s="7">
        <f t="shared" si="51"/>
        <v>1</v>
      </c>
      <c r="J476" s="7">
        <f t="shared" si="51"/>
        <v>0</v>
      </c>
      <c r="K476" s="7">
        <f t="shared" si="51"/>
        <v>0</v>
      </c>
      <c r="L476" s="6"/>
    </row>
    <row r="477" spans="1:12" outlineLevel="1" x14ac:dyDescent="0.25">
      <c r="A477" s="21">
        <f t="shared" si="50"/>
        <v>5.4025999999999943</v>
      </c>
      <c r="B477" s="5" t="s">
        <v>489</v>
      </c>
      <c r="C477" s="22" t="s">
        <v>490</v>
      </c>
      <c r="D477" s="6"/>
      <c r="E477" s="5"/>
      <c r="F477" s="7"/>
      <c r="G477" s="7">
        <f t="shared" si="51"/>
        <v>0</v>
      </c>
      <c r="H477" s="7">
        <f t="shared" si="51"/>
        <v>0</v>
      </c>
      <c r="I477" s="7">
        <f t="shared" si="51"/>
        <v>1</v>
      </c>
      <c r="J477" s="7">
        <f t="shared" si="51"/>
        <v>0</v>
      </c>
      <c r="K477" s="7">
        <f t="shared" si="51"/>
        <v>0</v>
      </c>
      <c r="L477" s="6"/>
    </row>
    <row r="478" spans="1:12" outlineLevel="1" x14ac:dyDescent="0.25">
      <c r="A478" s="21">
        <f t="shared" si="50"/>
        <v>5.4026999999999941</v>
      </c>
      <c r="B478" s="5" t="s">
        <v>491</v>
      </c>
      <c r="C478" s="22"/>
      <c r="D478" s="6"/>
      <c r="E478" s="5"/>
      <c r="F478" s="7"/>
      <c r="G478" s="7">
        <f t="shared" si="51"/>
        <v>0</v>
      </c>
      <c r="H478" s="7">
        <f t="shared" si="51"/>
        <v>0</v>
      </c>
      <c r="I478" s="7">
        <f t="shared" si="51"/>
        <v>1</v>
      </c>
      <c r="J478" s="7">
        <f t="shared" si="51"/>
        <v>0</v>
      </c>
      <c r="K478" s="7">
        <f t="shared" si="51"/>
        <v>0</v>
      </c>
      <c r="L478" s="6"/>
    </row>
    <row r="479" spans="1:12" s="19" customFormat="1" x14ac:dyDescent="0.25">
      <c r="A479" s="78">
        <v>5.5</v>
      </c>
      <c r="B479" s="79" t="s">
        <v>507</v>
      </c>
      <c r="C479" s="80"/>
      <c r="D479" s="81"/>
      <c r="E479" s="81"/>
      <c r="F479" s="82"/>
      <c r="G479" s="82"/>
      <c r="H479" s="82"/>
      <c r="I479" s="82"/>
      <c r="J479" s="82"/>
      <c r="K479" s="82"/>
      <c r="L479" s="81"/>
    </row>
    <row r="480" spans="1:12" outlineLevel="1" x14ac:dyDescent="0.25">
      <c r="A480" s="21">
        <f>A479+0.0001</f>
        <v>5.5000999999999998</v>
      </c>
      <c r="B480" s="5" t="s">
        <v>343</v>
      </c>
      <c r="C480" s="22" t="s">
        <v>492</v>
      </c>
      <c r="D480" s="6"/>
      <c r="E480" s="5"/>
      <c r="F480" s="7"/>
      <c r="G480" s="7">
        <f t="shared" ref="G480:K482" si="52">IF($F480=G$1,1,0)</f>
        <v>0</v>
      </c>
      <c r="H480" s="7">
        <f t="shared" si="52"/>
        <v>0</v>
      </c>
      <c r="I480" s="7">
        <f t="shared" si="52"/>
        <v>1</v>
      </c>
      <c r="J480" s="7">
        <f t="shared" si="52"/>
        <v>0</v>
      </c>
      <c r="K480" s="7">
        <f t="shared" si="52"/>
        <v>0</v>
      </c>
      <c r="L480" s="6"/>
    </row>
    <row r="481" spans="1:12" outlineLevel="1" x14ac:dyDescent="0.25">
      <c r="A481" s="21">
        <f>A480+0.0001</f>
        <v>5.5001999999999995</v>
      </c>
      <c r="B481" s="5"/>
      <c r="C481" s="22" t="s">
        <v>493</v>
      </c>
      <c r="D481" s="6"/>
      <c r="E481" s="5"/>
      <c r="F481" s="7"/>
      <c r="G481" s="7">
        <f t="shared" si="52"/>
        <v>0</v>
      </c>
      <c r="H481" s="7">
        <f t="shared" si="52"/>
        <v>0</v>
      </c>
      <c r="I481" s="7">
        <f t="shared" si="52"/>
        <v>1</v>
      </c>
      <c r="J481" s="7">
        <f t="shared" si="52"/>
        <v>0</v>
      </c>
      <c r="K481" s="7">
        <f t="shared" si="52"/>
        <v>0</v>
      </c>
      <c r="L481" s="6"/>
    </row>
    <row r="482" spans="1:12" outlineLevel="1" x14ac:dyDescent="0.25">
      <c r="A482" s="21">
        <f>A481+0.0001</f>
        <v>5.5002999999999993</v>
      </c>
      <c r="B482" s="5" t="s">
        <v>482</v>
      </c>
      <c r="C482" s="22" t="s">
        <v>494</v>
      </c>
      <c r="D482" s="6"/>
      <c r="E482" s="5"/>
      <c r="F482" s="7"/>
      <c r="G482" s="7">
        <f t="shared" si="52"/>
        <v>0</v>
      </c>
      <c r="H482" s="7">
        <f t="shared" si="52"/>
        <v>0</v>
      </c>
      <c r="I482" s="7">
        <f t="shared" si="52"/>
        <v>1</v>
      </c>
      <c r="J482" s="7">
        <f t="shared" si="52"/>
        <v>0</v>
      </c>
      <c r="K482" s="7">
        <f t="shared" si="52"/>
        <v>0</v>
      </c>
      <c r="L482" s="6"/>
    </row>
    <row r="483" spans="1:12" s="19" customFormat="1" x14ac:dyDescent="0.25">
      <c r="A483" s="15">
        <v>6</v>
      </c>
      <c r="B483" s="71" t="s">
        <v>544</v>
      </c>
      <c r="C483" s="35"/>
      <c r="D483" s="36"/>
      <c r="E483" s="36"/>
      <c r="F483" s="37"/>
      <c r="G483" s="37"/>
      <c r="H483" s="37"/>
      <c r="I483" s="37"/>
      <c r="J483" s="37"/>
      <c r="K483" s="37"/>
      <c r="L483" s="36"/>
    </row>
    <row r="484" spans="1:12" outlineLevel="1" x14ac:dyDescent="0.25">
      <c r="A484" s="4">
        <f t="shared" ref="A484:A491" si="53">A483+0.0001</f>
        <v>6.0000999999999998</v>
      </c>
      <c r="B484" s="72" t="s">
        <v>18</v>
      </c>
      <c r="C484" s="22" t="s">
        <v>39</v>
      </c>
      <c r="D484" s="6"/>
      <c r="E484" s="5"/>
      <c r="F484" s="7"/>
      <c r="G484" s="7">
        <f t="shared" ref="G484:K491" si="54">IF($F484=G$1,1,0)</f>
        <v>0</v>
      </c>
      <c r="H484" s="7">
        <f t="shared" si="54"/>
        <v>0</v>
      </c>
      <c r="I484" s="7">
        <f t="shared" si="54"/>
        <v>1</v>
      </c>
      <c r="J484" s="7">
        <f t="shared" si="54"/>
        <v>0</v>
      </c>
      <c r="K484" s="7">
        <f t="shared" si="54"/>
        <v>0</v>
      </c>
      <c r="L484" s="6"/>
    </row>
    <row r="485" spans="1:12" outlineLevel="1" x14ac:dyDescent="0.25">
      <c r="A485" s="4">
        <f t="shared" si="53"/>
        <v>6.0001999999999995</v>
      </c>
      <c r="B485" s="53" t="s">
        <v>40</v>
      </c>
      <c r="C485" s="22" t="s">
        <v>19</v>
      </c>
      <c r="D485" s="6"/>
      <c r="E485" s="5"/>
      <c r="F485" s="7"/>
      <c r="G485" s="7">
        <f t="shared" si="54"/>
        <v>0</v>
      </c>
      <c r="H485" s="7">
        <f t="shared" si="54"/>
        <v>0</v>
      </c>
      <c r="I485" s="7">
        <f t="shared" si="54"/>
        <v>1</v>
      </c>
      <c r="J485" s="7">
        <f t="shared" si="54"/>
        <v>0</v>
      </c>
      <c r="K485" s="7">
        <f t="shared" si="54"/>
        <v>0</v>
      </c>
      <c r="L485" s="6"/>
    </row>
    <row r="486" spans="1:12" outlineLevel="1" x14ac:dyDescent="0.25">
      <c r="A486" s="4">
        <f t="shared" si="53"/>
        <v>6.0002999999999993</v>
      </c>
      <c r="B486" s="53" t="s">
        <v>41</v>
      </c>
      <c r="C486" s="22"/>
      <c r="D486" s="6"/>
      <c r="E486" s="5"/>
      <c r="F486" s="7"/>
      <c r="G486" s="7">
        <f t="shared" si="54"/>
        <v>0</v>
      </c>
      <c r="H486" s="7">
        <f t="shared" si="54"/>
        <v>0</v>
      </c>
      <c r="I486" s="7">
        <f t="shared" si="54"/>
        <v>1</v>
      </c>
      <c r="J486" s="7">
        <f t="shared" si="54"/>
        <v>0</v>
      </c>
      <c r="K486" s="7">
        <f t="shared" si="54"/>
        <v>0</v>
      </c>
      <c r="L486" s="6"/>
    </row>
    <row r="487" spans="1:12" ht="25.5" outlineLevel="1" x14ac:dyDescent="0.25">
      <c r="A487" s="4">
        <f t="shared" si="53"/>
        <v>6.0003999999999991</v>
      </c>
      <c r="B487" s="31" t="s">
        <v>424</v>
      </c>
      <c r="C487" s="23" t="s">
        <v>42</v>
      </c>
      <c r="D487" s="6"/>
      <c r="E487" s="6"/>
      <c r="F487" s="7"/>
      <c r="G487" s="7">
        <f t="shared" si="54"/>
        <v>0</v>
      </c>
      <c r="H487" s="7">
        <f t="shared" si="54"/>
        <v>0</v>
      </c>
      <c r="I487" s="7">
        <f t="shared" si="54"/>
        <v>1</v>
      </c>
      <c r="J487" s="7">
        <f t="shared" si="54"/>
        <v>0</v>
      </c>
      <c r="K487" s="7">
        <f t="shared" si="54"/>
        <v>0</v>
      </c>
      <c r="L487" s="6"/>
    </row>
    <row r="488" spans="1:12" ht="25.5" outlineLevel="1" x14ac:dyDescent="0.25">
      <c r="A488" s="4">
        <f t="shared" si="53"/>
        <v>6.0004999999999988</v>
      </c>
      <c r="B488" s="53"/>
      <c r="C488" s="23" t="s">
        <v>43</v>
      </c>
      <c r="D488" s="6"/>
      <c r="E488" s="6"/>
      <c r="F488" s="7"/>
      <c r="G488" s="7">
        <f t="shared" si="54"/>
        <v>0</v>
      </c>
      <c r="H488" s="7">
        <f t="shared" si="54"/>
        <v>0</v>
      </c>
      <c r="I488" s="7">
        <f t="shared" si="54"/>
        <v>1</v>
      </c>
      <c r="J488" s="7">
        <f t="shared" si="54"/>
        <v>0</v>
      </c>
      <c r="K488" s="7">
        <f t="shared" si="54"/>
        <v>0</v>
      </c>
      <c r="L488" s="6"/>
    </row>
    <row r="489" spans="1:12" outlineLevel="1" x14ac:dyDescent="0.25">
      <c r="A489" s="4">
        <f t="shared" si="53"/>
        <v>6.0005999999999986</v>
      </c>
      <c r="B489" s="72" t="s">
        <v>509</v>
      </c>
      <c r="C489" s="94" t="s">
        <v>512</v>
      </c>
      <c r="D489" s="6"/>
      <c r="E489" s="5"/>
      <c r="F489" s="7"/>
      <c r="G489" s="7">
        <f t="shared" si="54"/>
        <v>0</v>
      </c>
      <c r="H489" s="7">
        <f t="shared" si="54"/>
        <v>0</v>
      </c>
      <c r="I489" s="7">
        <f t="shared" si="54"/>
        <v>1</v>
      </c>
      <c r="J489" s="7">
        <f t="shared" si="54"/>
        <v>0</v>
      </c>
      <c r="K489" s="7">
        <f t="shared" si="54"/>
        <v>0</v>
      </c>
      <c r="L489" s="6"/>
    </row>
    <row r="490" spans="1:12" outlineLevel="1" x14ac:dyDescent="0.25">
      <c r="A490" s="4">
        <f t="shared" si="53"/>
        <v>6.0006999999999984</v>
      </c>
      <c r="B490" s="53" t="s">
        <v>40</v>
      </c>
      <c r="C490" s="22"/>
      <c r="D490" s="6"/>
      <c r="E490" s="5"/>
      <c r="F490" s="7"/>
      <c r="G490" s="7">
        <f t="shared" si="54"/>
        <v>0</v>
      </c>
      <c r="H490" s="7">
        <f t="shared" si="54"/>
        <v>0</v>
      </c>
      <c r="I490" s="7">
        <f t="shared" si="54"/>
        <v>1</v>
      </c>
      <c r="J490" s="7">
        <f t="shared" si="54"/>
        <v>0</v>
      </c>
      <c r="K490" s="7">
        <f t="shared" si="54"/>
        <v>0</v>
      </c>
      <c r="L490" s="6"/>
    </row>
    <row r="491" spans="1:12" outlineLevel="1" x14ac:dyDescent="0.25">
      <c r="A491" s="4">
        <f t="shared" si="53"/>
        <v>6.0007999999999981</v>
      </c>
      <c r="B491" s="53" t="s">
        <v>41</v>
      </c>
      <c r="C491" s="22"/>
      <c r="D491" s="6"/>
      <c r="E491" s="5"/>
      <c r="F491" s="7"/>
      <c r="G491" s="7">
        <f t="shared" si="54"/>
        <v>0</v>
      </c>
      <c r="H491" s="7">
        <f t="shared" si="54"/>
        <v>0</v>
      </c>
      <c r="I491" s="7">
        <f t="shared" si="54"/>
        <v>1</v>
      </c>
      <c r="J491" s="7">
        <f t="shared" si="54"/>
        <v>0</v>
      </c>
      <c r="K491" s="7">
        <f t="shared" si="54"/>
        <v>0</v>
      </c>
      <c r="L491" s="6"/>
    </row>
    <row r="492" spans="1:12" s="19" customFormat="1" x14ac:dyDescent="0.25">
      <c r="A492" s="78">
        <v>6.1</v>
      </c>
      <c r="B492" s="87" t="s">
        <v>495</v>
      </c>
      <c r="C492" s="80"/>
      <c r="D492" s="81"/>
      <c r="E492" s="81"/>
      <c r="F492" s="82"/>
      <c r="G492" s="82"/>
      <c r="H492" s="82"/>
      <c r="I492" s="82"/>
      <c r="J492" s="82"/>
      <c r="K492" s="82"/>
      <c r="L492" s="81"/>
    </row>
    <row r="493" spans="1:12" ht="51" outlineLevel="1" x14ac:dyDescent="0.25">
      <c r="A493" s="21">
        <f t="shared" ref="A493:A499" si="55">A492+0.0001</f>
        <v>6.1000999999999994</v>
      </c>
      <c r="B493" s="24" t="s">
        <v>425</v>
      </c>
      <c r="C493" s="22" t="s">
        <v>426</v>
      </c>
      <c r="D493" s="6"/>
      <c r="E493" s="6"/>
      <c r="F493" s="7"/>
      <c r="G493" s="7">
        <f t="shared" ref="G493:K499" si="56">IF($F493=G$1,1,0)</f>
        <v>0</v>
      </c>
      <c r="H493" s="7">
        <f t="shared" si="56"/>
        <v>0</v>
      </c>
      <c r="I493" s="7">
        <f t="shared" si="56"/>
        <v>1</v>
      </c>
      <c r="J493" s="7">
        <f t="shared" si="56"/>
        <v>0</v>
      </c>
      <c r="K493" s="7">
        <f t="shared" si="56"/>
        <v>0</v>
      </c>
      <c r="L493" s="6"/>
    </row>
    <row r="494" spans="1:12" outlineLevel="1" x14ac:dyDescent="0.25">
      <c r="A494" s="21">
        <f t="shared" si="55"/>
        <v>6.1001999999999992</v>
      </c>
      <c r="B494" s="25" t="s">
        <v>171</v>
      </c>
      <c r="C494" s="22" t="s">
        <v>172</v>
      </c>
      <c r="D494" s="6"/>
      <c r="E494" s="6"/>
      <c r="F494" s="7"/>
      <c r="G494" s="7">
        <f t="shared" si="56"/>
        <v>0</v>
      </c>
      <c r="H494" s="7">
        <f t="shared" si="56"/>
        <v>0</v>
      </c>
      <c r="I494" s="7">
        <f t="shared" si="56"/>
        <v>1</v>
      </c>
      <c r="J494" s="7">
        <f t="shared" si="56"/>
        <v>0</v>
      </c>
      <c r="K494" s="7">
        <f t="shared" si="56"/>
        <v>0</v>
      </c>
      <c r="L494" s="6"/>
    </row>
    <row r="495" spans="1:12" outlineLevel="1" x14ac:dyDescent="0.25">
      <c r="A495" s="21">
        <f t="shared" si="55"/>
        <v>6.1002999999999989</v>
      </c>
      <c r="B495" s="25"/>
      <c r="C495" s="22" t="s">
        <v>173</v>
      </c>
      <c r="D495" s="6"/>
      <c r="E495" s="6"/>
      <c r="F495" s="7"/>
      <c r="G495" s="7">
        <f t="shared" si="56"/>
        <v>0</v>
      </c>
      <c r="H495" s="7">
        <f t="shared" si="56"/>
        <v>0</v>
      </c>
      <c r="I495" s="7">
        <f t="shared" si="56"/>
        <v>1</v>
      </c>
      <c r="J495" s="7">
        <f t="shared" si="56"/>
        <v>0</v>
      </c>
      <c r="K495" s="7">
        <f t="shared" si="56"/>
        <v>0</v>
      </c>
      <c r="L495" s="6"/>
    </row>
    <row r="496" spans="1:12" outlineLevel="1" x14ac:dyDescent="0.25">
      <c r="A496" s="21">
        <f t="shared" si="55"/>
        <v>6.1003999999999987</v>
      </c>
      <c r="B496" s="25"/>
      <c r="C496" s="23" t="s">
        <v>176</v>
      </c>
      <c r="D496" s="6"/>
      <c r="E496" s="6"/>
      <c r="F496" s="7"/>
      <c r="G496" s="7">
        <f t="shared" si="56"/>
        <v>0</v>
      </c>
      <c r="H496" s="7">
        <f t="shared" si="56"/>
        <v>0</v>
      </c>
      <c r="I496" s="7">
        <f t="shared" si="56"/>
        <v>1</v>
      </c>
      <c r="J496" s="7">
        <f t="shared" si="56"/>
        <v>0</v>
      </c>
      <c r="K496" s="7">
        <f t="shared" si="56"/>
        <v>0</v>
      </c>
      <c r="L496" s="6"/>
    </row>
    <row r="497" spans="1:12" outlineLevel="1" x14ac:dyDescent="0.25">
      <c r="A497" s="21">
        <f t="shared" si="55"/>
        <v>6.1004999999999985</v>
      </c>
      <c r="B497" s="25" t="s">
        <v>340</v>
      </c>
      <c r="C497" s="23"/>
      <c r="D497" s="6"/>
      <c r="E497" s="6"/>
      <c r="F497" s="7"/>
      <c r="G497" s="7">
        <f t="shared" si="56"/>
        <v>0</v>
      </c>
      <c r="H497" s="7">
        <f t="shared" si="56"/>
        <v>0</v>
      </c>
      <c r="I497" s="7">
        <f t="shared" si="56"/>
        <v>1</v>
      </c>
      <c r="J497" s="7">
        <f t="shared" si="56"/>
        <v>0</v>
      </c>
      <c r="K497" s="7">
        <f t="shared" si="56"/>
        <v>0</v>
      </c>
      <c r="L497" s="6"/>
    </row>
    <row r="498" spans="1:12" outlineLevel="1" x14ac:dyDescent="0.25">
      <c r="A498" s="21">
        <f t="shared" si="55"/>
        <v>6.1005999999999982</v>
      </c>
      <c r="B498" s="25" t="s">
        <v>427</v>
      </c>
      <c r="C498" s="23" t="s">
        <v>428</v>
      </c>
      <c r="D498" s="6"/>
      <c r="E498" s="6"/>
      <c r="F498" s="7"/>
      <c r="G498" s="7">
        <f t="shared" si="56"/>
        <v>0</v>
      </c>
      <c r="H498" s="7">
        <f t="shared" si="56"/>
        <v>0</v>
      </c>
      <c r="I498" s="7">
        <f t="shared" si="56"/>
        <v>1</v>
      </c>
      <c r="J498" s="7">
        <f t="shared" si="56"/>
        <v>0</v>
      </c>
      <c r="K498" s="7">
        <f t="shared" si="56"/>
        <v>0</v>
      </c>
      <c r="L498" s="6"/>
    </row>
    <row r="499" spans="1:12" outlineLevel="1" x14ac:dyDescent="0.25">
      <c r="A499" s="21">
        <f t="shared" si="55"/>
        <v>6.100699999999998</v>
      </c>
      <c r="B499" s="43" t="s">
        <v>350</v>
      </c>
      <c r="C499" s="23" t="s">
        <v>429</v>
      </c>
      <c r="D499" s="6"/>
      <c r="E499" s="6"/>
      <c r="F499" s="7"/>
      <c r="G499" s="7">
        <f t="shared" si="56"/>
        <v>0</v>
      </c>
      <c r="H499" s="7">
        <f t="shared" si="56"/>
        <v>0</v>
      </c>
      <c r="I499" s="7">
        <f t="shared" si="56"/>
        <v>1</v>
      </c>
      <c r="J499" s="7">
        <f t="shared" si="56"/>
        <v>0</v>
      </c>
      <c r="K499" s="7">
        <f t="shared" si="56"/>
        <v>0</v>
      </c>
      <c r="L499" s="6"/>
    </row>
    <row r="500" spans="1:12" x14ac:dyDescent="0.25">
      <c r="A500" s="78">
        <v>6.2</v>
      </c>
      <c r="B500" s="87" t="s">
        <v>496</v>
      </c>
      <c r="C500" s="80"/>
      <c r="D500" s="81"/>
      <c r="E500" s="81"/>
      <c r="F500" s="82"/>
      <c r="G500" s="82"/>
      <c r="H500" s="82"/>
      <c r="I500" s="82"/>
      <c r="J500" s="82"/>
      <c r="K500" s="82"/>
      <c r="L500" s="81"/>
    </row>
    <row r="501" spans="1:12" outlineLevel="1" x14ac:dyDescent="0.25">
      <c r="A501" s="21">
        <f t="shared" ref="A501:A516" si="57">A500+0.0001</f>
        <v>6.2000999999999999</v>
      </c>
      <c r="B501" s="24" t="s">
        <v>284</v>
      </c>
      <c r="C501" s="23" t="s">
        <v>285</v>
      </c>
      <c r="D501" s="6"/>
      <c r="E501" s="6"/>
      <c r="F501" s="7"/>
      <c r="G501" s="7">
        <f t="shared" ref="G501:K516" si="58">IF($F501=G$1,1,0)</f>
        <v>0</v>
      </c>
      <c r="H501" s="7">
        <f t="shared" si="58"/>
        <v>0</v>
      </c>
      <c r="I501" s="7">
        <f t="shared" si="58"/>
        <v>1</v>
      </c>
      <c r="J501" s="7">
        <f t="shared" si="58"/>
        <v>0</v>
      </c>
      <c r="K501" s="7">
        <f t="shared" si="58"/>
        <v>0</v>
      </c>
      <c r="L501" s="6"/>
    </row>
    <row r="502" spans="1:12" ht="25.5" outlineLevel="1" x14ac:dyDescent="0.25">
      <c r="A502" s="21">
        <f t="shared" si="57"/>
        <v>6.2001999999999997</v>
      </c>
      <c r="B502" s="25"/>
      <c r="C502" s="23" t="s">
        <v>430</v>
      </c>
      <c r="D502" s="6"/>
      <c r="E502" s="6"/>
      <c r="F502" s="7"/>
      <c r="G502" s="7">
        <f t="shared" si="58"/>
        <v>0</v>
      </c>
      <c r="H502" s="7">
        <f t="shared" si="58"/>
        <v>0</v>
      </c>
      <c r="I502" s="7">
        <f t="shared" si="58"/>
        <v>1</v>
      </c>
      <c r="J502" s="7">
        <f t="shared" si="58"/>
        <v>0</v>
      </c>
      <c r="K502" s="7">
        <f t="shared" si="58"/>
        <v>0</v>
      </c>
      <c r="L502" s="6"/>
    </row>
    <row r="503" spans="1:12" outlineLevel="1" x14ac:dyDescent="0.25">
      <c r="A503" s="21">
        <f t="shared" si="57"/>
        <v>6.2002999999999995</v>
      </c>
      <c r="B503" s="25" t="s">
        <v>348</v>
      </c>
      <c r="C503" s="48" t="s">
        <v>431</v>
      </c>
      <c r="D503" s="6"/>
      <c r="E503" s="6"/>
      <c r="F503" s="7"/>
      <c r="G503" s="7">
        <f t="shared" si="58"/>
        <v>0</v>
      </c>
      <c r="H503" s="7">
        <f t="shared" si="58"/>
        <v>0</v>
      </c>
      <c r="I503" s="7">
        <f t="shared" si="58"/>
        <v>1</v>
      </c>
      <c r="J503" s="7">
        <f t="shared" si="58"/>
        <v>0</v>
      </c>
      <c r="K503" s="7">
        <f t="shared" si="58"/>
        <v>0</v>
      </c>
      <c r="L503" s="6"/>
    </row>
    <row r="504" spans="1:12" outlineLevel="1" x14ac:dyDescent="0.25">
      <c r="A504" s="21">
        <f t="shared" si="57"/>
        <v>6.2003999999999992</v>
      </c>
      <c r="B504" s="25" t="s">
        <v>348</v>
      </c>
      <c r="C504" s="48" t="s">
        <v>432</v>
      </c>
      <c r="D504" s="6"/>
      <c r="E504" s="6"/>
      <c r="F504" s="7"/>
      <c r="G504" s="7">
        <f t="shared" si="58"/>
        <v>0</v>
      </c>
      <c r="H504" s="7">
        <f t="shared" si="58"/>
        <v>0</v>
      </c>
      <c r="I504" s="7">
        <f t="shared" si="58"/>
        <v>1</v>
      </c>
      <c r="J504" s="7">
        <f t="shared" si="58"/>
        <v>0</v>
      </c>
      <c r="K504" s="7">
        <f t="shared" si="58"/>
        <v>0</v>
      </c>
      <c r="L504" s="6"/>
    </row>
    <row r="505" spans="1:12" outlineLevel="1" x14ac:dyDescent="0.25">
      <c r="A505" s="21">
        <f t="shared" si="57"/>
        <v>6.200499999999999</v>
      </c>
      <c r="B505" s="25" t="s">
        <v>348</v>
      </c>
      <c r="C505" s="23" t="s">
        <v>433</v>
      </c>
      <c r="D505" s="6"/>
      <c r="E505" s="6"/>
      <c r="F505" s="7"/>
      <c r="G505" s="7">
        <f t="shared" si="58"/>
        <v>0</v>
      </c>
      <c r="H505" s="7">
        <f t="shared" si="58"/>
        <v>0</v>
      </c>
      <c r="I505" s="7">
        <f t="shared" si="58"/>
        <v>1</v>
      </c>
      <c r="J505" s="7">
        <f t="shared" si="58"/>
        <v>0</v>
      </c>
      <c r="K505" s="7">
        <f t="shared" si="58"/>
        <v>0</v>
      </c>
      <c r="L505" s="6"/>
    </row>
    <row r="506" spans="1:12" outlineLevel="1" x14ac:dyDescent="0.25">
      <c r="A506" s="21">
        <f t="shared" si="57"/>
        <v>6.2005999999999988</v>
      </c>
      <c r="B506" s="25" t="s">
        <v>348</v>
      </c>
      <c r="C506" s="23" t="s">
        <v>434</v>
      </c>
      <c r="D506" s="6"/>
      <c r="E506" s="6"/>
      <c r="F506" s="7"/>
      <c r="G506" s="7">
        <f t="shared" si="58"/>
        <v>0</v>
      </c>
      <c r="H506" s="7">
        <f t="shared" si="58"/>
        <v>0</v>
      </c>
      <c r="I506" s="7">
        <f t="shared" si="58"/>
        <v>1</v>
      </c>
      <c r="J506" s="7">
        <f t="shared" si="58"/>
        <v>0</v>
      </c>
      <c r="K506" s="7">
        <f t="shared" si="58"/>
        <v>0</v>
      </c>
      <c r="L506" s="6"/>
    </row>
    <row r="507" spans="1:12" outlineLevel="1" x14ac:dyDescent="0.25">
      <c r="A507" s="21">
        <f t="shared" si="57"/>
        <v>6.2006999999999985</v>
      </c>
      <c r="B507" s="25" t="s">
        <v>348</v>
      </c>
      <c r="C507" s="23" t="s">
        <v>435</v>
      </c>
      <c r="D507" s="6"/>
      <c r="E507" s="6"/>
      <c r="F507" s="7"/>
      <c r="G507" s="7">
        <f t="shared" si="58"/>
        <v>0</v>
      </c>
      <c r="H507" s="7">
        <f t="shared" si="58"/>
        <v>0</v>
      </c>
      <c r="I507" s="7">
        <f t="shared" si="58"/>
        <v>1</v>
      </c>
      <c r="J507" s="7">
        <f t="shared" si="58"/>
        <v>0</v>
      </c>
      <c r="K507" s="7">
        <f t="shared" si="58"/>
        <v>0</v>
      </c>
      <c r="L507" s="6"/>
    </row>
    <row r="508" spans="1:12" outlineLevel="1" x14ac:dyDescent="0.25">
      <c r="A508" s="21">
        <f t="shared" si="57"/>
        <v>6.2007999999999983</v>
      </c>
      <c r="B508" s="5" t="s">
        <v>504</v>
      </c>
      <c r="C508" s="23" t="s">
        <v>505</v>
      </c>
      <c r="D508" s="6"/>
      <c r="E508" s="6" t="s">
        <v>503</v>
      </c>
      <c r="F508" s="7"/>
      <c r="G508" s="7">
        <f t="shared" si="58"/>
        <v>0</v>
      </c>
      <c r="H508" s="7">
        <f t="shared" si="58"/>
        <v>0</v>
      </c>
      <c r="I508" s="7">
        <f t="shared" si="58"/>
        <v>1</v>
      </c>
      <c r="J508" s="7">
        <f t="shared" si="58"/>
        <v>0</v>
      </c>
      <c r="K508" s="7">
        <f t="shared" si="58"/>
        <v>0</v>
      </c>
      <c r="L508" s="6"/>
    </row>
    <row r="509" spans="1:12" outlineLevel="1" x14ac:dyDescent="0.25">
      <c r="A509" s="21">
        <f t="shared" si="57"/>
        <v>6.2008999999999981</v>
      </c>
      <c r="B509" s="25" t="s">
        <v>437</v>
      </c>
      <c r="C509" s="23" t="s">
        <v>441</v>
      </c>
      <c r="D509" s="6"/>
      <c r="E509" s="6"/>
      <c r="F509" s="7"/>
      <c r="G509" s="7">
        <f t="shared" si="58"/>
        <v>0</v>
      </c>
      <c r="H509" s="7">
        <f t="shared" si="58"/>
        <v>0</v>
      </c>
      <c r="I509" s="7">
        <f t="shared" si="58"/>
        <v>1</v>
      </c>
      <c r="J509" s="7">
        <f t="shared" si="58"/>
        <v>0</v>
      </c>
      <c r="K509" s="7">
        <f t="shared" si="58"/>
        <v>0</v>
      </c>
      <c r="L509" s="6"/>
    </row>
    <row r="510" spans="1:12" outlineLevel="1" x14ac:dyDescent="0.25">
      <c r="A510" s="21">
        <f t="shared" si="57"/>
        <v>6.2009999999999978</v>
      </c>
      <c r="B510" s="25"/>
      <c r="C510" s="23" t="s">
        <v>438</v>
      </c>
      <c r="D510" s="6"/>
      <c r="E510" s="6"/>
      <c r="F510" s="7"/>
      <c r="G510" s="7">
        <f t="shared" si="58"/>
        <v>0</v>
      </c>
      <c r="H510" s="7">
        <f t="shared" si="58"/>
        <v>0</v>
      </c>
      <c r="I510" s="7">
        <f t="shared" si="58"/>
        <v>1</v>
      </c>
      <c r="J510" s="7">
        <f t="shared" si="58"/>
        <v>0</v>
      </c>
      <c r="K510" s="7">
        <f t="shared" si="58"/>
        <v>0</v>
      </c>
      <c r="L510" s="6"/>
    </row>
    <row r="511" spans="1:12" outlineLevel="1" x14ac:dyDescent="0.25">
      <c r="A511" s="21">
        <f t="shared" si="57"/>
        <v>6.2010999999999976</v>
      </c>
      <c r="B511" s="25"/>
      <c r="C511" s="23" t="s">
        <v>439</v>
      </c>
      <c r="D511" s="6"/>
      <c r="E511" s="6"/>
      <c r="F511" s="7"/>
      <c r="G511" s="7">
        <f t="shared" si="58"/>
        <v>0</v>
      </c>
      <c r="H511" s="7">
        <f t="shared" si="58"/>
        <v>0</v>
      </c>
      <c r="I511" s="7">
        <f t="shared" si="58"/>
        <v>1</v>
      </c>
      <c r="J511" s="7">
        <f t="shared" si="58"/>
        <v>0</v>
      </c>
      <c r="K511" s="7">
        <f t="shared" si="58"/>
        <v>0</v>
      </c>
      <c r="L511" s="6"/>
    </row>
    <row r="512" spans="1:12" outlineLevel="1" x14ac:dyDescent="0.25">
      <c r="A512" s="21">
        <f t="shared" si="57"/>
        <v>6.2011999999999974</v>
      </c>
      <c r="B512" s="25"/>
      <c r="C512" s="23" t="s">
        <v>440</v>
      </c>
      <c r="D512" s="6"/>
      <c r="E512" s="6"/>
      <c r="F512" s="7"/>
      <c r="G512" s="7">
        <f t="shared" si="58"/>
        <v>0</v>
      </c>
      <c r="H512" s="7">
        <f t="shared" si="58"/>
        <v>0</v>
      </c>
      <c r="I512" s="7">
        <f t="shared" si="58"/>
        <v>1</v>
      </c>
      <c r="J512" s="7">
        <f t="shared" si="58"/>
        <v>0</v>
      </c>
      <c r="K512" s="7">
        <f t="shared" si="58"/>
        <v>0</v>
      </c>
      <c r="L512" s="6"/>
    </row>
    <row r="513" spans="1:12" outlineLevel="1" x14ac:dyDescent="0.25">
      <c r="A513" s="21">
        <f t="shared" si="57"/>
        <v>6.2012999999999971</v>
      </c>
      <c r="B513" s="25" t="s">
        <v>440</v>
      </c>
      <c r="C513" s="23" t="s">
        <v>442</v>
      </c>
      <c r="D513" s="6"/>
      <c r="E513" s="6"/>
      <c r="F513" s="7"/>
      <c r="G513" s="7">
        <f t="shared" si="58"/>
        <v>0</v>
      </c>
      <c r="H513" s="7">
        <f t="shared" si="58"/>
        <v>0</v>
      </c>
      <c r="I513" s="7">
        <f t="shared" si="58"/>
        <v>1</v>
      </c>
      <c r="J513" s="7">
        <f t="shared" si="58"/>
        <v>0</v>
      </c>
      <c r="K513" s="7">
        <f t="shared" si="58"/>
        <v>0</v>
      </c>
      <c r="L513" s="6"/>
    </row>
    <row r="514" spans="1:12" outlineLevel="1" x14ac:dyDescent="0.25">
      <c r="A514" s="21">
        <f t="shared" si="57"/>
        <v>6.2013999999999969</v>
      </c>
      <c r="B514" s="25" t="s">
        <v>443</v>
      </c>
      <c r="C514" s="23" t="s">
        <v>444</v>
      </c>
      <c r="D514" s="6"/>
      <c r="E514" s="6"/>
      <c r="F514" s="7"/>
      <c r="G514" s="7">
        <f t="shared" si="58"/>
        <v>0</v>
      </c>
      <c r="H514" s="7">
        <f t="shared" si="58"/>
        <v>0</v>
      </c>
      <c r="I514" s="7">
        <f t="shared" si="58"/>
        <v>1</v>
      </c>
      <c r="J514" s="7">
        <f t="shared" si="58"/>
        <v>0</v>
      </c>
      <c r="K514" s="7">
        <f t="shared" si="58"/>
        <v>0</v>
      </c>
      <c r="L514" s="6"/>
    </row>
    <row r="515" spans="1:12" outlineLevel="1" x14ac:dyDescent="0.25">
      <c r="A515" s="21">
        <f t="shared" si="57"/>
        <v>6.2014999999999967</v>
      </c>
      <c r="B515" s="25" t="s">
        <v>349</v>
      </c>
      <c r="C515" s="23" t="s">
        <v>446</v>
      </c>
      <c r="D515" s="6"/>
      <c r="E515" s="6"/>
      <c r="F515" s="7"/>
      <c r="G515" s="7">
        <f t="shared" si="58"/>
        <v>0</v>
      </c>
      <c r="H515" s="7">
        <f t="shared" si="58"/>
        <v>0</v>
      </c>
      <c r="I515" s="7">
        <f t="shared" si="58"/>
        <v>1</v>
      </c>
      <c r="J515" s="7">
        <f t="shared" si="58"/>
        <v>0</v>
      </c>
      <c r="K515" s="7">
        <f t="shared" si="58"/>
        <v>0</v>
      </c>
      <c r="L515" s="6"/>
    </row>
    <row r="516" spans="1:12" outlineLevel="1" x14ac:dyDescent="0.25">
      <c r="A516" s="21">
        <f t="shared" si="57"/>
        <v>6.2015999999999964</v>
      </c>
      <c r="B516" s="25" t="s">
        <v>385</v>
      </c>
      <c r="C516" s="23" t="s">
        <v>445</v>
      </c>
      <c r="D516" s="6"/>
      <c r="E516" s="6"/>
      <c r="F516" s="7"/>
      <c r="G516" s="7">
        <f t="shared" si="58"/>
        <v>0</v>
      </c>
      <c r="H516" s="7">
        <f t="shared" si="58"/>
        <v>0</v>
      </c>
      <c r="I516" s="7">
        <f t="shared" si="58"/>
        <v>1</v>
      </c>
      <c r="J516" s="7">
        <f t="shared" si="58"/>
        <v>0</v>
      </c>
      <c r="K516" s="7">
        <f t="shared" si="58"/>
        <v>0</v>
      </c>
      <c r="L516" s="6"/>
    </row>
    <row r="517" spans="1:12" s="19" customFormat="1" x14ac:dyDescent="0.25">
      <c r="A517" s="78">
        <v>6.3</v>
      </c>
      <c r="B517" s="79" t="s">
        <v>497</v>
      </c>
      <c r="C517" s="80"/>
      <c r="D517" s="81"/>
      <c r="E517" s="81"/>
      <c r="F517" s="82"/>
      <c r="G517" s="82"/>
      <c r="H517" s="82"/>
      <c r="I517" s="82"/>
      <c r="J517" s="82"/>
      <c r="K517" s="82"/>
      <c r="L517" s="81"/>
    </row>
    <row r="518" spans="1:12" outlineLevel="1" x14ac:dyDescent="0.25">
      <c r="A518" s="21">
        <f>A517+0.0001</f>
        <v>6.3000999999999996</v>
      </c>
      <c r="B518" s="24" t="s">
        <v>447</v>
      </c>
      <c r="C518" s="22" t="s">
        <v>448</v>
      </c>
      <c r="D518" s="6"/>
      <c r="E518" s="5"/>
      <c r="F518" s="7"/>
      <c r="G518" s="7">
        <f t="shared" ref="G518:K556" si="59">IF($F518=G$1,1,0)</f>
        <v>0</v>
      </c>
      <c r="H518" s="7">
        <f t="shared" si="59"/>
        <v>0</v>
      </c>
      <c r="I518" s="7">
        <f t="shared" si="59"/>
        <v>1</v>
      </c>
      <c r="J518" s="7">
        <f t="shared" si="59"/>
        <v>0</v>
      </c>
      <c r="K518" s="7">
        <f t="shared" si="59"/>
        <v>0</v>
      </c>
      <c r="L518" s="6"/>
    </row>
    <row r="519" spans="1:12" ht="25.5" outlineLevel="1" x14ac:dyDescent="0.25">
      <c r="A519" s="21">
        <f t="shared" ref="A519:A553" si="60">A518+0.0001</f>
        <v>6.3001999999999994</v>
      </c>
      <c r="B519" s="24" t="s">
        <v>449</v>
      </c>
      <c r="C519" s="22" t="s">
        <v>452</v>
      </c>
      <c r="D519" s="6"/>
      <c r="E519" s="5"/>
      <c r="F519" s="7"/>
      <c r="G519" s="7">
        <f t="shared" si="59"/>
        <v>0</v>
      </c>
      <c r="H519" s="7">
        <f t="shared" si="59"/>
        <v>0</v>
      </c>
      <c r="I519" s="7">
        <f t="shared" si="59"/>
        <v>1</v>
      </c>
      <c r="J519" s="7">
        <f t="shared" si="59"/>
        <v>0</v>
      </c>
      <c r="K519" s="7">
        <f t="shared" si="59"/>
        <v>0</v>
      </c>
      <c r="L519" s="6"/>
    </row>
    <row r="520" spans="1:12" outlineLevel="1" x14ac:dyDescent="0.25">
      <c r="A520" s="21">
        <f t="shared" si="60"/>
        <v>6.3002999999999991</v>
      </c>
      <c r="B520" s="26"/>
      <c r="C520" s="22" t="s">
        <v>450</v>
      </c>
      <c r="D520" s="6"/>
      <c r="E520" s="5"/>
      <c r="F520" s="7"/>
      <c r="G520" s="7">
        <f t="shared" si="59"/>
        <v>0</v>
      </c>
      <c r="H520" s="7">
        <f t="shared" si="59"/>
        <v>0</v>
      </c>
      <c r="I520" s="7">
        <f t="shared" si="59"/>
        <v>1</v>
      </c>
      <c r="J520" s="7">
        <f t="shared" si="59"/>
        <v>0</v>
      </c>
      <c r="K520" s="7">
        <f t="shared" si="59"/>
        <v>0</v>
      </c>
      <c r="L520" s="6"/>
    </row>
    <row r="521" spans="1:12" outlineLevel="1" x14ac:dyDescent="0.25">
      <c r="A521" s="21">
        <f t="shared" si="60"/>
        <v>6.3003999999999989</v>
      </c>
      <c r="B521" s="25" t="s">
        <v>344</v>
      </c>
      <c r="C521" s="22" t="s">
        <v>453</v>
      </c>
      <c r="D521" s="6"/>
      <c r="E521" s="5"/>
      <c r="F521" s="7"/>
      <c r="G521" s="7">
        <f t="shared" si="59"/>
        <v>0</v>
      </c>
      <c r="H521" s="7">
        <f t="shared" si="59"/>
        <v>0</v>
      </c>
      <c r="I521" s="7">
        <f t="shared" si="59"/>
        <v>1</v>
      </c>
      <c r="J521" s="7">
        <f t="shared" si="59"/>
        <v>0</v>
      </c>
      <c r="K521" s="7">
        <f t="shared" si="59"/>
        <v>0</v>
      </c>
      <c r="L521" s="6"/>
    </row>
    <row r="522" spans="1:12" outlineLevel="1" x14ac:dyDescent="0.25">
      <c r="A522" s="21">
        <f t="shared" si="60"/>
        <v>6.3004999999999987</v>
      </c>
      <c r="B522" s="26"/>
      <c r="C522" s="22" t="s">
        <v>451</v>
      </c>
      <c r="D522" s="6"/>
      <c r="E522" s="5"/>
      <c r="F522" s="7"/>
      <c r="G522" s="7">
        <f t="shared" si="59"/>
        <v>0</v>
      </c>
      <c r="H522" s="7">
        <f t="shared" si="59"/>
        <v>0</v>
      </c>
      <c r="I522" s="7">
        <f t="shared" si="59"/>
        <v>1</v>
      </c>
      <c r="J522" s="7">
        <f t="shared" si="59"/>
        <v>0</v>
      </c>
      <c r="K522" s="7">
        <f t="shared" si="59"/>
        <v>0</v>
      </c>
      <c r="L522" s="6"/>
    </row>
    <row r="523" spans="1:12" outlineLevel="1" x14ac:dyDescent="0.25">
      <c r="A523" s="21">
        <f t="shared" si="60"/>
        <v>6.3005999999999984</v>
      </c>
      <c r="B523" s="25" t="s">
        <v>348</v>
      </c>
      <c r="C523" s="22" t="s">
        <v>350</v>
      </c>
      <c r="D523" s="6"/>
      <c r="E523" s="5"/>
      <c r="F523" s="7"/>
      <c r="G523" s="7">
        <f t="shared" si="59"/>
        <v>0</v>
      </c>
      <c r="H523" s="7">
        <f t="shared" si="59"/>
        <v>0</v>
      </c>
      <c r="I523" s="7">
        <f t="shared" si="59"/>
        <v>1</v>
      </c>
      <c r="J523" s="7">
        <f t="shared" si="59"/>
        <v>0</v>
      </c>
      <c r="K523" s="7">
        <f t="shared" si="59"/>
        <v>0</v>
      </c>
      <c r="L523" s="6"/>
    </row>
    <row r="524" spans="1:12" outlineLevel="1" x14ac:dyDescent="0.25">
      <c r="A524" s="21">
        <f t="shared" si="60"/>
        <v>6.3006999999999982</v>
      </c>
      <c r="B524" s="24" t="s">
        <v>343</v>
      </c>
      <c r="C524" s="22" t="s">
        <v>345</v>
      </c>
      <c r="D524" s="6"/>
      <c r="E524" s="5"/>
      <c r="F524" s="7"/>
      <c r="G524" s="7">
        <f t="shared" si="59"/>
        <v>0</v>
      </c>
      <c r="H524" s="7">
        <f t="shared" si="59"/>
        <v>0</v>
      </c>
      <c r="I524" s="7">
        <f t="shared" si="59"/>
        <v>1</v>
      </c>
      <c r="J524" s="7">
        <f t="shared" si="59"/>
        <v>0</v>
      </c>
      <c r="K524" s="7">
        <f t="shared" si="59"/>
        <v>0</v>
      </c>
      <c r="L524" s="6"/>
    </row>
    <row r="525" spans="1:12" outlineLevel="1" x14ac:dyDescent="0.25">
      <c r="A525" s="21">
        <f t="shared" si="60"/>
        <v>6.300799999999998</v>
      </c>
      <c r="B525" s="25"/>
      <c r="C525" s="22" t="s">
        <v>454</v>
      </c>
      <c r="D525" s="6"/>
      <c r="E525" s="5"/>
      <c r="F525" s="7"/>
      <c r="G525" s="7">
        <f t="shared" si="59"/>
        <v>0</v>
      </c>
      <c r="H525" s="7">
        <f t="shared" si="59"/>
        <v>0</v>
      </c>
      <c r="I525" s="7">
        <f t="shared" si="59"/>
        <v>1</v>
      </c>
      <c r="J525" s="7">
        <f t="shared" si="59"/>
        <v>0</v>
      </c>
      <c r="K525" s="7">
        <f t="shared" si="59"/>
        <v>0</v>
      </c>
      <c r="L525" s="6"/>
    </row>
    <row r="526" spans="1:12" outlineLevel="1" x14ac:dyDescent="0.25">
      <c r="A526" s="21">
        <f t="shared" si="60"/>
        <v>6.3008999999999977</v>
      </c>
      <c r="B526" s="25"/>
      <c r="C526" s="22" t="s">
        <v>455</v>
      </c>
      <c r="D526" s="6"/>
      <c r="E526" s="5"/>
      <c r="F526" s="7"/>
      <c r="G526" s="7">
        <f t="shared" si="59"/>
        <v>0</v>
      </c>
      <c r="H526" s="7">
        <f t="shared" si="59"/>
        <v>0</v>
      </c>
      <c r="I526" s="7">
        <f t="shared" si="59"/>
        <v>1</v>
      </c>
      <c r="J526" s="7">
        <f t="shared" si="59"/>
        <v>0</v>
      </c>
      <c r="K526" s="7">
        <f t="shared" si="59"/>
        <v>0</v>
      </c>
      <c r="L526" s="6"/>
    </row>
    <row r="527" spans="1:12" outlineLevel="1" x14ac:dyDescent="0.25">
      <c r="A527" s="21">
        <f t="shared" si="60"/>
        <v>6.3009999999999975</v>
      </c>
      <c r="B527" s="25" t="s">
        <v>348</v>
      </c>
      <c r="C527" s="22" t="s">
        <v>347</v>
      </c>
      <c r="D527" s="6"/>
      <c r="E527" s="5"/>
      <c r="F527" s="7"/>
      <c r="G527" s="7">
        <f t="shared" si="59"/>
        <v>0</v>
      </c>
      <c r="H527" s="7">
        <f t="shared" si="59"/>
        <v>0</v>
      </c>
      <c r="I527" s="7">
        <f t="shared" si="59"/>
        <v>1</v>
      </c>
      <c r="J527" s="7">
        <f t="shared" si="59"/>
        <v>0</v>
      </c>
      <c r="K527" s="7">
        <f t="shared" si="59"/>
        <v>0</v>
      </c>
      <c r="L527" s="6"/>
    </row>
    <row r="528" spans="1:12" outlineLevel="1" x14ac:dyDescent="0.25">
      <c r="A528" s="21">
        <f t="shared" si="60"/>
        <v>6.3010999999999973</v>
      </c>
      <c r="B528" s="25" t="s">
        <v>348</v>
      </c>
      <c r="C528" s="22" t="s">
        <v>349</v>
      </c>
      <c r="D528" s="6"/>
      <c r="E528" s="5"/>
      <c r="F528" s="7"/>
      <c r="G528" s="7">
        <f t="shared" si="59"/>
        <v>0</v>
      </c>
      <c r="H528" s="7">
        <f t="shared" si="59"/>
        <v>0</v>
      </c>
      <c r="I528" s="7">
        <f t="shared" si="59"/>
        <v>1</v>
      </c>
      <c r="J528" s="7">
        <f t="shared" si="59"/>
        <v>0</v>
      </c>
      <c r="K528" s="7">
        <f t="shared" si="59"/>
        <v>0</v>
      </c>
      <c r="L528" s="6"/>
    </row>
    <row r="529" spans="1:12" outlineLevel="1" x14ac:dyDescent="0.25">
      <c r="A529" s="21">
        <f t="shared" si="60"/>
        <v>6.301199999999997</v>
      </c>
      <c r="B529" s="25" t="s">
        <v>348</v>
      </c>
      <c r="C529" s="22" t="s">
        <v>350</v>
      </c>
      <c r="D529" s="6"/>
      <c r="E529" s="5"/>
      <c r="F529" s="7"/>
      <c r="G529" s="7">
        <f t="shared" si="59"/>
        <v>0</v>
      </c>
      <c r="H529" s="7">
        <f t="shared" si="59"/>
        <v>0</v>
      </c>
      <c r="I529" s="7">
        <f t="shared" si="59"/>
        <v>1</v>
      </c>
      <c r="J529" s="7">
        <f t="shared" si="59"/>
        <v>0</v>
      </c>
      <c r="K529" s="7">
        <f t="shared" si="59"/>
        <v>0</v>
      </c>
      <c r="L529" s="6"/>
    </row>
    <row r="530" spans="1:12" outlineLevel="1" x14ac:dyDescent="0.25">
      <c r="A530" s="21">
        <f t="shared" si="60"/>
        <v>6.3012999999999968</v>
      </c>
      <c r="B530" s="24" t="s">
        <v>355</v>
      </c>
      <c r="C530" s="22" t="s">
        <v>351</v>
      </c>
      <c r="D530" s="6"/>
      <c r="E530" s="5"/>
      <c r="F530" s="7"/>
      <c r="G530" s="7">
        <f t="shared" si="59"/>
        <v>0</v>
      </c>
      <c r="H530" s="7">
        <f t="shared" si="59"/>
        <v>0</v>
      </c>
      <c r="I530" s="7">
        <f t="shared" si="59"/>
        <v>1</v>
      </c>
      <c r="J530" s="7">
        <f t="shared" si="59"/>
        <v>0</v>
      </c>
      <c r="K530" s="7">
        <f t="shared" si="59"/>
        <v>0</v>
      </c>
      <c r="L530" s="6"/>
    </row>
    <row r="531" spans="1:12" outlineLevel="1" x14ac:dyDescent="0.25">
      <c r="A531" s="21">
        <f t="shared" si="60"/>
        <v>6.3013999999999966</v>
      </c>
      <c r="B531" s="25"/>
      <c r="C531" s="22" t="s">
        <v>352</v>
      </c>
      <c r="D531" s="6"/>
      <c r="E531" s="5"/>
      <c r="F531" s="7"/>
      <c r="G531" s="7">
        <f t="shared" si="59"/>
        <v>0</v>
      </c>
      <c r="H531" s="7">
        <f t="shared" si="59"/>
        <v>0</v>
      </c>
      <c r="I531" s="7">
        <f t="shared" si="59"/>
        <v>1</v>
      </c>
      <c r="J531" s="7">
        <f t="shared" si="59"/>
        <v>0</v>
      </c>
      <c r="K531" s="7">
        <f t="shared" si="59"/>
        <v>0</v>
      </c>
      <c r="L531" s="6"/>
    </row>
    <row r="532" spans="1:12" outlineLevel="1" x14ac:dyDescent="0.25">
      <c r="A532" s="21">
        <f t="shared" si="60"/>
        <v>6.3014999999999963</v>
      </c>
      <c r="B532" s="25"/>
      <c r="C532" s="22" t="s">
        <v>353</v>
      </c>
      <c r="D532" s="6"/>
      <c r="E532" s="5"/>
      <c r="F532" s="7"/>
      <c r="G532" s="7">
        <f t="shared" si="59"/>
        <v>0</v>
      </c>
      <c r="H532" s="7">
        <f t="shared" si="59"/>
        <v>0</v>
      </c>
      <c r="I532" s="7">
        <f t="shared" si="59"/>
        <v>1</v>
      </c>
      <c r="J532" s="7">
        <f t="shared" si="59"/>
        <v>0</v>
      </c>
      <c r="K532" s="7">
        <f t="shared" si="59"/>
        <v>0</v>
      </c>
      <c r="L532" s="6"/>
    </row>
    <row r="533" spans="1:12" outlineLevel="1" x14ac:dyDescent="0.25">
      <c r="A533" s="21">
        <f t="shared" si="60"/>
        <v>6.3015999999999961</v>
      </c>
      <c r="B533" s="25"/>
      <c r="C533" s="22" t="s">
        <v>354</v>
      </c>
      <c r="D533" s="6"/>
      <c r="E533" s="5"/>
      <c r="F533" s="7"/>
      <c r="G533" s="7">
        <f t="shared" si="59"/>
        <v>0</v>
      </c>
      <c r="H533" s="7">
        <f t="shared" si="59"/>
        <v>0</v>
      </c>
      <c r="I533" s="7">
        <f t="shared" si="59"/>
        <v>1</v>
      </c>
      <c r="J533" s="7">
        <f t="shared" si="59"/>
        <v>0</v>
      </c>
      <c r="K533" s="7">
        <f t="shared" si="59"/>
        <v>0</v>
      </c>
      <c r="L533" s="6"/>
    </row>
    <row r="534" spans="1:12" outlineLevel="1" x14ac:dyDescent="0.25">
      <c r="A534" s="21">
        <f t="shared" si="60"/>
        <v>6.3016999999999959</v>
      </c>
      <c r="B534" s="25"/>
      <c r="C534" s="22" t="s">
        <v>369</v>
      </c>
      <c r="D534" s="6"/>
      <c r="E534" s="5"/>
      <c r="F534" s="7"/>
      <c r="G534" s="7">
        <f t="shared" si="59"/>
        <v>0</v>
      </c>
      <c r="H534" s="7">
        <f t="shared" si="59"/>
        <v>0</v>
      </c>
      <c r="I534" s="7">
        <f t="shared" si="59"/>
        <v>1</v>
      </c>
      <c r="J534" s="7">
        <f t="shared" si="59"/>
        <v>0</v>
      </c>
      <c r="K534" s="7">
        <f t="shared" si="59"/>
        <v>0</v>
      </c>
      <c r="L534" s="6"/>
    </row>
    <row r="535" spans="1:12" outlineLevel="1" x14ac:dyDescent="0.25">
      <c r="A535" s="21">
        <f t="shared" si="60"/>
        <v>6.3017999999999956</v>
      </c>
      <c r="B535" s="25"/>
      <c r="C535" s="22" t="s">
        <v>368</v>
      </c>
      <c r="D535" s="6"/>
      <c r="E535" s="5"/>
      <c r="F535" s="7"/>
      <c r="G535" s="7">
        <f t="shared" si="59"/>
        <v>0</v>
      </c>
      <c r="H535" s="7">
        <f t="shared" si="59"/>
        <v>0</v>
      </c>
      <c r="I535" s="7">
        <f t="shared" si="59"/>
        <v>1</v>
      </c>
      <c r="J535" s="7">
        <f t="shared" si="59"/>
        <v>0</v>
      </c>
      <c r="K535" s="7">
        <f t="shared" si="59"/>
        <v>0</v>
      </c>
      <c r="L535" s="6"/>
    </row>
    <row r="536" spans="1:12" outlineLevel="1" x14ac:dyDescent="0.25">
      <c r="A536" s="21">
        <f t="shared" si="60"/>
        <v>6.3018999999999954</v>
      </c>
      <c r="B536" s="88" t="s">
        <v>456</v>
      </c>
      <c r="C536" s="22" t="s">
        <v>370</v>
      </c>
      <c r="D536" s="6"/>
      <c r="E536" s="5"/>
      <c r="F536" s="7"/>
      <c r="G536" s="7">
        <f t="shared" si="59"/>
        <v>0</v>
      </c>
      <c r="H536" s="7">
        <f t="shared" si="59"/>
        <v>0</v>
      </c>
      <c r="I536" s="7">
        <f t="shared" si="59"/>
        <v>1</v>
      </c>
      <c r="J536" s="7">
        <f t="shared" si="59"/>
        <v>0</v>
      </c>
      <c r="K536" s="7">
        <f t="shared" si="59"/>
        <v>0</v>
      </c>
      <c r="L536" s="6"/>
    </row>
    <row r="537" spans="1:12" outlineLevel="1" x14ac:dyDescent="0.25">
      <c r="A537" s="21">
        <f t="shared" si="60"/>
        <v>6.3019999999999952</v>
      </c>
      <c r="B537" s="24" t="s">
        <v>356</v>
      </c>
      <c r="C537" s="22" t="s">
        <v>357</v>
      </c>
      <c r="D537" s="6"/>
      <c r="E537" s="5"/>
      <c r="F537" s="7"/>
      <c r="G537" s="7">
        <f t="shared" si="59"/>
        <v>0</v>
      </c>
      <c r="H537" s="7">
        <f t="shared" si="59"/>
        <v>0</v>
      </c>
      <c r="I537" s="7">
        <f t="shared" si="59"/>
        <v>1</v>
      </c>
      <c r="J537" s="7">
        <f t="shared" si="59"/>
        <v>0</v>
      </c>
      <c r="K537" s="7">
        <f t="shared" si="59"/>
        <v>0</v>
      </c>
      <c r="L537" s="6"/>
    </row>
    <row r="538" spans="1:12" outlineLevel="1" x14ac:dyDescent="0.25">
      <c r="A538" s="21">
        <f t="shared" si="60"/>
        <v>6.3020999999999949</v>
      </c>
      <c r="B538" s="25"/>
      <c r="C538" s="22" t="s">
        <v>358</v>
      </c>
      <c r="D538" s="6"/>
      <c r="E538" s="5"/>
      <c r="F538" s="7"/>
      <c r="G538" s="7">
        <f t="shared" si="59"/>
        <v>0</v>
      </c>
      <c r="H538" s="7">
        <f t="shared" si="59"/>
        <v>0</v>
      </c>
      <c r="I538" s="7">
        <f t="shared" si="59"/>
        <v>1</v>
      </c>
      <c r="J538" s="7">
        <f t="shared" si="59"/>
        <v>0</v>
      </c>
      <c r="K538" s="7">
        <f t="shared" si="59"/>
        <v>0</v>
      </c>
      <c r="L538" s="6"/>
    </row>
    <row r="539" spans="1:12" outlineLevel="1" x14ac:dyDescent="0.25">
      <c r="A539" s="21">
        <f t="shared" si="60"/>
        <v>6.3021999999999947</v>
      </c>
      <c r="B539" s="25"/>
      <c r="C539" s="22" t="s">
        <v>359</v>
      </c>
      <c r="D539" s="6"/>
      <c r="E539" s="5"/>
      <c r="F539" s="7"/>
      <c r="G539" s="7">
        <f t="shared" si="59"/>
        <v>0</v>
      </c>
      <c r="H539" s="7">
        <f t="shared" si="59"/>
        <v>0</v>
      </c>
      <c r="I539" s="7">
        <f t="shared" si="59"/>
        <v>1</v>
      </c>
      <c r="J539" s="7">
        <f t="shared" si="59"/>
        <v>0</v>
      </c>
      <c r="K539" s="7">
        <f t="shared" si="59"/>
        <v>0</v>
      </c>
      <c r="L539" s="6"/>
    </row>
    <row r="540" spans="1:12" outlineLevel="1" x14ac:dyDescent="0.25">
      <c r="A540" s="21">
        <f t="shared" si="60"/>
        <v>6.3022999999999945</v>
      </c>
      <c r="B540" s="25"/>
      <c r="C540" s="22" t="s">
        <v>360</v>
      </c>
      <c r="D540" s="6"/>
      <c r="E540" s="5"/>
      <c r="F540" s="7"/>
      <c r="G540" s="7">
        <f t="shared" si="59"/>
        <v>0</v>
      </c>
      <c r="H540" s="7">
        <f t="shared" si="59"/>
        <v>0</v>
      </c>
      <c r="I540" s="7">
        <f t="shared" si="59"/>
        <v>1</v>
      </c>
      <c r="J540" s="7">
        <f t="shared" si="59"/>
        <v>0</v>
      </c>
      <c r="K540" s="7">
        <f t="shared" si="59"/>
        <v>0</v>
      </c>
      <c r="L540" s="6"/>
    </row>
    <row r="541" spans="1:12" outlineLevel="1" x14ac:dyDescent="0.25">
      <c r="A541" s="21">
        <f t="shared" si="60"/>
        <v>6.3023999999999942</v>
      </c>
      <c r="B541" s="25"/>
      <c r="C541" s="22" t="s">
        <v>361</v>
      </c>
      <c r="D541" s="6"/>
      <c r="E541" s="5"/>
      <c r="F541" s="7"/>
      <c r="G541" s="7">
        <f t="shared" si="59"/>
        <v>0</v>
      </c>
      <c r="H541" s="7">
        <f t="shared" si="59"/>
        <v>0</v>
      </c>
      <c r="I541" s="7">
        <f t="shared" si="59"/>
        <v>1</v>
      </c>
      <c r="J541" s="7">
        <f t="shared" si="59"/>
        <v>0</v>
      </c>
      <c r="K541" s="7">
        <f t="shared" si="59"/>
        <v>0</v>
      </c>
      <c r="L541" s="6"/>
    </row>
    <row r="542" spans="1:12" outlineLevel="1" x14ac:dyDescent="0.25">
      <c r="A542" s="21">
        <f t="shared" si="60"/>
        <v>6.302499999999994</v>
      </c>
      <c r="B542" s="25"/>
      <c r="C542" s="22" t="s">
        <v>362</v>
      </c>
      <c r="D542" s="6"/>
      <c r="E542" s="5"/>
      <c r="F542" s="7"/>
      <c r="G542" s="7">
        <f t="shared" si="59"/>
        <v>0</v>
      </c>
      <c r="H542" s="7">
        <f t="shared" si="59"/>
        <v>0</v>
      </c>
      <c r="I542" s="7">
        <f t="shared" si="59"/>
        <v>1</v>
      </c>
      <c r="J542" s="7">
        <f t="shared" si="59"/>
        <v>0</v>
      </c>
      <c r="K542" s="7">
        <f t="shared" si="59"/>
        <v>0</v>
      </c>
      <c r="L542" s="6"/>
    </row>
    <row r="543" spans="1:12" outlineLevel="1" x14ac:dyDescent="0.25">
      <c r="A543" s="21">
        <f t="shared" si="60"/>
        <v>6.3025999999999938</v>
      </c>
      <c r="B543" s="25"/>
      <c r="C543" s="22" t="s">
        <v>363</v>
      </c>
      <c r="D543" s="6"/>
      <c r="E543" s="5"/>
      <c r="F543" s="7"/>
      <c r="G543" s="7">
        <f t="shared" si="59"/>
        <v>0</v>
      </c>
      <c r="H543" s="7">
        <f t="shared" si="59"/>
        <v>0</v>
      </c>
      <c r="I543" s="7">
        <f t="shared" si="59"/>
        <v>1</v>
      </c>
      <c r="J543" s="7">
        <f t="shared" si="59"/>
        <v>0</v>
      </c>
      <c r="K543" s="7">
        <f t="shared" si="59"/>
        <v>0</v>
      </c>
      <c r="L543" s="6"/>
    </row>
    <row r="544" spans="1:12" outlineLevel="1" x14ac:dyDescent="0.25">
      <c r="A544" s="21">
        <f t="shared" si="60"/>
        <v>6.3026999999999935</v>
      </c>
      <c r="B544" s="24" t="s">
        <v>348</v>
      </c>
      <c r="C544" s="22" t="s">
        <v>364</v>
      </c>
      <c r="D544" s="6"/>
      <c r="E544" s="5"/>
      <c r="F544" s="7"/>
      <c r="G544" s="7">
        <f t="shared" si="59"/>
        <v>0</v>
      </c>
      <c r="H544" s="7">
        <f t="shared" si="59"/>
        <v>0</v>
      </c>
      <c r="I544" s="7">
        <f t="shared" si="59"/>
        <v>1</v>
      </c>
      <c r="J544" s="7">
        <f t="shared" si="59"/>
        <v>0</v>
      </c>
      <c r="K544" s="7">
        <f t="shared" si="59"/>
        <v>0</v>
      </c>
      <c r="L544" s="6"/>
    </row>
    <row r="545" spans="1:12" outlineLevel="1" x14ac:dyDescent="0.25">
      <c r="A545" s="21">
        <f t="shared" si="60"/>
        <v>6.3027999999999933</v>
      </c>
      <c r="B545" s="25" t="s">
        <v>348</v>
      </c>
      <c r="C545" s="22" t="s">
        <v>365</v>
      </c>
      <c r="D545" s="6"/>
      <c r="E545" s="5"/>
      <c r="F545" s="7"/>
      <c r="G545" s="7">
        <f t="shared" si="59"/>
        <v>0</v>
      </c>
      <c r="H545" s="7">
        <f t="shared" si="59"/>
        <v>0</v>
      </c>
      <c r="I545" s="7">
        <f t="shared" si="59"/>
        <v>1</v>
      </c>
      <c r="J545" s="7">
        <f t="shared" si="59"/>
        <v>0</v>
      </c>
      <c r="K545" s="7">
        <f t="shared" si="59"/>
        <v>0</v>
      </c>
      <c r="L545" s="6"/>
    </row>
    <row r="546" spans="1:12" outlineLevel="1" x14ac:dyDescent="0.25">
      <c r="A546" s="21">
        <f t="shared" si="60"/>
        <v>6.3028999999999931</v>
      </c>
      <c r="B546" s="25" t="s">
        <v>348</v>
      </c>
      <c r="C546" s="22" t="s">
        <v>366</v>
      </c>
      <c r="D546" s="6"/>
      <c r="E546" s="5"/>
      <c r="F546" s="7"/>
      <c r="G546" s="7">
        <f t="shared" si="59"/>
        <v>0</v>
      </c>
      <c r="H546" s="7">
        <f t="shared" si="59"/>
        <v>0</v>
      </c>
      <c r="I546" s="7">
        <f t="shared" si="59"/>
        <v>1</v>
      </c>
      <c r="J546" s="7">
        <f t="shared" si="59"/>
        <v>0</v>
      </c>
      <c r="K546" s="7">
        <f t="shared" si="59"/>
        <v>0</v>
      </c>
      <c r="L546" s="6"/>
    </row>
    <row r="547" spans="1:12" outlineLevel="1" x14ac:dyDescent="0.25">
      <c r="A547" s="21">
        <f t="shared" si="60"/>
        <v>6.3029999999999928</v>
      </c>
      <c r="B547" s="26" t="s">
        <v>348</v>
      </c>
      <c r="C547" s="22" t="s">
        <v>367</v>
      </c>
      <c r="D547" s="6"/>
      <c r="E547" s="5"/>
      <c r="F547" s="7"/>
      <c r="G547" s="7">
        <f t="shared" si="59"/>
        <v>0</v>
      </c>
      <c r="H547" s="7">
        <f t="shared" si="59"/>
        <v>0</v>
      </c>
      <c r="I547" s="7">
        <f t="shared" si="59"/>
        <v>1</v>
      </c>
      <c r="J547" s="7">
        <f t="shared" si="59"/>
        <v>0</v>
      </c>
      <c r="K547" s="7">
        <f t="shared" si="59"/>
        <v>0</v>
      </c>
      <c r="L547" s="6"/>
    </row>
    <row r="548" spans="1:12" outlineLevel="1" x14ac:dyDescent="0.25">
      <c r="A548" s="21">
        <f t="shared" si="60"/>
        <v>6.3030999999999926</v>
      </c>
      <c r="B548" s="65" t="s">
        <v>508</v>
      </c>
      <c r="C548" s="22"/>
      <c r="D548" s="6"/>
      <c r="E548" s="5"/>
      <c r="F548" s="7"/>
      <c r="G548" s="7">
        <f t="shared" si="59"/>
        <v>0</v>
      </c>
      <c r="H548" s="7">
        <f t="shared" si="59"/>
        <v>0</v>
      </c>
      <c r="I548" s="7">
        <f t="shared" si="59"/>
        <v>1</v>
      </c>
      <c r="J548" s="7">
        <f t="shared" si="59"/>
        <v>0</v>
      </c>
      <c r="K548" s="7">
        <f t="shared" si="59"/>
        <v>0</v>
      </c>
      <c r="L548" s="6"/>
    </row>
    <row r="549" spans="1:12" outlineLevel="1" x14ac:dyDescent="0.25">
      <c r="A549" s="21">
        <f t="shared" si="60"/>
        <v>6.3031999999999924</v>
      </c>
      <c r="B549" s="26" t="s">
        <v>371</v>
      </c>
      <c r="C549" s="22" t="s">
        <v>372</v>
      </c>
      <c r="D549" s="6"/>
      <c r="E549" s="5"/>
      <c r="F549" s="7"/>
      <c r="G549" s="7">
        <f t="shared" si="59"/>
        <v>0</v>
      </c>
      <c r="H549" s="7">
        <f t="shared" si="59"/>
        <v>0</v>
      </c>
      <c r="I549" s="7">
        <f t="shared" si="59"/>
        <v>1</v>
      </c>
      <c r="J549" s="7">
        <f t="shared" si="59"/>
        <v>0</v>
      </c>
      <c r="K549" s="7">
        <f t="shared" si="59"/>
        <v>0</v>
      </c>
      <c r="L549" s="6"/>
    </row>
    <row r="550" spans="1:12" outlineLevel="1" x14ac:dyDescent="0.25">
      <c r="A550" s="21">
        <f t="shared" si="60"/>
        <v>6.3032999999999921</v>
      </c>
      <c r="B550" s="26" t="s">
        <v>545</v>
      </c>
      <c r="C550" s="22" t="s">
        <v>546</v>
      </c>
      <c r="D550" s="6"/>
      <c r="E550" s="5"/>
      <c r="F550" s="7"/>
      <c r="G550" s="7">
        <f t="shared" si="59"/>
        <v>0</v>
      </c>
      <c r="H550" s="7">
        <f t="shared" si="59"/>
        <v>0</v>
      </c>
      <c r="I550" s="7">
        <f t="shared" si="59"/>
        <v>1</v>
      </c>
      <c r="J550" s="7">
        <f t="shared" si="59"/>
        <v>0</v>
      </c>
      <c r="K550" s="7">
        <f t="shared" si="59"/>
        <v>0</v>
      </c>
      <c r="L550" s="6"/>
    </row>
    <row r="551" spans="1:12" outlineLevel="1" x14ac:dyDescent="0.25">
      <c r="A551" s="21">
        <f t="shared" si="60"/>
        <v>6.3033999999999919</v>
      </c>
      <c r="B551" s="5" t="s">
        <v>375</v>
      </c>
      <c r="C551" s="22" t="s">
        <v>376</v>
      </c>
      <c r="D551" s="6"/>
      <c r="E551" s="5"/>
      <c r="F551" s="7"/>
      <c r="G551" s="7">
        <f t="shared" si="59"/>
        <v>0</v>
      </c>
      <c r="H551" s="7">
        <f t="shared" si="59"/>
        <v>0</v>
      </c>
      <c r="I551" s="7">
        <f t="shared" si="59"/>
        <v>1</v>
      </c>
      <c r="J551" s="7">
        <f t="shared" si="59"/>
        <v>0</v>
      </c>
      <c r="K551" s="7">
        <f t="shared" si="59"/>
        <v>0</v>
      </c>
      <c r="L551" s="6"/>
    </row>
    <row r="552" spans="1:12" outlineLevel="1" x14ac:dyDescent="0.25">
      <c r="A552" s="21">
        <f t="shared" si="60"/>
        <v>6.3034999999999917</v>
      </c>
      <c r="B552" s="8" t="str">
        <f>B549</f>
        <v>Set Quantity Type = Amount</v>
      </c>
      <c r="C552" s="22" t="str">
        <f>C549</f>
        <v>Quantity Type = Amount</v>
      </c>
      <c r="D552" s="6"/>
      <c r="E552" s="5"/>
      <c r="F552" s="7"/>
      <c r="G552" s="7">
        <f t="shared" si="59"/>
        <v>0</v>
      </c>
      <c r="H552" s="7">
        <f t="shared" si="59"/>
        <v>0</v>
      </c>
      <c r="I552" s="7">
        <f t="shared" si="59"/>
        <v>1</v>
      </c>
      <c r="J552" s="7">
        <f t="shared" si="59"/>
        <v>0</v>
      </c>
      <c r="K552" s="7">
        <f t="shared" si="59"/>
        <v>0</v>
      </c>
      <c r="L552" s="6"/>
    </row>
    <row r="553" spans="1:12" outlineLevel="1" x14ac:dyDescent="0.25">
      <c r="A553" s="21">
        <f t="shared" si="60"/>
        <v>6.3035999999999914</v>
      </c>
      <c r="B553" s="26" t="str">
        <f>B550</f>
        <v>Capture Quantity = 5000</v>
      </c>
      <c r="C553" s="22" t="str">
        <f>C550</f>
        <v>Quantity = 5000</v>
      </c>
      <c r="D553" s="6"/>
      <c r="E553" s="5"/>
      <c r="F553" s="7"/>
      <c r="G553" s="7">
        <f t="shared" si="59"/>
        <v>0</v>
      </c>
      <c r="H553" s="7">
        <f t="shared" si="59"/>
        <v>0</v>
      </c>
      <c r="I553" s="7">
        <f t="shared" si="59"/>
        <v>1</v>
      </c>
      <c r="J553" s="7">
        <f t="shared" si="59"/>
        <v>0</v>
      </c>
      <c r="K553" s="7">
        <f t="shared" si="59"/>
        <v>0</v>
      </c>
      <c r="L553" s="6"/>
    </row>
    <row r="554" spans="1:12" outlineLevel="1" x14ac:dyDescent="0.25">
      <c r="A554" s="21">
        <f>A552+0.0001</f>
        <v>6.3035999999999914</v>
      </c>
      <c r="B554" s="5" t="s">
        <v>346</v>
      </c>
      <c r="C554" s="22" t="s">
        <v>534</v>
      </c>
      <c r="D554" s="6"/>
      <c r="E554" s="5"/>
      <c r="F554" s="7"/>
      <c r="G554" s="7">
        <f t="shared" si="59"/>
        <v>0</v>
      </c>
      <c r="H554" s="7">
        <f t="shared" si="59"/>
        <v>0</v>
      </c>
      <c r="I554" s="7">
        <f t="shared" si="59"/>
        <v>1</v>
      </c>
      <c r="J554" s="7">
        <f t="shared" si="59"/>
        <v>0</v>
      </c>
      <c r="K554" s="7">
        <f t="shared" si="59"/>
        <v>0</v>
      </c>
      <c r="L554" s="6"/>
    </row>
    <row r="555" spans="1:12" outlineLevel="1" x14ac:dyDescent="0.25">
      <c r="A555" s="21">
        <f>A552+0.0001</f>
        <v>6.3035999999999914</v>
      </c>
      <c r="B555" s="5" t="s">
        <v>539</v>
      </c>
      <c r="C555" s="22" t="s">
        <v>540</v>
      </c>
      <c r="D555" s="6"/>
      <c r="E555" s="5"/>
      <c r="F555" s="7"/>
      <c r="G555" s="7">
        <f t="shared" si="59"/>
        <v>0</v>
      </c>
      <c r="H555" s="7">
        <f t="shared" si="59"/>
        <v>0</v>
      </c>
      <c r="I555" s="7">
        <f t="shared" si="59"/>
        <v>1</v>
      </c>
      <c r="J555" s="7">
        <f t="shared" si="59"/>
        <v>0</v>
      </c>
      <c r="K555" s="7">
        <f t="shared" si="59"/>
        <v>0</v>
      </c>
      <c r="L555" s="6"/>
    </row>
    <row r="556" spans="1:12" outlineLevel="1" x14ac:dyDescent="0.25">
      <c r="A556" s="21">
        <f>A553+0.0001</f>
        <v>6.3036999999999912</v>
      </c>
      <c r="B556" s="5" t="s">
        <v>541</v>
      </c>
      <c r="C556" s="22" t="s">
        <v>548</v>
      </c>
      <c r="D556" s="6"/>
      <c r="E556" s="5"/>
      <c r="F556" s="7"/>
      <c r="G556" s="7">
        <f t="shared" si="59"/>
        <v>0</v>
      </c>
      <c r="H556" s="7">
        <f t="shared" si="59"/>
        <v>0</v>
      </c>
      <c r="I556" s="7">
        <f t="shared" si="59"/>
        <v>1</v>
      </c>
      <c r="J556" s="7">
        <f t="shared" si="59"/>
        <v>0</v>
      </c>
      <c r="K556" s="7">
        <f t="shared" si="59"/>
        <v>0</v>
      </c>
      <c r="L556" s="6"/>
    </row>
    <row r="557" spans="1:12" s="19" customFormat="1" x14ac:dyDescent="0.25">
      <c r="A557" s="83">
        <v>6.4</v>
      </c>
      <c r="B557" s="93" t="s">
        <v>379</v>
      </c>
      <c r="C557" s="84"/>
      <c r="D557" s="85"/>
      <c r="E557" s="85"/>
      <c r="F557" s="86"/>
      <c r="G557" s="86"/>
      <c r="H557" s="86"/>
      <c r="I557" s="86"/>
      <c r="J557" s="86"/>
      <c r="K557" s="86"/>
      <c r="L557" s="85"/>
    </row>
    <row r="558" spans="1:12" outlineLevel="1" x14ac:dyDescent="0.25">
      <c r="A558" s="21">
        <f>A557+0.0001</f>
        <v>6.4001000000000001</v>
      </c>
      <c r="B558" s="63" t="s">
        <v>457</v>
      </c>
      <c r="C558" s="22" t="s">
        <v>405</v>
      </c>
      <c r="D558" s="6"/>
      <c r="E558" s="5"/>
      <c r="F558" s="7"/>
      <c r="G558" s="7">
        <f t="shared" ref="G558:K580" si="61">IF($F558=G$1,1,0)</f>
        <v>0</v>
      </c>
      <c r="H558" s="7">
        <f t="shared" si="61"/>
        <v>0</v>
      </c>
      <c r="I558" s="7">
        <f t="shared" si="61"/>
        <v>1</v>
      </c>
      <c r="J558" s="7">
        <f t="shared" si="61"/>
        <v>0</v>
      </c>
      <c r="K558" s="7">
        <f t="shared" si="61"/>
        <v>0</v>
      </c>
      <c r="L558" s="6"/>
    </row>
    <row r="559" spans="1:12" outlineLevel="1" x14ac:dyDescent="0.25">
      <c r="A559" s="21">
        <f t="shared" ref="A559:A584" si="62">A558+0.0001</f>
        <v>6.4001999999999999</v>
      </c>
      <c r="B559" s="5" t="s">
        <v>346</v>
      </c>
      <c r="C559" s="22" t="s">
        <v>380</v>
      </c>
      <c r="D559" s="6"/>
      <c r="E559" s="5"/>
      <c r="F559" s="7"/>
      <c r="G559" s="7">
        <f t="shared" si="61"/>
        <v>0</v>
      </c>
      <c r="H559" s="7">
        <f t="shared" si="61"/>
        <v>0</v>
      </c>
      <c r="I559" s="7">
        <f t="shared" si="61"/>
        <v>1</v>
      </c>
      <c r="J559" s="7">
        <f t="shared" si="61"/>
        <v>0</v>
      </c>
      <c r="K559" s="7">
        <f t="shared" si="61"/>
        <v>0</v>
      </c>
      <c r="L559" s="6"/>
    </row>
    <row r="560" spans="1:12" outlineLevel="1" x14ac:dyDescent="0.25">
      <c r="A560" s="21">
        <f t="shared" si="62"/>
        <v>6.4002999999999997</v>
      </c>
      <c r="B560" s="5" t="s">
        <v>344</v>
      </c>
      <c r="C560" s="22" t="s">
        <v>381</v>
      </c>
      <c r="D560" s="6"/>
      <c r="E560" s="5"/>
      <c r="F560" s="7"/>
      <c r="G560" s="7">
        <f t="shared" si="61"/>
        <v>0</v>
      </c>
      <c r="H560" s="7">
        <f t="shared" si="61"/>
        <v>0</v>
      </c>
      <c r="I560" s="7">
        <f t="shared" si="61"/>
        <v>1</v>
      </c>
      <c r="J560" s="7">
        <f t="shared" si="61"/>
        <v>0</v>
      </c>
      <c r="K560" s="7">
        <f t="shared" si="61"/>
        <v>0</v>
      </c>
      <c r="L560" s="6"/>
    </row>
    <row r="561" spans="1:12" outlineLevel="1" x14ac:dyDescent="0.25">
      <c r="A561" s="21">
        <f t="shared" si="62"/>
        <v>6.4003999999999994</v>
      </c>
      <c r="B561" s="5" t="s">
        <v>382</v>
      </c>
      <c r="C561" s="22" t="s">
        <v>383</v>
      </c>
      <c r="D561" s="6"/>
      <c r="E561" s="5"/>
      <c r="F561" s="7"/>
      <c r="G561" s="7">
        <f t="shared" si="61"/>
        <v>0</v>
      </c>
      <c r="H561" s="7">
        <f t="shared" si="61"/>
        <v>0</v>
      </c>
      <c r="I561" s="7">
        <f t="shared" si="61"/>
        <v>1</v>
      </c>
      <c r="J561" s="7">
        <f t="shared" si="61"/>
        <v>0</v>
      </c>
      <c r="K561" s="7">
        <f t="shared" si="61"/>
        <v>0</v>
      </c>
      <c r="L561" s="6"/>
    </row>
    <row r="562" spans="1:12" outlineLevel="1" x14ac:dyDescent="0.25">
      <c r="A562" s="21">
        <f t="shared" si="62"/>
        <v>6.4004999999999992</v>
      </c>
      <c r="B562" s="5" t="s">
        <v>348</v>
      </c>
      <c r="C562" s="22" t="s">
        <v>384</v>
      </c>
      <c r="D562" s="6"/>
      <c r="E562" s="5"/>
      <c r="F562" s="7"/>
      <c r="G562" s="7">
        <f t="shared" si="61"/>
        <v>0</v>
      </c>
      <c r="H562" s="7">
        <f t="shared" si="61"/>
        <v>0</v>
      </c>
      <c r="I562" s="7">
        <f t="shared" si="61"/>
        <v>1</v>
      </c>
      <c r="J562" s="7">
        <f t="shared" si="61"/>
        <v>0</v>
      </c>
      <c r="K562" s="7">
        <f t="shared" si="61"/>
        <v>0</v>
      </c>
      <c r="L562" s="6"/>
    </row>
    <row r="563" spans="1:12" outlineLevel="1" x14ac:dyDescent="0.25">
      <c r="A563" s="21">
        <f t="shared" si="62"/>
        <v>6.400599999999999</v>
      </c>
      <c r="B563" s="5" t="s">
        <v>348</v>
      </c>
      <c r="C563" s="22" t="s">
        <v>349</v>
      </c>
      <c r="D563" s="6"/>
      <c r="E563" s="5"/>
      <c r="F563" s="7"/>
      <c r="G563" s="7">
        <f t="shared" si="61"/>
        <v>0</v>
      </c>
      <c r="H563" s="7">
        <f t="shared" si="61"/>
        <v>0</v>
      </c>
      <c r="I563" s="7">
        <f t="shared" si="61"/>
        <v>1</v>
      </c>
      <c r="J563" s="7">
        <f t="shared" si="61"/>
        <v>0</v>
      </c>
      <c r="K563" s="7">
        <f t="shared" si="61"/>
        <v>0</v>
      </c>
      <c r="L563" s="6"/>
    </row>
    <row r="564" spans="1:12" outlineLevel="1" x14ac:dyDescent="0.25">
      <c r="A564" s="21">
        <f t="shared" si="62"/>
        <v>6.4006999999999987</v>
      </c>
      <c r="B564" s="5" t="s">
        <v>348</v>
      </c>
      <c r="C564" s="22" t="s">
        <v>385</v>
      </c>
      <c r="D564" s="6"/>
      <c r="E564" s="5"/>
      <c r="F564" s="7"/>
      <c r="G564" s="7">
        <f t="shared" si="61"/>
        <v>0</v>
      </c>
      <c r="H564" s="7">
        <f t="shared" si="61"/>
        <v>0</v>
      </c>
      <c r="I564" s="7">
        <f t="shared" si="61"/>
        <v>1</v>
      </c>
      <c r="J564" s="7">
        <f t="shared" si="61"/>
        <v>0</v>
      </c>
      <c r="K564" s="7">
        <f t="shared" si="61"/>
        <v>0</v>
      </c>
      <c r="L564" s="6"/>
    </row>
    <row r="565" spans="1:12" outlineLevel="1" x14ac:dyDescent="0.25">
      <c r="A565" s="21">
        <f t="shared" si="62"/>
        <v>6.4007999999999985</v>
      </c>
      <c r="B565" s="63" t="s">
        <v>393</v>
      </c>
      <c r="C565" s="22"/>
      <c r="D565" s="6"/>
      <c r="E565" s="5"/>
      <c r="F565" s="7"/>
      <c r="G565" s="7">
        <f t="shared" si="61"/>
        <v>0</v>
      </c>
      <c r="H565" s="7">
        <f t="shared" si="61"/>
        <v>0</v>
      </c>
      <c r="I565" s="7">
        <f t="shared" si="61"/>
        <v>1</v>
      </c>
      <c r="J565" s="7">
        <f t="shared" si="61"/>
        <v>0</v>
      </c>
      <c r="K565" s="7">
        <f t="shared" si="61"/>
        <v>0</v>
      </c>
      <c r="L565" s="6"/>
    </row>
    <row r="566" spans="1:12" ht="38.25" outlineLevel="1" x14ac:dyDescent="0.25">
      <c r="A566" s="21">
        <f t="shared" si="62"/>
        <v>6.4008999999999983</v>
      </c>
      <c r="B566" s="66" t="s">
        <v>394</v>
      </c>
      <c r="C566" s="22" t="s">
        <v>519</v>
      </c>
      <c r="D566" s="6"/>
      <c r="E566" s="5"/>
      <c r="F566" s="7"/>
      <c r="G566" s="7">
        <f t="shared" si="61"/>
        <v>0</v>
      </c>
      <c r="H566" s="7">
        <f t="shared" si="61"/>
        <v>0</v>
      </c>
      <c r="I566" s="7">
        <f t="shared" si="61"/>
        <v>1</v>
      </c>
      <c r="J566" s="7">
        <f t="shared" si="61"/>
        <v>0</v>
      </c>
      <c r="K566" s="7">
        <f t="shared" si="61"/>
        <v>0</v>
      </c>
      <c r="L566" s="6"/>
    </row>
    <row r="567" spans="1:12" ht="51" outlineLevel="1" x14ac:dyDescent="0.25">
      <c r="A567" s="21">
        <f t="shared" si="62"/>
        <v>6.400999999999998</v>
      </c>
      <c r="B567" s="66" t="s">
        <v>395</v>
      </c>
      <c r="C567" s="22" t="s">
        <v>511</v>
      </c>
      <c r="D567" s="6"/>
      <c r="E567" s="5"/>
      <c r="F567" s="7"/>
      <c r="G567" s="7">
        <f t="shared" si="61"/>
        <v>0</v>
      </c>
      <c r="H567" s="7">
        <f t="shared" si="61"/>
        <v>0</v>
      </c>
      <c r="I567" s="7">
        <f t="shared" si="61"/>
        <v>1</v>
      </c>
      <c r="J567" s="7">
        <f t="shared" si="61"/>
        <v>0</v>
      </c>
      <c r="K567" s="7">
        <f t="shared" si="61"/>
        <v>0</v>
      </c>
      <c r="L567" s="6"/>
    </row>
    <row r="568" spans="1:12" outlineLevel="1" x14ac:dyDescent="0.25">
      <c r="A568" s="21">
        <f t="shared" si="62"/>
        <v>6.4010999999999978</v>
      </c>
      <c r="B568" s="63" t="s">
        <v>396</v>
      </c>
      <c r="C568" s="22" t="s">
        <v>397</v>
      </c>
      <c r="D568" s="6"/>
      <c r="E568" s="5"/>
      <c r="F568" s="7"/>
      <c r="G568" s="7">
        <f t="shared" si="61"/>
        <v>0</v>
      </c>
      <c r="H568" s="7">
        <f t="shared" si="61"/>
        <v>0</v>
      </c>
      <c r="I568" s="7">
        <f t="shared" si="61"/>
        <v>1</v>
      </c>
      <c r="J568" s="7">
        <f t="shared" si="61"/>
        <v>0</v>
      </c>
      <c r="K568" s="7">
        <f t="shared" si="61"/>
        <v>0</v>
      </c>
      <c r="L568" s="6"/>
    </row>
    <row r="569" spans="1:12" ht="38.25" outlineLevel="1" x14ac:dyDescent="0.25">
      <c r="A569" s="21">
        <f t="shared" si="62"/>
        <v>6.4011999999999976</v>
      </c>
      <c r="B569" s="67" t="s">
        <v>398</v>
      </c>
      <c r="C569" s="22" t="s">
        <v>463</v>
      </c>
      <c r="D569" s="6"/>
      <c r="E569" s="5"/>
      <c r="F569" s="7" t="s">
        <v>520</v>
      </c>
      <c r="G569" s="7">
        <f t="shared" si="61"/>
        <v>0</v>
      </c>
      <c r="H569" s="7">
        <f t="shared" si="61"/>
        <v>0</v>
      </c>
      <c r="I569" s="7">
        <f t="shared" si="61"/>
        <v>0</v>
      </c>
      <c r="J569" s="7">
        <f t="shared" si="61"/>
        <v>1</v>
      </c>
      <c r="K569" s="7">
        <f t="shared" si="61"/>
        <v>0</v>
      </c>
      <c r="L569" s="6"/>
    </row>
    <row r="570" spans="1:12" outlineLevel="1" x14ac:dyDescent="0.25">
      <c r="A570" s="21">
        <f t="shared" si="62"/>
        <v>6.4012999999999973</v>
      </c>
      <c r="B570" s="67" t="s">
        <v>399</v>
      </c>
      <c r="C570" s="22"/>
      <c r="D570" s="6"/>
      <c r="E570" s="5"/>
      <c r="F570" s="7" t="s">
        <v>520</v>
      </c>
      <c r="G570" s="7">
        <f t="shared" si="61"/>
        <v>0</v>
      </c>
      <c r="H570" s="7">
        <f t="shared" si="61"/>
        <v>0</v>
      </c>
      <c r="I570" s="7">
        <f t="shared" si="61"/>
        <v>0</v>
      </c>
      <c r="J570" s="7">
        <f t="shared" si="61"/>
        <v>1</v>
      </c>
      <c r="K570" s="7">
        <f t="shared" si="61"/>
        <v>0</v>
      </c>
      <c r="L570" s="6"/>
    </row>
    <row r="571" spans="1:12" outlineLevel="1" x14ac:dyDescent="0.25">
      <c r="A571" s="21">
        <f t="shared" si="62"/>
        <v>6.4013999999999971</v>
      </c>
      <c r="B571" s="67" t="s">
        <v>400</v>
      </c>
      <c r="C571" s="22" t="s">
        <v>547</v>
      </c>
      <c r="D571" s="6"/>
      <c r="E571" s="5"/>
      <c r="F571" s="7"/>
      <c r="G571" s="7">
        <f t="shared" si="61"/>
        <v>0</v>
      </c>
      <c r="H571" s="7">
        <f t="shared" si="61"/>
        <v>0</v>
      </c>
      <c r="I571" s="7">
        <f t="shared" si="61"/>
        <v>1</v>
      </c>
      <c r="J571" s="7">
        <f t="shared" si="61"/>
        <v>0</v>
      </c>
      <c r="K571" s="7">
        <f t="shared" si="61"/>
        <v>0</v>
      </c>
      <c r="L571" s="6"/>
    </row>
    <row r="572" spans="1:12" outlineLevel="1" x14ac:dyDescent="0.25">
      <c r="A572" s="21">
        <f t="shared" si="62"/>
        <v>6.4014999999999969</v>
      </c>
      <c r="B572" s="67" t="s">
        <v>401</v>
      </c>
      <c r="C572" s="22" t="s">
        <v>402</v>
      </c>
      <c r="D572" s="6"/>
      <c r="E572" s="5"/>
      <c r="F572" s="7"/>
      <c r="G572" s="7">
        <f t="shared" si="61"/>
        <v>0</v>
      </c>
      <c r="H572" s="7">
        <f t="shared" si="61"/>
        <v>0</v>
      </c>
      <c r="I572" s="7">
        <f t="shared" si="61"/>
        <v>1</v>
      </c>
      <c r="J572" s="7">
        <f t="shared" si="61"/>
        <v>0</v>
      </c>
      <c r="K572" s="7">
        <f t="shared" si="61"/>
        <v>0</v>
      </c>
      <c r="L572" s="6"/>
    </row>
    <row r="573" spans="1:12" outlineLevel="1" x14ac:dyDescent="0.25">
      <c r="A573" s="21">
        <f t="shared" si="62"/>
        <v>6.4015999999999966</v>
      </c>
      <c r="B573" s="63" t="s">
        <v>403</v>
      </c>
      <c r="C573" s="22" t="s">
        <v>405</v>
      </c>
      <c r="D573" s="6"/>
      <c r="E573" s="5"/>
      <c r="F573" s="7"/>
      <c r="G573" s="7">
        <f t="shared" si="61"/>
        <v>0</v>
      </c>
      <c r="H573" s="7">
        <f t="shared" si="61"/>
        <v>0</v>
      </c>
      <c r="I573" s="7">
        <f t="shared" si="61"/>
        <v>1</v>
      </c>
      <c r="J573" s="7">
        <f t="shared" si="61"/>
        <v>0</v>
      </c>
      <c r="K573" s="7">
        <f t="shared" si="61"/>
        <v>0</v>
      </c>
      <c r="L573" s="6"/>
    </row>
    <row r="574" spans="1:12" ht="76.5" outlineLevel="1" x14ac:dyDescent="0.25">
      <c r="A574" s="21">
        <f t="shared" si="62"/>
        <v>6.4016999999999964</v>
      </c>
      <c r="B574" s="5" t="s">
        <v>404</v>
      </c>
      <c r="C574" s="22" t="s">
        <v>420</v>
      </c>
      <c r="D574" s="6"/>
      <c r="E574" s="5"/>
      <c r="F574" s="7"/>
      <c r="G574" s="7">
        <f t="shared" si="61"/>
        <v>0</v>
      </c>
      <c r="H574" s="7">
        <f t="shared" si="61"/>
        <v>0</v>
      </c>
      <c r="I574" s="7">
        <f t="shared" si="61"/>
        <v>1</v>
      </c>
      <c r="J574" s="7">
        <f t="shared" si="61"/>
        <v>0</v>
      </c>
      <c r="K574" s="7">
        <f t="shared" si="61"/>
        <v>0</v>
      </c>
      <c r="L574" s="6"/>
    </row>
    <row r="575" spans="1:12" outlineLevel="1" x14ac:dyDescent="0.25">
      <c r="A575" s="21">
        <f t="shared" si="62"/>
        <v>6.4017999999999962</v>
      </c>
      <c r="B575" s="5" t="s">
        <v>348</v>
      </c>
      <c r="C575" s="22" t="s">
        <v>406</v>
      </c>
      <c r="D575" s="6"/>
      <c r="E575" s="5"/>
      <c r="F575" s="7"/>
      <c r="G575" s="7">
        <f t="shared" si="61"/>
        <v>0</v>
      </c>
      <c r="H575" s="7">
        <f t="shared" si="61"/>
        <v>0</v>
      </c>
      <c r="I575" s="7">
        <f t="shared" si="61"/>
        <v>1</v>
      </c>
      <c r="J575" s="7">
        <f t="shared" si="61"/>
        <v>0</v>
      </c>
      <c r="K575" s="7">
        <f t="shared" si="61"/>
        <v>0</v>
      </c>
      <c r="L575" s="6"/>
    </row>
    <row r="576" spans="1:12" outlineLevel="1" x14ac:dyDescent="0.25">
      <c r="A576" s="21">
        <f t="shared" si="62"/>
        <v>6.4018999999999959</v>
      </c>
      <c r="B576" s="5" t="s">
        <v>348</v>
      </c>
      <c r="C576" s="22" t="s">
        <v>407</v>
      </c>
      <c r="D576" s="6"/>
      <c r="E576" s="5"/>
      <c r="F576" s="7"/>
      <c r="G576" s="7">
        <f t="shared" si="61"/>
        <v>0</v>
      </c>
      <c r="H576" s="7">
        <f t="shared" si="61"/>
        <v>0</v>
      </c>
      <c r="I576" s="7">
        <f t="shared" si="61"/>
        <v>1</v>
      </c>
      <c r="J576" s="7">
        <f t="shared" si="61"/>
        <v>0</v>
      </c>
      <c r="K576" s="7">
        <f t="shared" si="61"/>
        <v>0</v>
      </c>
      <c r="L576" s="6"/>
    </row>
    <row r="577" spans="1:12" outlineLevel="1" x14ac:dyDescent="0.25">
      <c r="A577" s="21">
        <f t="shared" si="62"/>
        <v>6.4019999999999957</v>
      </c>
      <c r="B577" s="5" t="s">
        <v>348</v>
      </c>
      <c r="C577" s="22" t="s">
        <v>408</v>
      </c>
      <c r="D577" s="6"/>
      <c r="E577" s="5"/>
      <c r="F577" s="7"/>
      <c r="G577" s="7">
        <f t="shared" si="61"/>
        <v>0</v>
      </c>
      <c r="H577" s="7">
        <f t="shared" si="61"/>
        <v>0</v>
      </c>
      <c r="I577" s="7">
        <f t="shared" si="61"/>
        <v>1</v>
      </c>
      <c r="J577" s="7">
        <f t="shared" si="61"/>
        <v>0</v>
      </c>
      <c r="K577" s="7">
        <f t="shared" si="61"/>
        <v>0</v>
      </c>
      <c r="L577" s="6"/>
    </row>
    <row r="578" spans="1:12" outlineLevel="1" x14ac:dyDescent="0.25">
      <c r="A578" s="21">
        <f t="shared" si="62"/>
        <v>6.4020999999999955</v>
      </c>
      <c r="B578" s="5" t="s">
        <v>521</v>
      </c>
      <c r="C578" s="22" t="s">
        <v>522</v>
      </c>
      <c r="D578" s="6"/>
      <c r="E578" s="5"/>
      <c r="F578" s="7"/>
      <c r="G578" s="7">
        <f t="shared" si="61"/>
        <v>0</v>
      </c>
      <c r="H578" s="7">
        <f t="shared" si="61"/>
        <v>0</v>
      </c>
      <c r="I578" s="7">
        <f t="shared" si="61"/>
        <v>1</v>
      </c>
      <c r="J578" s="7">
        <f t="shared" si="61"/>
        <v>0</v>
      </c>
      <c r="K578" s="7">
        <f t="shared" si="61"/>
        <v>0</v>
      </c>
      <c r="L578" s="6"/>
    </row>
    <row r="579" spans="1:12" outlineLevel="1" x14ac:dyDescent="0.25">
      <c r="A579" s="21">
        <f t="shared" si="62"/>
        <v>6.4021999999999952</v>
      </c>
      <c r="B579" s="5" t="s">
        <v>523</v>
      </c>
      <c r="C579" s="22" t="s">
        <v>524</v>
      </c>
      <c r="D579" s="6"/>
      <c r="E579" s="5"/>
      <c r="F579" s="7"/>
      <c r="G579" s="7">
        <f t="shared" si="61"/>
        <v>0</v>
      </c>
      <c r="H579" s="7">
        <f t="shared" si="61"/>
        <v>0</v>
      </c>
      <c r="I579" s="7">
        <f t="shared" si="61"/>
        <v>1</v>
      </c>
      <c r="J579" s="7">
        <f t="shared" si="61"/>
        <v>0</v>
      </c>
      <c r="K579" s="7">
        <f t="shared" si="61"/>
        <v>0</v>
      </c>
      <c r="L579" s="6"/>
    </row>
    <row r="580" spans="1:12" outlineLevel="1" x14ac:dyDescent="0.25">
      <c r="A580" s="21">
        <f t="shared" si="62"/>
        <v>6.402299999999995</v>
      </c>
      <c r="B580" s="24" t="s">
        <v>348</v>
      </c>
      <c r="C580" s="22" t="s">
        <v>385</v>
      </c>
      <c r="D580" s="6"/>
      <c r="E580" s="5"/>
      <c r="F580" s="7"/>
      <c r="G580" s="7">
        <f t="shared" si="61"/>
        <v>0</v>
      </c>
      <c r="H580" s="7">
        <f t="shared" si="61"/>
        <v>0</v>
      </c>
      <c r="I580" s="7">
        <f t="shared" si="61"/>
        <v>1</v>
      </c>
      <c r="J580" s="7">
        <f t="shared" si="61"/>
        <v>0</v>
      </c>
      <c r="K580" s="7">
        <f t="shared" si="61"/>
        <v>0</v>
      </c>
      <c r="L580" s="6"/>
    </row>
    <row r="581" spans="1:12" outlineLevel="1" x14ac:dyDescent="0.25">
      <c r="A581" s="21">
        <f t="shared" si="62"/>
        <v>6.4023999999999948</v>
      </c>
      <c r="B581" s="26" t="s">
        <v>486</v>
      </c>
      <c r="C581" s="22" t="s">
        <v>487</v>
      </c>
      <c r="D581" s="6"/>
      <c r="E581" s="5"/>
      <c r="F581" s="7"/>
      <c r="G581" s="7">
        <f t="shared" ref="G581:K584" si="63">IF($F581=G$1,1,0)</f>
        <v>0</v>
      </c>
      <c r="H581" s="7">
        <f t="shared" si="63"/>
        <v>0</v>
      </c>
      <c r="I581" s="7">
        <f t="shared" si="63"/>
        <v>1</v>
      </c>
      <c r="J581" s="7">
        <f t="shared" si="63"/>
        <v>0</v>
      </c>
      <c r="K581" s="7">
        <f t="shared" si="63"/>
        <v>0</v>
      </c>
      <c r="L581" s="6"/>
    </row>
    <row r="582" spans="1:12" outlineLevel="1" x14ac:dyDescent="0.25">
      <c r="A582" s="21">
        <f t="shared" si="62"/>
        <v>6.4024999999999945</v>
      </c>
      <c r="B582" s="5" t="s">
        <v>482</v>
      </c>
      <c r="C582" s="22" t="s">
        <v>488</v>
      </c>
      <c r="D582" s="6"/>
      <c r="E582" s="5"/>
      <c r="F582" s="7"/>
      <c r="G582" s="7">
        <f t="shared" si="63"/>
        <v>0</v>
      </c>
      <c r="H582" s="7">
        <f t="shared" si="63"/>
        <v>0</v>
      </c>
      <c r="I582" s="7">
        <f t="shared" si="63"/>
        <v>1</v>
      </c>
      <c r="J582" s="7">
        <f t="shared" si="63"/>
        <v>0</v>
      </c>
      <c r="K582" s="7">
        <f t="shared" si="63"/>
        <v>0</v>
      </c>
      <c r="L582" s="6"/>
    </row>
    <row r="583" spans="1:12" outlineLevel="1" x14ac:dyDescent="0.25">
      <c r="A583" s="21">
        <f t="shared" si="62"/>
        <v>6.4025999999999943</v>
      </c>
      <c r="B583" s="5" t="s">
        <v>489</v>
      </c>
      <c r="C583" s="22" t="s">
        <v>490</v>
      </c>
      <c r="D583" s="6"/>
      <c r="E583" s="5"/>
      <c r="F583" s="7"/>
      <c r="G583" s="7">
        <f t="shared" si="63"/>
        <v>0</v>
      </c>
      <c r="H583" s="7">
        <f t="shared" si="63"/>
        <v>0</v>
      </c>
      <c r="I583" s="7">
        <f t="shared" si="63"/>
        <v>1</v>
      </c>
      <c r="J583" s="7">
        <f t="shared" si="63"/>
        <v>0</v>
      </c>
      <c r="K583" s="7">
        <f t="shared" si="63"/>
        <v>0</v>
      </c>
      <c r="L583" s="6"/>
    </row>
    <row r="584" spans="1:12" outlineLevel="1" x14ac:dyDescent="0.25">
      <c r="A584" s="21">
        <f t="shared" si="62"/>
        <v>6.4026999999999941</v>
      </c>
      <c r="B584" s="5" t="s">
        <v>491</v>
      </c>
      <c r="C584" s="22"/>
      <c r="D584" s="6"/>
      <c r="E584" s="5"/>
      <c r="F584" s="7"/>
      <c r="G584" s="7">
        <f t="shared" si="63"/>
        <v>0</v>
      </c>
      <c r="H584" s="7">
        <f t="shared" si="63"/>
        <v>0</v>
      </c>
      <c r="I584" s="7">
        <f t="shared" si="63"/>
        <v>1</v>
      </c>
      <c r="J584" s="7">
        <f t="shared" si="63"/>
        <v>0</v>
      </c>
      <c r="K584" s="7">
        <f t="shared" si="63"/>
        <v>0</v>
      </c>
      <c r="L584" s="6"/>
    </row>
    <row r="585" spans="1:12" s="19" customFormat="1" x14ac:dyDescent="0.25">
      <c r="A585" s="78">
        <v>6.5</v>
      </c>
      <c r="B585" s="79" t="s">
        <v>507</v>
      </c>
      <c r="C585" s="80"/>
      <c r="D585" s="81"/>
      <c r="E585" s="81"/>
      <c r="F585" s="82"/>
      <c r="G585" s="82"/>
      <c r="H585" s="82"/>
      <c r="I585" s="82"/>
      <c r="J585" s="82"/>
      <c r="K585" s="82"/>
      <c r="L585" s="81"/>
    </row>
    <row r="586" spans="1:12" outlineLevel="1" x14ac:dyDescent="0.25">
      <c r="A586" s="21">
        <f>A585+0.0001</f>
        <v>6.5000999999999998</v>
      </c>
      <c r="B586" s="5" t="s">
        <v>343</v>
      </c>
      <c r="C586" s="22" t="s">
        <v>492</v>
      </c>
      <c r="D586" s="6"/>
      <c r="E586" s="5"/>
      <c r="F586" s="7"/>
      <c r="G586" s="7">
        <f t="shared" ref="G586:K588" si="64">IF($F586=G$1,1,0)</f>
        <v>0</v>
      </c>
      <c r="H586" s="7">
        <f t="shared" si="64"/>
        <v>0</v>
      </c>
      <c r="I586" s="7">
        <f t="shared" si="64"/>
        <v>1</v>
      </c>
      <c r="J586" s="7">
        <f t="shared" si="64"/>
        <v>0</v>
      </c>
      <c r="K586" s="7">
        <f t="shared" si="64"/>
        <v>0</v>
      </c>
      <c r="L586" s="6"/>
    </row>
    <row r="587" spans="1:12" outlineLevel="1" x14ac:dyDescent="0.25">
      <c r="A587" s="21">
        <f>A586+0.0001</f>
        <v>6.5001999999999995</v>
      </c>
      <c r="B587" s="5"/>
      <c r="C587" s="22" t="s">
        <v>493</v>
      </c>
      <c r="D587" s="6"/>
      <c r="E587" s="5"/>
      <c r="F587" s="7"/>
      <c r="G587" s="7">
        <f t="shared" si="64"/>
        <v>0</v>
      </c>
      <c r="H587" s="7">
        <f t="shared" si="64"/>
        <v>0</v>
      </c>
      <c r="I587" s="7">
        <f t="shared" si="64"/>
        <v>1</v>
      </c>
      <c r="J587" s="7">
        <f t="shared" si="64"/>
        <v>0</v>
      </c>
      <c r="K587" s="7">
        <f t="shared" si="64"/>
        <v>0</v>
      </c>
      <c r="L587" s="6"/>
    </row>
    <row r="588" spans="1:12" outlineLevel="1" x14ac:dyDescent="0.25">
      <c r="A588" s="21">
        <f>A587+0.0001</f>
        <v>6.5002999999999993</v>
      </c>
      <c r="B588" s="5" t="s">
        <v>482</v>
      </c>
      <c r="C588" s="22" t="s">
        <v>494</v>
      </c>
      <c r="D588" s="6"/>
      <c r="E588" s="5"/>
      <c r="F588" s="7"/>
      <c r="G588" s="7">
        <f t="shared" si="64"/>
        <v>0</v>
      </c>
      <c r="H588" s="7">
        <f t="shared" si="64"/>
        <v>0</v>
      </c>
      <c r="I588" s="7">
        <f t="shared" si="64"/>
        <v>1</v>
      </c>
      <c r="J588" s="7">
        <f t="shared" si="64"/>
        <v>0</v>
      </c>
      <c r="K588" s="7">
        <f t="shared" si="64"/>
        <v>0</v>
      </c>
      <c r="L588" s="6"/>
    </row>
    <row r="589" spans="1:12" s="19" customFormat="1" x14ac:dyDescent="0.25">
      <c r="A589" s="15">
        <v>7</v>
      </c>
      <c r="B589" s="71" t="s">
        <v>550</v>
      </c>
      <c r="C589" s="35"/>
      <c r="D589" s="36"/>
      <c r="E589" s="36"/>
      <c r="F589" s="37"/>
      <c r="G589" s="37"/>
      <c r="H589" s="37"/>
      <c r="I589" s="37"/>
      <c r="J589" s="37"/>
      <c r="K589" s="37"/>
      <c r="L589" s="36"/>
    </row>
    <row r="590" spans="1:12" outlineLevel="1" x14ac:dyDescent="0.25">
      <c r="A590" s="4">
        <f t="shared" ref="A590:A597" si="65">A589+0.0001</f>
        <v>7.0000999999999998</v>
      </c>
      <c r="B590" s="72" t="s">
        <v>18</v>
      </c>
      <c r="C590" s="22" t="s">
        <v>39</v>
      </c>
      <c r="D590" s="6"/>
      <c r="E590" s="5"/>
      <c r="F590" s="7"/>
      <c r="G590" s="7">
        <f t="shared" ref="G590:K597" si="66">IF($F590=G$1,1,0)</f>
        <v>0</v>
      </c>
      <c r="H590" s="7">
        <f t="shared" si="66"/>
        <v>0</v>
      </c>
      <c r="I590" s="7">
        <f t="shared" si="66"/>
        <v>1</v>
      </c>
      <c r="J590" s="7">
        <f t="shared" si="66"/>
        <v>0</v>
      </c>
      <c r="K590" s="7">
        <f t="shared" si="66"/>
        <v>0</v>
      </c>
      <c r="L590" s="6"/>
    </row>
    <row r="591" spans="1:12" outlineLevel="1" x14ac:dyDescent="0.25">
      <c r="A591" s="4">
        <f t="shared" si="65"/>
        <v>7.0001999999999995</v>
      </c>
      <c r="B591" s="53" t="s">
        <v>40</v>
      </c>
      <c r="C591" s="22" t="s">
        <v>19</v>
      </c>
      <c r="D591" s="6"/>
      <c r="E591" s="5"/>
      <c r="F591" s="7"/>
      <c r="G591" s="7">
        <f t="shared" si="66"/>
        <v>0</v>
      </c>
      <c r="H591" s="7">
        <f t="shared" si="66"/>
        <v>0</v>
      </c>
      <c r="I591" s="7">
        <f t="shared" si="66"/>
        <v>1</v>
      </c>
      <c r="J591" s="7">
        <f t="shared" si="66"/>
        <v>0</v>
      </c>
      <c r="K591" s="7">
        <f t="shared" si="66"/>
        <v>0</v>
      </c>
      <c r="L591" s="6"/>
    </row>
    <row r="592" spans="1:12" outlineLevel="1" x14ac:dyDescent="0.25">
      <c r="A592" s="4">
        <f t="shared" si="65"/>
        <v>7.0002999999999993</v>
      </c>
      <c r="B592" s="53" t="s">
        <v>41</v>
      </c>
      <c r="C592" s="22"/>
      <c r="D592" s="6"/>
      <c r="E592" s="5"/>
      <c r="F592" s="7"/>
      <c r="G592" s="7">
        <f t="shared" si="66"/>
        <v>0</v>
      </c>
      <c r="H592" s="7">
        <f t="shared" si="66"/>
        <v>0</v>
      </c>
      <c r="I592" s="7">
        <f t="shared" si="66"/>
        <v>1</v>
      </c>
      <c r="J592" s="7">
        <f t="shared" si="66"/>
        <v>0</v>
      </c>
      <c r="K592" s="7">
        <f t="shared" si="66"/>
        <v>0</v>
      </c>
      <c r="L592" s="6"/>
    </row>
    <row r="593" spans="1:12" ht="25.5" outlineLevel="1" x14ac:dyDescent="0.25">
      <c r="A593" s="4">
        <f t="shared" si="65"/>
        <v>7.0003999999999991</v>
      </c>
      <c r="B593" s="31" t="s">
        <v>424</v>
      </c>
      <c r="C593" s="23" t="s">
        <v>42</v>
      </c>
      <c r="D593" s="6"/>
      <c r="E593" s="6"/>
      <c r="F593" s="7"/>
      <c r="G593" s="7">
        <f t="shared" si="66"/>
        <v>0</v>
      </c>
      <c r="H593" s="7">
        <f t="shared" si="66"/>
        <v>0</v>
      </c>
      <c r="I593" s="7">
        <f t="shared" si="66"/>
        <v>1</v>
      </c>
      <c r="J593" s="7">
        <f t="shared" si="66"/>
        <v>0</v>
      </c>
      <c r="K593" s="7">
        <f t="shared" si="66"/>
        <v>0</v>
      </c>
      <c r="L593" s="6"/>
    </row>
    <row r="594" spans="1:12" ht="25.5" outlineLevel="1" x14ac:dyDescent="0.25">
      <c r="A594" s="4">
        <f t="shared" si="65"/>
        <v>7.0004999999999988</v>
      </c>
      <c r="B594" s="53"/>
      <c r="C594" s="23" t="s">
        <v>43</v>
      </c>
      <c r="D594" s="6"/>
      <c r="E594" s="6"/>
      <c r="F594" s="7"/>
      <c r="G594" s="7">
        <f t="shared" si="66"/>
        <v>0</v>
      </c>
      <c r="H594" s="7">
        <f t="shared" si="66"/>
        <v>0</v>
      </c>
      <c r="I594" s="7">
        <f t="shared" si="66"/>
        <v>1</v>
      </c>
      <c r="J594" s="7">
        <f t="shared" si="66"/>
        <v>0</v>
      </c>
      <c r="K594" s="7">
        <f t="shared" si="66"/>
        <v>0</v>
      </c>
      <c r="L594" s="6"/>
    </row>
    <row r="595" spans="1:12" outlineLevel="1" x14ac:dyDescent="0.25">
      <c r="A595" s="4">
        <f t="shared" si="65"/>
        <v>7.0005999999999986</v>
      </c>
      <c r="B595" s="72" t="s">
        <v>526</v>
      </c>
      <c r="C595" s="94" t="s">
        <v>512</v>
      </c>
      <c r="D595" s="6"/>
      <c r="E595" s="5"/>
      <c r="F595" s="7"/>
      <c r="G595" s="7">
        <f t="shared" si="66"/>
        <v>0</v>
      </c>
      <c r="H595" s="7">
        <f t="shared" si="66"/>
        <v>0</v>
      </c>
      <c r="I595" s="7">
        <f t="shared" si="66"/>
        <v>1</v>
      </c>
      <c r="J595" s="7">
        <f t="shared" si="66"/>
        <v>0</v>
      </c>
      <c r="K595" s="7">
        <f t="shared" si="66"/>
        <v>0</v>
      </c>
      <c r="L595" s="6"/>
    </row>
    <row r="596" spans="1:12" outlineLevel="1" x14ac:dyDescent="0.25">
      <c r="A596" s="4">
        <f t="shared" si="65"/>
        <v>7.0006999999999984</v>
      </c>
      <c r="B596" s="53" t="s">
        <v>40</v>
      </c>
      <c r="C596" s="22"/>
      <c r="D596" s="6"/>
      <c r="E596" s="5"/>
      <c r="F596" s="7"/>
      <c r="G596" s="7">
        <f t="shared" si="66"/>
        <v>0</v>
      </c>
      <c r="H596" s="7">
        <f t="shared" si="66"/>
        <v>0</v>
      </c>
      <c r="I596" s="7">
        <f t="shared" si="66"/>
        <v>1</v>
      </c>
      <c r="J596" s="7">
        <f t="shared" si="66"/>
        <v>0</v>
      </c>
      <c r="K596" s="7">
        <f t="shared" si="66"/>
        <v>0</v>
      </c>
      <c r="L596" s="6"/>
    </row>
    <row r="597" spans="1:12" outlineLevel="1" x14ac:dyDescent="0.25">
      <c r="A597" s="4">
        <f t="shared" si="65"/>
        <v>7.0007999999999981</v>
      </c>
      <c r="B597" s="53" t="s">
        <v>41</v>
      </c>
      <c r="C597" s="22"/>
      <c r="D597" s="6"/>
      <c r="E597" s="5"/>
      <c r="F597" s="7"/>
      <c r="G597" s="7">
        <f t="shared" si="66"/>
        <v>0</v>
      </c>
      <c r="H597" s="7">
        <f t="shared" si="66"/>
        <v>0</v>
      </c>
      <c r="I597" s="7">
        <f t="shared" si="66"/>
        <v>1</v>
      </c>
      <c r="J597" s="7">
        <f t="shared" si="66"/>
        <v>0</v>
      </c>
      <c r="K597" s="7">
        <f t="shared" si="66"/>
        <v>0</v>
      </c>
      <c r="L597" s="6"/>
    </row>
    <row r="598" spans="1:12" s="19" customFormat="1" x14ac:dyDescent="0.25">
      <c r="A598" s="78">
        <v>6.1</v>
      </c>
      <c r="B598" s="87" t="s">
        <v>495</v>
      </c>
      <c r="C598" s="80"/>
      <c r="D598" s="81"/>
      <c r="E598" s="81"/>
      <c r="F598" s="82"/>
      <c r="G598" s="82"/>
      <c r="H598" s="82"/>
      <c r="I598" s="82"/>
      <c r="J598" s="82"/>
      <c r="K598" s="82"/>
      <c r="L598" s="81"/>
    </row>
    <row r="599" spans="1:12" ht="51" outlineLevel="1" x14ac:dyDescent="0.25">
      <c r="A599" s="21">
        <f t="shared" ref="A599:A605" si="67">A598+0.0001</f>
        <v>6.1000999999999994</v>
      </c>
      <c r="B599" s="24" t="s">
        <v>425</v>
      </c>
      <c r="C599" s="22" t="s">
        <v>426</v>
      </c>
      <c r="D599" s="6"/>
      <c r="E599" s="6"/>
      <c r="F599" s="7"/>
      <c r="G599" s="7">
        <f t="shared" ref="G599:K605" si="68">IF($F599=G$1,1,0)</f>
        <v>0</v>
      </c>
      <c r="H599" s="7">
        <f t="shared" si="68"/>
        <v>0</v>
      </c>
      <c r="I599" s="7">
        <f t="shared" si="68"/>
        <v>1</v>
      </c>
      <c r="J599" s="7">
        <f t="shared" si="68"/>
        <v>0</v>
      </c>
      <c r="K599" s="7">
        <f t="shared" si="68"/>
        <v>0</v>
      </c>
      <c r="L599" s="6"/>
    </row>
    <row r="600" spans="1:12" outlineLevel="1" x14ac:dyDescent="0.25">
      <c r="A600" s="21">
        <f t="shared" si="67"/>
        <v>6.1001999999999992</v>
      </c>
      <c r="B600" s="25" t="s">
        <v>171</v>
      </c>
      <c r="C600" s="22" t="s">
        <v>172</v>
      </c>
      <c r="D600" s="6"/>
      <c r="E600" s="6"/>
      <c r="F600" s="7"/>
      <c r="G600" s="7">
        <f t="shared" si="68"/>
        <v>0</v>
      </c>
      <c r="H600" s="7">
        <f t="shared" si="68"/>
        <v>0</v>
      </c>
      <c r="I600" s="7">
        <f t="shared" si="68"/>
        <v>1</v>
      </c>
      <c r="J600" s="7">
        <f t="shared" si="68"/>
        <v>0</v>
      </c>
      <c r="K600" s="7">
        <f t="shared" si="68"/>
        <v>0</v>
      </c>
      <c r="L600" s="6"/>
    </row>
    <row r="601" spans="1:12" outlineLevel="1" x14ac:dyDescent="0.25">
      <c r="A601" s="21">
        <f t="shared" si="67"/>
        <v>6.1002999999999989</v>
      </c>
      <c r="B601" s="25"/>
      <c r="C601" s="22" t="s">
        <v>173</v>
      </c>
      <c r="D601" s="6"/>
      <c r="E601" s="6"/>
      <c r="F601" s="7"/>
      <c r="G601" s="7">
        <f t="shared" si="68"/>
        <v>0</v>
      </c>
      <c r="H601" s="7">
        <f t="shared" si="68"/>
        <v>0</v>
      </c>
      <c r="I601" s="7">
        <f t="shared" si="68"/>
        <v>1</v>
      </c>
      <c r="J601" s="7">
        <f t="shared" si="68"/>
        <v>0</v>
      </c>
      <c r="K601" s="7">
        <f t="shared" si="68"/>
        <v>0</v>
      </c>
      <c r="L601" s="6"/>
    </row>
    <row r="602" spans="1:12" outlineLevel="1" x14ac:dyDescent="0.25">
      <c r="A602" s="21">
        <f t="shared" si="67"/>
        <v>6.1003999999999987</v>
      </c>
      <c r="B602" s="25"/>
      <c r="C602" s="23" t="s">
        <v>176</v>
      </c>
      <c r="D602" s="6"/>
      <c r="E602" s="6"/>
      <c r="F602" s="7"/>
      <c r="G602" s="7">
        <f t="shared" si="68"/>
        <v>0</v>
      </c>
      <c r="H602" s="7">
        <f t="shared" si="68"/>
        <v>0</v>
      </c>
      <c r="I602" s="7">
        <f t="shared" si="68"/>
        <v>1</v>
      </c>
      <c r="J602" s="7">
        <f t="shared" si="68"/>
        <v>0</v>
      </c>
      <c r="K602" s="7">
        <f t="shared" si="68"/>
        <v>0</v>
      </c>
      <c r="L602" s="6"/>
    </row>
    <row r="603" spans="1:12" outlineLevel="1" x14ac:dyDescent="0.25">
      <c r="A603" s="21">
        <f t="shared" si="67"/>
        <v>6.1004999999999985</v>
      </c>
      <c r="B603" s="25" t="s">
        <v>340</v>
      </c>
      <c r="C603" s="23"/>
      <c r="D603" s="6"/>
      <c r="E603" s="6"/>
      <c r="F603" s="7"/>
      <c r="G603" s="7">
        <f t="shared" si="68"/>
        <v>0</v>
      </c>
      <c r="H603" s="7">
        <f t="shared" si="68"/>
        <v>0</v>
      </c>
      <c r="I603" s="7">
        <f t="shared" si="68"/>
        <v>1</v>
      </c>
      <c r="J603" s="7">
        <f t="shared" si="68"/>
        <v>0</v>
      </c>
      <c r="K603" s="7">
        <f t="shared" si="68"/>
        <v>0</v>
      </c>
      <c r="L603" s="6"/>
    </row>
    <row r="604" spans="1:12" outlineLevel="1" x14ac:dyDescent="0.25">
      <c r="A604" s="21">
        <f t="shared" si="67"/>
        <v>6.1005999999999982</v>
      </c>
      <c r="B604" s="25" t="s">
        <v>427</v>
      </c>
      <c r="C604" s="23" t="s">
        <v>428</v>
      </c>
      <c r="D604" s="6"/>
      <c r="E604" s="6"/>
      <c r="F604" s="7"/>
      <c r="G604" s="7">
        <f t="shared" si="68"/>
        <v>0</v>
      </c>
      <c r="H604" s="7">
        <f t="shared" si="68"/>
        <v>0</v>
      </c>
      <c r="I604" s="7">
        <f t="shared" si="68"/>
        <v>1</v>
      </c>
      <c r="J604" s="7">
        <f t="shared" si="68"/>
        <v>0</v>
      </c>
      <c r="K604" s="7">
        <f t="shared" si="68"/>
        <v>0</v>
      </c>
      <c r="L604" s="6"/>
    </row>
    <row r="605" spans="1:12" outlineLevel="1" x14ac:dyDescent="0.25">
      <c r="A605" s="21">
        <f t="shared" si="67"/>
        <v>6.100699999999998</v>
      </c>
      <c r="B605" s="43" t="s">
        <v>350</v>
      </c>
      <c r="C605" s="23" t="s">
        <v>429</v>
      </c>
      <c r="D605" s="6"/>
      <c r="E605" s="6"/>
      <c r="F605" s="7"/>
      <c r="G605" s="7">
        <f t="shared" si="68"/>
        <v>0</v>
      </c>
      <c r="H605" s="7">
        <f t="shared" si="68"/>
        <v>0</v>
      </c>
      <c r="I605" s="7">
        <f t="shared" si="68"/>
        <v>1</v>
      </c>
      <c r="J605" s="7">
        <f t="shared" si="68"/>
        <v>0</v>
      </c>
      <c r="K605" s="7">
        <f t="shared" si="68"/>
        <v>0</v>
      </c>
      <c r="L605" s="6"/>
    </row>
    <row r="606" spans="1:12" x14ac:dyDescent="0.25">
      <c r="A606" s="78">
        <v>6.2</v>
      </c>
      <c r="B606" s="87" t="s">
        <v>496</v>
      </c>
      <c r="C606" s="80"/>
      <c r="D606" s="81"/>
      <c r="E606" s="81"/>
      <c r="F606" s="82"/>
      <c r="G606" s="82"/>
      <c r="H606" s="82"/>
      <c r="I606" s="82"/>
      <c r="J606" s="82"/>
      <c r="K606" s="82"/>
      <c r="L606" s="81"/>
    </row>
    <row r="607" spans="1:12" outlineLevel="1" x14ac:dyDescent="0.25">
      <c r="A607" s="21">
        <f t="shared" ref="A607:A622" si="69">A606+0.0001</f>
        <v>6.2000999999999999</v>
      </c>
      <c r="B607" s="24" t="s">
        <v>284</v>
      </c>
      <c r="C607" s="23" t="s">
        <v>285</v>
      </c>
      <c r="D607" s="6"/>
      <c r="E607" s="6"/>
      <c r="F607" s="7"/>
      <c r="G607" s="7">
        <f t="shared" ref="G607:K622" si="70">IF($F607=G$1,1,0)</f>
        <v>0</v>
      </c>
      <c r="H607" s="7">
        <f t="shared" si="70"/>
        <v>0</v>
      </c>
      <c r="I607" s="7">
        <f t="shared" si="70"/>
        <v>1</v>
      </c>
      <c r="J607" s="7">
        <f t="shared" si="70"/>
        <v>0</v>
      </c>
      <c r="K607" s="7">
        <f t="shared" si="70"/>
        <v>0</v>
      </c>
      <c r="L607" s="6"/>
    </row>
    <row r="608" spans="1:12" ht="25.5" outlineLevel="1" x14ac:dyDescent="0.25">
      <c r="A608" s="21">
        <f t="shared" si="69"/>
        <v>6.2001999999999997</v>
      </c>
      <c r="B608" s="25"/>
      <c r="C608" s="23" t="s">
        <v>430</v>
      </c>
      <c r="D608" s="6"/>
      <c r="E608" s="6"/>
      <c r="F608" s="7"/>
      <c r="G608" s="7">
        <f t="shared" si="70"/>
        <v>0</v>
      </c>
      <c r="H608" s="7">
        <f t="shared" si="70"/>
        <v>0</v>
      </c>
      <c r="I608" s="7">
        <f t="shared" si="70"/>
        <v>1</v>
      </c>
      <c r="J608" s="7">
        <f t="shared" si="70"/>
        <v>0</v>
      </c>
      <c r="K608" s="7">
        <f t="shared" si="70"/>
        <v>0</v>
      </c>
      <c r="L608" s="6"/>
    </row>
    <row r="609" spans="1:12" outlineLevel="1" x14ac:dyDescent="0.25">
      <c r="A609" s="21">
        <f t="shared" si="69"/>
        <v>6.2002999999999995</v>
      </c>
      <c r="B609" s="25" t="s">
        <v>348</v>
      </c>
      <c r="C609" s="48" t="s">
        <v>431</v>
      </c>
      <c r="D609" s="6"/>
      <c r="E609" s="6"/>
      <c r="F609" s="7"/>
      <c r="G609" s="7">
        <f t="shared" si="70"/>
        <v>0</v>
      </c>
      <c r="H609" s="7">
        <f t="shared" si="70"/>
        <v>0</v>
      </c>
      <c r="I609" s="7">
        <f t="shared" si="70"/>
        <v>1</v>
      </c>
      <c r="J609" s="7">
        <f t="shared" si="70"/>
        <v>0</v>
      </c>
      <c r="K609" s="7">
        <f t="shared" si="70"/>
        <v>0</v>
      </c>
      <c r="L609" s="6"/>
    </row>
    <row r="610" spans="1:12" outlineLevel="1" x14ac:dyDescent="0.25">
      <c r="A610" s="21">
        <f t="shared" si="69"/>
        <v>6.2003999999999992</v>
      </c>
      <c r="B610" s="25" t="s">
        <v>348</v>
      </c>
      <c r="C610" s="48" t="s">
        <v>432</v>
      </c>
      <c r="D610" s="6"/>
      <c r="E610" s="6"/>
      <c r="F610" s="7"/>
      <c r="G610" s="7">
        <f t="shared" si="70"/>
        <v>0</v>
      </c>
      <c r="H610" s="7">
        <f t="shared" si="70"/>
        <v>0</v>
      </c>
      <c r="I610" s="7">
        <f t="shared" si="70"/>
        <v>1</v>
      </c>
      <c r="J610" s="7">
        <f t="shared" si="70"/>
        <v>0</v>
      </c>
      <c r="K610" s="7">
        <f t="shared" si="70"/>
        <v>0</v>
      </c>
      <c r="L610" s="6"/>
    </row>
    <row r="611" spans="1:12" outlineLevel="1" x14ac:dyDescent="0.25">
      <c r="A611" s="21">
        <f t="shared" si="69"/>
        <v>6.200499999999999</v>
      </c>
      <c r="B611" s="25" t="s">
        <v>348</v>
      </c>
      <c r="C611" s="23" t="s">
        <v>433</v>
      </c>
      <c r="D611" s="6"/>
      <c r="E611" s="6"/>
      <c r="F611" s="7"/>
      <c r="G611" s="7">
        <f t="shared" si="70"/>
        <v>0</v>
      </c>
      <c r="H611" s="7">
        <f t="shared" si="70"/>
        <v>0</v>
      </c>
      <c r="I611" s="7">
        <f t="shared" si="70"/>
        <v>1</v>
      </c>
      <c r="J611" s="7">
        <f t="shared" si="70"/>
        <v>0</v>
      </c>
      <c r="K611" s="7">
        <f t="shared" si="70"/>
        <v>0</v>
      </c>
      <c r="L611" s="6"/>
    </row>
    <row r="612" spans="1:12" outlineLevel="1" x14ac:dyDescent="0.25">
      <c r="A612" s="21">
        <f t="shared" si="69"/>
        <v>6.2005999999999988</v>
      </c>
      <c r="B612" s="25" t="s">
        <v>348</v>
      </c>
      <c r="C612" s="23" t="s">
        <v>434</v>
      </c>
      <c r="D612" s="6"/>
      <c r="E612" s="6"/>
      <c r="F612" s="7"/>
      <c r="G612" s="7">
        <f t="shared" si="70"/>
        <v>0</v>
      </c>
      <c r="H612" s="7">
        <f t="shared" si="70"/>
        <v>0</v>
      </c>
      <c r="I612" s="7">
        <f t="shared" si="70"/>
        <v>1</v>
      </c>
      <c r="J612" s="7">
        <f t="shared" si="70"/>
        <v>0</v>
      </c>
      <c r="K612" s="7">
        <f t="shared" si="70"/>
        <v>0</v>
      </c>
      <c r="L612" s="6"/>
    </row>
    <row r="613" spans="1:12" outlineLevel="1" x14ac:dyDescent="0.25">
      <c r="A613" s="21">
        <f t="shared" si="69"/>
        <v>6.2006999999999985</v>
      </c>
      <c r="B613" s="25" t="s">
        <v>348</v>
      </c>
      <c r="C613" s="23" t="s">
        <v>435</v>
      </c>
      <c r="D613" s="6"/>
      <c r="E613" s="6"/>
      <c r="F613" s="7"/>
      <c r="G613" s="7">
        <f t="shared" si="70"/>
        <v>0</v>
      </c>
      <c r="H613" s="7">
        <f t="shared" si="70"/>
        <v>0</v>
      </c>
      <c r="I613" s="7">
        <f t="shared" si="70"/>
        <v>1</v>
      </c>
      <c r="J613" s="7">
        <f t="shared" si="70"/>
        <v>0</v>
      </c>
      <c r="K613" s="7">
        <f t="shared" si="70"/>
        <v>0</v>
      </c>
      <c r="L613" s="6"/>
    </row>
    <row r="614" spans="1:12" outlineLevel="1" x14ac:dyDescent="0.25">
      <c r="A614" s="21">
        <f t="shared" si="69"/>
        <v>6.2007999999999983</v>
      </c>
      <c r="B614" s="5" t="s">
        <v>504</v>
      </c>
      <c r="C614" s="23" t="s">
        <v>505</v>
      </c>
      <c r="D614" s="6"/>
      <c r="E614" s="6" t="s">
        <v>503</v>
      </c>
      <c r="F614" s="7"/>
      <c r="G614" s="7">
        <f t="shared" si="70"/>
        <v>0</v>
      </c>
      <c r="H614" s="7">
        <f t="shared" si="70"/>
        <v>0</v>
      </c>
      <c r="I614" s="7">
        <f t="shared" si="70"/>
        <v>1</v>
      </c>
      <c r="J614" s="7">
        <f t="shared" si="70"/>
        <v>0</v>
      </c>
      <c r="K614" s="7">
        <f t="shared" si="70"/>
        <v>0</v>
      </c>
      <c r="L614" s="6"/>
    </row>
    <row r="615" spans="1:12" outlineLevel="1" x14ac:dyDescent="0.25">
      <c r="A615" s="21">
        <f t="shared" si="69"/>
        <v>6.2008999999999981</v>
      </c>
      <c r="B615" s="25" t="s">
        <v>437</v>
      </c>
      <c r="C615" s="23" t="s">
        <v>441</v>
      </c>
      <c r="D615" s="6"/>
      <c r="E615" s="6"/>
      <c r="F615" s="7"/>
      <c r="G615" s="7">
        <f t="shared" si="70"/>
        <v>0</v>
      </c>
      <c r="H615" s="7">
        <f t="shared" si="70"/>
        <v>0</v>
      </c>
      <c r="I615" s="7">
        <f t="shared" si="70"/>
        <v>1</v>
      </c>
      <c r="J615" s="7">
        <f t="shared" si="70"/>
        <v>0</v>
      </c>
      <c r="K615" s="7">
        <f t="shared" si="70"/>
        <v>0</v>
      </c>
      <c r="L615" s="6"/>
    </row>
    <row r="616" spans="1:12" outlineLevel="1" x14ac:dyDescent="0.25">
      <c r="A616" s="21">
        <f t="shared" si="69"/>
        <v>6.2009999999999978</v>
      </c>
      <c r="B616" s="25"/>
      <c r="C616" s="23" t="s">
        <v>438</v>
      </c>
      <c r="D616" s="6"/>
      <c r="E616" s="6"/>
      <c r="F616" s="7"/>
      <c r="G616" s="7">
        <f t="shared" si="70"/>
        <v>0</v>
      </c>
      <c r="H616" s="7">
        <f t="shared" si="70"/>
        <v>0</v>
      </c>
      <c r="I616" s="7">
        <f t="shared" si="70"/>
        <v>1</v>
      </c>
      <c r="J616" s="7">
        <f t="shared" si="70"/>
        <v>0</v>
      </c>
      <c r="K616" s="7">
        <f t="shared" si="70"/>
        <v>0</v>
      </c>
      <c r="L616" s="6"/>
    </row>
    <row r="617" spans="1:12" outlineLevel="1" x14ac:dyDescent="0.25">
      <c r="A617" s="21">
        <f t="shared" si="69"/>
        <v>6.2010999999999976</v>
      </c>
      <c r="B617" s="25"/>
      <c r="C617" s="23" t="s">
        <v>439</v>
      </c>
      <c r="D617" s="6"/>
      <c r="E617" s="6"/>
      <c r="F617" s="7"/>
      <c r="G617" s="7">
        <f t="shared" si="70"/>
        <v>0</v>
      </c>
      <c r="H617" s="7">
        <f t="shared" si="70"/>
        <v>0</v>
      </c>
      <c r="I617" s="7">
        <f t="shared" si="70"/>
        <v>1</v>
      </c>
      <c r="J617" s="7">
        <f t="shared" si="70"/>
        <v>0</v>
      </c>
      <c r="K617" s="7">
        <f t="shared" si="70"/>
        <v>0</v>
      </c>
      <c r="L617" s="6"/>
    </row>
    <row r="618" spans="1:12" outlineLevel="1" x14ac:dyDescent="0.25">
      <c r="A618" s="21">
        <f t="shared" si="69"/>
        <v>6.2011999999999974</v>
      </c>
      <c r="B618" s="25"/>
      <c r="C618" s="23" t="s">
        <v>440</v>
      </c>
      <c r="D618" s="6"/>
      <c r="E618" s="6"/>
      <c r="F618" s="7"/>
      <c r="G618" s="7">
        <f t="shared" si="70"/>
        <v>0</v>
      </c>
      <c r="H618" s="7">
        <f t="shared" si="70"/>
        <v>0</v>
      </c>
      <c r="I618" s="7">
        <f t="shared" si="70"/>
        <v>1</v>
      </c>
      <c r="J618" s="7">
        <f t="shared" si="70"/>
        <v>0</v>
      </c>
      <c r="K618" s="7">
        <f t="shared" si="70"/>
        <v>0</v>
      </c>
      <c r="L618" s="6"/>
    </row>
    <row r="619" spans="1:12" outlineLevel="1" x14ac:dyDescent="0.25">
      <c r="A619" s="21">
        <f t="shared" si="69"/>
        <v>6.2012999999999971</v>
      </c>
      <c r="B619" s="25" t="s">
        <v>440</v>
      </c>
      <c r="C619" s="23" t="s">
        <v>442</v>
      </c>
      <c r="D619" s="6"/>
      <c r="E619" s="6"/>
      <c r="F619" s="7"/>
      <c r="G619" s="7">
        <f t="shared" si="70"/>
        <v>0</v>
      </c>
      <c r="H619" s="7">
        <f t="shared" si="70"/>
        <v>0</v>
      </c>
      <c r="I619" s="7">
        <f t="shared" si="70"/>
        <v>1</v>
      </c>
      <c r="J619" s="7">
        <f t="shared" si="70"/>
        <v>0</v>
      </c>
      <c r="K619" s="7">
        <f t="shared" si="70"/>
        <v>0</v>
      </c>
      <c r="L619" s="6"/>
    </row>
    <row r="620" spans="1:12" outlineLevel="1" x14ac:dyDescent="0.25">
      <c r="A620" s="21">
        <f t="shared" si="69"/>
        <v>6.2013999999999969</v>
      </c>
      <c r="B620" s="25" t="s">
        <v>443</v>
      </c>
      <c r="C620" s="23" t="s">
        <v>444</v>
      </c>
      <c r="D620" s="6"/>
      <c r="E620" s="6"/>
      <c r="F620" s="7"/>
      <c r="G620" s="7">
        <f t="shared" si="70"/>
        <v>0</v>
      </c>
      <c r="H620" s="7">
        <f t="shared" si="70"/>
        <v>0</v>
      </c>
      <c r="I620" s="7">
        <f t="shared" si="70"/>
        <v>1</v>
      </c>
      <c r="J620" s="7">
        <f t="shared" si="70"/>
        <v>0</v>
      </c>
      <c r="K620" s="7">
        <f t="shared" si="70"/>
        <v>0</v>
      </c>
      <c r="L620" s="6"/>
    </row>
    <row r="621" spans="1:12" outlineLevel="1" x14ac:dyDescent="0.25">
      <c r="A621" s="21">
        <f t="shared" si="69"/>
        <v>6.2014999999999967</v>
      </c>
      <c r="B621" s="25" t="s">
        <v>349</v>
      </c>
      <c r="C621" s="23" t="s">
        <v>446</v>
      </c>
      <c r="D621" s="6"/>
      <c r="E621" s="6"/>
      <c r="F621" s="7"/>
      <c r="G621" s="7">
        <f t="shared" si="70"/>
        <v>0</v>
      </c>
      <c r="H621" s="7">
        <f t="shared" si="70"/>
        <v>0</v>
      </c>
      <c r="I621" s="7">
        <f t="shared" si="70"/>
        <v>1</v>
      </c>
      <c r="J621" s="7">
        <f t="shared" si="70"/>
        <v>0</v>
      </c>
      <c r="K621" s="7">
        <f t="shared" si="70"/>
        <v>0</v>
      </c>
      <c r="L621" s="6"/>
    </row>
    <row r="622" spans="1:12" outlineLevel="1" x14ac:dyDescent="0.25">
      <c r="A622" s="21">
        <f t="shared" si="69"/>
        <v>6.2015999999999964</v>
      </c>
      <c r="B622" s="25" t="s">
        <v>385</v>
      </c>
      <c r="C622" s="23" t="s">
        <v>445</v>
      </c>
      <c r="D622" s="6"/>
      <c r="E622" s="6"/>
      <c r="F622" s="7"/>
      <c r="G622" s="7">
        <f t="shared" si="70"/>
        <v>0</v>
      </c>
      <c r="H622" s="7">
        <f t="shared" si="70"/>
        <v>0</v>
      </c>
      <c r="I622" s="7">
        <f t="shared" si="70"/>
        <v>1</v>
      </c>
      <c r="J622" s="7">
        <f t="shared" si="70"/>
        <v>0</v>
      </c>
      <c r="K622" s="7">
        <f t="shared" si="70"/>
        <v>0</v>
      </c>
      <c r="L622" s="6"/>
    </row>
    <row r="623" spans="1:12" s="19" customFormat="1" x14ac:dyDescent="0.25">
      <c r="A623" s="78">
        <v>6.3</v>
      </c>
      <c r="B623" s="79" t="s">
        <v>497</v>
      </c>
      <c r="C623" s="80"/>
      <c r="D623" s="81"/>
      <c r="E623" s="81"/>
      <c r="F623" s="82"/>
      <c r="G623" s="82"/>
      <c r="H623" s="82"/>
      <c r="I623" s="82"/>
      <c r="J623" s="82"/>
      <c r="K623" s="82"/>
      <c r="L623" s="81"/>
    </row>
    <row r="624" spans="1:12" outlineLevel="1" x14ac:dyDescent="0.25">
      <c r="A624" s="21">
        <f>A623+0.0001</f>
        <v>6.3000999999999996</v>
      </c>
      <c r="B624" s="24" t="s">
        <v>447</v>
      </c>
      <c r="C624" s="22" t="s">
        <v>448</v>
      </c>
      <c r="D624" s="6"/>
      <c r="E624" s="5"/>
      <c r="F624" s="7"/>
      <c r="G624" s="7">
        <f t="shared" ref="G624:K662" si="71">IF($F624=G$1,1,0)</f>
        <v>0</v>
      </c>
      <c r="H624" s="7">
        <f t="shared" si="71"/>
        <v>0</v>
      </c>
      <c r="I624" s="7">
        <f t="shared" si="71"/>
        <v>1</v>
      </c>
      <c r="J624" s="7">
        <f t="shared" si="71"/>
        <v>0</v>
      </c>
      <c r="K624" s="7">
        <f t="shared" si="71"/>
        <v>0</v>
      </c>
      <c r="L624" s="6"/>
    </row>
    <row r="625" spans="1:12" ht="25.5" outlineLevel="1" x14ac:dyDescent="0.25">
      <c r="A625" s="21">
        <f t="shared" ref="A625:A659" si="72">A624+0.0001</f>
        <v>6.3001999999999994</v>
      </c>
      <c r="B625" s="24" t="s">
        <v>449</v>
      </c>
      <c r="C625" s="22" t="s">
        <v>452</v>
      </c>
      <c r="D625" s="6"/>
      <c r="E625" s="5"/>
      <c r="F625" s="7"/>
      <c r="G625" s="7">
        <f t="shared" si="71"/>
        <v>0</v>
      </c>
      <c r="H625" s="7">
        <f t="shared" si="71"/>
        <v>0</v>
      </c>
      <c r="I625" s="7">
        <f t="shared" si="71"/>
        <v>1</v>
      </c>
      <c r="J625" s="7">
        <f t="shared" si="71"/>
        <v>0</v>
      </c>
      <c r="K625" s="7">
        <f t="shared" si="71"/>
        <v>0</v>
      </c>
      <c r="L625" s="6"/>
    </row>
    <row r="626" spans="1:12" outlineLevel="1" x14ac:dyDescent="0.25">
      <c r="A626" s="21">
        <f t="shared" si="72"/>
        <v>6.3002999999999991</v>
      </c>
      <c r="B626" s="26"/>
      <c r="C626" s="22" t="s">
        <v>450</v>
      </c>
      <c r="D626" s="6"/>
      <c r="E626" s="5"/>
      <c r="F626" s="7"/>
      <c r="G626" s="7">
        <f t="shared" si="71"/>
        <v>0</v>
      </c>
      <c r="H626" s="7">
        <f t="shared" si="71"/>
        <v>0</v>
      </c>
      <c r="I626" s="7">
        <f t="shared" si="71"/>
        <v>1</v>
      </c>
      <c r="J626" s="7">
        <f t="shared" si="71"/>
        <v>0</v>
      </c>
      <c r="K626" s="7">
        <f t="shared" si="71"/>
        <v>0</v>
      </c>
      <c r="L626" s="6"/>
    </row>
    <row r="627" spans="1:12" outlineLevel="1" x14ac:dyDescent="0.25">
      <c r="A627" s="21">
        <f t="shared" si="72"/>
        <v>6.3003999999999989</v>
      </c>
      <c r="B627" s="25" t="s">
        <v>344</v>
      </c>
      <c r="C627" s="22" t="s">
        <v>453</v>
      </c>
      <c r="D627" s="6"/>
      <c r="E627" s="5"/>
      <c r="F627" s="7"/>
      <c r="G627" s="7">
        <f t="shared" si="71"/>
        <v>0</v>
      </c>
      <c r="H627" s="7">
        <f t="shared" si="71"/>
        <v>0</v>
      </c>
      <c r="I627" s="7">
        <f t="shared" si="71"/>
        <v>1</v>
      </c>
      <c r="J627" s="7">
        <f t="shared" si="71"/>
        <v>0</v>
      </c>
      <c r="K627" s="7">
        <f t="shared" si="71"/>
        <v>0</v>
      </c>
      <c r="L627" s="6"/>
    </row>
    <row r="628" spans="1:12" outlineLevel="1" x14ac:dyDescent="0.25">
      <c r="A628" s="21">
        <f t="shared" si="72"/>
        <v>6.3004999999999987</v>
      </c>
      <c r="B628" s="26"/>
      <c r="C628" s="22" t="s">
        <v>451</v>
      </c>
      <c r="D628" s="6"/>
      <c r="E628" s="5"/>
      <c r="F628" s="7"/>
      <c r="G628" s="7">
        <f t="shared" si="71"/>
        <v>0</v>
      </c>
      <c r="H628" s="7">
        <f t="shared" si="71"/>
        <v>0</v>
      </c>
      <c r="I628" s="7">
        <f t="shared" si="71"/>
        <v>1</v>
      </c>
      <c r="J628" s="7">
        <f t="shared" si="71"/>
        <v>0</v>
      </c>
      <c r="K628" s="7">
        <f t="shared" si="71"/>
        <v>0</v>
      </c>
      <c r="L628" s="6"/>
    </row>
    <row r="629" spans="1:12" outlineLevel="1" x14ac:dyDescent="0.25">
      <c r="A629" s="21">
        <f t="shared" si="72"/>
        <v>6.3005999999999984</v>
      </c>
      <c r="B629" s="25" t="s">
        <v>348</v>
      </c>
      <c r="C629" s="22" t="s">
        <v>350</v>
      </c>
      <c r="D629" s="6"/>
      <c r="E629" s="5"/>
      <c r="F629" s="7"/>
      <c r="G629" s="7">
        <f t="shared" si="71"/>
        <v>0</v>
      </c>
      <c r="H629" s="7">
        <f t="shared" si="71"/>
        <v>0</v>
      </c>
      <c r="I629" s="7">
        <f t="shared" si="71"/>
        <v>1</v>
      </c>
      <c r="J629" s="7">
        <f t="shared" si="71"/>
        <v>0</v>
      </c>
      <c r="K629" s="7">
        <f t="shared" si="71"/>
        <v>0</v>
      </c>
      <c r="L629" s="6"/>
    </row>
    <row r="630" spans="1:12" outlineLevel="1" x14ac:dyDescent="0.25">
      <c r="A630" s="21">
        <f t="shared" si="72"/>
        <v>6.3006999999999982</v>
      </c>
      <c r="B630" s="24" t="s">
        <v>343</v>
      </c>
      <c r="C630" s="22" t="s">
        <v>345</v>
      </c>
      <c r="D630" s="6"/>
      <c r="E630" s="5"/>
      <c r="F630" s="7"/>
      <c r="G630" s="7">
        <f t="shared" si="71"/>
        <v>0</v>
      </c>
      <c r="H630" s="7">
        <f t="shared" si="71"/>
        <v>0</v>
      </c>
      <c r="I630" s="7">
        <f t="shared" si="71"/>
        <v>1</v>
      </c>
      <c r="J630" s="7">
        <f t="shared" si="71"/>
        <v>0</v>
      </c>
      <c r="K630" s="7">
        <f t="shared" si="71"/>
        <v>0</v>
      </c>
      <c r="L630" s="6"/>
    </row>
    <row r="631" spans="1:12" outlineLevel="1" x14ac:dyDescent="0.25">
      <c r="A631" s="21">
        <f t="shared" si="72"/>
        <v>6.300799999999998</v>
      </c>
      <c r="B631" s="25"/>
      <c r="C631" s="22" t="s">
        <v>454</v>
      </c>
      <c r="D631" s="6"/>
      <c r="E631" s="5"/>
      <c r="F631" s="7"/>
      <c r="G631" s="7">
        <f t="shared" si="71"/>
        <v>0</v>
      </c>
      <c r="H631" s="7">
        <f t="shared" si="71"/>
        <v>0</v>
      </c>
      <c r="I631" s="7">
        <f t="shared" si="71"/>
        <v>1</v>
      </c>
      <c r="J631" s="7">
        <f t="shared" si="71"/>
        <v>0</v>
      </c>
      <c r="K631" s="7">
        <f t="shared" si="71"/>
        <v>0</v>
      </c>
      <c r="L631" s="6"/>
    </row>
    <row r="632" spans="1:12" outlineLevel="1" x14ac:dyDescent="0.25">
      <c r="A632" s="21">
        <f t="shared" si="72"/>
        <v>6.3008999999999977</v>
      </c>
      <c r="B632" s="25"/>
      <c r="C632" s="22" t="s">
        <v>455</v>
      </c>
      <c r="D632" s="6"/>
      <c r="E632" s="5"/>
      <c r="F632" s="7"/>
      <c r="G632" s="7">
        <f t="shared" si="71"/>
        <v>0</v>
      </c>
      <c r="H632" s="7">
        <f t="shared" si="71"/>
        <v>0</v>
      </c>
      <c r="I632" s="7">
        <f t="shared" si="71"/>
        <v>1</v>
      </c>
      <c r="J632" s="7">
        <f t="shared" si="71"/>
        <v>0</v>
      </c>
      <c r="K632" s="7">
        <f t="shared" si="71"/>
        <v>0</v>
      </c>
      <c r="L632" s="6"/>
    </row>
    <row r="633" spans="1:12" outlineLevel="1" x14ac:dyDescent="0.25">
      <c r="A633" s="21">
        <f t="shared" si="72"/>
        <v>6.3009999999999975</v>
      </c>
      <c r="B633" s="25" t="s">
        <v>348</v>
      </c>
      <c r="C633" s="22" t="s">
        <v>347</v>
      </c>
      <c r="D633" s="6"/>
      <c r="E633" s="5"/>
      <c r="F633" s="7"/>
      <c r="G633" s="7">
        <f t="shared" si="71"/>
        <v>0</v>
      </c>
      <c r="H633" s="7">
        <f t="shared" si="71"/>
        <v>0</v>
      </c>
      <c r="I633" s="7">
        <f t="shared" si="71"/>
        <v>1</v>
      </c>
      <c r="J633" s="7">
        <f t="shared" si="71"/>
        <v>0</v>
      </c>
      <c r="K633" s="7">
        <f t="shared" si="71"/>
        <v>0</v>
      </c>
      <c r="L633" s="6"/>
    </row>
    <row r="634" spans="1:12" outlineLevel="1" x14ac:dyDescent="0.25">
      <c r="A634" s="21">
        <f t="shared" si="72"/>
        <v>6.3010999999999973</v>
      </c>
      <c r="B634" s="25" t="s">
        <v>348</v>
      </c>
      <c r="C634" s="22" t="s">
        <v>349</v>
      </c>
      <c r="D634" s="6"/>
      <c r="E634" s="5"/>
      <c r="F634" s="7"/>
      <c r="G634" s="7">
        <f t="shared" si="71"/>
        <v>0</v>
      </c>
      <c r="H634" s="7">
        <f t="shared" si="71"/>
        <v>0</v>
      </c>
      <c r="I634" s="7">
        <f t="shared" si="71"/>
        <v>1</v>
      </c>
      <c r="J634" s="7">
        <f t="shared" si="71"/>
        <v>0</v>
      </c>
      <c r="K634" s="7">
        <f t="shared" si="71"/>
        <v>0</v>
      </c>
      <c r="L634" s="6"/>
    </row>
    <row r="635" spans="1:12" outlineLevel="1" x14ac:dyDescent="0.25">
      <c r="A635" s="21">
        <f t="shared" si="72"/>
        <v>6.301199999999997</v>
      </c>
      <c r="B635" s="25" t="s">
        <v>348</v>
      </c>
      <c r="C635" s="22" t="s">
        <v>350</v>
      </c>
      <c r="D635" s="6"/>
      <c r="E635" s="5"/>
      <c r="F635" s="7"/>
      <c r="G635" s="7">
        <f t="shared" si="71"/>
        <v>0</v>
      </c>
      <c r="H635" s="7">
        <f t="shared" si="71"/>
        <v>0</v>
      </c>
      <c r="I635" s="7">
        <f t="shared" si="71"/>
        <v>1</v>
      </c>
      <c r="J635" s="7">
        <f t="shared" si="71"/>
        <v>0</v>
      </c>
      <c r="K635" s="7">
        <f t="shared" si="71"/>
        <v>0</v>
      </c>
      <c r="L635" s="6"/>
    </row>
    <row r="636" spans="1:12" outlineLevel="1" x14ac:dyDescent="0.25">
      <c r="A636" s="21">
        <f t="shared" si="72"/>
        <v>6.3012999999999968</v>
      </c>
      <c r="B636" s="24" t="s">
        <v>355</v>
      </c>
      <c r="C636" s="22" t="s">
        <v>351</v>
      </c>
      <c r="D636" s="6"/>
      <c r="E636" s="5"/>
      <c r="F636" s="7"/>
      <c r="G636" s="7">
        <f t="shared" si="71"/>
        <v>0</v>
      </c>
      <c r="H636" s="7">
        <f t="shared" si="71"/>
        <v>0</v>
      </c>
      <c r="I636" s="7">
        <f t="shared" si="71"/>
        <v>1</v>
      </c>
      <c r="J636" s="7">
        <f t="shared" si="71"/>
        <v>0</v>
      </c>
      <c r="K636" s="7">
        <f t="shared" si="71"/>
        <v>0</v>
      </c>
      <c r="L636" s="6"/>
    </row>
    <row r="637" spans="1:12" outlineLevel="1" x14ac:dyDescent="0.25">
      <c r="A637" s="21">
        <f t="shared" si="72"/>
        <v>6.3013999999999966</v>
      </c>
      <c r="B637" s="25"/>
      <c r="C637" s="22" t="s">
        <v>352</v>
      </c>
      <c r="D637" s="6"/>
      <c r="E637" s="5"/>
      <c r="F637" s="7"/>
      <c r="G637" s="7">
        <f t="shared" si="71"/>
        <v>0</v>
      </c>
      <c r="H637" s="7">
        <f t="shared" si="71"/>
        <v>0</v>
      </c>
      <c r="I637" s="7">
        <f t="shared" si="71"/>
        <v>1</v>
      </c>
      <c r="J637" s="7">
        <f t="shared" si="71"/>
        <v>0</v>
      </c>
      <c r="K637" s="7">
        <f t="shared" si="71"/>
        <v>0</v>
      </c>
      <c r="L637" s="6"/>
    </row>
    <row r="638" spans="1:12" outlineLevel="1" x14ac:dyDescent="0.25">
      <c r="A638" s="21">
        <f t="shared" si="72"/>
        <v>6.3014999999999963</v>
      </c>
      <c r="B638" s="25"/>
      <c r="C638" s="22" t="s">
        <v>353</v>
      </c>
      <c r="D638" s="6"/>
      <c r="E638" s="5"/>
      <c r="F638" s="7"/>
      <c r="G638" s="7">
        <f t="shared" si="71"/>
        <v>0</v>
      </c>
      <c r="H638" s="7">
        <f t="shared" si="71"/>
        <v>0</v>
      </c>
      <c r="I638" s="7">
        <f t="shared" si="71"/>
        <v>1</v>
      </c>
      <c r="J638" s="7">
        <f t="shared" si="71"/>
        <v>0</v>
      </c>
      <c r="K638" s="7">
        <f t="shared" si="71"/>
        <v>0</v>
      </c>
      <c r="L638" s="6"/>
    </row>
    <row r="639" spans="1:12" outlineLevel="1" x14ac:dyDescent="0.25">
      <c r="A639" s="21">
        <f t="shared" si="72"/>
        <v>6.3015999999999961</v>
      </c>
      <c r="B639" s="25"/>
      <c r="C639" s="22" t="s">
        <v>354</v>
      </c>
      <c r="D639" s="6"/>
      <c r="E639" s="5"/>
      <c r="F639" s="7"/>
      <c r="G639" s="7">
        <f t="shared" si="71"/>
        <v>0</v>
      </c>
      <c r="H639" s="7">
        <f t="shared" si="71"/>
        <v>0</v>
      </c>
      <c r="I639" s="7">
        <f t="shared" si="71"/>
        <v>1</v>
      </c>
      <c r="J639" s="7">
        <f t="shared" si="71"/>
        <v>0</v>
      </c>
      <c r="K639" s="7">
        <f t="shared" si="71"/>
        <v>0</v>
      </c>
      <c r="L639" s="6"/>
    </row>
    <row r="640" spans="1:12" outlineLevel="1" x14ac:dyDescent="0.25">
      <c r="A640" s="21">
        <f t="shared" si="72"/>
        <v>6.3016999999999959</v>
      </c>
      <c r="B640" s="25"/>
      <c r="C640" s="22" t="s">
        <v>369</v>
      </c>
      <c r="D640" s="6"/>
      <c r="E640" s="5"/>
      <c r="F640" s="7"/>
      <c r="G640" s="7">
        <f t="shared" si="71"/>
        <v>0</v>
      </c>
      <c r="H640" s="7">
        <f t="shared" si="71"/>
        <v>0</v>
      </c>
      <c r="I640" s="7">
        <f t="shared" si="71"/>
        <v>1</v>
      </c>
      <c r="J640" s="7">
        <f t="shared" si="71"/>
        <v>0</v>
      </c>
      <c r="K640" s="7">
        <f t="shared" si="71"/>
        <v>0</v>
      </c>
      <c r="L640" s="6"/>
    </row>
    <row r="641" spans="1:12" outlineLevel="1" x14ac:dyDescent="0.25">
      <c r="A641" s="21">
        <f t="shared" si="72"/>
        <v>6.3017999999999956</v>
      </c>
      <c r="B641" s="25"/>
      <c r="C641" s="22" t="s">
        <v>368</v>
      </c>
      <c r="D641" s="6"/>
      <c r="E641" s="5"/>
      <c r="F641" s="7"/>
      <c r="G641" s="7">
        <f t="shared" si="71"/>
        <v>0</v>
      </c>
      <c r="H641" s="7">
        <f t="shared" si="71"/>
        <v>0</v>
      </c>
      <c r="I641" s="7">
        <f t="shared" si="71"/>
        <v>1</v>
      </c>
      <c r="J641" s="7">
        <f t="shared" si="71"/>
        <v>0</v>
      </c>
      <c r="K641" s="7">
        <f t="shared" si="71"/>
        <v>0</v>
      </c>
      <c r="L641" s="6"/>
    </row>
    <row r="642" spans="1:12" outlineLevel="1" x14ac:dyDescent="0.25">
      <c r="A642" s="21">
        <f t="shared" si="72"/>
        <v>6.3018999999999954</v>
      </c>
      <c r="B642" s="88" t="s">
        <v>456</v>
      </c>
      <c r="C642" s="22" t="s">
        <v>370</v>
      </c>
      <c r="D642" s="6"/>
      <c r="E642" s="5"/>
      <c r="F642" s="7"/>
      <c r="G642" s="7">
        <f t="shared" si="71"/>
        <v>0</v>
      </c>
      <c r="H642" s="7">
        <f t="shared" si="71"/>
        <v>0</v>
      </c>
      <c r="I642" s="7">
        <f t="shared" si="71"/>
        <v>1</v>
      </c>
      <c r="J642" s="7">
        <f t="shared" si="71"/>
        <v>0</v>
      </c>
      <c r="K642" s="7">
        <f t="shared" si="71"/>
        <v>0</v>
      </c>
      <c r="L642" s="6"/>
    </row>
    <row r="643" spans="1:12" outlineLevel="1" x14ac:dyDescent="0.25">
      <c r="A643" s="21">
        <f t="shared" si="72"/>
        <v>6.3019999999999952</v>
      </c>
      <c r="B643" s="24" t="s">
        <v>356</v>
      </c>
      <c r="C643" s="22" t="s">
        <v>357</v>
      </c>
      <c r="D643" s="6"/>
      <c r="E643" s="5"/>
      <c r="F643" s="7"/>
      <c r="G643" s="7">
        <f t="shared" si="71"/>
        <v>0</v>
      </c>
      <c r="H643" s="7">
        <f t="shared" si="71"/>
        <v>0</v>
      </c>
      <c r="I643" s="7">
        <f t="shared" si="71"/>
        <v>1</v>
      </c>
      <c r="J643" s="7">
        <f t="shared" si="71"/>
        <v>0</v>
      </c>
      <c r="K643" s="7">
        <f t="shared" si="71"/>
        <v>0</v>
      </c>
      <c r="L643" s="6"/>
    </row>
    <row r="644" spans="1:12" outlineLevel="1" x14ac:dyDescent="0.25">
      <c r="A644" s="21">
        <f t="shared" si="72"/>
        <v>6.3020999999999949</v>
      </c>
      <c r="B644" s="25"/>
      <c r="C644" s="22" t="s">
        <v>358</v>
      </c>
      <c r="D644" s="6"/>
      <c r="E644" s="5"/>
      <c r="F644" s="7"/>
      <c r="G644" s="7">
        <f t="shared" si="71"/>
        <v>0</v>
      </c>
      <c r="H644" s="7">
        <f t="shared" si="71"/>
        <v>0</v>
      </c>
      <c r="I644" s="7">
        <f t="shared" si="71"/>
        <v>1</v>
      </c>
      <c r="J644" s="7">
        <f t="shared" si="71"/>
        <v>0</v>
      </c>
      <c r="K644" s="7">
        <f t="shared" si="71"/>
        <v>0</v>
      </c>
      <c r="L644" s="6"/>
    </row>
    <row r="645" spans="1:12" outlineLevel="1" x14ac:dyDescent="0.25">
      <c r="A645" s="21">
        <f t="shared" si="72"/>
        <v>6.3021999999999947</v>
      </c>
      <c r="B645" s="25"/>
      <c r="C645" s="22" t="s">
        <v>359</v>
      </c>
      <c r="D645" s="6"/>
      <c r="E645" s="5"/>
      <c r="F645" s="7"/>
      <c r="G645" s="7">
        <f t="shared" si="71"/>
        <v>0</v>
      </c>
      <c r="H645" s="7">
        <f t="shared" si="71"/>
        <v>0</v>
      </c>
      <c r="I645" s="7">
        <f t="shared" si="71"/>
        <v>1</v>
      </c>
      <c r="J645" s="7">
        <f t="shared" si="71"/>
        <v>0</v>
      </c>
      <c r="K645" s="7">
        <f t="shared" si="71"/>
        <v>0</v>
      </c>
      <c r="L645" s="6"/>
    </row>
    <row r="646" spans="1:12" outlineLevel="1" x14ac:dyDescent="0.25">
      <c r="A646" s="21">
        <f t="shared" si="72"/>
        <v>6.3022999999999945</v>
      </c>
      <c r="B646" s="25"/>
      <c r="C646" s="22" t="s">
        <v>360</v>
      </c>
      <c r="D646" s="6"/>
      <c r="E646" s="5"/>
      <c r="F646" s="7"/>
      <c r="G646" s="7">
        <f t="shared" si="71"/>
        <v>0</v>
      </c>
      <c r="H646" s="7">
        <f t="shared" si="71"/>
        <v>0</v>
      </c>
      <c r="I646" s="7">
        <f t="shared" si="71"/>
        <v>1</v>
      </c>
      <c r="J646" s="7">
        <f t="shared" si="71"/>
        <v>0</v>
      </c>
      <c r="K646" s="7">
        <f t="shared" si="71"/>
        <v>0</v>
      </c>
      <c r="L646" s="6"/>
    </row>
    <row r="647" spans="1:12" outlineLevel="1" x14ac:dyDescent="0.25">
      <c r="A647" s="21">
        <f t="shared" si="72"/>
        <v>6.3023999999999942</v>
      </c>
      <c r="B647" s="25"/>
      <c r="C647" s="22" t="s">
        <v>361</v>
      </c>
      <c r="D647" s="6"/>
      <c r="E647" s="5"/>
      <c r="F647" s="7"/>
      <c r="G647" s="7">
        <f t="shared" si="71"/>
        <v>0</v>
      </c>
      <c r="H647" s="7">
        <f t="shared" si="71"/>
        <v>0</v>
      </c>
      <c r="I647" s="7">
        <f t="shared" si="71"/>
        <v>1</v>
      </c>
      <c r="J647" s="7">
        <f t="shared" si="71"/>
        <v>0</v>
      </c>
      <c r="K647" s="7">
        <f t="shared" si="71"/>
        <v>0</v>
      </c>
      <c r="L647" s="6"/>
    </row>
    <row r="648" spans="1:12" outlineLevel="1" x14ac:dyDescent="0.25">
      <c r="A648" s="21">
        <f t="shared" si="72"/>
        <v>6.302499999999994</v>
      </c>
      <c r="B648" s="25"/>
      <c r="C648" s="22" t="s">
        <v>362</v>
      </c>
      <c r="D648" s="6"/>
      <c r="E648" s="5"/>
      <c r="F648" s="7"/>
      <c r="G648" s="7">
        <f t="shared" si="71"/>
        <v>0</v>
      </c>
      <c r="H648" s="7">
        <f t="shared" si="71"/>
        <v>0</v>
      </c>
      <c r="I648" s="7">
        <f t="shared" si="71"/>
        <v>1</v>
      </c>
      <c r="J648" s="7">
        <f t="shared" si="71"/>
        <v>0</v>
      </c>
      <c r="K648" s="7">
        <f t="shared" si="71"/>
        <v>0</v>
      </c>
      <c r="L648" s="6"/>
    </row>
    <row r="649" spans="1:12" outlineLevel="1" x14ac:dyDescent="0.25">
      <c r="A649" s="21">
        <f t="shared" si="72"/>
        <v>6.3025999999999938</v>
      </c>
      <c r="B649" s="25"/>
      <c r="C649" s="22" t="s">
        <v>363</v>
      </c>
      <c r="D649" s="6"/>
      <c r="E649" s="5"/>
      <c r="F649" s="7"/>
      <c r="G649" s="7">
        <f t="shared" si="71"/>
        <v>0</v>
      </c>
      <c r="H649" s="7">
        <f t="shared" si="71"/>
        <v>0</v>
      </c>
      <c r="I649" s="7">
        <f t="shared" si="71"/>
        <v>1</v>
      </c>
      <c r="J649" s="7">
        <f t="shared" si="71"/>
        <v>0</v>
      </c>
      <c r="K649" s="7">
        <f t="shared" si="71"/>
        <v>0</v>
      </c>
      <c r="L649" s="6"/>
    </row>
    <row r="650" spans="1:12" outlineLevel="1" x14ac:dyDescent="0.25">
      <c r="A650" s="21">
        <f t="shared" si="72"/>
        <v>6.3026999999999935</v>
      </c>
      <c r="B650" s="24" t="s">
        <v>348</v>
      </c>
      <c r="C650" s="22" t="s">
        <v>364</v>
      </c>
      <c r="D650" s="6"/>
      <c r="E650" s="5"/>
      <c r="F650" s="7"/>
      <c r="G650" s="7">
        <f t="shared" si="71"/>
        <v>0</v>
      </c>
      <c r="H650" s="7">
        <f t="shared" si="71"/>
        <v>0</v>
      </c>
      <c r="I650" s="7">
        <f t="shared" si="71"/>
        <v>1</v>
      </c>
      <c r="J650" s="7">
        <f t="shared" si="71"/>
        <v>0</v>
      </c>
      <c r="K650" s="7">
        <f t="shared" si="71"/>
        <v>0</v>
      </c>
      <c r="L650" s="6"/>
    </row>
    <row r="651" spans="1:12" outlineLevel="1" x14ac:dyDescent="0.25">
      <c r="A651" s="21">
        <f t="shared" si="72"/>
        <v>6.3027999999999933</v>
      </c>
      <c r="B651" s="25" t="s">
        <v>348</v>
      </c>
      <c r="C651" s="22" t="s">
        <v>365</v>
      </c>
      <c r="D651" s="6"/>
      <c r="E651" s="5"/>
      <c r="F651" s="7"/>
      <c r="G651" s="7">
        <f t="shared" si="71"/>
        <v>0</v>
      </c>
      <c r="H651" s="7">
        <f t="shared" si="71"/>
        <v>0</v>
      </c>
      <c r="I651" s="7">
        <f t="shared" si="71"/>
        <v>1</v>
      </c>
      <c r="J651" s="7">
        <f t="shared" si="71"/>
        <v>0</v>
      </c>
      <c r="K651" s="7">
        <f t="shared" si="71"/>
        <v>0</v>
      </c>
      <c r="L651" s="6"/>
    </row>
    <row r="652" spans="1:12" outlineLevel="1" x14ac:dyDescent="0.25">
      <c r="A652" s="21">
        <f t="shared" si="72"/>
        <v>6.3028999999999931</v>
      </c>
      <c r="B652" s="25" t="s">
        <v>348</v>
      </c>
      <c r="C652" s="22" t="s">
        <v>366</v>
      </c>
      <c r="D652" s="6"/>
      <c r="E652" s="5"/>
      <c r="F652" s="7"/>
      <c r="G652" s="7">
        <f t="shared" si="71"/>
        <v>0</v>
      </c>
      <c r="H652" s="7">
        <f t="shared" si="71"/>
        <v>0</v>
      </c>
      <c r="I652" s="7">
        <f t="shared" si="71"/>
        <v>1</v>
      </c>
      <c r="J652" s="7">
        <f t="shared" si="71"/>
        <v>0</v>
      </c>
      <c r="K652" s="7">
        <f t="shared" si="71"/>
        <v>0</v>
      </c>
      <c r="L652" s="6"/>
    </row>
    <row r="653" spans="1:12" outlineLevel="1" x14ac:dyDescent="0.25">
      <c r="A653" s="21">
        <f t="shared" si="72"/>
        <v>6.3029999999999928</v>
      </c>
      <c r="B653" s="26" t="s">
        <v>348</v>
      </c>
      <c r="C653" s="22" t="s">
        <v>367</v>
      </c>
      <c r="D653" s="6"/>
      <c r="E653" s="5"/>
      <c r="F653" s="7"/>
      <c r="G653" s="7">
        <f t="shared" si="71"/>
        <v>0</v>
      </c>
      <c r="H653" s="7">
        <f t="shared" si="71"/>
        <v>0</v>
      </c>
      <c r="I653" s="7">
        <f t="shared" si="71"/>
        <v>1</v>
      </c>
      <c r="J653" s="7">
        <f t="shared" si="71"/>
        <v>0</v>
      </c>
      <c r="K653" s="7">
        <f t="shared" si="71"/>
        <v>0</v>
      </c>
      <c r="L653" s="6"/>
    </row>
    <row r="654" spans="1:12" outlineLevel="1" x14ac:dyDescent="0.25">
      <c r="A654" s="21">
        <f t="shared" si="72"/>
        <v>6.3030999999999926</v>
      </c>
      <c r="B654" s="65" t="s">
        <v>551</v>
      </c>
      <c r="C654" s="22"/>
      <c r="D654" s="6"/>
      <c r="E654" s="5"/>
      <c r="F654" s="7"/>
      <c r="G654" s="7">
        <f t="shared" si="71"/>
        <v>0</v>
      </c>
      <c r="H654" s="7">
        <f t="shared" si="71"/>
        <v>0</v>
      </c>
      <c r="I654" s="7">
        <f t="shared" si="71"/>
        <v>1</v>
      </c>
      <c r="J654" s="7">
        <f t="shared" si="71"/>
        <v>0</v>
      </c>
      <c r="K654" s="7">
        <f t="shared" si="71"/>
        <v>0</v>
      </c>
      <c r="L654" s="6"/>
    </row>
    <row r="655" spans="1:12" outlineLevel="1" x14ac:dyDescent="0.25">
      <c r="A655" s="21">
        <f t="shared" si="72"/>
        <v>6.3031999999999924</v>
      </c>
      <c r="B655" s="26" t="s">
        <v>529</v>
      </c>
      <c r="C655" s="22" t="s">
        <v>530</v>
      </c>
      <c r="D655" s="6" t="s">
        <v>533</v>
      </c>
      <c r="E655" s="5"/>
      <c r="F655" s="7"/>
      <c r="G655" s="7">
        <f t="shared" si="71"/>
        <v>0</v>
      </c>
      <c r="H655" s="7">
        <f t="shared" si="71"/>
        <v>0</v>
      </c>
      <c r="I655" s="7">
        <f t="shared" si="71"/>
        <v>1</v>
      </c>
      <c r="J655" s="7">
        <f t="shared" si="71"/>
        <v>0</v>
      </c>
      <c r="K655" s="7">
        <f t="shared" si="71"/>
        <v>0</v>
      </c>
      <c r="L655" s="6"/>
    </row>
    <row r="656" spans="1:12" outlineLevel="1" x14ac:dyDescent="0.25">
      <c r="A656" s="21">
        <f t="shared" si="72"/>
        <v>6.3032999999999921</v>
      </c>
      <c r="B656" s="26" t="s">
        <v>531</v>
      </c>
      <c r="C656" s="22" t="s">
        <v>532</v>
      </c>
      <c r="D656" s="6"/>
      <c r="E656" s="5"/>
      <c r="F656" s="7"/>
      <c r="G656" s="7">
        <f t="shared" si="71"/>
        <v>0</v>
      </c>
      <c r="H656" s="7">
        <f t="shared" si="71"/>
        <v>0</v>
      </c>
      <c r="I656" s="7">
        <f t="shared" si="71"/>
        <v>1</v>
      </c>
      <c r="J656" s="7">
        <f t="shared" si="71"/>
        <v>0</v>
      </c>
      <c r="K656" s="7">
        <f t="shared" si="71"/>
        <v>0</v>
      </c>
      <c r="L656" s="6"/>
    </row>
    <row r="657" spans="1:12" outlineLevel="1" x14ac:dyDescent="0.25">
      <c r="A657" s="21">
        <f t="shared" si="72"/>
        <v>6.3033999999999919</v>
      </c>
      <c r="B657" s="5" t="s">
        <v>375</v>
      </c>
      <c r="C657" s="22" t="s">
        <v>376</v>
      </c>
      <c r="D657" s="6"/>
      <c r="E657" s="5"/>
      <c r="F657" s="7"/>
      <c r="G657" s="7">
        <f t="shared" si="71"/>
        <v>0</v>
      </c>
      <c r="H657" s="7">
        <f t="shared" si="71"/>
        <v>0</v>
      </c>
      <c r="I657" s="7">
        <f t="shared" si="71"/>
        <v>1</v>
      </c>
      <c r="J657" s="7">
        <f t="shared" si="71"/>
        <v>0</v>
      </c>
      <c r="K657" s="7">
        <f t="shared" si="71"/>
        <v>0</v>
      </c>
      <c r="L657" s="6"/>
    </row>
    <row r="658" spans="1:12" outlineLevel="1" x14ac:dyDescent="0.25">
      <c r="A658" s="21">
        <f t="shared" si="72"/>
        <v>6.3034999999999917</v>
      </c>
      <c r="B658" s="8" t="str">
        <f>B655</f>
        <v>Set Quantity Type = ALL</v>
      </c>
      <c r="C658" s="22" t="str">
        <f>C655</f>
        <v>Quantity Type = ALL</v>
      </c>
      <c r="D658" s="6"/>
      <c r="E658" s="5"/>
      <c r="F658" s="7"/>
      <c r="G658" s="7">
        <f t="shared" si="71"/>
        <v>0</v>
      </c>
      <c r="H658" s="7">
        <f t="shared" si="71"/>
        <v>0</v>
      </c>
      <c r="I658" s="7">
        <f t="shared" si="71"/>
        <v>1</v>
      </c>
      <c r="J658" s="7">
        <f t="shared" si="71"/>
        <v>0</v>
      </c>
      <c r="K658" s="7">
        <f t="shared" si="71"/>
        <v>0</v>
      </c>
      <c r="L658" s="6"/>
    </row>
    <row r="659" spans="1:12" outlineLevel="1" x14ac:dyDescent="0.25">
      <c r="A659" s="21">
        <f t="shared" si="72"/>
        <v>6.3035999999999914</v>
      </c>
      <c r="B659" s="26" t="str">
        <f>B656</f>
        <v>Capture Quantity = ALL</v>
      </c>
      <c r="C659" s="22" t="str">
        <f>C656</f>
        <v>Quantity = ALL</v>
      </c>
      <c r="D659" s="6"/>
      <c r="E659" s="5"/>
      <c r="F659" s="7"/>
      <c r="G659" s="7">
        <f t="shared" si="71"/>
        <v>0</v>
      </c>
      <c r="H659" s="7">
        <f t="shared" si="71"/>
        <v>0</v>
      </c>
      <c r="I659" s="7">
        <f t="shared" si="71"/>
        <v>1</v>
      </c>
      <c r="J659" s="7">
        <f t="shared" si="71"/>
        <v>0</v>
      </c>
      <c r="K659" s="7">
        <f t="shared" si="71"/>
        <v>0</v>
      </c>
      <c r="L659" s="6"/>
    </row>
    <row r="660" spans="1:12" outlineLevel="1" x14ac:dyDescent="0.25">
      <c r="A660" s="21">
        <f>A658+0.0001</f>
        <v>6.3035999999999914</v>
      </c>
      <c r="B660" s="5" t="s">
        <v>346</v>
      </c>
      <c r="C660" s="22" t="s">
        <v>534</v>
      </c>
      <c r="D660" s="6"/>
      <c r="E660" s="5"/>
      <c r="F660" s="7"/>
      <c r="G660" s="7">
        <f t="shared" si="71"/>
        <v>0</v>
      </c>
      <c r="H660" s="7">
        <f t="shared" si="71"/>
        <v>0</v>
      </c>
      <c r="I660" s="7">
        <f t="shared" si="71"/>
        <v>1</v>
      </c>
      <c r="J660" s="7">
        <f t="shared" si="71"/>
        <v>0</v>
      </c>
      <c r="K660" s="7">
        <f t="shared" si="71"/>
        <v>0</v>
      </c>
      <c r="L660" s="6"/>
    </row>
    <row r="661" spans="1:12" outlineLevel="1" x14ac:dyDescent="0.25">
      <c r="A661" s="21">
        <f>A658+0.0001</f>
        <v>6.3035999999999914</v>
      </c>
      <c r="B661" s="5" t="s">
        <v>539</v>
      </c>
      <c r="C661" s="22" t="s">
        <v>540</v>
      </c>
      <c r="D661" s="6"/>
      <c r="E661" s="5"/>
      <c r="F661" s="7"/>
      <c r="G661" s="7">
        <f t="shared" si="71"/>
        <v>0</v>
      </c>
      <c r="H661" s="7">
        <f t="shared" si="71"/>
        <v>0</v>
      </c>
      <c r="I661" s="7">
        <f t="shared" si="71"/>
        <v>1</v>
      </c>
      <c r="J661" s="7">
        <f t="shared" si="71"/>
        <v>0</v>
      </c>
      <c r="K661" s="7">
        <f t="shared" si="71"/>
        <v>0</v>
      </c>
      <c r="L661" s="6"/>
    </row>
    <row r="662" spans="1:12" outlineLevel="1" x14ac:dyDescent="0.25">
      <c r="A662" s="21">
        <f>A659+0.0001</f>
        <v>6.3036999999999912</v>
      </c>
      <c r="B662" s="5" t="s">
        <v>541</v>
      </c>
      <c r="C662" s="22" t="s">
        <v>548</v>
      </c>
      <c r="D662" s="6"/>
      <c r="E662" s="5"/>
      <c r="F662" s="7"/>
      <c r="G662" s="7">
        <f t="shared" si="71"/>
        <v>0</v>
      </c>
      <c r="H662" s="7">
        <f t="shared" si="71"/>
        <v>0</v>
      </c>
      <c r="I662" s="7">
        <f t="shared" si="71"/>
        <v>1</v>
      </c>
      <c r="J662" s="7">
        <f t="shared" si="71"/>
        <v>0</v>
      </c>
      <c r="K662" s="7">
        <f t="shared" si="71"/>
        <v>0</v>
      </c>
      <c r="L662" s="6"/>
    </row>
    <row r="663" spans="1:12" s="19" customFormat="1" x14ac:dyDescent="0.25">
      <c r="A663" s="83">
        <v>6.4</v>
      </c>
      <c r="B663" s="93" t="s">
        <v>379</v>
      </c>
      <c r="C663" s="84"/>
      <c r="D663" s="85"/>
      <c r="E663" s="85"/>
      <c r="F663" s="86"/>
      <c r="G663" s="86"/>
      <c r="H663" s="86"/>
      <c r="I663" s="86"/>
      <c r="J663" s="86"/>
      <c r="K663" s="86"/>
      <c r="L663" s="85"/>
    </row>
    <row r="664" spans="1:12" outlineLevel="1" x14ac:dyDescent="0.25">
      <c r="A664" s="21">
        <f>A663+0.0001</f>
        <v>6.4001000000000001</v>
      </c>
      <c r="B664" s="63" t="s">
        <v>457</v>
      </c>
      <c r="C664" s="22" t="s">
        <v>405</v>
      </c>
      <c r="D664" s="6"/>
      <c r="E664" s="5"/>
      <c r="F664" s="7"/>
      <c r="G664" s="7">
        <f t="shared" ref="G664:K686" si="73">IF($F664=G$1,1,0)</f>
        <v>0</v>
      </c>
      <c r="H664" s="7">
        <f t="shared" si="73"/>
        <v>0</v>
      </c>
      <c r="I664" s="7">
        <f t="shared" si="73"/>
        <v>1</v>
      </c>
      <c r="J664" s="7">
        <f t="shared" si="73"/>
        <v>0</v>
      </c>
      <c r="K664" s="7">
        <f t="shared" si="73"/>
        <v>0</v>
      </c>
      <c r="L664" s="6"/>
    </row>
    <row r="665" spans="1:12" outlineLevel="1" x14ac:dyDescent="0.25">
      <c r="A665" s="21">
        <f t="shared" ref="A665:A690" si="74">A664+0.0001</f>
        <v>6.4001999999999999</v>
      </c>
      <c r="B665" s="5" t="s">
        <v>346</v>
      </c>
      <c r="C665" s="22" t="s">
        <v>380</v>
      </c>
      <c r="D665" s="6"/>
      <c r="E665" s="5"/>
      <c r="F665" s="7"/>
      <c r="G665" s="7">
        <f t="shared" si="73"/>
        <v>0</v>
      </c>
      <c r="H665" s="7">
        <f t="shared" si="73"/>
        <v>0</v>
      </c>
      <c r="I665" s="7">
        <f t="shared" si="73"/>
        <v>1</v>
      </c>
      <c r="J665" s="7">
        <f t="shared" si="73"/>
        <v>0</v>
      </c>
      <c r="K665" s="7">
        <f t="shared" si="73"/>
        <v>0</v>
      </c>
      <c r="L665" s="6"/>
    </row>
    <row r="666" spans="1:12" outlineLevel="1" x14ac:dyDescent="0.25">
      <c r="A666" s="21">
        <f t="shared" si="74"/>
        <v>6.4002999999999997</v>
      </c>
      <c r="B666" s="5" t="s">
        <v>344</v>
      </c>
      <c r="C666" s="22" t="s">
        <v>381</v>
      </c>
      <c r="D666" s="6"/>
      <c r="E666" s="5"/>
      <c r="F666" s="7"/>
      <c r="G666" s="7">
        <f t="shared" si="73"/>
        <v>0</v>
      </c>
      <c r="H666" s="7">
        <f t="shared" si="73"/>
        <v>0</v>
      </c>
      <c r="I666" s="7">
        <f t="shared" si="73"/>
        <v>1</v>
      </c>
      <c r="J666" s="7">
        <f t="shared" si="73"/>
        <v>0</v>
      </c>
      <c r="K666" s="7">
        <f t="shared" si="73"/>
        <v>0</v>
      </c>
      <c r="L666" s="6"/>
    </row>
    <row r="667" spans="1:12" outlineLevel="1" x14ac:dyDescent="0.25">
      <c r="A667" s="21">
        <f t="shared" si="74"/>
        <v>6.4003999999999994</v>
      </c>
      <c r="B667" s="5" t="s">
        <v>382</v>
      </c>
      <c r="C667" s="22" t="s">
        <v>383</v>
      </c>
      <c r="D667" s="6"/>
      <c r="E667" s="5"/>
      <c r="F667" s="7"/>
      <c r="G667" s="7">
        <f t="shared" si="73"/>
        <v>0</v>
      </c>
      <c r="H667" s="7">
        <f t="shared" si="73"/>
        <v>0</v>
      </c>
      <c r="I667" s="7">
        <f t="shared" si="73"/>
        <v>1</v>
      </c>
      <c r="J667" s="7">
        <f t="shared" si="73"/>
        <v>0</v>
      </c>
      <c r="K667" s="7">
        <f t="shared" si="73"/>
        <v>0</v>
      </c>
      <c r="L667" s="6"/>
    </row>
    <row r="668" spans="1:12" outlineLevel="1" x14ac:dyDescent="0.25">
      <c r="A668" s="21">
        <f t="shared" si="74"/>
        <v>6.4004999999999992</v>
      </c>
      <c r="B668" s="5" t="s">
        <v>348</v>
      </c>
      <c r="C668" s="22" t="s">
        <v>384</v>
      </c>
      <c r="D668" s="6"/>
      <c r="E668" s="5"/>
      <c r="F668" s="7"/>
      <c r="G668" s="7">
        <f t="shared" si="73"/>
        <v>0</v>
      </c>
      <c r="H668" s="7">
        <f t="shared" si="73"/>
        <v>0</v>
      </c>
      <c r="I668" s="7">
        <f t="shared" si="73"/>
        <v>1</v>
      </c>
      <c r="J668" s="7">
        <f t="shared" si="73"/>
        <v>0</v>
      </c>
      <c r="K668" s="7">
        <f t="shared" si="73"/>
        <v>0</v>
      </c>
      <c r="L668" s="6"/>
    </row>
    <row r="669" spans="1:12" outlineLevel="1" x14ac:dyDescent="0.25">
      <c r="A669" s="21">
        <f t="shared" si="74"/>
        <v>6.400599999999999</v>
      </c>
      <c r="B669" s="5" t="s">
        <v>348</v>
      </c>
      <c r="C669" s="22" t="s">
        <v>349</v>
      </c>
      <c r="D669" s="6"/>
      <c r="E669" s="5"/>
      <c r="F669" s="7"/>
      <c r="G669" s="7">
        <f t="shared" si="73"/>
        <v>0</v>
      </c>
      <c r="H669" s="7">
        <f t="shared" si="73"/>
        <v>0</v>
      </c>
      <c r="I669" s="7">
        <f t="shared" si="73"/>
        <v>1</v>
      </c>
      <c r="J669" s="7">
        <f t="shared" si="73"/>
        <v>0</v>
      </c>
      <c r="K669" s="7">
        <f t="shared" si="73"/>
        <v>0</v>
      </c>
      <c r="L669" s="6"/>
    </row>
    <row r="670" spans="1:12" outlineLevel="1" x14ac:dyDescent="0.25">
      <c r="A670" s="21">
        <f t="shared" si="74"/>
        <v>6.4006999999999987</v>
      </c>
      <c r="B670" s="5" t="s">
        <v>348</v>
      </c>
      <c r="C670" s="22" t="s">
        <v>385</v>
      </c>
      <c r="D670" s="6"/>
      <c r="E670" s="5"/>
      <c r="F670" s="7"/>
      <c r="G670" s="7">
        <f t="shared" si="73"/>
        <v>0</v>
      </c>
      <c r="H670" s="7">
        <f t="shared" si="73"/>
        <v>0</v>
      </c>
      <c r="I670" s="7">
        <f t="shared" si="73"/>
        <v>1</v>
      </c>
      <c r="J670" s="7">
        <f t="shared" si="73"/>
        <v>0</v>
      </c>
      <c r="K670" s="7">
        <f t="shared" si="73"/>
        <v>0</v>
      </c>
      <c r="L670" s="6"/>
    </row>
    <row r="671" spans="1:12" outlineLevel="1" x14ac:dyDescent="0.25">
      <c r="A671" s="21">
        <f t="shared" si="74"/>
        <v>6.4007999999999985</v>
      </c>
      <c r="B671" s="63" t="s">
        <v>393</v>
      </c>
      <c r="C671" s="22"/>
      <c r="D671" s="6"/>
      <c r="E671" s="5"/>
      <c r="F671" s="7"/>
      <c r="G671" s="7">
        <f t="shared" si="73"/>
        <v>0</v>
      </c>
      <c r="H671" s="7">
        <f t="shared" si="73"/>
        <v>0</v>
      </c>
      <c r="I671" s="7">
        <f t="shared" si="73"/>
        <v>1</v>
      </c>
      <c r="J671" s="7">
        <f t="shared" si="73"/>
        <v>0</v>
      </c>
      <c r="K671" s="7">
        <f t="shared" si="73"/>
        <v>0</v>
      </c>
      <c r="L671" s="6"/>
    </row>
    <row r="672" spans="1:12" ht="38.25" outlineLevel="1" x14ac:dyDescent="0.25">
      <c r="A672" s="21">
        <f t="shared" si="74"/>
        <v>6.4008999999999983</v>
      </c>
      <c r="B672" s="66" t="s">
        <v>394</v>
      </c>
      <c r="C672" s="22" t="s">
        <v>519</v>
      </c>
      <c r="D672" s="6"/>
      <c r="E672" s="5"/>
      <c r="F672" s="7"/>
      <c r="G672" s="7">
        <f t="shared" si="73"/>
        <v>0</v>
      </c>
      <c r="H672" s="7">
        <f t="shared" si="73"/>
        <v>0</v>
      </c>
      <c r="I672" s="7">
        <f t="shared" si="73"/>
        <v>1</v>
      </c>
      <c r="J672" s="7">
        <f t="shared" si="73"/>
        <v>0</v>
      </c>
      <c r="K672" s="7">
        <f t="shared" si="73"/>
        <v>0</v>
      </c>
      <c r="L672" s="6"/>
    </row>
    <row r="673" spans="1:12" ht="51" outlineLevel="1" x14ac:dyDescent="0.25">
      <c r="A673" s="21">
        <f t="shared" si="74"/>
        <v>6.400999999999998</v>
      </c>
      <c r="B673" s="66" t="s">
        <v>395</v>
      </c>
      <c r="C673" s="22" t="s">
        <v>511</v>
      </c>
      <c r="D673" s="6"/>
      <c r="E673" s="5"/>
      <c r="F673" s="7"/>
      <c r="G673" s="7">
        <f t="shared" si="73"/>
        <v>0</v>
      </c>
      <c r="H673" s="7">
        <f t="shared" si="73"/>
        <v>0</v>
      </c>
      <c r="I673" s="7">
        <f t="shared" si="73"/>
        <v>1</v>
      </c>
      <c r="J673" s="7">
        <f t="shared" si="73"/>
        <v>0</v>
      </c>
      <c r="K673" s="7">
        <f t="shared" si="73"/>
        <v>0</v>
      </c>
      <c r="L673" s="6"/>
    </row>
    <row r="674" spans="1:12" outlineLevel="1" x14ac:dyDescent="0.25">
      <c r="A674" s="21">
        <f t="shared" si="74"/>
        <v>6.4010999999999978</v>
      </c>
      <c r="B674" s="63" t="s">
        <v>396</v>
      </c>
      <c r="C674" s="22" t="s">
        <v>397</v>
      </c>
      <c r="D674" s="6"/>
      <c r="E674" s="5"/>
      <c r="F674" s="7"/>
      <c r="G674" s="7">
        <f t="shared" si="73"/>
        <v>0</v>
      </c>
      <c r="H674" s="7">
        <f t="shared" si="73"/>
        <v>0</v>
      </c>
      <c r="I674" s="7">
        <f t="shared" si="73"/>
        <v>1</v>
      </c>
      <c r="J674" s="7">
        <f t="shared" si="73"/>
        <v>0</v>
      </c>
      <c r="K674" s="7">
        <f t="shared" si="73"/>
        <v>0</v>
      </c>
      <c r="L674" s="6"/>
    </row>
    <row r="675" spans="1:12" ht="38.25" outlineLevel="1" x14ac:dyDescent="0.25">
      <c r="A675" s="21">
        <f t="shared" si="74"/>
        <v>6.4011999999999976</v>
      </c>
      <c r="B675" s="67" t="s">
        <v>398</v>
      </c>
      <c r="C675" s="22" t="s">
        <v>463</v>
      </c>
      <c r="D675" s="6"/>
      <c r="E675" s="5"/>
      <c r="F675" s="7" t="s">
        <v>520</v>
      </c>
      <c r="G675" s="7">
        <f t="shared" si="73"/>
        <v>0</v>
      </c>
      <c r="H675" s="7">
        <f t="shared" si="73"/>
        <v>0</v>
      </c>
      <c r="I675" s="7">
        <f t="shared" si="73"/>
        <v>0</v>
      </c>
      <c r="J675" s="7">
        <f t="shared" si="73"/>
        <v>1</v>
      </c>
      <c r="K675" s="7">
        <f t="shared" si="73"/>
        <v>0</v>
      </c>
      <c r="L675" s="6"/>
    </row>
    <row r="676" spans="1:12" outlineLevel="1" x14ac:dyDescent="0.25">
      <c r="A676" s="21">
        <f t="shared" si="74"/>
        <v>6.4012999999999973</v>
      </c>
      <c r="B676" s="67" t="s">
        <v>399</v>
      </c>
      <c r="C676" s="22"/>
      <c r="D676" s="6"/>
      <c r="E676" s="5"/>
      <c r="F676" s="7" t="s">
        <v>520</v>
      </c>
      <c r="G676" s="7">
        <f t="shared" si="73"/>
        <v>0</v>
      </c>
      <c r="H676" s="7">
        <f t="shared" si="73"/>
        <v>0</v>
      </c>
      <c r="I676" s="7">
        <f t="shared" si="73"/>
        <v>0</v>
      </c>
      <c r="J676" s="7">
        <f t="shared" si="73"/>
        <v>1</v>
      </c>
      <c r="K676" s="7">
        <f t="shared" si="73"/>
        <v>0</v>
      </c>
      <c r="L676" s="6"/>
    </row>
    <row r="677" spans="1:12" outlineLevel="1" x14ac:dyDescent="0.25">
      <c r="A677" s="21">
        <f t="shared" si="74"/>
        <v>6.4013999999999971</v>
      </c>
      <c r="B677" s="67" t="s">
        <v>400</v>
      </c>
      <c r="C677" s="22" t="s">
        <v>549</v>
      </c>
      <c r="D677" s="6"/>
      <c r="E677" s="5"/>
      <c r="F677" s="7"/>
      <c r="G677" s="7">
        <f t="shared" si="73"/>
        <v>0</v>
      </c>
      <c r="H677" s="7">
        <f t="shared" si="73"/>
        <v>0</v>
      </c>
      <c r="I677" s="7">
        <f t="shared" si="73"/>
        <v>1</v>
      </c>
      <c r="J677" s="7">
        <f t="shared" si="73"/>
        <v>0</v>
      </c>
      <c r="K677" s="7">
        <f t="shared" si="73"/>
        <v>0</v>
      </c>
      <c r="L677" s="6"/>
    </row>
    <row r="678" spans="1:12" outlineLevel="1" x14ac:dyDescent="0.25">
      <c r="A678" s="21">
        <f t="shared" si="74"/>
        <v>6.4014999999999969</v>
      </c>
      <c r="B678" s="67" t="s">
        <v>401</v>
      </c>
      <c r="C678" s="22" t="s">
        <v>402</v>
      </c>
      <c r="D678" s="6"/>
      <c r="E678" s="5"/>
      <c r="F678" s="7"/>
      <c r="G678" s="7">
        <f t="shared" si="73"/>
        <v>0</v>
      </c>
      <c r="H678" s="7">
        <f t="shared" si="73"/>
        <v>0</v>
      </c>
      <c r="I678" s="7">
        <f t="shared" si="73"/>
        <v>1</v>
      </c>
      <c r="J678" s="7">
        <f t="shared" si="73"/>
        <v>0</v>
      </c>
      <c r="K678" s="7">
        <f t="shared" si="73"/>
        <v>0</v>
      </c>
      <c r="L678" s="6"/>
    </row>
    <row r="679" spans="1:12" outlineLevel="1" x14ac:dyDescent="0.25">
      <c r="A679" s="21">
        <f t="shared" si="74"/>
        <v>6.4015999999999966</v>
      </c>
      <c r="B679" s="63" t="s">
        <v>403</v>
      </c>
      <c r="C679" s="22" t="s">
        <v>405</v>
      </c>
      <c r="D679" s="6"/>
      <c r="E679" s="5"/>
      <c r="F679" s="7"/>
      <c r="G679" s="7">
        <f t="shared" si="73"/>
        <v>0</v>
      </c>
      <c r="H679" s="7">
        <f t="shared" si="73"/>
        <v>0</v>
      </c>
      <c r="I679" s="7">
        <f t="shared" si="73"/>
        <v>1</v>
      </c>
      <c r="J679" s="7">
        <f t="shared" si="73"/>
        <v>0</v>
      </c>
      <c r="K679" s="7">
        <f t="shared" si="73"/>
        <v>0</v>
      </c>
      <c r="L679" s="6"/>
    </row>
    <row r="680" spans="1:12" ht="76.5" outlineLevel="1" x14ac:dyDescent="0.25">
      <c r="A680" s="21">
        <f t="shared" si="74"/>
        <v>6.4016999999999964</v>
      </c>
      <c r="B680" s="5" t="s">
        <v>404</v>
      </c>
      <c r="C680" s="22" t="s">
        <v>420</v>
      </c>
      <c r="D680" s="6"/>
      <c r="E680" s="5"/>
      <c r="F680" s="7"/>
      <c r="G680" s="7">
        <f t="shared" si="73"/>
        <v>0</v>
      </c>
      <c r="H680" s="7">
        <f t="shared" si="73"/>
        <v>0</v>
      </c>
      <c r="I680" s="7">
        <f t="shared" si="73"/>
        <v>1</v>
      </c>
      <c r="J680" s="7">
        <f t="shared" si="73"/>
        <v>0</v>
      </c>
      <c r="K680" s="7">
        <f t="shared" si="73"/>
        <v>0</v>
      </c>
      <c r="L680" s="6"/>
    </row>
    <row r="681" spans="1:12" outlineLevel="1" x14ac:dyDescent="0.25">
      <c r="A681" s="21">
        <f t="shared" si="74"/>
        <v>6.4017999999999962</v>
      </c>
      <c r="B681" s="5" t="s">
        <v>348</v>
      </c>
      <c r="C681" s="22" t="s">
        <v>406</v>
      </c>
      <c r="D681" s="6"/>
      <c r="E681" s="5"/>
      <c r="F681" s="7"/>
      <c r="G681" s="7">
        <f t="shared" si="73"/>
        <v>0</v>
      </c>
      <c r="H681" s="7">
        <f t="shared" si="73"/>
        <v>0</v>
      </c>
      <c r="I681" s="7">
        <f t="shared" si="73"/>
        <v>1</v>
      </c>
      <c r="J681" s="7">
        <f t="shared" si="73"/>
        <v>0</v>
      </c>
      <c r="K681" s="7">
        <f t="shared" si="73"/>
        <v>0</v>
      </c>
      <c r="L681" s="6"/>
    </row>
    <row r="682" spans="1:12" outlineLevel="1" x14ac:dyDescent="0.25">
      <c r="A682" s="21">
        <f t="shared" si="74"/>
        <v>6.4018999999999959</v>
      </c>
      <c r="B682" s="5" t="s">
        <v>348</v>
      </c>
      <c r="C682" s="22" t="s">
        <v>407</v>
      </c>
      <c r="D682" s="6"/>
      <c r="E682" s="5"/>
      <c r="F682" s="7"/>
      <c r="G682" s="7">
        <f t="shared" si="73"/>
        <v>0</v>
      </c>
      <c r="H682" s="7">
        <f t="shared" si="73"/>
        <v>0</v>
      </c>
      <c r="I682" s="7">
        <f t="shared" si="73"/>
        <v>1</v>
      </c>
      <c r="J682" s="7">
        <f t="shared" si="73"/>
        <v>0</v>
      </c>
      <c r="K682" s="7">
        <f t="shared" si="73"/>
        <v>0</v>
      </c>
      <c r="L682" s="6"/>
    </row>
    <row r="683" spans="1:12" outlineLevel="1" x14ac:dyDescent="0.25">
      <c r="A683" s="21">
        <f t="shared" si="74"/>
        <v>6.4019999999999957</v>
      </c>
      <c r="B683" s="5" t="s">
        <v>348</v>
      </c>
      <c r="C683" s="22" t="s">
        <v>408</v>
      </c>
      <c r="D683" s="6"/>
      <c r="E683" s="5"/>
      <c r="F683" s="7"/>
      <c r="G683" s="7">
        <f t="shared" si="73"/>
        <v>0</v>
      </c>
      <c r="H683" s="7">
        <f t="shared" si="73"/>
        <v>0</v>
      </c>
      <c r="I683" s="7">
        <f t="shared" si="73"/>
        <v>1</v>
      </c>
      <c r="J683" s="7">
        <f t="shared" si="73"/>
        <v>0</v>
      </c>
      <c r="K683" s="7">
        <f t="shared" si="73"/>
        <v>0</v>
      </c>
      <c r="L683" s="6"/>
    </row>
    <row r="684" spans="1:12" outlineLevel="1" x14ac:dyDescent="0.25">
      <c r="A684" s="21">
        <f t="shared" si="74"/>
        <v>6.4020999999999955</v>
      </c>
      <c r="B684" s="5" t="s">
        <v>521</v>
      </c>
      <c r="C684" s="22" t="s">
        <v>522</v>
      </c>
      <c r="D684" s="6"/>
      <c r="E684" s="5"/>
      <c r="F684" s="7"/>
      <c r="G684" s="7">
        <f t="shared" si="73"/>
        <v>0</v>
      </c>
      <c r="H684" s="7">
        <f t="shared" si="73"/>
        <v>0</v>
      </c>
      <c r="I684" s="7">
        <f t="shared" si="73"/>
        <v>1</v>
      </c>
      <c r="J684" s="7">
        <f t="shared" si="73"/>
        <v>0</v>
      </c>
      <c r="K684" s="7">
        <f t="shared" si="73"/>
        <v>0</v>
      </c>
      <c r="L684" s="6"/>
    </row>
    <row r="685" spans="1:12" outlineLevel="1" x14ac:dyDescent="0.25">
      <c r="A685" s="21">
        <f t="shared" si="74"/>
        <v>6.4021999999999952</v>
      </c>
      <c r="B685" s="5" t="s">
        <v>523</v>
      </c>
      <c r="C685" s="22" t="s">
        <v>524</v>
      </c>
      <c r="D685" s="6"/>
      <c r="E685" s="5"/>
      <c r="F685" s="7"/>
      <c r="G685" s="7">
        <f t="shared" si="73"/>
        <v>0</v>
      </c>
      <c r="H685" s="7">
        <f t="shared" si="73"/>
        <v>0</v>
      </c>
      <c r="I685" s="7">
        <f t="shared" si="73"/>
        <v>1</v>
      </c>
      <c r="J685" s="7">
        <f t="shared" si="73"/>
        <v>0</v>
      </c>
      <c r="K685" s="7">
        <f t="shared" si="73"/>
        <v>0</v>
      </c>
      <c r="L685" s="6"/>
    </row>
    <row r="686" spans="1:12" outlineLevel="1" x14ac:dyDescent="0.25">
      <c r="A686" s="21">
        <f t="shared" si="74"/>
        <v>6.402299999999995</v>
      </c>
      <c r="B686" s="24" t="s">
        <v>348</v>
      </c>
      <c r="C686" s="22" t="s">
        <v>385</v>
      </c>
      <c r="D686" s="6"/>
      <c r="E686" s="5"/>
      <c r="F686" s="7"/>
      <c r="G686" s="7">
        <f t="shared" si="73"/>
        <v>0</v>
      </c>
      <c r="H686" s="7">
        <f t="shared" si="73"/>
        <v>0</v>
      </c>
      <c r="I686" s="7">
        <f t="shared" si="73"/>
        <v>1</v>
      </c>
      <c r="J686" s="7">
        <f t="shared" si="73"/>
        <v>0</v>
      </c>
      <c r="K686" s="7">
        <f t="shared" si="73"/>
        <v>0</v>
      </c>
      <c r="L686" s="6"/>
    </row>
    <row r="687" spans="1:12" outlineLevel="1" x14ac:dyDescent="0.25">
      <c r="A687" s="21">
        <f t="shared" si="74"/>
        <v>6.4023999999999948</v>
      </c>
      <c r="B687" s="26" t="s">
        <v>486</v>
      </c>
      <c r="C687" s="22" t="s">
        <v>487</v>
      </c>
      <c r="D687" s="6"/>
      <c r="E687" s="5"/>
      <c r="F687" s="7"/>
      <c r="G687" s="7">
        <f t="shared" ref="G687:K690" si="75">IF($F687=G$1,1,0)</f>
        <v>0</v>
      </c>
      <c r="H687" s="7">
        <f t="shared" si="75"/>
        <v>0</v>
      </c>
      <c r="I687" s="7">
        <f t="shared" si="75"/>
        <v>1</v>
      </c>
      <c r="J687" s="7">
        <f t="shared" si="75"/>
        <v>0</v>
      </c>
      <c r="K687" s="7">
        <f t="shared" si="75"/>
        <v>0</v>
      </c>
      <c r="L687" s="6"/>
    </row>
    <row r="688" spans="1:12" outlineLevel="1" x14ac:dyDescent="0.25">
      <c r="A688" s="21">
        <f t="shared" si="74"/>
        <v>6.4024999999999945</v>
      </c>
      <c r="B688" s="5" t="s">
        <v>482</v>
      </c>
      <c r="C688" s="22" t="s">
        <v>488</v>
      </c>
      <c r="D688" s="6"/>
      <c r="E688" s="5"/>
      <c r="F688" s="7"/>
      <c r="G688" s="7">
        <f t="shared" si="75"/>
        <v>0</v>
      </c>
      <c r="H688" s="7">
        <f t="shared" si="75"/>
        <v>0</v>
      </c>
      <c r="I688" s="7">
        <f t="shared" si="75"/>
        <v>1</v>
      </c>
      <c r="J688" s="7">
        <f t="shared" si="75"/>
        <v>0</v>
      </c>
      <c r="K688" s="7">
        <f t="shared" si="75"/>
        <v>0</v>
      </c>
      <c r="L688" s="6"/>
    </row>
    <row r="689" spans="1:12" outlineLevel="1" x14ac:dyDescent="0.25">
      <c r="A689" s="21">
        <f t="shared" si="74"/>
        <v>6.4025999999999943</v>
      </c>
      <c r="B689" s="5" t="s">
        <v>489</v>
      </c>
      <c r="C689" s="22" t="s">
        <v>490</v>
      </c>
      <c r="D689" s="6"/>
      <c r="E689" s="5"/>
      <c r="F689" s="7"/>
      <c r="G689" s="7">
        <f t="shared" si="75"/>
        <v>0</v>
      </c>
      <c r="H689" s="7">
        <f t="shared" si="75"/>
        <v>0</v>
      </c>
      <c r="I689" s="7">
        <f t="shared" si="75"/>
        <v>1</v>
      </c>
      <c r="J689" s="7">
        <f t="shared" si="75"/>
        <v>0</v>
      </c>
      <c r="K689" s="7">
        <f t="shared" si="75"/>
        <v>0</v>
      </c>
      <c r="L689" s="6"/>
    </row>
    <row r="690" spans="1:12" outlineLevel="1" x14ac:dyDescent="0.25">
      <c r="A690" s="21">
        <f t="shared" si="74"/>
        <v>6.4026999999999941</v>
      </c>
      <c r="B690" s="5" t="s">
        <v>491</v>
      </c>
      <c r="C690" s="22"/>
      <c r="D690" s="6"/>
      <c r="E690" s="5"/>
      <c r="F690" s="7"/>
      <c r="G690" s="7">
        <f t="shared" si="75"/>
        <v>0</v>
      </c>
      <c r="H690" s="7">
        <f t="shared" si="75"/>
        <v>0</v>
      </c>
      <c r="I690" s="7">
        <f t="shared" si="75"/>
        <v>1</v>
      </c>
      <c r="J690" s="7">
        <f t="shared" si="75"/>
        <v>0</v>
      </c>
      <c r="K690" s="7">
        <f t="shared" si="75"/>
        <v>0</v>
      </c>
      <c r="L690" s="6"/>
    </row>
    <row r="691" spans="1:12" s="19" customFormat="1" x14ac:dyDescent="0.25">
      <c r="A691" s="78">
        <v>6.5</v>
      </c>
      <c r="B691" s="79" t="s">
        <v>507</v>
      </c>
      <c r="C691" s="80"/>
      <c r="D691" s="81"/>
      <c r="E691" s="81"/>
      <c r="F691" s="82"/>
      <c r="G691" s="82"/>
      <c r="H691" s="82"/>
      <c r="I691" s="82"/>
      <c r="J691" s="82"/>
      <c r="K691" s="82"/>
      <c r="L691" s="81"/>
    </row>
    <row r="692" spans="1:12" outlineLevel="1" x14ac:dyDescent="0.25">
      <c r="A692" s="21">
        <f>A691+0.0001</f>
        <v>6.5000999999999998</v>
      </c>
      <c r="B692" s="5" t="s">
        <v>343</v>
      </c>
      <c r="C692" s="22" t="s">
        <v>492</v>
      </c>
      <c r="D692" s="6"/>
      <c r="E692" s="5"/>
      <c r="F692" s="7"/>
      <c r="G692" s="7">
        <f t="shared" ref="G692:K694" si="76">IF($F692=G$1,1,0)</f>
        <v>0</v>
      </c>
      <c r="H692" s="7">
        <f t="shared" si="76"/>
        <v>0</v>
      </c>
      <c r="I692" s="7">
        <f t="shared" si="76"/>
        <v>1</v>
      </c>
      <c r="J692" s="7">
        <f t="shared" si="76"/>
        <v>0</v>
      </c>
      <c r="K692" s="7">
        <f t="shared" si="76"/>
        <v>0</v>
      </c>
      <c r="L692" s="6"/>
    </row>
    <row r="693" spans="1:12" outlineLevel="1" x14ac:dyDescent="0.25">
      <c r="A693" s="21">
        <f>A692+0.0001</f>
        <v>6.5001999999999995</v>
      </c>
      <c r="B693" s="5"/>
      <c r="C693" s="22" t="s">
        <v>493</v>
      </c>
      <c r="D693" s="6"/>
      <c r="E693" s="5"/>
      <c r="F693" s="7"/>
      <c r="G693" s="7">
        <f t="shared" si="76"/>
        <v>0</v>
      </c>
      <c r="H693" s="7">
        <f t="shared" si="76"/>
        <v>0</v>
      </c>
      <c r="I693" s="7">
        <f t="shared" si="76"/>
        <v>1</v>
      </c>
      <c r="J693" s="7">
        <f t="shared" si="76"/>
        <v>0</v>
      </c>
      <c r="K693" s="7">
        <f t="shared" si="76"/>
        <v>0</v>
      </c>
      <c r="L693" s="6"/>
    </row>
    <row r="694" spans="1:12" outlineLevel="1" x14ac:dyDescent="0.25">
      <c r="A694" s="21">
        <f>A693+0.0001</f>
        <v>6.5002999999999993</v>
      </c>
      <c r="B694" s="5" t="s">
        <v>482</v>
      </c>
      <c r="C694" s="22" t="s">
        <v>494</v>
      </c>
      <c r="D694" s="6"/>
      <c r="E694" s="5"/>
      <c r="F694" s="7"/>
      <c r="G694" s="7">
        <f t="shared" si="76"/>
        <v>0</v>
      </c>
      <c r="H694" s="7">
        <f t="shared" si="76"/>
        <v>0</v>
      </c>
      <c r="I694" s="7">
        <f t="shared" si="76"/>
        <v>1</v>
      </c>
      <c r="J694" s="7">
        <f t="shared" si="76"/>
        <v>0</v>
      </c>
      <c r="K694" s="7">
        <f t="shared" si="76"/>
        <v>0</v>
      </c>
      <c r="L694" s="6"/>
    </row>
    <row r="695" spans="1:12" x14ac:dyDescent="0.25">
      <c r="A695" s="15">
        <v>7</v>
      </c>
      <c r="B695" s="44" t="s">
        <v>286</v>
      </c>
      <c r="C695" s="17"/>
      <c r="D695" s="16"/>
      <c r="E695" s="16"/>
      <c r="F695" s="18"/>
      <c r="G695" s="18"/>
      <c r="H695" s="18"/>
      <c r="I695" s="18"/>
      <c r="J695" s="18"/>
      <c r="K695" s="18"/>
      <c r="L695" s="16"/>
    </row>
    <row r="696" spans="1:12" collapsed="1" x14ac:dyDescent="0.25">
      <c r="A696" s="34">
        <v>7</v>
      </c>
      <c r="B696" s="47" t="s">
        <v>287</v>
      </c>
      <c r="C696" s="35"/>
      <c r="D696" s="36"/>
      <c r="E696" s="36"/>
      <c r="F696" s="37"/>
      <c r="G696" s="37"/>
      <c r="H696" s="37"/>
      <c r="I696" s="37"/>
      <c r="J696" s="37"/>
      <c r="K696" s="37"/>
      <c r="L696" s="36"/>
    </row>
    <row r="697" spans="1:12" outlineLevel="1" x14ac:dyDescent="0.25">
      <c r="A697" s="21">
        <f t="shared" ref="A697:A713" si="77">A696+0.0001</f>
        <v>7.0000999999999998</v>
      </c>
      <c r="B697" s="5" t="s">
        <v>288</v>
      </c>
      <c r="C697" s="23"/>
      <c r="D697" s="6" t="s">
        <v>342</v>
      </c>
      <c r="E697" s="6"/>
      <c r="F697" s="7" t="s">
        <v>8</v>
      </c>
      <c r="G697" s="7">
        <f t="shared" ref="G697:K704" si="78">IF($F697=G$1,1,0)</f>
        <v>0</v>
      </c>
      <c r="H697" s="7">
        <f t="shared" si="78"/>
        <v>0</v>
      </c>
      <c r="I697" s="7">
        <f t="shared" si="78"/>
        <v>0</v>
      </c>
      <c r="J697" s="7">
        <f t="shared" si="78"/>
        <v>0</v>
      </c>
      <c r="K697" s="7">
        <f t="shared" si="78"/>
        <v>1</v>
      </c>
      <c r="L697" s="6"/>
    </row>
    <row r="698" spans="1:12" outlineLevel="1" x14ac:dyDescent="0.25">
      <c r="A698" s="21">
        <f t="shared" si="77"/>
        <v>7.0001999999999995</v>
      </c>
      <c r="B698" s="5" t="s">
        <v>289</v>
      </c>
      <c r="C698" s="23"/>
      <c r="D698" s="6" t="s">
        <v>342</v>
      </c>
      <c r="E698" s="6"/>
      <c r="F698" s="7" t="s">
        <v>8</v>
      </c>
      <c r="G698" s="7">
        <f t="shared" si="78"/>
        <v>0</v>
      </c>
      <c r="H698" s="7">
        <f t="shared" si="78"/>
        <v>0</v>
      </c>
      <c r="I698" s="7">
        <f t="shared" si="78"/>
        <v>0</v>
      </c>
      <c r="J698" s="7">
        <f t="shared" si="78"/>
        <v>0</v>
      </c>
      <c r="K698" s="7">
        <f t="shared" si="78"/>
        <v>1</v>
      </c>
      <c r="L698" s="6"/>
    </row>
    <row r="699" spans="1:12" outlineLevel="1" x14ac:dyDescent="0.25">
      <c r="A699" s="21">
        <f t="shared" si="77"/>
        <v>7.0002999999999993</v>
      </c>
      <c r="B699" s="5" t="s">
        <v>290</v>
      </c>
      <c r="C699" s="23"/>
      <c r="D699" s="6" t="s">
        <v>342</v>
      </c>
      <c r="E699" s="6"/>
      <c r="F699" s="7" t="s">
        <v>8</v>
      </c>
      <c r="G699" s="7">
        <f t="shared" si="78"/>
        <v>0</v>
      </c>
      <c r="H699" s="7">
        <f t="shared" si="78"/>
        <v>0</v>
      </c>
      <c r="I699" s="7">
        <f t="shared" si="78"/>
        <v>0</v>
      </c>
      <c r="J699" s="7">
        <f t="shared" si="78"/>
        <v>0</v>
      </c>
      <c r="K699" s="7">
        <f t="shared" si="78"/>
        <v>1</v>
      </c>
      <c r="L699" s="6"/>
    </row>
    <row r="700" spans="1:12" x14ac:dyDescent="0.25">
      <c r="A700" s="34">
        <f t="shared" si="77"/>
        <v>7.0003999999999991</v>
      </c>
      <c r="B700" s="47" t="s">
        <v>291</v>
      </c>
      <c r="C700" s="35"/>
      <c r="D700" s="36"/>
      <c r="E700" s="36"/>
      <c r="F700" s="37"/>
      <c r="G700" s="37"/>
      <c r="H700" s="37"/>
      <c r="I700" s="37"/>
      <c r="J700" s="37"/>
      <c r="K700" s="37"/>
      <c r="L700" s="36"/>
    </row>
    <row r="701" spans="1:12" outlineLevel="1" x14ac:dyDescent="0.25">
      <c r="A701" s="21">
        <f t="shared" si="77"/>
        <v>7.0004999999999988</v>
      </c>
      <c r="B701" s="5" t="s">
        <v>292</v>
      </c>
      <c r="C701" s="23"/>
      <c r="D701" s="6" t="s">
        <v>342</v>
      </c>
      <c r="E701" s="6"/>
      <c r="F701" s="7" t="s">
        <v>8</v>
      </c>
      <c r="G701" s="7">
        <f t="shared" si="78"/>
        <v>0</v>
      </c>
      <c r="H701" s="7">
        <f t="shared" si="78"/>
        <v>0</v>
      </c>
      <c r="I701" s="7">
        <f t="shared" si="78"/>
        <v>0</v>
      </c>
      <c r="J701" s="7">
        <f t="shared" si="78"/>
        <v>0</v>
      </c>
      <c r="K701" s="7">
        <f t="shared" si="78"/>
        <v>1</v>
      </c>
      <c r="L701" s="6"/>
    </row>
    <row r="702" spans="1:12" outlineLevel="1" x14ac:dyDescent="0.25">
      <c r="A702" s="21">
        <f t="shared" si="77"/>
        <v>7.0005999999999986</v>
      </c>
      <c r="B702" s="5" t="s">
        <v>293</v>
      </c>
      <c r="C702" s="23"/>
      <c r="D702" s="6" t="s">
        <v>342</v>
      </c>
      <c r="E702" s="6"/>
      <c r="F702" s="7" t="s">
        <v>8</v>
      </c>
      <c r="G702" s="7">
        <f t="shared" si="78"/>
        <v>0</v>
      </c>
      <c r="H702" s="7">
        <f t="shared" si="78"/>
        <v>0</v>
      </c>
      <c r="I702" s="7">
        <f t="shared" si="78"/>
        <v>0</v>
      </c>
      <c r="J702" s="7">
        <f t="shared" si="78"/>
        <v>0</v>
      </c>
      <c r="K702" s="7">
        <f t="shared" si="78"/>
        <v>1</v>
      </c>
      <c r="L702" s="6"/>
    </row>
    <row r="703" spans="1:12" outlineLevel="1" x14ac:dyDescent="0.25">
      <c r="A703" s="21">
        <f t="shared" si="77"/>
        <v>7.0006999999999984</v>
      </c>
      <c r="B703" s="5" t="s">
        <v>294</v>
      </c>
      <c r="C703" s="23"/>
      <c r="D703" s="6" t="s">
        <v>342</v>
      </c>
      <c r="E703" s="6"/>
      <c r="F703" s="7" t="s">
        <v>8</v>
      </c>
      <c r="G703" s="7">
        <f t="shared" si="78"/>
        <v>0</v>
      </c>
      <c r="H703" s="7">
        <f t="shared" si="78"/>
        <v>0</v>
      </c>
      <c r="I703" s="7">
        <f t="shared" si="78"/>
        <v>0</v>
      </c>
      <c r="J703" s="7">
        <f t="shared" si="78"/>
        <v>0</v>
      </c>
      <c r="K703" s="7">
        <f t="shared" si="78"/>
        <v>1</v>
      </c>
      <c r="L703" s="6"/>
    </row>
    <row r="704" spans="1:12" outlineLevel="1" x14ac:dyDescent="0.25">
      <c r="A704" s="21">
        <f t="shared" si="77"/>
        <v>7.0007999999999981</v>
      </c>
      <c r="B704" s="5" t="s">
        <v>295</v>
      </c>
      <c r="C704" s="23"/>
      <c r="D704" s="6" t="s">
        <v>342</v>
      </c>
      <c r="E704" s="6"/>
      <c r="F704" s="7" t="s">
        <v>8</v>
      </c>
      <c r="G704" s="7">
        <f t="shared" si="78"/>
        <v>0</v>
      </c>
      <c r="H704" s="7">
        <f t="shared" si="78"/>
        <v>0</v>
      </c>
      <c r="I704" s="7">
        <f t="shared" si="78"/>
        <v>0</v>
      </c>
      <c r="J704" s="7">
        <f t="shared" si="78"/>
        <v>0</v>
      </c>
      <c r="K704" s="7">
        <f t="shared" si="78"/>
        <v>1</v>
      </c>
      <c r="L704" s="6"/>
    </row>
    <row r="705" spans="1:12" ht="25.5" outlineLevel="1" x14ac:dyDescent="0.25">
      <c r="A705" s="21">
        <f t="shared" si="77"/>
        <v>7.0008999999999979</v>
      </c>
      <c r="B705" s="5" t="s">
        <v>296</v>
      </c>
      <c r="C705" s="23"/>
      <c r="D705" s="6" t="s">
        <v>342</v>
      </c>
      <c r="E705" s="6"/>
      <c r="F705" s="7" t="s">
        <v>8</v>
      </c>
      <c r="G705" s="7">
        <f t="shared" ref="G705:K746" si="79">IF($F705=G$1,1,0)</f>
        <v>0</v>
      </c>
      <c r="H705" s="7">
        <f t="shared" si="79"/>
        <v>0</v>
      </c>
      <c r="I705" s="7">
        <f t="shared" si="79"/>
        <v>0</v>
      </c>
      <c r="J705" s="7">
        <f t="shared" si="79"/>
        <v>0</v>
      </c>
      <c r="K705" s="7">
        <f t="shared" si="79"/>
        <v>1</v>
      </c>
      <c r="L705" s="6"/>
    </row>
    <row r="706" spans="1:12" ht="63.75" outlineLevel="1" x14ac:dyDescent="0.25">
      <c r="A706" s="21">
        <f t="shared" si="77"/>
        <v>7.0009999999999977</v>
      </c>
      <c r="B706" s="5" t="s">
        <v>297</v>
      </c>
      <c r="C706" s="23"/>
      <c r="D706" s="6" t="s">
        <v>342</v>
      </c>
      <c r="E706" s="6"/>
      <c r="F706" s="7" t="s">
        <v>8</v>
      </c>
      <c r="G706" s="7">
        <f t="shared" si="79"/>
        <v>0</v>
      </c>
      <c r="H706" s="7">
        <f t="shared" si="79"/>
        <v>0</v>
      </c>
      <c r="I706" s="7">
        <f t="shared" si="79"/>
        <v>0</v>
      </c>
      <c r="J706" s="7">
        <f t="shared" si="79"/>
        <v>0</v>
      </c>
      <c r="K706" s="7">
        <f t="shared" si="79"/>
        <v>1</v>
      </c>
      <c r="L706" s="6"/>
    </row>
    <row r="707" spans="1:12" outlineLevel="1" x14ac:dyDescent="0.25">
      <c r="A707" s="21">
        <f t="shared" si="77"/>
        <v>7.0010999999999974</v>
      </c>
      <c r="B707" s="5" t="s">
        <v>298</v>
      </c>
      <c r="C707" s="23"/>
      <c r="D707" s="6" t="s">
        <v>342</v>
      </c>
      <c r="E707" s="6"/>
      <c r="F707" s="7" t="s">
        <v>8</v>
      </c>
      <c r="G707" s="7">
        <f t="shared" si="79"/>
        <v>0</v>
      </c>
      <c r="H707" s="7">
        <f t="shared" si="79"/>
        <v>0</v>
      </c>
      <c r="I707" s="7">
        <f t="shared" si="79"/>
        <v>0</v>
      </c>
      <c r="J707" s="7">
        <f t="shared" si="79"/>
        <v>0</v>
      </c>
      <c r="K707" s="7">
        <f t="shared" si="79"/>
        <v>1</v>
      </c>
      <c r="L707" s="6"/>
    </row>
    <row r="708" spans="1:12" x14ac:dyDescent="0.25">
      <c r="A708" s="34">
        <f t="shared" si="77"/>
        <v>7.0011999999999972</v>
      </c>
      <c r="B708" s="47" t="s">
        <v>299</v>
      </c>
      <c r="C708" s="35"/>
      <c r="D708" s="36"/>
      <c r="E708" s="36"/>
      <c r="F708" s="37"/>
      <c r="G708" s="37"/>
      <c r="H708" s="37"/>
      <c r="I708" s="37"/>
      <c r="J708" s="37"/>
      <c r="K708" s="37"/>
      <c r="L708" s="36"/>
    </row>
    <row r="709" spans="1:12" outlineLevel="1" x14ac:dyDescent="0.25">
      <c r="A709" s="21">
        <f t="shared" si="77"/>
        <v>7.001299999999997</v>
      </c>
      <c r="B709" s="5" t="s">
        <v>300</v>
      </c>
      <c r="C709" s="23"/>
      <c r="D709" s="6" t="s">
        <v>342</v>
      </c>
      <c r="E709" s="6"/>
      <c r="F709" s="7" t="s">
        <v>8</v>
      </c>
      <c r="G709" s="7">
        <f t="shared" si="79"/>
        <v>0</v>
      </c>
      <c r="H709" s="7">
        <f t="shared" si="79"/>
        <v>0</v>
      </c>
      <c r="I709" s="7">
        <f t="shared" si="79"/>
        <v>0</v>
      </c>
      <c r="J709" s="7">
        <f t="shared" si="79"/>
        <v>0</v>
      </c>
      <c r="K709" s="7">
        <f t="shared" si="79"/>
        <v>1</v>
      </c>
      <c r="L709" s="6"/>
    </row>
    <row r="710" spans="1:12" outlineLevel="1" x14ac:dyDescent="0.25">
      <c r="A710" s="21">
        <f t="shared" si="77"/>
        <v>7.0013999999999967</v>
      </c>
      <c r="B710" s="5" t="s">
        <v>301</v>
      </c>
      <c r="C710" s="23"/>
      <c r="D710" s="6" t="s">
        <v>342</v>
      </c>
      <c r="E710" s="6"/>
      <c r="F710" s="7" t="s">
        <v>8</v>
      </c>
      <c r="G710" s="7">
        <f t="shared" si="79"/>
        <v>0</v>
      </c>
      <c r="H710" s="7">
        <f t="shared" si="79"/>
        <v>0</v>
      </c>
      <c r="I710" s="7">
        <f t="shared" si="79"/>
        <v>0</v>
      </c>
      <c r="J710" s="7">
        <f t="shared" si="79"/>
        <v>0</v>
      </c>
      <c r="K710" s="7">
        <f t="shared" si="79"/>
        <v>1</v>
      </c>
      <c r="L710" s="6"/>
    </row>
    <row r="711" spans="1:12" outlineLevel="1" x14ac:dyDescent="0.25">
      <c r="A711" s="21">
        <f t="shared" si="77"/>
        <v>7.0014999999999965</v>
      </c>
      <c r="B711" s="5" t="s">
        <v>302</v>
      </c>
      <c r="C711" s="23"/>
      <c r="D711" s="6" t="s">
        <v>342</v>
      </c>
      <c r="E711" s="6"/>
      <c r="F711" s="7" t="s">
        <v>8</v>
      </c>
      <c r="G711" s="7">
        <f t="shared" si="79"/>
        <v>0</v>
      </c>
      <c r="H711" s="7">
        <f t="shared" si="79"/>
        <v>0</v>
      </c>
      <c r="I711" s="7">
        <f t="shared" si="79"/>
        <v>0</v>
      </c>
      <c r="J711" s="7">
        <f t="shared" si="79"/>
        <v>0</v>
      </c>
      <c r="K711" s="7">
        <f t="shared" si="79"/>
        <v>1</v>
      </c>
      <c r="L711" s="6"/>
    </row>
    <row r="712" spans="1:12" outlineLevel="1" x14ac:dyDescent="0.25">
      <c r="A712" s="21">
        <f t="shared" si="77"/>
        <v>7.0015999999999963</v>
      </c>
      <c r="B712" s="5" t="s">
        <v>303</v>
      </c>
      <c r="C712" s="23"/>
      <c r="D712" s="6" t="s">
        <v>342</v>
      </c>
      <c r="E712" s="6"/>
      <c r="F712" s="7" t="s">
        <v>8</v>
      </c>
      <c r="G712" s="7">
        <f t="shared" si="79"/>
        <v>0</v>
      </c>
      <c r="H712" s="7">
        <f t="shared" si="79"/>
        <v>0</v>
      </c>
      <c r="I712" s="7">
        <f t="shared" si="79"/>
        <v>0</v>
      </c>
      <c r="J712" s="7">
        <f t="shared" si="79"/>
        <v>0</v>
      </c>
      <c r="K712" s="7">
        <f t="shared" si="79"/>
        <v>1</v>
      </c>
      <c r="L712" s="6"/>
    </row>
    <row r="713" spans="1:12" outlineLevel="1" x14ac:dyDescent="0.25">
      <c r="A713" s="21">
        <f t="shared" si="77"/>
        <v>7.001699999999996</v>
      </c>
      <c r="B713" s="6" t="s">
        <v>304</v>
      </c>
      <c r="C713" s="5"/>
      <c r="D713" s="6" t="s">
        <v>342</v>
      </c>
      <c r="E713" s="6"/>
      <c r="F713" s="7" t="s">
        <v>8</v>
      </c>
      <c r="G713" s="7">
        <f t="shared" si="79"/>
        <v>0</v>
      </c>
      <c r="H713" s="7">
        <f t="shared" si="79"/>
        <v>0</v>
      </c>
      <c r="I713" s="7">
        <f t="shared" si="79"/>
        <v>0</v>
      </c>
      <c r="J713" s="7">
        <f t="shared" si="79"/>
        <v>0</v>
      </c>
      <c r="K713" s="7">
        <f t="shared" si="79"/>
        <v>1</v>
      </c>
      <c r="L713" s="6"/>
    </row>
    <row r="714" spans="1:12" outlineLevel="1" x14ac:dyDescent="0.25">
      <c r="A714" s="21">
        <f t="shared" ref="A714:A746" si="80">A713+0.0001</f>
        <v>7.0017999999999958</v>
      </c>
      <c r="B714" s="5" t="s">
        <v>305</v>
      </c>
      <c r="C714" s="23"/>
      <c r="D714" s="6" t="s">
        <v>342</v>
      </c>
      <c r="E714" s="6"/>
      <c r="F714" s="7" t="s">
        <v>8</v>
      </c>
      <c r="G714" s="7">
        <f t="shared" si="79"/>
        <v>0</v>
      </c>
      <c r="H714" s="7">
        <f t="shared" si="79"/>
        <v>0</v>
      </c>
      <c r="I714" s="7">
        <f t="shared" si="79"/>
        <v>0</v>
      </c>
      <c r="J714" s="7">
        <f t="shared" si="79"/>
        <v>0</v>
      </c>
      <c r="K714" s="7">
        <f t="shared" si="79"/>
        <v>1</v>
      </c>
      <c r="L714" s="6"/>
    </row>
    <row r="715" spans="1:12" outlineLevel="1" x14ac:dyDescent="0.25">
      <c r="A715" s="21">
        <f t="shared" si="80"/>
        <v>7.0018999999999956</v>
      </c>
      <c r="B715" s="5" t="s">
        <v>306</v>
      </c>
      <c r="C715" s="23"/>
      <c r="D715" s="6" t="s">
        <v>342</v>
      </c>
      <c r="E715" s="6"/>
      <c r="F715" s="7" t="s">
        <v>8</v>
      </c>
      <c r="G715" s="7">
        <f t="shared" si="79"/>
        <v>0</v>
      </c>
      <c r="H715" s="7">
        <f t="shared" si="79"/>
        <v>0</v>
      </c>
      <c r="I715" s="7">
        <f t="shared" si="79"/>
        <v>0</v>
      </c>
      <c r="J715" s="7">
        <f t="shared" si="79"/>
        <v>0</v>
      </c>
      <c r="K715" s="7">
        <f t="shared" si="79"/>
        <v>1</v>
      </c>
      <c r="L715" s="6"/>
    </row>
    <row r="716" spans="1:12" outlineLevel="1" x14ac:dyDescent="0.25">
      <c r="A716" s="21">
        <f t="shared" si="80"/>
        <v>7.0019999999999953</v>
      </c>
      <c r="B716" s="5" t="s">
        <v>307</v>
      </c>
      <c r="C716" s="23"/>
      <c r="D716" s="6" t="s">
        <v>342</v>
      </c>
      <c r="E716" s="6"/>
      <c r="F716" s="7" t="s">
        <v>8</v>
      </c>
      <c r="G716" s="7">
        <f t="shared" si="79"/>
        <v>0</v>
      </c>
      <c r="H716" s="7">
        <f t="shared" si="79"/>
        <v>0</v>
      </c>
      <c r="I716" s="7">
        <f t="shared" si="79"/>
        <v>0</v>
      </c>
      <c r="J716" s="7">
        <f t="shared" si="79"/>
        <v>0</v>
      </c>
      <c r="K716" s="7">
        <f t="shared" si="79"/>
        <v>1</v>
      </c>
      <c r="L716" s="6"/>
    </row>
    <row r="717" spans="1:12" ht="25.5" outlineLevel="1" x14ac:dyDescent="0.25">
      <c r="A717" s="21">
        <f t="shared" si="80"/>
        <v>7.0020999999999951</v>
      </c>
      <c r="B717" s="5" t="s">
        <v>308</v>
      </c>
      <c r="C717" s="23"/>
      <c r="D717" s="6" t="s">
        <v>342</v>
      </c>
      <c r="E717" s="6"/>
      <c r="F717" s="7" t="s">
        <v>8</v>
      </c>
      <c r="G717" s="7">
        <f t="shared" si="79"/>
        <v>0</v>
      </c>
      <c r="H717" s="7">
        <f t="shared" si="79"/>
        <v>0</v>
      </c>
      <c r="I717" s="7">
        <f t="shared" si="79"/>
        <v>0</v>
      </c>
      <c r="J717" s="7">
        <f t="shared" si="79"/>
        <v>0</v>
      </c>
      <c r="K717" s="7">
        <f t="shared" si="79"/>
        <v>1</v>
      </c>
      <c r="L717" s="6"/>
    </row>
    <row r="718" spans="1:12" outlineLevel="1" x14ac:dyDescent="0.25">
      <c r="A718" s="21">
        <f t="shared" si="80"/>
        <v>7.0021999999999949</v>
      </c>
      <c r="B718" s="5" t="s">
        <v>309</v>
      </c>
      <c r="C718" s="23"/>
      <c r="D718" s="6" t="s">
        <v>342</v>
      </c>
      <c r="E718" s="6"/>
      <c r="F718" s="7" t="s">
        <v>8</v>
      </c>
      <c r="G718" s="7">
        <f t="shared" si="79"/>
        <v>0</v>
      </c>
      <c r="H718" s="7">
        <f t="shared" si="79"/>
        <v>0</v>
      </c>
      <c r="I718" s="7">
        <f t="shared" si="79"/>
        <v>0</v>
      </c>
      <c r="J718" s="7">
        <f t="shared" si="79"/>
        <v>0</v>
      </c>
      <c r="K718" s="7">
        <f t="shared" si="79"/>
        <v>1</v>
      </c>
      <c r="L718" s="6"/>
    </row>
    <row r="719" spans="1:12" outlineLevel="1" x14ac:dyDescent="0.25">
      <c r="A719" s="21">
        <f t="shared" si="80"/>
        <v>7.0022999999999946</v>
      </c>
      <c r="B719" s="5" t="s">
        <v>310</v>
      </c>
      <c r="C719" s="23"/>
      <c r="D719" s="6" t="s">
        <v>342</v>
      </c>
      <c r="E719" s="6"/>
      <c r="F719" s="7" t="s">
        <v>8</v>
      </c>
      <c r="G719" s="7">
        <f t="shared" si="79"/>
        <v>0</v>
      </c>
      <c r="H719" s="7">
        <f t="shared" si="79"/>
        <v>0</v>
      </c>
      <c r="I719" s="7">
        <f t="shared" si="79"/>
        <v>0</v>
      </c>
      <c r="J719" s="7">
        <f t="shared" si="79"/>
        <v>0</v>
      </c>
      <c r="K719" s="7">
        <f t="shared" si="79"/>
        <v>1</v>
      </c>
      <c r="L719" s="6"/>
    </row>
    <row r="720" spans="1:12" outlineLevel="1" x14ac:dyDescent="0.25">
      <c r="A720" s="21">
        <f t="shared" si="80"/>
        <v>7.0023999999999944</v>
      </c>
      <c r="B720" s="5" t="s">
        <v>311</v>
      </c>
      <c r="C720" s="23"/>
      <c r="D720" s="6" t="s">
        <v>342</v>
      </c>
      <c r="E720" s="6"/>
      <c r="F720" s="7" t="s">
        <v>8</v>
      </c>
      <c r="G720" s="7">
        <f t="shared" si="79"/>
        <v>0</v>
      </c>
      <c r="H720" s="7">
        <f t="shared" si="79"/>
        <v>0</v>
      </c>
      <c r="I720" s="7">
        <f t="shared" si="79"/>
        <v>0</v>
      </c>
      <c r="J720" s="7">
        <f t="shared" si="79"/>
        <v>0</v>
      </c>
      <c r="K720" s="7">
        <f t="shared" si="79"/>
        <v>1</v>
      </c>
      <c r="L720" s="6"/>
    </row>
    <row r="721" spans="1:12" outlineLevel="1" x14ac:dyDescent="0.25">
      <c r="A721" s="21">
        <f t="shared" si="80"/>
        <v>7.0024999999999942</v>
      </c>
      <c r="B721" s="5" t="s">
        <v>312</v>
      </c>
      <c r="C721" s="23"/>
      <c r="D721" s="6" t="s">
        <v>342</v>
      </c>
      <c r="E721" s="6"/>
      <c r="F721" s="7" t="s">
        <v>8</v>
      </c>
      <c r="G721" s="7">
        <f t="shared" si="79"/>
        <v>0</v>
      </c>
      <c r="H721" s="7">
        <f t="shared" si="79"/>
        <v>0</v>
      </c>
      <c r="I721" s="7">
        <f t="shared" si="79"/>
        <v>0</v>
      </c>
      <c r="J721" s="7">
        <f t="shared" si="79"/>
        <v>0</v>
      </c>
      <c r="K721" s="7">
        <f t="shared" si="79"/>
        <v>1</v>
      </c>
      <c r="L721" s="6"/>
    </row>
    <row r="722" spans="1:12" outlineLevel="1" x14ac:dyDescent="0.25">
      <c r="A722" s="21">
        <f t="shared" si="80"/>
        <v>7.0025999999999939</v>
      </c>
      <c r="B722" s="5" t="s">
        <v>313</v>
      </c>
      <c r="C722" s="23"/>
      <c r="D722" s="6" t="s">
        <v>342</v>
      </c>
      <c r="E722" s="6"/>
      <c r="F722" s="7" t="s">
        <v>8</v>
      </c>
      <c r="G722" s="7">
        <f t="shared" si="79"/>
        <v>0</v>
      </c>
      <c r="H722" s="7">
        <f t="shared" si="79"/>
        <v>0</v>
      </c>
      <c r="I722" s="7">
        <f t="shared" si="79"/>
        <v>0</v>
      </c>
      <c r="J722" s="7">
        <f t="shared" si="79"/>
        <v>0</v>
      </c>
      <c r="K722" s="7">
        <f t="shared" si="79"/>
        <v>1</v>
      </c>
      <c r="L722" s="6"/>
    </row>
    <row r="723" spans="1:12" outlineLevel="1" x14ac:dyDescent="0.25">
      <c r="A723" s="21">
        <f t="shared" si="80"/>
        <v>7.0026999999999937</v>
      </c>
      <c r="B723" s="5" t="s">
        <v>314</v>
      </c>
      <c r="C723" s="23"/>
      <c r="D723" s="6" t="s">
        <v>342</v>
      </c>
      <c r="E723" s="6"/>
      <c r="F723" s="7" t="s">
        <v>8</v>
      </c>
      <c r="G723" s="7">
        <f t="shared" si="79"/>
        <v>0</v>
      </c>
      <c r="H723" s="7">
        <f t="shared" si="79"/>
        <v>0</v>
      </c>
      <c r="I723" s="7">
        <f t="shared" si="79"/>
        <v>0</v>
      </c>
      <c r="J723" s="7">
        <f t="shared" si="79"/>
        <v>0</v>
      </c>
      <c r="K723" s="7">
        <f t="shared" si="79"/>
        <v>1</v>
      </c>
      <c r="L723" s="6"/>
    </row>
    <row r="724" spans="1:12" outlineLevel="1" x14ac:dyDescent="0.25">
      <c r="A724" s="21">
        <f t="shared" si="80"/>
        <v>7.0027999999999935</v>
      </c>
      <c r="B724" s="5" t="s">
        <v>315</v>
      </c>
      <c r="C724" s="23"/>
      <c r="D724" s="6" t="s">
        <v>342</v>
      </c>
      <c r="E724" s="6"/>
      <c r="F724" s="7" t="s">
        <v>8</v>
      </c>
      <c r="G724" s="7">
        <f t="shared" si="79"/>
        <v>0</v>
      </c>
      <c r="H724" s="7">
        <f t="shared" si="79"/>
        <v>0</v>
      </c>
      <c r="I724" s="7">
        <f t="shared" si="79"/>
        <v>0</v>
      </c>
      <c r="J724" s="7">
        <f t="shared" si="79"/>
        <v>0</v>
      </c>
      <c r="K724" s="7">
        <f t="shared" si="79"/>
        <v>1</v>
      </c>
      <c r="L724" s="6"/>
    </row>
    <row r="725" spans="1:12" outlineLevel="1" x14ac:dyDescent="0.25">
      <c r="A725" s="21">
        <f t="shared" si="80"/>
        <v>7.0028999999999932</v>
      </c>
      <c r="B725" s="5" t="s">
        <v>316</v>
      </c>
      <c r="C725" s="23"/>
      <c r="D725" s="6" t="s">
        <v>342</v>
      </c>
      <c r="E725" s="6"/>
      <c r="F725" s="7" t="s">
        <v>8</v>
      </c>
      <c r="G725" s="7">
        <f t="shared" si="79"/>
        <v>0</v>
      </c>
      <c r="H725" s="7">
        <f t="shared" si="79"/>
        <v>0</v>
      </c>
      <c r="I725" s="7">
        <f t="shared" si="79"/>
        <v>0</v>
      </c>
      <c r="J725" s="7">
        <f t="shared" si="79"/>
        <v>0</v>
      </c>
      <c r="K725" s="7">
        <f t="shared" si="79"/>
        <v>1</v>
      </c>
      <c r="L725" s="6"/>
    </row>
    <row r="726" spans="1:12" outlineLevel="1" x14ac:dyDescent="0.25">
      <c r="A726" s="21">
        <f t="shared" si="80"/>
        <v>7.002999999999993</v>
      </c>
      <c r="B726" s="5" t="s">
        <v>317</v>
      </c>
      <c r="C726" s="23"/>
      <c r="D726" s="6" t="s">
        <v>342</v>
      </c>
      <c r="E726" s="6"/>
      <c r="F726" s="7" t="s">
        <v>8</v>
      </c>
      <c r="G726" s="7">
        <f t="shared" si="79"/>
        <v>0</v>
      </c>
      <c r="H726" s="7">
        <f t="shared" si="79"/>
        <v>0</v>
      </c>
      <c r="I726" s="7">
        <f t="shared" si="79"/>
        <v>0</v>
      </c>
      <c r="J726" s="7">
        <f t="shared" si="79"/>
        <v>0</v>
      </c>
      <c r="K726" s="7">
        <f t="shared" si="79"/>
        <v>1</v>
      </c>
      <c r="L726" s="6"/>
    </row>
    <row r="727" spans="1:12" outlineLevel="1" x14ac:dyDescent="0.25">
      <c r="A727" s="21">
        <f t="shared" si="80"/>
        <v>7.0030999999999928</v>
      </c>
      <c r="B727" s="5" t="s">
        <v>318</v>
      </c>
      <c r="C727" s="23"/>
      <c r="D727" s="6" t="s">
        <v>342</v>
      </c>
      <c r="E727" s="6"/>
      <c r="F727" s="7" t="s">
        <v>8</v>
      </c>
      <c r="G727" s="7">
        <f t="shared" si="79"/>
        <v>0</v>
      </c>
      <c r="H727" s="7">
        <f t="shared" si="79"/>
        <v>0</v>
      </c>
      <c r="I727" s="7">
        <f t="shared" si="79"/>
        <v>0</v>
      </c>
      <c r="J727" s="7">
        <f t="shared" si="79"/>
        <v>0</v>
      </c>
      <c r="K727" s="7">
        <f t="shared" si="79"/>
        <v>1</v>
      </c>
      <c r="L727" s="6"/>
    </row>
    <row r="728" spans="1:12" outlineLevel="1" x14ac:dyDescent="0.25">
      <c r="A728" s="21">
        <f t="shared" si="80"/>
        <v>7.0031999999999925</v>
      </c>
      <c r="B728" s="5" t="s">
        <v>319</v>
      </c>
      <c r="C728" s="23"/>
      <c r="D728" s="6" t="s">
        <v>342</v>
      </c>
      <c r="E728" s="6"/>
      <c r="F728" s="7" t="s">
        <v>8</v>
      </c>
      <c r="G728" s="7">
        <f t="shared" si="79"/>
        <v>0</v>
      </c>
      <c r="H728" s="7">
        <f t="shared" si="79"/>
        <v>0</v>
      </c>
      <c r="I728" s="7">
        <f t="shared" si="79"/>
        <v>0</v>
      </c>
      <c r="J728" s="7">
        <f t="shared" si="79"/>
        <v>0</v>
      </c>
      <c r="K728" s="7">
        <f t="shared" si="79"/>
        <v>1</v>
      </c>
      <c r="L728" s="6"/>
    </row>
    <row r="729" spans="1:12" outlineLevel="1" x14ac:dyDescent="0.25">
      <c r="A729" s="21">
        <f t="shared" si="80"/>
        <v>7.0032999999999923</v>
      </c>
      <c r="B729" s="5" t="s">
        <v>320</v>
      </c>
      <c r="C729" s="23"/>
      <c r="D729" s="6" t="s">
        <v>342</v>
      </c>
      <c r="E729" s="6"/>
      <c r="F729" s="7" t="s">
        <v>8</v>
      </c>
      <c r="G729" s="7">
        <f t="shared" si="79"/>
        <v>0</v>
      </c>
      <c r="H729" s="7">
        <f t="shared" si="79"/>
        <v>0</v>
      </c>
      <c r="I729" s="7">
        <f t="shared" si="79"/>
        <v>0</v>
      </c>
      <c r="J729" s="7">
        <f t="shared" si="79"/>
        <v>0</v>
      </c>
      <c r="K729" s="7">
        <f t="shared" si="79"/>
        <v>1</v>
      </c>
      <c r="L729" s="6"/>
    </row>
    <row r="730" spans="1:12" outlineLevel="1" x14ac:dyDescent="0.25">
      <c r="A730" s="21">
        <f t="shared" si="80"/>
        <v>7.0033999999999921</v>
      </c>
      <c r="B730" s="5" t="s">
        <v>321</v>
      </c>
      <c r="C730" s="23"/>
      <c r="D730" s="6" t="s">
        <v>342</v>
      </c>
      <c r="E730" s="6"/>
      <c r="F730" s="7" t="s">
        <v>8</v>
      </c>
      <c r="G730" s="7">
        <f t="shared" si="79"/>
        <v>0</v>
      </c>
      <c r="H730" s="7">
        <f t="shared" si="79"/>
        <v>0</v>
      </c>
      <c r="I730" s="7">
        <f t="shared" si="79"/>
        <v>0</v>
      </c>
      <c r="J730" s="7">
        <f t="shared" si="79"/>
        <v>0</v>
      </c>
      <c r="K730" s="7">
        <f t="shared" si="79"/>
        <v>1</v>
      </c>
      <c r="L730" s="6"/>
    </row>
    <row r="731" spans="1:12" outlineLevel="1" x14ac:dyDescent="0.25">
      <c r="A731" s="21">
        <f t="shared" si="80"/>
        <v>7.0034999999999918</v>
      </c>
      <c r="B731" s="5" t="s">
        <v>322</v>
      </c>
      <c r="C731" s="23"/>
      <c r="D731" s="6" t="s">
        <v>342</v>
      </c>
      <c r="E731" s="6"/>
      <c r="F731" s="7" t="s">
        <v>8</v>
      </c>
      <c r="G731" s="7">
        <f t="shared" si="79"/>
        <v>0</v>
      </c>
      <c r="H731" s="7">
        <f t="shared" si="79"/>
        <v>0</v>
      </c>
      <c r="I731" s="7">
        <f t="shared" si="79"/>
        <v>0</v>
      </c>
      <c r="J731" s="7">
        <f t="shared" si="79"/>
        <v>0</v>
      </c>
      <c r="K731" s="7">
        <f t="shared" si="79"/>
        <v>1</v>
      </c>
      <c r="L731" s="6"/>
    </row>
    <row r="732" spans="1:12" outlineLevel="1" x14ac:dyDescent="0.25">
      <c r="A732" s="21">
        <f t="shared" si="80"/>
        <v>7.0035999999999916</v>
      </c>
      <c r="B732" s="5" t="s">
        <v>323</v>
      </c>
      <c r="C732" s="23"/>
      <c r="D732" s="6" t="s">
        <v>342</v>
      </c>
      <c r="E732" s="6"/>
      <c r="F732" s="7" t="s">
        <v>8</v>
      </c>
      <c r="G732" s="7">
        <f t="shared" si="79"/>
        <v>0</v>
      </c>
      <c r="H732" s="7">
        <f t="shared" si="79"/>
        <v>0</v>
      </c>
      <c r="I732" s="7">
        <f t="shared" si="79"/>
        <v>0</v>
      </c>
      <c r="J732" s="7">
        <f t="shared" si="79"/>
        <v>0</v>
      </c>
      <c r="K732" s="7">
        <f t="shared" si="79"/>
        <v>1</v>
      </c>
      <c r="L732" s="6"/>
    </row>
    <row r="733" spans="1:12" outlineLevel="1" x14ac:dyDescent="0.25">
      <c r="A733" s="21">
        <f t="shared" si="80"/>
        <v>7.0036999999999914</v>
      </c>
      <c r="B733" s="5" t="s">
        <v>324</v>
      </c>
      <c r="C733" s="23"/>
      <c r="D733" s="6" t="s">
        <v>342</v>
      </c>
      <c r="E733" s="6"/>
      <c r="F733" s="7" t="s">
        <v>8</v>
      </c>
      <c r="G733" s="7">
        <f t="shared" si="79"/>
        <v>0</v>
      </c>
      <c r="H733" s="7">
        <f t="shared" si="79"/>
        <v>0</v>
      </c>
      <c r="I733" s="7">
        <f t="shared" si="79"/>
        <v>0</v>
      </c>
      <c r="J733" s="7">
        <f t="shared" si="79"/>
        <v>0</v>
      </c>
      <c r="K733" s="7">
        <f t="shared" si="79"/>
        <v>1</v>
      </c>
      <c r="L733" s="6"/>
    </row>
    <row r="734" spans="1:12" outlineLevel="1" x14ac:dyDescent="0.25">
      <c r="A734" s="21">
        <f t="shared" si="80"/>
        <v>7.0037999999999911</v>
      </c>
      <c r="B734" s="5" t="s">
        <v>325</v>
      </c>
      <c r="C734" s="23"/>
      <c r="D734" s="6" t="s">
        <v>342</v>
      </c>
      <c r="E734" s="6"/>
      <c r="F734" s="7" t="s">
        <v>8</v>
      </c>
      <c r="G734" s="7">
        <f t="shared" si="79"/>
        <v>0</v>
      </c>
      <c r="H734" s="7">
        <f t="shared" si="79"/>
        <v>0</v>
      </c>
      <c r="I734" s="7">
        <f t="shared" si="79"/>
        <v>0</v>
      </c>
      <c r="J734" s="7">
        <f t="shared" si="79"/>
        <v>0</v>
      </c>
      <c r="K734" s="7">
        <f t="shared" si="79"/>
        <v>1</v>
      </c>
      <c r="L734" s="6"/>
    </row>
    <row r="735" spans="1:12" outlineLevel="1" x14ac:dyDescent="0.25">
      <c r="A735" s="21">
        <f t="shared" si="80"/>
        <v>7.0038999999999909</v>
      </c>
      <c r="B735" s="5" t="s">
        <v>326</v>
      </c>
      <c r="C735" s="23"/>
      <c r="D735" s="6" t="s">
        <v>342</v>
      </c>
      <c r="E735" s="6"/>
      <c r="F735" s="7" t="s">
        <v>8</v>
      </c>
      <c r="G735" s="7">
        <f t="shared" si="79"/>
        <v>0</v>
      </c>
      <c r="H735" s="7">
        <f t="shared" si="79"/>
        <v>0</v>
      </c>
      <c r="I735" s="7">
        <f t="shared" si="79"/>
        <v>0</v>
      </c>
      <c r="J735" s="7">
        <f t="shared" si="79"/>
        <v>0</v>
      </c>
      <c r="K735" s="7">
        <f t="shared" si="79"/>
        <v>1</v>
      </c>
      <c r="L735" s="6"/>
    </row>
    <row r="736" spans="1:12" outlineLevel="1" x14ac:dyDescent="0.25">
      <c r="A736" s="21">
        <f t="shared" si="80"/>
        <v>7.0039999999999907</v>
      </c>
      <c r="B736" s="5" t="s">
        <v>327</v>
      </c>
      <c r="C736" s="23"/>
      <c r="D736" s="6" t="s">
        <v>342</v>
      </c>
      <c r="E736" s="6"/>
      <c r="F736" s="7" t="s">
        <v>8</v>
      </c>
      <c r="G736" s="7">
        <f t="shared" si="79"/>
        <v>0</v>
      </c>
      <c r="H736" s="7">
        <f t="shared" si="79"/>
        <v>0</v>
      </c>
      <c r="I736" s="7">
        <f t="shared" si="79"/>
        <v>0</v>
      </c>
      <c r="J736" s="7">
        <f t="shared" si="79"/>
        <v>0</v>
      </c>
      <c r="K736" s="7">
        <f t="shared" si="79"/>
        <v>1</v>
      </c>
      <c r="L736" s="6"/>
    </row>
    <row r="737" spans="1:12" outlineLevel="1" x14ac:dyDescent="0.25">
      <c r="A737" s="21">
        <f t="shared" si="80"/>
        <v>7.0040999999999904</v>
      </c>
      <c r="B737" s="5" t="s">
        <v>328</v>
      </c>
      <c r="C737" s="23"/>
      <c r="D737" s="6" t="s">
        <v>342</v>
      </c>
      <c r="E737" s="6"/>
      <c r="F737" s="7" t="s">
        <v>8</v>
      </c>
      <c r="G737" s="7">
        <f t="shared" si="79"/>
        <v>0</v>
      </c>
      <c r="H737" s="7">
        <f t="shared" si="79"/>
        <v>0</v>
      </c>
      <c r="I737" s="7">
        <f t="shared" si="79"/>
        <v>0</v>
      </c>
      <c r="J737" s="7">
        <f t="shared" si="79"/>
        <v>0</v>
      </c>
      <c r="K737" s="7">
        <f t="shared" si="79"/>
        <v>1</v>
      </c>
      <c r="L737" s="6"/>
    </row>
    <row r="738" spans="1:12" outlineLevel="1" x14ac:dyDescent="0.25">
      <c r="A738" s="21">
        <f t="shared" si="80"/>
        <v>7.0041999999999902</v>
      </c>
      <c r="B738" s="6" t="s">
        <v>329</v>
      </c>
      <c r="C738" s="5"/>
      <c r="D738" s="6" t="s">
        <v>342</v>
      </c>
      <c r="E738" s="6"/>
      <c r="F738" s="7" t="s">
        <v>8</v>
      </c>
      <c r="G738" s="7">
        <f t="shared" si="79"/>
        <v>0</v>
      </c>
      <c r="H738" s="7">
        <f t="shared" si="79"/>
        <v>0</v>
      </c>
      <c r="I738" s="7">
        <f t="shared" si="79"/>
        <v>0</v>
      </c>
      <c r="J738" s="7">
        <f t="shared" si="79"/>
        <v>0</v>
      </c>
      <c r="K738" s="7">
        <f t="shared" si="79"/>
        <v>1</v>
      </c>
      <c r="L738" s="6"/>
    </row>
    <row r="739" spans="1:12" outlineLevel="1" x14ac:dyDescent="0.25">
      <c r="A739" s="21">
        <f t="shared" si="80"/>
        <v>7.00429999999999</v>
      </c>
      <c r="B739" s="5" t="s">
        <v>330</v>
      </c>
      <c r="C739" s="23"/>
      <c r="D739" s="6" t="s">
        <v>342</v>
      </c>
      <c r="E739" s="6"/>
      <c r="F739" s="7" t="s">
        <v>8</v>
      </c>
      <c r="G739" s="7">
        <f t="shared" si="79"/>
        <v>0</v>
      </c>
      <c r="H739" s="7">
        <f t="shared" si="79"/>
        <v>0</v>
      </c>
      <c r="I739" s="7">
        <f t="shared" si="79"/>
        <v>0</v>
      </c>
      <c r="J739" s="7">
        <f t="shared" si="79"/>
        <v>0</v>
      </c>
      <c r="K739" s="7">
        <f t="shared" si="79"/>
        <v>1</v>
      </c>
      <c r="L739" s="6"/>
    </row>
    <row r="740" spans="1:12" outlineLevel="1" x14ac:dyDescent="0.25">
      <c r="A740" s="21">
        <f t="shared" si="80"/>
        <v>7.0043999999999897</v>
      </c>
      <c r="B740" s="5" t="s">
        <v>331</v>
      </c>
      <c r="C740" s="23"/>
      <c r="D740" s="6" t="s">
        <v>342</v>
      </c>
      <c r="E740" s="6"/>
      <c r="F740" s="7" t="s">
        <v>8</v>
      </c>
      <c r="G740" s="7">
        <f t="shared" si="79"/>
        <v>0</v>
      </c>
      <c r="H740" s="7">
        <f t="shared" si="79"/>
        <v>0</v>
      </c>
      <c r="I740" s="7">
        <f t="shared" si="79"/>
        <v>0</v>
      </c>
      <c r="J740" s="7">
        <f t="shared" si="79"/>
        <v>0</v>
      </c>
      <c r="K740" s="7">
        <f t="shared" si="79"/>
        <v>1</v>
      </c>
      <c r="L740" s="6"/>
    </row>
    <row r="741" spans="1:12" outlineLevel="1" x14ac:dyDescent="0.25">
      <c r="A741" s="21">
        <f t="shared" si="80"/>
        <v>7.0044999999999895</v>
      </c>
      <c r="B741" s="5" t="s">
        <v>332</v>
      </c>
      <c r="C741" s="23"/>
      <c r="D741" s="6" t="s">
        <v>342</v>
      </c>
      <c r="E741" s="6"/>
      <c r="F741" s="7" t="s">
        <v>8</v>
      </c>
      <c r="G741" s="7">
        <f t="shared" si="79"/>
        <v>0</v>
      </c>
      <c r="H741" s="7">
        <f t="shared" si="79"/>
        <v>0</v>
      </c>
      <c r="I741" s="7">
        <f t="shared" si="79"/>
        <v>0</v>
      </c>
      <c r="J741" s="7">
        <f t="shared" si="79"/>
        <v>0</v>
      </c>
      <c r="K741" s="7">
        <f t="shared" si="79"/>
        <v>1</v>
      </c>
      <c r="L741" s="6"/>
    </row>
    <row r="742" spans="1:12" outlineLevel="1" x14ac:dyDescent="0.25">
      <c r="A742" s="21">
        <f t="shared" si="80"/>
        <v>7.0045999999999893</v>
      </c>
      <c r="B742" s="5" t="s">
        <v>333</v>
      </c>
      <c r="C742" s="23"/>
      <c r="D742" s="6" t="s">
        <v>342</v>
      </c>
      <c r="E742" s="6"/>
      <c r="F742" s="7" t="s">
        <v>8</v>
      </c>
      <c r="G742" s="7">
        <f t="shared" si="79"/>
        <v>0</v>
      </c>
      <c r="H742" s="7">
        <f t="shared" si="79"/>
        <v>0</v>
      </c>
      <c r="I742" s="7">
        <f t="shared" si="79"/>
        <v>0</v>
      </c>
      <c r="J742" s="7">
        <f t="shared" si="79"/>
        <v>0</v>
      </c>
      <c r="K742" s="7">
        <f t="shared" si="79"/>
        <v>1</v>
      </c>
      <c r="L742" s="6"/>
    </row>
    <row r="743" spans="1:12" outlineLevel="1" x14ac:dyDescent="0.25">
      <c r="A743" s="21">
        <f t="shared" si="80"/>
        <v>7.004699999999989</v>
      </c>
      <c r="B743" s="5" t="s">
        <v>334</v>
      </c>
      <c r="C743" s="23"/>
      <c r="D743" s="6" t="s">
        <v>342</v>
      </c>
      <c r="E743" s="6"/>
      <c r="F743" s="7" t="s">
        <v>8</v>
      </c>
      <c r="G743" s="7">
        <f t="shared" si="79"/>
        <v>0</v>
      </c>
      <c r="H743" s="7">
        <f t="shared" si="79"/>
        <v>0</v>
      </c>
      <c r="I743" s="7">
        <f t="shared" si="79"/>
        <v>0</v>
      </c>
      <c r="J743" s="7">
        <f t="shared" si="79"/>
        <v>0</v>
      </c>
      <c r="K743" s="7">
        <f t="shared" si="79"/>
        <v>1</v>
      </c>
      <c r="L743" s="6"/>
    </row>
    <row r="744" spans="1:12" outlineLevel="1" x14ac:dyDescent="0.25">
      <c r="A744" s="21">
        <f t="shared" si="80"/>
        <v>7.0047999999999888</v>
      </c>
      <c r="B744" s="5" t="s">
        <v>335</v>
      </c>
      <c r="C744" s="23"/>
      <c r="D744" s="6" t="s">
        <v>342</v>
      </c>
      <c r="E744" s="6"/>
      <c r="F744" s="7" t="s">
        <v>8</v>
      </c>
      <c r="G744" s="7">
        <f t="shared" si="79"/>
        <v>0</v>
      </c>
      <c r="H744" s="7">
        <f t="shared" si="79"/>
        <v>0</v>
      </c>
      <c r="I744" s="7">
        <f t="shared" si="79"/>
        <v>0</v>
      </c>
      <c r="J744" s="7">
        <f t="shared" si="79"/>
        <v>0</v>
      </c>
      <c r="K744" s="7">
        <f t="shared" si="79"/>
        <v>1</v>
      </c>
      <c r="L744" s="6"/>
    </row>
    <row r="745" spans="1:12" outlineLevel="1" x14ac:dyDescent="0.25">
      <c r="A745" s="21">
        <f t="shared" si="80"/>
        <v>7.0048999999999886</v>
      </c>
      <c r="B745" s="5" t="s">
        <v>336</v>
      </c>
      <c r="C745" s="23"/>
      <c r="D745" s="6" t="s">
        <v>342</v>
      </c>
      <c r="E745" s="6"/>
      <c r="F745" s="7" t="s">
        <v>8</v>
      </c>
      <c r="G745" s="7">
        <f t="shared" si="79"/>
        <v>0</v>
      </c>
      <c r="H745" s="7">
        <f t="shared" si="79"/>
        <v>0</v>
      </c>
      <c r="I745" s="7">
        <f t="shared" si="79"/>
        <v>0</v>
      </c>
      <c r="J745" s="7">
        <f t="shared" si="79"/>
        <v>0</v>
      </c>
      <c r="K745" s="7">
        <f t="shared" si="79"/>
        <v>1</v>
      </c>
      <c r="L745" s="6"/>
    </row>
    <row r="746" spans="1:12" outlineLevel="1" x14ac:dyDescent="0.25">
      <c r="A746" s="32">
        <f t="shared" si="80"/>
        <v>7.0049999999999883</v>
      </c>
      <c r="B746" s="24" t="s">
        <v>337</v>
      </c>
      <c r="C746" s="31"/>
      <c r="D746" s="6" t="s">
        <v>342</v>
      </c>
      <c r="E746" s="6"/>
      <c r="F746" s="7" t="s">
        <v>8</v>
      </c>
      <c r="G746" s="7">
        <f t="shared" si="79"/>
        <v>0</v>
      </c>
      <c r="H746" s="7">
        <f t="shared" si="79"/>
        <v>0</v>
      </c>
      <c r="I746" s="7">
        <f t="shared" si="79"/>
        <v>0</v>
      </c>
      <c r="J746" s="7">
        <f t="shared" si="79"/>
        <v>0</v>
      </c>
      <c r="K746" s="7">
        <f t="shared" si="79"/>
        <v>1</v>
      </c>
      <c r="L746" s="6"/>
    </row>
    <row r="747" spans="1:12" s="60" customFormat="1" ht="15.75" thickBot="1" x14ac:dyDescent="0.3">
      <c r="A747" s="59"/>
      <c r="G747" s="61">
        <f>SUM(G2:G746)</f>
        <v>104</v>
      </c>
      <c r="H747" s="61">
        <f>SUM(H2:H746)</f>
        <v>0</v>
      </c>
      <c r="I747" s="61">
        <f>SUM(I2:I746)</f>
        <v>489</v>
      </c>
      <c r="J747" s="61">
        <f>SUM(J2:J746)</f>
        <v>35</v>
      </c>
      <c r="K747" s="61">
        <f>SUM(K2:K746)</f>
        <v>75</v>
      </c>
    </row>
    <row r="748" spans="1:12" s="60" customFormat="1" ht="15.75" thickTop="1" x14ac:dyDescent="0.25">
      <c r="A748" s="59"/>
    </row>
    <row r="749" spans="1:12" s="60" customFormat="1" x14ac:dyDescent="0.25">
      <c r="A749" s="59"/>
    </row>
    <row r="750" spans="1:12" s="60" customFormat="1" x14ac:dyDescent="0.25">
      <c r="A750" s="59"/>
    </row>
    <row r="751" spans="1:12" s="60" customFormat="1" x14ac:dyDescent="0.25">
      <c r="A751" s="59"/>
    </row>
    <row r="752" spans="1:12" s="60" customFormat="1" x14ac:dyDescent="0.25">
      <c r="A752" s="59"/>
    </row>
    <row r="753" spans="1:12" s="60" customFormat="1" x14ac:dyDescent="0.25">
      <c r="A753" s="59"/>
    </row>
    <row r="754" spans="1:12" s="60" customFormat="1" x14ac:dyDescent="0.25">
      <c r="A754" s="59"/>
    </row>
    <row r="755" spans="1:12" s="60" customFormat="1" x14ac:dyDescent="0.25">
      <c r="A755" s="59"/>
    </row>
    <row r="756" spans="1:12" s="60" customFormat="1" x14ac:dyDescent="0.25">
      <c r="A756" s="59"/>
    </row>
    <row r="757" spans="1:12" s="60" customFormat="1" x14ac:dyDescent="0.25">
      <c r="A757" s="59"/>
    </row>
    <row r="758" spans="1:12" s="60" customFormat="1" x14ac:dyDescent="0.25">
      <c r="A758" s="59"/>
    </row>
    <row r="759" spans="1:12" s="60" customFormat="1" x14ac:dyDescent="0.25">
      <c r="A759" s="59"/>
    </row>
    <row r="760" spans="1:12" s="60" customFormat="1" x14ac:dyDescent="0.25">
      <c r="A760" s="59"/>
    </row>
    <row r="761" spans="1:12" s="60" customFormat="1" x14ac:dyDescent="0.25">
      <c r="A761" s="59"/>
    </row>
    <row r="762" spans="1:12" s="60" customFormat="1" x14ac:dyDescent="0.25">
      <c r="A762" s="59"/>
    </row>
    <row r="763" spans="1:12" s="60" customFormat="1" x14ac:dyDescent="0.25">
      <c r="A763" s="59"/>
    </row>
    <row r="764" spans="1:12" s="60" customFormat="1" x14ac:dyDescent="0.25">
      <c r="A764" s="56"/>
      <c r="B764" s="54"/>
      <c r="C764" s="54"/>
      <c r="D764" s="54"/>
      <c r="E764" s="54"/>
      <c r="F764" s="55"/>
      <c r="G764" s="55"/>
      <c r="H764" s="55"/>
      <c r="I764" s="55"/>
      <c r="J764" s="55"/>
      <c r="K764" s="55"/>
      <c r="L764" s="53"/>
    </row>
    <row r="765" spans="1:12" x14ac:dyDescent="0.25">
      <c r="A765" s="56"/>
      <c r="B765" s="54"/>
      <c r="C765" s="54"/>
      <c r="D765" s="54"/>
      <c r="E765" s="54"/>
      <c r="F765" s="55"/>
      <c r="G765" s="55"/>
      <c r="H765" s="55"/>
      <c r="I765" s="55"/>
      <c r="J765" s="55"/>
      <c r="K765" s="55"/>
      <c r="L765" s="53"/>
    </row>
    <row r="766" spans="1:12" x14ac:dyDescent="0.25">
      <c r="A766" s="56"/>
      <c r="B766" s="54"/>
      <c r="C766" s="54"/>
      <c r="D766" s="54"/>
      <c r="E766" s="54"/>
      <c r="F766" s="55"/>
      <c r="G766" s="55"/>
      <c r="H766" s="55"/>
      <c r="I766" s="55"/>
      <c r="J766" s="55"/>
      <c r="K766" s="55"/>
      <c r="L766" s="53"/>
    </row>
    <row r="767" spans="1:12" x14ac:dyDescent="0.25">
      <c r="A767" s="56"/>
      <c r="B767" s="54"/>
      <c r="C767" s="54"/>
      <c r="D767" s="54"/>
      <c r="E767" s="54"/>
      <c r="F767" s="55"/>
      <c r="G767" s="55"/>
      <c r="H767" s="55"/>
      <c r="I767" s="55"/>
      <c r="J767" s="55"/>
      <c r="K767" s="55"/>
      <c r="L767" s="53"/>
    </row>
    <row r="768" spans="1:12" x14ac:dyDescent="0.25">
      <c r="A768" s="49"/>
      <c r="B768" s="57"/>
      <c r="C768" s="57"/>
      <c r="D768" s="57"/>
      <c r="E768" s="57"/>
      <c r="F768" s="58"/>
      <c r="G768" s="58"/>
      <c r="H768" s="58"/>
      <c r="I768" s="58"/>
      <c r="J768" s="58"/>
      <c r="K768" s="58"/>
      <c r="L768" s="50"/>
    </row>
    <row r="769" spans="1:12" x14ac:dyDescent="0.25">
      <c r="A769" s="49" t="e">
        <f>#REF!+0.0001</f>
        <v>#REF!</v>
      </c>
      <c r="B769" s="42" t="s">
        <v>44</v>
      </c>
      <c r="C769" s="50" t="s">
        <v>45</v>
      </c>
      <c r="D769" s="51"/>
      <c r="E769" s="51"/>
      <c r="F769" s="52"/>
      <c r="G769" s="52">
        <f t="shared" ref="G769:K778" si="81">IF($F769=G$1,1,0)</f>
        <v>0</v>
      </c>
      <c r="H769" s="52">
        <f t="shared" si="81"/>
        <v>0</v>
      </c>
      <c r="I769" s="52">
        <f t="shared" si="81"/>
        <v>1</v>
      </c>
      <c r="J769" s="52">
        <f t="shared" si="81"/>
        <v>0</v>
      </c>
      <c r="K769" s="52">
        <f t="shared" si="81"/>
        <v>0</v>
      </c>
      <c r="L769" s="51"/>
    </row>
    <row r="770" spans="1:12" x14ac:dyDescent="0.25">
      <c r="A770" s="21" t="e">
        <f t="shared" ref="A770:A802" si="82">A769+0.0001</f>
        <v>#REF!</v>
      </c>
      <c r="B770" s="28"/>
      <c r="C770" s="23" t="s">
        <v>46</v>
      </c>
      <c r="D770" s="6"/>
      <c r="E770" s="6"/>
      <c r="F770" s="7"/>
      <c r="G770" s="7">
        <f t="shared" si="81"/>
        <v>0</v>
      </c>
      <c r="H770" s="7">
        <f t="shared" si="81"/>
        <v>0</v>
      </c>
      <c r="I770" s="7">
        <f t="shared" si="81"/>
        <v>1</v>
      </c>
      <c r="J770" s="7">
        <f t="shared" si="81"/>
        <v>0</v>
      </c>
      <c r="K770" s="7">
        <f t="shared" si="81"/>
        <v>0</v>
      </c>
      <c r="L770" s="6"/>
    </row>
    <row r="771" spans="1:12" x14ac:dyDescent="0.25">
      <c r="A771" s="21" t="e">
        <f t="shared" si="82"/>
        <v>#REF!</v>
      </c>
      <c r="B771" s="28"/>
      <c r="C771" s="23" t="s">
        <v>47</v>
      </c>
      <c r="D771" s="6"/>
      <c r="E771" s="6"/>
      <c r="F771" s="7"/>
      <c r="G771" s="7">
        <f t="shared" si="81"/>
        <v>0</v>
      </c>
      <c r="H771" s="7">
        <f t="shared" si="81"/>
        <v>0</v>
      </c>
      <c r="I771" s="7">
        <f t="shared" si="81"/>
        <v>1</v>
      </c>
      <c r="J771" s="7">
        <f t="shared" si="81"/>
        <v>0</v>
      </c>
      <c r="K771" s="7">
        <f t="shared" si="81"/>
        <v>0</v>
      </c>
      <c r="L771" s="6"/>
    </row>
    <row r="772" spans="1:12" x14ac:dyDescent="0.25">
      <c r="A772" s="21" t="e">
        <f t="shared" si="82"/>
        <v>#REF!</v>
      </c>
      <c r="B772" s="28"/>
      <c r="C772" s="23" t="s">
        <v>48</v>
      </c>
      <c r="D772" s="6"/>
      <c r="E772" s="6"/>
      <c r="F772" s="7"/>
      <c r="G772" s="7">
        <f t="shared" si="81"/>
        <v>0</v>
      </c>
      <c r="H772" s="7">
        <f t="shared" si="81"/>
        <v>0</v>
      </c>
      <c r="I772" s="7">
        <f t="shared" si="81"/>
        <v>1</v>
      </c>
      <c r="J772" s="7">
        <f t="shared" si="81"/>
        <v>0</v>
      </c>
      <c r="K772" s="7">
        <f t="shared" si="81"/>
        <v>0</v>
      </c>
      <c r="L772" s="6"/>
    </row>
    <row r="773" spans="1:12" x14ac:dyDescent="0.25">
      <c r="A773" s="21" t="e">
        <f t="shared" si="82"/>
        <v>#REF!</v>
      </c>
      <c r="B773" s="25"/>
      <c r="C773" s="23" t="s">
        <v>49</v>
      </c>
      <c r="D773" s="6"/>
      <c r="E773" s="6"/>
      <c r="F773" s="7"/>
      <c r="G773" s="7">
        <f t="shared" si="81"/>
        <v>0</v>
      </c>
      <c r="H773" s="7">
        <f t="shared" si="81"/>
        <v>0</v>
      </c>
      <c r="I773" s="7">
        <f t="shared" si="81"/>
        <v>1</v>
      </c>
      <c r="J773" s="7">
        <f t="shared" si="81"/>
        <v>0</v>
      </c>
      <c r="K773" s="7">
        <f t="shared" si="81"/>
        <v>0</v>
      </c>
      <c r="L773" s="6"/>
    </row>
    <row r="774" spans="1:12" ht="25.5" x14ac:dyDescent="0.25">
      <c r="A774" s="21" t="e">
        <f t="shared" si="82"/>
        <v>#REF!</v>
      </c>
      <c r="B774" s="25"/>
      <c r="C774" s="23" t="s">
        <v>50</v>
      </c>
      <c r="D774" s="6"/>
      <c r="E774" s="6"/>
      <c r="F774" s="7"/>
      <c r="G774" s="7">
        <f t="shared" si="81"/>
        <v>0</v>
      </c>
      <c r="H774" s="7">
        <f t="shared" si="81"/>
        <v>0</v>
      </c>
      <c r="I774" s="7">
        <f t="shared" si="81"/>
        <v>1</v>
      </c>
      <c r="J774" s="7">
        <f t="shared" si="81"/>
        <v>0</v>
      </c>
      <c r="K774" s="7">
        <f t="shared" si="81"/>
        <v>0</v>
      </c>
      <c r="L774" s="6"/>
    </row>
    <row r="775" spans="1:12" x14ac:dyDescent="0.25">
      <c r="A775" s="21" t="e">
        <f t="shared" si="82"/>
        <v>#REF!</v>
      </c>
      <c r="B775" s="25"/>
      <c r="C775" s="23" t="s">
        <v>51</v>
      </c>
      <c r="D775" s="6"/>
      <c r="E775" s="6"/>
      <c r="F775" s="7"/>
      <c r="G775" s="7">
        <f t="shared" si="81"/>
        <v>0</v>
      </c>
      <c r="H775" s="7">
        <f t="shared" si="81"/>
        <v>0</v>
      </c>
      <c r="I775" s="7">
        <f t="shared" si="81"/>
        <v>1</v>
      </c>
      <c r="J775" s="7">
        <f t="shared" si="81"/>
        <v>0</v>
      </c>
      <c r="K775" s="7">
        <f t="shared" si="81"/>
        <v>0</v>
      </c>
      <c r="L775" s="6"/>
    </row>
    <row r="776" spans="1:12" x14ac:dyDescent="0.25">
      <c r="A776" s="21" t="e">
        <f t="shared" si="82"/>
        <v>#REF!</v>
      </c>
      <c r="B776" s="25"/>
      <c r="C776" s="23" t="s">
        <v>52</v>
      </c>
      <c r="D776" s="6"/>
      <c r="E776" s="6"/>
      <c r="F776" s="7"/>
      <c r="G776" s="7">
        <f t="shared" si="81"/>
        <v>0</v>
      </c>
      <c r="H776" s="7">
        <f t="shared" si="81"/>
        <v>0</v>
      </c>
      <c r="I776" s="7">
        <f t="shared" si="81"/>
        <v>1</v>
      </c>
      <c r="J776" s="7">
        <f t="shared" si="81"/>
        <v>0</v>
      </c>
      <c r="K776" s="7">
        <f t="shared" si="81"/>
        <v>0</v>
      </c>
      <c r="L776" s="6"/>
    </row>
    <row r="777" spans="1:12" x14ac:dyDescent="0.25">
      <c r="A777" s="21" t="e">
        <f t="shared" si="82"/>
        <v>#REF!</v>
      </c>
      <c r="B777" s="25"/>
      <c r="C777" s="23" t="s">
        <v>53</v>
      </c>
      <c r="D777" s="6"/>
      <c r="E777" s="6"/>
      <c r="F777" s="7"/>
      <c r="G777" s="7">
        <f t="shared" si="81"/>
        <v>0</v>
      </c>
      <c r="H777" s="7">
        <f t="shared" si="81"/>
        <v>0</v>
      </c>
      <c r="I777" s="7">
        <f t="shared" si="81"/>
        <v>1</v>
      </c>
      <c r="J777" s="7">
        <f t="shared" si="81"/>
        <v>0</v>
      </c>
      <c r="K777" s="7">
        <f t="shared" si="81"/>
        <v>0</v>
      </c>
      <c r="L777" s="6"/>
    </row>
    <row r="778" spans="1:12" ht="25.5" x14ac:dyDescent="0.25">
      <c r="A778" s="21" t="e">
        <f t="shared" si="82"/>
        <v>#REF!</v>
      </c>
      <c r="B778" s="25"/>
      <c r="C778" s="23" t="s">
        <v>54</v>
      </c>
      <c r="D778" s="6"/>
      <c r="E778" s="6"/>
      <c r="F778" s="7"/>
      <c r="G778" s="7">
        <f t="shared" si="81"/>
        <v>0</v>
      </c>
      <c r="H778" s="7">
        <f t="shared" si="81"/>
        <v>0</v>
      </c>
      <c r="I778" s="7">
        <f t="shared" si="81"/>
        <v>1</v>
      </c>
      <c r="J778" s="7">
        <f t="shared" si="81"/>
        <v>0</v>
      </c>
      <c r="K778" s="7">
        <f t="shared" si="81"/>
        <v>0</v>
      </c>
      <c r="L778" s="6"/>
    </row>
    <row r="779" spans="1:12" x14ac:dyDescent="0.25">
      <c r="A779" s="21" t="e">
        <f t="shared" si="82"/>
        <v>#REF!</v>
      </c>
      <c r="B779" s="25"/>
      <c r="C779" s="23" t="s">
        <v>55</v>
      </c>
      <c r="D779" s="6"/>
      <c r="E779" s="6"/>
      <c r="F779" s="7"/>
      <c r="G779" s="7">
        <f t="shared" ref="G779:K788" si="83">IF($F779=G$1,1,0)</f>
        <v>0</v>
      </c>
      <c r="H779" s="7">
        <f t="shared" si="83"/>
        <v>0</v>
      </c>
      <c r="I779" s="7">
        <f t="shared" si="83"/>
        <v>1</v>
      </c>
      <c r="J779" s="7">
        <f t="shared" si="83"/>
        <v>0</v>
      </c>
      <c r="K779" s="7">
        <f t="shared" si="83"/>
        <v>0</v>
      </c>
      <c r="L779" s="6"/>
    </row>
    <row r="780" spans="1:12" ht="25.5" x14ac:dyDescent="0.25">
      <c r="A780" s="21" t="e">
        <f t="shared" si="82"/>
        <v>#REF!</v>
      </c>
      <c r="B780" s="25"/>
      <c r="C780" s="23" t="s">
        <v>56</v>
      </c>
      <c r="D780" s="6"/>
      <c r="E780" s="6"/>
      <c r="F780" s="7"/>
      <c r="G780" s="7">
        <f t="shared" si="83"/>
        <v>0</v>
      </c>
      <c r="H780" s="7">
        <f t="shared" si="83"/>
        <v>0</v>
      </c>
      <c r="I780" s="7">
        <f t="shared" si="83"/>
        <v>1</v>
      </c>
      <c r="J780" s="7">
        <f t="shared" si="83"/>
        <v>0</v>
      </c>
      <c r="K780" s="7">
        <f t="shared" si="83"/>
        <v>0</v>
      </c>
      <c r="L780" s="6"/>
    </row>
    <row r="781" spans="1:12" x14ac:dyDescent="0.25">
      <c r="A781" s="21" t="e">
        <f t="shared" si="82"/>
        <v>#REF!</v>
      </c>
      <c r="B781" s="25"/>
      <c r="C781" s="22" t="s">
        <v>57</v>
      </c>
      <c r="D781" s="6"/>
      <c r="E781" s="6"/>
      <c r="F781" s="7"/>
      <c r="G781" s="7">
        <f t="shared" si="83"/>
        <v>0</v>
      </c>
      <c r="H781" s="7">
        <f t="shared" si="83"/>
        <v>0</v>
      </c>
      <c r="I781" s="7">
        <f t="shared" si="83"/>
        <v>1</v>
      </c>
      <c r="J781" s="7">
        <f t="shared" si="83"/>
        <v>0</v>
      </c>
      <c r="K781" s="7">
        <f t="shared" si="83"/>
        <v>0</v>
      </c>
      <c r="L781" s="6"/>
    </row>
    <row r="782" spans="1:12" x14ac:dyDescent="0.25">
      <c r="A782" s="21" t="e">
        <f t="shared" si="82"/>
        <v>#REF!</v>
      </c>
      <c r="B782" s="25"/>
      <c r="C782" s="23" t="s">
        <v>58</v>
      </c>
      <c r="D782" s="6"/>
      <c r="E782" s="6"/>
      <c r="F782" s="7"/>
      <c r="G782" s="7">
        <f t="shared" si="83"/>
        <v>0</v>
      </c>
      <c r="H782" s="7">
        <f t="shared" si="83"/>
        <v>0</v>
      </c>
      <c r="I782" s="7">
        <f t="shared" si="83"/>
        <v>1</v>
      </c>
      <c r="J782" s="7">
        <f t="shared" si="83"/>
        <v>0</v>
      </c>
      <c r="K782" s="7">
        <f t="shared" si="83"/>
        <v>0</v>
      </c>
      <c r="L782" s="6"/>
    </row>
    <row r="783" spans="1:12" x14ac:dyDescent="0.25">
      <c r="A783" s="21" t="e">
        <f t="shared" si="82"/>
        <v>#REF!</v>
      </c>
      <c r="B783" s="25"/>
      <c r="C783" s="23" t="s">
        <v>59</v>
      </c>
      <c r="D783" s="6"/>
      <c r="E783" s="6"/>
      <c r="F783" s="7"/>
      <c r="G783" s="7">
        <f t="shared" si="83"/>
        <v>0</v>
      </c>
      <c r="H783" s="7">
        <f t="shared" si="83"/>
        <v>0</v>
      </c>
      <c r="I783" s="7">
        <f t="shared" si="83"/>
        <v>1</v>
      </c>
      <c r="J783" s="7">
        <f t="shared" si="83"/>
        <v>0</v>
      </c>
      <c r="K783" s="7">
        <f t="shared" si="83"/>
        <v>0</v>
      </c>
      <c r="L783" s="6"/>
    </row>
    <row r="784" spans="1:12" x14ac:dyDescent="0.25">
      <c r="A784" s="21" t="e">
        <f t="shared" si="82"/>
        <v>#REF!</v>
      </c>
      <c r="B784" s="25"/>
      <c r="C784" s="23" t="s">
        <v>60</v>
      </c>
      <c r="D784" s="6"/>
      <c r="E784" s="6"/>
      <c r="F784" s="7"/>
      <c r="G784" s="7">
        <f t="shared" si="83"/>
        <v>0</v>
      </c>
      <c r="H784" s="7">
        <f t="shared" si="83"/>
        <v>0</v>
      </c>
      <c r="I784" s="7">
        <f t="shared" si="83"/>
        <v>1</v>
      </c>
      <c r="J784" s="7">
        <f t="shared" si="83"/>
        <v>0</v>
      </c>
      <c r="K784" s="7">
        <f t="shared" si="83"/>
        <v>0</v>
      </c>
      <c r="L784" s="6"/>
    </row>
    <row r="785" spans="1:12" x14ac:dyDescent="0.25">
      <c r="A785" s="21" t="e">
        <f t="shared" si="82"/>
        <v>#REF!</v>
      </c>
      <c r="B785" s="25"/>
      <c r="C785" s="23" t="s">
        <v>61</v>
      </c>
      <c r="D785" s="6"/>
      <c r="E785" s="6"/>
      <c r="F785" s="7"/>
      <c r="G785" s="7">
        <f t="shared" si="83"/>
        <v>0</v>
      </c>
      <c r="H785" s="7">
        <f t="shared" si="83"/>
        <v>0</v>
      </c>
      <c r="I785" s="7">
        <f t="shared" si="83"/>
        <v>1</v>
      </c>
      <c r="J785" s="7">
        <f t="shared" si="83"/>
        <v>0</v>
      </c>
      <c r="K785" s="7">
        <f t="shared" si="83"/>
        <v>0</v>
      </c>
      <c r="L785" s="6"/>
    </row>
    <row r="786" spans="1:12" x14ac:dyDescent="0.25">
      <c r="A786" s="21" t="e">
        <f t="shared" si="82"/>
        <v>#REF!</v>
      </c>
      <c r="B786" s="25"/>
      <c r="C786" s="23" t="s">
        <v>62</v>
      </c>
      <c r="D786" s="6"/>
      <c r="E786" s="6"/>
      <c r="F786" s="7"/>
      <c r="G786" s="7">
        <f t="shared" si="83"/>
        <v>0</v>
      </c>
      <c r="H786" s="7">
        <f t="shared" si="83"/>
        <v>0</v>
      </c>
      <c r="I786" s="7">
        <f t="shared" si="83"/>
        <v>1</v>
      </c>
      <c r="J786" s="7">
        <f t="shared" si="83"/>
        <v>0</v>
      </c>
      <c r="K786" s="7">
        <f t="shared" si="83"/>
        <v>0</v>
      </c>
      <c r="L786" s="6"/>
    </row>
    <row r="787" spans="1:12" x14ac:dyDescent="0.25">
      <c r="A787" s="21" t="e">
        <f t="shared" si="82"/>
        <v>#REF!</v>
      </c>
      <c r="B787" s="25"/>
      <c r="C787" s="23" t="s">
        <v>63</v>
      </c>
      <c r="D787" s="6"/>
      <c r="E787" s="6"/>
      <c r="F787" s="7"/>
      <c r="G787" s="7">
        <f t="shared" si="83"/>
        <v>0</v>
      </c>
      <c r="H787" s="7">
        <f t="shared" si="83"/>
        <v>0</v>
      </c>
      <c r="I787" s="7">
        <f t="shared" si="83"/>
        <v>1</v>
      </c>
      <c r="J787" s="7">
        <f t="shared" si="83"/>
        <v>0</v>
      </c>
      <c r="K787" s="7">
        <f t="shared" si="83"/>
        <v>0</v>
      </c>
      <c r="L787" s="6"/>
    </row>
    <row r="788" spans="1:12" x14ac:dyDescent="0.25">
      <c r="A788" s="21" t="e">
        <f t="shared" si="82"/>
        <v>#REF!</v>
      </c>
      <c r="B788" s="25"/>
      <c r="C788" s="23" t="s">
        <v>64</v>
      </c>
      <c r="D788" s="6"/>
      <c r="E788" s="6"/>
      <c r="F788" s="7"/>
      <c r="G788" s="7">
        <f t="shared" si="83"/>
        <v>0</v>
      </c>
      <c r="H788" s="7">
        <f t="shared" si="83"/>
        <v>0</v>
      </c>
      <c r="I788" s="7">
        <f t="shared" si="83"/>
        <v>1</v>
      </c>
      <c r="J788" s="7">
        <f t="shared" si="83"/>
        <v>0</v>
      </c>
      <c r="K788" s="7">
        <f t="shared" si="83"/>
        <v>0</v>
      </c>
      <c r="L788" s="6"/>
    </row>
    <row r="789" spans="1:12" x14ac:dyDescent="0.25">
      <c r="A789" s="21" t="e">
        <f t="shared" si="82"/>
        <v>#REF!</v>
      </c>
      <c r="B789" s="25"/>
      <c r="C789" s="23" t="s">
        <v>65</v>
      </c>
      <c r="D789" s="6"/>
      <c r="E789" s="6"/>
      <c r="F789" s="7"/>
      <c r="G789" s="7">
        <f t="shared" ref="G789:K798" si="84">IF($F789=G$1,1,0)</f>
        <v>0</v>
      </c>
      <c r="H789" s="7">
        <f t="shared" si="84"/>
        <v>0</v>
      </c>
      <c r="I789" s="7">
        <f t="shared" si="84"/>
        <v>1</v>
      </c>
      <c r="J789" s="7">
        <f t="shared" si="84"/>
        <v>0</v>
      </c>
      <c r="K789" s="7">
        <f t="shared" si="84"/>
        <v>0</v>
      </c>
      <c r="L789" s="6"/>
    </row>
    <row r="790" spans="1:12" x14ac:dyDescent="0.25">
      <c r="A790" s="21" t="e">
        <f t="shared" si="82"/>
        <v>#REF!</v>
      </c>
      <c r="B790" s="25"/>
      <c r="C790" s="23" t="s">
        <v>66</v>
      </c>
      <c r="D790" s="6"/>
      <c r="E790" s="6"/>
      <c r="F790" s="7"/>
      <c r="G790" s="7">
        <f t="shared" si="84"/>
        <v>0</v>
      </c>
      <c r="H790" s="7">
        <f t="shared" si="84"/>
        <v>0</v>
      </c>
      <c r="I790" s="7">
        <f t="shared" si="84"/>
        <v>1</v>
      </c>
      <c r="J790" s="7">
        <f t="shared" si="84"/>
        <v>0</v>
      </c>
      <c r="K790" s="7">
        <f t="shared" si="84"/>
        <v>0</v>
      </c>
      <c r="L790" s="6"/>
    </row>
    <row r="791" spans="1:12" x14ac:dyDescent="0.25">
      <c r="A791" s="21" t="e">
        <f t="shared" si="82"/>
        <v>#REF!</v>
      </c>
      <c r="B791" s="25"/>
      <c r="C791" s="23" t="s">
        <v>67</v>
      </c>
      <c r="D791" s="6"/>
      <c r="E791" s="6"/>
      <c r="F791" s="7"/>
      <c r="G791" s="7">
        <f t="shared" si="84"/>
        <v>0</v>
      </c>
      <c r="H791" s="7">
        <f t="shared" si="84"/>
        <v>0</v>
      </c>
      <c r="I791" s="7">
        <f t="shared" si="84"/>
        <v>1</v>
      </c>
      <c r="J791" s="7">
        <f t="shared" si="84"/>
        <v>0</v>
      </c>
      <c r="K791" s="7">
        <f t="shared" si="84"/>
        <v>0</v>
      </c>
      <c r="L791" s="6"/>
    </row>
    <row r="792" spans="1:12" x14ac:dyDescent="0.25">
      <c r="A792" s="21" t="e">
        <f t="shared" si="82"/>
        <v>#REF!</v>
      </c>
      <c r="B792" s="25"/>
      <c r="C792" s="23" t="s">
        <v>68</v>
      </c>
      <c r="D792" s="6"/>
      <c r="E792" s="6"/>
      <c r="F792" s="7"/>
      <c r="G792" s="7">
        <f t="shared" si="84"/>
        <v>0</v>
      </c>
      <c r="H792" s="7">
        <f t="shared" si="84"/>
        <v>0</v>
      </c>
      <c r="I792" s="7">
        <f t="shared" si="84"/>
        <v>1</v>
      </c>
      <c r="J792" s="7">
        <f t="shared" si="84"/>
        <v>0</v>
      </c>
      <c r="K792" s="7">
        <f t="shared" si="84"/>
        <v>0</v>
      </c>
      <c r="L792" s="6"/>
    </row>
    <row r="793" spans="1:12" x14ac:dyDescent="0.25">
      <c r="A793" s="21" t="e">
        <f t="shared" si="82"/>
        <v>#REF!</v>
      </c>
      <c r="B793" s="25"/>
      <c r="C793" s="23" t="s">
        <v>69</v>
      </c>
      <c r="D793" s="6"/>
      <c r="E793" s="6"/>
      <c r="F793" s="7"/>
      <c r="G793" s="7">
        <f t="shared" si="84"/>
        <v>0</v>
      </c>
      <c r="H793" s="7">
        <f t="shared" si="84"/>
        <v>0</v>
      </c>
      <c r="I793" s="7">
        <f t="shared" si="84"/>
        <v>1</v>
      </c>
      <c r="J793" s="7">
        <f t="shared" si="84"/>
        <v>0</v>
      </c>
      <c r="K793" s="7">
        <f t="shared" si="84"/>
        <v>0</v>
      </c>
      <c r="L793" s="6"/>
    </row>
    <row r="794" spans="1:12" x14ac:dyDescent="0.25">
      <c r="A794" s="21" t="e">
        <f t="shared" si="82"/>
        <v>#REF!</v>
      </c>
      <c r="B794" s="25"/>
      <c r="C794" s="23" t="s">
        <v>70</v>
      </c>
      <c r="D794" s="6"/>
      <c r="E794" s="6"/>
      <c r="F794" s="7"/>
      <c r="G794" s="7">
        <f t="shared" si="84"/>
        <v>0</v>
      </c>
      <c r="H794" s="7">
        <f t="shared" si="84"/>
        <v>0</v>
      </c>
      <c r="I794" s="7">
        <f t="shared" si="84"/>
        <v>1</v>
      </c>
      <c r="J794" s="7">
        <f t="shared" si="84"/>
        <v>0</v>
      </c>
      <c r="K794" s="7">
        <f t="shared" si="84"/>
        <v>0</v>
      </c>
      <c r="L794" s="6"/>
    </row>
    <row r="795" spans="1:12" ht="25.5" x14ac:dyDescent="0.25">
      <c r="A795" s="21" t="e">
        <f t="shared" si="82"/>
        <v>#REF!</v>
      </c>
      <c r="B795" s="24" t="s">
        <v>71</v>
      </c>
      <c r="C795" s="23" t="s">
        <v>72</v>
      </c>
      <c r="D795" s="6"/>
      <c r="E795" s="6"/>
      <c r="F795" s="7"/>
      <c r="G795" s="7">
        <f t="shared" si="84"/>
        <v>0</v>
      </c>
      <c r="H795" s="7">
        <f t="shared" si="84"/>
        <v>0</v>
      </c>
      <c r="I795" s="7">
        <f t="shared" si="84"/>
        <v>1</v>
      </c>
      <c r="J795" s="7">
        <f t="shared" si="84"/>
        <v>0</v>
      </c>
      <c r="K795" s="7">
        <f t="shared" si="84"/>
        <v>0</v>
      </c>
      <c r="L795" s="6"/>
    </row>
    <row r="796" spans="1:12" x14ac:dyDescent="0.25">
      <c r="A796" s="21" t="e">
        <f t="shared" si="82"/>
        <v>#REF!</v>
      </c>
      <c r="B796" s="26"/>
      <c r="C796" s="23" t="s">
        <v>73</v>
      </c>
      <c r="D796" s="6"/>
      <c r="E796" s="6"/>
      <c r="F796" s="7"/>
      <c r="G796" s="7">
        <f t="shared" si="84"/>
        <v>0</v>
      </c>
      <c r="H796" s="7">
        <f t="shared" si="84"/>
        <v>0</v>
      </c>
      <c r="I796" s="7">
        <f t="shared" si="84"/>
        <v>1</v>
      </c>
      <c r="J796" s="7">
        <f t="shared" si="84"/>
        <v>0</v>
      </c>
      <c r="K796" s="7">
        <f t="shared" si="84"/>
        <v>0</v>
      </c>
      <c r="L796" s="6"/>
    </row>
    <row r="797" spans="1:12" ht="25.5" x14ac:dyDescent="0.25">
      <c r="A797" s="4" t="e">
        <f t="shared" si="82"/>
        <v>#REF!</v>
      </c>
      <c r="B797" s="26" t="s">
        <v>74</v>
      </c>
      <c r="C797" s="23" t="s">
        <v>75</v>
      </c>
      <c r="D797" s="6"/>
      <c r="E797" s="6"/>
      <c r="F797" s="7"/>
      <c r="G797" s="7">
        <f t="shared" si="84"/>
        <v>0</v>
      </c>
      <c r="H797" s="7">
        <f t="shared" si="84"/>
        <v>0</v>
      </c>
      <c r="I797" s="7">
        <f t="shared" si="84"/>
        <v>1</v>
      </c>
      <c r="J797" s="7">
        <f t="shared" si="84"/>
        <v>0</v>
      </c>
      <c r="K797" s="7">
        <f t="shared" si="84"/>
        <v>0</v>
      </c>
      <c r="L797" s="6"/>
    </row>
    <row r="798" spans="1:12" x14ac:dyDescent="0.25">
      <c r="A798" s="4" t="e">
        <f t="shared" si="82"/>
        <v>#REF!</v>
      </c>
      <c r="B798" s="5" t="s">
        <v>76</v>
      </c>
      <c r="C798" s="23" t="s">
        <v>77</v>
      </c>
      <c r="D798" s="6"/>
      <c r="E798" s="6"/>
      <c r="F798" s="7"/>
      <c r="G798" s="7">
        <f t="shared" si="84"/>
        <v>0</v>
      </c>
      <c r="H798" s="7">
        <f t="shared" si="84"/>
        <v>0</v>
      </c>
      <c r="I798" s="7">
        <f t="shared" si="84"/>
        <v>1</v>
      </c>
      <c r="J798" s="7">
        <f t="shared" si="84"/>
        <v>0</v>
      </c>
      <c r="K798" s="7">
        <f t="shared" si="84"/>
        <v>0</v>
      </c>
      <c r="L798" s="6"/>
    </row>
    <row r="799" spans="1:12" ht="25.5" x14ac:dyDescent="0.25">
      <c r="A799" s="4" t="e">
        <f t="shared" si="82"/>
        <v>#REF!</v>
      </c>
      <c r="B799" s="24" t="s">
        <v>78</v>
      </c>
      <c r="C799" s="23" t="s">
        <v>79</v>
      </c>
      <c r="D799" s="6"/>
      <c r="E799" s="6"/>
      <c r="F799" s="7"/>
      <c r="G799" s="7">
        <f t="shared" ref="G799:K808" si="85">IF($F799=G$1,1,0)</f>
        <v>0</v>
      </c>
      <c r="H799" s="7">
        <f t="shared" si="85"/>
        <v>0</v>
      </c>
      <c r="I799" s="7">
        <f t="shared" si="85"/>
        <v>1</v>
      </c>
      <c r="J799" s="7">
        <f t="shared" si="85"/>
        <v>0</v>
      </c>
      <c r="K799" s="7">
        <f t="shared" si="85"/>
        <v>0</v>
      </c>
      <c r="L799" s="6"/>
    </row>
    <row r="800" spans="1:12" ht="25.5" x14ac:dyDescent="0.25">
      <c r="A800" s="21" t="e">
        <f t="shared" si="82"/>
        <v>#REF!</v>
      </c>
      <c r="B800" s="24" t="s">
        <v>80</v>
      </c>
      <c r="C800" s="23" t="s">
        <v>81</v>
      </c>
      <c r="D800" s="6"/>
      <c r="E800" s="6"/>
      <c r="F800" s="7"/>
      <c r="G800" s="7">
        <f t="shared" si="85"/>
        <v>0</v>
      </c>
      <c r="H800" s="7">
        <f t="shared" si="85"/>
        <v>0</v>
      </c>
      <c r="I800" s="7">
        <f t="shared" si="85"/>
        <v>1</v>
      </c>
      <c r="J800" s="7">
        <f t="shared" si="85"/>
        <v>0</v>
      </c>
      <c r="K800" s="7">
        <f t="shared" si="85"/>
        <v>0</v>
      </c>
      <c r="L800" s="6"/>
    </row>
    <row r="801" spans="1:12" x14ac:dyDescent="0.25">
      <c r="A801" s="21" t="e">
        <f t="shared" si="82"/>
        <v>#REF!</v>
      </c>
      <c r="B801" s="25"/>
      <c r="C801" s="23" t="s">
        <v>82</v>
      </c>
      <c r="D801" s="6"/>
      <c r="E801" s="6"/>
      <c r="F801" s="7"/>
      <c r="G801" s="7">
        <f t="shared" si="85"/>
        <v>0</v>
      </c>
      <c r="H801" s="7">
        <f t="shared" si="85"/>
        <v>0</v>
      </c>
      <c r="I801" s="7">
        <f t="shared" si="85"/>
        <v>1</v>
      </c>
      <c r="J801" s="7">
        <f t="shared" si="85"/>
        <v>0</v>
      </c>
      <c r="K801" s="7">
        <f t="shared" si="85"/>
        <v>0</v>
      </c>
      <c r="L801" s="6"/>
    </row>
    <row r="802" spans="1:12" x14ac:dyDescent="0.25">
      <c r="A802" s="21" t="e">
        <f t="shared" si="82"/>
        <v>#REF!</v>
      </c>
      <c r="B802" s="41" t="s">
        <v>83</v>
      </c>
      <c r="C802" s="23" t="s">
        <v>39</v>
      </c>
      <c r="D802" s="6"/>
      <c r="E802" s="6"/>
      <c r="F802" s="7"/>
      <c r="G802" s="7">
        <f t="shared" si="85"/>
        <v>0</v>
      </c>
      <c r="H802" s="7">
        <f t="shared" si="85"/>
        <v>0</v>
      </c>
      <c r="I802" s="7">
        <f t="shared" si="85"/>
        <v>1</v>
      </c>
      <c r="J802" s="7">
        <f t="shared" si="85"/>
        <v>0</v>
      </c>
      <c r="K802" s="7">
        <f t="shared" si="85"/>
        <v>0</v>
      </c>
      <c r="L802" s="6"/>
    </row>
    <row r="803" spans="1:12" x14ac:dyDescent="0.25">
      <c r="A803" s="21" t="e">
        <f t="shared" ref="A803:A866" si="86">A802+0.0001</f>
        <v>#REF!</v>
      </c>
      <c r="B803" s="42"/>
      <c r="C803" s="23" t="s">
        <v>84</v>
      </c>
      <c r="D803" s="6"/>
      <c r="E803" s="6"/>
      <c r="F803" s="7"/>
      <c r="G803" s="7">
        <f t="shared" si="85"/>
        <v>0</v>
      </c>
      <c r="H803" s="7">
        <f t="shared" si="85"/>
        <v>0</v>
      </c>
      <c r="I803" s="7">
        <f t="shared" si="85"/>
        <v>1</v>
      </c>
      <c r="J803" s="7">
        <f t="shared" si="85"/>
        <v>0</v>
      </c>
      <c r="K803" s="7">
        <f t="shared" si="85"/>
        <v>0</v>
      </c>
      <c r="L803" s="6"/>
    </row>
    <row r="804" spans="1:12" x14ac:dyDescent="0.25">
      <c r="A804" s="21" t="e">
        <f t="shared" si="86"/>
        <v>#REF!</v>
      </c>
      <c r="B804" s="41" t="s">
        <v>85</v>
      </c>
      <c r="C804" s="23" t="s">
        <v>39</v>
      </c>
      <c r="D804" s="6"/>
      <c r="E804" s="6"/>
      <c r="F804" s="7"/>
      <c r="G804" s="7">
        <f t="shared" si="85"/>
        <v>0</v>
      </c>
      <c r="H804" s="7">
        <f t="shared" si="85"/>
        <v>0</v>
      </c>
      <c r="I804" s="7">
        <f t="shared" si="85"/>
        <v>1</v>
      </c>
      <c r="J804" s="7">
        <f t="shared" si="85"/>
        <v>0</v>
      </c>
      <c r="K804" s="7">
        <f t="shared" si="85"/>
        <v>0</v>
      </c>
      <c r="L804" s="6"/>
    </row>
    <row r="805" spans="1:12" x14ac:dyDescent="0.25">
      <c r="A805" s="21" t="e">
        <f t="shared" si="86"/>
        <v>#REF!</v>
      </c>
      <c r="B805" s="42"/>
      <c r="C805" s="23" t="s">
        <v>86</v>
      </c>
      <c r="D805" s="6"/>
      <c r="E805" s="6"/>
      <c r="F805" s="7"/>
      <c r="G805" s="7">
        <f t="shared" si="85"/>
        <v>0</v>
      </c>
      <c r="H805" s="7">
        <f t="shared" si="85"/>
        <v>0</v>
      </c>
      <c r="I805" s="7">
        <f t="shared" si="85"/>
        <v>1</v>
      </c>
      <c r="J805" s="7">
        <f t="shared" si="85"/>
        <v>0</v>
      </c>
      <c r="K805" s="7">
        <f t="shared" si="85"/>
        <v>0</v>
      </c>
      <c r="L805" s="6"/>
    </row>
    <row r="806" spans="1:12" x14ac:dyDescent="0.25">
      <c r="A806" s="21" t="e">
        <f t="shared" si="86"/>
        <v>#REF!</v>
      </c>
      <c r="B806" s="24" t="s">
        <v>87</v>
      </c>
      <c r="C806" s="23" t="s">
        <v>88</v>
      </c>
      <c r="D806" s="6"/>
      <c r="E806" s="6"/>
      <c r="F806" s="7"/>
      <c r="G806" s="7">
        <f t="shared" si="85"/>
        <v>0</v>
      </c>
      <c r="H806" s="7">
        <f t="shared" si="85"/>
        <v>0</v>
      </c>
      <c r="I806" s="7">
        <f t="shared" si="85"/>
        <v>1</v>
      </c>
      <c r="J806" s="7">
        <f t="shared" si="85"/>
        <v>0</v>
      </c>
      <c r="K806" s="7">
        <f t="shared" si="85"/>
        <v>0</v>
      </c>
      <c r="L806" s="6"/>
    </row>
    <row r="807" spans="1:12" x14ac:dyDescent="0.25">
      <c r="A807" s="21" t="e">
        <f t="shared" si="86"/>
        <v>#REF!</v>
      </c>
      <c r="B807" s="26"/>
      <c r="C807" s="23" t="s">
        <v>89</v>
      </c>
      <c r="D807" s="6"/>
      <c r="E807" s="6"/>
      <c r="F807" s="7"/>
      <c r="G807" s="7">
        <f t="shared" si="85"/>
        <v>0</v>
      </c>
      <c r="H807" s="7">
        <f t="shared" si="85"/>
        <v>0</v>
      </c>
      <c r="I807" s="7">
        <f t="shared" si="85"/>
        <v>1</v>
      </c>
      <c r="J807" s="7">
        <f t="shared" si="85"/>
        <v>0</v>
      </c>
      <c r="K807" s="7">
        <f t="shared" si="85"/>
        <v>0</v>
      </c>
      <c r="L807" s="6"/>
    </row>
    <row r="808" spans="1:12" ht="25.5" x14ac:dyDescent="0.25">
      <c r="A808" s="4" t="e">
        <f t="shared" si="86"/>
        <v>#REF!</v>
      </c>
      <c r="B808" s="26" t="s">
        <v>90</v>
      </c>
      <c r="C808" s="23" t="s">
        <v>91</v>
      </c>
      <c r="D808" s="6"/>
      <c r="E808" s="6"/>
      <c r="F808" s="7"/>
      <c r="G808" s="7">
        <f t="shared" si="85"/>
        <v>0</v>
      </c>
      <c r="H808" s="7">
        <f t="shared" si="85"/>
        <v>0</v>
      </c>
      <c r="I808" s="7">
        <f t="shared" si="85"/>
        <v>1</v>
      </c>
      <c r="J808" s="7">
        <f t="shared" si="85"/>
        <v>0</v>
      </c>
      <c r="K808" s="7">
        <f t="shared" si="85"/>
        <v>0</v>
      </c>
      <c r="L808" s="6"/>
    </row>
    <row r="809" spans="1:12" x14ac:dyDescent="0.25">
      <c r="A809" s="4" t="e">
        <f t="shared" si="86"/>
        <v>#REF!</v>
      </c>
      <c r="B809" s="24" t="s">
        <v>92</v>
      </c>
      <c r="C809" s="23" t="s">
        <v>93</v>
      </c>
      <c r="D809" s="6"/>
      <c r="E809" s="6"/>
      <c r="F809" s="7"/>
      <c r="G809" s="7">
        <f t="shared" ref="G809:K818" si="87">IF($F809=G$1,1,0)</f>
        <v>0</v>
      </c>
      <c r="H809" s="7">
        <f t="shared" si="87"/>
        <v>0</v>
      </c>
      <c r="I809" s="7">
        <f t="shared" si="87"/>
        <v>1</v>
      </c>
      <c r="J809" s="7">
        <f t="shared" si="87"/>
        <v>0</v>
      </c>
      <c r="K809" s="7">
        <f t="shared" si="87"/>
        <v>0</v>
      </c>
      <c r="L809" s="6"/>
    </row>
    <row r="810" spans="1:12" x14ac:dyDescent="0.25">
      <c r="A810" s="21" t="e">
        <f t="shared" si="86"/>
        <v>#REF!</v>
      </c>
      <c r="B810" s="24" t="s">
        <v>94</v>
      </c>
      <c r="C810" s="23" t="s">
        <v>95</v>
      </c>
      <c r="D810" s="6"/>
      <c r="E810" s="6"/>
      <c r="F810" s="7"/>
      <c r="G810" s="7">
        <f t="shared" si="87"/>
        <v>0</v>
      </c>
      <c r="H810" s="7">
        <f t="shared" si="87"/>
        <v>0</v>
      </c>
      <c r="I810" s="7">
        <f t="shared" si="87"/>
        <v>1</v>
      </c>
      <c r="J810" s="7">
        <f t="shared" si="87"/>
        <v>0</v>
      </c>
      <c r="K810" s="7">
        <f t="shared" si="87"/>
        <v>0</v>
      </c>
      <c r="L810" s="6"/>
    </row>
    <row r="811" spans="1:12" x14ac:dyDescent="0.25">
      <c r="A811" s="21" t="e">
        <f t="shared" si="86"/>
        <v>#REF!</v>
      </c>
      <c r="B811" s="25"/>
      <c r="C811" s="23" t="s">
        <v>96</v>
      </c>
      <c r="D811" s="6"/>
      <c r="E811" s="6"/>
      <c r="F811" s="7"/>
      <c r="G811" s="7">
        <f t="shared" si="87"/>
        <v>0</v>
      </c>
      <c r="H811" s="7">
        <f t="shared" si="87"/>
        <v>0</v>
      </c>
      <c r="I811" s="7">
        <f t="shared" si="87"/>
        <v>1</v>
      </c>
      <c r="J811" s="7">
        <f t="shared" si="87"/>
        <v>0</v>
      </c>
      <c r="K811" s="7">
        <f t="shared" si="87"/>
        <v>0</v>
      </c>
      <c r="L811" s="6"/>
    </row>
    <row r="812" spans="1:12" x14ac:dyDescent="0.25">
      <c r="A812" s="21" t="e">
        <f t="shared" si="86"/>
        <v>#REF!</v>
      </c>
      <c r="B812" s="25"/>
      <c r="C812" s="23" t="s">
        <v>97</v>
      </c>
      <c r="D812" s="6"/>
      <c r="E812" s="6"/>
      <c r="F812" s="7"/>
      <c r="G812" s="7">
        <f t="shared" si="87"/>
        <v>0</v>
      </c>
      <c r="H812" s="7">
        <f t="shared" si="87"/>
        <v>0</v>
      </c>
      <c r="I812" s="7">
        <f t="shared" si="87"/>
        <v>1</v>
      </c>
      <c r="J812" s="7">
        <f t="shared" si="87"/>
        <v>0</v>
      </c>
      <c r="K812" s="7">
        <f t="shared" si="87"/>
        <v>0</v>
      </c>
      <c r="L812" s="6"/>
    </row>
    <row r="813" spans="1:12" x14ac:dyDescent="0.25">
      <c r="A813" s="21" t="e">
        <f t="shared" si="86"/>
        <v>#REF!</v>
      </c>
      <c r="B813" s="25"/>
      <c r="C813" s="23" t="s">
        <v>98</v>
      </c>
      <c r="D813" s="6"/>
      <c r="E813" s="6"/>
      <c r="F813" s="7"/>
      <c r="G813" s="7">
        <f t="shared" si="87"/>
        <v>0</v>
      </c>
      <c r="H813" s="7">
        <f t="shared" si="87"/>
        <v>0</v>
      </c>
      <c r="I813" s="7">
        <f t="shared" si="87"/>
        <v>1</v>
      </c>
      <c r="J813" s="7">
        <f t="shared" si="87"/>
        <v>0</v>
      </c>
      <c r="K813" s="7">
        <f t="shared" si="87"/>
        <v>0</v>
      </c>
      <c r="L813" s="6"/>
    </row>
    <row r="814" spans="1:12" x14ac:dyDescent="0.25">
      <c r="A814" s="21" t="e">
        <f t="shared" si="86"/>
        <v>#REF!</v>
      </c>
      <c r="B814" s="28"/>
      <c r="C814" s="23" t="s">
        <v>99</v>
      </c>
      <c r="D814" s="6"/>
      <c r="E814" s="6"/>
      <c r="F814" s="7"/>
      <c r="G814" s="7">
        <f t="shared" si="87"/>
        <v>0</v>
      </c>
      <c r="H814" s="7">
        <f t="shared" si="87"/>
        <v>0</v>
      </c>
      <c r="I814" s="7">
        <f t="shared" si="87"/>
        <v>1</v>
      </c>
      <c r="J814" s="7">
        <f t="shared" si="87"/>
        <v>0</v>
      </c>
      <c r="K814" s="7">
        <f t="shared" si="87"/>
        <v>0</v>
      </c>
      <c r="L814" s="6"/>
    </row>
    <row r="815" spans="1:12" x14ac:dyDescent="0.25">
      <c r="A815" s="21" t="e">
        <f t="shared" si="86"/>
        <v>#REF!</v>
      </c>
      <c r="B815" s="41" t="s">
        <v>100</v>
      </c>
      <c r="C815" s="23" t="s">
        <v>101</v>
      </c>
      <c r="D815" s="6"/>
      <c r="E815" s="6"/>
      <c r="F815" s="7"/>
      <c r="G815" s="7">
        <f t="shared" si="87"/>
        <v>0</v>
      </c>
      <c r="H815" s="7">
        <f t="shared" si="87"/>
        <v>0</v>
      </c>
      <c r="I815" s="7">
        <f t="shared" si="87"/>
        <v>1</v>
      </c>
      <c r="J815" s="7">
        <f t="shared" si="87"/>
        <v>0</v>
      </c>
      <c r="K815" s="7">
        <f t="shared" si="87"/>
        <v>0</v>
      </c>
      <c r="L815" s="6"/>
    </row>
    <row r="816" spans="1:12" x14ac:dyDescent="0.25">
      <c r="A816" s="21" t="e">
        <f t="shared" si="86"/>
        <v>#REF!</v>
      </c>
      <c r="B816" s="42"/>
      <c r="C816" s="23" t="s">
        <v>102</v>
      </c>
      <c r="D816" s="6"/>
      <c r="E816" s="6"/>
      <c r="F816" s="7"/>
      <c r="G816" s="7">
        <f t="shared" si="87"/>
        <v>0</v>
      </c>
      <c r="H816" s="7">
        <f t="shared" si="87"/>
        <v>0</v>
      </c>
      <c r="I816" s="7">
        <f t="shared" si="87"/>
        <v>1</v>
      </c>
      <c r="J816" s="7">
        <f t="shared" si="87"/>
        <v>0</v>
      </c>
      <c r="K816" s="7">
        <f t="shared" si="87"/>
        <v>0</v>
      </c>
      <c r="L816" s="6"/>
    </row>
    <row r="817" spans="1:12" x14ac:dyDescent="0.25">
      <c r="A817" s="21" t="e">
        <f t="shared" si="86"/>
        <v>#REF!</v>
      </c>
      <c r="B817" s="41" t="s">
        <v>103</v>
      </c>
      <c r="C817" s="23" t="s">
        <v>104</v>
      </c>
      <c r="D817" s="6"/>
      <c r="E817" s="6"/>
      <c r="F817" s="7"/>
      <c r="G817" s="7">
        <f t="shared" si="87"/>
        <v>0</v>
      </c>
      <c r="H817" s="7">
        <f t="shared" si="87"/>
        <v>0</v>
      </c>
      <c r="I817" s="7">
        <f t="shared" si="87"/>
        <v>1</v>
      </c>
      <c r="J817" s="7">
        <f t="shared" si="87"/>
        <v>0</v>
      </c>
      <c r="K817" s="7">
        <f t="shared" si="87"/>
        <v>0</v>
      </c>
      <c r="L817" s="6"/>
    </row>
    <row r="818" spans="1:12" x14ac:dyDescent="0.25">
      <c r="A818" s="21" t="e">
        <f t="shared" si="86"/>
        <v>#REF!</v>
      </c>
      <c r="B818" s="25"/>
      <c r="C818" s="23" t="s">
        <v>105</v>
      </c>
      <c r="D818" s="6"/>
      <c r="E818" s="6"/>
      <c r="F818" s="7"/>
      <c r="G818" s="7">
        <f t="shared" si="87"/>
        <v>0</v>
      </c>
      <c r="H818" s="7">
        <f t="shared" si="87"/>
        <v>0</v>
      </c>
      <c r="I818" s="7">
        <f t="shared" si="87"/>
        <v>1</v>
      </c>
      <c r="J818" s="7">
        <f t="shared" si="87"/>
        <v>0</v>
      </c>
      <c r="K818" s="7">
        <f t="shared" si="87"/>
        <v>0</v>
      </c>
      <c r="L818" s="6"/>
    </row>
    <row r="819" spans="1:12" x14ac:dyDescent="0.25">
      <c r="A819" s="21" t="e">
        <f t="shared" si="86"/>
        <v>#REF!</v>
      </c>
      <c r="B819" s="25"/>
      <c r="C819" s="23" t="s">
        <v>106</v>
      </c>
      <c r="D819" s="6"/>
      <c r="E819" s="6"/>
      <c r="F819" s="7"/>
      <c r="G819" s="7">
        <f t="shared" ref="G819:K828" si="88">IF($F819=G$1,1,0)</f>
        <v>0</v>
      </c>
      <c r="H819" s="7">
        <f t="shared" si="88"/>
        <v>0</v>
      </c>
      <c r="I819" s="7">
        <f t="shared" si="88"/>
        <v>1</v>
      </c>
      <c r="J819" s="7">
        <f t="shared" si="88"/>
        <v>0</v>
      </c>
      <c r="K819" s="7">
        <f t="shared" si="88"/>
        <v>0</v>
      </c>
      <c r="L819" s="6"/>
    </row>
    <row r="820" spans="1:12" x14ac:dyDescent="0.25">
      <c r="A820" s="21" t="e">
        <f t="shared" si="86"/>
        <v>#REF!</v>
      </c>
      <c r="B820" s="25"/>
      <c r="C820" s="23" t="s">
        <v>107</v>
      </c>
      <c r="D820" s="6"/>
      <c r="E820" s="6"/>
      <c r="F820" s="7"/>
      <c r="G820" s="7">
        <f t="shared" si="88"/>
        <v>0</v>
      </c>
      <c r="H820" s="7">
        <f t="shared" si="88"/>
        <v>0</v>
      </c>
      <c r="I820" s="7">
        <f t="shared" si="88"/>
        <v>1</v>
      </c>
      <c r="J820" s="7">
        <f t="shared" si="88"/>
        <v>0</v>
      </c>
      <c r="K820" s="7">
        <f t="shared" si="88"/>
        <v>0</v>
      </c>
      <c r="L820" s="6"/>
    </row>
    <row r="821" spans="1:12" x14ac:dyDescent="0.25">
      <c r="A821" s="21" t="e">
        <f t="shared" si="86"/>
        <v>#REF!</v>
      </c>
      <c r="B821" s="25"/>
      <c r="C821" s="23" t="s">
        <v>108</v>
      </c>
      <c r="D821" s="6"/>
      <c r="E821" s="6"/>
      <c r="F821" s="7"/>
      <c r="G821" s="7">
        <f t="shared" si="88"/>
        <v>0</v>
      </c>
      <c r="H821" s="7">
        <f t="shared" si="88"/>
        <v>0</v>
      </c>
      <c r="I821" s="7">
        <f t="shared" si="88"/>
        <v>1</v>
      </c>
      <c r="J821" s="7">
        <f t="shared" si="88"/>
        <v>0</v>
      </c>
      <c r="K821" s="7">
        <f t="shared" si="88"/>
        <v>0</v>
      </c>
      <c r="L821" s="6"/>
    </row>
    <row r="822" spans="1:12" x14ac:dyDescent="0.25">
      <c r="A822" s="21" t="e">
        <f t="shared" si="86"/>
        <v>#REF!</v>
      </c>
      <c r="B822" s="24" t="s">
        <v>109</v>
      </c>
      <c r="C822" s="23" t="s">
        <v>110</v>
      </c>
      <c r="D822" s="6"/>
      <c r="E822" s="6"/>
      <c r="F822" s="7"/>
      <c r="G822" s="7">
        <f t="shared" si="88"/>
        <v>0</v>
      </c>
      <c r="H822" s="7">
        <f t="shared" si="88"/>
        <v>0</v>
      </c>
      <c r="I822" s="7">
        <f t="shared" si="88"/>
        <v>1</v>
      </c>
      <c r="J822" s="7">
        <f t="shared" si="88"/>
        <v>0</v>
      </c>
      <c r="K822" s="7">
        <f t="shared" si="88"/>
        <v>0</v>
      </c>
      <c r="L822" s="6"/>
    </row>
    <row r="823" spans="1:12" x14ac:dyDescent="0.25">
      <c r="A823" s="21" t="e">
        <f t="shared" si="86"/>
        <v>#REF!</v>
      </c>
      <c r="B823" s="25"/>
      <c r="C823" s="23" t="s">
        <v>111</v>
      </c>
      <c r="D823" s="6"/>
      <c r="E823" s="6"/>
      <c r="F823" s="7"/>
      <c r="G823" s="7">
        <f t="shared" si="88"/>
        <v>0</v>
      </c>
      <c r="H823" s="7">
        <f t="shared" si="88"/>
        <v>0</v>
      </c>
      <c r="I823" s="7">
        <f t="shared" si="88"/>
        <v>1</v>
      </c>
      <c r="J823" s="7">
        <f t="shared" si="88"/>
        <v>0</v>
      </c>
      <c r="K823" s="7">
        <f t="shared" si="88"/>
        <v>0</v>
      </c>
      <c r="L823" s="6"/>
    </row>
    <row r="824" spans="1:12" x14ac:dyDescent="0.25">
      <c r="A824" s="21" t="e">
        <f t="shared" si="86"/>
        <v>#REF!</v>
      </c>
      <c r="B824" s="24" t="s">
        <v>112</v>
      </c>
      <c r="C824" s="23" t="s">
        <v>113</v>
      </c>
      <c r="D824" s="6"/>
      <c r="E824" s="6"/>
      <c r="F824" s="7"/>
      <c r="G824" s="7">
        <f t="shared" si="88"/>
        <v>0</v>
      </c>
      <c r="H824" s="7">
        <f t="shared" si="88"/>
        <v>0</v>
      </c>
      <c r="I824" s="7">
        <f t="shared" si="88"/>
        <v>1</v>
      </c>
      <c r="J824" s="7">
        <f t="shared" si="88"/>
        <v>0</v>
      </c>
      <c r="K824" s="7">
        <f t="shared" si="88"/>
        <v>0</v>
      </c>
      <c r="L824" s="6"/>
    </row>
    <row r="825" spans="1:12" x14ac:dyDescent="0.25">
      <c r="A825" s="21" t="e">
        <f t="shared" si="86"/>
        <v>#REF!</v>
      </c>
      <c r="B825" s="25"/>
      <c r="C825" s="23" t="s">
        <v>114</v>
      </c>
      <c r="D825" s="6"/>
      <c r="E825" s="6"/>
      <c r="F825" s="7"/>
      <c r="G825" s="7">
        <f t="shared" si="88"/>
        <v>0</v>
      </c>
      <c r="H825" s="7">
        <f t="shared" si="88"/>
        <v>0</v>
      </c>
      <c r="I825" s="7">
        <f t="shared" si="88"/>
        <v>1</v>
      </c>
      <c r="J825" s="7">
        <f t="shared" si="88"/>
        <v>0</v>
      </c>
      <c r="K825" s="7">
        <f t="shared" si="88"/>
        <v>0</v>
      </c>
      <c r="L825" s="6"/>
    </row>
    <row r="826" spans="1:12" x14ac:dyDescent="0.25">
      <c r="A826" s="21" t="e">
        <f t="shared" si="86"/>
        <v>#REF!</v>
      </c>
      <c r="B826" s="24" t="s">
        <v>14</v>
      </c>
      <c r="C826" s="23" t="s">
        <v>115</v>
      </c>
      <c r="D826" s="6"/>
      <c r="E826" s="6"/>
      <c r="F826" s="7"/>
      <c r="G826" s="7">
        <f t="shared" si="88"/>
        <v>0</v>
      </c>
      <c r="H826" s="7">
        <f t="shared" si="88"/>
        <v>0</v>
      </c>
      <c r="I826" s="7">
        <f t="shared" si="88"/>
        <v>1</v>
      </c>
      <c r="J826" s="7">
        <f t="shared" si="88"/>
        <v>0</v>
      </c>
      <c r="K826" s="7">
        <f t="shared" si="88"/>
        <v>0</v>
      </c>
      <c r="L826" s="6"/>
    </row>
    <row r="827" spans="1:12" x14ac:dyDescent="0.25">
      <c r="A827" s="21" t="e">
        <f t="shared" si="86"/>
        <v>#REF!</v>
      </c>
      <c r="B827" s="28" t="s">
        <v>15</v>
      </c>
      <c r="C827" s="23"/>
      <c r="D827" s="6"/>
      <c r="E827" s="6"/>
      <c r="F827" s="7"/>
      <c r="G827" s="7">
        <f t="shared" si="88"/>
        <v>0</v>
      </c>
      <c r="H827" s="7">
        <f t="shared" si="88"/>
        <v>0</v>
      </c>
      <c r="I827" s="7">
        <f t="shared" si="88"/>
        <v>1</v>
      </c>
      <c r="J827" s="7">
        <f t="shared" si="88"/>
        <v>0</v>
      </c>
      <c r="K827" s="7">
        <f t="shared" si="88"/>
        <v>0</v>
      </c>
      <c r="L827" s="6"/>
    </row>
    <row r="828" spans="1:12" x14ac:dyDescent="0.25">
      <c r="A828" s="21" t="e">
        <f t="shared" si="86"/>
        <v>#REF!</v>
      </c>
      <c r="B828" s="28" t="s">
        <v>116</v>
      </c>
      <c r="C828" s="23"/>
      <c r="D828" s="6"/>
      <c r="E828" s="6"/>
      <c r="F828" s="7"/>
      <c r="G828" s="7">
        <f t="shared" si="88"/>
        <v>0</v>
      </c>
      <c r="H828" s="7">
        <f t="shared" si="88"/>
        <v>0</v>
      </c>
      <c r="I828" s="7">
        <f t="shared" si="88"/>
        <v>1</v>
      </c>
      <c r="J828" s="7">
        <f t="shared" si="88"/>
        <v>0</v>
      </c>
      <c r="K828" s="7">
        <f t="shared" si="88"/>
        <v>0</v>
      </c>
      <c r="L828" s="6"/>
    </row>
    <row r="829" spans="1:12" x14ac:dyDescent="0.25">
      <c r="A829" s="21" t="e">
        <f t="shared" si="86"/>
        <v>#REF!</v>
      </c>
      <c r="B829" s="29" t="s">
        <v>17</v>
      </c>
      <c r="C829" s="23"/>
      <c r="D829" s="6"/>
      <c r="E829" s="6"/>
      <c r="F829" s="7"/>
      <c r="G829" s="7">
        <f t="shared" ref="G829:K838" si="89">IF($F829=G$1,1,0)</f>
        <v>0</v>
      </c>
      <c r="H829" s="7">
        <f t="shared" si="89"/>
        <v>0</v>
      </c>
      <c r="I829" s="7">
        <f t="shared" si="89"/>
        <v>1</v>
      </c>
      <c r="J829" s="7">
        <f t="shared" si="89"/>
        <v>0</v>
      </c>
      <c r="K829" s="7">
        <f t="shared" si="89"/>
        <v>0</v>
      </c>
      <c r="L829" s="6"/>
    </row>
    <row r="830" spans="1:12" ht="25.5" x14ac:dyDescent="0.25">
      <c r="A830" s="4" t="e">
        <f t="shared" si="86"/>
        <v>#REF!</v>
      </c>
      <c r="B830" s="42" t="s">
        <v>117</v>
      </c>
      <c r="C830" s="23" t="s">
        <v>118</v>
      </c>
      <c r="D830" s="6"/>
      <c r="E830" s="6"/>
      <c r="F830" s="7"/>
      <c r="G830" s="7">
        <f t="shared" si="89"/>
        <v>0</v>
      </c>
      <c r="H830" s="7">
        <f t="shared" si="89"/>
        <v>0</v>
      </c>
      <c r="I830" s="7">
        <f t="shared" si="89"/>
        <v>1</v>
      </c>
      <c r="J830" s="7">
        <f t="shared" si="89"/>
        <v>0</v>
      </c>
      <c r="K830" s="7">
        <f t="shared" si="89"/>
        <v>0</v>
      </c>
      <c r="L830" s="6"/>
    </row>
    <row r="831" spans="1:12" x14ac:dyDescent="0.25">
      <c r="A831" s="21" t="e">
        <f t="shared" si="86"/>
        <v>#REF!</v>
      </c>
      <c r="B831" s="41" t="s">
        <v>119</v>
      </c>
      <c r="C831" s="23" t="s">
        <v>120</v>
      </c>
      <c r="D831" s="6"/>
      <c r="E831" s="6"/>
      <c r="F831" s="7"/>
      <c r="G831" s="7">
        <f t="shared" si="89"/>
        <v>0</v>
      </c>
      <c r="H831" s="7">
        <f t="shared" si="89"/>
        <v>0</v>
      </c>
      <c r="I831" s="7">
        <f t="shared" si="89"/>
        <v>1</v>
      </c>
      <c r="J831" s="7">
        <f t="shared" si="89"/>
        <v>0</v>
      </c>
      <c r="K831" s="7">
        <f t="shared" si="89"/>
        <v>0</v>
      </c>
      <c r="L831" s="6"/>
    </row>
    <row r="832" spans="1:12" ht="25.5" x14ac:dyDescent="0.25">
      <c r="A832" s="21" t="e">
        <f t="shared" si="86"/>
        <v>#REF!</v>
      </c>
      <c r="B832" s="28"/>
      <c r="C832" s="23" t="s">
        <v>121</v>
      </c>
      <c r="D832" s="6"/>
      <c r="E832" s="6"/>
      <c r="F832" s="7"/>
      <c r="G832" s="7">
        <f t="shared" si="89"/>
        <v>0</v>
      </c>
      <c r="H832" s="7">
        <f t="shared" si="89"/>
        <v>0</v>
      </c>
      <c r="I832" s="7">
        <f t="shared" si="89"/>
        <v>1</v>
      </c>
      <c r="J832" s="7">
        <f t="shared" si="89"/>
        <v>0</v>
      </c>
      <c r="K832" s="7">
        <f t="shared" si="89"/>
        <v>0</v>
      </c>
      <c r="L832" s="6"/>
    </row>
    <row r="833" spans="1:12" x14ac:dyDescent="0.25">
      <c r="A833" s="21" t="e">
        <f t="shared" si="86"/>
        <v>#REF!</v>
      </c>
      <c r="B833" s="41" t="s">
        <v>94</v>
      </c>
      <c r="C833" s="23" t="s">
        <v>95</v>
      </c>
      <c r="D833" s="6"/>
      <c r="E833" s="6"/>
      <c r="F833" s="7"/>
      <c r="G833" s="7">
        <f t="shared" si="89"/>
        <v>0</v>
      </c>
      <c r="H833" s="7">
        <f t="shared" si="89"/>
        <v>0</v>
      </c>
      <c r="I833" s="7">
        <f t="shared" si="89"/>
        <v>1</v>
      </c>
      <c r="J833" s="7">
        <f t="shared" si="89"/>
        <v>0</v>
      </c>
      <c r="K833" s="7">
        <f t="shared" si="89"/>
        <v>0</v>
      </c>
      <c r="L833" s="6"/>
    </row>
    <row r="834" spans="1:12" x14ac:dyDescent="0.25">
      <c r="A834" s="21" t="e">
        <f t="shared" si="86"/>
        <v>#REF!</v>
      </c>
      <c r="B834" s="28"/>
      <c r="C834" s="23" t="s">
        <v>122</v>
      </c>
      <c r="D834" s="6"/>
      <c r="E834" s="6"/>
      <c r="F834" s="7"/>
      <c r="G834" s="7">
        <f t="shared" si="89"/>
        <v>0</v>
      </c>
      <c r="H834" s="7">
        <f t="shared" si="89"/>
        <v>0</v>
      </c>
      <c r="I834" s="7">
        <f t="shared" si="89"/>
        <v>1</v>
      </c>
      <c r="J834" s="7">
        <f t="shared" si="89"/>
        <v>0</v>
      </c>
      <c r="K834" s="7">
        <f t="shared" si="89"/>
        <v>0</v>
      </c>
      <c r="L834" s="6"/>
    </row>
    <row r="835" spans="1:12" x14ac:dyDescent="0.25">
      <c r="A835" s="21" t="e">
        <f t="shared" si="86"/>
        <v>#REF!</v>
      </c>
      <c r="B835" s="28"/>
      <c r="C835" s="23" t="s">
        <v>123</v>
      </c>
      <c r="D835" s="6"/>
      <c r="E835" s="6"/>
      <c r="F835" s="7"/>
      <c r="G835" s="7">
        <f t="shared" si="89"/>
        <v>0</v>
      </c>
      <c r="H835" s="7">
        <f t="shared" si="89"/>
        <v>0</v>
      </c>
      <c r="I835" s="7">
        <f t="shared" si="89"/>
        <v>1</v>
      </c>
      <c r="J835" s="7">
        <f t="shared" si="89"/>
        <v>0</v>
      </c>
      <c r="K835" s="7">
        <f t="shared" si="89"/>
        <v>0</v>
      </c>
      <c r="L835" s="6"/>
    </row>
    <row r="836" spans="1:12" x14ac:dyDescent="0.25">
      <c r="A836" s="21" t="e">
        <f t="shared" si="86"/>
        <v>#REF!</v>
      </c>
      <c r="B836" s="25"/>
      <c r="C836" s="23" t="s">
        <v>124</v>
      </c>
      <c r="D836" s="6"/>
      <c r="E836" s="6"/>
      <c r="F836" s="7"/>
      <c r="G836" s="7">
        <f t="shared" si="89"/>
        <v>0</v>
      </c>
      <c r="H836" s="7">
        <f t="shared" si="89"/>
        <v>0</v>
      </c>
      <c r="I836" s="7">
        <f t="shared" si="89"/>
        <v>1</v>
      </c>
      <c r="J836" s="7">
        <f t="shared" si="89"/>
        <v>0</v>
      </c>
      <c r="K836" s="7">
        <f t="shared" si="89"/>
        <v>0</v>
      </c>
      <c r="L836" s="6"/>
    </row>
    <row r="837" spans="1:12" x14ac:dyDescent="0.25">
      <c r="A837" s="21" t="e">
        <f t="shared" si="86"/>
        <v>#REF!</v>
      </c>
      <c r="B837" s="25"/>
      <c r="C837" s="23" t="s">
        <v>125</v>
      </c>
      <c r="D837" s="6"/>
      <c r="E837" s="6"/>
      <c r="F837" s="7"/>
      <c r="G837" s="7">
        <f t="shared" si="89"/>
        <v>0</v>
      </c>
      <c r="H837" s="7">
        <f t="shared" si="89"/>
        <v>0</v>
      </c>
      <c r="I837" s="7">
        <f t="shared" si="89"/>
        <v>1</v>
      </c>
      <c r="J837" s="7">
        <f t="shared" si="89"/>
        <v>0</v>
      </c>
      <c r="K837" s="7">
        <f t="shared" si="89"/>
        <v>0</v>
      </c>
      <c r="L837" s="6"/>
    </row>
    <row r="838" spans="1:12" x14ac:dyDescent="0.25">
      <c r="A838" s="21" t="e">
        <f t="shared" si="86"/>
        <v>#REF!</v>
      </c>
      <c r="B838" s="28"/>
      <c r="C838" s="23" t="s">
        <v>126</v>
      </c>
      <c r="D838" s="6"/>
      <c r="E838" s="6"/>
      <c r="F838" s="7"/>
      <c r="G838" s="7">
        <f t="shared" si="89"/>
        <v>0</v>
      </c>
      <c r="H838" s="7">
        <f t="shared" si="89"/>
        <v>0</v>
      </c>
      <c r="I838" s="7">
        <f t="shared" si="89"/>
        <v>1</v>
      </c>
      <c r="J838" s="7">
        <f t="shared" si="89"/>
        <v>0</v>
      </c>
      <c r="K838" s="7">
        <f t="shared" si="89"/>
        <v>0</v>
      </c>
      <c r="L838" s="6"/>
    </row>
    <row r="839" spans="1:12" x14ac:dyDescent="0.25">
      <c r="A839" s="21" t="e">
        <f t="shared" si="86"/>
        <v>#REF!</v>
      </c>
      <c r="B839" s="28"/>
      <c r="C839" s="23" t="s">
        <v>127</v>
      </c>
      <c r="D839" s="6"/>
      <c r="E839" s="6"/>
      <c r="F839" s="7"/>
      <c r="G839" s="7">
        <f t="shared" ref="G839:K848" si="90">IF($F839=G$1,1,0)</f>
        <v>0</v>
      </c>
      <c r="H839" s="7">
        <f t="shared" si="90"/>
        <v>0</v>
      </c>
      <c r="I839" s="7">
        <f t="shared" si="90"/>
        <v>1</v>
      </c>
      <c r="J839" s="7">
        <f t="shared" si="90"/>
        <v>0</v>
      </c>
      <c r="K839" s="7">
        <f t="shared" si="90"/>
        <v>0</v>
      </c>
      <c r="L839" s="6"/>
    </row>
    <row r="840" spans="1:12" x14ac:dyDescent="0.25">
      <c r="A840" s="21" t="e">
        <f t="shared" si="86"/>
        <v>#REF!</v>
      </c>
      <c r="B840" s="28"/>
      <c r="C840" s="23" t="s">
        <v>128</v>
      </c>
      <c r="D840" s="6"/>
      <c r="E840" s="6"/>
      <c r="F840" s="7"/>
      <c r="G840" s="7">
        <f t="shared" si="90"/>
        <v>0</v>
      </c>
      <c r="H840" s="7">
        <f t="shared" si="90"/>
        <v>0</v>
      </c>
      <c r="I840" s="7">
        <f t="shared" si="90"/>
        <v>1</v>
      </c>
      <c r="J840" s="7">
        <f t="shared" si="90"/>
        <v>0</v>
      </c>
      <c r="K840" s="7">
        <f t="shared" si="90"/>
        <v>0</v>
      </c>
      <c r="L840" s="6"/>
    </row>
    <row r="841" spans="1:12" x14ac:dyDescent="0.25">
      <c r="A841" s="21" t="e">
        <f t="shared" si="86"/>
        <v>#REF!</v>
      </c>
      <c r="B841" s="41" t="s">
        <v>129</v>
      </c>
      <c r="C841" s="23" t="s">
        <v>104</v>
      </c>
      <c r="D841" s="6"/>
      <c r="E841" s="6"/>
      <c r="F841" s="7"/>
      <c r="G841" s="7">
        <f t="shared" si="90"/>
        <v>0</v>
      </c>
      <c r="H841" s="7">
        <f t="shared" si="90"/>
        <v>0</v>
      </c>
      <c r="I841" s="7">
        <f t="shared" si="90"/>
        <v>1</v>
      </c>
      <c r="J841" s="7">
        <f t="shared" si="90"/>
        <v>0</v>
      </c>
      <c r="K841" s="7">
        <f t="shared" si="90"/>
        <v>0</v>
      </c>
      <c r="L841" s="6"/>
    </row>
    <row r="842" spans="1:12" ht="25.5" x14ac:dyDescent="0.25">
      <c r="A842" s="21" t="e">
        <f t="shared" si="86"/>
        <v>#REF!</v>
      </c>
      <c r="B842" s="28"/>
      <c r="C842" s="23" t="s">
        <v>130</v>
      </c>
      <c r="D842" s="6"/>
      <c r="E842" s="6"/>
      <c r="F842" s="7"/>
      <c r="G842" s="7">
        <f t="shared" si="90"/>
        <v>0</v>
      </c>
      <c r="H842" s="7">
        <f t="shared" si="90"/>
        <v>0</v>
      </c>
      <c r="I842" s="7">
        <f t="shared" si="90"/>
        <v>1</v>
      </c>
      <c r="J842" s="7">
        <f t="shared" si="90"/>
        <v>0</v>
      </c>
      <c r="K842" s="7">
        <f t="shared" si="90"/>
        <v>0</v>
      </c>
      <c r="L842" s="6"/>
    </row>
    <row r="843" spans="1:12" x14ac:dyDescent="0.25">
      <c r="A843" s="21" t="e">
        <f t="shared" si="86"/>
        <v>#REF!</v>
      </c>
      <c r="B843" s="25"/>
      <c r="C843" s="23" t="s">
        <v>108</v>
      </c>
      <c r="D843" s="6"/>
      <c r="E843" s="6"/>
      <c r="F843" s="7"/>
      <c r="G843" s="7">
        <f t="shared" si="90"/>
        <v>0</v>
      </c>
      <c r="H843" s="7">
        <f t="shared" si="90"/>
        <v>0</v>
      </c>
      <c r="I843" s="7">
        <f t="shared" si="90"/>
        <v>1</v>
      </c>
      <c r="J843" s="7">
        <f t="shared" si="90"/>
        <v>0</v>
      </c>
      <c r="K843" s="7">
        <f t="shared" si="90"/>
        <v>0</v>
      </c>
      <c r="L843" s="6"/>
    </row>
    <row r="844" spans="1:12" x14ac:dyDescent="0.25">
      <c r="A844" s="21" t="e">
        <f t="shared" si="86"/>
        <v>#REF!</v>
      </c>
      <c r="B844" s="25"/>
      <c r="C844" s="23" t="s">
        <v>106</v>
      </c>
      <c r="D844" s="6"/>
      <c r="E844" s="6"/>
      <c r="F844" s="7"/>
      <c r="G844" s="7">
        <f t="shared" si="90"/>
        <v>0</v>
      </c>
      <c r="H844" s="7">
        <f t="shared" si="90"/>
        <v>0</v>
      </c>
      <c r="I844" s="7">
        <f t="shared" si="90"/>
        <v>1</v>
      </c>
      <c r="J844" s="7">
        <f t="shared" si="90"/>
        <v>0</v>
      </c>
      <c r="K844" s="7">
        <f t="shared" si="90"/>
        <v>0</v>
      </c>
      <c r="L844" s="6"/>
    </row>
    <row r="845" spans="1:12" x14ac:dyDescent="0.25">
      <c r="A845" s="21" t="e">
        <f t="shared" si="86"/>
        <v>#REF!</v>
      </c>
      <c r="B845" s="24" t="s">
        <v>131</v>
      </c>
      <c r="C845" s="23" t="s">
        <v>132</v>
      </c>
      <c r="D845" s="6"/>
      <c r="E845" s="6"/>
      <c r="F845" s="7"/>
      <c r="G845" s="7">
        <f t="shared" si="90"/>
        <v>0</v>
      </c>
      <c r="H845" s="7">
        <f t="shared" si="90"/>
        <v>0</v>
      </c>
      <c r="I845" s="7">
        <f t="shared" si="90"/>
        <v>1</v>
      </c>
      <c r="J845" s="7">
        <f t="shared" si="90"/>
        <v>0</v>
      </c>
      <c r="K845" s="7">
        <f t="shared" si="90"/>
        <v>0</v>
      </c>
      <c r="L845" s="6"/>
    </row>
    <row r="846" spans="1:12" x14ac:dyDescent="0.25">
      <c r="A846" s="21" t="e">
        <f t="shared" si="86"/>
        <v>#REF!</v>
      </c>
      <c r="B846" s="25"/>
      <c r="C846" s="23" t="s">
        <v>133</v>
      </c>
      <c r="D846" s="6"/>
      <c r="E846" s="6"/>
      <c r="F846" s="7"/>
      <c r="G846" s="7">
        <f t="shared" si="90"/>
        <v>0</v>
      </c>
      <c r="H846" s="7">
        <f t="shared" si="90"/>
        <v>0</v>
      </c>
      <c r="I846" s="7">
        <f t="shared" si="90"/>
        <v>1</v>
      </c>
      <c r="J846" s="7">
        <f t="shared" si="90"/>
        <v>0</v>
      </c>
      <c r="K846" s="7">
        <f t="shared" si="90"/>
        <v>0</v>
      </c>
      <c r="L846" s="6"/>
    </row>
    <row r="847" spans="1:12" x14ac:dyDescent="0.25">
      <c r="A847" s="21" t="e">
        <f t="shared" si="86"/>
        <v>#REF!</v>
      </c>
      <c r="B847" s="25"/>
      <c r="C847" s="23" t="s">
        <v>134</v>
      </c>
      <c r="D847" s="6"/>
      <c r="E847" s="6"/>
      <c r="F847" s="7"/>
      <c r="G847" s="7">
        <f t="shared" si="90"/>
        <v>0</v>
      </c>
      <c r="H847" s="7">
        <f t="shared" si="90"/>
        <v>0</v>
      </c>
      <c r="I847" s="7">
        <f t="shared" si="90"/>
        <v>1</v>
      </c>
      <c r="J847" s="7">
        <f t="shared" si="90"/>
        <v>0</v>
      </c>
      <c r="K847" s="7">
        <f t="shared" si="90"/>
        <v>0</v>
      </c>
      <c r="L847" s="6"/>
    </row>
    <row r="848" spans="1:12" x14ac:dyDescent="0.25">
      <c r="A848" s="21" t="e">
        <f t="shared" si="86"/>
        <v>#REF!</v>
      </c>
      <c r="B848" s="25"/>
      <c r="C848" s="23" t="s">
        <v>135</v>
      </c>
      <c r="D848" s="6"/>
      <c r="E848" s="6"/>
      <c r="F848" s="7"/>
      <c r="G848" s="7">
        <f t="shared" si="90"/>
        <v>0</v>
      </c>
      <c r="H848" s="7">
        <f t="shared" si="90"/>
        <v>0</v>
      </c>
      <c r="I848" s="7">
        <f t="shared" si="90"/>
        <v>1</v>
      </c>
      <c r="J848" s="7">
        <f t="shared" si="90"/>
        <v>0</v>
      </c>
      <c r="K848" s="7">
        <f t="shared" si="90"/>
        <v>0</v>
      </c>
      <c r="L848" s="6"/>
    </row>
    <row r="849" spans="1:12" x14ac:dyDescent="0.25">
      <c r="A849" s="21" t="e">
        <f t="shared" si="86"/>
        <v>#REF!</v>
      </c>
      <c r="B849" s="25"/>
      <c r="C849" s="23" t="s">
        <v>136</v>
      </c>
      <c r="D849" s="6"/>
      <c r="E849" s="6"/>
      <c r="F849" s="7"/>
      <c r="G849" s="7">
        <f t="shared" ref="G849:K858" si="91">IF($F849=G$1,1,0)</f>
        <v>0</v>
      </c>
      <c r="H849" s="7">
        <f t="shared" si="91"/>
        <v>0</v>
      </c>
      <c r="I849" s="7">
        <f t="shared" si="91"/>
        <v>1</v>
      </c>
      <c r="J849" s="7">
        <f t="shared" si="91"/>
        <v>0</v>
      </c>
      <c r="K849" s="7">
        <f t="shared" si="91"/>
        <v>0</v>
      </c>
      <c r="L849" s="6"/>
    </row>
    <row r="850" spans="1:12" ht="25.5" x14ac:dyDescent="0.25">
      <c r="A850" s="21" t="e">
        <f t="shared" si="86"/>
        <v>#REF!</v>
      </c>
      <c r="B850" s="24" t="s">
        <v>137</v>
      </c>
      <c r="C850" s="23" t="s">
        <v>138</v>
      </c>
      <c r="D850" s="6"/>
      <c r="E850" s="6"/>
      <c r="F850" s="7"/>
      <c r="G850" s="7">
        <f t="shared" si="91"/>
        <v>0</v>
      </c>
      <c r="H850" s="7">
        <f t="shared" si="91"/>
        <v>0</v>
      </c>
      <c r="I850" s="7">
        <f t="shared" si="91"/>
        <v>1</v>
      </c>
      <c r="J850" s="7">
        <f t="shared" si="91"/>
        <v>0</v>
      </c>
      <c r="K850" s="7">
        <f t="shared" si="91"/>
        <v>0</v>
      </c>
      <c r="L850" s="6"/>
    </row>
    <row r="851" spans="1:12" x14ac:dyDescent="0.25">
      <c r="A851" s="21" t="e">
        <f t="shared" si="86"/>
        <v>#REF!</v>
      </c>
      <c r="B851" s="25"/>
      <c r="C851" s="23" t="s">
        <v>139</v>
      </c>
      <c r="D851" s="6"/>
      <c r="E851" s="6"/>
      <c r="F851" s="7"/>
      <c r="G851" s="7">
        <f t="shared" si="91"/>
        <v>0</v>
      </c>
      <c r="H851" s="7">
        <f t="shared" si="91"/>
        <v>0</v>
      </c>
      <c r="I851" s="7">
        <f t="shared" si="91"/>
        <v>1</v>
      </c>
      <c r="J851" s="7">
        <f t="shared" si="91"/>
        <v>0</v>
      </c>
      <c r="K851" s="7">
        <f t="shared" si="91"/>
        <v>0</v>
      </c>
      <c r="L851" s="6"/>
    </row>
    <row r="852" spans="1:12" x14ac:dyDescent="0.25">
      <c r="A852" s="21" t="e">
        <f t="shared" si="86"/>
        <v>#REF!</v>
      </c>
      <c r="B852" s="25"/>
      <c r="C852" s="23" t="s">
        <v>140</v>
      </c>
      <c r="D852" s="6"/>
      <c r="E852" s="6"/>
      <c r="F852" s="7"/>
      <c r="G852" s="7">
        <f t="shared" si="91"/>
        <v>0</v>
      </c>
      <c r="H852" s="7">
        <f t="shared" si="91"/>
        <v>0</v>
      </c>
      <c r="I852" s="7">
        <f t="shared" si="91"/>
        <v>1</v>
      </c>
      <c r="J852" s="7">
        <f t="shared" si="91"/>
        <v>0</v>
      </c>
      <c r="K852" s="7">
        <f t="shared" si="91"/>
        <v>0</v>
      </c>
      <c r="L852" s="6"/>
    </row>
    <row r="853" spans="1:12" x14ac:dyDescent="0.25">
      <c r="A853" s="21" t="e">
        <f t="shared" si="86"/>
        <v>#REF!</v>
      </c>
      <c r="B853" s="24" t="s">
        <v>141</v>
      </c>
      <c r="C853" s="23" t="s">
        <v>142</v>
      </c>
      <c r="D853" s="6"/>
      <c r="E853" s="6"/>
      <c r="F853" s="7"/>
      <c r="G853" s="7">
        <f t="shared" si="91"/>
        <v>0</v>
      </c>
      <c r="H853" s="7">
        <f t="shared" si="91"/>
        <v>0</v>
      </c>
      <c r="I853" s="7">
        <f t="shared" si="91"/>
        <v>1</v>
      </c>
      <c r="J853" s="7">
        <f t="shared" si="91"/>
        <v>0</v>
      </c>
      <c r="K853" s="7">
        <f t="shared" si="91"/>
        <v>0</v>
      </c>
      <c r="L853" s="6"/>
    </row>
    <row r="854" spans="1:12" x14ac:dyDescent="0.25">
      <c r="A854" s="21" t="e">
        <f t="shared" si="86"/>
        <v>#REF!</v>
      </c>
      <c r="B854" s="25"/>
      <c r="C854" s="23" t="s">
        <v>143</v>
      </c>
      <c r="D854" s="6"/>
      <c r="E854" s="6"/>
      <c r="F854" s="7"/>
      <c r="G854" s="7">
        <f t="shared" si="91"/>
        <v>0</v>
      </c>
      <c r="H854" s="7">
        <f t="shared" si="91"/>
        <v>0</v>
      </c>
      <c r="I854" s="7">
        <f t="shared" si="91"/>
        <v>1</v>
      </c>
      <c r="J854" s="7">
        <f t="shared" si="91"/>
        <v>0</v>
      </c>
      <c r="K854" s="7">
        <f t="shared" si="91"/>
        <v>0</v>
      </c>
      <c r="L854" s="6"/>
    </row>
    <row r="855" spans="1:12" x14ac:dyDescent="0.25">
      <c r="A855" s="21" t="e">
        <f t="shared" si="86"/>
        <v>#REF!</v>
      </c>
      <c r="B855" s="26"/>
      <c r="C855" s="23" t="s">
        <v>144</v>
      </c>
      <c r="D855" s="6"/>
      <c r="E855" s="6"/>
      <c r="F855" s="7"/>
      <c r="G855" s="7">
        <f t="shared" si="91"/>
        <v>0</v>
      </c>
      <c r="H855" s="7">
        <f t="shared" si="91"/>
        <v>0</v>
      </c>
      <c r="I855" s="7">
        <f t="shared" si="91"/>
        <v>1</v>
      </c>
      <c r="J855" s="7">
        <f t="shared" si="91"/>
        <v>0</v>
      </c>
      <c r="K855" s="7">
        <f t="shared" si="91"/>
        <v>0</v>
      </c>
      <c r="L855" s="6"/>
    </row>
    <row r="856" spans="1:12" x14ac:dyDescent="0.25">
      <c r="A856" s="4" t="e">
        <f t="shared" si="86"/>
        <v>#REF!</v>
      </c>
      <c r="B856" s="25" t="s">
        <v>145</v>
      </c>
      <c r="C856" s="23" t="s">
        <v>146</v>
      </c>
      <c r="D856" s="6"/>
      <c r="E856" s="6"/>
      <c r="F856" s="7"/>
      <c r="G856" s="7">
        <f t="shared" si="91"/>
        <v>0</v>
      </c>
      <c r="H856" s="7">
        <f t="shared" si="91"/>
        <v>0</v>
      </c>
      <c r="I856" s="7">
        <f t="shared" si="91"/>
        <v>1</v>
      </c>
      <c r="J856" s="7">
        <f t="shared" si="91"/>
        <v>0</v>
      </c>
      <c r="K856" s="7">
        <f t="shared" si="91"/>
        <v>0</v>
      </c>
      <c r="L856" s="6"/>
    </row>
    <row r="857" spans="1:12" x14ac:dyDescent="0.25">
      <c r="A857" s="21" t="e">
        <f t="shared" si="86"/>
        <v>#REF!</v>
      </c>
      <c r="B857" s="24" t="s">
        <v>147</v>
      </c>
      <c r="C857" s="23" t="s">
        <v>148</v>
      </c>
      <c r="D857" s="6"/>
      <c r="E857" s="6"/>
      <c r="F857" s="7"/>
      <c r="G857" s="7">
        <f t="shared" si="91"/>
        <v>0</v>
      </c>
      <c r="H857" s="7">
        <f t="shared" si="91"/>
        <v>0</v>
      </c>
      <c r="I857" s="7">
        <f t="shared" si="91"/>
        <v>1</v>
      </c>
      <c r="J857" s="7">
        <f t="shared" si="91"/>
        <v>0</v>
      </c>
      <c r="K857" s="7">
        <f t="shared" si="91"/>
        <v>0</v>
      </c>
      <c r="L857" s="6"/>
    </row>
    <row r="858" spans="1:12" x14ac:dyDescent="0.25">
      <c r="A858" s="21" t="e">
        <f t="shared" si="86"/>
        <v>#REF!</v>
      </c>
      <c r="B858" s="25" t="s">
        <v>149</v>
      </c>
      <c r="C858" s="23"/>
      <c r="D858" s="6"/>
      <c r="E858" s="6"/>
      <c r="F858" s="7"/>
      <c r="G858" s="7">
        <f t="shared" si="91"/>
        <v>0</v>
      </c>
      <c r="H858" s="7">
        <f t="shared" si="91"/>
        <v>0</v>
      </c>
      <c r="I858" s="7">
        <f t="shared" si="91"/>
        <v>1</v>
      </c>
      <c r="J858" s="7">
        <f t="shared" si="91"/>
        <v>0</v>
      </c>
      <c r="K858" s="7">
        <f t="shared" si="91"/>
        <v>0</v>
      </c>
      <c r="L858" s="6"/>
    </row>
    <row r="859" spans="1:12" x14ac:dyDescent="0.25">
      <c r="A859" s="21" t="e">
        <f t="shared" si="86"/>
        <v>#REF!</v>
      </c>
      <c r="B859" s="25" t="s">
        <v>150</v>
      </c>
      <c r="C859" s="23"/>
      <c r="D859" s="6"/>
      <c r="E859" s="6"/>
      <c r="F859" s="7"/>
      <c r="G859" s="7">
        <f t="shared" ref="G859:K868" si="92">IF($F859=G$1,1,0)</f>
        <v>0</v>
      </c>
      <c r="H859" s="7">
        <f t="shared" si="92"/>
        <v>0</v>
      </c>
      <c r="I859" s="7">
        <f t="shared" si="92"/>
        <v>1</v>
      </c>
      <c r="J859" s="7">
        <f t="shared" si="92"/>
        <v>0</v>
      </c>
      <c r="K859" s="7">
        <f t="shared" si="92"/>
        <v>0</v>
      </c>
      <c r="L859" s="6"/>
    </row>
    <row r="860" spans="1:12" x14ac:dyDescent="0.25">
      <c r="A860" s="21" t="e">
        <f t="shared" si="86"/>
        <v>#REF!</v>
      </c>
      <c r="B860" s="25" t="s">
        <v>151</v>
      </c>
      <c r="C860" s="23"/>
      <c r="D860" s="6"/>
      <c r="E860" s="6"/>
      <c r="F860" s="7"/>
      <c r="G860" s="7">
        <f t="shared" si="92"/>
        <v>0</v>
      </c>
      <c r="H860" s="7">
        <f t="shared" si="92"/>
        <v>0</v>
      </c>
      <c r="I860" s="7">
        <f t="shared" si="92"/>
        <v>1</v>
      </c>
      <c r="J860" s="7">
        <f t="shared" si="92"/>
        <v>0</v>
      </c>
      <c r="K860" s="7">
        <f t="shared" si="92"/>
        <v>0</v>
      </c>
      <c r="L860" s="6"/>
    </row>
    <row r="861" spans="1:12" x14ac:dyDescent="0.25">
      <c r="A861" s="21" t="e">
        <f t="shared" si="86"/>
        <v>#REF!</v>
      </c>
      <c r="B861" s="25" t="s">
        <v>152</v>
      </c>
      <c r="C861" s="23"/>
      <c r="D861" s="6"/>
      <c r="E861" s="6"/>
      <c r="F861" s="7"/>
      <c r="G861" s="7">
        <f t="shared" si="92"/>
        <v>0</v>
      </c>
      <c r="H861" s="7">
        <f t="shared" si="92"/>
        <v>0</v>
      </c>
      <c r="I861" s="7">
        <f t="shared" si="92"/>
        <v>1</v>
      </c>
      <c r="J861" s="7">
        <f t="shared" si="92"/>
        <v>0</v>
      </c>
      <c r="K861" s="7">
        <f t="shared" si="92"/>
        <v>0</v>
      </c>
      <c r="L861" s="6"/>
    </row>
    <row r="862" spans="1:12" x14ac:dyDescent="0.25">
      <c r="A862" s="21" t="e">
        <f t="shared" si="86"/>
        <v>#REF!</v>
      </c>
      <c r="B862" s="41" t="s">
        <v>15</v>
      </c>
      <c r="C862" s="23" t="s">
        <v>153</v>
      </c>
      <c r="D862" s="6"/>
      <c r="E862" s="6"/>
      <c r="F862" s="7"/>
      <c r="G862" s="7">
        <f t="shared" si="92"/>
        <v>0</v>
      </c>
      <c r="H862" s="7">
        <f t="shared" si="92"/>
        <v>0</v>
      </c>
      <c r="I862" s="7">
        <f t="shared" si="92"/>
        <v>1</v>
      </c>
      <c r="J862" s="7">
        <f t="shared" si="92"/>
        <v>0</v>
      </c>
      <c r="K862" s="7">
        <f t="shared" si="92"/>
        <v>0</v>
      </c>
      <c r="L862" s="6"/>
    </row>
    <row r="863" spans="1:12" x14ac:dyDescent="0.25">
      <c r="A863" s="21" t="e">
        <f t="shared" si="86"/>
        <v>#REF!</v>
      </c>
      <c r="B863" s="42" t="s">
        <v>21</v>
      </c>
      <c r="C863" s="23"/>
      <c r="D863" s="6"/>
      <c r="E863" s="6"/>
      <c r="F863" s="7"/>
      <c r="G863" s="7">
        <f t="shared" si="92"/>
        <v>0</v>
      </c>
      <c r="H863" s="7">
        <f t="shared" si="92"/>
        <v>0</v>
      </c>
      <c r="I863" s="7">
        <f t="shared" si="92"/>
        <v>1</v>
      </c>
      <c r="J863" s="7">
        <f t="shared" si="92"/>
        <v>0</v>
      </c>
      <c r="K863" s="7">
        <f t="shared" si="92"/>
        <v>0</v>
      </c>
      <c r="L863" s="6"/>
    </row>
    <row r="864" spans="1:12" x14ac:dyDescent="0.25">
      <c r="A864" s="21" t="e">
        <f t="shared" si="86"/>
        <v>#REF!</v>
      </c>
      <c r="B864" s="42" t="s">
        <v>154</v>
      </c>
      <c r="C864" s="23"/>
      <c r="D864" s="6"/>
      <c r="E864" s="6"/>
      <c r="F864" s="7"/>
      <c r="G864" s="7">
        <f t="shared" si="92"/>
        <v>0</v>
      </c>
      <c r="H864" s="7">
        <f t="shared" si="92"/>
        <v>0</v>
      </c>
      <c r="I864" s="7">
        <f t="shared" si="92"/>
        <v>1</v>
      </c>
      <c r="J864" s="7">
        <f t="shared" si="92"/>
        <v>0</v>
      </c>
      <c r="K864" s="7">
        <f t="shared" si="92"/>
        <v>0</v>
      </c>
      <c r="L864" s="6"/>
    </row>
    <row r="865" spans="1:12" x14ac:dyDescent="0.25">
      <c r="A865" s="21" t="e">
        <f t="shared" si="86"/>
        <v>#REF!</v>
      </c>
      <c r="B865" s="42" t="s">
        <v>17</v>
      </c>
      <c r="C865" s="23"/>
      <c r="D865" s="6"/>
      <c r="E865" s="6"/>
      <c r="F865" s="7"/>
      <c r="G865" s="7">
        <f t="shared" si="92"/>
        <v>0</v>
      </c>
      <c r="H865" s="7">
        <f t="shared" si="92"/>
        <v>0</v>
      </c>
      <c r="I865" s="7">
        <f t="shared" si="92"/>
        <v>1</v>
      </c>
      <c r="J865" s="7">
        <f t="shared" si="92"/>
        <v>0</v>
      </c>
      <c r="K865" s="7">
        <f t="shared" si="92"/>
        <v>0</v>
      </c>
      <c r="L865" s="6"/>
    </row>
    <row r="866" spans="1:12" ht="25.5" x14ac:dyDescent="0.25">
      <c r="A866" s="21" t="e">
        <f t="shared" si="86"/>
        <v>#REF!</v>
      </c>
      <c r="B866" s="41" t="s">
        <v>155</v>
      </c>
      <c r="C866" s="23" t="s">
        <v>156</v>
      </c>
      <c r="D866" s="6"/>
      <c r="E866" s="6"/>
      <c r="F866" s="7"/>
      <c r="G866" s="7">
        <f t="shared" si="92"/>
        <v>0</v>
      </c>
      <c r="H866" s="7">
        <f t="shared" si="92"/>
        <v>0</v>
      </c>
      <c r="I866" s="7">
        <f t="shared" si="92"/>
        <v>1</v>
      </c>
      <c r="J866" s="7">
        <f t="shared" si="92"/>
        <v>0</v>
      </c>
      <c r="K866" s="7">
        <f t="shared" si="92"/>
        <v>0</v>
      </c>
      <c r="L866" s="6"/>
    </row>
    <row r="867" spans="1:12" x14ac:dyDescent="0.25">
      <c r="A867" s="21" t="e">
        <f t="shared" ref="A867:A874" si="93">A866+0.0001</f>
        <v>#REF!</v>
      </c>
      <c r="B867" s="29"/>
      <c r="C867" s="23" t="s">
        <v>157</v>
      </c>
      <c r="D867" s="6"/>
      <c r="E867" s="6"/>
      <c r="F867" s="7"/>
      <c r="G867" s="7">
        <f t="shared" si="92"/>
        <v>0</v>
      </c>
      <c r="H867" s="7">
        <f t="shared" si="92"/>
        <v>0</v>
      </c>
      <c r="I867" s="7">
        <f t="shared" si="92"/>
        <v>1</v>
      </c>
      <c r="J867" s="7">
        <f t="shared" si="92"/>
        <v>0</v>
      </c>
      <c r="K867" s="7">
        <f t="shared" si="92"/>
        <v>0</v>
      </c>
      <c r="L867" s="6"/>
    </row>
    <row r="868" spans="1:12" x14ac:dyDescent="0.25">
      <c r="A868" s="21" t="e">
        <f t="shared" si="93"/>
        <v>#REF!</v>
      </c>
      <c r="B868" s="42" t="s">
        <v>158</v>
      </c>
      <c r="C868" s="23" t="s">
        <v>159</v>
      </c>
      <c r="D868" s="6"/>
      <c r="E868" s="6"/>
      <c r="F868" s="7"/>
      <c r="G868" s="7">
        <f t="shared" si="92"/>
        <v>0</v>
      </c>
      <c r="H868" s="7">
        <f t="shared" si="92"/>
        <v>0</v>
      </c>
      <c r="I868" s="7">
        <f t="shared" si="92"/>
        <v>1</v>
      </c>
      <c r="J868" s="7">
        <f t="shared" si="92"/>
        <v>0</v>
      </c>
      <c r="K868" s="7">
        <f t="shared" si="92"/>
        <v>0</v>
      </c>
      <c r="L868" s="6"/>
    </row>
    <row r="869" spans="1:12" x14ac:dyDescent="0.25">
      <c r="A869" s="21" t="e">
        <f t="shared" si="93"/>
        <v>#REF!</v>
      </c>
      <c r="B869" s="41" t="s">
        <v>160</v>
      </c>
      <c r="C869" s="23" t="s">
        <v>161</v>
      </c>
      <c r="D869" s="6"/>
      <c r="E869" s="6"/>
      <c r="F869" s="7"/>
      <c r="G869" s="7">
        <f t="shared" ref="G869:K874" si="94">IF($F869=G$1,1,0)</f>
        <v>0</v>
      </c>
      <c r="H869" s="7">
        <f t="shared" si="94"/>
        <v>0</v>
      </c>
      <c r="I869" s="7">
        <f t="shared" si="94"/>
        <v>1</v>
      </c>
      <c r="J869" s="7">
        <f t="shared" si="94"/>
        <v>0</v>
      </c>
      <c r="K869" s="7">
        <f t="shared" si="94"/>
        <v>0</v>
      </c>
      <c r="L869" s="6"/>
    </row>
    <row r="870" spans="1:12" x14ac:dyDescent="0.25">
      <c r="A870" s="21" t="e">
        <f t="shared" si="93"/>
        <v>#REF!</v>
      </c>
      <c r="B870" s="28"/>
      <c r="C870" s="22" t="s">
        <v>164</v>
      </c>
      <c r="D870" s="6"/>
      <c r="E870" s="6"/>
      <c r="F870" s="7"/>
      <c r="G870" s="7">
        <f t="shared" si="94"/>
        <v>0</v>
      </c>
      <c r="H870" s="7">
        <f t="shared" si="94"/>
        <v>0</v>
      </c>
      <c r="I870" s="7">
        <f t="shared" si="94"/>
        <v>1</v>
      </c>
      <c r="J870" s="7">
        <f t="shared" si="94"/>
        <v>0</v>
      </c>
      <c r="K870" s="7">
        <f t="shared" si="94"/>
        <v>0</v>
      </c>
      <c r="L870" s="6"/>
    </row>
    <row r="871" spans="1:12" x14ac:dyDescent="0.25">
      <c r="A871" s="21" t="e">
        <f t="shared" si="93"/>
        <v>#REF!</v>
      </c>
      <c r="B871" s="28"/>
      <c r="C871" s="22" t="s">
        <v>20</v>
      </c>
      <c r="D871" s="6"/>
      <c r="E871" s="6"/>
      <c r="F871" s="7"/>
      <c r="G871" s="7">
        <f t="shared" si="94"/>
        <v>0</v>
      </c>
      <c r="H871" s="7">
        <f t="shared" si="94"/>
        <v>0</v>
      </c>
      <c r="I871" s="7">
        <f t="shared" si="94"/>
        <v>1</v>
      </c>
      <c r="J871" s="7">
        <f t="shared" si="94"/>
        <v>0</v>
      </c>
      <c r="K871" s="7">
        <f t="shared" si="94"/>
        <v>0</v>
      </c>
      <c r="L871" s="6"/>
    </row>
    <row r="872" spans="1:12" x14ac:dyDescent="0.25">
      <c r="A872" s="21" t="e">
        <f t="shared" si="93"/>
        <v>#REF!</v>
      </c>
      <c r="B872" s="28"/>
      <c r="C872" s="22" t="s">
        <v>165</v>
      </c>
      <c r="D872" s="6"/>
      <c r="E872" s="6"/>
      <c r="F872" s="7"/>
      <c r="G872" s="7">
        <f t="shared" si="94"/>
        <v>0</v>
      </c>
      <c r="H872" s="7">
        <f t="shared" si="94"/>
        <v>0</v>
      </c>
      <c r="I872" s="7">
        <f t="shared" si="94"/>
        <v>1</v>
      </c>
      <c r="J872" s="7">
        <f t="shared" si="94"/>
        <v>0</v>
      </c>
      <c r="K872" s="7">
        <f t="shared" si="94"/>
        <v>0</v>
      </c>
      <c r="L872" s="6"/>
    </row>
    <row r="873" spans="1:12" x14ac:dyDescent="0.25">
      <c r="A873" s="21" t="e">
        <f t="shared" si="93"/>
        <v>#REF!</v>
      </c>
      <c r="B873" s="25"/>
      <c r="C873" s="22" t="s">
        <v>166</v>
      </c>
      <c r="D873" s="6"/>
      <c r="E873" s="6"/>
      <c r="F873" s="7"/>
      <c r="G873" s="7">
        <f t="shared" si="94"/>
        <v>0</v>
      </c>
      <c r="H873" s="7">
        <f t="shared" si="94"/>
        <v>0</v>
      </c>
      <c r="I873" s="7">
        <f t="shared" si="94"/>
        <v>1</v>
      </c>
      <c r="J873" s="7">
        <f t="shared" si="94"/>
        <v>0</v>
      </c>
      <c r="K873" s="7">
        <f t="shared" si="94"/>
        <v>0</v>
      </c>
      <c r="L873" s="6"/>
    </row>
    <row r="874" spans="1:12" x14ac:dyDescent="0.25">
      <c r="A874" s="32" t="e">
        <f t="shared" si="93"/>
        <v>#REF!</v>
      </c>
      <c r="B874" s="25"/>
      <c r="C874" s="45" t="s">
        <v>163</v>
      </c>
      <c r="D874" s="27"/>
      <c r="E874" s="27"/>
      <c r="F874" s="33"/>
      <c r="G874" s="33">
        <f t="shared" si="94"/>
        <v>0</v>
      </c>
      <c r="H874" s="33">
        <f t="shared" si="94"/>
        <v>0</v>
      </c>
      <c r="I874" s="33">
        <f t="shared" si="94"/>
        <v>1</v>
      </c>
      <c r="J874" s="33">
        <f t="shared" si="94"/>
        <v>0</v>
      </c>
      <c r="K874" s="33">
        <f t="shared" si="94"/>
        <v>0</v>
      </c>
      <c r="L874" s="27"/>
    </row>
    <row r="875" spans="1:12" x14ac:dyDescent="0.25">
      <c r="A875" s="21"/>
      <c r="B875" s="30"/>
      <c r="C875" s="46"/>
      <c r="D875" s="30"/>
      <c r="E875" s="30"/>
      <c r="F875" s="38"/>
      <c r="G875" s="38"/>
      <c r="H875" s="38"/>
      <c r="I875" s="38"/>
      <c r="J875" s="38"/>
      <c r="K875" s="38"/>
      <c r="L875" s="23"/>
    </row>
    <row r="876" spans="1:12" x14ac:dyDescent="0.25">
      <c r="A876" s="21"/>
      <c r="B876" s="30"/>
      <c r="C876" s="46"/>
      <c r="D876" s="30"/>
      <c r="E876" s="30"/>
      <c r="F876" s="38"/>
      <c r="G876" s="38"/>
      <c r="H876" s="38"/>
      <c r="I876" s="38"/>
      <c r="J876" s="38"/>
      <c r="K876" s="38"/>
      <c r="L876" s="23"/>
    </row>
    <row r="877" spans="1:12" collapsed="1" x14ac:dyDescent="0.25">
      <c r="A877" s="21"/>
      <c r="B877" s="30"/>
      <c r="C877" s="46"/>
      <c r="D877" s="30"/>
      <c r="E877" s="30"/>
      <c r="F877" s="38"/>
      <c r="G877" s="38"/>
      <c r="H877" s="38"/>
      <c r="I877" s="38"/>
      <c r="J877" s="38"/>
      <c r="K877" s="38"/>
      <c r="L877" s="23"/>
    </row>
    <row r="879" spans="1:12" s="19" customFormat="1" x14ac:dyDescent="0.25">
      <c r="A879" s="78">
        <v>2.1</v>
      </c>
      <c r="B879" s="79" t="s">
        <v>167</v>
      </c>
      <c r="C879" s="80"/>
      <c r="D879" s="81"/>
      <c r="E879" s="81"/>
      <c r="F879" s="82"/>
      <c r="G879" s="82"/>
      <c r="H879" s="82"/>
      <c r="I879" s="82"/>
      <c r="J879" s="82"/>
      <c r="K879" s="82"/>
      <c r="L879" s="81"/>
    </row>
    <row r="880" spans="1:12" x14ac:dyDescent="0.25">
      <c r="A880" s="4">
        <f t="shared" ref="A880:A943" si="95">A879+0.0001</f>
        <v>2.1001000000000003</v>
      </c>
      <c r="B880" s="31" t="s">
        <v>168</v>
      </c>
      <c r="C880" s="22" t="s">
        <v>169</v>
      </c>
      <c r="D880" s="6" t="s">
        <v>342</v>
      </c>
      <c r="E880" s="6"/>
      <c r="F880" s="7" t="s">
        <v>8</v>
      </c>
      <c r="G880" s="7">
        <f t="shared" ref="G880:K895" si="96">IF($F880=G$1,1,0)</f>
        <v>0</v>
      </c>
      <c r="H880" s="7">
        <f t="shared" si="96"/>
        <v>0</v>
      </c>
      <c r="I880" s="7">
        <f t="shared" si="96"/>
        <v>0</v>
      </c>
      <c r="J880" s="7">
        <f t="shared" si="96"/>
        <v>0</v>
      </c>
      <c r="K880" s="7">
        <f t="shared" si="96"/>
        <v>1</v>
      </c>
      <c r="L880" s="6"/>
    </row>
    <row r="881" spans="1:12" ht="25.5" x14ac:dyDescent="0.25">
      <c r="A881" s="4">
        <f t="shared" si="95"/>
        <v>2.1002000000000005</v>
      </c>
      <c r="B881" s="31" t="s">
        <v>170</v>
      </c>
      <c r="C881" s="22" t="s">
        <v>171</v>
      </c>
      <c r="D881" s="6" t="s">
        <v>342</v>
      </c>
      <c r="E881" s="6"/>
      <c r="F881" s="7" t="s">
        <v>8</v>
      </c>
      <c r="G881" s="7">
        <f t="shared" si="96"/>
        <v>0</v>
      </c>
      <c r="H881" s="7">
        <f t="shared" si="96"/>
        <v>0</v>
      </c>
      <c r="I881" s="7">
        <f t="shared" si="96"/>
        <v>0</v>
      </c>
      <c r="J881" s="7">
        <f t="shared" si="96"/>
        <v>0</v>
      </c>
      <c r="K881" s="7">
        <f t="shared" si="96"/>
        <v>1</v>
      </c>
      <c r="L881" s="6"/>
    </row>
    <row r="882" spans="1:12" x14ac:dyDescent="0.25">
      <c r="A882" s="4">
        <f t="shared" si="95"/>
        <v>2.1003000000000007</v>
      </c>
      <c r="B882" s="53"/>
      <c r="C882" s="22" t="s">
        <v>172</v>
      </c>
      <c r="D882" s="6"/>
      <c r="E882" s="6"/>
      <c r="F882" s="7"/>
      <c r="G882" s="7">
        <f t="shared" si="96"/>
        <v>0</v>
      </c>
      <c r="H882" s="7">
        <f t="shared" si="96"/>
        <v>0</v>
      </c>
      <c r="I882" s="7">
        <f t="shared" si="96"/>
        <v>1</v>
      </c>
      <c r="J882" s="7">
        <f t="shared" si="96"/>
        <v>0</v>
      </c>
      <c r="K882" s="7">
        <f t="shared" si="96"/>
        <v>0</v>
      </c>
      <c r="L882" s="6"/>
    </row>
    <row r="883" spans="1:12" x14ac:dyDescent="0.25">
      <c r="A883" s="4">
        <f t="shared" si="95"/>
        <v>2.1004000000000009</v>
      </c>
      <c r="B883" s="53"/>
      <c r="C883" s="22" t="s">
        <v>173</v>
      </c>
      <c r="D883" s="6"/>
      <c r="E883" s="6"/>
      <c r="F883" s="7"/>
      <c r="G883" s="7">
        <f t="shared" si="96"/>
        <v>0</v>
      </c>
      <c r="H883" s="7">
        <f t="shared" si="96"/>
        <v>0</v>
      </c>
      <c r="I883" s="7">
        <f t="shared" si="96"/>
        <v>1</v>
      </c>
      <c r="J883" s="7">
        <f t="shared" si="96"/>
        <v>0</v>
      </c>
      <c r="K883" s="7">
        <f t="shared" si="96"/>
        <v>0</v>
      </c>
      <c r="L883" s="6"/>
    </row>
    <row r="884" spans="1:12" x14ac:dyDescent="0.25">
      <c r="A884" s="4">
        <f t="shared" si="95"/>
        <v>2.1005000000000011</v>
      </c>
      <c r="B884" s="53"/>
      <c r="C884" s="23" t="s">
        <v>174</v>
      </c>
      <c r="D884" s="6" t="s">
        <v>342</v>
      </c>
      <c r="E884" s="6"/>
      <c r="F884" s="7" t="s">
        <v>8</v>
      </c>
      <c r="G884" s="7">
        <f t="shared" si="96"/>
        <v>0</v>
      </c>
      <c r="H884" s="7">
        <f t="shared" si="96"/>
        <v>0</v>
      </c>
      <c r="I884" s="7">
        <f t="shared" si="96"/>
        <v>0</v>
      </c>
      <c r="J884" s="7">
        <f t="shared" si="96"/>
        <v>0</v>
      </c>
      <c r="K884" s="7">
        <f t="shared" si="96"/>
        <v>1</v>
      </c>
      <c r="L884" s="6"/>
    </row>
    <row r="885" spans="1:12" x14ac:dyDescent="0.25">
      <c r="A885" s="4">
        <f t="shared" si="95"/>
        <v>2.1006000000000014</v>
      </c>
      <c r="B885" s="53"/>
      <c r="C885" s="23" t="s">
        <v>175</v>
      </c>
      <c r="D885" s="6" t="s">
        <v>342</v>
      </c>
      <c r="E885" s="6"/>
      <c r="F885" s="7" t="s">
        <v>8</v>
      </c>
      <c r="G885" s="7">
        <f t="shared" si="96"/>
        <v>0</v>
      </c>
      <c r="H885" s="7">
        <f t="shared" si="96"/>
        <v>0</v>
      </c>
      <c r="I885" s="7">
        <f t="shared" si="96"/>
        <v>0</v>
      </c>
      <c r="J885" s="7">
        <f t="shared" si="96"/>
        <v>0</v>
      </c>
      <c r="K885" s="7">
        <f t="shared" si="96"/>
        <v>1</v>
      </c>
      <c r="L885" s="6"/>
    </row>
    <row r="886" spans="1:12" x14ac:dyDescent="0.25">
      <c r="A886" s="4">
        <f t="shared" si="95"/>
        <v>2.1007000000000016</v>
      </c>
      <c r="B886" s="53"/>
      <c r="C886" s="23" t="s">
        <v>176</v>
      </c>
      <c r="D886" s="6"/>
      <c r="E886" s="6"/>
      <c r="F886" s="7"/>
      <c r="G886" s="7">
        <f t="shared" si="96"/>
        <v>0</v>
      </c>
      <c r="H886" s="7">
        <f t="shared" si="96"/>
        <v>0</v>
      </c>
      <c r="I886" s="7">
        <f t="shared" si="96"/>
        <v>1</v>
      </c>
      <c r="J886" s="7">
        <f t="shared" si="96"/>
        <v>0</v>
      </c>
      <c r="K886" s="7">
        <f t="shared" si="96"/>
        <v>0</v>
      </c>
      <c r="L886" s="6"/>
    </row>
    <row r="887" spans="1:12" x14ac:dyDescent="0.25">
      <c r="A887" s="4">
        <f t="shared" si="95"/>
        <v>2.1008000000000018</v>
      </c>
      <c r="B887" s="50"/>
      <c r="C887" s="23" t="s">
        <v>177</v>
      </c>
      <c r="D887" s="6" t="s">
        <v>342</v>
      </c>
      <c r="E887" s="6"/>
      <c r="F887" s="7" t="s">
        <v>8</v>
      </c>
      <c r="G887" s="7">
        <f t="shared" si="96"/>
        <v>0</v>
      </c>
      <c r="H887" s="7">
        <f t="shared" si="96"/>
        <v>0</v>
      </c>
      <c r="I887" s="7">
        <f t="shared" si="96"/>
        <v>0</v>
      </c>
      <c r="J887" s="7">
        <f t="shared" si="96"/>
        <v>0</v>
      </c>
      <c r="K887" s="7">
        <f t="shared" si="96"/>
        <v>1</v>
      </c>
      <c r="L887" s="6"/>
    </row>
    <row r="888" spans="1:12" x14ac:dyDescent="0.25">
      <c r="A888" s="4">
        <f t="shared" si="95"/>
        <v>2.100900000000002</v>
      </c>
      <c r="B888" s="53" t="s">
        <v>178</v>
      </c>
      <c r="C888" s="23" t="s">
        <v>179</v>
      </c>
      <c r="D888" s="6"/>
      <c r="E888" s="6"/>
      <c r="F888" s="7"/>
      <c r="G888" s="7">
        <f t="shared" si="96"/>
        <v>0</v>
      </c>
      <c r="H888" s="7">
        <f t="shared" si="96"/>
        <v>0</v>
      </c>
      <c r="I888" s="7">
        <f t="shared" si="96"/>
        <v>1</v>
      </c>
      <c r="J888" s="7">
        <f t="shared" si="96"/>
        <v>0</v>
      </c>
      <c r="K888" s="7">
        <f t="shared" si="96"/>
        <v>0</v>
      </c>
      <c r="L888" s="6"/>
    </row>
    <row r="889" spans="1:12" x14ac:dyDescent="0.25">
      <c r="A889" s="4">
        <f t="shared" si="95"/>
        <v>2.1010000000000022</v>
      </c>
      <c r="B889" s="45" t="s">
        <v>180</v>
      </c>
      <c r="C889" s="23" t="s">
        <v>181</v>
      </c>
      <c r="D889" s="6"/>
      <c r="E889" s="6"/>
      <c r="F889" s="7"/>
      <c r="G889" s="7">
        <f t="shared" si="96"/>
        <v>0</v>
      </c>
      <c r="H889" s="7">
        <f t="shared" si="96"/>
        <v>0</v>
      </c>
      <c r="I889" s="7">
        <f t="shared" si="96"/>
        <v>1</v>
      </c>
      <c r="J889" s="7">
        <f t="shared" si="96"/>
        <v>0</v>
      </c>
      <c r="K889" s="7">
        <f t="shared" si="96"/>
        <v>0</v>
      </c>
      <c r="L889" s="6"/>
    </row>
    <row r="890" spans="1:12" ht="38.25" x14ac:dyDescent="0.25">
      <c r="A890" s="4">
        <f t="shared" si="95"/>
        <v>2.1011000000000024</v>
      </c>
      <c r="B890" s="73"/>
      <c r="C890" s="23" t="s">
        <v>182</v>
      </c>
      <c r="D890" s="6"/>
      <c r="E890" s="6"/>
      <c r="F890" s="7"/>
      <c r="G890" s="7">
        <f t="shared" si="96"/>
        <v>0</v>
      </c>
      <c r="H890" s="7">
        <f t="shared" si="96"/>
        <v>0</v>
      </c>
      <c r="I890" s="7">
        <f t="shared" si="96"/>
        <v>1</v>
      </c>
      <c r="J890" s="7">
        <f t="shared" si="96"/>
        <v>0</v>
      </c>
      <c r="K890" s="7">
        <f t="shared" si="96"/>
        <v>0</v>
      </c>
      <c r="L890" s="6"/>
    </row>
    <row r="891" spans="1:12" x14ac:dyDescent="0.25">
      <c r="A891" s="4">
        <f t="shared" si="95"/>
        <v>2.1012000000000026</v>
      </c>
      <c r="B891" s="74"/>
      <c r="C891" s="23" t="s">
        <v>340</v>
      </c>
      <c r="D891" s="6" t="s">
        <v>341</v>
      </c>
      <c r="E891" s="6"/>
      <c r="F891" s="7"/>
      <c r="G891" s="7">
        <f t="shared" si="96"/>
        <v>0</v>
      </c>
      <c r="H891" s="7">
        <f t="shared" si="96"/>
        <v>0</v>
      </c>
      <c r="I891" s="7">
        <f t="shared" si="96"/>
        <v>1</v>
      </c>
      <c r="J891" s="7">
        <f t="shared" si="96"/>
        <v>0</v>
      </c>
      <c r="K891" s="7">
        <f t="shared" si="96"/>
        <v>0</v>
      </c>
      <c r="L891" s="6"/>
    </row>
    <row r="892" spans="1:12" ht="38.25" x14ac:dyDescent="0.25">
      <c r="A892" s="4">
        <f t="shared" si="95"/>
        <v>2.1013000000000028</v>
      </c>
      <c r="B892" s="74" t="s">
        <v>183</v>
      </c>
      <c r="C892" s="23" t="s">
        <v>184</v>
      </c>
      <c r="D892" s="6" t="s">
        <v>342</v>
      </c>
      <c r="E892" s="6"/>
      <c r="F892" s="7" t="s">
        <v>8</v>
      </c>
      <c r="G892" s="7">
        <f t="shared" si="96"/>
        <v>0</v>
      </c>
      <c r="H892" s="7">
        <f t="shared" si="96"/>
        <v>0</v>
      </c>
      <c r="I892" s="7">
        <f t="shared" si="96"/>
        <v>0</v>
      </c>
      <c r="J892" s="7">
        <f t="shared" si="96"/>
        <v>0</v>
      </c>
      <c r="K892" s="7">
        <f t="shared" si="96"/>
        <v>1</v>
      </c>
      <c r="L892" s="6"/>
    </row>
    <row r="893" spans="1:12" ht="25.5" x14ac:dyDescent="0.25">
      <c r="A893" s="4">
        <f t="shared" si="95"/>
        <v>2.101400000000003</v>
      </c>
      <c r="B893" s="73"/>
      <c r="C893" s="23" t="s">
        <v>185</v>
      </c>
      <c r="D893" s="6" t="s">
        <v>342</v>
      </c>
      <c r="E893" s="6"/>
      <c r="F893" s="7" t="s">
        <v>8</v>
      </c>
      <c r="G893" s="7">
        <f t="shared" si="96"/>
        <v>0</v>
      </c>
      <c r="H893" s="7">
        <f t="shared" si="96"/>
        <v>0</v>
      </c>
      <c r="I893" s="7">
        <f t="shared" si="96"/>
        <v>0</v>
      </c>
      <c r="J893" s="7">
        <f t="shared" si="96"/>
        <v>0</v>
      </c>
      <c r="K893" s="7">
        <f t="shared" si="96"/>
        <v>1</v>
      </c>
      <c r="L893" s="6"/>
    </row>
    <row r="894" spans="1:12" x14ac:dyDescent="0.25">
      <c r="A894" s="4">
        <f t="shared" si="95"/>
        <v>2.1015000000000033</v>
      </c>
      <c r="B894" s="53"/>
      <c r="C894" s="23" t="s">
        <v>186</v>
      </c>
      <c r="D894" s="6" t="s">
        <v>342</v>
      </c>
      <c r="E894" s="6"/>
      <c r="F894" s="7" t="s">
        <v>8</v>
      </c>
      <c r="G894" s="7">
        <f t="shared" si="96"/>
        <v>0</v>
      </c>
      <c r="H894" s="7">
        <f t="shared" si="96"/>
        <v>0</v>
      </c>
      <c r="I894" s="7">
        <f t="shared" si="96"/>
        <v>0</v>
      </c>
      <c r="J894" s="7">
        <f t="shared" si="96"/>
        <v>0</v>
      </c>
      <c r="K894" s="7">
        <f t="shared" si="96"/>
        <v>1</v>
      </c>
      <c r="L894" s="6"/>
    </row>
    <row r="895" spans="1:12" ht="25.5" x14ac:dyDescent="0.25">
      <c r="A895" s="4">
        <f t="shared" si="95"/>
        <v>2.1016000000000035</v>
      </c>
      <c r="B895" s="53"/>
      <c r="C895" s="23" t="s">
        <v>187</v>
      </c>
      <c r="D895" s="6" t="s">
        <v>342</v>
      </c>
      <c r="E895" s="6"/>
      <c r="F895" s="7" t="s">
        <v>8</v>
      </c>
      <c r="G895" s="7">
        <f t="shared" si="96"/>
        <v>0</v>
      </c>
      <c r="H895" s="7">
        <f t="shared" si="96"/>
        <v>0</v>
      </c>
      <c r="I895" s="7">
        <f t="shared" si="96"/>
        <v>0</v>
      </c>
      <c r="J895" s="7">
        <f t="shared" si="96"/>
        <v>0</v>
      </c>
      <c r="K895" s="7">
        <f t="shared" si="96"/>
        <v>1</v>
      </c>
      <c r="L895" s="6"/>
    </row>
    <row r="896" spans="1:12" x14ac:dyDescent="0.25">
      <c r="A896" s="4">
        <f t="shared" si="95"/>
        <v>2.1017000000000037</v>
      </c>
      <c r="B896" s="53"/>
      <c r="C896" s="23" t="s">
        <v>188</v>
      </c>
      <c r="D896" s="6" t="s">
        <v>342</v>
      </c>
      <c r="E896" s="6"/>
      <c r="F896" s="7" t="s">
        <v>8</v>
      </c>
      <c r="G896" s="7">
        <f t="shared" ref="G896:K911" si="97">IF($F896=G$1,1,0)</f>
        <v>0</v>
      </c>
      <c r="H896" s="7">
        <f t="shared" si="97"/>
        <v>0</v>
      </c>
      <c r="I896" s="7">
        <f t="shared" si="97"/>
        <v>0</v>
      </c>
      <c r="J896" s="7">
        <f t="shared" si="97"/>
        <v>0</v>
      </c>
      <c r="K896" s="7">
        <f t="shared" si="97"/>
        <v>1</v>
      </c>
      <c r="L896" s="6"/>
    </row>
    <row r="897" spans="1:12" x14ac:dyDescent="0.25">
      <c r="A897" s="4">
        <f t="shared" si="95"/>
        <v>2.1018000000000039</v>
      </c>
      <c r="B897" s="53"/>
      <c r="C897" s="31" t="s">
        <v>189</v>
      </c>
      <c r="D897" s="6" t="s">
        <v>342</v>
      </c>
      <c r="E897" s="6"/>
      <c r="F897" s="7" t="s">
        <v>8</v>
      </c>
      <c r="G897" s="7">
        <f t="shared" si="97"/>
        <v>0</v>
      </c>
      <c r="H897" s="7">
        <f t="shared" si="97"/>
        <v>0</v>
      </c>
      <c r="I897" s="7">
        <f t="shared" si="97"/>
        <v>0</v>
      </c>
      <c r="J897" s="7">
        <f t="shared" si="97"/>
        <v>0</v>
      </c>
      <c r="K897" s="7">
        <f t="shared" si="97"/>
        <v>1</v>
      </c>
      <c r="L897" s="6"/>
    </row>
    <row r="898" spans="1:12" x14ac:dyDescent="0.25">
      <c r="A898" s="4">
        <f t="shared" si="95"/>
        <v>2.1019000000000041</v>
      </c>
      <c r="B898" s="54"/>
      <c r="C898" s="64" t="s">
        <v>190</v>
      </c>
      <c r="D898" s="62"/>
      <c r="E898" s="6"/>
      <c r="F898" s="7"/>
      <c r="G898" s="7">
        <f t="shared" si="97"/>
        <v>0</v>
      </c>
      <c r="H898" s="7">
        <f t="shared" si="97"/>
        <v>0</v>
      </c>
      <c r="I898" s="7">
        <f t="shared" si="97"/>
        <v>1</v>
      </c>
      <c r="J898" s="7">
        <f t="shared" si="97"/>
        <v>0</v>
      </c>
      <c r="K898" s="7">
        <f t="shared" si="97"/>
        <v>0</v>
      </c>
      <c r="L898" s="6"/>
    </row>
    <row r="899" spans="1:12" ht="25.5" x14ac:dyDescent="0.25">
      <c r="A899" s="4">
        <f t="shared" si="95"/>
        <v>2.1020000000000043</v>
      </c>
      <c r="B899" s="54"/>
      <c r="C899" s="25" t="s">
        <v>191</v>
      </c>
      <c r="D899" s="62"/>
      <c r="E899" s="6"/>
      <c r="F899" s="7"/>
      <c r="G899" s="7">
        <f t="shared" si="97"/>
        <v>0</v>
      </c>
      <c r="H899" s="7">
        <f t="shared" si="97"/>
        <v>0</v>
      </c>
      <c r="I899" s="7">
        <f t="shared" si="97"/>
        <v>1</v>
      </c>
      <c r="J899" s="7">
        <f t="shared" si="97"/>
        <v>0</v>
      </c>
      <c r="K899" s="7">
        <f t="shared" si="97"/>
        <v>0</v>
      </c>
      <c r="L899" s="6"/>
    </row>
    <row r="900" spans="1:12" x14ac:dyDescent="0.25">
      <c r="A900" s="4">
        <f t="shared" si="95"/>
        <v>2.1021000000000045</v>
      </c>
      <c r="B900" s="54"/>
      <c r="C900" s="64" t="s">
        <v>192</v>
      </c>
      <c r="D900" s="62"/>
      <c r="E900" s="6"/>
      <c r="F900" s="7"/>
      <c r="G900" s="7">
        <f t="shared" si="97"/>
        <v>0</v>
      </c>
      <c r="H900" s="7">
        <f t="shared" si="97"/>
        <v>0</v>
      </c>
      <c r="I900" s="7">
        <f t="shared" si="97"/>
        <v>1</v>
      </c>
      <c r="J900" s="7">
        <f t="shared" si="97"/>
        <v>0</v>
      </c>
      <c r="K900" s="7">
        <f t="shared" si="97"/>
        <v>0</v>
      </c>
      <c r="L900" s="6"/>
    </row>
    <row r="901" spans="1:12" ht="51" x14ac:dyDescent="0.25">
      <c r="A901" s="4">
        <f t="shared" si="95"/>
        <v>2.1022000000000047</v>
      </c>
      <c r="B901" s="75"/>
      <c r="C901" s="25" t="s">
        <v>193</v>
      </c>
      <c r="D901" s="62"/>
      <c r="E901" s="6"/>
      <c r="F901" s="7"/>
      <c r="G901" s="7">
        <f t="shared" si="97"/>
        <v>0</v>
      </c>
      <c r="H901" s="7">
        <f t="shared" si="97"/>
        <v>0</v>
      </c>
      <c r="I901" s="7">
        <f t="shared" si="97"/>
        <v>1</v>
      </c>
      <c r="J901" s="7">
        <f t="shared" si="97"/>
        <v>0</v>
      </c>
      <c r="K901" s="7">
        <f t="shared" si="97"/>
        <v>0</v>
      </c>
      <c r="L901" s="6"/>
    </row>
    <row r="902" spans="1:12" x14ac:dyDescent="0.25">
      <c r="A902" s="4">
        <f t="shared" si="95"/>
        <v>2.1023000000000049</v>
      </c>
      <c r="B902" s="75"/>
      <c r="C902" s="64" t="s">
        <v>194</v>
      </c>
      <c r="D902" s="62"/>
      <c r="E902" s="6"/>
      <c r="F902" s="7"/>
      <c r="G902" s="7">
        <f t="shared" si="97"/>
        <v>0</v>
      </c>
      <c r="H902" s="7">
        <f t="shared" si="97"/>
        <v>0</v>
      </c>
      <c r="I902" s="7">
        <f t="shared" si="97"/>
        <v>1</v>
      </c>
      <c r="J902" s="7">
        <f t="shared" si="97"/>
        <v>0</v>
      </c>
      <c r="K902" s="7">
        <f t="shared" si="97"/>
        <v>0</v>
      </c>
      <c r="L902" s="6"/>
    </row>
    <row r="903" spans="1:12" ht="51" x14ac:dyDescent="0.25">
      <c r="A903" s="4">
        <f t="shared" si="95"/>
        <v>2.1024000000000052</v>
      </c>
      <c r="B903" s="75"/>
      <c r="C903" s="25" t="s">
        <v>195</v>
      </c>
      <c r="D903" s="62"/>
      <c r="E903" s="6"/>
      <c r="F903" s="7"/>
      <c r="G903" s="7">
        <f t="shared" si="97"/>
        <v>0</v>
      </c>
      <c r="H903" s="7">
        <f t="shared" si="97"/>
        <v>0</v>
      </c>
      <c r="I903" s="7">
        <f t="shared" si="97"/>
        <v>1</v>
      </c>
      <c r="J903" s="7">
        <f t="shared" si="97"/>
        <v>0</v>
      </c>
      <c r="K903" s="7">
        <f t="shared" si="97"/>
        <v>0</v>
      </c>
      <c r="L903" s="6"/>
    </row>
    <row r="904" spans="1:12" x14ac:dyDescent="0.25">
      <c r="A904" s="4">
        <f t="shared" si="95"/>
        <v>2.1025000000000054</v>
      </c>
      <c r="B904" s="75"/>
      <c r="C904" s="64" t="s">
        <v>196</v>
      </c>
      <c r="D904" s="62"/>
      <c r="E904" s="6"/>
      <c r="F904" s="7"/>
      <c r="G904" s="7">
        <f t="shared" si="97"/>
        <v>0</v>
      </c>
      <c r="H904" s="7">
        <f t="shared" si="97"/>
        <v>0</v>
      </c>
      <c r="I904" s="7">
        <f t="shared" si="97"/>
        <v>1</v>
      </c>
      <c r="J904" s="7">
        <f t="shared" si="97"/>
        <v>0</v>
      </c>
      <c r="K904" s="7">
        <f t="shared" si="97"/>
        <v>0</v>
      </c>
      <c r="L904" s="6"/>
    </row>
    <row r="905" spans="1:12" ht="51" x14ac:dyDescent="0.25">
      <c r="A905" s="4">
        <f t="shared" si="95"/>
        <v>2.1026000000000056</v>
      </c>
      <c r="B905" s="54"/>
      <c r="C905" s="26" t="s">
        <v>197</v>
      </c>
      <c r="D905" s="62"/>
      <c r="E905" s="6"/>
      <c r="F905" s="7"/>
      <c r="G905" s="7">
        <f t="shared" si="97"/>
        <v>0</v>
      </c>
      <c r="H905" s="7">
        <f t="shared" si="97"/>
        <v>0</v>
      </c>
      <c r="I905" s="7">
        <f t="shared" si="97"/>
        <v>1</v>
      </c>
      <c r="J905" s="7">
        <f t="shared" si="97"/>
        <v>0</v>
      </c>
      <c r="K905" s="7">
        <f t="shared" si="97"/>
        <v>0</v>
      </c>
      <c r="L905" s="6"/>
    </row>
    <row r="906" spans="1:12" x14ac:dyDescent="0.25">
      <c r="A906" s="4">
        <f t="shared" si="95"/>
        <v>2.1027000000000058</v>
      </c>
      <c r="B906" s="53"/>
      <c r="C906" s="50" t="s">
        <v>198</v>
      </c>
      <c r="D906" s="6"/>
      <c r="E906" s="6"/>
      <c r="F906" s="7"/>
      <c r="G906" s="7">
        <f t="shared" si="97"/>
        <v>0</v>
      </c>
      <c r="H906" s="7">
        <f t="shared" si="97"/>
        <v>0</v>
      </c>
      <c r="I906" s="7">
        <f t="shared" si="97"/>
        <v>1</v>
      </c>
      <c r="J906" s="7">
        <f t="shared" si="97"/>
        <v>0</v>
      </c>
      <c r="K906" s="7">
        <f t="shared" si="97"/>
        <v>0</v>
      </c>
      <c r="L906" s="6"/>
    </row>
    <row r="907" spans="1:12" x14ac:dyDescent="0.25">
      <c r="A907" s="4">
        <f t="shared" si="95"/>
        <v>2.102800000000006</v>
      </c>
      <c r="B907" s="53"/>
      <c r="C907" s="23" t="s">
        <v>199</v>
      </c>
      <c r="D907" s="6"/>
      <c r="E907" s="6"/>
      <c r="F907" s="7"/>
      <c r="G907" s="7">
        <f t="shared" si="97"/>
        <v>0</v>
      </c>
      <c r="H907" s="7">
        <f t="shared" si="97"/>
        <v>0</v>
      </c>
      <c r="I907" s="7">
        <f t="shared" si="97"/>
        <v>1</v>
      </c>
      <c r="J907" s="7">
        <f t="shared" si="97"/>
        <v>0</v>
      </c>
      <c r="K907" s="7">
        <f t="shared" si="97"/>
        <v>0</v>
      </c>
      <c r="L907" s="6"/>
    </row>
    <row r="908" spans="1:12" ht="25.5" x14ac:dyDescent="0.25">
      <c r="A908" s="4">
        <f t="shared" si="95"/>
        <v>2.1029000000000062</v>
      </c>
      <c r="B908" s="53"/>
      <c r="C908" s="23" t="s">
        <v>200</v>
      </c>
      <c r="D908" s="6"/>
      <c r="E908" s="6"/>
      <c r="F908" s="7"/>
      <c r="G908" s="7">
        <f t="shared" si="97"/>
        <v>0</v>
      </c>
      <c r="H908" s="7">
        <f t="shared" si="97"/>
        <v>0</v>
      </c>
      <c r="I908" s="7">
        <f t="shared" si="97"/>
        <v>1</v>
      </c>
      <c r="J908" s="7">
        <f t="shared" si="97"/>
        <v>0</v>
      </c>
      <c r="K908" s="7">
        <f t="shared" si="97"/>
        <v>0</v>
      </c>
      <c r="L908" s="6"/>
    </row>
    <row r="909" spans="1:12" ht="25.5" x14ac:dyDescent="0.25">
      <c r="A909" s="4">
        <f t="shared" si="95"/>
        <v>2.1030000000000064</v>
      </c>
      <c r="B909" s="53"/>
      <c r="C909" s="31" t="s">
        <v>201</v>
      </c>
      <c r="D909" s="6"/>
      <c r="E909" s="6"/>
      <c r="F909" s="7"/>
      <c r="G909" s="7">
        <f t="shared" si="97"/>
        <v>0</v>
      </c>
      <c r="H909" s="7">
        <f t="shared" si="97"/>
        <v>0</v>
      </c>
      <c r="I909" s="7">
        <f t="shared" si="97"/>
        <v>1</v>
      </c>
      <c r="J909" s="7">
        <f t="shared" si="97"/>
        <v>0</v>
      </c>
      <c r="K909" s="7">
        <f t="shared" si="97"/>
        <v>0</v>
      </c>
      <c r="L909" s="6"/>
    </row>
    <row r="910" spans="1:12" x14ac:dyDescent="0.25">
      <c r="A910" s="4">
        <f t="shared" si="95"/>
        <v>2.1031000000000066</v>
      </c>
      <c r="B910" s="54"/>
      <c r="C910" s="64" t="s">
        <v>202</v>
      </c>
      <c r="D910" s="62"/>
      <c r="E910" s="6"/>
      <c r="F910" s="7"/>
      <c r="G910" s="7">
        <f t="shared" si="97"/>
        <v>0</v>
      </c>
      <c r="H910" s="7">
        <f t="shared" si="97"/>
        <v>0</v>
      </c>
      <c r="I910" s="7">
        <f t="shared" si="97"/>
        <v>1</v>
      </c>
      <c r="J910" s="7">
        <f t="shared" si="97"/>
        <v>0</v>
      </c>
      <c r="K910" s="7">
        <f t="shared" si="97"/>
        <v>0</v>
      </c>
      <c r="L910" s="6"/>
    </row>
    <row r="911" spans="1:12" x14ac:dyDescent="0.25">
      <c r="A911" s="4">
        <f t="shared" si="95"/>
        <v>2.1032000000000068</v>
      </c>
      <c r="B911" s="54"/>
      <c r="C911" s="26" t="s">
        <v>203</v>
      </c>
      <c r="D911" s="62"/>
      <c r="E911" s="6"/>
      <c r="F911" s="7"/>
      <c r="G911" s="7">
        <f t="shared" si="97"/>
        <v>0</v>
      </c>
      <c r="H911" s="7">
        <f t="shared" si="97"/>
        <v>0</v>
      </c>
      <c r="I911" s="7">
        <f t="shared" si="97"/>
        <v>1</v>
      </c>
      <c r="J911" s="7">
        <f t="shared" si="97"/>
        <v>0</v>
      </c>
      <c r="K911" s="7">
        <f t="shared" si="97"/>
        <v>0</v>
      </c>
      <c r="L911" s="6"/>
    </row>
    <row r="912" spans="1:12" ht="25.5" x14ac:dyDescent="0.25">
      <c r="A912" s="4">
        <f t="shared" si="95"/>
        <v>2.1033000000000071</v>
      </c>
      <c r="B912" s="53"/>
      <c r="C912" s="50" t="s">
        <v>204</v>
      </c>
      <c r="D912" s="6"/>
      <c r="E912" s="6"/>
      <c r="F912" s="7"/>
      <c r="G912" s="7">
        <f t="shared" ref="G912:K927" si="98">IF($F912=G$1,1,0)</f>
        <v>0</v>
      </c>
      <c r="H912" s="7">
        <f t="shared" si="98"/>
        <v>0</v>
      </c>
      <c r="I912" s="7">
        <f t="shared" si="98"/>
        <v>1</v>
      </c>
      <c r="J912" s="7">
        <f t="shared" si="98"/>
        <v>0</v>
      </c>
      <c r="K912" s="7">
        <f t="shared" si="98"/>
        <v>0</v>
      </c>
      <c r="L912" s="6"/>
    </row>
    <row r="913" spans="1:12" ht="25.5" x14ac:dyDescent="0.25">
      <c r="A913" s="4">
        <f t="shared" si="95"/>
        <v>2.1034000000000073</v>
      </c>
      <c r="B913" s="31" t="s">
        <v>205</v>
      </c>
      <c r="C913" s="23" t="s">
        <v>206</v>
      </c>
      <c r="D913" s="6"/>
      <c r="E913" s="6"/>
      <c r="F913" s="7"/>
      <c r="G913" s="7">
        <f t="shared" si="98"/>
        <v>0</v>
      </c>
      <c r="H913" s="7">
        <f t="shared" si="98"/>
        <v>0</v>
      </c>
      <c r="I913" s="7">
        <f t="shared" si="98"/>
        <v>1</v>
      </c>
      <c r="J913" s="7">
        <f t="shared" si="98"/>
        <v>0</v>
      </c>
      <c r="K913" s="7">
        <f t="shared" si="98"/>
        <v>0</v>
      </c>
      <c r="L913" s="6"/>
    </row>
    <row r="914" spans="1:12" x14ac:dyDescent="0.25">
      <c r="A914" s="4">
        <f t="shared" si="95"/>
        <v>2.1035000000000075</v>
      </c>
      <c r="B914" s="53"/>
      <c r="C914" s="23" t="s">
        <v>207</v>
      </c>
      <c r="D914" s="6"/>
      <c r="E914" s="6"/>
      <c r="F914" s="7"/>
      <c r="G914" s="7">
        <f t="shared" si="98"/>
        <v>0</v>
      </c>
      <c r="H914" s="7">
        <f t="shared" si="98"/>
        <v>0</v>
      </c>
      <c r="I914" s="7">
        <f t="shared" si="98"/>
        <v>1</v>
      </c>
      <c r="J914" s="7">
        <f t="shared" si="98"/>
        <v>0</v>
      </c>
      <c r="K914" s="7">
        <f t="shared" si="98"/>
        <v>0</v>
      </c>
      <c r="L914" s="6"/>
    </row>
    <row r="915" spans="1:12" x14ac:dyDescent="0.25">
      <c r="A915" s="4">
        <f t="shared" si="95"/>
        <v>2.1036000000000077</v>
      </c>
      <c r="B915" s="53"/>
      <c r="C915" s="23" t="s">
        <v>208</v>
      </c>
      <c r="D915" s="6"/>
      <c r="E915" s="6"/>
      <c r="F915" s="7"/>
      <c r="G915" s="7">
        <f t="shared" si="98"/>
        <v>0</v>
      </c>
      <c r="H915" s="7">
        <f t="shared" si="98"/>
        <v>0</v>
      </c>
      <c r="I915" s="7">
        <f t="shared" si="98"/>
        <v>1</v>
      </c>
      <c r="J915" s="7">
        <f t="shared" si="98"/>
        <v>0</v>
      </c>
      <c r="K915" s="7">
        <f t="shared" si="98"/>
        <v>0</v>
      </c>
      <c r="L915" s="6"/>
    </row>
    <row r="916" spans="1:12" ht="38.25" x14ac:dyDescent="0.25">
      <c r="A916" s="4">
        <f t="shared" si="95"/>
        <v>2.1037000000000079</v>
      </c>
      <c r="B916" s="53"/>
      <c r="C916" s="23" t="s">
        <v>209</v>
      </c>
      <c r="D916" s="6"/>
      <c r="E916" s="6"/>
      <c r="F916" s="7"/>
      <c r="G916" s="7">
        <f t="shared" si="98"/>
        <v>0</v>
      </c>
      <c r="H916" s="7">
        <f t="shared" si="98"/>
        <v>0</v>
      </c>
      <c r="I916" s="7">
        <f t="shared" si="98"/>
        <v>1</v>
      </c>
      <c r="J916" s="7">
        <f t="shared" si="98"/>
        <v>0</v>
      </c>
      <c r="K916" s="7">
        <f t="shared" si="98"/>
        <v>0</v>
      </c>
      <c r="L916" s="6"/>
    </row>
    <row r="917" spans="1:12" ht="38.25" x14ac:dyDescent="0.25">
      <c r="A917" s="4">
        <f t="shared" si="95"/>
        <v>2.1038000000000081</v>
      </c>
      <c r="B917" s="73"/>
      <c r="C917" s="23" t="s">
        <v>210</v>
      </c>
      <c r="D917" s="6"/>
      <c r="E917" s="6"/>
      <c r="F917" s="7"/>
      <c r="G917" s="7">
        <f t="shared" si="98"/>
        <v>0</v>
      </c>
      <c r="H917" s="7">
        <f t="shared" si="98"/>
        <v>0</v>
      </c>
      <c r="I917" s="7">
        <f t="shared" si="98"/>
        <v>1</v>
      </c>
      <c r="J917" s="7">
        <f t="shared" si="98"/>
        <v>0</v>
      </c>
      <c r="K917" s="7">
        <f t="shared" si="98"/>
        <v>0</v>
      </c>
      <c r="L917" s="6"/>
    </row>
    <row r="918" spans="1:12" ht="25.5" x14ac:dyDescent="0.25">
      <c r="A918" s="4">
        <f t="shared" si="95"/>
        <v>2.1039000000000083</v>
      </c>
      <c r="B918" s="73"/>
      <c r="C918" s="23" t="s">
        <v>211</v>
      </c>
      <c r="D918" s="6"/>
      <c r="E918" s="6"/>
      <c r="F918" s="7"/>
      <c r="G918" s="7">
        <f t="shared" si="98"/>
        <v>0</v>
      </c>
      <c r="H918" s="7">
        <f t="shared" si="98"/>
        <v>0</v>
      </c>
      <c r="I918" s="7">
        <f t="shared" si="98"/>
        <v>1</v>
      </c>
      <c r="J918" s="7">
        <f t="shared" si="98"/>
        <v>0</v>
      </c>
      <c r="K918" s="7">
        <f t="shared" si="98"/>
        <v>0</v>
      </c>
      <c r="L918" s="6"/>
    </row>
    <row r="919" spans="1:12" x14ac:dyDescent="0.25">
      <c r="A919" s="4">
        <f t="shared" si="95"/>
        <v>2.1040000000000085</v>
      </c>
      <c r="B919" s="73"/>
      <c r="C919" s="23" t="s">
        <v>212</v>
      </c>
      <c r="D919" s="6"/>
      <c r="E919" s="6"/>
      <c r="F919" s="7"/>
      <c r="G919" s="7">
        <f t="shared" si="98"/>
        <v>0</v>
      </c>
      <c r="H919" s="7">
        <f t="shared" si="98"/>
        <v>0</v>
      </c>
      <c r="I919" s="7">
        <f t="shared" si="98"/>
        <v>1</v>
      </c>
      <c r="J919" s="7">
        <f t="shared" si="98"/>
        <v>0</v>
      </c>
      <c r="K919" s="7">
        <f t="shared" si="98"/>
        <v>0</v>
      </c>
      <c r="L919" s="6"/>
    </row>
    <row r="920" spans="1:12" x14ac:dyDescent="0.25">
      <c r="A920" s="4">
        <f t="shared" si="95"/>
        <v>2.1041000000000087</v>
      </c>
      <c r="B920" s="73"/>
      <c r="C920" s="23" t="s">
        <v>213</v>
      </c>
      <c r="D920" s="6"/>
      <c r="E920" s="6"/>
      <c r="F920" s="7"/>
      <c r="G920" s="7">
        <f t="shared" si="98"/>
        <v>0</v>
      </c>
      <c r="H920" s="7">
        <f t="shared" si="98"/>
        <v>0</v>
      </c>
      <c r="I920" s="7">
        <f t="shared" si="98"/>
        <v>1</v>
      </c>
      <c r="J920" s="7">
        <f t="shared" si="98"/>
        <v>0</v>
      </c>
      <c r="K920" s="7">
        <f t="shared" si="98"/>
        <v>0</v>
      </c>
      <c r="L920" s="6"/>
    </row>
    <row r="921" spans="1:12" x14ac:dyDescent="0.25">
      <c r="A921" s="4">
        <f t="shared" si="95"/>
        <v>2.104200000000009</v>
      </c>
      <c r="B921" s="53"/>
      <c r="C921" s="23" t="s">
        <v>214</v>
      </c>
      <c r="D921" s="6"/>
      <c r="E921" s="6"/>
      <c r="F921" s="7"/>
      <c r="G921" s="7">
        <f t="shared" si="98"/>
        <v>0</v>
      </c>
      <c r="H921" s="7">
        <f t="shared" si="98"/>
        <v>0</v>
      </c>
      <c r="I921" s="7">
        <f t="shared" si="98"/>
        <v>1</v>
      </c>
      <c r="J921" s="7">
        <f t="shared" si="98"/>
        <v>0</v>
      </c>
      <c r="K921" s="7">
        <f t="shared" si="98"/>
        <v>0</v>
      </c>
      <c r="L921" s="6"/>
    </row>
    <row r="922" spans="1:12" ht="25.5" x14ac:dyDescent="0.25">
      <c r="A922" s="4">
        <f t="shared" si="95"/>
        <v>2.1043000000000092</v>
      </c>
      <c r="B922" s="53"/>
      <c r="C922" s="23" t="s">
        <v>215</v>
      </c>
      <c r="D922" s="6"/>
      <c r="E922" s="6"/>
      <c r="F922" s="7"/>
      <c r="G922" s="7">
        <f t="shared" si="98"/>
        <v>0</v>
      </c>
      <c r="H922" s="7">
        <f t="shared" si="98"/>
        <v>0</v>
      </c>
      <c r="I922" s="7">
        <f t="shared" si="98"/>
        <v>1</v>
      </c>
      <c r="J922" s="7">
        <f t="shared" si="98"/>
        <v>0</v>
      </c>
      <c r="K922" s="7">
        <f t="shared" si="98"/>
        <v>0</v>
      </c>
      <c r="L922" s="6"/>
    </row>
    <row r="923" spans="1:12" x14ac:dyDescent="0.25">
      <c r="A923" s="4">
        <f t="shared" si="95"/>
        <v>2.1044000000000094</v>
      </c>
      <c r="B923" s="53"/>
      <c r="C923" s="23" t="s">
        <v>216</v>
      </c>
      <c r="D923" s="6"/>
      <c r="E923" s="6"/>
      <c r="F923" s="7"/>
      <c r="G923" s="7">
        <f t="shared" si="98"/>
        <v>0</v>
      </c>
      <c r="H923" s="7">
        <f t="shared" si="98"/>
        <v>0</v>
      </c>
      <c r="I923" s="7">
        <f t="shared" si="98"/>
        <v>1</v>
      </c>
      <c r="J923" s="7">
        <f t="shared" si="98"/>
        <v>0</v>
      </c>
      <c r="K923" s="7">
        <f t="shared" si="98"/>
        <v>0</v>
      </c>
      <c r="L923" s="6"/>
    </row>
    <row r="924" spans="1:12" x14ac:dyDescent="0.25">
      <c r="A924" s="4">
        <f t="shared" si="95"/>
        <v>2.1045000000000096</v>
      </c>
      <c r="B924" s="53"/>
      <c r="C924" s="23" t="s">
        <v>217</v>
      </c>
      <c r="D924" s="6"/>
      <c r="E924" s="6"/>
      <c r="F924" s="7"/>
      <c r="G924" s="7">
        <f t="shared" si="98"/>
        <v>0</v>
      </c>
      <c r="H924" s="7">
        <f t="shared" si="98"/>
        <v>0</v>
      </c>
      <c r="I924" s="7">
        <f t="shared" si="98"/>
        <v>1</v>
      </c>
      <c r="J924" s="7">
        <f t="shared" si="98"/>
        <v>0</v>
      </c>
      <c r="K924" s="7">
        <f t="shared" si="98"/>
        <v>0</v>
      </c>
      <c r="L924" s="6"/>
    </row>
    <row r="925" spans="1:12" ht="25.5" x14ac:dyDescent="0.25">
      <c r="A925" s="4">
        <f t="shared" si="95"/>
        <v>2.1046000000000098</v>
      </c>
      <c r="B925" s="53"/>
      <c r="C925" s="23" t="s">
        <v>218</v>
      </c>
      <c r="D925" s="6"/>
      <c r="E925" s="6"/>
      <c r="F925" s="7"/>
      <c r="G925" s="7">
        <f t="shared" si="98"/>
        <v>0</v>
      </c>
      <c r="H925" s="7">
        <f t="shared" si="98"/>
        <v>0</v>
      </c>
      <c r="I925" s="7">
        <f t="shared" si="98"/>
        <v>1</v>
      </c>
      <c r="J925" s="7">
        <f t="shared" si="98"/>
        <v>0</v>
      </c>
      <c r="K925" s="7">
        <f t="shared" si="98"/>
        <v>0</v>
      </c>
      <c r="L925" s="6"/>
    </row>
    <row r="926" spans="1:12" ht="25.5" x14ac:dyDescent="0.25">
      <c r="A926" s="4">
        <f t="shared" si="95"/>
        <v>2.10470000000001</v>
      </c>
      <c r="B926" s="53"/>
      <c r="C926" s="23" t="s">
        <v>219</v>
      </c>
      <c r="D926" s="6"/>
      <c r="E926" s="6"/>
      <c r="F926" s="7"/>
      <c r="G926" s="7">
        <f t="shared" si="98"/>
        <v>0</v>
      </c>
      <c r="H926" s="7">
        <f t="shared" si="98"/>
        <v>0</v>
      </c>
      <c r="I926" s="7">
        <f t="shared" si="98"/>
        <v>1</v>
      </c>
      <c r="J926" s="7">
        <f t="shared" si="98"/>
        <v>0</v>
      </c>
      <c r="K926" s="7">
        <f t="shared" si="98"/>
        <v>0</v>
      </c>
      <c r="L926" s="6"/>
    </row>
    <row r="927" spans="1:12" ht="38.25" x14ac:dyDescent="0.25">
      <c r="A927" s="4">
        <f t="shared" si="95"/>
        <v>2.1048000000000102</v>
      </c>
      <c r="B927" s="53"/>
      <c r="C927" s="23" t="s">
        <v>220</v>
      </c>
      <c r="D927" s="6"/>
      <c r="E927" s="6"/>
      <c r="F927" s="7"/>
      <c r="G927" s="7">
        <f t="shared" si="98"/>
        <v>0</v>
      </c>
      <c r="H927" s="7">
        <f t="shared" si="98"/>
        <v>0</v>
      </c>
      <c r="I927" s="7">
        <f t="shared" si="98"/>
        <v>1</v>
      </c>
      <c r="J927" s="7">
        <f t="shared" si="98"/>
        <v>0</v>
      </c>
      <c r="K927" s="7">
        <f t="shared" si="98"/>
        <v>0</v>
      </c>
      <c r="L927" s="6"/>
    </row>
    <row r="928" spans="1:12" ht="25.5" x14ac:dyDescent="0.25">
      <c r="A928" s="4">
        <f t="shared" si="95"/>
        <v>2.1049000000000104</v>
      </c>
      <c r="B928" s="53"/>
      <c r="C928" s="23" t="s">
        <v>221</v>
      </c>
      <c r="D928" s="6"/>
      <c r="E928" s="6"/>
      <c r="F928" s="7"/>
      <c r="G928" s="7">
        <f t="shared" ref="G928:K943" si="99">IF($F928=G$1,1,0)</f>
        <v>0</v>
      </c>
      <c r="H928" s="7">
        <f t="shared" si="99"/>
        <v>0</v>
      </c>
      <c r="I928" s="7">
        <f t="shared" si="99"/>
        <v>1</v>
      </c>
      <c r="J928" s="7">
        <f t="shared" si="99"/>
        <v>0</v>
      </c>
      <c r="K928" s="7">
        <f t="shared" si="99"/>
        <v>0</v>
      </c>
      <c r="L928" s="6"/>
    </row>
    <row r="929" spans="1:12" ht="25.5" x14ac:dyDescent="0.25">
      <c r="A929" s="4">
        <f t="shared" si="95"/>
        <v>2.1050000000000106</v>
      </c>
      <c r="B929" s="53"/>
      <c r="C929" s="23" t="s">
        <v>222</v>
      </c>
      <c r="D929" s="6"/>
      <c r="E929" s="6"/>
      <c r="F929" s="7"/>
      <c r="G929" s="7">
        <f t="shared" si="99"/>
        <v>0</v>
      </c>
      <c r="H929" s="7">
        <f t="shared" si="99"/>
        <v>0</v>
      </c>
      <c r="I929" s="7">
        <f t="shared" si="99"/>
        <v>1</v>
      </c>
      <c r="J929" s="7">
        <f t="shared" si="99"/>
        <v>0</v>
      </c>
      <c r="K929" s="7">
        <f t="shared" si="99"/>
        <v>0</v>
      </c>
      <c r="L929" s="6"/>
    </row>
    <row r="930" spans="1:12" ht="25.5" x14ac:dyDescent="0.25">
      <c r="A930" s="4">
        <f t="shared" si="95"/>
        <v>2.1051000000000109</v>
      </c>
      <c r="B930" s="53"/>
      <c r="C930" s="23" t="s">
        <v>223</v>
      </c>
      <c r="D930" s="6"/>
      <c r="E930" s="6"/>
      <c r="F930" s="7"/>
      <c r="G930" s="7">
        <f t="shared" si="99"/>
        <v>0</v>
      </c>
      <c r="H930" s="7">
        <f t="shared" si="99"/>
        <v>0</v>
      </c>
      <c r="I930" s="7">
        <f t="shared" si="99"/>
        <v>1</v>
      </c>
      <c r="J930" s="7">
        <f t="shared" si="99"/>
        <v>0</v>
      </c>
      <c r="K930" s="7">
        <f t="shared" si="99"/>
        <v>0</v>
      </c>
      <c r="L930" s="6"/>
    </row>
    <row r="931" spans="1:12" ht="25.5" x14ac:dyDescent="0.25">
      <c r="A931" s="4">
        <f t="shared" si="95"/>
        <v>2.1052000000000111</v>
      </c>
      <c r="B931" s="53"/>
      <c r="C931" s="23" t="s">
        <v>224</v>
      </c>
      <c r="D931" s="6"/>
      <c r="E931" s="6"/>
      <c r="F931" s="7"/>
      <c r="G931" s="7">
        <f t="shared" si="99"/>
        <v>0</v>
      </c>
      <c r="H931" s="7">
        <f t="shared" si="99"/>
        <v>0</v>
      </c>
      <c r="I931" s="7">
        <f t="shared" si="99"/>
        <v>1</v>
      </c>
      <c r="J931" s="7">
        <f t="shared" si="99"/>
        <v>0</v>
      </c>
      <c r="K931" s="7">
        <f t="shared" si="99"/>
        <v>0</v>
      </c>
      <c r="L931" s="6"/>
    </row>
    <row r="932" spans="1:12" x14ac:dyDescent="0.25">
      <c r="A932" s="4">
        <f t="shared" si="95"/>
        <v>2.1053000000000113</v>
      </c>
      <c r="B932" s="53"/>
      <c r="C932" s="23" t="s">
        <v>225</v>
      </c>
      <c r="D932" s="6"/>
      <c r="E932" s="6"/>
      <c r="F932" s="7"/>
      <c r="G932" s="7">
        <f t="shared" si="99"/>
        <v>0</v>
      </c>
      <c r="H932" s="7">
        <f t="shared" si="99"/>
        <v>0</v>
      </c>
      <c r="I932" s="7">
        <f t="shared" si="99"/>
        <v>1</v>
      </c>
      <c r="J932" s="7">
        <f t="shared" si="99"/>
        <v>0</v>
      </c>
      <c r="K932" s="7">
        <f t="shared" si="99"/>
        <v>0</v>
      </c>
      <c r="L932" s="6"/>
    </row>
    <row r="933" spans="1:12" x14ac:dyDescent="0.25">
      <c r="A933" s="4">
        <f t="shared" si="95"/>
        <v>2.1054000000000115</v>
      </c>
      <c r="B933" s="53"/>
      <c r="C933" s="23" t="s">
        <v>226</v>
      </c>
      <c r="D933" s="6"/>
      <c r="E933" s="6"/>
      <c r="F933" s="7"/>
      <c r="G933" s="7">
        <f t="shared" si="99"/>
        <v>0</v>
      </c>
      <c r="H933" s="7">
        <f t="shared" si="99"/>
        <v>0</v>
      </c>
      <c r="I933" s="7">
        <f t="shared" si="99"/>
        <v>1</v>
      </c>
      <c r="J933" s="7">
        <f t="shared" si="99"/>
        <v>0</v>
      </c>
      <c r="K933" s="7">
        <f t="shared" si="99"/>
        <v>0</v>
      </c>
      <c r="L933" s="6"/>
    </row>
    <row r="934" spans="1:12" x14ac:dyDescent="0.25">
      <c r="A934" s="4">
        <f t="shared" si="95"/>
        <v>2.1055000000000117</v>
      </c>
      <c r="B934" s="31" t="s">
        <v>227</v>
      </c>
      <c r="C934" s="23" t="s">
        <v>228</v>
      </c>
      <c r="D934" s="6"/>
      <c r="E934" s="6"/>
      <c r="F934" s="7"/>
      <c r="G934" s="7">
        <f t="shared" si="99"/>
        <v>0</v>
      </c>
      <c r="H934" s="7">
        <f t="shared" si="99"/>
        <v>0</v>
      </c>
      <c r="I934" s="7">
        <f t="shared" si="99"/>
        <v>1</v>
      </c>
      <c r="J934" s="7">
        <f t="shared" si="99"/>
        <v>0</v>
      </c>
      <c r="K934" s="7">
        <f t="shared" si="99"/>
        <v>0</v>
      </c>
      <c r="L934" s="6"/>
    </row>
    <row r="935" spans="1:12" x14ac:dyDescent="0.25">
      <c r="A935" s="4">
        <f t="shared" si="95"/>
        <v>2.1056000000000119</v>
      </c>
      <c r="B935" s="73"/>
      <c r="C935" s="23" t="s">
        <v>229</v>
      </c>
      <c r="D935" s="6"/>
      <c r="E935" s="6"/>
      <c r="F935" s="7"/>
      <c r="G935" s="7">
        <f t="shared" si="99"/>
        <v>0</v>
      </c>
      <c r="H935" s="7">
        <f t="shared" si="99"/>
        <v>0</v>
      </c>
      <c r="I935" s="7">
        <f t="shared" si="99"/>
        <v>1</v>
      </c>
      <c r="J935" s="7">
        <f t="shared" si="99"/>
        <v>0</v>
      </c>
      <c r="K935" s="7">
        <f t="shared" si="99"/>
        <v>0</v>
      </c>
      <c r="L935" s="6"/>
    </row>
    <row r="936" spans="1:12" x14ac:dyDescent="0.25">
      <c r="A936" s="4">
        <f t="shared" si="95"/>
        <v>2.1057000000000121</v>
      </c>
      <c r="B936" s="73"/>
      <c r="C936" s="23" t="s">
        <v>230</v>
      </c>
      <c r="D936" s="6"/>
      <c r="E936" s="6"/>
      <c r="F936" s="7"/>
      <c r="G936" s="7">
        <f t="shared" si="99"/>
        <v>0</v>
      </c>
      <c r="H936" s="7">
        <f t="shared" si="99"/>
        <v>0</v>
      </c>
      <c r="I936" s="7">
        <f t="shared" si="99"/>
        <v>1</v>
      </c>
      <c r="J936" s="7">
        <f t="shared" si="99"/>
        <v>0</v>
      </c>
      <c r="K936" s="7">
        <f t="shared" si="99"/>
        <v>0</v>
      </c>
      <c r="L936" s="6"/>
    </row>
    <row r="937" spans="1:12" x14ac:dyDescent="0.25">
      <c r="A937" s="4">
        <f t="shared" si="95"/>
        <v>2.1058000000000123</v>
      </c>
      <c r="B937" s="73"/>
      <c r="C937" s="23" t="s">
        <v>231</v>
      </c>
      <c r="D937" s="6"/>
      <c r="E937" s="6"/>
      <c r="F937" s="7"/>
      <c r="G937" s="7">
        <f t="shared" si="99"/>
        <v>0</v>
      </c>
      <c r="H937" s="7">
        <f t="shared" si="99"/>
        <v>0</v>
      </c>
      <c r="I937" s="7">
        <f t="shared" si="99"/>
        <v>1</v>
      </c>
      <c r="J937" s="7">
        <f t="shared" si="99"/>
        <v>0</v>
      </c>
      <c r="K937" s="7">
        <f t="shared" si="99"/>
        <v>0</v>
      </c>
      <c r="L937" s="6"/>
    </row>
    <row r="938" spans="1:12" x14ac:dyDescent="0.25">
      <c r="A938" s="4">
        <f t="shared" si="95"/>
        <v>2.1059000000000125</v>
      </c>
      <c r="B938" s="53"/>
      <c r="C938" s="23" t="s">
        <v>232</v>
      </c>
      <c r="D938" s="6"/>
      <c r="E938" s="6"/>
      <c r="F938" s="7"/>
      <c r="G938" s="7">
        <f t="shared" si="99"/>
        <v>0</v>
      </c>
      <c r="H938" s="7">
        <f t="shared" si="99"/>
        <v>0</v>
      </c>
      <c r="I938" s="7">
        <f t="shared" si="99"/>
        <v>1</v>
      </c>
      <c r="J938" s="7">
        <f t="shared" si="99"/>
        <v>0</v>
      </c>
      <c r="K938" s="7">
        <f t="shared" si="99"/>
        <v>0</v>
      </c>
      <c r="L938" s="6"/>
    </row>
    <row r="939" spans="1:12" ht="25.5" x14ac:dyDescent="0.25">
      <c r="A939" s="4">
        <f t="shared" si="95"/>
        <v>2.1060000000000128</v>
      </c>
      <c r="B939" s="53"/>
      <c r="C939" s="23" t="s">
        <v>233</v>
      </c>
      <c r="D939" s="6"/>
      <c r="E939" s="6"/>
      <c r="F939" s="7"/>
      <c r="G939" s="7">
        <f t="shared" si="99"/>
        <v>0</v>
      </c>
      <c r="H939" s="7">
        <f t="shared" si="99"/>
        <v>0</v>
      </c>
      <c r="I939" s="7">
        <f t="shared" si="99"/>
        <v>1</v>
      </c>
      <c r="J939" s="7">
        <f t="shared" si="99"/>
        <v>0</v>
      </c>
      <c r="K939" s="7">
        <f t="shared" si="99"/>
        <v>0</v>
      </c>
      <c r="L939" s="6"/>
    </row>
    <row r="940" spans="1:12" ht="25.5" x14ac:dyDescent="0.25">
      <c r="A940" s="4">
        <f t="shared" si="95"/>
        <v>2.106100000000013</v>
      </c>
      <c r="B940" s="53"/>
      <c r="C940" s="23" t="s">
        <v>234</v>
      </c>
      <c r="D940" s="6"/>
      <c r="E940" s="6"/>
      <c r="F940" s="7"/>
      <c r="G940" s="7">
        <f t="shared" si="99"/>
        <v>0</v>
      </c>
      <c r="H940" s="7">
        <f t="shared" si="99"/>
        <v>0</v>
      </c>
      <c r="I940" s="7">
        <f t="shared" si="99"/>
        <v>1</v>
      </c>
      <c r="J940" s="7">
        <f t="shared" si="99"/>
        <v>0</v>
      </c>
      <c r="K940" s="7">
        <f t="shared" si="99"/>
        <v>0</v>
      </c>
      <c r="L940" s="6"/>
    </row>
    <row r="941" spans="1:12" x14ac:dyDescent="0.25">
      <c r="A941" s="4">
        <f t="shared" si="95"/>
        <v>2.1062000000000132</v>
      </c>
      <c r="B941" s="53"/>
      <c r="C941" s="23" t="s">
        <v>235</v>
      </c>
      <c r="D941" s="6"/>
      <c r="E941" s="6"/>
      <c r="F941" s="7"/>
      <c r="G941" s="7">
        <f t="shared" si="99"/>
        <v>0</v>
      </c>
      <c r="H941" s="7">
        <f t="shared" si="99"/>
        <v>0</v>
      </c>
      <c r="I941" s="7">
        <f t="shared" si="99"/>
        <v>1</v>
      </c>
      <c r="J941" s="7">
        <f t="shared" si="99"/>
        <v>0</v>
      </c>
      <c r="K941" s="7">
        <f t="shared" si="99"/>
        <v>0</v>
      </c>
      <c r="L941" s="6"/>
    </row>
    <row r="942" spans="1:12" ht="25.5" x14ac:dyDescent="0.25">
      <c r="A942" s="4">
        <f t="shared" si="95"/>
        <v>2.1063000000000134</v>
      </c>
      <c r="B942" s="31" t="s">
        <v>236</v>
      </c>
      <c r="C942" s="23" t="s">
        <v>237</v>
      </c>
      <c r="D942" s="6"/>
      <c r="E942" s="6"/>
      <c r="F942" s="7"/>
      <c r="G942" s="7">
        <f t="shared" si="99"/>
        <v>0</v>
      </c>
      <c r="H942" s="7">
        <f t="shared" si="99"/>
        <v>0</v>
      </c>
      <c r="I942" s="7">
        <f t="shared" si="99"/>
        <v>1</v>
      </c>
      <c r="J942" s="7">
        <f t="shared" si="99"/>
        <v>0</v>
      </c>
      <c r="K942" s="7">
        <f t="shared" si="99"/>
        <v>0</v>
      </c>
      <c r="L942" s="6"/>
    </row>
    <row r="943" spans="1:12" x14ac:dyDescent="0.25">
      <c r="A943" s="4">
        <f t="shared" si="95"/>
        <v>2.1064000000000136</v>
      </c>
      <c r="B943" s="53"/>
      <c r="C943" s="23" t="s">
        <v>238</v>
      </c>
      <c r="D943" s="6"/>
      <c r="E943" s="6"/>
      <c r="F943" s="7"/>
      <c r="G943" s="7">
        <f t="shared" si="99"/>
        <v>0</v>
      </c>
      <c r="H943" s="7">
        <f t="shared" si="99"/>
        <v>0</v>
      </c>
      <c r="I943" s="7">
        <f t="shared" si="99"/>
        <v>1</v>
      </c>
      <c r="J943" s="7">
        <f t="shared" si="99"/>
        <v>0</v>
      </c>
      <c r="K943" s="7">
        <f t="shared" si="99"/>
        <v>0</v>
      </c>
      <c r="L943" s="6"/>
    </row>
    <row r="944" spans="1:12" x14ac:dyDescent="0.25">
      <c r="A944" s="4">
        <f t="shared" ref="A944:A981" si="100">A943+0.0001</f>
        <v>2.1065000000000138</v>
      </c>
      <c r="B944" s="53"/>
      <c r="C944" s="23" t="s">
        <v>162</v>
      </c>
      <c r="D944" s="6"/>
      <c r="E944" s="6"/>
      <c r="F944" s="7"/>
      <c r="G944" s="7">
        <f t="shared" ref="G944:K959" si="101">IF($F944=G$1,1,0)</f>
        <v>0</v>
      </c>
      <c r="H944" s="7">
        <f t="shared" si="101"/>
        <v>0</v>
      </c>
      <c r="I944" s="7">
        <f t="shared" si="101"/>
        <v>1</v>
      </c>
      <c r="J944" s="7">
        <f t="shared" si="101"/>
        <v>0</v>
      </c>
      <c r="K944" s="7">
        <f t="shared" si="101"/>
        <v>0</v>
      </c>
      <c r="L944" s="6"/>
    </row>
    <row r="945" spans="1:12" x14ac:dyDescent="0.25">
      <c r="A945" s="4">
        <f t="shared" si="100"/>
        <v>2.106600000000014</v>
      </c>
      <c r="B945" s="53"/>
      <c r="C945" s="23" t="s">
        <v>239</v>
      </c>
      <c r="D945" s="6"/>
      <c r="E945" s="6"/>
      <c r="F945" s="7"/>
      <c r="G945" s="7">
        <f t="shared" si="101"/>
        <v>0</v>
      </c>
      <c r="H945" s="7">
        <f t="shared" si="101"/>
        <v>0</v>
      </c>
      <c r="I945" s="7">
        <f t="shared" si="101"/>
        <v>1</v>
      </c>
      <c r="J945" s="7">
        <f t="shared" si="101"/>
        <v>0</v>
      </c>
      <c r="K945" s="7">
        <f t="shared" si="101"/>
        <v>0</v>
      </c>
      <c r="L945" s="6"/>
    </row>
    <row r="946" spans="1:12" x14ac:dyDescent="0.25">
      <c r="A946" s="4">
        <f t="shared" si="100"/>
        <v>2.1067000000000142</v>
      </c>
      <c r="B946" s="53"/>
      <c r="C946" s="23" t="s">
        <v>240</v>
      </c>
      <c r="D946" s="6"/>
      <c r="E946" s="6"/>
      <c r="F946" s="7"/>
      <c r="G946" s="7">
        <f t="shared" si="101"/>
        <v>0</v>
      </c>
      <c r="H946" s="7">
        <f t="shared" si="101"/>
        <v>0</v>
      </c>
      <c r="I946" s="7">
        <f t="shared" si="101"/>
        <v>1</v>
      </c>
      <c r="J946" s="7">
        <f t="shared" si="101"/>
        <v>0</v>
      </c>
      <c r="K946" s="7">
        <f t="shared" si="101"/>
        <v>0</v>
      </c>
      <c r="L946" s="6"/>
    </row>
    <row r="947" spans="1:12" x14ac:dyDescent="0.25">
      <c r="A947" s="4">
        <f t="shared" si="100"/>
        <v>2.1068000000000144</v>
      </c>
      <c r="B947" s="53"/>
      <c r="C947" s="23" t="s">
        <v>241</v>
      </c>
      <c r="D947" s="6"/>
      <c r="E947" s="6"/>
      <c r="F947" s="7"/>
      <c r="G947" s="7">
        <f t="shared" si="101"/>
        <v>0</v>
      </c>
      <c r="H947" s="7">
        <f t="shared" si="101"/>
        <v>0</v>
      </c>
      <c r="I947" s="7">
        <f t="shared" si="101"/>
        <v>1</v>
      </c>
      <c r="J947" s="7">
        <f t="shared" si="101"/>
        <v>0</v>
      </c>
      <c r="K947" s="7">
        <f t="shared" si="101"/>
        <v>0</v>
      </c>
      <c r="L947" s="6"/>
    </row>
    <row r="948" spans="1:12" x14ac:dyDescent="0.25">
      <c r="A948" s="4">
        <f t="shared" si="100"/>
        <v>2.1069000000000146</v>
      </c>
      <c r="B948" s="53"/>
      <c r="C948" s="23" t="s">
        <v>242</v>
      </c>
      <c r="D948" s="6"/>
      <c r="E948" s="6"/>
      <c r="F948" s="7"/>
      <c r="G948" s="7">
        <f t="shared" si="101"/>
        <v>0</v>
      </c>
      <c r="H948" s="7">
        <f t="shared" si="101"/>
        <v>0</v>
      </c>
      <c r="I948" s="7">
        <f t="shared" si="101"/>
        <v>1</v>
      </c>
      <c r="J948" s="7">
        <f t="shared" si="101"/>
        <v>0</v>
      </c>
      <c r="K948" s="7">
        <f t="shared" si="101"/>
        <v>0</v>
      </c>
      <c r="L948" s="6"/>
    </row>
    <row r="949" spans="1:12" x14ac:dyDescent="0.25">
      <c r="A949" s="4">
        <f t="shared" si="100"/>
        <v>2.1070000000000149</v>
      </c>
      <c r="B949" s="53"/>
      <c r="C949" s="23" t="s">
        <v>243</v>
      </c>
      <c r="D949" s="6"/>
      <c r="E949" s="6"/>
      <c r="F949" s="7"/>
      <c r="G949" s="7">
        <f t="shared" si="101"/>
        <v>0</v>
      </c>
      <c r="H949" s="7">
        <f t="shared" si="101"/>
        <v>0</v>
      </c>
      <c r="I949" s="7">
        <f t="shared" si="101"/>
        <v>1</v>
      </c>
      <c r="J949" s="7">
        <f t="shared" si="101"/>
        <v>0</v>
      </c>
      <c r="K949" s="7">
        <f t="shared" si="101"/>
        <v>0</v>
      </c>
      <c r="L949" s="6"/>
    </row>
    <row r="950" spans="1:12" x14ac:dyDescent="0.25">
      <c r="A950" s="4">
        <f t="shared" si="100"/>
        <v>2.1071000000000151</v>
      </c>
      <c r="B950" s="53"/>
      <c r="C950" s="23" t="s">
        <v>244</v>
      </c>
      <c r="D950" s="6"/>
      <c r="E950" s="6"/>
      <c r="F950" s="7"/>
      <c r="G950" s="7">
        <f t="shared" si="101"/>
        <v>0</v>
      </c>
      <c r="H950" s="7">
        <f t="shared" si="101"/>
        <v>0</v>
      </c>
      <c r="I950" s="7">
        <f t="shared" si="101"/>
        <v>1</v>
      </c>
      <c r="J950" s="7">
        <f t="shared" si="101"/>
        <v>0</v>
      </c>
      <c r="K950" s="7">
        <f t="shared" si="101"/>
        <v>0</v>
      </c>
      <c r="L950" s="6"/>
    </row>
    <row r="951" spans="1:12" ht="25.5" x14ac:dyDescent="0.25">
      <c r="A951" s="4">
        <f t="shared" si="100"/>
        <v>2.1072000000000153</v>
      </c>
      <c r="B951" s="53"/>
      <c r="C951" s="23" t="s">
        <v>245</v>
      </c>
      <c r="D951" s="6"/>
      <c r="E951" s="6"/>
      <c r="F951" s="7"/>
      <c r="G951" s="7">
        <f t="shared" si="101"/>
        <v>0</v>
      </c>
      <c r="H951" s="7">
        <f t="shared" si="101"/>
        <v>0</v>
      </c>
      <c r="I951" s="7">
        <f t="shared" si="101"/>
        <v>1</v>
      </c>
      <c r="J951" s="7">
        <f t="shared" si="101"/>
        <v>0</v>
      </c>
      <c r="K951" s="7">
        <f t="shared" si="101"/>
        <v>0</v>
      </c>
      <c r="L951" s="6"/>
    </row>
    <row r="952" spans="1:12" ht="63.75" x14ac:dyDescent="0.25">
      <c r="A952" s="4">
        <f t="shared" si="100"/>
        <v>2.1073000000000155</v>
      </c>
      <c r="B952" s="31" t="s">
        <v>246</v>
      </c>
      <c r="C952" s="23" t="s">
        <v>247</v>
      </c>
      <c r="D952" s="6"/>
      <c r="E952" s="6"/>
      <c r="F952" s="7"/>
      <c r="G952" s="7">
        <f t="shared" si="101"/>
        <v>0</v>
      </c>
      <c r="H952" s="7">
        <f t="shared" si="101"/>
        <v>0</v>
      </c>
      <c r="I952" s="7">
        <f t="shared" si="101"/>
        <v>1</v>
      </c>
      <c r="J952" s="7">
        <f t="shared" si="101"/>
        <v>0</v>
      </c>
      <c r="K952" s="7">
        <f t="shared" si="101"/>
        <v>0</v>
      </c>
      <c r="L952" s="6"/>
    </row>
    <row r="953" spans="1:12" x14ac:dyDescent="0.25">
      <c r="A953" s="4">
        <f t="shared" si="100"/>
        <v>2.1074000000000157</v>
      </c>
      <c r="B953" s="50"/>
      <c r="C953" s="23" t="s">
        <v>248</v>
      </c>
      <c r="D953" s="6"/>
      <c r="E953" s="6"/>
      <c r="F953" s="7"/>
      <c r="G953" s="7">
        <f t="shared" si="101"/>
        <v>0</v>
      </c>
      <c r="H953" s="7">
        <f t="shared" si="101"/>
        <v>0</v>
      </c>
      <c r="I953" s="7">
        <f t="shared" si="101"/>
        <v>1</v>
      </c>
      <c r="J953" s="7">
        <f t="shared" si="101"/>
        <v>0</v>
      </c>
      <c r="K953" s="7">
        <f t="shared" si="101"/>
        <v>0</v>
      </c>
      <c r="L953" s="6"/>
    </row>
    <row r="954" spans="1:12" x14ac:dyDescent="0.25">
      <c r="A954" s="4">
        <f t="shared" si="100"/>
        <v>2.1075000000000159</v>
      </c>
      <c r="B954" s="50" t="s">
        <v>249</v>
      </c>
      <c r="C954" s="23" t="s">
        <v>250</v>
      </c>
      <c r="D954" s="6"/>
      <c r="E954" s="6"/>
      <c r="F954" s="7"/>
      <c r="G954" s="7">
        <f t="shared" si="101"/>
        <v>0</v>
      </c>
      <c r="H954" s="7">
        <f t="shared" si="101"/>
        <v>0</v>
      </c>
      <c r="I954" s="7">
        <f t="shared" si="101"/>
        <v>1</v>
      </c>
      <c r="J954" s="7">
        <f t="shared" si="101"/>
        <v>0</v>
      </c>
      <c r="K954" s="7">
        <f t="shared" si="101"/>
        <v>0</v>
      </c>
      <c r="L954" s="6"/>
    </row>
    <row r="955" spans="1:12" x14ac:dyDescent="0.25">
      <c r="A955" s="4">
        <f t="shared" si="100"/>
        <v>2.1076000000000161</v>
      </c>
      <c r="B955" s="23" t="s">
        <v>251</v>
      </c>
      <c r="C955" s="23" t="s">
        <v>252</v>
      </c>
      <c r="D955" s="6"/>
      <c r="E955" s="6"/>
      <c r="F955" s="7"/>
      <c r="G955" s="7">
        <f t="shared" si="101"/>
        <v>0</v>
      </c>
      <c r="H955" s="7">
        <f t="shared" si="101"/>
        <v>0</v>
      </c>
      <c r="I955" s="7">
        <f t="shared" si="101"/>
        <v>1</v>
      </c>
      <c r="J955" s="7">
        <f t="shared" si="101"/>
        <v>0</v>
      </c>
      <c r="K955" s="7">
        <f t="shared" si="101"/>
        <v>0</v>
      </c>
      <c r="L955" s="6"/>
    </row>
    <row r="956" spans="1:12" x14ac:dyDescent="0.25">
      <c r="A956" s="4">
        <f t="shared" si="100"/>
        <v>2.1077000000000163</v>
      </c>
      <c r="B956" s="23" t="s">
        <v>253</v>
      </c>
      <c r="C956" s="23" t="s">
        <v>254</v>
      </c>
      <c r="D956" s="6"/>
      <c r="E956" s="6"/>
      <c r="F956" s="7"/>
      <c r="G956" s="7">
        <f t="shared" si="101"/>
        <v>0</v>
      </c>
      <c r="H956" s="7">
        <f t="shared" si="101"/>
        <v>0</v>
      </c>
      <c r="I956" s="7">
        <f t="shared" si="101"/>
        <v>1</v>
      </c>
      <c r="J956" s="7">
        <f t="shared" si="101"/>
        <v>0</v>
      </c>
      <c r="K956" s="7">
        <f t="shared" si="101"/>
        <v>0</v>
      </c>
      <c r="L956" s="6"/>
    </row>
    <row r="957" spans="1:12" x14ac:dyDescent="0.25">
      <c r="A957" s="4">
        <f t="shared" si="100"/>
        <v>2.1078000000000165</v>
      </c>
      <c r="B957" s="23" t="s">
        <v>255</v>
      </c>
      <c r="C957" s="23" t="s">
        <v>256</v>
      </c>
      <c r="D957" s="6"/>
      <c r="E957" s="6"/>
      <c r="F957" s="7"/>
      <c r="G957" s="7">
        <f t="shared" si="101"/>
        <v>0</v>
      </c>
      <c r="H957" s="7">
        <f t="shared" si="101"/>
        <v>0</v>
      </c>
      <c r="I957" s="7">
        <f t="shared" si="101"/>
        <v>1</v>
      </c>
      <c r="J957" s="7">
        <f t="shared" si="101"/>
        <v>0</v>
      </c>
      <c r="K957" s="7">
        <f t="shared" si="101"/>
        <v>0</v>
      </c>
      <c r="L957" s="6"/>
    </row>
    <row r="958" spans="1:12" ht="25.5" x14ac:dyDescent="0.25">
      <c r="A958" s="4">
        <f t="shared" si="100"/>
        <v>2.1079000000000168</v>
      </c>
      <c r="B958" s="31" t="s">
        <v>257</v>
      </c>
      <c r="C958" s="23" t="s">
        <v>258</v>
      </c>
      <c r="D958" s="6"/>
      <c r="E958" s="6"/>
      <c r="F958" s="7"/>
      <c r="G958" s="7">
        <f t="shared" si="101"/>
        <v>0</v>
      </c>
      <c r="H958" s="7">
        <f t="shared" si="101"/>
        <v>0</v>
      </c>
      <c r="I958" s="7">
        <f t="shared" si="101"/>
        <v>1</v>
      </c>
      <c r="J958" s="7">
        <f t="shared" si="101"/>
        <v>0</v>
      </c>
      <c r="K958" s="7">
        <f t="shared" si="101"/>
        <v>0</v>
      </c>
      <c r="L958" s="6"/>
    </row>
    <row r="959" spans="1:12" x14ac:dyDescent="0.25">
      <c r="A959" s="4">
        <f t="shared" si="100"/>
        <v>2.108000000000017</v>
      </c>
      <c r="B959" s="31" t="s">
        <v>259</v>
      </c>
      <c r="C959" s="23" t="s">
        <v>260</v>
      </c>
      <c r="D959" s="6"/>
      <c r="E959" s="6"/>
      <c r="F959" s="7"/>
      <c r="G959" s="7">
        <f t="shared" si="101"/>
        <v>0</v>
      </c>
      <c r="H959" s="7">
        <f t="shared" si="101"/>
        <v>0</v>
      </c>
      <c r="I959" s="7">
        <f t="shared" si="101"/>
        <v>1</v>
      </c>
      <c r="J959" s="7">
        <f t="shared" si="101"/>
        <v>0</v>
      </c>
      <c r="K959" s="7">
        <f t="shared" si="101"/>
        <v>0</v>
      </c>
      <c r="L959" s="6"/>
    </row>
    <row r="960" spans="1:12" x14ac:dyDescent="0.25">
      <c r="A960" s="4">
        <f t="shared" si="100"/>
        <v>2.1081000000000172</v>
      </c>
      <c r="B960" s="53"/>
      <c r="C960" s="23"/>
      <c r="D960" s="6"/>
      <c r="E960" s="6"/>
      <c r="F960" s="7"/>
      <c r="G960" s="7">
        <f t="shared" ref="G960:K975" si="102">IF($F960=G$1,1,0)</f>
        <v>0</v>
      </c>
      <c r="H960" s="7">
        <f t="shared" si="102"/>
        <v>0</v>
      </c>
      <c r="I960" s="7">
        <f t="shared" si="102"/>
        <v>1</v>
      </c>
      <c r="J960" s="7">
        <f t="shared" si="102"/>
        <v>0</v>
      </c>
      <c r="K960" s="7">
        <f t="shared" si="102"/>
        <v>0</v>
      </c>
      <c r="L960" s="6"/>
    </row>
    <row r="961" spans="1:12" x14ac:dyDescent="0.25">
      <c r="A961" s="4">
        <f t="shared" si="100"/>
        <v>2.1082000000000174</v>
      </c>
      <c r="B961" s="31" t="s">
        <v>261</v>
      </c>
      <c r="C961" s="23" t="s">
        <v>262</v>
      </c>
      <c r="D961" s="6"/>
      <c r="E961" s="6"/>
      <c r="F961" s="7"/>
      <c r="G961" s="7">
        <f t="shared" si="102"/>
        <v>0</v>
      </c>
      <c r="H961" s="7">
        <f t="shared" si="102"/>
        <v>0</v>
      </c>
      <c r="I961" s="7">
        <f t="shared" si="102"/>
        <v>1</v>
      </c>
      <c r="J961" s="7">
        <f t="shared" si="102"/>
        <v>0</v>
      </c>
      <c r="K961" s="7">
        <f t="shared" si="102"/>
        <v>0</v>
      </c>
      <c r="L961" s="6"/>
    </row>
    <row r="962" spans="1:12" x14ac:dyDescent="0.25">
      <c r="A962" s="4">
        <f t="shared" si="100"/>
        <v>2.1083000000000176</v>
      </c>
      <c r="B962" s="53"/>
      <c r="C962" s="23" t="s">
        <v>238</v>
      </c>
      <c r="D962" s="6"/>
      <c r="E962" s="6"/>
      <c r="F962" s="7"/>
      <c r="G962" s="7">
        <f t="shared" si="102"/>
        <v>0</v>
      </c>
      <c r="H962" s="7">
        <f t="shared" si="102"/>
        <v>0</v>
      </c>
      <c r="I962" s="7">
        <f t="shared" si="102"/>
        <v>1</v>
      </c>
      <c r="J962" s="7">
        <f t="shared" si="102"/>
        <v>0</v>
      </c>
      <c r="K962" s="7">
        <f t="shared" si="102"/>
        <v>0</v>
      </c>
      <c r="L962" s="6"/>
    </row>
    <row r="963" spans="1:12" x14ac:dyDescent="0.25">
      <c r="A963" s="4">
        <f t="shared" si="100"/>
        <v>2.1084000000000178</v>
      </c>
      <c r="B963" s="53"/>
      <c r="C963" s="23" t="s">
        <v>162</v>
      </c>
      <c r="D963" s="6"/>
      <c r="E963" s="6"/>
      <c r="F963" s="7"/>
      <c r="G963" s="7">
        <f t="shared" si="102"/>
        <v>0</v>
      </c>
      <c r="H963" s="7">
        <f t="shared" si="102"/>
        <v>0</v>
      </c>
      <c r="I963" s="7">
        <f t="shared" si="102"/>
        <v>1</v>
      </c>
      <c r="J963" s="7">
        <f t="shared" si="102"/>
        <v>0</v>
      </c>
      <c r="K963" s="7">
        <f t="shared" si="102"/>
        <v>0</v>
      </c>
      <c r="L963" s="6"/>
    </row>
    <row r="964" spans="1:12" x14ac:dyDescent="0.25">
      <c r="A964" s="4">
        <f t="shared" si="100"/>
        <v>2.108500000000018</v>
      </c>
      <c r="B964" s="53"/>
      <c r="C964" s="23" t="s">
        <v>239</v>
      </c>
      <c r="D964" s="6"/>
      <c r="E964" s="6"/>
      <c r="F964" s="7"/>
      <c r="G964" s="7">
        <f t="shared" si="102"/>
        <v>0</v>
      </c>
      <c r="H964" s="7">
        <f t="shared" si="102"/>
        <v>0</v>
      </c>
      <c r="I964" s="7">
        <f t="shared" si="102"/>
        <v>1</v>
      </c>
      <c r="J964" s="7">
        <f t="shared" si="102"/>
        <v>0</v>
      </c>
      <c r="K964" s="7">
        <f t="shared" si="102"/>
        <v>0</v>
      </c>
      <c r="L964" s="6"/>
    </row>
    <row r="965" spans="1:12" x14ac:dyDescent="0.25">
      <c r="A965" s="4">
        <f t="shared" si="100"/>
        <v>2.1086000000000182</v>
      </c>
      <c r="B965" s="53"/>
      <c r="C965" s="23" t="s">
        <v>263</v>
      </c>
      <c r="D965" s="6"/>
      <c r="E965" s="6"/>
      <c r="F965" s="7"/>
      <c r="G965" s="7">
        <f t="shared" si="102"/>
        <v>0</v>
      </c>
      <c r="H965" s="7">
        <f t="shared" si="102"/>
        <v>0</v>
      </c>
      <c r="I965" s="7">
        <f t="shared" si="102"/>
        <v>1</v>
      </c>
      <c r="J965" s="7">
        <f t="shared" si="102"/>
        <v>0</v>
      </c>
      <c r="K965" s="7">
        <f t="shared" si="102"/>
        <v>0</v>
      </c>
      <c r="L965" s="6"/>
    </row>
    <row r="966" spans="1:12" x14ac:dyDescent="0.25">
      <c r="A966" s="4">
        <f t="shared" si="100"/>
        <v>2.1087000000000184</v>
      </c>
      <c r="B966" s="53"/>
      <c r="C966" s="23" t="s">
        <v>264</v>
      </c>
      <c r="D966" s="6"/>
      <c r="E966" s="6"/>
      <c r="F966" s="7"/>
      <c r="G966" s="7">
        <f t="shared" si="102"/>
        <v>0</v>
      </c>
      <c r="H966" s="7">
        <f t="shared" si="102"/>
        <v>0</v>
      </c>
      <c r="I966" s="7">
        <f t="shared" si="102"/>
        <v>1</v>
      </c>
      <c r="J966" s="7">
        <f t="shared" si="102"/>
        <v>0</v>
      </c>
      <c r="K966" s="7">
        <f t="shared" si="102"/>
        <v>0</v>
      </c>
      <c r="L966" s="6"/>
    </row>
    <row r="967" spans="1:12" x14ac:dyDescent="0.25">
      <c r="A967" s="4">
        <f t="shared" si="100"/>
        <v>2.1088000000000187</v>
      </c>
      <c r="B967" s="53"/>
      <c r="C967" s="23" t="s">
        <v>244</v>
      </c>
      <c r="D967" s="6"/>
      <c r="E967" s="6"/>
      <c r="F967" s="7"/>
      <c r="G967" s="7">
        <f t="shared" si="102"/>
        <v>0</v>
      </c>
      <c r="H967" s="7">
        <f t="shared" si="102"/>
        <v>0</v>
      </c>
      <c r="I967" s="7">
        <f t="shared" si="102"/>
        <v>1</v>
      </c>
      <c r="J967" s="7">
        <f t="shared" si="102"/>
        <v>0</v>
      </c>
      <c r="K967" s="7">
        <f t="shared" si="102"/>
        <v>0</v>
      </c>
      <c r="L967" s="6"/>
    </row>
    <row r="968" spans="1:12" ht="25.5" x14ac:dyDescent="0.25">
      <c r="A968" s="4">
        <f t="shared" si="100"/>
        <v>2.1089000000000189</v>
      </c>
      <c r="B968" s="53"/>
      <c r="C968" s="23" t="s">
        <v>245</v>
      </c>
      <c r="D968" s="6"/>
      <c r="E968" s="6"/>
      <c r="F968" s="7"/>
      <c r="G968" s="7">
        <f t="shared" si="102"/>
        <v>0</v>
      </c>
      <c r="H968" s="7">
        <f t="shared" si="102"/>
        <v>0</v>
      </c>
      <c r="I968" s="7">
        <f t="shared" si="102"/>
        <v>1</v>
      </c>
      <c r="J968" s="7">
        <f t="shared" si="102"/>
        <v>0</v>
      </c>
      <c r="K968" s="7">
        <f t="shared" si="102"/>
        <v>0</v>
      </c>
      <c r="L968" s="6"/>
    </row>
    <row r="969" spans="1:12" ht="25.5" x14ac:dyDescent="0.25">
      <c r="A969" s="4">
        <f t="shared" si="100"/>
        <v>2.1090000000000191</v>
      </c>
      <c r="B969" s="31" t="s">
        <v>246</v>
      </c>
      <c r="C969" s="23" t="s">
        <v>265</v>
      </c>
      <c r="D969" s="6"/>
      <c r="E969" s="6"/>
      <c r="F969" s="7"/>
      <c r="G969" s="7">
        <f t="shared" si="102"/>
        <v>0</v>
      </c>
      <c r="H969" s="7">
        <f t="shared" si="102"/>
        <v>0</v>
      </c>
      <c r="I969" s="7">
        <f t="shared" si="102"/>
        <v>1</v>
      </c>
      <c r="J969" s="7">
        <f t="shared" si="102"/>
        <v>0</v>
      </c>
      <c r="K969" s="7">
        <f t="shared" si="102"/>
        <v>0</v>
      </c>
      <c r="L969" s="6"/>
    </row>
    <row r="970" spans="1:12" ht="25.5" x14ac:dyDescent="0.25">
      <c r="A970" s="4">
        <f t="shared" si="100"/>
        <v>2.1091000000000193</v>
      </c>
      <c r="B970" s="53"/>
      <c r="C970" s="23" t="s">
        <v>266</v>
      </c>
      <c r="D970" s="6"/>
      <c r="E970" s="6"/>
      <c r="F970" s="7"/>
      <c r="G970" s="7">
        <f t="shared" si="102"/>
        <v>0</v>
      </c>
      <c r="H970" s="7">
        <f t="shared" si="102"/>
        <v>0</v>
      </c>
      <c r="I970" s="7">
        <f t="shared" si="102"/>
        <v>1</v>
      </c>
      <c r="J970" s="7">
        <f t="shared" si="102"/>
        <v>0</v>
      </c>
      <c r="K970" s="7">
        <f t="shared" si="102"/>
        <v>0</v>
      </c>
      <c r="L970" s="6"/>
    </row>
    <row r="971" spans="1:12" ht="25.5" x14ac:dyDescent="0.25">
      <c r="A971" s="4">
        <f t="shared" si="100"/>
        <v>2.1092000000000195</v>
      </c>
      <c r="B971" s="31" t="s">
        <v>267</v>
      </c>
      <c r="C971" s="23" t="s">
        <v>268</v>
      </c>
      <c r="D971" s="6"/>
      <c r="E971" s="6"/>
      <c r="F971" s="7"/>
      <c r="G971" s="7">
        <f t="shared" si="102"/>
        <v>0</v>
      </c>
      <c r="H971" s="7">
        <f t="shared" si="102"/>
        <v>0</v>
      </c>
      <c r="I971" s="7">
        <f t="shared" si="102"/>
        <v>1</v>
      </c>
      <c r="J971" s="7">
        <f t="shared" si="102"/>
        <v>0</v>
      </c>
      <c r="K971" s="7">
        <f t="shared" si="102"/>
        <v>0</v>
      </c>
      <c r="L971" s="6"/>
    </row>
    <row r="972" spans="1:12" ht="25.5" x14ac:dyDescent="0.25">
      <c r="A972" s="4">
        <f t="shared" si="100"/>
        <v>2.1093000000000197</v>
      </c>
      <c r="B972" s="53" t="s">
        <v>269</v>
      </c>
      <c r="C972" s="23" t="s">
        <v>270</v>
      </c>
      <c r="D972" s="6"/>
      <c r="E972" s="6"/>
      <c r="F972" s="7"/>
      <c r="G972" s="7">
        <f t="shared" si="102"/>
        <v>0</v>
      </c>
      <c r="H972" s="7">
        <f t="shared" si="102"/>
        <v>0</v>
      </c>
      <c r="I972" s="7">
        <f t="shared" si="102"/>
        <v>1</v>
      </c>
      <c r="J972" s="7">
        <f t="shared" si="102"/>
        <v>0</v>
      </c>
      <c r="K972" s="7">
        <f t="shared" si="102"/>
        <v>0</v>
      </c>
      <c r="L972" s="6"/>
    </row>
    <row r="973" spans="1:12" x14ac:dyDescent="0.25">
      <c r="A973" s="4">
        <f t="shared" si="100"/>
        <v>2.1094000000000199</v>
      </c>
      <c r="B973" s="50" t="s">
        <v>271</v>
      </c>
      <c r="C973" s="23" t="s">
        <v>272</v>
      </c>
      <c r="D973" s="6"/>
      <c r="E973" s="6"/>
      <c r="F973" s="7"/>
      <c r="G973" s="7">
        <f t="shared" si="102"/>
        <v>0</v>
      </c>
      <c r="H973" s="7">
        <f t="shared" si="102"/>
        <v>0</v>
      </c>
      <c r="I973" s="7">
        <f t="shared" si="102"/>
        <v>1</v>
      </c>
      <c r="J973" s="7">
        <f t="shared" si="102"/>
        <v>0</v>
      </c>
      <c r="K973" s="7">
        <f t="shared" si="102"/>
        <v>0</v>
      </c>
      <c r="L973" s="6"/>
    </row>
    <row r="974" spans="1:12" ht="25.5" x14ac:dyDescent="0.25">
      <c r="A974" s="4">
        <f t="shared" si="100"/>
        <v>2.1095000000000201</v>
      </c>
      <c r="B974" s="50" t="s">
        <v>257</v>
      </c>
      <c r="C974" s="23" t="s">
        <v>258</v>
      </c>
      <c r="D974" s="6"/>
      <c r="E974" s="6"/>
      <c r="F974" s="7"/>
      <c r="G974" s="7">
        <f t="shared" si="102"/>
        <v>0</v>
      </c>
      <c r="H974" s="7">
        <f t="shared" si="102"/>
        <v>0</v>
      </c>
      <c r="I974" s="7">
        <f t="shared" si="102"/>
        <v>1</v>
      </c>
      <c r="J974" s="7">
        <f t="shared" si="102"/>
        <v>0</v>
      </c>
      <c r="K974" s="7">
        <f t="shared" si="102"/>
        <v>0</v>
      </c>
      <c r="L974" s="6"/>
    </row>
    <row r="975" spans="1:12" ht="25.5" x14ac:dyDescent="0.25">
      <c r="A975" s="4">
        <f t="shared" si="100"/>
        <v>2.1096000000000203</v>
      </c>
      <c r="B975" s="23" t="s">
        <v>273</v>
      </c>
      <c r="C975" s="23" t="s">
        <v>274</v>
      </c>
      <c r="D975" s="6"/>
      <c r="E975" s="6"/>
      <c r="F975" s="7"/>
      <c r="G975" s="7">
        <f t="shared" si="102"/>
        <v>0</v>
      </c>
      <c r="H975" s="7">
        <f t="shared" si="102"/>
        <v>0</v>
      </c>
      <c r="I975" s="7">
        <f t="shared" si="102"/>
        <v>1</v>
      </c>
      <c r="J975" s="7">
        <f t="shared" si="102"/>
        <v>0</v>
      </c>
      <c r="K975" s="7">
        <f t="shared" si="102"/>
        <v>0</v>
      </c>
      <c r="L975" s="6"/>
    </row>
    <row r="976" spans="1:12" x14ac:dyDescent="0.25">
      <c r="A976" s="4">
        <f t="shared" si="100"/>
        <v>2.1097000000000206</v>
      </c>
      <c r="B976" s="31" t="s">
        <v>275</v>
      </c>
      <c r="C976" s="23" t="s">
        <v>276</v>
      </c>
      <c r="D976" s="6"/>
      <c r="E976" s="6"/>
      <c r="F976" s="7"/>
      <c r="G976" s="7">
        <f t="shared" ref="G976:K981" si="103">IF($F976=G$1,1,0)</f>
        <v>0</v>
      </c>
      <c r="H976" s="7">
        <f t="shared" si="103"/>
        <v>0</v>
      </c>
      <c r="I976" s="7">
        <f t="shared" si="103"/>
        <v>1</v>
      </c>
      <c r="J976" s="7">
        <f t="shared" si="103"/>
        <v>0</v>
      </c>
      <c r="K976" s="7">
        <f t="shared" si="103"/>
        <v>0</v>
      </c>
      <c r="L976" s="6"/>
    </row>
    <row r="977" spans="1:12" x14ac:dyDescent="0.25">
      <c r="A977" s="4">
        <f t="shared" si="100"/>
        <v>2.1098000000000208</v>
      </c>
      <c r="B977" s="31" t="s">
        <v>277</v>
      </c>
      <c r="C977" s="23" t="s">
        <v>278</v>
      </c>
      <c r="D977" s="6"/>
      <c r="E977" s="6"/>
      <c r="F977" s="7"/>
      <c r="G977" s="7">
        <f t="shared" si="103"/>
        <v>0</v>
      </c>
      <c r="H977" s="7">
        <f t="shared" si="103"/>
        <v>0</v>
      </c>
      <c r="I977" s="7">
        <f t="shared" si="103"/>
        <v>1</v>
      </c>
      <c r="J977" s="7">
        <f t="shared" si="103"/>
        <v>0</v>
      </c>
      <c r="K977" s="7">
        <f t="shared" si="103"/>
        <v>0</v>
      </c>
      <c r="L977" s="6"/>
    </row>
    <row r="978" spans="1:12" x14ac:dyDescent="0.25">
      <c r="A978" s="4">
        <f t="shared" si="100"/>
        <v>2.109900000000021</v>
      </c>
      <c r="B978" s="73"/>
      <c r="C978" s="23" t="s">
        <v>279</v>
      </c>
      <c r="D978" s="6"/>
      <c r="E978" s="6"/>
      <c r="F978" s="7"/>
      <c r="G978" s="7">
        <f t="shared" si="103"/>
        <v>0</v>
      </c>
      <c r="H978" s="7">
        <f t="shared" si="103"/>
        <v>0</v>
      </c>
      <c r="I978" s="7">
        <f t="shared" si="103"/>
        <v>1</v>
      </c>
      <c r="J978" s="7">
        <f t="shared" si="103"/>
        <v>0</v>
      </c>
      <c r="K978" s="7">
        <f t="shared" si="103"/>
        <v>0</v>
      </c>
      <c r="L978" s="6"/>
    </row>
    <row r="979" spans="1:12" x14ac:dyDescent="0.25">
      <c r="A979" s="4">
        <f t="shared" si="100"/>
        <v>2.1100000000000212</v>
      </c>
      <c r="B979" s="45" t="s">
        <v>280</v>
      </c>
      <c r="C979" s="23" t="s">
        <v>278</v>
      </c>
      <c r="D979" s="6"/>
      <c r="E979" s="6"/>
      <c r="F979" s="7"/>
      <c r="G979" s="7">
        <f t="shared" si="103"/>
        <v>0</v>
      </c>
      <c r="H979" s="7">
        <f t="shared" si="103"/>
        <v>0</v>
      </c>
      <c r="I979" s="7">
        <f t="shared" si="103"/>
        <v>1</v>
      </c>
      <c r="J979" s="7">
        <f t="shared" si="103"/>
        <v>0</v>
      </c>
      <c r="K979" s="7">
        <f t="shared" si="103"/>
        <v>0</v>
      </c>
      <c r="L979" s="6"/>
    </row>
    <row r="980" spans="1:12" x14ac:dyDescent="0.25">
      <c r="A980" s="4">
        <f t="shared" si="100"/>
        <v>2.1101000000000214</v>
      </c>
      <c r="B980" s="76" t="s">
        <v>281</v>
      </c>
      <c r="C980" s="23" t="s">
        <v>282</v>
      </c>
      <c r="D980" s="6"/>
      <c r="E980" s="6"/>
      <c r="F980" s="7"/>
      <c r="G980" s="7">
        <f t="shared" si="103"/>
        <v>0</v>
      </c>
      <c r="H980" s="7">
        <f t="shared" si="103"/>
        <v>0</v>
      </c>
      <c r="I980" s="7">
        <f t="shared" si="103"/>
        <v>1</v>
      </c>
      <c r="J980" s="7">
        <f t="shared" si="103"/>
        <v>0</v>
      </c>
      <c r="K980" s="7">
        <f t="shared" si="103"/>
        <v>0</v>
      </c>
      <c r="L980" s="6"/>
    </row>
    <row r="981" spans="1:12" x14ac:dyDescent="0.25">
      <c r="A981" s="4">
        <f t="shared" si="100"/>
        <v>2.1102000000000216</v>
      </c>
      <c r="B981" s="77" t="s">
        <v>283</v>
      </c>
      <c r="C981" s="31"/>
      <c r="D981" s="27"/>
      <c r="E981" s="27"/>
      <c r="F981" s="33"/>
      <c r="G981" s="33">
        <f t="shared" si="103"/>
        <v>0</v>
      </c>
      <c r="H981" s="33">
        <f t="shared" si="103"/>
        <v>0</v>
      </c>
      <c r="I981" s="33">
        <f t="shared" si="103"/>
        <v>1</v>
      </c>
      <c r="J981" s="33">
        <f t="shared" si="103"/>
        <v>0</v>
      </c>
      <c r="K981" s="33">
        <f t="shared" si="103"/>
        <v>0</v>
      </c>
      <c r="L981" s="27"/>
    </row>
  </sheetData>
  <conditionalFormatting sqref="A2:K2 A4:K4 F4:F30 B101:E104 L101:L105 L27:L30 B9:K30 A6:A30 A982:L983 A68:E68 B69:E74 A69:A105 A697:L699 A701:L707 A709:L878 L68:L74 A166:E168 B59:E62 A33:A34 B35:L35 L36 A35:C36 A178:L178 B193:E193 A193:A196 A40:L40 B56:E57 A56:A62 L243:L268 B243:E268 F253:F254 G242:K268 A242:A268 A50:L50 A51:E55 G51:L57 A63:E66 G166:L168 A186:L186 A179:E185 G179:L185 A187:E192 G187:L193 G59:L66 A41:E46 E47 A49:E49 D48:E48 A47:B48 G41:L49 B105:C105 E105">
    <cfRule type="expression" dxfId="1489" priority="939">
      <formula>$F2="Fail"</formula>
    </cfRule>
  </conditionalFormatting>
  <conditionalFormatting sqref="A31:K31 A32:E32 G32:K33 B33:E33">
    <cfRule type="expression" dxfId="1488" priority="634">
      <formula>$F31="Fail"</formula>
    </cfRule>
  </conditionalFormatting>
  <conditionalFormatting sqref="B36:K36">
    <cfRule type="expression" dxfId="1487" priority="630">
      <formula>$F36="Fail"</formula>
    </cfRule>
  </conditionalFormatting>
  <conditionalFormatting sqref="B34:K34">
    <cfRule type="expression" dxfId="1486" priority="628">
      <formula>$F34="Fail"</formula>
    </cfRule>
  </conditionalFormatting>
  <conditionalFormatting sqref="B34:C34">
    <cfRule type="expression" dxfId="1485" priority="627">
      <formula>$F34="Fail"</formula>
    </cfRule>
  </conditionalFormatting>
  <conditionalFormatting sqref="F32:F39">
    <cfRule type="expression" dxfId="1484" priority="626">
      <formula>$F32="Fail"</formula>
    </cfRule>
  </conditionalFormatting>
  <conditionalFormatting sqref="F33">
    <cfRule type="expression" dxfId="1483" priority="625">
      <formula>$F33="Fail"</formula>
    </cfRule>
  </conditionalFormatting>
  <conditionalFormatting sqref="L2 L4">
    <cfRule type="expression" dxfId="1482" priority="624">
      <formula>$F2="Fail"</formula>
    </cfRule>
  </conditionalFormatting>
  <conditionalFormatting sqref="L31:L33">
    <cfRule type="expression" dxfId="1481" priority="623">
      <formula>$F31="Fail"</formula>
    </cfRule>
  </conditionalFormatting>
  <conditionalFormatting sqref="L34">
    <cfRule type="expression" dxfId="1480" priority="617">
      <formula>$F34="Fail"</formula>
    </cfRule>
  </conditionalFormatting>
  <conditionalFormatting sqref="A3:K3">
    <cfRule type="expression" dxfId="1479" priority="616">
      <formula>$F3="Fail"</formula>
    </cfRule>
  </conditionalFormatting>
  <conditionalFormatting sqref="L3">
    <cfRule type="expression" dxfId="1478" priority="615">
      <formula>$F3="Fail"</formula>
    </cfRule>
  </conditionalFormatting>
  <conditionalFormatting sqref="C22:K26">
    <cfRule type="expression" dxfId="1477" priority="614">
      <formula>$F22="Fail"</formula>
    </cfRule>
  </conditionalFormatting>
  <conditionalFormatting sqref="L22:L26">
    <cfRule type="expression" dxfId="1476" priority="613">
      <formula>$F22="Fail"</formula>
    </cfRule>
  </conditionalFormatting>
  <conditionalFormatting sqref="L9:L21">
    <cfRule type="expression" dxfId="1475" priority="611">
      <formula>$F9="Fail"</formula>
    </cfRule>
  </conditionalFormatting>
  <conditionalFormatting sqref="A5:K5 C8:K8 B6:K7">
    <cfRule type="expression" dxfId="1474" priority="610">
      <formula>$F5="Fail"</formula>
    </cfRule>
  </conditionalFormatting>
  <conditionalFormatting sqref="L5:L8">
    <cfRule type="expression" dxfId="1473" priority="609">
      <formula>$F5="Fail"</formula>
    </cfRule>
  </conditionalFormatting>
  <conditionalFormatting sqref="B8">
    <cfRule type="expression" dxfId="1472" priority="608">
      <formula>$F8="Fail"</formula>
    </cfRule>
  </conditionalFormatting>
  <conditionalFormatting sqref="B20">
    <cfRule type="expression" dxfId="1471" priority="606">
      <formula>$F20="Fail"</formula>
    </cfRule>
  </conditionalFormatting>
  <conditionalFormatting sqref="B21:B23">
    <cfRule type="expression" dxfId="1470" priority="605">
      <formula>$F21="Fail"</formula>
    </cfRule>
  </conditionalFormatting>
  <conditionalFormatting sqref="B24">
    <cfRule type="expression" dxfId="1469" priority="604">
      <formula>$F24="Fail"</formula>
    </cfRule>
  </conditionalFormatting>
  <conditionalFormatting sqref="B25:B27">
    <cfRule type="expression" dxfId="1468" priority="603">
      <formula>$F25="Fail"</formula>
    </cfRule>
  </conditionalFormatting>
  <conditionalFormatting sqref="B28">
    <cfRule type="expression" dxfId="1467" priority="602">
      <formula>$F28="Fail"</formula>
    </cfRule>
  </conditionalFormatting>
  <conditionalFormatting sqref="L698">
    <cfRule type="expression" dxfId="1466" priority="508">
      <formula>$F698="Fail"</formula>
    </cfRule>
  </conditionalFormatting>
  <conditionalFormatting sqref="B697:K697">
    <cfRule type="expression" dxfId="1465" priority="513">
      <formula>$F697="Fail"</formula>
    </cfRule>
  </conditionalFormatting>
  <conditionalFormatting sqref="B698:K698">
    <cfRule type="expression" dxfId="1464" priority="510">
      <formula>$F698="Fail"</formula>
    </cfRule>
  </conditionalFormatting>
  <conditionalFormatting sqref="L697">
    <cfRule type="expression" dxfId="1463" priority="511">
      <formula>$F697="Fail"</formula>
    </cfRule>
  </conditionalFormatting>
  <conditionalFormatting sqref="A695:K695">
    <cfRule type="expression" dxfId="1462" priority="470">
      <formula>$F695="Fail"</formula>
    </cfRule>
  </conditionalFormatting>
  <conditionalFormatting sqref="L695">
    <cfRule type="expression" dxfId="1461" priority="469">
      <formula>$F695="Fail"</formula>
    </cfRule>
  </conditionalFormatting>
  <conditionalFormatting sqref="A696:K696">
    <cfRule type="expression" dxfId="1460" priority="468">
      <formula>$F696="Fail"</formula>
    </cfRule>
  </conditionalFormatting>
  <conditionalFormatting sqref="L696">
    <cfRule type="expression" dxfId="1459" priority="467">
      <formula>$F696="Fail"</formula>
    </cfRule>
  </conditionalFormatting>
  <conditionalFormatting sqref="A700:K700">
    <cfRule type="expression" dxfId="1458" priority="466">
      <formula>$F700="Fail"</formula>
    </cfRule>
  </conditionalFormatting>
  <conditionalFormatting sqref="L700">
    <cfRule type="expression" dxfId="1457" priority="465">
      <formula>$F700="Fail"</formula>
    </cfRule>
  </conditionalFormatting>
  <conditionalFormatting sqref="A708:K708">
    <cfRule type="expression" dxfId="1456" priority="464">
      <formula>$F708="Fail"</formula>
    </cfRule>
  </conditionalFormatting>
  <conditionalFormatting sqref="L708">
    <cfRule type="expression" dxfId="1455" priority="463">
      <formula>$F708="Fail"</formula>
    </cfRule>
  </conditionalFormatting>
  <conditionalFormatting sqref="L67 L108:L164 L75:L99">
    <cfRule type="expression" dxfId="1454" priority="440">
      <formula>$F67="Fail"</formula>
    </cfRule>
  </conditionalFormatting>
  <conditionalFormatting sqref="A67 C67:K67 B75:E99 B108:E115 B118:E140 B116:C117 E116:E117 B143:E145 B141:C142 E141:E142 B147:E164 B146:C146 E146">
    <cfRule type="expression" dxfId="1453" priority="445">
      <formula>$F67="Fail"</formula>
    </cfRule>
  </conditionalFormatting>
  <conditionalFormatting sqref="F122">
    <cfRule type="expression" dxfId="1452" priority="442">
      <formula>$F122="Fail"</formula>
    </cfRule>
  </conditionalFormatting>
  <conditionalFormatting sqref="B67">
    <cfRule type="expression" dxfId="1451" priority="434">
      <formula>$F67="Fail"</formula>
    </cfRule>
  </conditionalFormatting>
  <conditionalFormatting sqref="B100:E100">
    <cfRule type="expression" dxfId="1450" priority="433">
      <formula>$F100="Fail"</formula>
    </cfRule>
  </conditionalFormatting>
  <conditionalFormatting sqref="L100">
    <cfRule type="expression" dxfId="1449" priority="431">
      <formula>$F100="Fail"</formula>
    </cfRule>
  </conditionalFormatting>
  <conditionalFormatting sqref="A106 C106:K106">
    <cfRule type="expression" dxfId="1448" priority="430">
      <formula>$F106="Fail"</formula>
    </cfRule>
  </conditionalFormatting>
  <conditionalFormatting sqref="L106">
    <cfRule type="expression" dxfId="1447" priority="429">
      <formula>$F106="Fail"</formula>
    </cfRule>
  </conditionalFormatting>
  <conditionalFormatting sqref="B106">
    <cfRule type="expression" dxfId="1446" priority="428">
      <formula>$F106="Fail"</formula>
    </cfRule>
  </conditionalFormatting>
  <conditionalFormatting sqref="B892:C893 A886:A893 A894:C898 A879:L885 B886:L891 D892:L898 A899:L981">
    <cfRule type="expression" dxfId="1445" priority="427">
      <formula>$F879="Fail"</formula>
    </cfRule>
  </conditionalFormatting>
  <conditionalFormatting sqref="L107">
    <cfRule type="expression" dxfId="1444" priority="416">
      <formula>$F107="Fail"</formula>
    </cfRule>
  </conditionalFormatting>
  <conditionalFormatting sqref="B107:E107">
    <cfRule type="expression" dxfId="1443" priority="418">
      <formula>$F107="Fail"</formula>
    </cfRule>
  </conditionalFormatting>
  <conditionalFormatting sqref="A165 C165:K165">
    <cfRule type="expression" dxfId="1442" priority="413">
      <formula>$F165="Fail"</formula>
    </cfRule>
  </conditionalFormatting>
  <conditionalFormatting sqref="A107:A164">
    <cfRule type="expression" dxfId="1441" priority="415">
      <formula>$F107="Fail"</formula>
    </cfRule>
  </conditionalFormatting>
  <conditionalFormatting sqref="L165">
    <cfRule type="expression" dxfId="1440" priority="412">
      <formula>$F165="Fail"</formula>
    </cfRule>
  </conditionalFormatting>
  <conditionalFormatting sqref="G68:K105">
    <cfRule type="expression" dxfId="1439" priority="315">
      <formula>$F68="Fail"</formula>
    </cfRule>
  </conditionalFormatting>
  <conditionalFormatting sqref="G107:K164">
    <cfRule type="expression" dxfId="1438" priority="314">
      <formula>$F107="Fail"</formula>
    </cfRule>
  </conditionalFormatting>
  <conditionalFormatting sqref="L169:L171">
    <cfRule type="expression" dxfId="1437" priority="276">
      <formula>$F169="Fail"</formula>
    </cfRule>
  </conditionalFormatting>
  <conditionalFormatting sqref="B58:E58 G58:L58">
    <cfRule type="expression" dxfId="1436" priority="304">
      <formula>$F58="Fail"</formula>
    </cfRule>
  </conditionalFormatting>
  <conditionalFormatting sqref="B165">
    <cfRule type="expression" dxfId="1435" priority="303">
      <formula>$F165="Fail"</formula>
    </cfRule>
  </conditionalFormatting>
  <conditionalFormatting sqref="A38:A39">
    <cfRule type="expression" dxfId="1434" priority="300">
      <formula>$F38="Fail"</formula>
    </cfRule>
  </conditionalFormatting>
  <conditionalFormatting sqref="A37:E37 G37:K38 B38:E38">
    <cfRule type="expression" dxfId="1433" priority="299">
      <formula>$F37="Fail"</formula>
    </cfRule>
  </conditionalFormatting>
  <conditionalFormatting sqref="B39:K39">
    <cfRule type="expression" dxfId="1432" priority="298">
      <formula>$F39="Fail"</formula>
    </cfRule>
  </conditionalFormatting>
  <conditionalFormatting sqref="B39:C39">
    <cfRule type="expression" dxfId="1431" priority="297">
      <formula>$F39="Fail"</formula>
    </cfRule>
  </conditionalFormatting>
  <conditionalFormatting sqref="F37">
    <cfRule type="expression" dxfId="1430" priority="296">
      <formula>$F37="Fail"</formula>
    </cfRule>
  </conditionalFormatting>
  <conditionalFormatting sqref="F38">
    <cfRule type="expression" dxfId="1429" priority="295">
      <formula>$F38="Fail"</formula>
    </cfRule>
  </conditionalFormatting>
  <conditionalFormatting sqref="L37:L38">
    <cfRule type="expression" dxfId="1428" priority="294">
      <formula>$F37="Fail"</formula>
    </cfRule>
  </conditionalFormatting>
  <conditionalFormatting sqref="L39">
    <cfRule type="expression" dxfId="1427" priority="293">
      <formula>$F39="Fail"</formula>
    </cfRule>
  </conditionalFormatting>
  <conditionalFormatting sqref="L236:L240 A204:E204 B205:E209 A205:A240 L204:L209 B195:E198 A197:A198 B173:E173 L174 B174:C174 A171:A174 A199:E202 B236:E240 G173:L173 G195:L202">
    <cfRule type="expression" dxfId="1426" priority="283">
      <formula>$F171="Fail"</formula>
    </cfRule>
  </conditionalFormatting>
  <conditionalFormatting sqref="A169:K169 A170:E170 G170:K171 B171:E171">
    <cfRule type="expression" dxfId="1425" priority="282">
      <formula>$F169="Fail"</formula>
    </cfRule>
  </conditionalFormatting>
  <conditionalFormatting sqref="B174:E174 G174:K174">
    <cfRule type="expression" dxfId="1424" priority="281">
      <formula>$F174="Fail"</formula>
    </cfRule>
  </conditionalFormatting>
  <conditionalFormatting sqref="B172:E172 G172:K172">
    <cfRule type="expression" dxfId="1423" priority="280">
      <formula>$F172="Fail"</formula>
    </cfRule>
  </conditionalFormatting>
  <conditionalFormatting sqref="B172:C172">
    <cfRule type="expression" dxfId="1422" priority="279">
      <formula>$F172="Fail"</formula>
    </cfRule>
  </conditionalFormatting>
  <conditionalFormatting sqref="L172">
    <cfRule type="expression" dxfId="1421" priority="275">
      <formula>$F172="Fail"</formula>
    </cfRule>
  </conditionalFormatting>
  <conditionalFormatting sqref="L203 L210:L234">
    <cfRule type="expression" dxfId="1420" priority="272">
      <formula>$F203="Fail"</formula>
    </cfRule>
  </conditionalFormatting>
  <conditionalFormatting sqref="A203 C203:K203 B210:E234">
    <cfRule type="expression" dxfId="1419" priority="274">
      <formula>$F203="Fail"</formula>
    </cfRule>
  </conditionalFormatting>
  <conditionalFormatting sqref="B203">
    <cfRule type="expression" dxfId="1418" priority="271">
      <formula>$F203="Fail"</formula>
    </cfRule>
  </conditionalFormatting>
  <conditionalFormatting sqref="B235:E235">
    <cfRule type="expression" dxfId="1417" priority="270">
      <formula>$F235="Fail"</formula>
    </cfRule>
  </conditionalFormatting>
  <conditionalFormatting sqref="L235">
    <cfRule type="expression" dxfId="1416" priority="268">
      <formula>$F235="Fail"</formula>
    </cfRule>
  </conditionalFormatting>
  <conditionalFormatting sqref="A241 C241:K241">
    <cfRule type="expression" dxfId="1415" priority="267">
      <formula>$F241="Fail"</formula>
    </cfRule>
  </conditionalFormatting>
  <conditionalFormatting sqref="L241">
    <cfRule type="expression" dxfId="1414" priority="266">
      <formula>$F241="Fail"</formula>
    </cfRule>
  </conditionalFormatting>
  <conditionalFormatting sqref="B241">
    <cfRule type="expression" dxfId="1413" priority="265">
      <formula>$F241="Fail"</formula>
    </cfRule>
  </conditionalFormatting>
  <conditionalFormatting sqref="L242">
    <cfRule type="expression" dxfId="1412" priority="263">
      <formula>$F242="Fail"</formula>
    </cfRule>
  </conditionalFormatting>
  <conditionalFormatting sqref="B242:E242">
    <cfRule type="expression" dxfId="1411" priority="264">
      <formula>$F242="Fail"</formula>
    </cfRule>
  </conditionalFormatting>
  <conditionalFormatting sqref="A269 C269:K269">
    <cfRule type="expression" dxfId="1410" priority="260">
      <formula>$F269="Fail"</formula>
    </cfRule>
  </conditionalFormatting>
  <conditionalFormatting sqref="L269">
    <cfRule type="expression" dxfId="1409" priority="259">
      <formula>$F269="Fail"</formula>
    </cfRule>
  </conditionalFormatting>
  <conditionalFormatting sqref="G204:K240">
    <cfRule type="expression" dxfId="1408" priority="258">
      <formula>$F204="Fail"</formula>
    </cfRule>
  </conditionalFormatting>
  <conditionalFormatting sqref="B194:E194 G194:L194">
    <cfRule type="expression" dxfId="1407" priority="256">
      <formula>$F194="Fail"</formula>
    </cfRule>
  </conditionalFormatting>
  <conditionalFormatting sqref="B269">
    <cfRule type="expression" dxfId="1406" priority="255">
      <formula>$F269="Fail"</formula>
    </cfRule>
  </conditionalFormatting>
  <conditionalFormatting sqref="A176:A177">
    <cfRule type="expression" dxfId="1405" priority="254">
      <formula>$F176="Fail"</formula>
    </cfRule>
  </conditionalFormatting>
  <conditionalFormatting sqref="A175:E175 G175:K176 B176:E176">
    <cfRule type="expression" dxfId="1404" priority="253">
      <formula>$F175="Fail"</formula>
    </cfRule>
  </conditionalFormatting>
  <conditionalFormatting sqref="B177:E177 G177:K177">
    <cfRule type="expression" dxfId="1403" priority="252">
      <formula>$F177="Fail"</formula>
    </cfRule>
  </conditionalFormatting>
  <conditionalFormatting sqref="B177:C177">
    <cfRule type="expression" dxfId="1402" priority="251">
      <formula>$F177="Fail"</formula>
    </cfRule>
  </conditionalFormatting>
  <conditionalFormatting sqref="L175:L176">
    <cfRule type="expression" dxfId="1401" priority="248">
      <formula>$F175="Fail"</formula>
    </cfRule>
  </conditionalFormatting>
  <conditionalFormatting sqref="L177">
    <cfRule type="expression" dxfId="1400" priority="247">
      <formula>$F177="Fail"</formula>
    </cfRule>
  </conditionalFormatting>
  <conditionalFormatting sqref="A270:E272 G270:L272">
    <cfRule type="expression" dxfId="1399" priority="246">
      <formula>$F270="Fail"</formula>
    </cfRule>
  </conditionalFormatting>
  <conditionalFormatting sqref="A282:L282 B297:E297 A297:A300 L347:L372 B347:E372 F357:F358 G346:K372 A346:A372 A290:L290 A283:E289 G283:L289 A291:E296 G291:L297">
    <cfRule type="expression" dxfId="1398" priority="245">
      <formula>$F282="Fail"</formula>
    </cfRule>
  </conditionalFormatting>
  <conditionalFormatting sqref="L273:L275">
    <cfRule type="expression" dxfId="1397" priority="237">
      <formula>$F273="Fail"</formula>
    </cfRule>
  </conditionalFormatting>
  <conditionalFormatting sqref="L340:L344 A308:E308 B309:E313 A309:A344 L308:L313 B299:E302 A301:A302 B277:E277 L278 B278:C278 A275:A278 A303:E306 B340:E344 G277:L277 G299:L306">
    <cfRule type="expression" dxfId="1396" priority="244">
      <formula>$F275="Fail"</formula>
    </cfRule>
  </conditionalFormatting>
  <conditionalFormatting sqref="A273:K273 A274:E274 G274:K275 B275:E275">
    <cfRule type="expression" dxfId="1395" priority="243">
      <formula>$F273="Fail"</formula>
    </cfRule>
  </conditionalFormatting>
  <conditionalFormatting sqref="B278:E278 G278:K278">
    <cfRule type="expression" dxfId="1394" priority="242">
      <formula>$F278="Fail"</formula>
    </cfRule>
  </conditionalFormatting>
  <conditionalFormatting sqref="B276:E276 G276:K276">
    <cfRule type="expression" dxfId="1393" priority="241">
      <formula>$F276="Fail"</formula>
    </cfRule>
  </conditionalFormatting>
  <conditionalFormatting sqref="B276:C276">
    <cfRule type="expression" dxfId="1392" priority="240">
      <formula>$F276="Fail"</formula>
    </cfRule>
  </conditionalFormatting>
  <conditionalFormatting sqref="L276">
    <cfRule type="expression" dxfId="1391" priority="236">
      <formula>$F276="Fail"</formula>
    </cfRule>
  </conditionalFormatting>
  <conditionalFormatting sqref="L307 L314:L338">
    <cfRule type="expression" dxfId="1390" priority="234">
      <formula>$F307="Fail"</formula>
    </cfRule>
  </conditionalFormatting>
  <conditionalFormatting sqref="A307 C307:K307 B314:E338">
    <cfRule type="expression" dxfId="1389" priority="235">
      <formula>$F307="Fail"</formula>
    </cfRule>
  </conditionalFormatting>
  <conditionalFormatting sqref="B307">
    <cfRule type="expression" dxfId="1388" priority="233">
      <formula>$F307="Fail"</formula>
    </cfRule>
  </conditionalFormatting>
  <conditionalFormatting sqref="B339:E339">
    <cfRule type="expression" dxfId="1387" priority="232">
      <formula>$F339="Fail"</formula>
    </cfRule>
  </conditionalFormatting>
  <conditionalFormatting sqref="L339">
    <cfRule type="expression" dxfId="1386" priority="230">
      <formula>$F339="Fail"</formula>
    </cfRule>
  </conditionalFormatting>
  <conditionalFormatting sqref="A345 C345:K345">
    <cfRule type="expression" dxfId="1385" priority="229">
      <formula>$F345="Fail"</formula>
    </cfRule>
  </conditionalFormatting>
  <conditionalFormatting sqref="L345">
    <cfRule type="expression" dxfId="1384" priority="228">
      <formula>$F345="Fail"</formula>
    </cfRule>
  </conditionalFormatting>
  <conditionalFormatting sqref="B345">
    <cfRule type="expression" dxfId="1383" priority="227">
      <formula>$F345="Fail"</formula>
    </cfRule>
  </conditionalFormatting>
  <conditionalFormatting sqref="L346">
    <cfRule type="expression" dxfId="1382" priority="225">
      <formula>$F346="Fail"</formula>
    </cfRule>
  </conditionalFormatting>
  <conditionalFormatting sqref="B346:E346">
    <cfRule type="expression" dxfId="1381" priority="226">
      <formula>$F346="Fail"</formula>
    </cfRule>
  </conditionalFormatting>
  <conditionalFormatting sqref="A373 C373:K373">
    <cfRule type="expression" dxfId="1380" priority="223">
      <formula>$F373="Fail"</formula>
    </cfRule>
  </conditionalFormatting>
  <conditionalFormatting sqref="L373">
    <cfRule type="expression" dxfId="1379" priority="222">
      <formula>$F373="Fail"</formula>
    </cfRule>
  </conditionalFormatting>
  <conditionalFormatting sqref="G308:K344">
    <cfRule type="expression" dxfId="1378" priority="221">
      <formula>$F308="Fail"</formula>
    </cfRule>
  </conditionalFormatting>
  <conditionalFormatting sqref="B298:E298 G298:L298">
    <cfRule type="expression" dxfId="1377" priority="220">
      <formula>$F298="Fail"</formula>
    </cfRule>
  </conditionalFormatting>
  <conditionalFormatting sqref="B373">
    <cfRule type="expression" dxfId="1376" priority="219">
      <formula>$F373="Fail"</formula>
    </cfRule>
  </conditionalFormatting>
  <conditionalFormatting sqref="A280:A281">
    <cfRule type="expression" dxfId="1375" priority="218">
      <formula>$F280="Fail"</formula>
    </cfRule>
  </conditionalFormatting>
  <conditionalFormatting sqref="A279:E279 G279:K280 B280:E280">
    <cfRule type="expression" dxfId="1374" priority="217">
      <formula>$F279="Fail"</formula>
    </cfRule>
  </conditionalFormatting>
  <conditionalFormatting sqref="B281:E281 G281:K281">
    <cfRule type="expression" dxfId="1373" priority="216">
      <formula>$F281="Fail"</formula>
    </cfRule>
  </conditionalFormatting>
  <conditionalFormatting sqref="B281:C281">
    <cfRule type="expression" dxfId="1372" priority="215">
      <formula>$F281="Fail"</formula>
    </cfRule>
  </conditionalFormatting>
  <conditionalFormatting sqref="L279:L280">
    <cfRule type="expression" dxfId="1371" priority="212">
      <formula>$F279="Fail"</formula>
    </cfRule>
  </conditionalFormatting>
  <conditionalFormatting sqref="L281">
    <cfRule type="expression" dxfId="1370" priority="211">
      <formula>$F281="Fail"</formula>
    </cfRule>
  </conditionalFormatting>
  <conditionalFormatting sqref="A374:E376 G374:L376">
    <cfRule type="expression" dxfId="1369" priority="210">
      <formula>$F374="Fail"</formula>
    </cfRule>
  </conditionalFormatting>
  <conditionalFormatting sqref="A386:L386 B401:E401 A401:A404 L453:L478 B453:E478 F463:F464 G452:K478 A452:A478 A394:L394 A387:E393 G387:L393 A395:E400 G395:L401">
    <cfRule type="expression" dxfId="1368" priority="209">
      <formula>$F386="Fail"</formula>
    </cfRule>
  </conditionalFormatting>
  <conditionalFormatting sqref="L377:L379">
    <cfRule type="expression" dxfId="1367" priority="201">
      <formula>$F377="Fail"</formula>
    </cfRule>
  </conditionalFormatting>
  <conditionalFormatting sqref="L444:L447 A412:E412 B413:E417 A413:A447 L412:L417 B403:E406 A405:A406 B381:E381 L382 B382:C382 A379:A382 A407:E410 B444:E447 L450 A450:E450 G381:L381 G403:L410">
    <cfRule type="expression" dxfId="1366" priority="208">
      <formula>$F379="Fail"</formula>
    </cfRule>
  </conditionalFormatting>
  <conditionalFormatting sqref="A377:K377 A378:E378 G378:K379 B379:E379">
    <cfRule type="expression" dxfId="1365" priority="207">
      <formula>$F377="Fail"</formula>
    </cfRule>
  </conditionalFormatting>
  <conditionalFormatting sqref="B382:E382 G382:K382">
    <cfRule type="expression" dxfId="1364" priority="206">
      <formula>$F382="Fail"</formula>
    </cfRule>
  </conditionalFormatting>
  <conditionalFormatting sqref="B380:E380 G380:K380">
    <cfRule type="expression" dxfId="1363" priority="205">
      <formula>$F380="Fail"</formula>
    </cfRule>
  </conditionalFormatting>
  <conditionalFormatting sqref="B380:C380">
    <cfRule type="expression" dxfId="1362" priority="204">
      <formula>$F380="Fail"</formula>
    </cfRule>
  </conditionalFormatting>
  <conditionalFormatting sqref="L380">
    <cfRule type="expression" dxfId="1361" priority="200">
      <formula>$F380="Fail"</formula>
    </cfRule>
  </conditionalFormatting>
  <conditionalFormatting sqref="L411 L418:L442">
    <cfRule type="expression" dxfId="1360" priority="198">
      <formula>$F411="Fail"</formula>
    </cfRule>
  </conditionalFormatting>
  <conditionalFormatting sqref="A411 C411:K411 B418:E442">
    <cfRule type="expression" dxfId="1359" priority="199">
      <formula>$F411="Fail"</formula>
    </cfRule>
  </conditionalFormatting>
  <conditionalFormatting sqref="B411">
    <cfRule type="expression" dxfId="1358" priority="197">
      <formula>$F411="Fail"</formula>
    </cfRule>
  </conditionalFormatting>
  <conditionalFormatting sqref="B443:E443">
    <cfRule type="expression" dxfId="1357" priority="196">
      <formula>$F443="Fail"</formula>
    </cfRule>
  </conditionalFormatting>
  <conditionalFormatting sqref="L443">
    <cfRule type="expression" dxfId="1356" priority="194">
      <formula>$F443="Fail"</formula>
    </cfRule>
  </conditionalFormatting>
  <conditionalFormatting sqref="A451 C451:K451">
    <cfRule type="expression" dxfId="1355" priority="193">
      <formula>$F451="Fail"</formula>
    </cfRule>
  </conditionalFormatting>
  <conditionalFormatting sqref="L451">
    <cfRule type="expression" dxfId="1354" priority="192">
      <formula>$F451="Fail"</formula>
    </cfRule>
  </conditionalFormatting>
  <conditionalFormatting sqref="B451">
    <cfRule type="expression" dxfId="1353" priority="191">
      <formula>$F451="Fail"</formula>
    </cfRule>
  </conditionalFormatting>
  <conditionalFormatting sqref="L452">
    <cfRule type="expression" dxfId="1352" priority="189">
      <formula>$F452="Fail"</formula>
    </cfRule>
  </conditionalFormatting>
  <conditionalFormatting sqref="B452:E452">
    <cfRule type="expression" dxfId="1351" priority="190">
      <formula>$F452="Fail"</formula>
    </cfRule>
  </conditionalFormatting>
  <conditionalFormatting sqref="A479 C479:K479">
    <cfRule type="expression" dxfId="1350" priority="187">
      <formula>$F479="Fail"</formula>
    </cfRule>
  </conditionalFormatting>
  <conditionalFormatting sqref="L479">
    <cfRule type="expression" dxfId="1349" priority="186">
      <formula>$F479="Fail"</formula>
    </cfRule>
  </conditionalFormatting>
  <conditionalFormatting sqref="G412:K447 G450:K450">
    <cfRule type="expression" dxfId="1348" priority="185">
      <formula>$F412="Fail"</formula>
    </cfRule>
  </conditionalFormatting>
  <conditionalFormatting sqref="B402:E402 G402:L402">
    <cfRule type="expression" dxfId="1347" priority="184">
      <formula>$F402="Fail"</formula>
    </cfRule>
  </conditionalFormatting>
  <conditionalFormatting sqref="B479">
    <cfRule type="expression" dxfId="1346" priority="183">
      <formula>$F479="Fail"</formula>
    </cfRule>
  </conditionalFormatting>
  <conditionalFormatting sqref="A384:A385">
    <cfRule type="expression" dxfId="1345" priority="182">
      <formula>$F384="Fail"</formula>
    </cfRule>
  </conditionalFormatting>
  <conditionalFormatting sqref="A383:E383 G383:K384 B384:E384">
    <cfRule type="expression" dxfId="1344" priority="181">
      <formula>$F383="Fail"</formula>
    </cfRule>
  </conditionalFormatting>
  <conditionalFormatting sqref="B385:E385 G385:K385">
    <cfRule type="expression" dxfId="1343" priority="180">
      <formula>$F385="Fail"</formula>
    </cfRule>
  </conditionalFormatting>
  <conditionalFormatting sqref="B385:C385">
    <cfRule type="expression" dxfId="1342" priority="179">
      <formula>$F385="Fail"</formula>
    </cfRule>
  </conditionalFormatting>
  <conditionalFormatting sqref="L383:L384">
    <cfRule type="expression" dxfId="1341" priority="176">
      <formula>$F383="Fail"</formula>
    </cfRule>
  </conditionalFormatting>
  <conditionalFormatting sqref="L385">
    <cfRule type="expression" dxfId="1340" priority="175">
      <formula>$F385="Fail"</formula>
    </cfRule>
  </conditionalFormatting>
  <conditionalFormatting sqref="A480:E482 G480:L482">
    <cfRule type="expression" dxfId="1339" priority="174">
      <formula>$F480="Fail"</formula>
    </cfRule>
  </conditionalFormatting>
  <conditionalFormatting sqref="L448 A448:E448">
    <cfRule type="expression" dxfId="1338" priority="173">
      <formula>$F448="Fail"</formula>
    </cfRule>
  </conditionalFormatting>
  <conditionalFormatting sqref="G448:K448">
    <cfRule type="expression" dxfId="1337" priority="172">
      <formula>$F448="Fail"</formula>
    </cfRule>
  </conditionalFormatting>
  <conditionalFormatting sqref="L449 A449:E449">
    <cfRule type="expression" dxfId="1336" priority="171">
      <formula>$F449="Fail"</formula>
    </cfRule>
  </conditionalFormatting>
  <conditionalFormatting sqref="G449:K449">
    <cfRule type="expression" dxfId="1335" priority="170">
      <formula>$F449="Fail"</formula>
    </cfRule>
  </conditionalFormatting>
  <conditionalFormatting sqref="A492:L492 B507:E507 A507:A510 L559:L584 B559:E584 F569:F570 G558:K584 A558:A584 A500:L500 A493:E499 G493:L499 A501:E506 G501:L507">
    <cfRule type="expression" dxfId="1334" priority="169">
      <formula>$F492="Fail"</formula>
    </cfRule>
  </conditionalFormatting>
  <conditionalFormatting sqref="L483:L485">
    <cfRule type="expression" dxfId="1333" priority="161">
      <formula>$F483="Fail"</formula>
    </cfRule>
  </conditionalFormatting>
  <conditionalFormatting sqref="L550:L553 A518:E518 B519:E523 A519:A553 L518:L523 B509:E512 A511:A512 B487:E487 L488 B488:C488 A485:A488 A513:E516 B550:E553 L556 A556:E556 G487:L487 G509:L516">
    <cfRule type="expression" dxfId="1332" priority="168">
      <formula>$F485="Fail"</formula>
    </cfRule>
  </conditionalFormatting>
  <conditionalFormatting sqref="A483:K483 A484:E484 G484:K485 B485:E485">
    <cfRule type="expression" dxfId="1331" priority="167">
      <formula>$F483="Fail"</formula>
    </cfRule>
  </conditionalFormatting>
  <conditionalFormatting sqref="B488:E488 G488:K488">
    <cfRule type="expression" dxfId="1330" priority="166">
      <formula>$F488="Fail"</formula>
    </cfRule>
  </conditionalFormatting>
  <conditionalFormatting sqref="B486:E486 G486:K486">
    <cfRule type="expression" dxfId="1329" priority="165">
      <formula>$F486="Fail"</formula>
    </cfRule>
  </conditionalFormatting>
  <conditionalFormatting sqref="B486:C486">
    <cfRule type="expression" dxfId="1328" priority="164">
      <formula>$F486="Fail"</formula>
    </cfRule>
  </conditionalFormatting>
  <conditionalFormatting sqref="L486">
    <cfRule type="expression" dxfId="1327" priority="160">
      <formula>$F486="Fail"</formula>
    </cfRule>
  </conditionalFormatting>
  <conditionalFormatting sqref="L517 L524:L548">
    <cfRule type="expression" dxfId="1326" priority="158">
      <formula>$F517="Fail"</formula>
    </cfRule>
  </conditionalFormatting>
  <conditionalFormatting sqref="A517 C517:K517 B524:E548">
    <cfRule type="expression" dxfId="1325" priority="159">
      <formula>$F517="Fail"</formula>
    </cfRule>
  </conditionalFormatting>
  <conditionalFormatting sqref="B517">
    <cfRule type="expression" dxfId="1324" priority="157">
      <formula>$F517="Fail"</formula>
    </cfRule>
  </conditionalFormatting>
  <conditionalFormatting sqref="B549:E549">
    <cfRule type="expression" dxfId="1323" priority="156">
      <formula>$F549="Fail"</formula>
    </cfRule>
  </conditionalFormatting>
  <conditionalFormatting sqref="L549">
    <cfRule type="expression" dxfId="1322" priority="154">
      <formula>$F549="Fail"</formula>
    </cfRule>
  </conditionalFormatting>
  <conditionalFormatting sqref="A557 C557:K557">
    <cfRule type="expression" dxfId="1321" priority="153">
      <formula>$F557="Fail"</formula>
    </cfRule>
  </conditionalFormatting>
  <conditionalFormatting sqref="L557">
    <cfRule type="expression" dxfId="1320" priority="152">
      <formula>$F557="Fail"</formula>
    </cfRule>
  </conditionalFormatting>
  <conditionalFormatting sqref="B557">
    <cfRule type="expression" dxfId="1319" priority="151">
      <formula>$F557="Fail"</formula>
    </cfRule>
  </conditionalFormatting>
  <conditionalFormatting sqref="L558">
    <cfRule type="expression" dxfId="1318" priority="149">
      <formula>$F558="Fail"</formula>
    </cfRule>
  </conditionalFormatting>
  <conditionalFormatting sqref="B558:E558">
    <cfRule type="expression" dxfId="1317" priority="150">
      <formula>$F558="Fail"</formula>
    </cfRule>
  </conditionalFormatting>
  <conditionalFormatting sqref="A585 C585:K585">
    <cfRule type="expression" dxfId="1316" priority="147">
      <formula>$F585="Fail"</formula>
    </cfRule>
  </conditionalFormatting>
  <conditionalFormatting sqref="L585">
    <cfRule type="expression" dxfId="1315" priority="146">
      <formula>$F585="Fail"</formula>
    </cfRule>
  </conditionalFormatting>
  <conditionalFormatting sqref="G518:K553 G556:K556">
    <cfRule type="expression" dxfId="1314" priority="145">
      <formula>$F518="Fail"</formula>
    </cfRule>
  </conditionalFormatting>
  <conditionalFormatting sqref="B508:E508 G508:L508">
    <cfRule type="expression" dxfId="1313" priority="144">
      <formula>$F508="Fail"</formula>
    </cfRule>
  </conditionalFormatting>
  <conditionalFormatting sqref="B585">
    <cfRule type="expression" dxfId="1312" priority="143">
      <formula>$F585="Fail"</formula>
    </cfRule>
  </conditionalFormatting>
  <conditionalFormatting sqref="A490:A491">
    <cfRule type="expression" dxfId="1311" priority="142">
      <formula>$F490="Fail"</formula>
    </cfRule>
  </conditionalFormatting>
  <conditionalFormatting sqref="A489:E489 G489:K490 B490:E490">
    <cfRule type="expression" dxfId="1310" priority="141">
      <formula>$F489="Fail"</formula>
    </cfRule>
  </conditionalFormatting>
  <conditionalFormatting sqref="B491:E491 G491:K491">
    <cfRule type="expression" dxfId="1309" priority="140">
      <formula>$F491="Fail"</formula>
    </cfRule>
  </conditionalFormatting>
  <conditionalFormatting sqref="B491:C491">
    <cfRule type="expression" dxfId="1308" priority="139">
      <formula>$F491="Fail"</formula>
    </cfRule>
  </conditionalFormatting>
  <conditionalFormatting sqref="L489:L490">
    <cfRule type="expression" dxfId="1307" priority="136">
      <formula>$F489="Fail"</formula>
    </cfRule>
  </conditionalFormatting>
  <conditionalFormatting sqref="L491">
    <cfRule type="expression" dxfId="1306" priority="135">
      <formula>$F491="Fail"</formula>
    </cfRule>
  </conditionalFormatting>
  <conditionalFormatting sqref="A586:E588 G586:L588">
    <cfRule type="expression" dxfId="1305" priority="134">
      <formula>$F586="Fail"</formula>
    </cfRule>
  </conditionalFormatting>
  <conditionalFormatting sqref="L554 A554:E554">
    <cfRule type="expression" dxfId="1304" priority="133">
      <formula>$F554="Fail"</formula>
    </cfRule>
  </conditionalFormatting>
  <conditionalFormatting sqref="G554:K554">
    <cfRule type="expression" dxfId="1303" priority="132">
      <formula>$F554="Fail"</formula>
    </cfRule>
  </conditionalFormatting>
  <conditionalFormatting sqref="L555 A555:E555">
    <cfRule type="expression" dxfId="1302" priority="131">
      <formula>$F555="Fail"</formula>
    </cfRule>
  </conditionalFormatting>
  <conditionalFormatting sqref="G555:K555">
    <cfRule type="expression" dxfId="1301" priority="130">
      <formula>$F555="Fail"</formula>
    </cfRule>
  </conditionalFormatting>
  <conditionalFormatting sqref="A598:L598 B613:E613 A613:A616 L665:L690 B665:E690 F675:F676 G664:K690 A664:A690 A606:L606 A599:E605 G599:L605 A607:E612 G607:L613">
    <cfRule type="expression" dxfId="1300" priority="129">
      <formula>$F598="Fail"</formula>
    </cfRule>
  </conditionalFormatting>
  <conditionalFormatting sqref="L589:L591">
    <cfRule type="expression" dxfId="1299" priority="121">
      <formula>$F589="Fail"</formula>
    </cfRule>
  </conditionalFormatting>
  <conditionalFormatting sqref="L656:L659 A624:E624 B625:E629 A625:A659 L624:L629 B615:E618 A617:A618 B593:E593 L594 B594:C594 A591:A594 A619:E622 B656:E659 L662 A662:E662 G593:L593 G615:L622">
    <cfRule type="expression" dxfId="1298" priority="128">
      <formula>$F591="Fail"</formula>
    </cfRule>
  </conditionalFormatting>
  <conditionalFormatting sqref="A589:K589 A590:E590 G590:K591 B591:E591">
    <cfRule type="expression" dxfId="1297" priority="127">
      <formula>$F589="Fail"</formula>
    </cfRule>
  </conditionalFormatting>
  <conditionalFormatting sqref="B594:E594 G594:K594">
    <cfRule type="expression" dxfId="1296" priority="126">
      <formula>$F594="Fail"</formula>
    </cfRule>
  </conditionalFormatting>
  <conditionalFormatting sqref="B592:E592 G592:K592">
    <cfRule type="expression" dxfId="1295" priority="125">
      <formula>$F592="Fail"</formula>
    </cfRule>
  </conditionalFormatting>
  <conditionalFormatting sqref="B592:C592">
    <cfRule type="expression" dxfId="1294" priority="124">
      <formula>$F592="Fail"</formula>
    </cfRule>
  </conditionalFormatting>
  <conditionalFormatting sqref="L592">
    <cfRule type="expression" dxfId="1293" priority="120">
      <formula>$F592="Fail"</formula>
    </cfRule>
  </conditionalFormatting>
  <conditionalFormatting sqref="L623 L630:L654">
    <cfRule type="expression" dxfId="1292" priority="118">
      <formula>$F623="Fail"</formula>
    </cfRule>
  </conditionalFormatting>
  <conditionalFormatting sqref="A623 C623:K623 B630:E654">
    <cfRule type="expression" dxfId="1291" priority="119">
      <formula>$F623="Fail"</formula>
    </cfRule>
  </conditionalFormatting>
  <conditionalFormatting sqref="B623">
    <cfRule type="expression" dxfId="1290" priority="117">
      <formula>$F623="Fail"</formula>
    </cfRule>
  </conditionalFormatting>
  <conditionalFormatting sqref="B655:E655">
    <cfRule type="expression" dxfId="1289" priority="116">
      <formula>$F655="Fail"</formula>
    </cfRule>
  </conditionalFormatting>
  <conditionalFormatting sqref="L655">
    <cfRule type="expression" dxfId="1288" priority="114">
      <formula>$F655="Fail"</formula>
    </cfRule>
  </conditionalFormatting>
  <conditionalFormatting sqref="A663 C663:K663">
    <cfRule type="expression" dxfId="1287" priority="113">
      <formula>$F663="Fail"</formula>
    </cfRule>
  </conditionalFormatting>
  <conditionalFormatting sqref="L663">
    <cfRule type="expression" dxfId="1286" priority="112">
      <formula>$F663="Fail"</formula>
    </cfRule>
  </conditionalFormatting>
  <conditionalFormatting sqref="B663">
    <cfRule type="expression" dxfId="1285" priority="111">
      <formula>$F663="Fail"</formula>
    </cfRule>
  </conditionalFormatting>
  <conditionalFormatting sqref="L664">
    <cfRule type="expression" dxfId="1284" priority="109">
      <formula>$F664="Fail"</formula>
    </cfRule>
  </conditionalFormatting>
  <conditionalFormatting sqref="B664:E664">
    <cfRule type="expression" dxfId="1283" priority="110">
      <formula>$F664="Fail"</formula>
    </cfRule>
  </conditionalFormatting>
  <conditionalFormatting sqref="A691 C691:K691">
    <cfRule type="expression" dxfId="1282" priority="107">
      <formula>$F691="Fail"</formula>
    </cfRule>
  </conditionalFormatting>
  <conditionalFormatting sqref="L691">
    <cfRule type="expression" dxfId="1281" priority="106">
      <formula>$F691="Fail"</formula>
    </cfRule>
  </conditionalFormatting>
  <conditionalFormatting sqref="G624:K659 G662:K662">
    <cfRule type="expression" dxfId="1280" priority="105">
      <formula>$F624="Fail"</formula>
    </cfRule>
  </conditionalFormatting>
  <conditionalFormatting sqref="B614:E614 G614:L614">
    <cfRule type="expression" dxfId="1279" priority="104">
      <formula>$F614="Fail"</formula>
    </cfRule>
  </conditionalFormatting>
  <conditionalFormatting sqref="B691">
    <cfRule type="expression" dxfId="1278" priority="103">
      <formula>$F691="Fail"</formula>
    </cfRule>
  </conditionalFormatting>
  <conditionalFormatting sqref="A596:A597">
    <cfRule type="expression" dxfId="1277" priority="102">
      <formula>$F596="Fail"</formula>
    </cfRule>
  </conditionalFormatting>
  <conditionalFormatting sqref="A595:E595 G595:K596 B596:E596">
    <cfRule type="expression" dxfId="1276" priority="101">
      <formula>$F595="Fail"</formula>
    </cfRule>
  </conditionalFormatting>
  <conditionalFormatting sqref="B597:E597 G597:K597">
    <cfRule type="expression" dxfId="1275" priority="100">
      <formula>$F597="Fail"</formula>
    </cfRule>
  </conditionalFormatting>
  <conditionalFormatting sqref="B597:C597">
    <cfRule type="expression" dxfId="1274" priority="99">
      <formula>$F597="Fail"</formula>
    </cfRule>
  </conditionalFormatting>
  <conditionalFormatting sqref="L595:L596">
    <cfRule type="expression" dxfId="1273" priority="96">
      <formula>$F595="Fail"</formula>
    </cfRule>
  </conditionalFormatting>
  <conditionalFormatting sqref="L597">
    <cfRule type="expression" dxfId="1272" priority="95">
      <formula>$F597="Fail"</formula>
    </cfRule>
  </conditionalFormatting>
  <conditionalFormatting sqref="A692:E694 G692:L694">
    <cfRule type="expression" dxfId="1271" priority="94">
      <formula>$F692="Fail"</formula>
    </cfRule>
  </conditionalFormatting>
  <conditionalFormatting sqref="L660 A660:E660">
    <cfRule type="expression" dxfId="1270" priority="93">
      <formula>$F660="Fail"</formula>
    </cfRule>
  </conditionalFormatting>
  <conditionalFormatting sqref="G660:K660">
    <cfRule type="expression" dxfId="1269" priority="92">
      <formula>$F660="Fail"</formula>
    </cfRule>
  </conditionalFormatting>
  <conditionalFormatting sqref="L661 A661:E661">
    <cfRule type="expression" dxfId="1268" priority="91">
      <formula>$F661="Fail"</formula>
    </cfRule>
  </conditionalFormatting>
  <conditionalFormatting sqref="G661:K661">
    <cfRule type="expression" dxfId="1267" priority="90">
      <formula>$F661="Fail"</formula>
    </cfRule>
  </conditionalFormatting>
  <conditionalFormatting sqref="F41:F49">
    <cfRule type="expression" dxfId="1266" priority="89">
      <formula>$F41="Fail"</formula>
    </cfRule>
  </conditionalFormatting>
  <conditionalFormatting sqref="F51:F52">
    <cfRule type="expression" dxfId="1265" priority="88">
      <formula>$F51="Fail"</formula>
    </cfRule>
  </conditionalFormatting>
  <conditionalFormatting sqref="F68">
    <cfRule type="expression" dxfId="1264" priority="86">
      <formula>$F68="Fail"</formula>
    </cfRule>
  </conditionalFormatting>
  <conditionalFormatting sqref="F179:F185">
    <cfRule type="expression" dxfId="1263" priority="80">
      <formula>$F179="Fail"</formula>
    </cfRule>
  </conditionalFormatting>
  <conditionalFormatting sqref="F242">
    <cfRule type="expression" dxfId="1262" priority="76">
      <formula>$F242="Fail"</formula>
    </cfRule>
  </conditionalFormatting>
  <conditionalFormatting sqref="F255:F268">
    <cfRule type="expression" dxfId="1261" priority="75">
      <formula>$F255="Fail"</formula>
    </cfRule>
  </conditionalFormatting>
  <conditionalFormatting sqref="F308">
    <cfRule type="expression" dxfId="1260" priority="69">
      <formula>$F308="Fail"</formula>
    </cfRule>
  </conditionalFormatting>
  <conditionalFormatting sqref="F484:F491">
    <cfRule type="expression" dxfId="1259" priority="56">
      <formula>$F484="Fail"</formula>
    </cfRule>
  </conditionalFormatting>
  <conditionalFormatting sqref="F493:F499">
    <cfRule type="expression" dxfId="1258" priority="55">
      <formula>$F493="Fail"</formula>
    </cfRule>
  </conditionalFormatting>
  <conditionalFormatting sqref="F558:F568">
    <cfRule type="expression" dxfId="1257" priority="51">
      <formula>$F558="Fail"</formula>
    </cfRule>
  </conditionalFormatting>
  <conditionalFormatting sqref="F694">
    <cfRule type="expression" dxfId="1256" priority="41">
      <formula>$F694="Fail"</formula>
    </cfRule>
  </conditionalFormatting>
  <conditionalFormatting sqref="F53:F66">
    <cfRule type="expression" dxfId="1255" priority="39">
      <formula>$F53="Fail"</formula>
    </cfRule>
  </conditionalFormatting>
  <conditionalFormatting sqref="F69:F105">
    <cfRule type="expression" dxfId="1254" priority="38">
      <formula>$F69="Fail"</formula>
    </cfRule>
  </conditionalFormatting>
  <conditionalFormatting sqref="F107">
    <cfRule type="expression" dxfId="1253" priority="37">
      <formula>$F107="Fail"</formula>
    </cfRule>
  </conditionalFormatting>
  <conditionalFormatting sqref="F108:F121">
    <cfRule type="expression" dxfId="1252" priority="36">
      <formula>$F108="Fail"</formula>
    </cfRule>
  </conditionalFormatting>
  <conditionalFormatting sqref="F123:F164">
    <cfRule type="expression" dxfId="1251" priority="35">
      <formula>$F123="Fail"</formula>
    </cfRule>
  </conditionalFormatting>
  <conditionalFormatting sqref="F166:F168">
    <cfRule type="expression" dxfId="1250" priority="34">
      <formula>$F166="Fail"</formula>
    </cfRule>
  </conditionalFormatting>
  <conditionalFormatting sqref="F170:F177">
    <cfRule type="expression" dxfId="1249" priority="33">
      <formula>$F170="Fail"</formula>
    </cfRule>
  </conditionalFormatting>
  <conditionalFormatting sqref="F187:F202">
    <cfRule type="expression" dxfId="1248" priority="32">
      <formula>$F187="Fail"</formula>
    </cfRule>
  </conditionalFormatting>
  <conditionalFormatting sqref="F204">
    <cfRule type="expression" dxfId="1247" priority="31">
      <formula>$F204="Fail"</formula>
    </cfRule>
  </conditionalFormatting>
  <conditionalFormatting sqref="F205:F240">
    <cfRule type="expression" dxfId="1246" priority="30">
      <formula>$F205="Fail"</formula>
    </cfRule>
  </conditionalFormatting>
  <conditionalFormatting sqref="F243:F252">
    <cfRule type="expression" dxfId="1245" priority="29">
      <formula>$F243="Fail"</formula>
    </cfRule>
  </conditionalFormatting>
  <conditionalFormatting sqref="F270:F272">
    <cfRule type="expression" dxfId="1244" priority="28">
      <formula>$F270="Fail"</formula>
    </cfRule>
  </conditionalFormatting>
  <conditionalFormatting sqref="F274:F281">
    <cfRule type="expression" dxfId="1243" priority="27">
      <formula>$F274="Fail"</formula>
    </cfRule>
  </conditionalFormatting>
  <conditionalFormatting sqref="F283:F289">
    <cfRule type="expression" dxfId="1242" priority="26">
      <formula>$F283="Fail"</formula>
    </cfRule>
  </conditionalFormatting>
  <conditionalFormatting sqref="F291:F306">
    <cfRule type="expression" dxfId="1241" priority="25">
      <formula>$F291="Fail"</formula>
    </cfRule>
  </conditionalFormatting>
  <conditionalFormatting sqref="F309:F344">
    <cfRule type="expression" dxfId="1240" priority="24">
      <formula>$F309="Fail"</formula>
    </cfRule>
  </conditionalFormatting>
  <conditionalFormatting sqref="F346:F356">
    <cfRule type="expression" dxfId="1239" priority="23">
      <formula>$F346="Fail"</formula>
    </cfRule>
  </conditionalFormatting>
  <conditionalFormatting sqref="F359:F372">
    <cfRule type="expression" dxfId="1238" priority="22">
      <formula>$F359="Fail"</formula>
    </cfRule>
  </conditionalFormatting>
  <conditionalFormatting sqref="F378:F385 F374:F376">
    <cfRule type="expression" dxfId="1237" priority="21">
      <formula>$F374="Fail"</formula>
    </cfRule>
  </conditionalFormatting>
  <conditionalFormatting sqref="F387:F393">
    <cfRule type="expression" dxfId="1236" priority="20">
      <formula>$F387="Fail"</formula>
    </cfRule>
  </conditionalFormatting>
  <conditionalFormatting sqref="F395:F410">
    <cfRule type="expression" dxfId="1235" priority="19">
      <formula>$F395="Fail"</formula>
    </cfRule>
  </conditionalFormatting>
  <conditionalFormatting sqref="F412:F450">
    <cfRule type="expression" dxfId="1234" priority="18">
      <formula>$F412="Fail"</formula>
    </cfRule>
  </conditionalFormatting>
  <conditionalFormatting sqref="F452:F462">
    <cfRule type="expression" dxfId="1233" priority="17">
      <formula>$F452="Fail"</formula>
    </cfRule>
  </conditionalFormatting>
  <conditionalFormatting sqref="F465:F478">
    <cfRule type="expression" dxfId="1232" priority="16">
      <formula>$F465="Fail"</formula>
    </cfRule>
  </conditionalFormatting>
  <conditionalFormatting sqref="F480:F482">
    <cfRule type="expression" dxfId="1231" priority="15">
      <formula>$F480="Fail"</formula>
    </cfRule>
  </conditionalFormatting>
  <conditionalFormatting sqref="F501:F506">
    <cfRule type="expression" dxfId="1230" priority="14">
      <formula>$F501="Fail"</formula>
    </cfRule>
  </conditionalFormatting>
  <conditionalFormatting sqref="F507:F516">
    <cfRule type="expression" dxfId="1229" priority="13">
      <formula>$F507="Fail"</formula>
    </cfRule>
  </conditionalFormatting>
  <conditionalFormatting sqref="F518:F530">
    <cfRule type="expression" dxfId="1228" priority="12">
      <formula>$F518="Fail"</formula>
    </cfRule>
  </conditionalFormatting>
  <conditionalFormatting sqref="F531:F546">
    <cfRule type="expression" dxfId="1227" priority="11">
      <formula>$F531="Fail"</formula>
    </cfRule>
  </conditionalFormatting>
  <conditionalFormatting sqref="F547:F556">
    <cfRule type="expression" dxfId="1226" priority="10">
      <formula>$F547="Fail"</formula>
    </cfRule>
  </conditionalFormatting>
  <conditionalFormatting sqref="F571:F578">
    <cfRule type="expression" dxfId="1225" priority="9">
      <formula>$F571="Fail"</formula>
    </cfRule>
  </conditionalFormatting>
  <conditionalFormatting sqref="F579:F584">
    <cfRule type="expression" dxfId="1224" priority="8">
      <formula>$F579="Fail"</formula>
    </cfRule>
  </conditionalFormatting>
  <conditionalFormatting sqref="F586:F588">
    <cfRule type="expression" dxfId="1223" priority="7">
      <formula>$F586="Fail"</formula>
    </cfRule>
  </conditionalFormatting>
  <conditionalFormatting sqref="F599:F605 F590:F597">
    <cfRule type="expression" dxfId="1222" priority="6">
      <formula>$F590="Fail"</formula>
    </cfRule>
  </conditionalFormatting>
  <conditionalFormatting sqref="F607:F622">
    <cfRule type="expression" dxfId="1221" priority="5">
      <formula>$F607="Fail"</formula>
    </cfRule>
  </conditionalFormatting>
  <conditionalFormatting sqref="F624:F662">
    <cfRule type="expression" dxfId="1220" priority="4">
      <formula>$F624="Fail"</formula>
    </cfRule>
  </conditionalFormatting>
  <conditionalFormatting sqref="F664:F674">
    <cfRule type="expression" dxfId="1219" priority="3">
      <formula>$F664="Fail"</formula>
    </cfRule>
  </conditionalFormatting>
  <conditionalFormatting sqref="F677:F690">
    <cfRule type="expression" dxfId="1218" priority="2">
      <formula>$F677="Fail"</formula>
    </cfRule>
  </conditionalFormatting>
  <conditionalFormatting sqref="F692:F693">
    <cfRule type="expression" dxfId="1217" priority="1">
      <formula>$F692="Fail"</formula>
    </cfRule>
  </conditionalFormatting>
  <conditionalFormatting sqref="C47">
    <cfRule type="expression" dxfId="1216" priority="1161">
      <formula>$F48="Fail"</formula>
    </cfRule>
  </conditionalFormatting>
  <conditionalFormatting sqref="C48">
    <cfRule type="expression" dxfId="1215" priority="1163">
      <formula>$F47="Fail"</formula>
    </cfRule>
  </conditionalFormatting>
  <dataValidations count="1">
    <dataValidation type="list" allowBlank="1" showInputMessage="1" showErrorMessage="1" sqref="F764:F877 F879:F981 F2:F746">
      <formula1>$G$1:$K$1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mc:AlternateContent xmlns:mc="http://schemas.openxmlformats.org/markup-compatibility/2006">
          <mc:Choice Requires="x14">
            <control shapeId="4102" r:id="rId5" name="Button 6">
              <controlPr defaultSize="0" print="0" autoFill="0" autoPict="0" macro="[0]!formatting">
                <anchor moveWithCells="1" sizeWithCells="1">
                  <from>
                    <xdr:col>2</xdr:col>
                    <xdr:colOff>2114550</xdr:colOff>
                    <xdr:row>0</xdr:row>
                    <xdr:rowOff>57150</xdr:rowOff>
                  </from>
                  <to>
                    <xdr:col>2</xdr:col>
                    <xdr:colOff>2924175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90"/>
  <sheetViews>
    <sheetView tabSelected="1" topLeftCell="C1" zoomScaleNormal="100" workbookViewId="0">
      <pane ySplit="1" topLeftCell="A77" activePane="bottomLeft" state="frozen"/>
      <selection pane="bottomLeft" activeCell="F31" sqref="F31:K31"/>
    </sheetView>
  </sheetViews>
  <sheetFormatPr defaultRowHeight="15" x14ac:dyDescent="0.25"/>
  <cols>
    <col min="1" max="1" width="11.28515625" style="3" bestFit="1" customWidth="1"/>
    <col min="2" max="2" width="56.7109375" style="1" customWidth="1"/>
    <col min="3" max="3" width="50.7109375" style="1" customWidth="1"/>
    <col min="4" max="4" width="48.140625" style="118" customWidth="1"/>
    <col min="5" max="5" width="7.85546875" style="1" customWidth="1"/>
    <col min="6" max="6" width="14"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3" t="s">
        <v>4</v>
      </c>
      <c r="E1" s="11" t="s">
        <v>3</v>
      </c>
      <c r="F1" s="10" t="s">
        <v>0</v>
      </c>
      <c r="G1" s="11" t="s">
        <v>5</v>
      </c>
      <c r="H1" s="11" t="s">
        <v>6</v>
      </c>
      <c r="I1" s="11"/>
      <c r="J1" s="11" t="s">
        <v>7</v>
      </c>
      <c r="K1" s="11" t="s">
        <v>8</v>
      </c>
      <c r="L1" s="11" t="s">
        <v>12</v>
      </c>
    </row>
    <row r="2" spans="1:12" s="100" customFormat="1" ht="30" customHeight="1" x14ac:dyDescent="0.25">
      <c r="A2" s="101"/>
      <c r="B2" s="182" t="s">
        <v>760</v>
      </c>
      <c r="C2" s="183"/>
      <c r="D2" s="114" t="s">
        <v>645</v>
      </c>
      <c r="E2" s="99"/>
      <c r="F2" s="98"/>
      <c r="G2" s="99"/>
      <c r="H2" s="99"/>
      <c r="I2" s="99"/>
      <c r="J2" s="99"/>
      <c r="K2" s="99"/>
      <c r="L2" s="99"/>
    </row>
    <row r="3" spans="1:12" s="19" customFormat="1" x14ac:dyDescent="0.25">
      <c r="A3" s="15">
        <v>2</v>
      </c>
      <c r="B3" s="16" t="s">
        <v>651</v>
      </c>
      <c r="C3" s="17"/>
      <c r="D3" s="17"/>
      <c r="E3" s="16"/>
      <c r="F3" s="18"/>
      <c r="G3" s="18"/>
      <c r="H3" s="18"/>
      <c r="I3" s="18"/>
      <c r="J3" s="18"/>
      <c r="K3" s="18"/>
      <c r="L3" s="16"/>
    </row>
    <row r="4" spans="1:12" ht="25.5" x14ac:dyDescent="0.25">
      <c r="A4" s="4">
        <f t="shared" ref="A4:A69" si="0">A3+0.0001</f>
        <v>2.0001000000000002</v>
      </c>
      <c r="B4" s="5" t="s">
        <v>592</v>
      </c>
      <c r="C4" s="8"/>
      <c r="D4" s="115"/>
      <c r="E4" s="5"/>
      <c r="F4" s="7" t="s">
        <v>5</v>
      </c>
      <c r="G4" s="7">
        <f t="shared" ref="G4:K34" si="1">IF($F4=G$1,1,0)</f>
        <v>1</v>
      </c>
      <c r="H4" s="7">
        <f t="shared" si="1"/>
        <v>0</v>
      </c>
      <c r="I4" s="7">
        <f t="shared" si="1"/>
        <v>0</v>
      </c>
      <c r="J4" s="7">
        <f t="shared" si="1"/>
        <v>0</v>
      </c>
      <c r="K4" s="7">
        <f t="shared" si="1"/>
        <v>0</v>
      </c>
      <c r="L4" s="6"/>
    </row>
    <row r="5" spans="1:12" ht="25.5" x14ac:dyDescent="0.25">
      <c r="A5" s="4">
        <f t="shared" si="0"/>
        <v>2.0002000000000004</v>
      </c>
      <c r="B5" s="63" t="s">
        <v>593</v>
      </c>
      <c r="C5" s="8" t="s">
        <v>594</v>
      </c>
      <c r="D5" s="115"/>
      <c r="E5" s="5"/>
      <c r="F5" s="7" t="s">
        <v>5</v>
      </c>
      <c r="G5" s="7">
        <f t="shared" si="1"/>
        <v>1</v>
      </c>
      <c r="H5" s="7">
        <f t="shared" si="1"/>
        <v>0</v>
      </c>
      <c r="I5" s="7">
        <f t="shared" si="1"/>
        <v>0</v>
      </c>
      <c r="J5" s="7">
        <f t="shared" si="1"/>
        <v>0</v>
      </c>
      <c r="K5" s="7">
        <f t="shared" si="1"/>
        <v>0</v>
      </c>
      <c r="L5" s="6"/>
    </row>
    <row r="6" spans="1:12" ht="25.5" x14ac:dyDescent="0.25">
      <c r="A6" s="4">
        <f t="shared" si="0"/>
        <v>2.0003000000000006</v>
      </c>
      <c r="B6" s="63" t="s">
        <v>595</v>
      </c>
      <c r="C6" s="8" t="s">
        <v>596</v>
      </c>
      <c r="D6" s="115" t="s">
        <v>757</v>
      </c>
      <c r="E6" s="5"/>
      <c r="F6" s="7" t="s">
        <v>5</v>
      </c>
      <c r="G6" s="7">
        <f t="shared" si="1"/>
        <v>1</v>
      </c>
      <c r="H6" s="7">
        <f t="shared" si="1"/>
        <v>0</v>
      </c>
      <c r="I6" s="7">
        <f t="shared" si="1"/>
        <v>0</v>
      </c>
      <c r="J6" s="7">
        <f t="shared" si="1"/>
        <v>0</v>
      </c>
      <c r="K6" s="7">
        <f t="shared" si="1"/>
        <v>0</v>
      </c>
      <c r="L6" s="6"/>
    </row>
    <row r="7" spans="1:12" x14ac:dyDescent="0.25">
      <c r="A7" s="4">
        <f t="shared" si="0"/>
        <v>2.0004000000000008</v>
      </c>
      <c r="B7" s="5"/>
      <c r="C7" s="8" t="s">
        <v>597</v>
      </c>
      <c r="D7" s="115"/>
      <c r="E7" s="5"/>
      <c r="F7" s="7" t="s">
        <v>5</v>
      </c>
      <c r="G7" s="7">
        <f t="shared" si="1"/>
        <v>1</v>
      </c>
      <c r="H7" s="7">
        <f t="shared" si="1"/>
        <v>0</v>
      </c>
      <c r="I7" s="7">
        <f t="shared" si="1"/>
        <v>0</v>
      </c>
      <c r="J7" s="7">
        <f t="shared" si="1"/>
        <v>0</v>
      </c>
      <c r="K7" s="7">
        <f t="shared" si="1"/>
        <v>0</v>
      </c>
      <c r="L7" s="6"/>
    </row>
    <row r="8" spans="1:12" x14ac:dyDescent="0.25">
      <c r="A8" s="4">
        <f t="shared" si="0"/>
        <v>2.0005000000000011</v>
      </c>
      <c r="B8" s="53"/>
      <c r="C8" s="23"/>
      <c r="D8" s="116"/>
      <c r="E8" s="5"/>
      <c r="F8" s="7"/>
      <c r="G8" s="7"/>
      <c r="H8" s="7"/>
      <c r="I8" s="7"/>
      <c r="J8" s="7"/>
      <c r="K8" s="7"/>
      <c r="L8" s="6"/>
    </row>
    <row r="9" spans="1:12" x14ac:dyDescent="0.25">
      <c r="A9" s="4">
        <f t="shared" si="0"/>
        <v>2.0006000000000013</v>
      </c>
      <c r="B9" s="72"/>
      <c r="C9" s="94" t="s">
        <v>719</v>
      </c>
      <c r="D9" s="115"/>
      <c r="E9" s="6"/>
      <c r="F9" s="7" t="s">
        <v>5</v>
      </c>
      <c r="G9" s="7">
        <f t="shared" si="1"/>
        <v>1</v>
      </c>
      <c r="H9" s="7">
        <f t="shared" si="1"/>
        <v>0</v>
      </c>
      <c r="I9" s="7">
        <f t="shared" si="1"/>
        <v>0</v>
      </c>
      <c r="J9" s="7">
        <f t="shared" si="1"/>
        <v>0</v>
      </c>
      <c r="K9" s="7">
        <f t="shared" si="1"/>
        <v>0</v>
      </c>
      <c r="L9" s="6"/>
    </row>
    <row r="10" spans="1:12" x14ac:dyDescent="0.25">
      <c r="A10" s="4">
        <f t="shared" si="0"/>
        <v>2.0007000000000015</v>
      </c>
      <c r="B10" s="53"/>
      <c r="C10" s="22"/>
      <c r="D10" s="115"/>
      <c r="E10" s="6"/>
      <c r="F10" s="7"/>
      <c r="G10" s="7"/>
      <c r="H10" s="7"/>
      <c r="I10" s="7"/>
      <c r="J10" s="7"/>
      <c r="K10" s="7"/>
      <c r="L10" s="6"/>
    </row>
    <row r="11" spans="1:12" x14ac:dyDescent="0.25">
      <c r="A11" s="4">
        <f t="shared" si="0"/>
        <v>2.0008000000000017</v>
      </c>
      <c r="B11" s="53" t="s">
        <v>554</v>
      </c>
      <c r="C11" s="22"/>
      <c r="D11" s="115"/>
      <c r="E11" s="6"/>
      <c r="F11" s="7"/>
      <c r="G11" s="7"/>
      <c r="H11" s="7"/>
      <c r="I11" s="7"/>
      <c r="J11" s="7"/>
      <c r="K11" s="7"/>
      <c r="L11" s="6"/>
    </row>
    <row r="12" spans="1:12" x14ac:dyDescent="0.25">
      <c r="A12" s="4">
        <f t="shared" si="0"/>
        <v>2.0009000000000019</v>
      </c>
      <c r="B12" s="105" t="s">
        <v>495</v>
      </c>
      <c r="C12" s="17"/>
      <c r="D12" s="17"/>
      <c r="E12" s="6"/>
      <c r="F12" s="7"/>
      <c r="G12" s="7"/>
      <c r="H12" s="7"/>
      <c r="I12" s="7"/>
      <c r="J12" s="7"/>
      <c r="K12" s="7"/>
      <c r="L12" s="6"/>
    </row>
    <row r="13" spans="1:12" ht="25.5" x14ac:dyDescent="0.25">
      <c r="A13" s="4">
        <f t="shared" si="0"/>
        <v>2.0010000000000021</v>
      </c>
      <c r="B13" s="63" t="s">
        <v>656</v>
      </c>
      <c r="C13" s="107" t="s">
        <v>659</v>
      </c>
      <c r="D13" s="115"/>
      <c r="E13" s="6"/>
      <c r="F13" s="7" t="s">
        <v>5</v>
      </c>
      <c r="G13" s="7">
        <f t="shared" si="1"/>
        <v>1</v>
      </c>
      <c r="H13" s="7">
        <f t="shared" si="1"/>
        <v>0</v>
      </c>
      <c r="I13" s="7">
        <f t="shared" si="1"/>
        <v>0</v>
      </c>
      <c r="J13" s="7">
        <f t="shared" si="1"/>
        <v>0</v>
      </c>
      <c r="K13" s="7">
        <f t="shared" si="1"/>
        <v>0</v>
      </c>
      <c r="L13" s="6"/>
    </row>
    <row r="14" spans="1:12" x14ac:dyDescent="0.25">
      <c r="A14" s="4">
        <f t="shared" si="0"/>
        <v>2.0011000000000023</v>
      </c>
      <c r="B14" s="5"/>
      <c r="C14" s="22"/>
      <c r="D14" s="115"/>
      <c r="E14" s="6"/>
      <c r="F14" s="7"/>
      <c r="G14" s="7"/>
      <c r="H14" s="7"/>
      <c r="I14" s="7"/>
      <c r="J14" s="7"/>
      <c r="K14" s="7"/>
      <c r="L14" s="6"/>
    </row>
    <row r="15" spans="1:12" x14ac:dyDescent="0.25">
      <c r="A15" s="4">
        <f t="shared" si="0"/>
        <v>2.0012000000000025</v>
      </c>
      <c r="B15" s="5" t="s">
        <v>660</v>
      </c>
      <c r="C15" s="22" t="s">
        <v>661</v>
      </c>
      <c r="D15" s="115"/>
      <c r="E15" s="6"/>
      <c r="F15" s="7" t="s">
        <v>5</v>
      </c>
      <c r="G15" s="7">
        <f t="shared" si="1"/>
        <v>1</v>
      </c>
      <c r="H15" s="7">
        <f t="shared" si="1"/>
        <v>0</v>
      </c>
      <c r="I15" s="7">
        <f t="shared" si="1"/>
        <v>0</v>
      </c>
      <c r="J15" s="7">
        <f t="shared" si="1"/>
        <v>0</v>
      </c>
      <c r="K15" s="7">
        <f t="shared" si="1"/>
        <v>0</v>
      </c>
      <c r="L15" s="6"/>
    </row>
    <row r="16" spans="1:12" x14ac:dyDescent="0.25">
      <c r="A16" s="4">
        <f t="shared" si="0"/>
        <v>2.0013000000000027</v>
      </c>
      <c r="B16" s="5"/>
      <c r="C16" s="23"/>
      <c r="D16" s="115"/>
      <c r="E16" s="6"/>
      <c r="F16" s="7"/>
      <c r="G16" s="7"/>
      <c r="H16" s="7"/>
      <c r="I16" s="7"/>
      <c r="J16" s="7"/>
      <c r="K16" s="7"/>
      <c r="L16" s="6"/>
    </row>
    <row r="17" spans="1:12" x14ac:dyDescent="0.25">
      <c r="A17" s="4">
        <f t="shared" si="0"/>
        <v>2.001400000000003</v>
      </c>
      <c r="B17" s="48" t="s">
        <v>662</v>
      </c>
      <c r="C17" s="23" t="s">
        <v>663</v>
      </c>
      <c r="D17" s="115"/>
      <c r="E17" s="6"/>
      <c r="F17" s="7" t="s">
        <v>5</v>
      </c>
      <c r="G17" s="7">
        <f t="shared" si="1"/>
        <v>1</v>
      </c>
      <c r="H17" s="7">
        <f t="shared" si="1"/>
        <v>0</v>
      </c>
      <c r="I17" s="7">
        <f t="shared" si="1"/>
        <v>0</v>
      </c>
      <c r="J17" s="7">
        <f t="shared" si="1"/>
        <v>0</v>
      </c>
      <c r="K17" s="7">
        <f t="shared" si="1"/>
        <v>0</v>
      </c>
      <c r="L17" s="6"/>
    </row>
    <row r="18" spans="1:12" x14ac:dyDescent="0.25">
      <c r="A18" s="4">
        <f t="shared" si="0"/>
        <v>2.0015000000000032</v>
      </c>
      <c r="B18" s="5"/>
      <c r="C18" s="23"/>
      <c r="D18" s="115"/>
      <c r="E18" s="6"/>
      <c r="F18" s="7"/>
      <c r="G18" s="7"/>
      <c r="H18" s="7"/>
      <c r="I18" s="7"/>
      <c r="J18" s="7"/>
      <c r="K18" s="7"/>
      <c r="L18" s="6"/>
    </row>
    <row r="19" spans="1:12" ht="25.5" x14ac:dyDescent="0.25">
      <c r="A19" s="4">
        <f t="shared" si="0"/>
        <v>2.0016000000000034</v>
      </c>
      <c r="B19" s="8" t="s">
        <v>664</v>
      </c>
      <c r="C19" s="22" t="s">
        <v>452</v>
      </c>
      <c r="D19" s="115"/>
      <c r="E19" s="6"/>
      <c r="F19" s="7" t="s">
        <v>5</v>
      </c>
      <c r="G19" s="7">
        <f t="shared" si="1"/>
        <v>1</v>
      </c>
      <c r="H19" s="7">
        <f t="shared" si="1"/>
        <v>0</v>
      </c>
      <c r="I19" s="7">
        <f t="shared" si="1"/>
        <v>0</v>
      </c>
      <c r="J19" s="7">
        <f t="shared" si="1"/>
        <v>0</v>
      </c>
      <c r="K19" s="7">
        <f t="shared" si="1"/>
        <v>0</v>
      </c>
      <c r="L19" s="6"/>
    </row>
    <row r="20" spans="1:12" x14ac:dyDescent="0.25">
      <c r="A20" s="4">
        <f t="shared" si="0"/>
        <v>2.0017000000000036</v>
      </c>
      <c r="B20" s="108"/>
      <c r="C20" s="109"/>
      <c r="D20" s="115"/>
      <c r="E20" s="6"/>
      <c r="F20" s="7"/>
      <c r="G20" s="7"/>
      <c r="H20" s="7"/>
      <c r="I20" s="7"/>
      <c r="J20" s="7"/>
      <c r="K20" s="7"/>
      <c r="L20" s="6"/>
    </row>
    <row r="21" spans="1:12" x14ac:dyDescent="0.25">
      <c r="A21" s="4">
        <f t="shared" si="0"/>
        <v>2.0018000000000038</v>
      </c>
      <c r="B21" s="5" t="s">
        <v>665</v>
      </c>
      <c r="C21" s="23" t="s">
        <v>663</v>
      </c>
      <c r="D21" s="115"/>
      <c r="E21" s="6"/>
      <c r="F21" s="7" t="s">
        <v>5</v>
      </c>
      <c r="G21" s="7">
        <f t="shared" si="1"/>
        <v>1</v>
      </c>
      <c r="H21" s="7">
        <f t="shared" si="1"/>
        <v>0</v>
      </c>
      <c r="I21" s="7">
        <f t="shared" si="1"/>
        <v>0</v>
      </c>
      <c r="J21" s="7">
        <f t="shared" si="1"/>
        <v>0</v>
      </c>
      <c r="K21" s="7">
        <f t="shared" si="1"/>
        <v>0</v>
      </c>
      <c r="L21" s="6"/>
    </row>
    <row r="22" spans="1:12" x14ac:dyDescent="0.25">
      <c r="A22" s="4">
        <f t="shared" si="0"/>
        <v>2.001900000000004</v>
      </c>
      <c r="B22" s="5" t="s">
        <v>674</v>
      </c>
      <c r="C22" s="23" t="s">
        <v>675</v>
      </c>
      <c r="D22" s="115"/>
      <c r="E22" s="6"/>
      <c r="F22" s="7" t="s">
        <v>5</v>
      </c>
      <c r="G22" s="7">
        <f t="shared" si="1"/>
        <v>1</v>
      </c>
      <c r="H22" s="7">
        <f t="shared" si="1"/>
        <v>0</v>
      </c>
      <c r="I22" s="7">
        <f t="shared" si="1"/>
        <v>0</v>
      </c>
      <c r="J22" s="7">
        <f t="shared" si="1"/>
        <v>0</v>
      </c>
      <c r="K22" s="7">
        <f t="shared" si="1"/>
        <v>0</v>
      </c>
      <c r="L22" s="6"/>
    </row>
    <row r="23" spans="1:12" x14ac:dyDescent="0.25">
      <c r="A23" s="4">
        <f t="shared" si="0"/>
        <v>2.0020000000000042</v>
      </c>
      <c r="B23" s="5" t="s">
        <v>676</v>
      </c>
      <c r="C23" s="22" t="s">
        <v>677</v>
      </c>
      <c r="D23" s="115" t="s">
        <v>720</v>
      </c>
      <c r="E23" s="6"/>
      <c r="F23" s="7" t="s">
        <v>5</v>
      </c>
      <c r="G23" s="7">
        <f t="shared" si="1"/>
        <v>1</v>
      </c>
      <c r="H23" s="7">
        <f t="shared" si="1"/>
        <v>0</v>
      </c>
      <c r="I23" s="7">
        <f t="shared" si="1"/>
        <v>0</v>
      </c>
      <c r="J23" s="7">
        <f t="shared" si="1"/>
        <v>0</v>
      </c>
      <c r="K23" s="7">
        <f t="shared" si="1"/>
        <v>0</v>
      </c>
      <c r="L23" s="6"/>
    </row>
    <row r="24" spans="1:12" x14ac:dyDescent="0.25">
      <c r="A24" s="4">
        <f t="shared" si="0"/>
        <v>2.0021000000000044</v>
      </c>
      <c r="B24" s="5" t="s">
        <v>678</v>
      </c>
      <c r="C24" s="22" t="s">
        <v>679</v>
      </c>
      <c r="D24" s="115"/>
      <c r="E24" s="6"/>
      <c r="F24" s="7" t="s">
        <v>5</v>
      </c>
      <c r="G24" s="7">
        <f t="shared" si="1"/>
        <v>1</v>
      </c>
      <c r="H24" s="7">
        <f t="shared" si="1"/>
        <v>0</v>
      </c>
      <c r="I24" s="7">
        <f t="shared" si="1"/>
        <v>0</v>
      </c>
      <c r="J24" s="7">
        <f t="shared" si="1"/>
        <v>0</v>
      </c>
      <c r="K24" s="7">
        <f t="shared" si="1"/>
        <v>0</v>
      </c>
      <c r="L24" s="6"/>
    </row>
    <row r="25" spans="1:12" x14ac:dyDescent="0.25">
      <c r="A25" s="4">
        <f t="shared" si="0"/>
        <v>2.0022000000000046</v>
      </c>
      <c r="B25" s="5" t="s">
        <v>666</v>
      </c>
      <c r="C25" s="94" t="s">
        <v>552</v>
      </c>
      <c r="D25" s="115"/>
      <c r="E25" s="6"/>
      <c r="F25" s="7" t="s">
        <v>5</v>
      </c>
      <c r="G25" s="7">
        <f t="shared" si="1"/>
        <v>1</v>
      </c>
      <c r="H25" s="7">
        <f t="shared" si="1"/>
        <v>0</v>
      </c>
      <c r="I25" s="7">
        <f t="shared" si="1"/>
        <v>0</v>
      </c>
      <c r="J25" s="7">
        <f t="shared" si="1"/>
        <v>0</v>
      </c>
      <c r="K25" s="7">
        <f t="shared" si="1"/>
        <v>0</v>
      </c>
      <c r="L25" s="6"/>
    </row>
    <row r="26" spans="1:12" x14ac:dyDescent="0.25">
      <c r="A26" s="4">
        <f t="shared" si="0"/>
        <v>2.0023000000000049</v>
      </c>
      <c r="B26" s="63" t="s">
        <v>667</v>
      </c>
      <c r="C26" s="94" t="s">
        <v>350</v>
      </c>
      <c r="D26" s="115"/>
      <c r="E26" s="6"/>
      <c r="F26" s="7" t="s">
        <v>5</v>
      </c>
      <c r="G26" s="7">
        <f t="shared" si="1"/>
        <v>1</v>
      </c>
      <c r="H26" s="7">
        <f t="shared" si="1"/>
        <v>0</v>
      </c>
      <c r="I26" s="7">
        <f t="shared" si="1"/>
        <v>0</v>
      </c>
      <c r="J26" s="7">
        <f t="shared" si="1"/>
        <v>0</v>
      </c>
      <c r="K26" s="7">
        <f t="shared" si="1"/>
        <v>0</v>
      </c>
      <c r="L26" s="6"/>
    </row>
    <row r="27" spans="1:12" x14ac:dyDescent="0.25">
      <c r="A27" s="4">
        <f t="shared" si="0"/>
        <v>2.0024000000000051</v>
      </c>
      <c r="B27" s="110" t="s">
        <v>668</v>
      </c>
      <c r="C27" s="111" t="s">
        <v>759</v>
      </c>
      <c r="D27" s="17"/>
      <c r="E27" s="6"/>
      <c r="F27" s="7"/>
      <c r="G27" s="7"/>
      <c r="H27" s="7"/>
      <c r="I27" s="7"/>
      <c r="J27" s="7"/>
      <c r="K27" s="7"/>
      <c r="L27" s="6"/>
    </row>
    <row r="28" spans="1:12" x14ac:dyDescent="0.25">
      <c r="A28" s="4">
        <f t="shared" si="0"/>
        <v>2.0025000000000053</v>
      </c>
      <c r="B28" s="66" t="s">
        <v>726</v>
      </c>
      <c r="C28" s="22" t="s">
        <v>727</v>
      </c>
      <c r="D28" s="115"/>
      <c r="E28" s="6"/>
      <c r="F28" s="7" t="s">
        <v>5</v>
      </c>
      <c r="G28" s="7">
        <f t="shared" si="1"/>
        <v>1</v>
      </c>
      <c r="H28" s="7">
        <f t="shared" si="1"/>
        <v>0</v>
      </c>
      <c r="I28" s="7">
        <f t="shared" si="1"/>
        <v>0</v>
      </c>
      <c r="J28" s="7">
        <f t="shared" si="1"/>
        <v>0</v>
      </c>
      <c r="K28" s="7">
        <f t="shared" si="1"/>
        <v>0</v>
      </c>
      <c r="L28" s="6"/>
    </row>
    <row r="29" spans="1:12" x14ac:dyDescent="0.25">
      <c r="A29" s="4">
        <f t="shared" si="0"/>
        <v>2.0026000000000055</v>
      </c>
      <c r="B29" s="5"/>
      <c r="C29" s="23"/>
      <c r="D29" s="115"/>
      <c r="E29" s="6"/>
      <c r="F29" s="7"/>
      <c r="G29" s="7"/>
      <c r="H29" s="7"/>
      <c r="I29" s="7"/>
      <c r="J29" s="7"/>
      <c r="K29" s="7">
        <f t="shared" si="1"/>
        <v>0</v>
      </c>
      <c r="L29" s="6"/>
    </row>
    <row r="30" spans="1:12" ht="38.25" x14ac:dyDescent="0.25">
      <c r="A30" s="4">
        <f t="shared" si="0"/>
        <v>2.0027000000000057</v>
      </c>
      <c r="B30" s="66" t="s">
        <v>725</v>
      </c>
      <c r="C30" s="22" t="s">
        <v>818</v>
      </c>
      <c r="D30" s="115"/>
      <c r="E30" s="6"/>
      <c r="F30" s="7" t="s">
        <v>5</v>
      </c>
      <c r="G30" s="7">
        <f t="shared" si="1"/>
        <v>1</v>
      </c>
      <c r="H30" s="7">
        <f t="shared" si="1"/>
        <v>0</v>
      </c>
      <c r="I30" s="7">
        <f t="shared" si="1"/>
        <v>0</v>
      </c>
      <c r="J30" s="7">
        <f t="shared" si="1"/>
        <v>0</v>
      </c>
      <c r="K30" s="7">
        <f t="shared" si="1"/>
        <v>0</v>
      </c>
      <c r="L30" s="6"/>
    </row>
    <row r="31" spans="1:12" x14ac:dyDescent="0.25">
      <c r="A31" s="4">
        <f t="shared" si="0"/>
        <v>2.0028000000000059</v>
      </c>
      <c r="B31" s="66"/>
      <c r="C31" s="22"/>
      <c r="D31" s="115"/>
      <c r="E31" s="6"/>
      <c r="F31" s="7"/>
      <c r="G31" s="7"/>
      <c r="H31" s="7"/>
      <c r="I31" s="7"/>
      <c r="J31" s="7"/>
      <c r="K31" s="7"/>
      <c r="L31" s="6"/>
    </row>
    <row r="32" spans="1:12" x14ac:dyDescent="0.25">
      <c r="A32" s="4">
        <f t="shared" si="0"/>
        <v>2.0029000000000061</v>
      </c>
      <c r="B32" s="5" t="s">
        <v>729</v>
      </c>
      <c r="C32" s="23" t="s">
        <v>730</v>
      </c>
      <c r="D32" s="115"/>
      <c r="E32" s="6"/>
      <c r="F32" s="7" t="s">
        <v>5</v>
      </c>
      <c r="G32" s="7">
        <f t="shared" si="1"/>
        <v>1</v>
      </c>
      <c r="H32" s="7">
        <f t="shared" si="1"/>
        <v>0</v>
      </c>
      <c r="I32" s="7">
        <f t="shared" si="1"/>
        <v>0</v>
      </c>
      <c r="J32" s="7">
        <f t="shared" si="1"/>
        <v>0</v>
      </c>
      <c r="K32" s="7">
        <f t="shared" si="1"/>
        <v>0</v>
      </c>
      <c r="L32" s="6"/>
    </row>
    <row r="33" spans="1:12" x14ac:dyDescent="0.25">
      <c r="A33" s="4">
        <f t="shared" si="0"/>
        <v>2.0030000000000063</v>
      </c>
      <c r="B33" s="5" t="s">
        <v>748</v>
      </c>
      <c r="C33" s="23" t="s">
        <v>749</v>
      </c>
      <c r="D33" s="115"/>
      <c r="E33" s="6"/>
      <c r="F33" s="7" t="s">
        <v>5</v>
      </c>
      <c r="G33" s="7">
        <f t="shared" si="1"/>
        <v>1</v>
      </c>
      <c r="H33" s="7">
        <f t="shared" si="1"/>
        <v>0</v>
      </c>
      <c r="I33" s="7">
        <f t="shared" si="1"/>
        <v>0</v>
      </c>
      <c r="J33" s="7">
        <f t="shared" si="1"/>
        <v>0</v>
      </c>
      <c r="K33" s="7">
        <f t="shared" si="1"/>
        <v>0</v>
      </c>
      <c r="L33" s="6"/>
    </row>
    <row r="34" spans="1:12" x14ac:dyDescent="0.25">
      <c r="A34" s="4">
        <f t="shared" si="0"/>
        <v>2.0031000000000065</v>
      </c>
      <c r="B34" s="5" t="s">
        <v>731</v>
      </c>
      <c r="C34" s="23" t="s">
        <v>747</v>
      </c>
      <c r="D34" s="115"/>
      <c r="E34" s="6"/>
      <c r="F34" s="7" t="s">
        <v>5</v>
      </c>
      <c r="G34" s="7">
        <f t="shared" si="1"/>
        <v>1</v>
      </c>
      <c r="H34" s="7">
        <f t="shared" si="1"/>
        <v>0</v>
      </c>
      <c r="I34" s="7">
        <f t="shared" si="1"/>
        <v>0</v>
      </c>
      <c r="J34" s="7">
        <f t="shared" si="1"/>
        <v>0</v>
      </c>
      <c r="K34" s="7">
        <f t="shared" si="1"/>
        <v>0</v>
      </c>
      <c r="L34" s="6"/>
    </row>
    <row r="35" spans="1:12" x14ac:dyDescent="0.25">
      <c r="A35" s="4">
        <f t="shared" si="0"/>
        <v>2.0032000000000068</v>
      </c>
      <c r="B35" s="5" t="s">
        <v>489</v>
      </c>
      <c r="C35" s="22" t="s">
        <v>490</v>
      </c>
      <c r="D35" s="115"/>
      <c r="E35" s="6"/>
      <c r="F35" s="7" t="s">
        <v>5</v>
      </c>
      <c r="G35" s="7"/>
      <c r="H35" s="7"/>
      <c r="I35" s="7"/>
      <c r="J35" s="7"/>
      <c r="K35" s="7"/>
      <c r="L35" s="6"/>
    </row>
    <row r="36" spans="1:12" x14ac:dyDescent="0.25">
      <c r="A36" s="4">
        <f t="shared" si="0"/>
        <v>2.003300000000007</v>
      </c>
      <c r="B36" s="5" t="s">
        <v>491</v>
      </c>
      <c r="C36" s="23" t="s">
        <v>750</v>
      </c>
      <c r="D36" s="115"/>
      <c r="E36" s="6"/>
      <c r="F36" s="7" t="s">
        <v>5</v>
      </c>
      <c r="G36" s="7">
        <f t="shared" ref="G36:K39" si="2">IF($F36=G$1,1,0)</f>
        <v>1</v>
      </c>
      <c r="H36" s="7">
        <f t="shared" si="2"/>
        <v>0</v>
      </c>
      <c r="I36" s="7">
        <f t="shared" si="2"/>
        <v>0</v>
      </c>
      <c r="J36" s="7">
        <f t="shared" si="2"/>
        <v>0</v>
      </c>
      <c r="K36" s="7">
        <f t="shared" si="2"/>
        <v>0</v>
      </c>
      <c r="L36" s="6"/>
    </row>
    <row r="37" spans="1:12" x14ac:dyDescent="0.25">
      <c r="A37" s="4">
        <f t="shared" si="0"/>
        <v>2.0034000000000072</v>
      </c>
      <c r="B37" s="5" t="s">
        <v>553</v>
      </c>
      <c r="C37" s="22" t="s">
        <v>492</v>
      </c>
      <c r="D37" s="115"/>
      <c r="E37" s="6"/>
      <c r="F37" s="7" t="s">
        <v>5</v>
      </c>
      <c r="G37" s="7">
        <f t="shared" si="2"/>
        <v>1</v>
      </c>
      <c r="H37" s="7">
        <f t="shared" si="2"/>
        <v>0</v>
      </c>
      <c r="I37" s="7">
        <f t="shared" si="2"/>
        <v>0</v>
      </c>
      <c r="J37" s="7">
        <f t="shared" si="2"/>
        <v>0</v>
      </c>
      <c r="K37" s="7">
        <f t="shared" si="2"/>
        <v>0</v>
      </c>
      <c r="L37" s="97"/>
    </row>
    <row r="38" spans="1:12" x14ac:dyDescent="0.25">
      <c r="A38" s="4">
        <f t="shared" si="0"/>
        <v>2.0035000000000074</v>
      </c>
      <c r="B38" s="5"/>
      <c r="C38" s="22" t="s">
        <v>493</v>
      </c>
      <c r="D38" s="115"/>
      <c r="E38" s="6"/>
      <c r="F38" s="7" t="s">
        <v>5</v>
      </c>
      <c r="G38" s="7">
        <f t="shared" si="2"/>
        <v>1</v>
      </c>
      <c r="H38" s="7">
        <f t="shared" si="2"/>
        <v>0</v>
      </c>
      <c r="I38" s="7">
        <f t="shared" si="2"/>
        <v>0</v>
      </c>
      <c r="J38" s="7">
        <f t="shared" si="2"/>
        <v>0</v>
      </c>
      <c r="K38" s="7">
        <f t="shared" si="2"/>
        <v>0</v>
      </c>
      <c r="L38" s="97"/>
    </row>
    <row r="39" spans="1:12" ht="25.5" x14ac:dyDescent="0.25">
      <c r="A39" s="4">
        <f t="shared" si="0"/>
        <v>2.0036000000000076</v>
      </c>
      <c r="B39" s="5" t="s">
        <v>482</v>
      </c>
      <c r="C39" s="94" t="s">
        <v>751</v>
      </c>
      <c r="D39" s="115"/>
      <c r="E39" s="6"/>
      <c r="F39" s="7" t="s">
        <v>5</v>
      </c>
      <c r="G39" s="7">
        <f t="shared" si="2"/>
        <v>1</v>
      </c>
      <c r="H39" s="7">
        <f t="shared" si="2"/>
        <v>0</v>
      </c>
      <c r="I39" s="7">
        <f t="shared" si="2"/>
        <v>0</v>
      </c>
      <c r="J39" s="7">
        <f t="shared" si="2"/>
        <v>0</v>
      </c>
      <c r="K39" s="7">
        <f t="shared" si="2"/>
        <v>0</v>
      </c>
      <c r="L39" s="97"/>
    </row>
    <row r="40" spans="1:12" x14ac:dyDescent="0.25">
      <c r="A40" s="4">
        <f t="shared" si="0"/>
        <v>2.0037000000000078</v>
      </c>
      <c r="B40" s="5"/>
      <c r="C40" s="94"/>
      <c r="D40" s="115"/>
      <c r="E40" s="6"/>
      <c r="F40" s="7"/>
      <c r="G40" s="7"/>
      <c r="H40" s="7"/>
      <c r="I40" s="7"/>
      <c r="J40" s="7"/>
      <c r="K40" s="7"/>
      <c r="L40" s="97"/>
    </row>
    <row r="41" spans="1:12" x14ac:dyDescent="0.25">
      <c r="A41" s="4">
        <f t="shared" si="0"/>
        <v>2.003800000000008</v>
      </c>
      <c r="B41" s="5"/>
      <c r="C41" s="94"/>
      <c r="D41" s="115"/>
      <c r="E41" s="6"/>
      <c r="F41" s="7"/>
      <c r="G41" s="7"/>
      <c r="H41" s="7"/>
      <c r="I41" s="7"/>
      <c r="J41" s="7"/>
      <c r="K41" s="7"/>
      <c r="L41" s="97"/>
    </row>
    <row r="42" spans="1:12" x14ac:dyDescent="0.25">
      <c r="A42" s="4">
        <f t="shared" si="0"/>
        <v>2.0039000000000082</v>
      </c>
      <c r="B42" s="16" t="s">
        <v>735</v>
      </c>
      <c r="C42" s="17"/>
      <c r="D42" s="16"/>
      <c r="E42" s="6"/>
      <c r="F42" s="7"/>
      <c r="G42" s="7"/>
      <c r="H42" s="7"/>
      <c r="I42" s="7"/>
      <c r="J42" s="7"/>
      <c r="K42" s="7"/>
      <c r="L42" s="97"/>
    </row>
    <row r="43" spans="1:12" x14ac:dyDescent="0.25">
      <c r="A43" s="4">
        <f t="shared" si="0"/>
        <v>2.0040000000000084</v>
      </c>
      <c r="B43" s="5" t="s">
        <v>693</v>
      </c>
      <c r="C43" s="5" t="s">
        <v>598</v>
      </c>
      <c r="D43" s="6" t="s">
        <v>694</v>
      </c>
      <c r="E43" s="7"/>
      <c r="F43" s="7" t="s">
        <v>5</v>
      </c>
      <c r="G43" s="7"/>
      <c r="H43" s="7"/>
      <c r="I43" s="7"/>
      <c r="J43" s="7"/>
      <c r="K43" s="7"/>
    </row>
    <row r="44" spans="1:12" x14ac:dyDescent="0.25">
      <c r="A44" s="4">
        <f t="shared" si="0"/>
        <v>2.0041000000000087</v>
      </c>
      <c r="B44" s="5" t="s">
        <v>599</v>
      </c>
      <c r="C44" s="5" t="s">
        <v>695</v>
      </c>
      <c r="D44" s="6" t="s">
        <v>737</v>
      </c>
      <c r="E44" s="7"/>
      <c r="F44" s="7" t="s">
        <v>5</v>
      </c>
      <c r="G44" s="7">
        <f t="shared" ref="G44:K48" si="3">IF($F44=G$1,1,0)</f>
        <v>1</v>
      </c>
      <c r="H44" s="7">
        <f t="shared" si="3"/>
        <v>0</v>
      </c>
      <c r="I44" s="7">
        <f t="shared" si="3"/>
        <v>0</v>
      </c>
      <c r="J44" s="7">
        <f t="shared" si="3"/>
        <v>0</v>
      </c>
      <c r="K44" s="7">
        <f t="shared" si="3"/>
        <v>0</v>
      </c>
    </row>
    <row r="45" spans="1:12" x14ac:dyDescent="0.25">
      <c r="A45" s="4">
        <f t="shared" si="0"/>
        <v>2.0042000000000089</v>
      </c>
      <c r="B45" s="5" t="s">
        <v>482</v>
      </c>
      <c r="C45" s="5" t="s">
        <v>600</v>
      </c>
      <c r="D45" s="6"/>
      <c r="E45" s="7"/>
      <c r="F45" s="7" t="s">
        <v>5</v>
      </c>
      <c r="G45" s="7">
        <f t="shared" si="3"/>
        <v>1</v>
      </c>
      <c r="H45" s="7">
        <f t="shared" si="3"/>
        <v>0</v>
      </c>
      <c r="I45" s="7">
        <f t="shared" si="3"/>
        <v>0</v>
      </c>
      <c r="J45" s="7">
        <f t="shared" si="3"/>
        <v>0</v>
      </c>
      <c r="K45" s="7">
        <f t="shared" si="3"/>
        <v>0</v>
      </c>
    </row>
    <row r="46" spans="1:12" ht="25.5" x14ac:dyDescent="0.25">
      <c r="A46" s="4">
        <f t="shared" si="0"/>
        <v>2.0043000000000091</v>
      </c>
      <c r="B46" s="5" t="s">
        <v>736</v>
      </c>
      <c r="C46" s="5" t="s">
        <v>598</v>
      </c>
      <c r="D46" s="6"/>
      <c r="E46" s="7"/>
      <c r="F46" s="7" t="s">
        <v>5</v>
      </c>
      <c r="G46" s="7">
        <f t="shared" si="3"/>
        <v>1</v>
      </c>
      <c r="H46" s="7">
        <f t="shared" si="3"/>
        <v>0</v>
      </c>
      <c r="I46" s="7">
        <f t="shared" si="3"/>
        <v>0</v>
      </c>
      <c r="J46" s="7">
        <f t="shared" si="3"/>
        <v>0</v>
      </c>
      <c r="K46" s="7">
        <f t="shared" si="3"/>
        <v>0</v>
      </c>
    </row>
    <row r="47" spans="1:12" x14ac:dyDescent="0.25">
      <c r="A47" s="4">
        <f t="shared" si="0"/>
        <v>2.0044000000000093</v>
      </c>
      <c r="B47" s="5" t="s">
        <v>599</v>
      </c>
      <c r="C47" s="5" t="s">
        <v>697</v>
      </c>
      <c r="D47" s="6"/>
      <c r="E47" s="7"/>
      <c r="F47" s="7" t="s">
        <v>5</v>
      </c>
      <c r="G47" s="7">
        <f t="shared" si="3"/>
        <v>1</v>
      </c>
      <c r="H47" s="7">
        <f t="shared" si="3"/>
        <v>0</v>
      </c>
      <c r="I47" s="7">
        <f t="shared" si="3"/>
        <v>0</v>
      </c>
      <c r="J47" s="7">
        <f t="shared" si="3"/>
        <v>0</v>
      </c>
      <c r="K47" s="7">
        <f t="shared" si="3"/>
        <v>0</v>
      </c>
    </row>
    <row r="48" spans="1:12" x14ac:dyDescent="0.25">
      <c r="A48" s="4">
        <f t="shared" si="0"/>
        <v>2.0045000000000095</v>
      </c>
      <c r="B48" s="5" t="s">
        <v>482</v>
      </c>
      <c r="C48" s="5" t="s">
        <v>600</v>
      </c>
      <c r="D48" s="6"/>
      <c r="E48" s="7"/>
      <c r="F48" s="7" t="s">
        <v>5</v>
      </c>
      <c r="G48" s="7">
        <f t="shared" si="3"/>
        <v>1</v>
      </c>
      <c r="H48" s="7">
        <f t="shared" si="3"/>
        <v>0</v>
      </c>
      <c r="I48" s="7">
        <f t="shared" si="3"/>
        <v>0</v>
      </c>
      <c r="J48" s="7">
        <f t="shared" si="3"/>
        <v>0</v>
      </c>
      <c r="K48" s="7">
        <f t="shared" si="3"/>
        <v>0</v>
      </c>
    </row>
    <row r="49" spans="1:11" x14ac:dyDescent="0.25">
      <c r="A49" s="4">
        <f t="shared" si="0"/>
        <v>2.0046000000000097</v>
      </c>
      <c r="B49" s="6"/>
      <c r="C49" s="23"/>
      <c r="D49" s="117"/>
      <c r="E49" s="7"/>
      <c r="F49" s="7"/>
      <c r="G49" s="7"/>
      <c r="H49" s="7"/>
      <c r="I49" s="7"/>
      <c r="J49" s="7"/>
      <c r="K49" s="7"/>
    </row>
    <row r="50" spans="1:11" x14ac:dyDescent="0.25">
      <c r="A50" s="4">
        <f t="shared" si="0"/>
        <v>2.0047000000000099</v>
      </c>
      <c r="B50" s="16" t="s">
        <v>580</v>
      </c>
      <c r="C50" s="16"/>
      <c r="D50" s="17"/>
      <c r="E50" s="7"/>
      <c r="F50" s="7"/>
      <c r="G50" s="7"/>
      <c r="H50" s="7"/>
      <c r="I50" s="7"/>
      <c r="J50" s="7"/>
      <c r="K50" s="7"/>
    </row>
    <row r="51" spans="1:11" x14ac:dyDescent="0.25">
      <c r="A51" s="4">
        <f t="shared" si="0"/>
        <v>2.0048000000000101</v>
      </c>
      <c r="B51" s="96" t="s">
        <v>555</v>
      </c>
      <c r="C51" s="5" t="s">
        <v>556</v>
      </c>
      <c r="D51" s="117"/>
      <c r="E51" s="7"/>
      <c r="F51" s="7" t="s">
        <v>5</v>
      </c>
      <c r="G51" s="7">
        <f t="shared" ref="G51:K60" si="4">IF($F51=G$1,1,0)</f>
        <v>1</v>
      </c>
      <c r="H51" s="7">
        <f t="shared" si="4"/>
        <v>0</v>
      </c>
      <c r="I51" s="7">
        <f t="shared" si="4"/>
        <v>0</v>
      </c>
      <c r="J51" s="7">
        <f t="shared" si="4"/>
        <v>0</v>
      </c>
      <c r="K51" s="7">
        <f t="shared" si="4"/>
        <v>0</v>
      </c>
    </row>
    <row r="52" spans="1:11" x14ac:dyDescent="0.25">
      <c r="A52" s="4">
        <f t="shared" si="0"/>
        <v>2.0049000000000103</v>
      </c>
      <c r="B52" s="6"/>
      <c r="C52" s="5" t="s">
        <v>557</v>
      </c>
      <c r="D52" s="117"/>
      <c r="E52" s="7"/>
      <c r="F52" s="7" t="s">
        <v>5</v>
      </c>
      <c r="G52" s="7">
        <f t="shared" si="4"/>
        <v>1</v>
      </c>
      <c r="H52" s="7">
        <f t="shared" si="4"/>
        <v>0</v>
      </c>
      <c r="I52" s="7">
        <f t="shared" si="4"/>
        <v>0</v>
      </c>
      <c r="J52" s="7">
        <f t="shared" si="4"/>
        <v>0</v>
      </c>
      <c r="K52" s="7">
        <f t="shared" si="4"/>
        <v>0</v>
      </c>
    </row>
    <row r="53" spans="1:11" x14ac:dyDescent="0.25">
      <c r="A53" s="4">
        <f t="shared" si="0"/>
        <v>2.0050000000000106</v>
      </c>
      <c r="B53" s="6"/>
      <c r="C53" s="5" t="s">
        <v>574</v>
      </c>
      <c r="D53" s="117"/>
      <c r="E53" s="7"/>
      <c r="F53" s="7" t="s">
        <v>5</v>
      </c>
      <c r="G53" s="7">
        <f t="shared" si="4"/>
        <v>1</v>
      </c>
      <c r="H53" s="7">
        <f t="shared" si="4"/>
        <v>0</v>
      </c>
      <c r="I53" s="7">
        <f t="shared" si="4"/>
        <v>0</v>
      </c>
      <c r="J53" s="7">
        <f t="shared" si="4"/>
        <v>0</v>
      </c>
      <c r="K53" s="7">
        <f t="shared" si="4"/>
        <v>0</v>
      </c>
    </row>
    <row r="54" spans="1:11" x14ac:dyDescent="0.25">
      <c r="A54" s="4">
        <f t="shared" si="0"/>
        <v>2.0051000000000108</v>
      </c>
      <c r="B54" s="6"/>
      <c r="C54" s="5" t="s">
        <v>575</v>
      </c>
      <c r="D54" s="117"/>
      <c r="E54" s="7"/>
      <c r="F54" s="7" t="s">
        <v>5</v>
      </c>
      <c r="G54" s="7">
        <f t="shared" si="4"/>
        <v>1</v>
      </c>
      <c r="H54" s="7">
        <f t="shared" si="4"/>
        <v>0</v>
      </c>
      <c r="I54" s="7">
        <f t="shared" si="4"/>
        <v>0</v>
      </c>
      <c r="J54" s="7">
        <f t="shared" si="4"/>
        <v>0</v>
      </c>
      <c r="K54" s="7">
        <f t="shared" si="4"/>
        <v>0</v>
      </c>
    </row>
    <row r="55" spans="1:11" x14ac:dyDescent="0.25">
      <c r="A55" s="4">
        <f t="shared" si="0"/>
        <v>2.005200000000011</v>
      </c>
      <c r="B55" s="6"/>
      <c r="C55" s="120" t="s">
        <v>1000</v>
      </c>
      <c r="D55" s="117"/>
      <c r="E55" s="7"/>
      <c r="F55" s="7" t="s">
        <v>5</v>
      </c>
      <c r="G55" s="7">
        <f t="shared" si="4"/>
        <v>1</v>
      </c>
      <c r="H55" s="7">
        <f t="shared" si="4"/>
        <v>0</v>
      </c>
      <c r="I55" s="7">
        <f t="shared" si="4"/>
        <v>0</v>
      </c>
      <c r="J55" s="7">
        <f t="shared" si="4"/>
        <v>0</v>
      </c>
      <c r="K55" s="7">
        <f t="shared" si="4"/>
        <v>0</v>
      </c>
    </row>
    <row r="56" spans="1:11" x14ac:dyDescent="0.25">
      <c r="A56" s="4">
        <f t="shared" si="0"/>
        <v>2.0053000000000112</v>
      </c>
      <c r="B56" s="6"/>
      <c r="C56" s="120" t="s">
        <v>790</v>
      </c>
      <c r="D56" s="117"/>
      <c r="E56" s="7"/>
      <c r="F56" s="7" t="s">
        <v>5</v>
      </c>
      <c r="G56" s="7">
        <f t="shared" si="4"/>
        <v>1</v>
      </c>
      <c r="H56" s="7">
        <f t="shared" si="4"/>
        <v>0</v>
      </c>
      <c r="I56" s="7">
        <f t="shared" si="4"/>
        <v>0</v>
      </c>
      <c r="J56" s="7">
        <f t="shared" si="4"/>
        <v>0</v>
      </c>
      <c r="K56" s="7">
        <f t="shared" si="4"/>
        <v>0</v>
      </c>
    </row>
    <row r="57" spans="1:11" x14ac:dyDescent="0.25">
      <c r="A57" s="4">
        <f t="shared" si="0"/>
        <v>2.0054000000000114</v>
      </c>
      <c r="B57" s="6"/>
      <c r="C57" s="120" t="s">
        <v>804</v>
      </c>
      <c r="D57" s="117"/>
      <c r="E57" s="7"/>
      <c r="F57" s="7" t="s">
        <v>5</v>
      </c>
      <c r="G57" s="7">
        <f t="shared" si="4"/>
        <v>1</v>
      </c>
      <c r="H57" s="7">
        <f t="shared" si="4"/>
        <v>0</v>
      </c>
      <c r="I57" s="7">
        <f t="shared" si="4"/>
        <v>0</v>
      </c>
      <c r="J57" s="7">
        <f t="shared" si="4"/>
        <v>0</v>
      </c>
      <c r="K57" s="7">
        <f t="shared" si="4"/>
        <v>0</v>
      </c>
    </row>
    <row r="58" spans="1:11" x14ac:dyDescent="0.25">
      <c r="A58" s="4">
        <f t="shared" si="0"/>
        <v>2.0055000000000116</v>
      </c>
      <c r="B58" s="6"/>
      <c r="C58" s="5" t="s">
        <v>577</v>
      </c>
      <c r="D58" s="117"/>
      <c r="E58" s="7"/>
      <c r="F58" s="7" t="s">
        <v>5</v>
      </c>
      <c r="G58" s="7">
        <f t="shared" si="4"/>
        <v>1</v>
      </c>
      <c r="H58" s="7">
        <f t="shared" si="4"/>
        <v>0</v>
      </c>
      <c r="I58" s="7">
        <f t="shared" si="4"/>
        <v>0</v>
      </c>
      <c r="J58" s="7">
        <f t="shared" si="4"/>
        <v>0</v>
      </c>
      <c r="K58" s="7">
        <f t="shared" si="4"/>
        <v>0</v>
      </c>
    </row>
    <row r="59" spans="1:11" x14ac:dyDescent="0.25">
      <c r="A59" s="4">
        <f t="shared" si="0"/>
        <v>2.0056000000000118</v>
      </c>
      <c r="B59" s="6"/>
      <c r="C59" s="5" t="s">
        <v>578</v>
      </c>
      <c r="D59" s="117"/>
      <c r="E59" s="7"/>
      <c r="F59" s="7" t="s">
        <v>5</v>
      </c>
      <c r="G59" s="7">
        <f t="shared" si="4"/>
        <v>1</v>
      </c>
      <c r="H59" s="7">
        <f t="shared" si="4"/>
        <v>0</v>
      </c>
      <c r="I59" s="7">
        <f t="shared" si="4"/>
        <v>0</v>
      </c>
      <c r="J59" s="7">
        <f t="shared" si="4"/>
        <v>0</v>
      </c>
      <c r="K59" s="7">
        <f t="shared" si="4"/>
        <v>0</v>
      </c>
    </row>
    <row r="60" spans="1:11" x14ac:dyDescent="0.25">
      <c r="A60" s="4">
        <f t="shared" si="0"/>
        <v>2.005700000000012</v>
      </c>
      <c r="B60" s="6"/>
      <c r="C60" s="5" t="s">
        <v>579</v>
      </c>
      <c r="D60" s="117"/>
      <c r="E60" s="7"/>
      <c r="F60" s="7" t="s">
        <v>5</v>
      </c>
      <c r="G60" s="7">
        <f t="shared" si="4"/>
        <v>1</v>
      </c>
      <c r="H60" s="7">
        <f t="shared" si="4"/>
        <v>0</v>
      </c>
      <c r="I60" s="7">
        <f t="shared" si="4"/>
        <v>0</v>
      </c>
      <c r="J60" s="7">
        <f t="shared" si="4"/>
        <v>0</v>
      </c>
      <c r="K60" s="7">
        <f t="shared" si="4"/>
        <v>0</v>
      </c>
    </row>
    <row r="61" spans="1:11" x14ac:dyDescent="0.25">
      <c r="A61" s="4">
        <f t="shared" si="0"/>
        <v>2.0058000000000122</v>
      </c>
      <c r="B61" s="6"/>
      <c r="C61" s="5"/>
      <c r="D61" s="117"/>
      <c r="E61" s="7"/>
      <c r="F61" s="7"/>
      <c r="G61" s="7"/>
      <c r="H61" s="7"/>
      <c r="I61" s="7"/>
      <c r="J61" s="7"/>
      <c r="K61" s="7"/>
    </row>
    <row r="62" spans="1:11" x14ac:dyDescent="0.25">
      <c r="A62" s="4">
        <f t="shared" si="0"/>
        <v>2.0059000000000125</v>
      </c>
      <c r="B62" s="5"/>
      <c r="C62" s="5"/>
      <c r="D62" s="117"/>
      <c r="E62" s="7"/>
      <c r="F62" s="7"/>
      <c r="G62" s="7"/>
      <c r="H62" s="7"/>
      <c r="I62" s="7"/>
      <c r="J62" s="7"/>
      <c r="K62" s="7"/>
    </row>
    <row r="63" spans="1:11" x14ac:dyDescent="0.25">
      <c r="A63" s="4">
        <f t="shared" si="0"/>
        <v>2.0060000000000127</v>
      </c>
      <c r="B63" s="5"/>
      <c r="C63" s="5"/>
      <c r="D63" s="117"/>
      <c r="E63" s="7"/>
      <c r="F63" s="7"/>
      <c r="G63" s="7"/>
      <c r="H63" s="7"/>
      <c r="I63" s="7"/>
      <c r="J63" s="7"/>
      <c r="K63" s="7"/>
    </row>
    <row r="64" spans="1:11" x14ac:dyDescent="0.25">
      <c r="A64" s="4">
        <f t="shared" si="0"/>
        <v>2.0061000000000129</v>
      </c>
      <c r="B64" s="96" t="s">
        <v>560</v>
      </c>
      <c r="C64" s="63" t="s">
        <v>765</v>
      </c>
      <c r="D64" s="117"/>
      <c r="E64" s="7"/>
      <c r="F64" s="7" t="s">
        <v>5</v>
      </c>
      <c r="G64" s="7">
        <f t="shared" ref="G64:K68" si="5">IF($F64=G$1,1,0)</f>
        <v>1</v>
      </c>
      <c r="H64" s="7">
        <f t="shared" si="5"/>
        <v>0</v>
      </c>
      <c r="I64" s="7">
        <f t="shared" si="5"/>
        <v>0</v>
      </c>
      <c r="J64" s="7">
        <f t="shared" si="5"/>
        <v>0</v>
      </c>
      <c r="K64" s="7">
        <f t="shared" si="5"/>
        <v>0</v>
      </c>
    </row>
    <row r="65" spans="1:11" x14ac:dyDescent="0.25">
      <c r="A65" s="4">
        <f t="shared" si="0"/>
        <v>2.0062000000000131</v>
      </c>
      <c r="B65" s="6"/>
      <c r="C65" s="5" t="s">
        <v>584</v>
      </c>
      <c r="D65" s="117"/>
      <c r="E65" s="7"/>
      <c r="F65" s="7" t="s">
        <v>5</v>
      </c>
      <c r="G65" s="7">
        <f t="shared" si="5"/>
        <v>1</v>
      </c>
      <c r="H65" s="7">
        <f t="shared" si="5"/>
        <v>0</v>
      </c>
      <c r="I65" s="7">
        <f t="shared" si="5"/>
        <v>0</v>
      </c>
      <c r="J65" s="7">
        <f t="shared" si="5"/>
        <v>0</v>
      </c>
      <c r="K65" s="7">
        <f t="shared" si="5"/>
        <v>0</v>
      </c>
    </row>
    <row r="66" spans="1:11" x14ac:dyDescent="0.25">
      <c r="A66" s="4">
        <f t="shared" si="0"/>
        <v>2.0063000000000133</v>
      </c>
      <c r="B66" s="6"/>
      <c r="C66" s="5" t="s">
        <v>585</v>
      </c>
      <c r="D66" s="117"/>
      <c r="E66" s="7"/>
      <c r="F66" s="7" t="s">
        <v>5</v>
      </c>
      <c r="G66" s="7">
        <f t="shared" si="5"/>
        <v>1</v>
      </c>
      <c r="H66" s="7">
        <f t="shared" si="5"/>
        <v>0</v>
      </c>
      <c r="I66" s="7">
        <f t="shared" si="5"/>
        <v>0</v>
      </c>
      <c r="J66" s="7">
        <f t="shared" si="5"/>
        <v>0</v>
      </c>
      <c r="K66" s="7">
        <f t="shared" si="5"/>
        <v>0</v>
      </c>
    </row>
    <row r="67" spans="1:11" x14ac:dyDescent="0.25">
      <c r="A67" s="4">
        <f t="shared" si="0"/>
        <v>2.0064000000000135</v>
      </c>
      <c r="B67" s="6"/>
      <c r="C67" s="5" t="s">
        <v>562</v>
      </c>
      <c r="D67" s="117"/>
      <c r="E67" s="7"/>
      <c r="F67" s="7" t="s">
        <v>5</v>
      </c>
      <c r="G67" s="7">
        <f t="shared" si="5"/>
        <v>1</v>
      </c>
      <c r="H67" s="7">
        <f t="shared" si="5"/>
        <v>0</v>
      </c>
      <c r="I67" s="7">
        <f t="shared" si="5"/>
        <v>0</v>
      </c>
      <c r="J67" s="7">
        <f t="shared" si="5"/>
        <v>0</v>
      </c>
      <c r="K67" s="7">
        <f t="shared" si="5"/>
        <v>0</v>
      </c>
    </row>
    <row r="68" spans="1:11" x14ac:dyDescent="0.25">
      <c r="A68" s="4">
        <f t="shared" si="0"/>
        <v>2.0065000000000137</v>
      </c>
      <c r="B68" s="6"/>
      <c r="C68" s="5"/>
      <c r="D68" s="117"/>
      <c r="E68" s="7"/>
      <c r="F68" s="7"/>
      <c r="G68" s="7"/>
      <c r="H68" s="7"/>
      <c r="I68" s="7"/>
      <c r="J68" s="7"/>
      <c r="K68" s="7"/>
    </row>
    <row r="69" spans="1:11" x14ac:dyDescent="0.25">
      <c r="A69" s="4">
        <f t="shared" si="0"/>
        <v>2.0066000000000139</v>
      </c>
      <c r="B69" s="6"/>
      <c r="C69" s="5" t="s">
        <v>591</v>
      </c>
      <c r="D69" s="117"/>
      <c r="E69" s="7"/>
      <c r="F69" s="7" t="s">
        <v>5</v>
      </c>
      <c r="G69" s="7">
        <f t="shared" ref="G69:K74" si="6">IF($F69=G$1,1,0)</f>
        <v>1</v>
      </c>
      <c r="H69" s="7">
        <f t="shared" si="6"/>
        <v>0</v>
      </c>
      <c r="I69" s="7">
        <f t="shared" si="6"/>
        <v>0</v>
      </c>
      <c r="J69" s="7">
        <f t="shared" si="6"/>
        <v>0</v>
      </c>
      <c r="K69" s="7">
        <f t="shared" si="6"/>
        <v>0</v>
      </c>
    </row>
    <row r="70" spans="1:11" x14ac:dyDescent="0.25">
      <c r="A70" s="4">
        <f t="shared" ref="A70:A85" si="7">A69+0.0001</f>
        <v>2.0067000000000141</v>
      </c>
      <c r="B70" s="6"/>
      <c r="C70" s="5" t="s">
        <v>590</v>
      </c>
      <c r="D70" s="117"/>
      <c r="E70" s="7"/>
      <c r="F70" s="7" t="s">
        <v>5</v>
      </c>
      <c r="G70" s="7">
        <f t="shared" si="6"/>
        <v>1</v>
      </c>
      <c r="H70" s="7">
        <f t="shared" si="6"/>
        <v>0</v>
      </c>
      <c r="I70" s="7">
        <f t="shared" si="6"/>
        <v>0</v>
      </c>
      <c r="J70" s="7">
        <f t="shared" si="6"/>
        <v>0</v>
      </c>
      <c r="K70" s="7">
        <f t="shared" si="6"/>
        <v>0</v>
      </c>
    </row>
    <row r="71" spans="1:11" x14ac:dyDescent="0.25">
      <c r="A71" s="4">
        <f t="shared" si="7"/>
        <v>2.0068000000000144</v>
      </c>
      <c r="B71" s="6"/>
      <c r="C71" s="5" t="s">
        <v>589</v>
      </c>
      <c r="D71" s="117"/>
      <c r="E71" s="7"/>
      <c r="F71" s="7" t="s">
        <v>5</v>
      </c>
      <c r="G71" s="7">
        <f t="shared" si="6"/>
        <v>1</v>
      </c>
      <c r="H71" s="7">
        <f t="shared" si="6"/>
        <v>0</v>
      </c>
      <c r="I71" s="7">
        <f t="shared" si="6"/>
        <v>0</v>
      </c>
      <c r="J71" s="7">
        <f t="shared" si="6"/>
        <v>0</v>
      </c>
      <c r="K71" s="7">
        <f t="shared" si="6"/>
        <v>0</v>
      </c>
    </row>
    <row r="72" spans="1:11" x14ac:dyDescent="0.25">
      <c r="A72" s="4">
        <f t="shared" si="7"/>
        <v>2.0069000000000146</v>
      </c>
      <c r="B72" s="6"/>
      <c r="C72" s="5" t="s">
        <v>588</v>
      </c>
      <c r="D72" s="117"/>
      <c r="E72" s="7"/>
      <c r="F72" s="7" t="s">
        <v>5</v>
      </c>
      <c r="G72" s="7">
        <f t="shared" si="6"/>
        <v>1</v>
      </c>
      <c r="H72" s="7">
        <f t="shared" si="6"/>
        <v>0</v>
      </c>
      <c r="I72" s="7">
        <f t="shared" si="6"/>
        <v>0</v>
      </c>
      <c r="J72" s="7">
        <f t="shared" si="6"/>
        <v>0</v>
      </c>
      <c r="K72" s="7">
        <f t="shared" si="6"/>
        <v>0</v>
      </c>
    </row>
    <row r="73" spans="1:11" x14ac:dyDescent="0.25">
      <c r="A73" s="4">
        <f t="shared" si="7"/>
        <v>2.0070000000000148</v>
      </c>
      <c r="B73" s="6"/>
      <c r="C73" s="5" t="s">
        <v>587</v>
      </c>
      <c r="D73" s="117"/>
      <c r="E73" s="7"/>
      <c r="F73" s="7" t="s">
        <v>5</v>
      </c>
      <c r="G73" s="7">
        <f t="shared" si="6"/>
        <v>1</v>
      </c>
      <c r="H73" s="7">
        <f t="shared" si="6"/>
        <v>0</v>
      </c>
      <c r="I73" s="7">
        <f t="shared" si="6"/>
        <v>0</v>
      </c>
      <c r="J73" s="7">
        <f t="shared" si="6"/>
        <v>0</v>
      </c>
      <c r="K73" s="7">
        <f t="shared" si="6"/>
        <v>0</v>
      </c>
    </row>
    <row r="74" spans="1:11" ht="25.5" x14ac:dyDescent="0.25">
      <c r="A74" s="4">
        <f t="shared" si="7"/>
        <v>2.007100000000015</v>
      </c>
      <c r="B74" s="5"/>
      <c r="C74" s="5" t="s">
        <v>586</v>
      </c>
      <c r="D74" s="117"/>
      <c r="E74" s="7"/>
      <c r="F74" s="7" t="s">
        <v>5</v>
      </c>
      <c r="G74" s="7">
        <f t="shared" si="6"/>
        <v>1</v>
      </c>
      <c r="H74" s="7">
        <f t="shared" si="6"/>
        <v>0</v>
      </c>
      <c r="I74" s="7">
        <f t="shared" si="6"/>
        <v>0</v>
      </c>
      <c r="J74" s="7">
        <f t="shared" si="6"/>
        <v>0</v>
      </c>
      <c r="K74" s="7">
        <f t="shared" si="6"/>
        <v>0</v>
      </c>
    </row>
    <row r="75" spans="1:11" x14ac:dyDescent="0.25">
      <c r="A75" s="4">
        <f t="shared" si="7"/>
        <v>2.0072000000000152</v>
      </c>
      <c r="B75" s="5"/>
      <c r="C75" s="22"/>
      <c r="D75" s="117"/>
      <c r="E75" s="7"/>
      <c r="F75" s="7"/>
      <c r="G75" s="7"/>
      <c r="H75" s="7"/>
      <c r="I75" s="7"/>
      <c r="J75" s="7"/>
      <c r="K75" s="7"/>
    </row>
    <row r="76" spans="1:11" x14ac:dyDescent="0.25">
      <c r="A76" s="4">
        <f t="shared" si="7"/>
        <v>2.0073000000000154</v>
      </c>
      <c r="B76" s="16" t="s">
        <v>568</v>
      </c>
      <c r="C76" s="16"/>
      <c r="D76" s="17"/>
      <c r="E76" s="7"/>
      <c r="F76" s="7"/>
      <c r="G76" s="7"/>
      <c r="H76" s="7"/>
      <c r="I76" s="7"/>
      <c r="J76" s="7"/>
      <c r="K76" s="7"/>
    </row>
    <row r="77" spans="1:11" x14ac:dyDescent="0.25">
      <c r="A77" s="4">
        <f t="shared" si="7"/>
        <v>2.0074000000000156</v>
      </c>
      <c r="B77" s="6" t="s">
        <v>572</v>
      </c>
      <c r="C77" s="5" t="s">
        <v>569</v>
      </c>
      <c r="D77" s="117"/>
      <c r="E77" s="7"/>
      <c r="F77" s="7" t="s">
        <v>5</v>
      </c>
      <c r="G77" s="7">
        <f t="shared" ref="G77:K80" si="8">IF($F77=G$1,1,0)</f>
        <v>1</v>
      </c>
      <c r="H77" s="7">
        <f t="shared" si="8"/>
        <v>0</v>
      </c>
      <c r="I77" s="7">
        <f t="shared" si="8"/>
        <v>0</v>
      </c>
      <c r="J77" s="7">
        <f t="shared" si="8"/>
        <v>0</v>
      </c>
      <c r="K77" s="7">
        <f t="shared" si="8"/>
        <v>0</v>
      </c>
    </row>
    <row r="78" spans="1:11" x14ac:dyDescent="0.25">
      <c r="A78" s="4">
        <f t="shared" si="7"/>
        <v>2.0075000000000158</v>
      </c>
      <c r="B78" s="6"/>
      <c r="C78" s="5" t="s">
        <v>570</v>
      </c>
      <c r="D78" s="117"/>
      <c r="E78" s="7"/>
      <c r="F78" s="7" t="s">
        <v>5</v>
      </c>
      <c r="G78" s="7">
        <f t="shared" si="8"/>
        <v>1</v>
      </c>
      <c r="H78" s="7">
        <f t="shared" si="8"/>
        <v>0</v>
      </c>
      <c r="I78" s="7">
        <f t="shared" si="8"/>
        <v>0</v>
      </c>
      <c r="J78" s="7">
        <f t="shared" si="8"/>
        <v>0</v>
      </c>
      <c r="K78" s="7">
        <f t="shared" si="8"/>
        <v>0</v>
      </c>
    </row>
    <row r="79" spans="1:11" x14ac:dyDescent="0.25">
      <c r="A79" s="4">
        <f t="shared" si="7"/>
        <v>2.007600000000016</v>
      </c>
      <c r="B79" s="6"/>
      <c r="C79" s="5" t="s">
        <v>571</v>
      </c>
      <c r="D79" s="117"/>
      <c r="E79" s="7"/>
      <c r="F79" s="7" t="s">
        <v>5</v>
      </c>
      <c r="G79" s="7">
        <f t="shared" si="8"/>
        <v>1</v>
      </c>
      <c r="H79" s="7">
        <f t="shared" si="8"/>
        <v>0</v>
      </c>
      <c r="I79" s="7">
        <f t="shared" si="8"/>
        <v>0</v>
      </c>
      <c r="J79" s="7">
        <f t="shared" si="8"/>
        <v>0</v>
      </c>
      <c r="K79" s="7">
        <f t="shared" si="8"/>
        <v>0</v>
      </c>
    </row>
    <row r="80" spans="1:11" ht="25.5" x14ac:dyDescent="0.25">
      <c r="A80" s="4">
        <f t="shared" si="7"/>
        <v>2.0077000000000162</v>
      </c>
      <c r="B80" s="6"/>
      <c r="C80" s="5" t="s">
        <v>573</v>
      </c>
      <c r="D80" s="117"/>
      <c r="E80" s="7"/>
      <c r="F80" s="7" t="s">
        <v>5</v>
      </c>
      <c r="G80" s="7">
        <f t="shared" si="8"/>
        <v>1</v>
      </c>
      <c r="H80" s="7">
        <f t="shared" si="8"/>
        <v>0</v>
      </c>
      <c r="I80" s="7">
        <f t="shared" si="8"/>
        <v>0</v>
      </c>
      <c r="J80" s="7">
        <f t="shared" si="8"/>
        <v>0</v>
      </c>
      <c r="K80" s="7">
        <f t="shared" si="8"/>
        <v>0</v>
      </c>
    </row>
    <row r="81" spans="1:11" x14ac:dyDescent="0.25">
      <c r="A81" s="4">
        <f t="shared" si="7"/>
        <v>2.0078000000000165</v>
      </c>
      <c r="B81" s="6"/>
      <c r="C81" s="5"/>
      <c r="D81" s="117"/>
      <c r="E81" s="7"/>
      <c r="F81" s="7"/>
      <c r="G81" s="7"/>
      <c r="H81" s="7"/>
      <c r="I81" s="7"/>
      <c r="J81" s="7"/>
      <c r="K81" s="7"/>
    </row>
    <row r="82" spans="1:11" x14ac:dyDescent="0.25">
      <c r="A82" s="4">
        <f t="shared" si="7"/>
        <v>2.0079000000000167</v>
      </c>
      <c r="B82" s="16" t="s">
        <v>647</v>
      </c>
      <c r="C82" s="17" t="s">
        <v>648</v>
      </c>
      <c r="D82" s="17"/>
      <c r="E82" s="7"/>
      <c r="F82" s="7"/>
      <c r="G82" s="7"/>
      <c r="H82" s="7"/>
      <c r="I82" s="7"/>
      <c r="J82" s="7"/>
      <c r="K82" s="7"/>
    </row>
    <row r="83" spans="1:11" ht="51" x14ac:dyDescent="0.25">
      <c r="A83" s="4">
        <f t="shared" si="7"/>
        <v>2.0080000000000169</v>
      </c>
      <c r="B83" s="103" t="s">
        <v>652</v>
      </c>
      <c r="C83" s="104" t="s">
        <v>650</v>
      </c>
      <c r="D83" s="115" t="s">
        <v>649</v>
      </c>
      <c r="E83" s="7"/>
      <c r="F83" s="7" t="s">
        <v>8</v>
      </c>
      <c r="G83" s="7">
        <f>IF($F83=G$1,1,0)</f>
        <v>0</v>
      </c>
      <c r="H83" s="7">
        <f>IF($F83=H$1,1,0)</f>
        <v>0</v>
      </c>
      <c r="I83" s="7">
        <f>IF($F83=I$1,1,0)</f>
        <v>0</v>
      </c>
      <c r="J83" s="7">
        <f>IF($F83=J$1,1,0)</f>
        <v>0</v>
      </c>
      <c r="K83" s="7">
        <f>IF($F83=K$1,1,0)</f>
        <v>1</v>
      </c>
    </row>
    <row r="84" spans="1:11" x14ac:dyDescent="0.25">
      <c r="A84" s="4">
        <f t="shared" si="7"/>
        <v>2.0081000000000171</v>
      </c>
      <c r="B84" s="145" t="s">
        <v>824</v>
      </c>
      <c r="C84" s="5"/>
      <c r="D84" s="117"/>
      <c r="E84" s="7"/>
      <c r="F84" s="7"/>
      <c r="G84" s="7"/>
      <c r="H84" s="7"/>
      <c r="I84" s="7"/>
      <c r="J84" s="7"/>
      <c r="K84" s="7"/>
    </row>
    <row r="85" spans="1:11" ht="38.25" x14ac:dyDescent="0.25">
      <c r="A85" s="142">
        <f t="shared" si="7"/>
        <v>2.0082000000000173</v>
      </c>
      <c r="B85" s="143" t="s">
        <v>826</v>
      </c>
      <c r="C85" s="144" t="s">
        <v>827</v>
      </c>
      <c r="D85" s="27" t="s">
        <v>649</v>
      </c>
      <c r="E85" s="33"/>
      <c r="F85" s="33" t="s">
        <v>8</v>
      </c>
      <c r="G85" s="33">
        <f t="shared" ref="G85:K85" si="9">IF($F85=G$1,1,0)</f>
        <v>0</v>
      </c>
      <c r="H85" s="33">
        <f t="shared" si="9"/>
        <v>0</v>
      </c>
      <c r="I85" s="33">
        <f t="shared" si="9"/>
        <v>0</v>
      </c>
      <c r="J85" s="33">
        <f t="shared" si="9"/>
        <v>0</v>
      </c>
      <c r="K85" s="33">
        <f t="shared" si="9"/>
        <v>1</v>
      </c>
    </row>
    <row r="86" spans="1:11" s="7" customFormat="1" x14ac:dyDescent="0.25">
      <c r="A86" s="4"/>
      <c r="B86" s="141"/>
      <c r="C86" s="104"/>
      <c r="D86" s="6"/>
    </row>
    <row r="87" spans="1:11" s="33" customFormat="1" ht="16.5" x14ac:dyDescent="0.35">
      <c r="A87" s="142"/>
      <c r="B87" s="146" t="s">
        <v>829</v>
      </c>
      <c r="C87" s="144"/>
      <c r="D87" s="27"/>
    </row>
    <row r="88" spans="1:11" s="7" customFormat="1" ht="25.5" x14ac:dyDescent="0.25">
      <c r="A88" s="4"/>
      <c r="B88" s="141" t="s">
        <v>828</v>
      </c>
      <c r="C88" s="104" t="s">
        <v>830</v>
      </c>
      <c r="D88" s="6" t="s">
        <v>649</v>
      </c>
      <c r="F88" s="7" t="s">
        <v>8</v>
      </c>
      <c r="G88" s="7">
        <f t="shared" ref="G88:K88" si="10">IF($F88=G$1,1,0)</f>
        <v>0</v>
      </c>
      <c r="H88" s="7">
        <f t="shared" si="10"/>
        <v>0</v>
      </c>
      <c r="I88" s="7">
        <f t="shared" si="10"/>
        <v>0</v>
      </c>
      <c r="J88" s="7">
        <f t="shared" si="10"/>
        <v>0</v>
      </c>
      <c r="K88" s="7">
        <f t="shared" si="10"/>
        <v>1</v>
      </c>
    </row>
    <row r="89" spans="1:11" ht="15.75" thickBot="1" x14ac:dyDescent="0.3">
      <c r="G89" s="95">
        <f>SUM(G3:G85)</f>
        <v>53</v>
      </c>
      <c r="H89" s="95">
        <f>SUM(H3:H85)</f>
        <v>0</v>
      </c>
      <c r="I89" s="95">
        <f>SUM(I3:I85)</f>
        <v>0</v>
      </c>
      <c r="J89" s="95">
        <f>SUM(J3:J85)</f>
        <v>0</v>
      </c>
      <c r="K89" s="95">
        <f>SUM(K83:K88)</f>
        <v>3</v>
      </c>
    </row>
    <row r="90" spans="1:11" ht="15.75" thickTop="1" x14ac:dyDescent="0.25"/>
  </sheetData>
  <mergeCells count="1">
    <mergeCell ref="B2:C2"/>
  </mergeCells>
  <conditionalFormatting sqref="L10:L28 G4:K26 F10:F12 E36:E42 L35:L42 C84 A4:A88 F49:K50 F14 F16 F18 F20 G36:K48 F61:K63 G51:K60 F75:K76 G64:K74 F82:K84 G77:K81">
    <cfRule type="expression" dxfId="1214" priority="222">
      <formula>$F4="Fail"</formula>
    </cfRule>
  </conditionalFormatting>
  <conditionalFormatting sqref="A3:K3 D8:E9 D4:E5">
    <cfRule type="expression" dxfId="1213" priority="221">
      <formula>$F3="Fail"</formula>
    </cfRule>
  </conditionalFormatting>
  <conditionalFormatting sqref="E35 G35:K35">
    <cfRule type="expression" dxfId="1212" priority="219">
      <formula>$F35="Fail"</formula>
    </cfRule>
  </conditionalFormatting>
  <conditionalFormatting sqref="E27:K27 D10:E11 E28 E12:E26">
    <cfRule type="expression" dxfId="1211" priority="218">
      <formula>$F10="Fail"</formula>
    </cfRule>
  </conditionalFormatting>
  <conditionalFormatting sqref="E29:F29 E30:E34">
    <cfRule type="expression" dxfId="1210" priority="217">
      <formula>$F29="Fail"</formula>
    </cfRule>
  </conditionalFormatting>
  <conditionalFormatting sqref="D7:E7">
    <cfRule type="expression" dxfId="1209" priority="216">
      <formula>$F7="Fail"</formula>
    </cfRule>
  </conditionalFormatting>
  <conditionalFormatting sqref="D6:E6">
    <cfRule type="expression" dxfId="1208" priority="215">
      <formula>$F6="Fail"</formula>
    </cfRule>
  </conditionalFormatting>
  <conditionalFormatting sqref="F4">
    <cfRule type="expression" dxfId="1207" priority="213">
      <formula>$F4="Fail"</formula>
    </cfRule>
  </conditionalFormatting>
  <conditionalFormatting sqref="L8:L9 L3:L5">
    <cfRule type="expression" dxfId="1206" priority="210">
      <formula>$F3="Fail"</formula>
    </cfRule>
  </conditionalFormatting>
  <conditionalFormatting sqref="L29:L34">
    <cfRule type="expression" dxfId="1205" priority="206">
      <formula>$F29="Fail"</formula>
    </cfRule>
  </conditionalFormatting>
  <conditionalFormatting sqref="L7">
    <cfRule type="expression" dxfId="1204" priority="205">
      <formula>$F7="Fail"</formula>
    </cfRule>
  </conditionalFormatting>
  <conditionalFormatting sqref="L6">
    <cfRule type="expression" dxfId="1203" priority="204">
      <formula>$F6="Fail"</formula>
    </cfRule>
  </conditionalFormatting>
  <conditionalFormatting sqref="B8:C8 B75:C75">
    <cfRule type="expression" dxfId="1202" priority="203">
      <formula>$F8="Fail"</formula>
    </cfRule>
  </conditionalFormatting>
  <conditionalFormatting sqref="B8:C8">
    <cfRule type="expression" dxfId="1201" priority="201">
      <formula>$F8="Fail"</formula>
    </cfRule>
  </conditionalFormatting>
  <conditionalFormatting sqref="B9:C10">
    <cfRule type="expression" dxfId="1200" priority="189">
      <formula>$F9="Fail"</formula>
    </cfRule>
  </conditionalFormatting>
  <conditionalFormatting sqref="B11:C11">
    <cfRule type="expression" dxfId="1199" priority="188">
      <formula>$F11="Fail"</formula>
    </cfRule>
  </conditionalFormatting>
  <conditionalFormatting sqref="B11:C11">
    <cfRule type="expression" dxfId="1198" priority="187">
      <formula>$F11="Fail"</formula>
    </cfRule>
  </conditionalFormatting>
  <conditionalFormatting sqref="G28:K34">
    <cfRule type="expression" dxfId="1197" priority="185">
      <formula>$F28="Fail"</formula>
    </cfRule>
  </conditionalFormatting>
  <conditionalFormatting sqref="G89:K89">
    <cfRule type="expression" dxfId="1196" priority="183">
      <formula>$F89="Fail"</formula>
    </cfRule>
  </conditionalFormatting>
  <conditionalFormatting sqref="C49">
    <cfRule type="expression" dxfId="1195" priority="146">
      <formula>$F49="Fail"</formula>
    </cfRule>
  </conditionalFormatting>
  <conditionalFormatting sqref="C49">
    <cfRule type="expression" dxfId="1194" priority="143">
      <formula>$F49="Fail"</formula>
    </cfRule>
  </conditionalFormatting>
  <conditionalFormatting sqref="C49">
    <cfRule type="expression" dxfId="1193" priority="147">
      <formula>$F49="Fail"</formula>
    </cfRule>
  </conditionalFormatting>
  <conditionalFormatting sqref="B49:C49">
    <cfRule type="expression" dxfId="1192" priority="148">
      <formula>$F49="Fail"</formula>
    </cfRule>
  </conditionalFormatting>
  <conditionalFormatting sqref="B65:C74 B64">
    <cfRule type="expression" dxfId="1191" priority="140">
      <formula>$F64="Fail"</formula>
    </cfRule>
  </conditionalFormatting>
  <conditionalFormatting sqref="B51:C63">
    <cfRule type="expression" dxfId="1190" priority="142">
      <formula>$F51="Fail"</formula>
    </cfRule>
  </conditionalFormatting>
  <conditionalFormatting sqref="B62:C63">
    <cfRule type="expression" dxfId="1189" priority="141">
      <formula>$F62="Fail"</formula>
    </cfRule>
  </conditionalFormatting>
  <conditionalFormatting sqref="B74:C74">
    <cfRule type="expression" dxfId="1188" priority="139">
      <formula>$F74="Fail"</formula>
    </cfRule>
  </conditionalFormatting>
  <conditionalFormatting sqref="C65:C73">
    <cfRule type="expression" dxfId="1187" priority="138">
      <formula>$F65="Fail"</formula>
    </cfRule>
  </conditionalFormatting>
  <conditionalFormatting sqref="C60">
    <cfRule type="expression" dxfId="1186" priority="137">
      <formula>$F60="Fail"</formula>
    </cfRule>
  </conditionalFormatting>
  <conditionalFormatting sqref="B50">
    <cfRule type="expression" dxfId="1185" priority="136">
      <formula>$F50="Fail"</formula>
    </cfRule>
  </conditionalFormatting>
  <conditionalFormatting sqref="C50">
    <cfRule type="expression" dxfId="1184" priority="135">
      <formula>$F50="Fail"</formula>
    </cfRule>
  </conditionalFormatting>
  <conditionalFormatting sqref="C81">
    <cfRule type="expression" dxfId="1183" priority="132">
      <formula>$F81="Fail"</formula>
    </cfRule>
  </conditionalFormatting>
  <conditionalFormatting sqref="C81">
    <cfRule type="expression" dxfId="1182" priority="133">
      <formula>$F81="Fail"</formula>
    </cfRule>
  </conditionalFormatting>
  <conditionalFormatting sqref="B81:C81">
    <cfRule type="expression" dxfId="1181" priority="134">
      <formula>$F81="Fail"</formula>
    </cfRule>
  </conditionalFormatting>
  <conditionalFormatting sqref="C81">
    <cfRule type="expression" dxfId="1180" priority="122">
      <formula>$F81="Fail"</formula>
    </cfRule>
  </conditionalFormatting>
  <conditionalFormatting sqref="B82:D82 B83:C83">
    <cfRule type="expression" dxfId="1179" priority="121">
      <formula>$F82="Fail"</formula>
    </cfRule>
  </conditionalFormatting>
  <conditionalFormatting sqref="D83">
    <cfRule type="expression" dxfId="1178" priority="120">
      <formula>$F83="Fail"</formula>
    </cfRule>
  </conditionalFormatting>
  <conditionalFormatting sqref="D50">
    <cfRule type="expression" dxfId="1177" priority="118">
      <formula>$F50="Fail"</formula>
    </cfRule>
  </conditionalFormatting>
  <conditionalFormatting sqref="C40:C41">
    <cfRule type="expression" dxfId="1176" priority="92">
      <formula>$F40="Fail"</formula>
    </cfRule>
  </conditionalFormatting>
  <conditionalFormatting sqref="B25:C25">
    <cfRule type="expression" dxfId="1175" priority="72">
      <formula>$F25="Fail"</formula>
    </cfRule>
  </conditionalFormatting>
  <conditionalFormatting sqref="D28:D34">
    <cfRule type="expression" dxfId="1174" priority="101">
      <formula>$F28="Fail"</formula>
    </cfRule>
  </conditionalFormatting>
  <conditionalFormatting sqref="D35:D41">
    <cfRule type="expression" dxfId="1173" priority="100">
      <formula>$F35="Fail"</formula>
    </cfRule>
  </conditionalFormatting>
  <conditionalFormatting sqref="B40:B41">
    <cfRule type="expression" dxfId="1172" priority="99">
      <formula>$F40="Fail"</formula>
    </cfRule>
  </conditionalFormatting>
  <conditionalFormatting sqref="D27">
    <cfRule type="expression" dxfId="1171" priority="93">
      <formula>$F27="Fail"</formula>
    </cfRule>
  </conditionalFormatting>
  <conditionalFormatting sqref="D13">
    <cfRule type="expression" dxfId="1170" priority="78">
      <formula>$F13="Fail"</formula>
    </cfRule>
  </conditionalFormatting>
  <conditionalFormatting sqref="B12:C12 B14:C22 B23">
    <cfRule type="expression" dxfId="1169" priority="76">
      <formula>$F12="Fail"</formula>
    </cfRule>
  </conditionalFormatting>
  <conditionalFormatting sqref="C23">
    <cfRule type="expression" dxfId="1168" priority="73">
      <formula>$F23="Fail"</formula>
    </cfRule>
  </conditionalFormatting>
  <conditionalFormatting sqref="C24">
    <cfRule type="expression" dxfId="1167" priority="69">
      <formula>$F24="Fail"</formula>
    </cfRule>
  </conditionalFormatting>
  <conditionalFormatting sqref="D21:D26 B26:C26">
    <cfRule type="expression" dxfId="1166" priority="80">
      <formula>$F21="Fail"</formula>
    </cfRule>
  </conditionalFormatting>
  <conditionalFormatting sqref="D20">
    <cfRule type="expression" dxfId="1165" priority="79">
      <formula>$F20="Fail"</formula>
    </cfRule>
  </conditionalFormatting>
  <conditionalFormatting sqref="D14:D19">
    <cfRule type="expression" dxfId="1164" priority="77">
      <formula>$F14="Fail"</formula>
    </cfRule>
  </conditionalFormatting>
  <conditionalFormatting sqref="B13">
    <cfRule type="expression" dxfId="1163" priority="75">
      <formula>$F13="Fail"</formula>
    </cfRule>
  </conditionalFormatting>
  <conditionalFormatting sqref="C13">
    <cfRule type="expression" dxfId="1162" priority="74">
      <formula>$F13="Fail"</formula>
    </cfRule>
  </conditionalFormatting>
  <conditionalFormatting sqref="D12">
    <cfRule type="expression" dxfId="1161" priority="71">
      <formula>$F12="Fail"</formula>
    </cfRule>
  </conditionalFormatting>
  <conditionalFormatting sqref="B24">
    <cfRule type="expression" dxfId="1160" priority="70">
      <formula>$F24="Fail"</formula>
    </cfRule>
  </conditionalFormatting>
  <conditionalFormatting sqref="B25">
    <cfRule type="expression" dxfId="1159" priority="68">
      <formula>$F25="Fail"</formula>
    </cfRule>
  </conditionalFormatting>
  <conditionalFormatting sqref="C25">
    <cfRule type="expression" dxfId="1158" priority="67">
      <formula>$F25="Fail"</formula>
    </cfRule>
  </conditionalFormatting>
  <conditionalFormatting sqref="F40:F41">
    <cfRule type="expression" dxfId="1157" priority="66">
      <formula>$F40="Fail"</formula>
    </cfRule>
  </conditionalFormatting>
  <conditionalFormatting sqref="C4 B5:C7">
    <cfRule type="expression" dxfId="1156" priority="64">
      <formula>$F4="Fail"</formula>
    </cfRule>
  </conditionalFormatting>
  <conditionalFormatting sqref="B4">
    <cfRule type="expression" dxfId="1155" priority="63">
      <formula>$F4="Fail"</formula>
    </cfRule>
  </conditionalFormatting>
  <conditionalFormatting sqref="C39">
    <cfRule type="expression" dxfId="1154" priority="56">
      <formula>$F39="Fail"</formula>
    </cfRule>
  </conditionalFormatting>
  <conditionalFormatting sqref="B35:C35">
    <cfRule type="expression" dxfId="1153" priority="57">
      <formula>$F35="Fail"</formula>
    </cfRule>
  </conditionalFormatting>
  <conditionalFormatting sqref="C27">
    <cfRule type="expression" dxfId="1152" priority="62">
      <formula>$F27="Fail"</formula>
    </cfRule>
  </conditionalFormatting>
  <conditionalFormatting sqref="B27">
    <cfRule type="expression" dxfId="1151" priority="61">
      <formula>$F27="Fail"</formula>
    </cfRule>
  </conditionalFormatting>
  <conditionalFormatting sqref="B29:C29 B32:C34 B36:C38 B39">
    <cfRule type="expression" dxfId="1150" priority="60">
      <formula>$F29="Fail"</formula>
    </cfRule>
  </conditionalFormatting>
  <conditionalFormatting sqref="B28:C28">
    <cfRule type="expression" dxfId="1149" priority="59">
      <formula>$F28="Fail"</formula>
    </cfRule>
  </conditionalFormatting>
  <conditionalFormatting sqref="B30:C31">
    <cfRule type="expression" dxfId="1148" priority="58">
      <formula>$F30="Fail"</formula>
    </cfRule>
  </conditionalFormatting>
  <conditionalFormatting sqref="C77:C80">
    <cfRule type="expression" dxfId="1147" priority="53">
      <formula>$F77="Fail"</formula>
    </cfRule>
  </conditionalFormatting>
  <conditionalFormatting sqref="B76">
    <cfRule type="expression" dxfId="1146" priority="52">
      <formula>$F76="Fail"</formula>
    </cfRule>
  </conditionalFormatting>
  <conditionalFormatting sqref="C76">
    <cfRule type="expression" dxfId="1145" priority="51">
      <formula>$F76="Fail"</formula>
    </cfRule>
  </conditionalFormatting>
  <conditionalFormatting sqref="C80">
    <cfRule type="expression" dxfId="1144" priority="50">
      <formula>$F80="Fail"</formula>
    </cfRule>
  </conditionalFormatting>
  <conditionalFormatting sqref="C77:C80">
    <cfRule type="expression" dxfId="1143" priority="54">
      <formula>$F77="Fail"</formula>
    </cfRule>
  </conditionalFormatting>
  <conditionalFormatting sqref="B77:C80">
    <cfRule type="expression" dxfId="1142" priority="55">
      <formula>$F77="Fail"</formula>
    </cfRule>
  </conditionalFormatting>
  <conditionalFormatting sqref="D76">
    <cfRule type="expression" dxfId="1141" priority="49">
      <formula>$F76="Fail"</formula>
    </cfRule>
  </conditionalFormatting>
  <conditionalFormatting sqref="C64">
    <cfRule type="expression" dxfId="1140" priority="47">
      <formula>$F64="Fail"</formula>
    </cfRule>
  </conditionalFormatting>
  <conditionalFormatting sqref="C64">
    <cfRule type="expression" dxfId="1139" priority="46">
      <formula>$F64="Fail"</formula>
    </cfRule>
  </conditionalFormatting>
  <conditionalFormatting sqref="C64">
    <cfRule type="expression" dxfId="1138" priority="45">
      <formula>$F64="Fail"</formula>
    </cfRule>
  </conditionalFormatting>
  <conditionalFormatting sqref="F68">
    <cfRule type="expression" dxfId="1137" priority="32">
      <formula>$F68="Fail"</formula>
    </cfRule>
  </conditionalFormatting>
  <conditionalFormatting sqref="B84">
    <cfRule type="expression" dxfId="1136" priority="27">
      <formula>$F84="Fail"</formula>
    </cfRule>
  </conditionalFormatting>
  <conditionalFormatting sqref="C85:C87">
    <cfRule type="expression" dxfId="1135" priority="223">
      <formula>$F84="Fail"</formula>
    </cfRule>
  </conditionalFormatting>
  <conditionalFormatting sqref="F85:K88">
    <cfRule type="expression" dxfId="1134" priority="30">
      <formula>$F85="Fail"</formula>
    </cfRule>
  </conditionalFormatting>
  <conditionalFormatting sqref="D85:D88">
    <cfRule type="expression" dxfId="1133" priority="28">
      <formula>$F85="Fail"</formula>
    </cfRule>
  </conditionalFormatting>
  <conditionalFormatting sqref="C88">
    <cfRule type="expression" dxfId="1132" priority="26">
      <formula>$F87="Fail"</formula>
    </cfRule>
  </conditionalFormatting>
  <conditionalFormatting sqref="F8">
    <cfRule type="expression" dxfId="1131" priority="25">
      <formula>$F8="Fail"</formula>
    </cfRule>
  </conditionalFormatting>
  <conditionalFormatting sqref="F31">
    <cfRule type="expression" dxfId="1130" priority="18">
      <formula>$F31="Fail"</formula>
    </cfRule>
  </conditionalFormatting>
  <conditionalFormatting sqref="F42">
    <cfRule type="expression" dxfId="1129" priority="17">
      <formula>$F42="Fail"</formula>
    </cfRule>
  </conditionalFormatting>
  <conditionalFormatting sqref="F5:F7">
    <cfRule type="expression" dxfId="1128" priority="15">
      <formula>$F5="Fail"</formula>
    </cfRule>
  </conditionalFormatting>
  <conditionalFormatting sqref="F9">
    <cfRule type="expression" dxfId="1127" priority="14">
      <formula>$F9="Fail"</formula>
    </cfRule>
  </conditionalFormatting>
  <conditionalFormatting sqref="F13">
    <cfRule type="expression" dxfId="1126" priority="13">
      <formula>$F13="Fail"</formula>
    </cfRule>
  </conditionalFormatting>
  <conditionalFormatting sqref="F15">
    <cfRule type="expression" dxfId="1125" priority="12">
      <formula>$F15="Fail"</formula>
    </cfRule>
  </conditionalFormatting>
  <conditionalFormatting sqref="F17">
    <cfRule type="expression" dxfId="1124" priority="11">
      <formula>$F17="Fail"</formula>
    </cfRule>
  </conditionalFormatting>
  <conditionalFormatting sqref="F19">
    <cfRule type="expression" dxfId="1123" priority="10">
      <formula>$F19="Fail"</formula>
    </cfRule>
  </conditionalFormatting>
  <conditionalFormatting sqref="F21:F26">
    <cfRule type="expression" dxfId="1122" priority="9">
      <formula>$F21="Fail"</formula>
    </cfRule>
  </conditionalFormatting>
  <conditionalFormatting sqref="F28">
    <cfRule type="expression" dxfId="1121" priority="8">
      <formula>$F28="Fail"</formula>
    </cfRule>
  </conditionalFormatting>
  <conditionalFormatting sqref="F30">
    <cfRule type="expression" dxfId="1120" priority="7">
      <formula>$F30="Fail"</formula>
    </cfRule>
  </conditionalFormatting>
  <conditionalFormatting sqref="F32:F39">
    <cfRule type="expression" dxfId="1119" priority="6">
      <formula>$F32="Fail"</formula>
    </cfRule>
  </conditionalFormatting>
  <conditionalFormatting sqref="F43:F48">
    <cfRule type="expression" dxfId="1118" priority="5">
      <formula>$F43="Fail"</formula>
    </cfRule>
  </conditionalFormatting>
  <conditionalFormatting sqref="F51:F60">
    <cfRule type="expression" dxfId="1117" priority="4">
      <formula>$F51="Fail"</formula>
    </cfRule>
  </conditionalFormatting>
  <conditionalFormatting sqref="F64:F67">
    <cfRule type="expression" dxfId="1116" priority="3">
      <formula>$F64="Fail"</formula>
    </cfRule>
  </conditionalFormatting>
  <conditionalFormatting sqref="F69:F74">
    <cfRule type="expression" dxfId="1115" priority="2">
      <formula>$F69="Fail"</formula>
    </cfRule>
  </conditionalFormatting>
  <conditionalFormatting sqref="F77:F81">
    <cfRule type="expression" dxfId="1114" priority="1">
      <formula>$F77="Fail"</formula>
    </cfRule>
  </conditionalFormatting>
  <dataValidations count="1">
    <dataValidation type="list" allowBlank="1" showInputMessage="1" showErrorMessage="1" sqref="F3:F88">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8" id="{186D4F55-95AC-498B-AD74-9B34310E18B9}">
            <xm:f>'C:\Users\E939818\Documents\_Project Documents\SVN TEST  team\_Sutuwa\Testing\Release 1\Stats\[SEB_InvestAdmin_Investment.xlsm]External'!#REF!="Fail"</xm:f>
            <x14:dxf>
              <font>
                <color rgb="FFFF0000"/>
              </font>
              <fill>
                <patternFill>
                  <bgColor theme="9" tint="0.59996337778862885"/>
                </patternFill>
              </fill>
            </x14:dxf>
          </x14:cfRule>
          <xm:sqref>B42:D48</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173"/>
  <sheetViews>
    <sheetView topLeftCell="B1" zoomScaleNormal="100" workbookViewId="0">
      <pane ySplit="1" topLeftCell="A151" activePane="bottomLeft" state="frozen"/>
      <selection pane="bottomLeft" activeCell="F152" sqref="F152"/>
    </sheetView>
  </sheetViews>
  <sheetFormatPr defaultRowHeight="15" x14ac:dyDescent="0.25"/>
  <cols>
    <col min="1" max="1" width="11.28515625" style="3" bestFit="1" customWidth="1"/>
    <col min="2" max="2" width="56.7109375" style="1" customWidth="1"/>
    <col min="3" max="3" width="58.7109375" style="1" bestFit="1" customWidth="1"/>
    <col min="4" max="4" width="21.425781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780</v>
      </c>
      <c r="C2" s="183"/>
      <c r="D2" s="102" t="s">
        <v>645</v>
      </c>
      <c r="E2" s="99"/>
      <c r="F2" s="98"/>
      <c r="G2" s="99"/>
      <c r="H2" s="99"/>
      <c r="I2" s="99"/>
      <c r="J2" s="99"/>
      <c r="K2" s="99"/>
      <c r="L2" s="99"/>
    </row>
    <row r="3" spans="1:12" s="19" customFormat="1" x14ac:dyDescent="0.25">
      <c r="A3" s="15">
        <v>2</v>
      </c>
      <c r="B3" s="16" t="s">
        <v>651</v>
      </c>
      <c r="C3" s="17"/>
      <c r="D3" s="16"/>
      <c r="E3" s="16"/>
      <c r="F3" s="18"/>
      <c r="G3" s="18"/>
      <c r="H3" s="18"/>
      <c r="I3" s="18"/>
      <c r="J3" s="18"/>
      <c r="K3" s="18"/>
      <c r="L3" s="16"/>
    </row>
    <row r="4" spans="1:12" ht="25.5" x14ac:dyDescent="0.25">
      <c r="A4" s="4">
        <f t="shared" ref="A4:A94" si="0">A3+0.0001</f>
        <v>2.0001000000000002</v>
      </c>
      <c r="B4" s="5" t="s">
        <v>592</v>
      </c>
      <c r="C4" s="8"/>
      <c r="D4" s="6"/>
      <c r="E4" s="5"/>
      <c r="F4" s="7" t="s">
        <v>5</v>
      </c>
      <c r="G4" s="7">
        <f t="shared" ref="G4:K9" si="1">IF($F4=G$1,1,0)</f>
        <v>1</v>
      </c>
      <c r="H4" s="7">
        <f t="shared" si="1"/>
        <v>0</v>
      </c>
      <c r="I4" s="7">
        <f t="shared" si="1"/>
        <v>0</v>
      </c>
      <c r="J4" s="7">
        <f t="shared" si="1"/>
        <v>0</v>
      </c>
      <c r="K4" s="7">
        <f t="shared" si="1"/>
        <v>0</v>
      </c>
      <c r="L4" s="6"/>
    </row>
    <row r="5" spans="1:12" ht="25.5" x14ac:dyDescent="0.25">
      <c r="A5" s="4">
        <f t="shared" si="0"/>
        <v>2.0002000000000004</v>
      </c>
      <c r="B5" s="63" t="s">
        <v>593</v>
      </c>
      <c r="C5" s="8" t="s">
        <v>594</v>
      </c>
      <c r="D5" s="6"/>
      <c r="E5" s="5"/>
      <c r="F5" s="7" t="s">
        <v>5</v>
      </c>
      <c r="G5" s="7">
        <f t="shared" si="1"/>
        <v>1</v>
      </c>
      <c r="H5" s="7">
        <f t="shared" si="1"/>
        <v>0</v>
      </c>
      <c r="I5" s="7">
        <f t="shared" si="1"/>
        <v>0</v>
      </c>
      <c r="J5" s="7">
        <f t="shared" si="1"/>
        <v>0</v>
      </c>
      <c r="K5" s="7">
        <f t="shared" si="1"/>
        <v>0</v>
      </c>
      <c r="L5" s="6"/>
    </row>
    <row r="6" spans="1:12" ht="25.5" x14ac:dyDescent="0.25">
      <c r="A6" s="4">
        <f t="shared" si="0"/>
        <v>2.0003000000000006</v>
      </c>
      <c r="B6" s="63" t="s">
        <v>595</v>
      </c>
      <c r="C6" s="8" t="s">
        <v>596</v>
      </c>
      <c r="D6" s="6"/>
      <c r="E6" s="5"/>
      <c r="F6" s="7" t="s">
        <v>5</v>
      </c>
      <c r="G6" s="7">
        <f t="shared" si="1"/>
        <v>1</v>
      </c>
      <c r="H6" s="7">
        <f t="shared" si="1"/>
        <v>0</v>
      </c>
      <c r="I6" s="7">
        <f t="shared" si="1"/>
        <v>0</v>
      </c>
      <c r="J6" s="7">
        <f t="shared" si="1"/>
        <v>0</v>
      </c>
      <c r="K6" s="7">
        <f t="shared" si="1"/>
        <v>0</v>
      </c>
      <c r="L6" s="6"/>
    </row>
    <row r="7" spans="1:12" x14ac:dyDescent="0.25">
      <c r="A7" s="4">
        <f t="shared" si="0"/>
        <v>2.0004000000000008</v>
      </c>
      <c r="B7" s="5"/>
      <c r="C7" s="8" t="s">
        <v>597</v>
      </c>
      <c r="D7" s="6"/>
      <c r="E7" s="5"/>
      <c r="F7" s="7" t="s">
        <v>5</v>
      </c>
      <c r="G7" s="7">
        <f t="shared" si="1"/>
        <v>1</v>
      </c>
      <c r="H7" s="7">
        <f t="shared" si="1"/>
        <v>0</v>
      </c>
      <c r="I7" s="7">
        <f t="shared" si="1"/>
        <v>0</v>
      </c>
      <c r="J7" s="7">
        <f t="shared" si="1"/>
        <v>0</v>
      </c>
      <c r="K7" s="7">
        <f t="shared" si="1"/>
        <v>0</v>
      </c>
      <c r="L7" s="6"/>
    </row>
    <row r="8" spans="1:12" x14ac:dyDescent="0.25">
      <c r="A8" s="4">
        <f t="shared" si="0"/>
        <v>2.0005000000000011</v>
      </c>
      <c r="B8" s="53"/>
      <c r="C8" s="23"/>
      <c r="D8" s="20"/>
      <c r="E8" s="5"/>
      <c r="F8" s="7"/>
      <c r="G8" s="7"/>
      <c r="H8" s="7"/>
      <c r="I8" s="7"/>
      <c r="J8" s="7"/>
      <c r="K8" s="7"/>
      <c r="L8" s="6"/>
    </row>
    <row r="9" spans="1:12" x14ac:dyDescent="0.25">
      <c r="A9" s="4">
        <f t="shared" si="0"/>
        <v>2.0006000000000013</v>
      </c>
      <c r="B9" s="63"/>
      <c r="C9" s="94" t="s">
        <v>950</v>
      </c>
      <c r="D9" s="6"/>
      <c r="E9" s="6"/>
      <c r="F9" s="7" t="s">
        <v>5</v>
      </c>
      <c r="G9" s="7">
        <f t="shared" si="1"/>
        <v>1</v>
      </c>
      <c r="H9" s="7">
        <f t="shared" si="1"/>
        <v>0</v>
      </c>
      <c r="I9" s="7">
        <f t="shared" si="1"/>
        <v>0</v>
      </c>
      <c r="J9" s="7">
        <f t="shared" si="1"/>
        <v>0</v>
      </c>
      <c r="K9" s="7">
        <f t="shared" si="1"/>
        <v>0</v>
      </c>
      <c r="L9" s="6"/>
    </row>
    <row r="10" spans="1:12" x14ac:dyDescent="0.25">
      <c r="A10" s="4">
        <f t="shared" si="0"/>
        <v>2.0007000000000015</v>
      </c>
      <c r="B10" s="105" t="s">
        <v>495</v>
      </c>
      <c r="C10" s="17"/>
      <c r="D10" s="17"/>
      <c r="E10" s="16"/>
      <c r="F10" s="18"/>
      <c r="G10" s="18"/>
      <c r="H10" s="18"/>
      <c r="I10" s="18"/>
      <c r="J10" s="18"/>
      <c r="K10" s="18"/>
      <c r="L10" s="16"/>
    </row>
    <row r="11" spans="1:12" ht="25.5" x14ac:dyDescent="0.25">
      <c r="A11" s="4">
        <f t="shared" si="0"/>
        <v>2.0008000000000017</v>
      </c>
      <c r="B11" s="63" t="s">
        <v>656</v>
      </c>
      <c r="C11" s="107" t="s">
        <v>659</v>
      </c>
      <c r="D11" s="115"/>
      <c r="E11" s="7"/>
      <c r="F11" s="7" t="s">
        <v>5</v>
      </c>
      <c r="G11" s="7">
        <f t="shared" ref="G11:K94" si="2">IF($F11=G$1,1,0)</f>
        <v>1</v>
      </c>
      <c r="H11" s="7">
        <f t="shared" si="2"/>
        <v>0</v>
      </c>
      <c r="I11" s="7">
        <f t="shared" si="2"/>
        <v>0</v>
      </c>
      <c r="J11" s="7">
        <f t="shared" si="2"/>
        <v>0</v>
      </c>
      <c r="K11" s="7">
        <f t="shared" si="2"/>
        <v>0</v>
      </c>
      <c r="L11" s="7"/>
    </row>
    <row r="12" spans="1:12" x14ac:dyDescent="0.25">
      <c r="A12" s="4">
        <f t="shared" si="0"/>
        <v>2.0009000000000019</v>
      </c>
      <c r="B12" s="5" t="s">
        <v>660</v>
      </c>
      <c r="C12" s="22" t="s">
        <v>661</v>
      </c>
      <c r="D12" s="115"/>
      <c r="E12" s="7"/>
      <c r="F12" s="7" t="s">
        <v>5</v>
      </c>
      <c r="G12" s="7">
        <f t="shared" si="2"/>
        <v>1</v>
      </c>
      <c r="H12" s="7">
        <f t="shared" si="2"/>
        <v>0</v>
      </c>
      <c r="I12" s="7">
        <f t="shared" si="2"/>
        <v>0</v>
      </c>
      <c r="J12" s="7">
        <f t="shared" si="2"/>
        <v>0</v>
      </c>
      <c r="K12" s="7">
        <f t="shared" si="2"/>
        <v>0</v>
      </c>
      <c r="L12" s="7"/>
    </row>
    <row r="13" spans="1:12" x14ac:dyDescent="0.25">
      <c r="A13" s="4">
        <f t="shared" si="0"/>
        <v>2.0010000000000021</v>
      </c>
      <c r="B13" s="48" t="s">
        <v>662</v>
      </c>
      <c r="C13" s="23" t="s">
        <v>663</v>
      </c>
      <c r="D13" s="115"/>
      <c r="E13" s="7"/>
      <c r="F13" s="7" t="s">
        <v>5</v>
      </c>
      <c r="G13" s="7">
        <f t="shared" si="2"/>
        <v>1</v>
      </c>
      <c r="H13" s="7">
        <f t="shared" si="2"/>
        <v>0</v>
      </c>
      <c r="I13" s="7">
        <f t="shared" si="2"/>
        <v>0</v>
      </c>
      <c r="J13" s="7">
        <f t="shared" si="2"/>
        <v>0</v>
      </c>
      <c r="K13" s="7">
        <f t="shared" si="2"/>
        <v>0</v>
      </c>
      <c r="L13" s="7"/>
    </row>
    <row r="14" spans="1:12" ht="25.5" x14ac:dyDescent="0.25">
      <c r="A14" s="4">
        <f t="shared" si="0"/>
        <v>2.0011000000000023</v>
      </c>
      <c r="B14" s="8" t="s">
        <v>664</v>
      </c>
      <c r="C14" s="22" t="s">
        <v>452</v>
      </c>
      <c r="D14" s="115"/>
      <c r="E14" s="7"/>
      <c r="F14" s="7" t="s">
        <v>5</v>
      </c>
      <c r="G14" s="7">
        <f t="shared" si="2"/>
        <v>1</v>
      </c>
      <c r="H14" s="7">
        <f t="shared" si="2"/>
        <v>0</v>
      </c>
      <c r="I14" s="7">
        <f t="shared" si="2"/>
        <v>0</v>
      </c>
      <c r="J14" s="7">
        <f t="shared" si="2"/>
        <v>0</v>
      </c>
      <c r="K14" s="7">
        <f t="shared" si="2"/>
        <v>0</v>
      </c>
      <c r="L14" s="7"/>
    </row>
    <row r="15" spans="1:12" x14ac:dyDescent="0.25">
      <c r="A15" s="4">
        <f t="shared" si="0"/>
        <v>2.0012000000000025</v>
      </c>
      <c r="B15" s="5" t="s">
        <v>665</v>
      </c>
      <c r="C15" s="23" t="s">
        <v>663</v>
      </c>
      <c r="D15" s="115"/>
      <c r="E15" s="7"/>
      <c r="F15" s="7" t="s">
        <v>5</v>
      </c>
      <c r="G15" s="7">
        <f t="shared" si="2"/>
        <v>1</v>
      </c>
      <c r="H15" s="7">
        <f t="shared" si="2"/>
        <v>0</v>
      </c>
      <c r="I15" s="7">
        <f t="shared" si="2"/>
        <v>0</v>
      </c>
      <c r="J15" s="7">
        <f t="shared" si="2"/>
        <v>0</v>
      </c>
      <c r="K15" s="7"/>
      <c r="L15" s="7"/>
    </row>
    <row r="16" spans="1:12" x14ac:dyDescent="0.25">
      <c r="A16" s="4">
        <f t="shared" si="0"/>
        <v>2.0013000000000027</v>
      </c>
      <c r="B16" s="5" t="s">
        <v>674</v>
      </c>
      <c r="C16" s="23" t="s">
        <v>675</v>
      </c>
      <c r="D16" s="115"/>
      <c r="E16" s="7"/>
      <c r="F16" s="7" t="s">
        <v>5</v>
      </c>
      <c r="G16" s="7">
        <f t="shared" si="2"/>
        <v>1</v>
      </c>
      <c r="H16" s="7">
        <f t="shared" si="2"/>
        <v>0</v>
      </c>
      <c r="I16" s="7">
        <f t="shared" si="2"/>
        <v>0</v>
      </c>
      <c r="J16" s="7">
        <f t="shared" si="2"/>
        <v>0</v>
      </c>
      <c r="K16" s="7"/>
      <c r="L16" s="7"/>
    </row>
    <row r="17" spans="1:12" x14ac:dyDescent="0.25">
      <c r="A17" s="4">
        <f t="shared" si="0"/>
        <v>2.001400000000003</v>
      </c>
      <c r="B17" s="5" t="s">
        <v>676</v>
      </c>
      <c r="C17" s="22" t="s">
        <v>677</v>
      </c>
      <c r="D17" s="115" t="s">
        <v>720</v>
      </c>
      <c r="E17" s="7"/>
      <c r="F17" s="7" t="s">
        <v>5</v>
      </c>
      <c r="G17" s="7">
        <f t="shared" ref="G17:J17" si="3">IF($F17=G$1,1,0)</f>
        <v>1</v>
      </c>
      <c r="H17" s="7">
        <f t="shared" si="3"/>
        <v>0</v>
      </c>
      <c r="I17" s="7">
        <f t="shared" si="3"/>
        <v>0</v>
      </c>
      <c r="J17" s="7">
        <f t="shared" si="3"/>
        <v>0</v>
      </c>
      <c r="K17" s="7"/>
      <c r="L17" s="7"/>
    </row>
    <row r="18" spans="1:12" x14ac:dyDescent="0.25">
      <c r="A18" s="4">
        <f t="shared" si="0"/>
        <v>2.0015000000000032</v>
      </c>
      <c r="B18" s="5" t="s">
        <v>678</v>
      </c>
      <c r="C18" s="22" t="s">
        <v>679</v>
      </c>
      <c r="D18" s="115"/>
      <c r="E18" s="7"/>
      <c r="F18" s="7" t="s">
        <v>5</v>
      </c>
      <c r="G18" s="7">
        <f>IF($F18=G$1,1,0)</f>
        <v>1</v>
      </c>
      <c r="H18" s="7">
        <f>IF($F18=H$1,1,0)</f>
        <v>0</v>
      </c>
      <c r="I18" s="7">
        <f>IF($F18=I$1,1,0)</f>
        <v>0</v>
      </c>
      <c r="J18" s="7">
        <f>IF($F18=J$1,1,0)</f>
        <v>0</v>
      </c>
      <c r="K18" s="7"/>
      <c r="L18" s="7"/>
    </row>
    <row r="19" spans="1:12" x14ac:dyDescent="0.25">
      <c r="A19" s="4">
        <f t="shared" si="0"/>
        <v>2.0016000000000034</v>
      </c>
      <c r="B19" s="5"/>
      <c r="C19" s="94" t="s">
        <v>758</v>
      </c>
      <c r="D19" s="115"/>
      <c r="E19" s="7"/>
      <c r="F19" s="7" t="s">
        <v>5</v>
      </c>
      <c r="G19" s="7">
        <f t="shared" si="2"/>
        <v>1</v>
      </c>
      <c r="H19" s="7">
        <f t="shared" si="2"/>
        <v>0</v>
      </c>
      <c r="I19" s="7">
        <f t="shared" si="2"/>
        <v>0</v>
      </c>
      <c r="J19" s="7">
        <f t="shared" si="2"/>
        <v>0</v>
      </c>
      <c r="K19" s="7">
        <f t="shared" si="2"/>
        <v>0</v>
      </c>
      <c r="L19" s="7"/>
    </row>
    <row r="20" spans="1:12" x14ac:dyDescent="0.25">
      <c r="A20" s="4">
        <f t="shared" si="0"/>
        <v>2.0017000000000036</v>
      </c>
      <c r="B20" s="63" t="s">
        <v>667</v>
      </c>
      <c r="C20" s="94" t="s">
        <v>350</v>
      </c>
      <c r="D20" s="115"/>
      <c r="E20" s="7"/>
      <c r="F20" s="7" t="s">
        <v>5</v>
      </c>
      <c r="G20" s="7">
        <f t="shared" si="2"/>
        <v>1</v>
      </c>
      <c r="H20" s="7">
        <f t="shared" si="2"/>
        <v>0</v>
      </c>
      <c r="I20" s="7">
        <f t="shared" si="2"/>
        <v>0</v>
      </c>
      <c r="J20" s="7">
        <f t="shared" si="2"/>
        <v>0</v>
      </c>
      <c r="K20" s="7">
        <f t="shared" si="2"/>
        <v>0</v>
      </c>
      <c r="L20" s="7"/>
    </row>
    <row r="21" spans="1:12" x14ac:dyDescent="0.25">
      <c r="A21" s="4">
        <f t="shared" si="0"/>
        <v>2.0018000000000038</v>
      </c>
      <c r="B21" s="110" t="s">
        <v>668</v>
      </c>
      <c r="C21" s="111" t="s">
        <v>759</v>
      </c>
      <c r="D21" s="17"/>
      <c r="E21" s="16"/>
      <c r="F21" s="18"/>
      <c r="G21" s="18"/>
      <c r="H21" s="18"/>
      <c r="I21" s="18"/>
      <c r="J21" s="18"/>
      <c r="K21" s="18"/>
      <c r="L21" s="16"/>
    </row>
    <row r="22" spans="1:12" x14ac:dyDescent="0.25">
      <c r="A22" s="4">
        <f t="shared" si="0"/>
        <v>2.001900000000004</v>
      </c>
      <c r="B22" s="66" t="s">
        <v>726</v>
      </c>
      <c r="C22" s="22" t="s">
        <v>727</v>
      </c>
      <c r="D22" s="115"/>
      <c r="E22" s="7"/>
      <c r="F22" s="7" t="s">
        <v>5</v>
      </c>
      <c r="G22" s="7">
        <f t="shared" ref="G22:J22" si="4">IF($F22=G$1,1,0)</f>
        <v>1</v>
      </c>
      <c r="H22" s="7">
        <f t="shared" si="4"/>
        <v>0</v>
      </c>
      <c r="I22" s="7">
        <f t="shared" si="4"/>
        <v>0</v>
      </c>
      <c r="J22" s="7">
        <f t="shared" si="4"/>
        <v>0</v>
      </c>
      <c r="K22" s="7"/>
      <c r="L22" s="7"/>
    </row>
    <row r="23" spans="1:12" ht="38.25" x14ac:dyDescent="0.25">
      <c r="A23" s="4">
        <f t="shared" si="0"/>
        <v>2.0020000000000042</v>
      </c>
      <c r="B23" s="66" t="s">
        <v>725</v>
      </c>
      <c r="C23" s="22" t="s">
        <v>728</v>
      </c>
      <c r="D23" s="115"/>
      <c r="E23" s="7"/>
      <c r="F23" s="7" t="s">
        <v>5</v>
      </c>
      <c r="G23" s="7">
        <f t="shared" ref="G23:J23" si="5">IF($F23=G$1,1,0)</f>
        <v>1</v>
      </c>
      <c r="H23" s="7">
        <f t="shared" si="5"/>
        <v>0</v>
      </c>
      <c r="I23" s="7">
        <f t="shared" si="5"/>
        <v>0</v>
      </c>
      <c r="J23" s="7">
        <f t="shared" si="5"/>
        <v>0</v>
      </c>
      <c r="K23" s="7"/>
      <c r="L23" s="7"/>
    </row>
    <row r="24" spans="1:12" x14ac:dyDescent="0.25">
      <c r="A24" s="4">
        <f t="shared" si="0"/>
        <v>2.0021000000000044</v>
      </c>
      <c r="B24" s="5" t="s">
        <v>729</v>
      </c>
      <c r="C24" s="23" t="s">
        <v>730</v>
      </c>
      <c r="D24" s="115"/>
      <c r="E24" s="7"/>
      <c r="F24" s="7" t="s">
        <v>5</v>
      </c>
      <c r="G24" s="7">
        <f t="shared" ref="G24:J24" si="6">IF($F24=G$1,1,0)</f>
        <v>1</v>
      </c>
      <c r="H24" s="7">
        <f t="shared" si="6"/>
        <v>0</v>
      </c>
      <c r="I24" s="7">
        <f t="shared" si="6"/>
        <v>0</v>
      </c>
      <c r="J24" s="7">
        <f t="shared" si="6"/>
        <v>0</v>
      </c>
      <c r="K24" s="7"/>
      <c r="L24" s="7"/>
    </row>
    <row r="25" spans="1:12" x14ac:dyDescent="0.25">
      <c r="A25" s="4">
        <f t="shared" si="0"/>
        <v>2.0022000000000046</v>
      </c>
      <c r="B25" s="5" t="s">
        <v>748</v>
      </c>
      <c r="C25" s="23" t="s">
        <v>749</v>
      </c>
      <c r="D25" s="115"/>
      <c r="E25" s="7"/>
      <c r="F25" s="7" t="s">
        <v>5</v>
      </c>
      <c r="G25" s="7"/>
      <c r="H25" s="7"/>
      <c r="I25" s="7"/>
      <c r="J25" s="7"/>
      <c r="K25" s="7"/>
      <c r="L25" s="7"/>
    </row>
    <row r="26" spans="1:12" x14ac:dyDescent="0.25">
      <c r="A26" s="4">
        <f t="shared" si="0"/>
        <v>2.0023000000000049</v>
      </c>
      <c r="B26" s="5" t="s">
        <v>731</v>
      </c>
      <c r="C26" s="23" t="s">
        <v>747</v>
      </c>
      <c r="D26" s="115"/>
      <c r="E26" s="7"/>
      <c r="F26" s="7" t="s">
        <v>5</v>
      </c>
      <c r="G26" s="7">
        <f t="shared" si="2"/>
        <v>1</v>
      </c>
      <c r="H26" s="7">
        <f t="shared" si="2"/>
        <v>0</v>
      </c>
      <c r="I26" s="7">
        <f t="shared" si="2"/>
        <v>0</v>
      </c>
      <c r="J26" s="7">
        <f t="shared" si="2"/>
        <v>0</v>
      </c>
      <c r="K26" s="7">
        <f t="shared" si="2"/>
        <v>0</v>
      </c>
      <c r="L26" s="7"/>
    </row>
    <row r="27" spans="1:12" x14ac:dyDescent="0.25">
      <c r="A27" s="4">
        <f t="shared" si="0"/>
        <v>2.0024000000000051</v>
      </c>
      <c r="B27" s="5" t="s">
        <v>489</v>
      </c>
      <c r="C27" s="22" t="s">
        <v>490</v>
      </c>
      <c r="D27" s="115"/>
      <c r="E27" s="7"/>
      <c r="F27" s="7" t="s">
        <v>5</v>
      </c>
      <c r="G27" s="7">
        <f t="shared" si="2"/>
        <v>1</v>
      </c>
      <c r="H27" s="7">
        <f t="shared" si="2"/>
        <v>0</v>
      </c>
      <c r="I27" s="7">
        <f t="shared" si="2"/>
        <v>0</v>
      </c>
      <c r="J27" s="7">
        <f t="shared" si="2"/>
        <v>0</v>
      </c>
      <c r="K27" s="7">
        <f t="shared" si="2"/>
        <v>0</v>
      </c>
      <c r="L27" s="7"/>
    </row>
    <row r="28" spans="1:12" x14ac:dyDescent="0.25">
      <c r="A28" s="4">
        <f t="shared" si="0"/>
        <v>2.0025000000000053</v>
      </c>
      <c r="B28" s="5" t="s">
        <v>491</v>
      </c>
      <c r="C28" s="23" t="s">
        <v>750</v>
      </c>
      <c r="D28" s="115"/>
      <c r="E28" s="7"/>
      <c r="F28" s="7" t="s">
        <v>5</v>
      </c>
      <c r="G28" s="7">
        <f t="shared" si="2"/>
        <v>1</v>
      </c>
      <c r="H28" s="7">
        <f t="shared" si="2"/>
        <v>0</v>
      </c>
      <c r="I28" s="7">
        <f t="shared" si="2"/>
        <v>0</v>
      </c>
      <c r="J28" s="7">
        <f t="shared" si="2"/>
        <v>0</v>
      </c>
      <c r="K28" s="7">
        <f t="shared" si="2"/>
        <v>0</v>
      </c>
      <c r="L28" s="7"/>
    </row>
    <row r="29" spans="1:12" x14ac:dyDescent="0.25">
      <c r="A29" s="4">
        <f t="shared" si="0"/>
        <v>2.0026000000000055</v>
      </c>
      <c r="B29" s="5" t="s">
        <v>553</v>
      </c>
      <c r="C29" s="22" t="s">
        <v>492</v>
      </c>
      <c r="D29" s="6"/>
      <c r="E29" s="7"/>
      <c r="F29" s="7" t="s">
        <v>5</v>
      </c>
      <c r="G29" s="7">
        <f t="shared" ref="G29:J31" si="7">IF($F29=G$1,1,0)</f>
        <v>1</v>
      </c>
      <c r="H29" s="7">
        <f t="shared" si="7"/>
        <v>0</v>
      </c>
      <c r="I29" s="7">
        <f t="shared" si="7"/>
        <v>0</v>
      </c>
      <c r="J29" s="7">
        <f t="shared" si="7"/>
        <v>0</v>
      </c>
      <c r="K29" s="7"/>
      <c r="L29" s="7"/>
    </row>
    <row r="30" spans="1:12" x14ac:dyDescent="0.25">
      <c r="A30" s="4">
        <f t="shared" si="0"/>
        <v>2.0027000000000057</v>
      </c>
      <c r="B30" s="5"/>
      <c r="C30" s="22" t="s">
        <v>493</v>
      </c>
      <c r="D30" s="6"/>
      <c r="E30" s="7"/>
      <c r="F30" s="7" t="s">
        <v>5</v>
      </c>
      <c r="G30" s="7">
        <f t="shared" si="7"/>
        <v>1</v>
      </c>
      <c r="H30" s="7">
        <f t="shared" si="7"/>
        <v>0</v>
      </c>
      <c r="I30" s="7">
        <f t="shared" si="7"/>
        <v>0</v>
      </c>
      <c r="J30" s="7">
        <f t="shared" si="7"/>
        <v>0</v>
      </c>
      <c r="K30" s="7"/>
      <c r="L30" s="7"/>
    </row>
    <row r="31" spans="1:12" ht="25.5" x14ac:dyDescent="0.25">
      <c r="A31" s="4">
        <f t="shared" si="0"/>
        <v>2.0028000000000059</v>
      </c>
      <c r="B31" s="5" t="s">
        <v>482</v>
      </c>
      <c r="C31" s="94" t="s">
        <v>751</v>
      </c>
      <c r="D31" s="6"/>
      <c r="E31" s="7"/>
      <c r="F31" s="7" t="s">
        <v>5</v>
      </c>
      <c r="G31" s="7">
        <f t="shared" si="7"/>
        <v>1</v>
      </c>
      <c r="H31" s="7">
        <f t="shared" si="7"/>
        <v>0</v>
      </c>
      <c r="I31" s="7">
        <f t="shared" si="7"/>
        <v>0</v>
      </c>
      <c r="J31" s="7">
        <f t="shared" si="7"/>
        <v>0</v>
      </c>
      <c r="K31" s="7"/>
      <c r="L31" s="7"/>
    </row>
    <row r="32" spans="1:12" x14ac:dyDescent="0.25">
      <c r="A32" s="4">
        <f t="shared" si="0"/>
        <v>2.0029000000000061</v>
      </c>
      <c r="B32" s="16" t="s">
        <v>568</v>
      </c>
      <c r="C32" s="16"/>
      <c r="D32" s="16"/>
      <c r="E32" s="16"/>
      <c r="F32" s="18"/>
      <c r="G32" s="18"/>
      <c r="H32" s="18"/>
      <c r="I32" s="18"/>
      <c r="J32" s="18"/>
      <c r="K32" s="18"/>
      <c r="L32" s="16"/>
    </row>
    <row r="33" spans="1:12" x14ac:dyDescent="0.25">
      <c r="A33" s="4">
        <f t="shared" si="0"/>
        <v>2.0030000000000063</v>
      </c>
      <c r="B33" s="6" t="s">
        <v>572</v>
      </c>
      <c r="C33" s="5" t="s">
        <v>569</v>
      </c>
      <c r="D33" s="7"/>
      <c r="E33" s="7"/>
      <c r="F33" s="7" t="s">
        <v>5</v>
      </c>
      <c r="G33" s="7">
        <f t="shared" si="2"/>
        <v>1</v>
      </c>
      <c r="H33" s="7">
        <f t="shared" si="2"/>
        <v>0</v>
      </c>
      <c r="I33" s="7">
        <f t="shared" si="2"/>
        <v>0</v>
      </c>
      <c r="J33" s="7">
        <f t="shared" si="2"/>
        <v>0</v>
      </c>
      <c r="K33" s="7"/>
      <c r="L33" s="7"/>
    </row>
    <row r="34" spans="1:12" x14ac:dyDescent="0.25">
      <c r="A34" s="4">
        <f t="shared" si="0"/>
        <v>2.0031000000000065</v>
      </c>
      <c r="B34" s="6"/>
      <c r="C34" s="5" t="s">
        <v>570</v>
      </c>
      <c r="D34" s="7"/>
      <c r="E34" s="7"/>
      <c r="F34" s="7" t="s">
        <v>5</v>
      </c>
      <c r="G34" s="7">
        <f t="shared" si="2"/>
        <v>1</v>
      </c>
      <c r="H34" s="7">
        <f t="shared" si="2"/>
        <v>0</v>
      </c>
      <c r="I34" s="7">
        <f t="shared" si="2"/>
        <v>0</v>
      </c>
      <c r="J34" s="7">
        <f t="shared" si="2"/>
        <v>0</v>
      </c>
      <c r="K34" s="7"/>
      <c r="L34" s="7"/>
    </row>
    <row r="35" spans="1:12" x14ac:dyDescent="0.25">
      <c r="A35" s="4">
        <f t="shared" si="0"/>
        <v>2.0032000000000068</v>
      </c>
      <c r="B35" s="6"/>
      <c r="C35" s="5" t="s">
        <v>571</v>
      </c>
      <c r="D35" s="7"/>
      <c r="E35" s="7"/>
      <c r="F35" s="7" t="s">
        <v>5</v>
      </c>
      <c r="G35" s="7">
        <f t="shared" si="2"/>
        <v>1</v>
      </c>
      <c r="H35" s="7">
        <f t="shared" si="2"/>
        <v>0</v>
      </c>
      <c r="I35" s="7">
        <f t="shared" si="2"/>
        <v>0</v>
      </c>
      <c r="J35" s="7">
        <f t="shared" si="2"/>
        <v>0</v>
      </c>
      <c r="K35" s="7"/>
      <c r="L35" s="7"/>
    </row>
    <row r="36" spans="1:12" ht="25.5" x14ac:dyDescent="0.25">
      <c r="A36" s="4">
        <f t="shared" si="0"/>
        <v>2.003300000000007</v>
      </c>
      <c r="B36" s="6"/>
      <c r="C36" s="5" t="s">
        <v>573</v>
      </c>
      <c r="D36" s="7"/>
      <c r="E36" s="7"/>
      <c r="F36" s="7" t="s">
        <v>5</v>
      </c>
      <c r="G36" s="7">
        <f t="shared" si="2"/>
        <v>1</v>
      </c>
      <c r="H36" s="7">
        <f t="shared" si="2"/>
        <v>0</v>
      </c>
      <c r="I36" s="7">
        <f t="shared" si="2"/>
        <v>0</v>
      </c>
      <c r="J36" s="7">
        <f t="shared" si="2"/>
        <v>0</v>
      </c>
      <c r="K36" s="7"/>
      <c r="L36" s="7"/>
    </row>
    <row r="37" spans="1:12" x14ac:dyDescent="0.25">
      <c r="A37" s="4">
        <f t="shared" si="0"/>
        <v>2.0034000000000072</v>
      </c>
      <c r="B37" s="16" t="s">
        <v>580</v>
      </c>
      <c r="C37" s="16"/>
      <c r="D37" s="16"/>
      <c r="E37" s="16"/>
      <c r="F37" s="18"/>
      <c r="G37" s="18"/>
      <c r="H37" s="18"/>
      <c r="I37" s="18"/>
      <c r="J37" s="18"/>
      <c r="K37" s="18"/>
      <c r="L37" s="16"/>
    </row>
    <row r="38" spans="1:12" x14ac:dyDescent="0.25">
      <c r="A38" s="4">
        <f t="shared" si="0"/>
        <v>2.0035000000000074</v>
      </c>
      <c r="B38" s="96" t="s">
        <v>555</v>
      </c>
      <c r="C38" s="5" t="s">
        <v>556</v>
      </c>
      <c r="D38" s="7"/>
      <c r="E38" s="7"/>
      <c r="F38" s="7" t="s">
        <v>5</v>
      </c>
      <c r="G38" s="7">
        <f t="shared" si="2"/>
        <v>1</v>
      </c>
      <c r="H38" s="7">
        <f t="shared" si="2"/>
        <v>0</v>
      </c>
      <c r="I38" s="7">
        <f t="shared" si="2"/>
        <v>0</v>
      </c>
      <c r="J38" s="7">
        <f t="shared" si="2"/>
        <v>0</v>
      </c>
      <c r="K38" s="7"/>
      <c r="L38" s="7"/>
    </row>
    <row r="39" spans="1:12" x14ac:dyDescent="0.25">
      <c r="A39" s="4">
        <f t="shared" si="0"/>
        <v>2.0036000000000076</v>
      </c>
      <c r="B39" s="6"/>
      <c r="C39" s="5" t="s">
        <v>557</v>
      </c>
      <c r="D39" s="7"/>
      <c r="E39" s="7"/>
      <c r="F39" s="7" t="s">
        <v>5</v>
      </c>
      <c r="G39" s="7">
        <f t="shared" si="2"/>
        <v>1</v>
      </c>
      <c r="H39" s="7">
        <f t="shared" si="2"/>
        <v>0</v>
      </c>
      <c r="I39" s="7">
        <f t="shared" si="2"/>
        <v>0</v>
      </c>
      <c r="J39" s="7">
        <f t="shared" si="2"/>
        <v>0</v>
      </c>
      <c r="K39" s="7"/>
      <c r="L39" s="7"/>
    </row>
    <row r="40" spans="1:12" x14ac:dyDescent="0.25">
      <c r="A40" s="4">
        <f t="shared" si="0"/>
        <v>2.0037000000000078</v>
      </c>
      <c r="B40" s="6"/>
      <c r="C40" s="5" t="s">
        <v>574</v>
      </c>
      <c r="D40" s="7"/>
      <c r="E40" s="7"/>
      <c r="F40" s="7" t="s">
        <v>5</v>
      </c>
      <c r="G40" s="7">
        <f t="shared" si="2"/>
        <v>1</v>
      </c>
      <c r="H40" s="7">
        <f t="shared" si="2"/>
        <v>0</v>
      </c>
      <c r="I40" s="7">
        <f t="shared" si="2"/>
        <v>0</v>
      </c>
      <c r="J40" s="7">
        <f t="shared" si="2"/>
        <v>0</v>
      </c>
      <c r="K40" s="7"/>
      <c r="L40" s="7"/>
    </row>
    <row r="41" spans="1:12" x14ac:dyDescent="0.25">
      <c r="A41" s="4">
        <f t="shared" si="0"/>
        <v>2.003800000000008</v>
      </c>
      <c r="B41" s="6"/>
      <c r="C41" s="5" t="s">
        <v>575</v>
      </c>
      <c r="D41" s="7"/>
      <c r="E41" s="7"/>
      <c r="F41" s="7" t="s">
        <v>5</v>
      </c>
      <c r="G41" s="7">
        <f t="shared" si="2"/>
        <v>1</v>
      </c>
      <c r="H41" s="7">
        <f t="shared" si="2"/>
        <v>0</v>
      </c>
      <c r="I41" s="7">
        <f t="shared" si="2"/>
        <v>0</v>
      </c>
      <c r="J41" s="7">
        <f t="shared" si="2"/>
        <v>0</v>
      </c>
      <c r="K41" s="7"/>
      <c r="L41" s="7"/>
    </row>
    <row r="42" spans="1:12" x14ac:dyDescent="0.25">
      <c r="A42" s="4">
        <f t="shared" si="0"/>
        <v>2.0039000000000082</v>
      </c>
      <c r="B42" s="132" t="s">
        <v>792</v>
      </c>
      <c r="C42" s="120" t="s">
        <v>813</v>
      </c>
      <c r="D42" s="7"/>
      <c r="E42" s="7"/>
      <c r="F42" s="7" t="s">
        <v>5</v>
      </c>
      <c r="G42" s="7"/>
      <c r="H42" s="7"/>
      <c r="I42" s="7"/>
      <c r="J42" s="7"/>
      <c r="K42" s="7"/>
      <c r="L42" s="7"/>
    </row>
    <row r="43" spans="1:12" x14ac:dyDescent="0.25">
      <c r="A43" s="4">
        <f t="shared" si="0"/>
        <v>2.0040000000000084</v>
      </c>
      <c r="B43" s="6"/>
      <c r="C43" s="5" t="s">
        <v>819</v>
      </c>
      <c r="D43" s="7"/>
      <c r="E43" s="7"/>
      <c r="F43" s="7" t="s">
        <v>5</v>
      </c>
      <c r="G43" s="7">
        <f t="shared" si="2"/>
        <v>1</v>
      </c>
      <c r="H43" s="7">
        <f t="shared" si="2"/>
        <v>0</v>
      </c>
      <c r="I43" s="7">
        <f t="shared" si="2"/>
        <v>0</v>
      </c>
      <c r="J43" s="7">
        <f t="shared" si="2"/>
        <v>0</v>
      </c>
      <c r="K43" s="7">
        <f t="shared" si="2"/>
        <v>0</v>
      </c>
      <c r="L43" s="7"/>
    </row>
    <row r="44" spans="1:12" x14ac:dyDescent="0.25">
      <c r="A44" s="4">
        <f t="shared" si="0"/>
        <v>2.0041000000000087</v>
      </c>
      <c r="B44" s="6"/>
      <c r="C44" s="5" t="s">
        <v>790</v>
      </c>
      <c r="D44" s="7"/>
      <c r="E44" s="7"/>
      <c r="F44" s="7" t="s">
        <v>5</v>
      </c>
      <c r="G44" s="7">
        <f t="shared" si="2"/>
        <v>1</v>
      </c>
      <c r="H44" s="7">
        <f t="shared" si="2"/>
        <v>0</v>
      </c>
      <c r="I44" s="7">
        <f t="shared" si="2"/>
        <v>0</v>
      </c>
      <c r="J44" s="7">
        <f t="shared" si="2"/>
        <v>0</v>
      </c>
      <c r="K44" s="7">
        <f t="shared" si="2"/>
        <v>0</v>
      </c>
      <c r="L44" s="7"/>
    </row>
    <row r="45" spans="1:12" x14ac:dyDescent="0.25">
      <c r="A45" s="4">
        <f t="shared" si="0"/>
        <v>2.0042000000000089</v>
      </c>
      <c r="B45" s="6"/>
      <c r="C45" s="5" t="s">
        <v>791</v>
      </c>
      <c r="D45" s="7"/>
      <c r="E45" s="7"/>
      <c r="F45" s="7" t="s">
        <v>5</v>
      </c>
      <c r="G45" s="7">
        <f t="shared" si="2"/>
        <v>1</v>
      </c>
      <c r="H45" s="7">
        <f t="shared" si="2"/>
        <v>0</v>
      </c>
      <c r="I45" s="7">
        <f t="shared" si="2"/>
        <v>0</v>
      </c>
      <c r="J45" s="7">
        <f t="shared" si="2"/>
        <v>0</v>
      </c>
      <c r="K45" s="7">
        <f t="shared" si="2"/>
        <v>0</v>
      </c>
      <c r="L45" s="7"/>
    </row>
    <row r="46" spans="1:12" x14ac:dyDescent="0.25">
      <c r="A46" s="4">
        <f t="shared" si="0"/>
        <v>2.0043000000000091</v>
      </c>
      <c r="B46" s="96" t="s">
        <v>560</v>
      </c>
      <c r="C46" s="63" t="s">
        <v>765</v>
      </c>
      <c r="D46" s="7"/>
      <c r="E46" s="7"/>
      <c r="F46" s="7" t="s">
        <v>5</v>
      </c>
      <c r="G46" s="7"/>
      <c r="H46" s="7"/>
      <c r="I46" s="7"/>
      <c r="J46" s="7"/>
      <c r="K46" s="7"/>
      <c r="L46" s="7"/>
    </row>
    <row r="47" spans="1:12" x14ac:dyDescent="0.25">
      <c r="A47" s="4">
        <f t="shared" si="0"/>
        <v>2.0044000000000093</v>
      </c>
      <c r="B47" s="6"/>
      <c r="C47" s="5" t="s">
        <v>821</v>
      </c>
      <c r="D47" s="7"/>
      <c r="E47" s="7"/>
      <c r="F47" s="7" t="s">
        <v>5</v>
      </c>
      <c r="G47" s="7">
        <f t="shared" ref="G47:K50" si="8">IF($F47=G$1,1,0)</f>
        <v>1</v>
      </c>
      <c r="H47" s="7">
        <f t="shared" si="8"/>
        <v>0</v>
      </c>
      <c r="I47" s="7">
        <f t="shared" si="8"/>
        <v>0</v>
      </c>
      <c r="J47" s="7">
        <f t="shared" si="8"/>
        <v>0</v>
      </c>
      <c r="K47" s="7">
        <f t="shared" si="8"/>
        <v>0</v>
      </c>
      <c r="L47" s="7"/>
    </row>
    <row r="48" spans="1:12" x14ac:dyDescent="0.25">
      <c r="A48" s="4">
        <f t="shared" si="0"/>
        <v>2.0045000000000095</v>
      </c>
      <c r="B48" s="6"/>
      <c r="C48" s="5" t="s">
        <v>585</v>
      </c>
      <c r="D48" s="7"/>
      <c r="E48" s="7"/>
      <c r="F48" s="7" t="s">
        <v>5</v>
      </c>
      <c r="G48" s="7">
        <f t="shared" si="8"/>
        <v>1</v>
      </c>
      <c r="H48" s="7">
        <f t="shared" si="8"/>
        <v>0</v>
      </c>
      <c r="I48" s="7">
        <f t="shared" si="8"/>
        <v>0</v>
      </c>
      <c r="J48" s="7">
        <f t="shared" si="8"/>
        <v>0</v>
      </c>
      <c r="K48" s="7">
        <f t="shared" si="8"/>
        <v>0</v>
      </c>
      <c r="L48" s="7"/>
    </row>
    <row r="49" spans="1:12" x14ac:dyDescent="0.25">
      <c r="A49" s="4">
        <f t="shared" si="0"/>
        <v>2.0046000000000097</v>
      </c>
      <c r="B49" s="6"/>
      <c r="C49" s="5" t="s">
        <v>562</v>
      </c>
      <c r="D49" s="7"/>
      <c r="E49" s="7"/>
      <c r="F49" s="7" t="s">
        <v>5</v>
      </c>
      <c r="G49" s="7">
        <f t="shared" si="8"/>
        <v>1</v>
      </c>
      <c r="H49" s="7">
        <f t="shared" si="8"/>
        <v>0</v>
      </c>
      <c r="I49" s="7">
        <f t="shared" si="8"/>
        <v>0</v>
      </c>
      <c r="J49" s="7">
        <f t="shared" si="8"/>
        <v>0</v>
      </c>
      <c r="K49" s="7">
        <f t="shared" si="8"/>
        <v>0</v>
      </c>
      <c r="L49" s="7"/>
    </row>
    <row r="50" spans="1:12" x14ac:dyDescent="0.25">
      <c r="A50" s="4">
        <f t="shared" si="0"/>
        <v>2.0047000000000099</v>
      </c>
      <c r="B50" s="6"/>
      <c r="C50" s="5" t="s">
        <v>1043</v>
      </c>
      <c r="D50" s="7"/>
      <c r="E50" s="7"/>
      <c r="F50" s="7" t="s">
        <v>5</v>
      </c>
      <c r="G50" s="7">
        <f t="shared" si="8"/>
        <v>1</v>
      </c>
      <c r="H50" s="7">
        <f t="shared" si="8"/>
        <v>0</v>
      </c>
      <c r="I50" s="7">
        <f t="shared" si="8"/>
        <v>0</v>
      </c>
      <c r="J50" s="7">
        <f t="shared" si="8"/>
        <v>0</v>
      </c>
      <c r="K50" s="7">
        <f t="shared" si="8"/>
        <v>0</v>
      </c>
      <c r="L50" s="7"/>
    </row>
    <row r="51" spans="1:12" x14ac:dyDescent="0.25">
      <c r="A51" s="4">
        <f t="shared" si="0"/>
        <v>2.0048000000000101</v>
      </c>
      <c r="B51" s="6"/>
      <c r="C51" s="5"/>
      <c r="D51" s="7"/>
      <c r="E51" s="7"/>
      <c r="F51" s="7"/>
      <c r="G51" s="7"/>
      <c r="H51" s="7"/>
      <c r="I51" s="7"/>
      <c r="J51" s="7"/>
      <c r="K51" s="7"/>
      <c r="L51" s="7"/>
    </row>
    <row r="52" spans="1:12" x14ac:dyDescent="0.25">
      <c r="A52" s="4">
        <f t="shared" si="0"/>
        <v>2.0049000000000103</v>
      </c>
      <c r="B52" s="132"/>
      <c r="C52" s="120" t="s">
        <v>806</v>
      </c>
      <c r="D52" s="7"/>
      <c r="E52" s="7"/>
      <c r="F52" s="7" t="s">
        <v>5</v>
      </c>
      <c r="G52" s="7"/>
      <c r="H52" s="7"/>
      <c r="I52" s="7"/>
      <c r="J52" s="7"/>
      <c r="K52" s="7"/>
      <c r="L52" s="7"/>
    </row>
    <row r="53" spans="1:12" x14ac:dyDescent="0.25">
      <c r="A53" s="4">
        <f t="shared" si="0"/>
        <v>2.0050000000000106</v>
      </c>
      <c r="B53" s="7"/>
      <c r="C53" s="5" t="s">
        <v>789</v>
      </c>
      <c r="D53" s="7"/>
      <c r="E53" s="7"/>
      <c r="F53" s="7" t="s">
        <v>5</v>
      </c>
      <c r="G53" s="7">
        <f t="shared" si="2"/>
        <v>1</v>
      </c>
      <c r="H53" s="7">
        <f t="shared" si="2"/>
        <v>0</v>
      </c>
      <c r="I53" s="7">
        <f t="shared" si="2"/>
        <v>0</v>
      </c>
      <c r="J53" s="7">
        <f t="shared" si="2"/>
        <v>0</v>
      </c>
      <c r="K53" s="7">
        <f t="shared" si="2"/>
        <v>0</v>
      </c>
      <c r="L53" s="7"/>
    </row>
    <row r="54" spans="1:12" x14ac:dyDescent="0.25">
      <c r="A54" s="4">
        <f t="shared" si="0"/>
        <v>2.0051000000000108</v>
      </c>
      <c r="B54" s="6"/>
      <c r="C54" s="5" t="s">
        <v>790</v>
      </c>
      <c r="D54" s="7"/>
      <c r="E54" s="7"/>
      <c r="F54" s="7" t="s">
        <v>5</v>
      </c>
      <c r="G54" s="7">
        <f t="shared" si="2"/>
        <v>1</v>
      </c>
      <c r="H54" s="7">
        <f t="shared" si="2"/>
        <v>0</v>
      </c>
      <c r="I54" s="7">
        <f t="shared" si="2"/>
        <v>0</v>
      </c>
      <c r="J54" s="7">
        <f t="shared" si="2"/>
        <v>0</v>
      </c>
      <c r="K54" s="7">
        <f t="shared" si="2"/>
        <v>0</v>
      </c>
      <c r="L54" s="7"/>
    </row>
    <row r="55" spans="1:12" x14ac:dyDescent="0.25">
      <c r="A55" s="4">
        <f t="shared" si="0"/>
        <v>2.005200000000011</v>
      </c>
      <c r="B55" s="6"/>
      <c r="C55" s="5" t="s">
        <v>791</v>
      </c>
      <c r="D55" s="7"/>
      <c r="E55" s="7"/>
      <c r="F55" s="7" t="s">
        <v>5</v>
      </c>
      <c r="G55" s="7">
        <f t="shared" si="2"/>
        <v>1</v>
      </c>
      <c r="H55" s="7">
        <f t="shared" si="2"/>
        <v>0</v>
      </c>
      <c r="I55" s="7">
        <f t="shared" si="2"/>
        <v>0</v>
      </c>
      <c r="J55" s="7">
        <f t="shared" si="2"/>
        <v>0</v>
      </c>
      <c r="K55" s="7">
        <f t="shared" si="2"/>
        <v>0</v>
      </c>
      <c r="L55" s="7"/>
    </row>
    <row r="56" spans="1:12" x14ac:dyDescent="0.25">
      <c r="A56" s="4">
        <f t="shared" si="0"/>
        <v>2.0053000000000112</v>
      </c>
      <c r="B56" s="96" t="s">
        <v>560</v>
      </c>
      <c r="C56" s="63" t="s">
        <v>765</v>
      </c>
      <c r="D56" s="7"/>
      <c r="E56" s="7"/>
      <c r="F56" s="7" t="s">
        <v>5</v>
      </c>
      <c r="G56" s="7"/>
      <c r="H56" s="7"/>
      <c r="I56" s="7"/>
      <c r="J56" s="7"/>
      <c r="K56" s="7"/>
      <c r="L56" s="7"/>
    </row>
    <row r="57" spans="1:12" x14ac:dyDescent="0.25">
      <c r="A57" s="4">
        <f t="shared" si="0"/>
        <v>2.0054000000000114</v>
      </c>
      <c r="B57" s="6"/>
      <c r="C57" s="5" t="s">
        <v>821</v>
      </c>
      <c r="D57" s="7"/>
      <c r="E57" s="7"/>
      <c r="F57" s="7" t="s">
        <v>5</v>
      </c>
      <c r="G57" s="7">
        <f t="shared" si="2"/>
        <v>1</v>
      </c>
      <c r="H57" s="7">
        <f t="shared" si="2"/>
        <v>0</v>
      </c>
      <c r="I57" s="7">
        <f t="shared" si="2"/>
        <v>0</v>
      </c>
      <c r="J57" s="7">
        <f t="shared" si="2"/>
        <v>0</v>
      </c>
      <c r="K57" s="7">
        <f t="shared" si="2"/>
        <v>0</v>
      </c>
      <c r="L57" s="7"/>
    </row>
    <row r="58" spans="1:12" x14ac:dyDescent="0.25">
      <c r="A58" s="4">
        <f t="shared" si="0"/>
        <v>2.0055000000000116</v>
      </c>
      <c r="B58" s="6"/>
      <c r="C58" s="5" t="s">
        <v>585</v>
      </c>
      <c r="D58" s="7"/>
      <c r="E58" s="7"/>
      <c r="F58" s="7" t="s">
        <v>5</v>
      </c>
      <c r="G58" s="7">
        <f t="shared" si="2"/>
        <v>1</v>
      </c>
      <c r="H58" s="7">
        <f t="shared" si="2"/>
        <v>0</v>
      </c>
      <c r="I58" s="7">
        <f t="shared" si="2"/>
        <v>0</v>
      </c>
      <c r="J58" s="7">
        <f t="shared" si="2"/>
        <v>0</v>
      </c>
      <c r="K58" s="7">
        <f t="shared" si="2"/>
        <v>0</v>
      </c>
      <c r="L58" s="7"/>
    </row>
    <row r="59" spans="1:12" x14ac:dyDescent="0.25">
      <c r="A59" s="4">
        <f t="shared" si="0"/>
        <v>2.0056000000000118</v>
      </c>
      <c r="B59" s="6"/>
      <c r="C59" s="5" t="s">
        <v>562</v>
      </c>
      <c r="D59" s="7"/>
      <c r="E59" s="7"/>
      <c r="F59" s="7" t="s">
        <v>5</v>
      </c>
      <c r="G59" s="7">
        <f t="shared" si="2"/>
        <v>1</v>
      </c>
      <c r="H59" s="7">
        <f t="shared" si="2"/>
        <v>0</v>
      </c>
      <c r="I59" s="7">
        <f t="shared" si="2"/>
        <v>0</v>
      </c>
      <c r="J59" s="7">
        <f t="shared" si="2"/>
        <v>0</v>
      </c>
      <c r="K59" s="7">
        <f t="shared" si="2"/>
        <v>0</v>
      </c>
      <c r="L59" s="7"/>
    </row>
    <row r="60" spans="1:12" ht="25.5" x14ac:dyDescent="0.25">
      <c r="A60" s="4">
        <f t="shared" si="0"/>
        <v>2.005700000000012</v>
      </c>
      <c r="B60" s="6"/>
      <c r="C60" s="5" t="s">
        <v>785</v>
      </c>
      <c r="D60" s="7"/>
      <c r="E60" s="7"/>
      <c r="F60" s="7" t="s">
        <v>5</v>
      </c>
      <c r="G60" s="7">
        <f t="shared" si="2"/>
        <v>1</v>
      </c>
      <c r="H60" s="7">
        <f t="shared" si="2"/>
        <v>0</v>
      </c>
      <c r="I60" s="7">
        <f t="shared" si="2"/>
        <v>0</v>
      </c>
      <c r="J60" s="7">
        <f t="shared" si="2"/>
        <v>0</v>
      </c>
      <c r="K60" s="7">
        <f t="shared" si="2"/>
        <v>0</v>
      </c>
      <c r="L60" s="7"/>
    </row>
    <row r="61" spans="1:12" x14ac:dyDescent="0.25">
      <c r="A61" s="4">
        <f t="shared" si="0"/>
        <v>2.0058000000000122</v>
      </c>
      <c r="B61" s="6"/>
      <c r="C61" s="5"/>
      <c r="D61" s="7"/>
      <c r="E61" s="7"/>
      <c r="F61" s="7"/>
      <c r="G61" s="7"/>
      <c r="H61" s="7"/>
      <c r="I61" s="7"/>
      <c r="J61" s="7"/>
      <c r="K61" s="7"/>
      <c r="L61" s="7"/>
    </row>
    <row r="62" spans="1:12" x14ac:dyDescent="0.25">
      <c r="A62" s="4">
        <f t="shared" si="0"/>
        <v>2.0059000000000125</v>
      </c>
      <c r="B62" s="6"/>
      <c r="C62" s="120" t="s">
        <v>807</v>
      </c>
      <c r="D62" s="7"/>
      <c r="E62" s="7"/>
      <c r="F62" s="7"/>
      <c r="G62" s="7"/>
      <c r="H62" s="7"/>
      <c r="I62" s="7"/>
      <c r="J62" s="7"/>
      <c r="K62" s="7"/>
      <c r="L62" s="7"/>
    </row>
    <row r="63" spans="1:12" x14ac:dyDescent="0.25">
      <c r="A63" s="4">
        <f t="shared" si="0"/>
        <v>2.0060000000000127</v>
      </c>
      <c r="B63" s="6"/>
      <c r="C63" s="5" t="s">
        <v>808</v>
      </c>
      <c r="D63" s="7"/>
      <c r="E63" s="7"/>
      <c r="F63" s="7" t="s">
        <v>5</v>
      </c>
      <c r="G63" s="7">
        <f t="shared" si="2"/>
        <v>1</v>
      </c>
      <c r="H63" s="7">
        <f t="shared" si="2"/>
        <v>0</v>
      </c>
      <c r="I63" s="7">
        <f t="shared" si="2"/>
        <v>0</v>
      </c>
      <c r="J63" s="7">
        <f t="shared" si="2"/>
        <v>0</v>
      </c>
      <c r="K63" s="7">
        <f t="shared" si="2"/>
        <v>0</v>
      </c>
      <c r="L63" s="7"/>
    </row>
    <row r="64" spans="1:12" x14ac:dyDescent="0.25">
      <c r="A64" s="4">
        <f t="shared" si="0"/>
        <v>2.0061000000000129</v>
      </c>
      <c r="B64" s="6"/>
      <c r="C64" s="5" t="s">
        <v>790</v>
      </c>
      <c r="D64" s="7"/>
      <c r="E64" s="7"/>
      <c r="F64" s="7" t="s">
        <v>5</v>
      </c>
      <c r="G64" s="7">
        <f t="shared" si="2"/>
        <v>1</v>
      </c>
      <c r="H64" s="7">
        <f t="shared" si="2"/>
        <v>0</v>
      </c>
      <c r="I64" s="7">
        <f t="shared" si="2"/>
        <v>0</v>
      </c>
      <c r="J64" s="7">
        <f t="shared" si="2"/>
        <v>0</v>
      </c>
      <c r="K64" s="7">
        <f t="shared" si="2"/>
        <v>0</v>
      </c>
      <c r="L64" s="7"/>
    </row>
    <row r="65" spans="1:12" x14ac:dyDescent="0.25">
      <c r="A65" s="4">
        <f t="shared" si="0"/>
        <v>2.0062000000000131</v>
      </c>
      <c r="B65" s="6"/>
      <c r="C65" s="5" t="s">
        <v>791</v>
      </c>
      <c r="D65" s="7"/>
      <c r="E65" s="7"/>
      <c r="F65" s="7" t="s">
        <v>5</v>
      </c>
      <c r="G65" s="7">
        <f t="shared" si="2"/>
        <v>1</v>
      </c>
      <c r="H65" s="7">
        <f t="shared" si="2"/>
        <v>0</v>
      </c>
      <c r="I65" s="7">
        <f t="shared" si="2"/>
        <v>0</v>
      </c>
      <c r="J65" s="7">
        <f t="shared" si="2"/>
        <v>0</v>
      </c>
      <c r="K65" s="7">
        <f t="shared" si="2"/>
        <v>0</v>
      </c>
      <c r="L65" s="7"/>
    </row>
    <row r="66" spans="1:12" x14ac:dyDescent="0.25">
      <c r="A66" s="4">
        <f t="shared" si="0"/>
        <v>2.0063000000000133</v>
      </c>
      <c r="B66" s="96" t="s">
        <v>560</v>
      </c>
      <c r="C66" s="63" t="s">
        <v>765</v>
      </c>
      <c r="D66" s="7"/>
      <c r="E66" s="7"/>
      <c r="F66" s="7" t="s">
        <v>5</v>
      </c>
      <c r="G66" s="7"/>
      <c r="H66" s="7"/>
      <c r="I66" s="7"/>
      <c r="J66" s="7"/>
      <c r="K66" s="7"/>
      <c r="L66" s="7"/>
    </row>
    <row r="67" spans="1:12" x14ac:dyDescent="0.25">
      <c r="A67" s="4">
        <f t="shared" si="0"/>
        <v>2.0064000000000135</v>
      </c>
      <c r="B67" s="6"/>
      <c r="C67" s="5" t="s">
        <v>821</v>
      </c>
      <c r="D67" s="7"/>
      <c r="E67" s="7"/>
      <c r="F67" s="7" t="s">
        <v>5</v>
      </c>
      <c r="G67" s="7">
        <f t="shared" si="2"/>
        <v>1</v>
      </c>
      <c r="H67" s="7">
        <f t="shared" si="2"/>
        <v>0</v>
      </c>
      <c r="I67" s="7">
        <f t="shared" si="2"/>
        <v>0</v>
      </c>
      <c r="J67" s="7">
        <f t="shared" si="2"/>
        <v>0</v>
      </c>
      <c r="K67" s="7">
        <f t="shared" si="2"/>
        <v>0</v>
      </c>
      <c r="L67" s="7"/>
    </row>
    <row r="68" spans="1:12" x14ac:dyDescent="0.25">
      <c r="A68" s="4">
        <f t="shared" si="0"/>
        <v>2.0065000000000137</v>
      </c>
      <c r="B68" s="6"/>
      <c r="C68" s="5" t="s">
        <v>585</v>
      </c>
      <c r="D68" s="7"/>
      <c r="E68" s="7"/>
      <c r="F68" s="7" t="s">
        <v>5</v>
      </c>
      <c r="G68" s="7">
        <f t="shared" si="2"/>
        <v>1</v>
      </c>
      <c r="H68" s="7">
        <f t="shared" si="2"/>
        <v>0</v>
      </c>
      <c r="I68" s="7">
        <f t="shared" si="2"/>
        <v>0</v>
      </c>
      <c r="J68" s="7">
        <f t="shared" si="2"/>
        <v>0</v>
      </c>
      <c r="K68" s="7">
        <f t="shared" si="2"/>
        <v>0</v>
      </c>
      <c r="L68" s="7"/>
    </row>
    <row r="69" spans="1:12" x14ac:dyDescent="0.25">
      <c r="A69" s="4">
        <f t="shared" si="0"/>
        <v>2.0066000000000139</v>
      </c>
      <c r="B69" s="6"/>
      <c r="C69" s="5" t="s">
        <v>562</v>
      </c>
      <c r="D69" s="7"/>
      <c r="E69" s="7"/>
      <c r="F69" s="7" t="s">
        <v>5</v>
      </c>
      <c r="G69" s="7">
        <f t="shared" si="2"/>
        <v>1</v>
      </c>
      <c r="H69" s="7">
        <f t="shared" si="2"/>
        <v>0</v>
      </c>
      <c r="I69" s="7">
        <f t="shared" si="2"/>
        <v>0</v>
      </c>
      <c r="J69" s="7">
        <f t="shared" si="2"/>
        <v>0</v>
      </c>
      <c r="K69" s="7">
        <f t="shared" si="2"/>
        <v>0</v>
      </c>
      <c r="L69" s="7"/>
    </row>
    <row r="70" spans="1:12" ht="25.5" x14ac:dyDescent="0.25">
      <c r="A70" s="4">
        <f t="shared" si="0"/>
        <v>2.0067000000000141</v>
      </c>
      <c r="B70" s="6"/>
      <c r="C70" s="5" t="s">
        <v>787</v>
      </c>
      <c r="D70" s="7"/>
      <c r="E70" s="7"/>
      <c r="F70" s="7" t="s">
        <v>5</v>
      </c>
      <c r="G70" s="7">
        <f t="shared" si="2"/>
        <v>1</v>
      </c>
      <c r="H70" s="7">
        <f t="shared" si="2"/>
        <v>0</v>
      </c>
      <c r="I70" s="7">
        <f t="shared" si="2"/>
        <v>0</v>
      </c>
      <c r="J70" s="7">
        <f t="shared" si="2"/>
        <v>0</v>
      </c>
      <c r="K70" s="7">
        <f t="shared" si="2"/>
        <v>0</v>
      </c>
      <c r="L70" s="7"/>
    </row>
    <row r="71" spans="1:12" x14ac:dyDescent="0.25">
      <c r="A71" s="4">
        <f t="shared" si="0"/>
        <v>2.0068000000000144</v>
      </c>
      <c r="B71" s="6"/>
      <c r="C71" s="5"/>
      <c r="D71" s="7"/>
      <c r="E71" s="7"/>
      <c r="F71" s="7"/>
      <c r="G71" s="7"/>
      <c r="H71" s="7"/>
      <c r="I71" s="7"/>
      <c r="J71" s="7"/>
      <c r="K71" s="7"/>
      <c r="L71" s="7"/>
    </row>
    <row r="72" spans="1:12" x14ac:dyDescent="0.25">
      <c r="A72" s="4">
        <f t="shared" si="0"/>
        <v>2.0069000000000146</v>
      </c>
      <c r="B72" s="6"/>
      <c r="C72" s="120" t="s">
        <v>810</v>
      </c>
      <c r="D72" s="7"/>
      <c r="E72" s="7"/>
      <c r="F72" s="7"/>
      <c r="G72" s="7"/>
      <c r="H72" s="7"/>
      <c r="I72" s="7"/>
      <c r="J72" s="7"/>
      <c r="K72" s="7"/>
      <c r="L72" s="7"/>
    </row>
    <row r="73" spans="1:12" x14ac:dyDescent="0.25">
      <c r="A73" s="4">
        <f t="shared" si="0"/>
        <v>2.0070000000000148</v>
      </c>
      <c r="B73" s="6"/>
      <c r="C73" s="5" t="s">
        <v>809</v>
      </c>
      <c r="D73" s="7"/>
      <c r="E73" s="7"/>
      <c r="F73" s="7" t="s">
        <v>7</v>
      </c>
      <c r="G73" s="7">
        <f t="shared" si="2"/>
        <v>0</v>
      </c>
      <c r="H73" s="7">
        <f t="shared" si="2"/>
        <v>0</v>
      </c>
      <c r="I73" s="7">
        <f t="shared" si="2"/>
        <v>0</v>
      </c>
      <c r="J73" s="7">
        <f t="shared" si="2"/>
        <v>1</v>
      </c>
      <c r="K73" s="7">
        <f t="shared" si="2"/>
        <v>0</v>
      </c>
      <c r="L73" s="7"/>
    </row>
    <row r="74" spans="1:12" x14ac:dyDescent="0.25">
      <c r="A74" s="4">
        <f t="shared" si="0"/>
        <v>2.007100000000015</v>
      </c>
      <c r="B74" s="6"/>
      <c r="C74" s="5" t="s">
        <v>790</v>
      </c>
      <c r="D74" s="7"/>
      <c r="E74" s="7"/>
      <c r="F74" s="7" t="s">
        <v>7</v>
      </c>
      <c r="G74" s="7">
        <f t="shared" si="2"/>
        <v>0</v>
      </c>
      <c r="H74" s="7">
        <f t="shared" si="2"/>
        <v>0</v>
      </c>
      <c r="I74" s="7">
        <f t="shared" si="2"/>
        <v>0</v>
      </c>
      <c r="J74" s="7">
        <f t="shared" si="2"/>
        <v>1</v>
      </c>
      <c r="K74" s="7">
        <f t="shared" si="2"/>
        <v>0</v>
      </c>
      <c r="L74" s="7"/>
    </row>
    <row r="75" spans="1:12" x14ac:dyDescent="0.25">
      <c r="A75" s="4">
        <f t="shared" si="0"/>
        <v>2.0072000000000152</v>
      </c>
      <c r="B75" s="6"/>
      <c r="C75" s="5" t="s">
        <v>791</v>
      </c>
      <c r="D75" s="7"/>
      <c r="E75" s="7"/>
      <c r="F75" s="7" t="s">
        <v>7</v>
      </c>
      <c r="G75" s="7">
        <f t="shared" si="2"/>
        <v>0</v>
      </c>
      <c r="H75" s="7">
        <f t="shared" si="2"/>
        <v>0</v>
      </c>
      <c r="I75" s="7">
        <f t="shared" si="2"/>
        <v>0</v>
      </c>
      <c r="J75" s="7">
        <f t="shared" si="2"/>
        <v>1</v>
      </c>
      <c r="K75" s="7">
        <f t="shared" si="2"/>
        <v>0</v>
      </c>
      <c r="L75" s="7"/>
    </row>
    <row r="76" spans="1:12" x14ac:dyDescent="0.25">
      <c r="A76" s="4">
        <f t="shared" si="0"/>
        <v>2.0073000000000154</v>
      </c>
      <c r="B76" s="96" t="s">
        <v>560</v>
      </c>
      <c r="C76" s="63" t="s">
        <v>765</v>
      </c>
      <c r="D76" s="7"/>
      <c r="E76" s="7"/>
      <c r="F76" s="7" t="s">
        <v>7</v>
      </c>
      <c r="G76" s="7"/>
      <c r="H76" s="7"/>
      <c r="I76" s="7"/>
      <c r="J76" s="7"/>
      <c r="K76" s="7"/>
      <c r="L76" s="7"/>
    </row>
    <row r="77" spans="1:12" x14ac:dyDescent="0.25">
      <c r="A77" s="4">
        <f t="shared" si="0"/>
        <v>2.0074000000000156</v>
      </c>
      <c r="B77" s="6"/>
      <c r="C77" s="5" t="s">
        <v>584</v>
      </c>
      <c r="D77" s="7"/>
      <c r="E77" s="7"/>
      <c r="F77" s="7" t="s">
        <v>7</v>
      </c>
      <c r="G77" s="7">
        <f t="shared" si="2"/>
        <v>0</v>
      </c>
      <c r="H77" s="7">
        <f t="shared" si="2"/>
        <v>0</v>
      </c>
      <c r="I77" s="7">
        <f t="shared" si="2"/>
        <v>0</v>
      </c>
      <c r="J77" s="7">
        <f t="shared" si="2"/>
        <v>1</v>
      </c>
      <c r="K77" s="7">
        <f t="shared" si="2"/>
        <v>0</v>
      </c>
      <c r="L77" s="7"/>
    </row>
    <row r="78" spans="1:12" x14ac:dyDescent="0.25">
      <c r="A78" s="4">
        <f t="shared" si="0"/>
        <v>2.0075000000000158</v>
      </c>
      <c r="B78" s="6"/>
      <c r="C78" s="5" t="s">
        <v>585</v>
      </c>
      <c r="D78" s="7"/>
      <c r="E78" s="7"/>
      <c r="F78" s="7" t="s">
        <v>7</v>
      </c>
      <c r="G78" s="7">
        <f t="shared" si="2"/>
        <v>0</v>
      </c>
      <c r="H78" s="7">
        <f t="shared" si="2"/>
        <v>0</v>
      </c>
      <c r="I78" s="7">
        <f t="shared" si="2"/>
        <v>0</v>
      </c>
      <c r="J78" s="7">
        <f t="shared" si="2"/>
        <v>1</v>
      </c>
      <c r="K78" s="7">
        <f t="shared" si="2"/>
        <v>0</v>
      </c>
      <c r="L78" s="7"/>
    </row>
    <row r="79" spans="1:12" x14ac:dyDescent="0.25">
      <c r="A79" s="4">
        <f t="shared" si="0"/>
        <v>2.007600000000016</v>
      </c>
      <c r="B79" s="6"/>
      <c r="C79" s="5" t="s">
        <v>562</v>
      </c>
      <c r="D79" s="7"/>
      <c r="E79" s="7"/>
      <c r="F79" s="7" t="s">
        <v>7</v>
      </c>
      <c r="G79" s="7">
        <f t="shared" ref="G79:K80" si="9">IF($F79=G$1,1,0)</f>
        <v>0</v>
      </c>
      <c r="H79" s="7">
        <f t="shared" si="9"/>
        <v>0</v>
      </c>
      <c r="I79" s="7">
        <f t="shared" si="9"/>
        <v>0</v>
      </c>
      <c r="J79" s="7">
        <f t="shared" si="9"/>
        <v>1</v>
      </c>
      <c r="K79" s="7">
        <f t="shared" si="9"/>
        <v>0</v>
      </c>
      <c r="L79" s="7"/>
    </row>
    <row r="80" spans="1:12" ht="25.5" x14ac:dyDescent="0.25">
      <c r="A80" s="4">
        <f t="shared" si="0"/>
        <v>2.0077000000000162</v>
      </c>
      <c r="B80" s="6"/>
      <c r="C80" s="5" t="s">
        <v>793</v>
      </c>
      <c r="D80" s="7"/>
      <c r="E80" s="7"/>
      <c r="F80" s="7" t="s">
        <v>7</v>
      </c>
      <c r="G80" s="7">
        <f t="shared" si="9"/>
        <v>0</v>
      </c>
      <c r="H80" s="7">
        <f t="shared" si="9"/>
        <v>0</v>
      </c>
      <c r="I80" s="7">
        <f t="shared" si="9"/>
        <v>0</v>
      </c>
      <c r="J80" s="7">
        <f t="shared" si="9"/>
        <v>1</v>
      </c>
      <c r="K80" s="7">
        <f t="shared" si="9"/>
        <v>0</v>
      </c>
      <c r="L80" s="7"/>
    </row>
    <row r="81" spans="1:12" x14ac:dyDescent="0.25">
      <c r="A81" s="4">
        <f t="shared" si="0"/>
        <v>2.0078000000000165</v>
      </c>
      <c r="B81" s="6"/>
      <c r="C81" s="5"/>
      <c r="D81" s="7"/>
      <c r="E81" s="7"/>
      <c r="F81" s="7"/>
      <c r="G81" s="7"/>
      <c r="H81" s="7"/>
      <c r="I81" s="7"/>
      <c r="J81" s="7"/>
      <c r="K81" s="7"/>
      <c r="L81" s="7"/>
    </row>
    <row r="82" spans="1:12" x14ac:dyDescent="0.25">
      <c r="A82" s="4">
        <f t="shared" si="0"/>
        <v>2.0079000000000167</v>
      </c>
      <c r="B82" s="6"/>
      <c r="C82" s="120" t="s">
        <v>811</v>
      </c>
      <c r="D82" s="7"/>
      <c r="E82" s="7"/>
      <c r="F82" s="7"/>
      <c r="G82" s="7"/>
      <c r="H82" s="7"/>
      <c r="I82" s="7"/>
      <c r="J82" s="7"/>
      <c r="K82" s="7"/>
      <c r="L82" s="7"/>
    </row>
    <row r="83" spans="1:12" x14ac:dyDescent="0.25">
      <c r="A83" s="4">
        <f t="shared" si="0"/>
        <v>2.0080000000000169</v>
      </c>
      <c r="B83" s="6"/>
      <c r="C83" s="5" t="s">
        <v>809</v>
      </c>
      <c r="D83" s="7"/>
      <c r="E83" s="7"/>
      <c r="F83" s="7" t="s">
        <v>7</v>
      </c>
      <c r="G83" s="7">
        <f t="shared" si="2"/>
        <v>0</v>
      </c>
      <c r="H83" s="7">
        <f t="shared" si="2"/>
        <v>0</v>
      </c>
      <c r="I83" s="7">
        <f t="shared" si="2"/>
        <v>0</v>
      </c>
      <c r="J83" s="7">
        <f t="shared" si="2"/>
        <v>1</v>
      </c>
      <c r="K83" s="7">
        <f t="shared" si="2"/>
        <v>0</v>
      </c>
      <c r="L83" s="7"/>
    </row>
    <row r="84" spans="1:12" x14ac:dyDescent="0.25">
      <c r="A84" s="4">
        <f t="shared" si="0"/>
        <v>2.0081000000000171</v>
      </c>
      <c r="B84" s="6"/>
      <c r="C84" s="5" t="s">
        <v>790</v>
      </c>
      <c r="D84" s="7"/>
      <c r="E84" s="7"/>
      <c r="F84" s="7" t="s">
        <v>7</v>
      </c>
      <c r="G84" s="7">
        <f t="shared" si="2"/>
        <v>0</v>
      </c>
      <c r="H84" s="7">
        <f t="shared" si="2"/>
        <v>0</v>
      </c>
      <c r="I84" s="7">
        <f t="shared" si="2"/>
        <v>0</v>
      </c>
      <c r="J84" s="7">
        <f t="shared" si="2"/>
        <v>1</v>
      </c>
      <c r="K84" s="7">
        <f t="shared" si="2"/>
        <v>0</v>
      </c>
      <c r="L84" s="7"/>
    </row>
    <row r="85" spans="1:12" ht="17.25" customHeight="1" x14ac:dyDescent="0.25">
      <c r="A85" s="4">
        <f t="shared" si="0"/>
        <v>2.0082000000000173</v>
      </c>
      <c r="B85" s="6"/>
      <c r="C85" s="5" t="s">
        <v>791</v>
      </c>
      <c r="D85" s="7"/>
      <c r="E85" s="7"/>
      <c r="F85" s="7" t="s">
        <v>7</v>
      </c>
      <c r="G85" s="7">
        <f t="shared" si="2"/>
        <v>0</v>
      </c>
      <c r="H85" s="7">
        <f t="shared" si="2"/>
        <v>0</v>
      </c>
      <c r="I85" s="7">
        <f t="shared" si="2"/>
        <v>0</v>
      </c>
      <c r="J85" s="7">
        <f t="shared" si="2"/>
        <v>1</v>
      </c>
      <c r="K85" s="7">
        <f t="shared" si="2"/>
        <v>0</v>
      </c>
      <c r="L85" s="7"/>
    </row>
    <row r="86" spans="1:12" ht="17.25" customHeight="1" x14ac:dyDescent="0.25">
      <c r="A86" s="4">
        <f t="shared" si="0"/>
        <v>2.0083000000000175</v>
      </c>
      <c r="B86" s="96" t="s">
        <v>560</v>
      </c>
      <c r="C86" s="63" t="s">
        <v>765</v>
      </c>
      <c r="D86" s="7"/>
      <c r="E86" s="7"/>
      <c r="F86" s="7" t="s">
        <v>7</v>
      </c>
      <c r="G86" s="7"/>
      <c r="H86" s="7"/>
      <c r="I86" s="7"/>
      <c r="J86" s="7"/>
      <c r="K86" s="7"/>
      <c r="L86" s="7"/>
    </row>
    <row r="87" spans="1:12" ht="17.25" customHeight="1" x14ac:dyDescent="0.25">
      <c r="A87" s="4">
        <f t="shared" si="0"/>
        <v>2.0084000000000177</v>
      </c>
      <c r="B87" s="6"/>
      <c r="C87" s="5" t="s">
        <v>821</v>
      </c>
      <c r="D87" s="7"/>
      <c r="E87" s="7"/>
      <c r="F87" s="7" t="s">
        <v>7</v>
      </c>
      <c r="G87" s="7">
        <f t="shared" ref="G87:K90" si="10">IF($F87=G$1,1,0)</f>
        <v>0</v>
      </c>
      <c r="H87" s="7">
        <f t="shared" si="10"/>
        <v>0</v>
      </c>
      <c r="I87" s="7">
        <f t="shared" si="10"/>
        <v>0</v>
      </c>
      <c r="J87" s="7">
        <f t="shared" si="10"/>
        <v>1</v>
      </c>
      <c r="K87" s="7">
        <f t="shared" si="10"/>
        <v>0</v>
      </c>
      <c r="L87" s="7"/>
    </row>
    <row r="88" spans="1:12" ht="17.25" customHeight="1" x14ac:dyDescent="0.25">
      <c r="A88" s="4">
        <f t="shared" si="0"/>
        <v>2.0085000000000179</v>
      </c>
      <c r="B88" s="6"/>
      <c r="C88" s="5" t="s">
        <v>585</v>
      </c>
      <c r="D88" s="7"/>
      <c r="E88" s="7"/>
      <c r="F88" s="7" t="s">
        <v>7</v>
      </c>
      <c r="G88" s="7">
        <f t="shared" si="10"/>
        <v>0</v>
      </c>
      <c r="H88" s="7">
        <f t="shared" si="10"/>
        <v>0</v>
      </c>
      <c r="I88" s="7">
        <f t="shared" si="10"/>
        <v>0</v>
      </c>
      <c r="J88" s="7">
        <f t="shared" si="10"/>
        <v>1</v>
      </c>
      <c r="K88" s="7">
        <f t="shared" si="10"/>
        <v>0</v>
      </c>
      <c r="L88" s="7"/>
    </row>
    <row r="89" spans="1:12" x14ac:dyDescent="0.25">
      <c r="A89" s="4">
        <f t="shared" si="0"/>
        <v>2.0086000000000181</v>
      </c>
      <c r="B89" s="6"/>
      <c r="C89" s="5" t="s">
        <v>562</v>
      </c>
      <c r="D89" s="7"/>
      <c r="E89" s="7"/>
      <c r="F89" s="7" t="s">
        <v>7</v>
      </c>
      <c r="G89" s="7">
        <f t="shared" si="10"/>
        <v>0</v>
      </c>
      <c r="H89" s="7">
        <f t="shared" si="10"/>
        <v>0</v>
      </c>
      <c r="I89" s="7">
        <f t="shared" si="10"/>
        <v>0</v>
      </c>
      <c r="J89" s="7">
        <f t="shared" si="10"/>
        <v>1</v>
      </c>
      <c r="K89" s="7">
        <f t="shared" si="10"/>
        <v>0</v>
      </c>
      <c r="L89" s="7"/>
    </row>
    <row r="90" spans="1:12" ht="25.5" x14ac:dyDescent="0.25">
      <c r="A90" s="4">
        <f t="shared" si="0"/>
        <v>2.0087000000000184</v>
      </c>
      <c r="B90" s="6"/>
      <c r="C90" s="5" t="s">
        <v>786</v>
      </c>
      <c r="D90" s="7"/>
      <c r="E90" s="7"/>
      <c r="F90" s="7" t="s">
        <v>7</v>
      </c>
      <c r="G90" s="7">
        <f t="shared" si="10"/>
        <v>0</v>
      </c>
      <c r="H90" s="7">
        <f t="shared" si="10"/>
        <v>0</v>
      </c>
      <c r="I90" s="7">
        <f t="shared" si="10"/>
        <v>0</v>
      </c>
      <c r="J90" s="7">
        <f t="shared" si="10"/>
        <v>1</v>
      </c>
      <c r="K90" s="7">
        <f t="shared" si="10"/>
        <v>0</v>
      </c>
      <c r="L90" s="7"/>
    </row>
    <row r="91" spans="1:12" x14ac:dyDescent="0.25">
      <c r="A91" s="4">
        <f t="shared" si="0"/>
        <v>2.0088000000000186</v>
      </c>
      <c r="B91" s="6"/>
      <c r="C91" s="5"/>
      <c r="D91" s="7"/>
      <c r="E91" s="7"/>
      <c r="F91" s="7"/>
      <c r="G91" s="7"/>
      <c r="H91" s="7"/>
      <c r="I91" s="7"/>
      <c r="J91" s="7"/>
      <c r="K91" s="7"/>
      <c r="L91" s="7"/>
    </row>
    <row r="92" spans="1:12" x14ac:dyDescent="0.25">
      <c r="A92" s="4">
        <f t="shared" si="0"/>
        <v>2.0089000000000188</v>
      </c>
      <c r="B92" s="6" t="s">
        <v>812</v>
      </c>
      <c r="C92" s="5" t="s">
        <v>577</v>
      </c>
      <c r="D92" s="7"/>
      <c r="E92" s="7"/>
      <c r="F92" s="7" t="s">
        <v>5</v>
      </c>
      <c r="G92" s="7">
        <f t="shared" si="2"/>
        <v>1</v>
      </c>
      <c r="H92" s="7">
        <f t="shared" si="2"/>
        <v>0</v>
      </c>
      <c r="I92" s="7">
        <f t="shared" si="2"/>
        <v>0</v>
      </c>
      <c r="J92" s="7">
        <f t="shared" si="2"/>
        <v>0</v>
      </c>
      <c r="K92" s="7">
        <f t="shared" si="2"/>
        <v>0</v>
      </c>
      <c r="L92" s="7"/>
    </row>
    <row r="93" spans="1:12" x14ac:dyDescent="0.25">
      <c r="A93" s="4">
        <f t="shared" si="0"/>
        <v>2.009000000000019</v>
      </c>
      <c r="B93" s="6"/>
      <c r="C93" s="5" t="s">
        <v>578</v>
      </c>
      <c r="D93" s="7"/>
      <c r="E93" s="7"/>
      <c r="F93" s="7" t="s">
        <v>5</v>
      </c>
      <c r="G93" s="7">
        <f t="shared" si="2"/>
        <v>1</v>
      </c>
      <c r="H93" s="7">
        <f t="shared" si="2"/>
        <v>0</v>
      </c>
      <c r="I93" s="7">
        <f t="shared" si="2"/>
        <v>0</v>
      </c>
      <c r="J93" s="7">
        <f t="shared" si="2"/>
        <v>0</v>
      </c>
      <c r="K93" s="7">
        <f t="shared" si="2"/>
        <v>0</v>
      </c>
      <c r="L93" s="7"/>
    </row>
    <row r="94" spans="1:12" x14ac:dyDescent="0.25">
      <c r="A94" s="4">
        <f t="shared" si="0"/>
        <v>2.0091000000000192</v>
      </c>
      <c r="B94" s="6"/>
      <c r="C94" s="5" t="s">
        <v>579</v>
      </c>
      <c r="D94" s="7"/>
      <c r="E94" s="7"/>
      <c r="F94" s="7" t="s">
        <v>5</v>
      </c>
      <c r="G94" s="7">
        <f t="shared" si="2"/>
        <v>1</v>
      </c>
      <c r="H94" s="7">
        <f t="shared" si="2"/>
        <v>0</v>
      </c>
      <c r="I94" s="7">
        <f t="shared" si="2"/>
        <v>0</v>
      </c>
      <c r="J94" s="7">
        <f t="shared" si="2"/>
        <v>0</v>
      </c>
      <c r="K94" s="7">
        <f t="shared" si="2"/>
        <v>0</v>
      </c>
      <c r="L94" s="7"/>
    </row>
    <row r="95" spans="1:12" x14ac:dyDescent="0.25">
      <c r="A95" s="4">
        <f t="shared" ref="A95:A158" si="11">A94+0.0001</f>
        <v>2.0092000000000194</v>
      </c>
      <c r="B95" s="6"/>
      <c r="C95" s="5"/>
      <c r="D95" s="7"/>
      <c r="E95" s="7"/>
      <c r="F95" s="7"/>
      <c r="G95" s="7"/>
      <c r="H95" s="7"/>
      <c r="I95" s="7"/>
      <c r="J95" s="7"/>
      <c r="K95" s="7"/>
      <c r="L95" s="7"/>
    </row>
    <row r="96" spans="1:12" x14ac:dyDescent="0.25">
      <c r="A96" s="4">
        <f t="shared" si="11"/>
        <v>2.0093000000000196</v>
      </c>
      <c r="B96" s="6" t="s">
        <v>814</v>
      </c>
      <c r="C96" s="5" t="s">
        <v>590</v>
      </c>
      <c r="D96" s="7"/>
      <c r="E96" s="7"/>
      <c r="F96" s="7" t="s">
        <v>5</v>
      </c>
      <c r="G96" s="7">
        <f t="shared" ref="G96:J100" si="12">IF($F96=G$1,1,0)</f>
        <v>1</v>
      </c>
      <c r="H96" s="7">
        <f t="shared" si="12"/>
        <v>0</v>
      </c>
      <c r="I96" s="7">
        <f t="shared" si="12"/>
        <v>0</v>
      </c>
      <c r="J96" s="7">
        <f t="shared" si="12"/>
        <v>0</v>
      </c>
      <c r="K96" s="7"/>
      <c r="L96" s="7"/>
    </row>
    <row r="97" spans="1:12" x14ac:dyDescent="0.25">
      <c r="A97" s="4">
        <f t="shared" si="11"/>
        <v>2.0094000000000198</v>
      </c>
      <c r="B97" s="6"/>
      <c r="C97" s="5" t="s">
        <v>589</v>
      </c>
      <c r="D97" s="7"/>
      <c r="E97" s="7"/>
      <c r="F97" s="7" t="s">
        <v>5</v>
      </c>
      <c r="G97" s="7">
        <f t="shared" si="12"/>
        <v>1</v>
      </c>
      <c r="H97" s="7">
        <f t="shared" si="12"/>
        <v>0</v>
      </c>
      <c r="I97" s="7">
        <f t="shared" si="12"/>
        <v>0</v>
      </c>
      <c r="J97" s="7">
        <f t="shared" si="12"/>
        <v>0</v>
      </c>
      <c r="K97" s="7"/>
      <c r="L97" s="7"/>
    </row>
    <row r="98" spans="1:12" x14ac:dyDescent="0.25">
      <c r="A98" s="4">
        <f t="shared" si="11"/>
        <v>2.00950000000002</v>
      </c>
      <c r="B98" s="6"/>
      <c r="C98" s="5" t="s">
        <v>588</v>
      </c>
      <c r="D98" s="7"/>
      <c r="E98" s="7"/>
      <c r="F98" s="7" t="s">
        <v>5</v>
      </c>
      <c r="G98" s="7">
        <f t="shared" si="12"/>
        <v>1</v>
      </c>
      <c r="H98" s="7">
        <f t="shared" si="12"/>
        <v>0</v>
      </c>
      <c r="I98" s="7">
        <f t="shared" si="12"/>
        <v>0</v>
      </c>
      <c r="J98" s="7">
        <f t="shared" si="12"/>
        <v>0</v>
      </c>
      <c r="K98" s="7"/>
      <c r="L98" s="7"/>
    </row>
    <row r="99" spans="1:12" x14ac:dyDescent="0.25">
      <c r="A99" s="4">
        <f t="shared" si="11"/>
        <v>2.0096000000000203</v>
      </c>
      <c r="B99" s="6"/>
      <c r="C99" s="5" t="s">
        <v>587</v>
      </c>
      <c r="D99" s="7"/>
      <c r="E99" s="7"/>
      <c r="F99" s="7" t="s">
        <v>5</v>
      </c>
      <c r="G99" s="7">
        <f t="shared" si="12"/>
        <v>1</v>
      </c>
      <c r="H99" s="7">
        <f t="shared" si="12"/>
        <v>0</v>
      </c>
      <c r="I99" s="7">
        <f t="shared" si="12"/>
        <v>0</v>
      </c>
      <c r="J99" s="7">
        <f t="shared" si="12"/>
        <v>0</v>
      </c>
      <c r="K99" s="7"/>
      <c r="L99" s="7"/>
    </row>
    <row r="100" spans="1:12" x14ac:dyDescent="0.25">
      <c r="A100" s="4">
        <f t="shared" si="11"/>
        <v>2.0097000000000205</v>
      </c>
      <c r="B100" s="5"/>
      <c r="C100" s="5" t="s">
        <v>586</v>
      </c>
      <c r="D100" s="7"/>
      <c r="E100" s="7"/>
      <c r="F100" s="7" t="s">
        <v>5</v>
      </c>
      <c r="G100" s="7">
        <f t="shared" si="12"/>
        <v>1</v>
      </c>
      <c r="H100" s="7">
        <f t="shared" si="12"/>
        <v>0</v>
      </c>
      <c r="I100" s="7">
        <f t="shared" si="12"/>
        <v>0</v>
      </c>
      <c r="J100" s="7">
        <f t="shared" si="12"/>
        <v>0</v>
      </c>
      <c r="K100" s="7"/>
      <c r="L100" s="7"/>
    </row>
    <row r="101" spans="1:12" x14ac:dyDescent="0.25">
      <c r="A101" s="4">
        <f t="shared" si="11"/>
        <v>2.0098000000000207</v>
      </c>
      <c r="B101" s="120" t="s">
        <v>781</v>
      </c>
      <c r="C101" s="121"/>
      <c r="D101" s="7"/>
      <c r="E101" s="7"/>
      <c r="F101" s="7"/>
      <c r="G101" s="7"/>
      <c r="H101" s="7"/>
      <c r="I101" s="7"/>
      <c r="J101" s="7"/>
      <c r="K101" s="7"/>
      <c r="L101" s="7"/>
    </row>
    <row r="102" spans="1:12" x14ac:dyDescent="0.25">
      <c r="A102" s="4">
        <f t="shared" si="11"/>
        <v>2.0099000000000209</v>
      </c>
      <c r="B102" s="16" t="s">
        <v>735</v>
      </c>
      <c r="C102" s="17"/>
      <c r="D102" s="16"/>
      <c r="E102" s="16"/>
      <c r="F102" s="18"/>
      <c r="G102" s="18"/>
      <c r="H102" s="18"/>
      <c r="I102" s="18"/>
      <c r="J102" s="18"/>
      <c r="K102" s="18"/>
      <c r="L102" s="16"/>
    </row>
    <row r="103" spans="1:12" ht="38.25" x14ac:dyDescent="0.25">
      <c r="A103" s="4">
        <f t="shared" si="11"/>
        <v>2.0100000000000211</v>
      </c>
      <c r="B103" s="5" t="s">
        <v>693</v>
      </c>
      <c r="C103" s="5" t="s">
        <v>598</v>
      </c>
      <c r="D103" s="6" t="s">
        <v>694</v>
      </c>
      <c r="E103" s="7"/>
      <c r="F103" s="7" t="s">
        <v>5</v>
      </c>
      <c r="G103" s="7">
        <f t="shared" ref="G103:K106" si="13">IF($F103=G$1,1,0)</f>
        <v>1</v>
      </c>
      <c r="H103" s="7">
        <f t="shared" si="13"/>
        <v>0</v>
      </c>
      <c r="I103" s="7">
        <f t="shared" si="13"/>
        <v>0</v>
      </c>
      <c r="J103" s="7">
        <f t="shared" si="13"/>
        <v>0</v>
      </c>
      <c r="K103" s="7">
        <f t="shared" si="13"/>
        <v>0</v>
      </c>
      <c r="L103" s="7"/>
    </row>
    <row r="104" spans="1:12" ht="38.25" x14ac:dyDescent="0.25">
      <c r="A104" s="4">
        <f t="shared" si="11"/>
        <v>2.0101000000000213</v>
      </c>
      <c r="B104" s="5" t="s">
        <v>599</v>
      </c>
      <c r="C104" s="5" t="s">
        <v>695</v>
      </c>
      <c r="D104" s="6" t="s">
        <v>737</v>
      </c>
      <c r="E104" s="7"/>
      <c r="F104" s="7" t="s">
        <v>5</v>
      </c>
      <c r="G104" s="7">
        <f t="shared" si="13"/>
        <v>1</v>
      </c>
      <c r="H104" s="7">
        <f t="shared" si="13"/>
        <v>0</v>
      </c>
      <c r="I104" s="7">
        <f t="shared" si="13"/>
        <v>0</v>
      </c>
      <c r="J104" s="7">
        <f t="shared" si="13"/>
        <v>0</v>
      </c>
      <c r="K104" s="7">
        <f t="shared" si="13"/>
        <v>0</v>
      </c>
      <c r="L104" s="7"/>
    </row>
    <row r="105" spans="1:12" x14ac:dyDescent="0.25">
      <c r="A105" s="4">
        <f t="shared" si="11"/>
        <v>2.0102000000000215</v>
      </c>
      <c r="B105" s="5" t="s">
        <v>482</v>
      </c>
      <c r="C105" s="5" t="s">
        <v>600</v>
      </c>
      <c r="D105" s="6"/>
      <c r="E105" s="7"/>
      <c r="F105" s="7" t="s">
        <v>5</v>
      </c>
      <c r="G105" s="7">
        <f t="shared" si="13"/>
        <v>1</v>
      </c>
      <c r="H105" s="7">
        <f t="shared" si="13"/>
        <v>0</v>
      </c>
      <c r="I105" s="7">
        <f t="shared" si="13"/>
        <v>0</v>
      </c>
      <c r="J105" s="7">
        <f t="shared" si="13"/>
        <v>0</v>
      </c>
      <c r="K105" s="7">
        <f t="shared" si="13"/>
        <v>0</v>
      </c>
      <c r="L105" s="7"/>
    </row>
    <row r="106" spans="1:12" ht="25.5" x14ac:dyDescent="0.25">
      <c r="A106" s="4">
        <f t="shared" si="11"/>
        <v>2.0103000000000217</v>
      </c>
      <c r="B106" s="5" t="s">
        <v>736</v>
      </c>
      <c r="C106" s="5" t="s">
        <v>598</v>
      </c>
      <c r="D106" s="6"/>
      <c r="E106" s="7"/>
      <c r="F106" s="7" t="s">
        <v>5</v>
      </c>
      <c r="G106" s="7">
        <f t="shared" si="13"/>
        <v>1</v>
      </c>
      <c r="H106" s="7">
        <f t="shared" si="13"/>
        <v>0</v>
      </c>
      <c r="I106" s="7">
        <f t="shared" si="13"/>
        <v>0</v>
      </c>
      <c r="J106" s="7">
        <f t="shared" si="13"/>
        <v>0</v>
      </c>
      <c r="K106" s="7">
        <f t="shared" si="13"/>
        <v>0</v>
      </c>
      <c r="L106" s="7"/>
    </row>
    <row r="107" spans="1:12" x14ac:dyDescent="0.25">
      <c r="A107" s="4">
        <f t="shared" si="11"/>
        <v>2.0104000000000219</v>
      </c>
      <c r="B107" s="5" t="s">
        <v>599</v>
      </c>
      <c r="C107" s="5" t="s">
        <v>697</v>
      </c>
      <c r="D107" s="6"/>
      <c r="E107" s="7"/>
      <c r="F107" s="7" t="s">
        <v>5</v>
      </c>
      <c r="G107" s="7">
        <f t="shared" ref="G107:K111" si="14">IF($F107=G$1,1,0)</f>
        <v>1</v>
      </c>
      <c r="H107" s="7">
        <f t="shared" si="14"/>
        <v>0</v>
      </c>
      <c r="I107" s="7">
        <f t="shared" si="14"/>
        <v>0</v>
      </c>
      <c r="J107" s="7">
        <f t="shared" si="14"/>
        <v>0</v>
      </c>
      <c r="K107" s="7">
        <f t="shared" si="14"/>
        <v>0</v>
      </c>
      <c r="L107" s="7"/>
    </row>
    <row r="108" spans="1:12" x14ac:dyDescent="0.25">
      <c r="A108" s="4">
        <f t="shared" si="11"/>
        <v>2.0105000000000222</v>
      </c>
      <c r="B108" s="5" t="s">
        <v>482</v>
      </c>
      <c r="C108" s="5" t="s">
        <v>600</v>
      </c>
      <c r="D108" s="6"/>
      <c r="E108" s="7"/>
      <c r="F108" s="7" t="s">
        <v>5</v>
      </c>
      <c r="G108" s="7">
        <f t="shared" si="14"/>
        <v>1</v>
      </c>
      <c r="H108" s="7">
        <f t="shared" si="14"/>
        <v>0</v>
      </c>
      <c r="I108" s="7">
        <f t="shared" si="14"/>
        <v>0</v>
      </c>
      <c r="J108" s="7">
        <f t="shared" si="14"/>
        <v>0</v>
      </c>
      <c r="K108" s="7">
        <f t="shared" si="14"/>
        <v>0</v>
      </c>
      <c r="L108" s="7"/>
    </row>
    <row r="109" spans="1:12" x14ac:dyDescent="0.25">
      <c r="A109" s="4">
        <f t="shared" si="11"/>
        <v>2.0106000000000224</v>
      </c>
      <c r="B109" s="122" t="s">
        <v>783</v>
      </c>
      <c r="C109" s="121"/>
      <c r="D109" s="125"/>
      <c r="E109" s="7"/>
      <c r="F109" s="7"/>
      <c r="G109" s="7"/>
      <c r="H109" s="7"/>
      <c r="I109" s="7"/>
      <c r="J109" s="7"/>
      <c r="K109" s="7"/>
      <c r="L109" s="7"/>
    </row>
    <row r="110" spans="1:12" x14ac:dyDescent="0.25">
      <c r="A110" s="4">
        <f t="shared" si="11"/>
        <v>2.0107000000000226</v>
      </c>
      <c r="B110" s="110" t="s">
        <v>771</v>
      </c>
      <c r="C110" s="111" t="s">
        <v>772</v>
      </c>
      <c r="D110" s="16"/>
      <c r="E110" s="16"/>
      <c r="F110" s="18"/>
      <c r="G110" s="18"/>
      <c r="H110" s="18"/>
      <c r="I110" s="18"/>
      <c r="J110" s="18"/>
      <c r="K110" s="18"/>
      <c r="L110" s="16"/>
    </row>
    <row r="111" spans="1:12" x14ac:dyDescent="0.25">
      <c r="A111" s="4">
        <f t="shared" si="11"/>
        <v>2.0108000000000228</v>
      </c>
      <c r="B111" s="66" t="s">
        <v>726</v>
      </c>
      <c r="C111" s="22" t="s">
        <v>727</v>
      </c>
      <c r="D111" s="115"/>
      <c r="E111" s="7"/>
      <c r="F111" s="7" t="s">
        <v>5</v>
      </c>
      <c r="G111" s="7">
        <f t="shared" si="14"/>
        <v>1</v>
      </c>
      <c r="H111" s="7">
        <f t="shared" si="14"/>
        <v>0</v>
      </c>
      <c r="I111" s="7">
        <f t="shared" si="14"/>
        <v>0</v>
      </c>
      <c r="J111" s="7">
        <f t="shared" si="14"/>
        <v>0</v>
      </c>
      <c r="K111" s="7">
        <f t="shared" si="14"/>
        <v>0</v>
      </c>
      <c r="L111" s="7"/>
    </row>
    <row r="112" spans="1:12" ht="38.25" x14ac:dyDescent="0.25">
      <c r="A112" s="4">
        <f t="shared" si="11"/>
        <v>2.010900000000023</v>
      </c>
      <c r="B112" s="123" t="s">
        <v>725</v>
      </c>
      <c r="C112" s="124" t="s">
        <v>773</v>
      </c>
      <c r="D112" s="115"/>
      <c r="E112" s="7"/>
      <c r="F112" s="7" t="s">
        <v>5</v>
      </c>
      <c r="G112" s="7">
        <f t="shared" ref="G112:K120" si="15">IF($F112=G$1,1,0)</f>
        <v>1</v>
      </c>
      <c r="H112" s="7">
        <f t="shared" si="15"/>
        <v>0</v>
      </c>
      <c r="I112" s="7">
        <f t="shared" si="15"/>
        <v>0</v>
      </c>
      <c r="J112" s="7">
        <f t="shared" si="15"/>
        <v>0</v>
      </c>
      <c r="K112" s="7">
        <f t="shared" si="15"/>
        <v>0</v>
      </c>
      <c r="L112" s="7"/>
    </row>
    <row r="113" spans="1:12" x14ac:dyDescent="0.25">
      <c r="A113" s="4">
        <f t="shared" si="11"/>
        <v>2.0110000000000232</v>
      </c>
      <c r="B113" s="5" t="s">
        <v>729</v>
      </c>
      <c r="C113" s="23" t="s">
        <v>730</v>
      </c>
      <c r="D113" s="115"/>
      <c r="E113" s="7"/>
      <c r="F113" s="7" t="s">
        <v>5</v>
      </c>
      <c r="G113" s="7">
        <f t="shared" si="15"/>
        <v>1</v>
      </c>
      <c r="H113" s="7">
        <f t="shared" si="15"/>
        <v>0</v>
      </c>
      <c r="I113" s="7">
        <f t="shared" si="15"/>
        <v>0</v>
      </c>
      <c r="J113" s="7">
        <f t="shared" si="15"/>
        <v>0</v>
      </c>
      <c r="K113" s="7">
        <f t="shared" si="15"/>
        <v>0</v>
      </c>
      <c r="L113" s="7"/>
    </row>
    <row r="114" spans="1:12" x14ac:dyDescent="0.25">
      <c r="A114" s="4">
        <f t="shared" si="11"/>
        <v>2.0111000000000234</v>
      </c>
      <c r="B114" s="5" t="s">
        <v>748</v>
      </c>
      <c r="C114" s="23" t="s">
        <v>749</v>
      </c>
      <c r="D114" s="115"/>
      <c r="E114" s="7"/>
      <c r="F114" s="7" t="s">
        <v>5</v>
      </c>
      <c r="G114" s="7">
        <f t="shared" si="15"/>
        <v>1</v>
      </c>
      <c r="H114" s="7">
        <f t="shared" si="15"/>
        <v>0</v>
      </c>
      <c r="I114" s="7">
        <f t="shared" si="15"/>
        <v>0</v>
      </c>
      <c r="J114" s="7">
        <f t="shared" si="15"/>
        <v>0</v>
      </c>
      <c r="K114" s="7">
        <f t="shared" si="15"/>
        <v>0</v>
      </c>
      <c r="L114" s="7"/>
    </row>
    <row r="115" spans="1:12" x14ac:dyDescent="0.25">
      <c r="A115" s="4">
        <f t="shared" si="11"/>
        <v>2.0112000000000236</v>
      </c>
      <c r="B115" s="5" t="s">
        <v>731</v>
      </c>
      <c r="C115" s="23" t="s">
        <v>782</v>
      </c>
      <c r="D115" s="115"/>
      <c r="E115" s="7"/>
      <c r="F115" s="7" t="s">
        <v>5</v>
      </c>
      <c r="G115" s="7">
        <f t="shared" si="15"/>
        <v>1</v>
      </c>
      <c r="H115" s="7">
        <f t="shared" si="15"/>
        <v>0</v>
      </c>
      <c r="I115" s="7">
        <f t="shared" si="15"/>
        <v>0</v>
      </c>
      <c r="J115" s="7">
        <f t="shared" si="15"/>
        <v>0</v>
      </c>
      <c r="K115" s="7">
        <f t="shared" si="15"/>
        <v>0</v>
      </c>
      <c r="L115" s="7"/>
    </row>
    <row r="116" spans="1:12" x14ac:dyDescent="0.25">
      <c r="A116" s="4">
        <f t="shared" si="11"/>
        <v>2.0113000000000238</v>
      </c>
      <c r="B116" s="5" t="s">
        <v>489</v>
      </c>
      <c r="C116" s="22" t="s">
        <v>490</v>
      </c>
      <c r="D116" s="115"/>
      <c r="E116" s="7"/>
      <c r="F116" s="7" t="s">
        <v>5</v>
      </c>
      <c r="G116" s="7">
        <f t="shared" si="15"/>
        <v>1</v>
      </c>
      <c r="H116" s="7">
        <f t="shared" si="15"/>
        <v>0</v>
      </c>
      <c r="I116" s="7">
        <f t="shared" si="15"/>
        <v>0</v>
      </c>
      <c r="J116" s="7">
        <f t="shared" si="15"/>
        <v>0</v>
      </c>
      <c r="K116" s="7">
        <f t="shared" si="15"/>
        <v>0</v>
      </c>
      <c r="L116" s="7"/>
    </row>
    <row r="117" spans="1:12" x14ac:dyDescent="0.25">
      <c r="A117" s="4">
        <f t="shared" si="11"/>
        <v>2.0114000000000241</v>
      </c>
      <c r="B117" s="5" t="s">
        <v>491</v>
      </c>
      <c r="C117" s="23" t="s">
        <v>750</v>
      </c>
      <c r="D117" s="115"/>
      <c r="E117" s="7"/>
      <c r="F117" s="7" t="s">
        <v>5</v>
      </c>
      <c r="G117" s="7">
        <f t="shared" si="15"/>
        <v>1</v>
      </c>
      <c r="H117" s="7">
        <f t="shared" si="15"/>
        <v>0</v>
      </c>
      <c r="I117" s="7">
        <f t="shared" si="15"/>
        <v>0</v>
      </c>
      <c r="J117" s="7">
        <f t="shared" si="15"/>
        <v>0</v>
      </c>
      <c r="K117" s="7">
        <f t="shared" si="15"/>
        <v>0</v>
      </c>
      <c r="L117" s="7"/>
    </row>
    <row r="118" spans="1:12" x14ac:dyDescent="0.25">
      <c r="A118" s="4">
        <f t="shared" si="11"/>
        <v>2.0115000000000243</v>
      </c>
      <c r="B118" s="5" t="s">
        <v>553</v>
      </c>
      <c r="C118" s="22" t="s">
        <v>492</v>
      </c>
      <c r="D118" s="6"/>
      <c r="E118" s="7"/>
      <c r="F118" s="7" t="s">
        <v>5</v>
      </c>
      <c r="G118" s="7">
        <f t="shared" si="15"/>
        <v>1</v>
      </c>
      <c r="H118" s="7">
        <f t="shared" si="15"/>
        <v>0</v>
      </c>
      <c r="I118" s="7">
        <f t="shared" si="15"/>
        <v>0</v>
      </c>
      <c r="J118" s="7">
        <f t="shared" si="15"/>
        <v>0</v>
      </c>
      <c r="K118" s="7">
        <f t="shared" si="15"/>
        <v>0</v>
      </c>
      <c r="L118" s="7"/>
    </row>
    <row r="119" spans="1:12" x14ac:dyDescent="0.25">
      <c r="A119" s="4">
        <f t="shared" si="11"/>
        <v>2.0116000000000245</v>
      </c>
      <c r="B119" s="5"/>
      <c r="C119" s="22" t="s">
        <v>493</v>
      </c>
      <c r="D119" s="6"/>
      <c r="E119" s="7"/>
      <c r="F119" s="7" t="s">
        <v>5</v>
      </c>
      <c r="G119" s="7">
        <f t="shared" si="15"/>
        <v>1</v>
      </c>
      <c r="H119" s="7">
        <f t="shared" si="15"/>
        <v>0</v>
      </c>
      <c r="I119" s="7">
        <f t="shared" si="15"/>
        <v>0</v>
      </c>
      <c r="J119" s="7">
        <f t="shared" si="15"/>
        <v>0</v>
      </c>
      <c r="K119" s="7">
        <f t="shared" si="15"/>
        <v>0</v>
      </c>
      <c r="L119" s="7"/>
    </row>
    <row r="120" spans="1:12" ht="25.5" x14ac:dyDescent="0.25">
      <c r="A120" s="4">
        <f t="shared" si="11"/>
        <v>2.0117000000000247</v>
      </c>
      <c r="B120" s="5" t="s">
        <v>482</v>
      </c>
      <c r="C120" s="94" t="s">
        <v>751</v>
      </c>
      <c r="D120" s="6"/>
      <c r="E120" s="7"/>
      <c r="F120" s="7" t="s">
        <v>5</v>
      </c>
      <c r="G120" s="7">
        <f t="shared" si="15"/>
        <v>1</v>
      </c>
      <c r="H120" s="7">
        <f t="shared" si="15"/>
        <v>0</v>
      </c>
      <c r="I120" s="7">
        <f t="shared" si="15"/>
        <v>0</v>
      </c>
      <c r="J120" s="7">
        <f t="shared" si="15"/>
        <v>0</v>
      </c>
      <c r="K120" s="7">
        <f t="shared" si="15"/>
        <v>0</v>
      </c>
      <c r="L120" s="7"/>
    </row>
    <row r="121" spans="1:12" x14ac:dyDescent="0.25">
      <c r="A121" s="4">
        <f t="shared" si="11"/>
        <v>2.0118000000000249</v>
      </c>
      <c r="B121" s="126" t="s">
        <v>767</v>
      </c>
      <c r="C121" s="127" t="s">
        <v>769</v>
      </c>
      <c r="D121" s="16"/>
      <c r="E121" s="16"/>
      <c r="F121" s="18"/>
      <c r="G121" s="18"/>
      <c r="H121" s="18"/>
      <c r="I121" s="18"/>
      <c r="J121" s="18"/>
      <c r="K121" s="18"/>
      <c r="L121" s="16"/>
    </row>
    <row r="122" spans="1:12" x14ac:dyDescent="0.25">
      <c r="A122" s="4">
        <f t="shared" si="11"/>
        <v>2.0119000000000251</v>
      </c>
      <c r="B122" s="126" t="s">
        <v>768</v>
      </c>
      <c r="C122" s="127" t="s">
        <v>770</v>
      </c>
      <c r="D122" s="128"/>
      <c r="E122" s="7"/>
      <c r="F122" s="7" t="s">
        <v>5</v>
      </c>
      <c r="G122" s="7">
        <f t="shared" ref="G122:K122" si="16">IF($F122=G$1,1,0)</f>
        <v>1</v>
      </c>
      <c r="H122" s="7">
        <f t="shared" si="16"/>
        <v>0</v>
      </c>
      <c r="I122" s="7">
        <f t="shared" si="16"/>
        <v>0</v>
      </c>
      <c r="J122" s="7">
        <f t="shared" si="16"/>
        <v>0</v>
      </c>
      <c r="K122" s="7">
        <f t="shared" si="16"/>
        <v>0</v>
      </c>
      <c r="L122" s="7"/>
    </row>
    <row r="123" spans="1:12" x14ac:dyDescent="0.25">
      <c r="A123" s="4">
        <f t="shared" si="11"/>
        <v>2.0120000000000253</v>
      </c>
      <c r="B123" s="122" t="s">
        <v>783</v>
      </c>
      <c r="C123" s="121"/>
      <c r="D123" s="125"/>
      <c r="E123" s="7"/>
      <c r="F123" s="7" t="s">
        <v>5</v>
      </c>
      <c r="G123" s="7">
        <f t="shared" ref="G123:K123" si="17">IF($F123=G$1,1,0)</f>
        <v>1</v>
      </c>
      <c r="H123" s="7">
        <f t="shared" si="17"/>
        <v>0</v>
      </c>
      <c r="I123" s="7">
        <f t="shared" si="17"/>
        <v>0</v>
      </c>
      <c r="J123" s="7">
        <f t="shared" si="17"/>
        <v>0</v>
      </c>
      <c r="K123" s="7">
        <f t="shared" si="17"/>
        <v>0</v>
      </c>
      <c r="L123" s="7"/>
    </row>
    <row r="124" spans="1:12" x14ac:dyDescent="0.25">
      <c r="A124" s="4">
        <f t="shared" si="11"/>
        <v>2.0121000000000255</v>
      </c>
      <c r="B124" s="110" t="s">
        <v>771</v>
      </c>
      <c r="C124" s="111" t="s">
        <v>775</v>
      </c>
      <c r="D124" s="17"/>
      <c r="E124" s="7"/>
      <c r="F124" s="7"/>
      <c r="G124" s="7"/>
      <c r="H124" s="7"/>
      <c r="I124" s="7"/>
      <c r="J124" s="7"/>
      <c r="K124" s="7"/>
      <c r="L124" s="7"/>
    </row>
    <row r="125" spans="1:12" x14ac:dyDescent="0.25">
      <c r="A125" s="4">
        <f t="shared" si="11"/>
        <v>2.0122000000000257</v>
      </c>
      <c r="B125" s="66" t="s">
        <v>726</v>
      </c>
      <c r="C125" s="22" t="s">
        <v>727</v>
      </c>
      <c r="D125" s="115"/>
      <c r="E125" s="7"/>
      <c r="F125" s="7" t="s">
        <v>5</v>
      </c>
      <c r="G125" s="7">
        <f t="shared" ref="G125:K125" si="18">IF($F125=G$1,1,0)</f>
        <v>1</v>
      </c>
      <c r="H125" s="7">
        <f t="shared" si="18"/>
        <v>0</v>
      </c>
      <c r="I125" s="7">
        <f t="shared" si="18"/>
        <v>0</v>
      </c>
      <c r="J125" s="7">
        <f t="shared" si="18"/>
        <v>0</v>
      </c>
      <c r="K125" s="7">
        <f t="shared" si="18"/>
        <v>0</v>
      </c>
      <c r="L125" s="7"/>
    </row>
    <row r="126" spans="1:12" ht="38.25" x14ac:dyDescent="0.25">
      <c r="A126" s="4">
        <f t="shared" si="11"/>
        <v>2.012300000000026</v>
      </c>
      <c r="B126" s="123" t="s">
        <v>725</v>
      </c>
      <c r="C126" s="124" t="s">
        <v>774</v>
      </c>
      <c r="D126" s="115"/>
      <c r="E126" s="7"/>
      <c r="F126" s="7" t="s">
        <v>5</v>
      </c>
      <c r="G126" s="7">
        <f t="shared" ref="G126:K126" si="19">IF($F126=G$1,1,0)</f>
        <v>1</v>
      </c>
      <c r="H126" s="7">
        <f t="shared" si="19"/>
        <v>0</v>
      </c>
      <c r="I126" s="7">
        <f t="shared" si="19"/>
        <v>0</v>
      </c>
      <c r="J126" s="7">
        <f t="shared" si="19"/>
        <v>0</v>
      </c>
      <c r="K126" s="7">
        <f t="shared" si="19"/>
        <v>0</v>
      </c>
      <c r="L126" s="7"/>
    </row>
    <row r="127" spans="1:12" x14ac:dyDescent="0.25">
      <c r="A127" s="4">
        <f t="shared" si="11"/>
        <v>2.0124000000000262</v>
      </c>
      <c r="B127" s="5" t="s">
        <v>729</v>
      </c>
      <c r="C127" s="23" t="s">
        <v>730</v>
      </c>
      <c r="D127" s="115"/>
      <c r="E127" s="7"/>
      <c r="F127" s="7" t="s">
        <v>5</v>
      </c>
      <c r="G127" s="7">
        <f t="shared" ref="G127:K134" si="20">IF($F127=G$1,1,0)</f>
        <v>1</v>
      </c>
      <c r="H127" s="7">
        <f t="shared" si="20"/>
        <v>0</v>
      </c>
      <c r="I127" s="7">
        <f t="shared" si="20"/>
        <v>0</v>
      </c>
      <c r="J127" s="7">
        <f t="shared" si="20"/>
        <v>0</v>
      </c>
      <c r="K127" s="7">
        <f t="shared" si="20"/>
        <v>0</v>
      </c>
      <c r="L127" s="7"/>
    </row>
    <row r="128" spans="1:12" x14ac:dyDescent="0.25">
      <c r="A128" s="4">
        <f t="shared" si="11"/>
        <v>2.0125000000000264</v>
      </c>
      <c r="B128" s="5" t="s">
        <v>748</v>
      </c>
      <c r="C128" s="23" t="s">
        <v>749</v>
      </c>
      <c r="D128" s="115"/>
      <c r="E128" s="7"/>
      <c r="F128" s="7" t="s">
        <v>5</v>
      </c>
      <c r="G128" s="7">
        <f t="shared" si="20"/>
        <v>1</v>
      </c>
      <c r="H128" s="7">
        <f t="shared" si="20"/>
        <v>0</v>
      </c>
      <c r="I128" s="7">
        <f t="shared" si="20"/>
        <v>0</v>
      </c>
      <c r="J128" s="7">
        <f t="shared" si="20"/>
        <v>0</v>
      </c>
      <c r="K128" s="7">
        <f t="shared" si="20"/>
        <v>0</v>
      </c>
      <c r="L128" s="7"/>
    </row>
    <row r="129" spans="1:12" x14ac:dyDescent="0.25">
      <c r="A129" s="4">
        <f t="shared" si="11"/>
        <v>2.0126000000000266</v>
      </c>
      <c r="B129" s="5" t="s">
        <v>731</v>
      </c>
      <c r="C129" s="23" t="s">
        <v>784</v>
      </c>
      <c r="D129" s="115"/>
      <c r="E129" s="7"/>
      <c r="F129" s="7" t="s">
        <v>5</v>
      </c>
      <c r="G129" s="7">
        <f t="shared" si="20"/>
        <v>1</v>
      </c>
      <c r="H129" s="7">
        <f t="shared" si="20"/>
        <v>0</v>
      </c>
      <c r="I129" s="7">
        <f t="shared" si="20"/>
        <v>0</v>
      </c>
      <c r="J129" s="7">
        <f t="shared" si="20"/>
        <v>0</v>
      </c>
      <c r="K129" s="7">
        <f t="shared" si="20"/>
        <v>0</v>
      </c>
      <c r="L129" s="7"/>
    </row>
    <row r="130" spans="1:12" x14ac:dyDescent="0.25">
      <c r="A130" s="4">
        <f t="shared" si="11"/>
        <v>2.0127000000000268</v>
      </c>
      <c r="B130" s="5" t="s">
        <v>489</v>
      </c>
      <c r="C130" s="22" t="s">
        <v>490</v>
      </c>
      <c r="D130" s="115"/>
      <c r="E130" s="7"/>
      <c r="F130" s="7" t="s">
        <v>5</v>
      </c>
      <c r="G130" s="7">
        <f t="shared" si="20"/>
        <v>1</v>
      </c>
      <c r="H130" s="7">
        <f t="shared" si="20"/>
        <v>0</v>
      </c>
      <c r="I130" s="7">
        <f t="shared" si="20"/>
        <v>0</v>
      </c>
      <c r="J130" s="7">
        <f t="shared" si="20"/>
        <v>0</v>
      </c>
      <c r="K130" s="7">
        <f t="shared" si="20"/>
        <v>0</v>
      </c>
      <c r="L130" s="7"/>
    </row>
    <row r="131" spans="1:12" x14ac:dyDescent="0.25">
      <c r="A131" s="4">
        <f t="shared" si="11"/>
        <v>2.012800000000027</v>
      </c>
      <c r="B131" s="5" t="s">
        <v>491</v>
      </c>
      <c r="C131" s="23" t="s">
        <v>750</v>
      </c>
      <c r="D131" s="115"/>
      <c r="E131" s="7"/>
      <c r="F131" s="7" t="s">
        <v>5</v>
      </c>
      <c r="G131" s="7">
        <f t="shared" si="20"/>
        <v>1</v>
      </c>
      <c r="H131" s="7">
        <f t="shared" si="20"/>
        <v>0</v>
      </c>
      <c r="I131" s="7">
        <f t="shared" si="20"/>
        <v>0</v>
      </c>
      <c r="J131" s="7">
        <f t="shared" si="20"/>
        <v>0</v>
      </c>
      <c r="K131" s="7">
        <f t="shared" si="20"/>
        <v>0</v>
      </c>
      <c r="L131" s="7"/>
    </row>
    <row r="132" spans="1:12" x14ac:dyDescent="0.25">
      <c r="A132" s="4">
        <f t="shared" si="11"/>
        <v>2.0129000000000272</v>
      </c>
      <c r="B132" s="5" t="s">
        <v>553</v>
      </c>
      <c r="C132" s="22" t="s">
        <v>492</v>
      </c>
      <c r="D132" s="6"/>
      <c r="E132" s="7"/>
      <c r="F132" s="7" t="s">
        <v>5</v>
      </c>
      <c r="G132" s="7">
        <f t="shared" si="20"/>
        <v>1</v>
      </c>
      <c r="H132" s="7">
        <f t="shared" si="20"/>
        <v>0</v>
      </c>
      <c r="I132" s="7">
        <f t="shared" si="20"/>
        <v>0</v>
      </c>
      <c r="J132" s="7">
        <f t="shared" si="20"/>
        <v>0</v>
      </c>
      <c r="K132" s="7">
        <f t="shared" si="20"/>
        <v>0</v>
      </c>
      <c r="L132" s="7"/>
    </row>
    <row r="133" spans="1:12" x14ac:dyDescent="0.25">
      <c r="A133" s="4">
        <f t="shared" si="11"/>
        <v>2.0130000000000274</v>
      </c>
      <c r="B133" s="5"/>
      <c r="C133" s="22" t="s">
        <v>493</v>
      </c>
      <c r="D133" s="6"/>
      <c r="E133" s="7"/>
      <c r="F133" s="7" t="s">
        <v>5</v>
      </c>
      <c r="G133" s="7">
        <f t="shared" si="20"/>
        <v>1</v>
      </c>
      <c r="H133" s="7">
        <f t="shared" si="20"/>
        <v>0</v>
      </c>
      <c r="I133" s="7">
        <f t="shared" si="20"/>
        <v>0</v>
      </c>
      <c r="J133" s="7">
        <f t="shared" si="20"/>
        <v>0</v>
      </c>
      <c r="K133" s="7">
        <f t="shared" si="20"/>
        <v>0</v>
      </c>
      <c r="L133" s="7"/>
    </row>
    <row r="134" spans="1:12" ht="25.5" x14ac:dyDescent="0.25">
      <c r="A134" s="4">
        <f t="shared" si="11"/>
        <v>2.0131000000000276</v>
      </c>
      <c r="B134" s="5" t="s">
        <v>482</v>
      </c>
      <c r="C134" s="94" t="s">
        <v>751</v>
      </c>
      <c r="D134" s="6"/>
      <c r="E134" s="7"/>
      <c r="F134" s="7" t="s">
        <v>5</v>
      </c>
      <c r="G134" s="7">
        <f t="shared" si="20"/>
        <v>1</v>
      </c>
      <c r="H134" s="7">
        <f t="shared" si="20"/>
        <v>0</v>
      </c>
      <c r="I134" s="7">
        <f t="shared" si="20"/>
        <v>0</v>
      </c>
      <c r="J134" s="7">
        <f t="shared" si="20"/>
        <v>0</v>
      </c>
      <c r="K134" s="7">
        <f t="shared" si="20"/>
        <v>0</v>
      </c>
      <c r="L134" s="7"/>
    </row>
    <row r="135" spans="1:12" x14ac:dyDescent="0.25">
      <c r="A135" s="4">
        <f t="shared" si="11"/>
        <v>2.0132000000000279</v>
      </c>
      <c r="B135" s="126" t="s">
        <v>767</v>
      </c>
      <c r="C135" s="127" t="s">
        <v>769</v>
      </c>
      <c r="D135" s="128"/>
      <c r="E135" s="7"/>
      <c r="F135" s="7" t="s">
        <v>5</v>
      </c>
      <c r="G135" s="7">
        <f t="shared" ref="G135:K136" si="21">IF($F135=G$1,1,0)</f>
        <v>1</v>
      </c>
      <c r="H135" s="7">
        <f t="shared" si="21"/>
        <v>0</v>
      </c>
      <c r="I135" s="7">
        <f t="shared" si="21"/>
        <v>0</v>
      </c>
      <c r="J135" s="7">
        <f t="shared" si="21"/>
        <v>0</v>
      </c>
      <c r="K135" s="7">
        <f t="shared" si="21"/>
        <v>0</v>
      </c>
      <c r="L135" s="7"/>
    </row>
    <row r="136" spans="1:12" x14ac:dyDescent="0.25">
      <c r="A136" s="4">
        <f t="shared" si="11"/>
        <v>2.0133000000000281</v>
      </c>
      <c r="B136" s="126" t="s">
        <v>768</v>
      </c>
      <c r="C136" s="127" t="s">
        <v>770</v>
      </c>
      <c r="D136" s="128"/>
      <c r="E136" s="7"/>
      <c r="F136" s="7" t="s">
        <v>5</v>
      </c>
      <c r="G136" s="7">
        <f t="shared" si="21"/>
        <v>1</v>
      </c>
      <c r="H136" s="7">
        <f t="shared" si="21"/>
        <v>0</v>
      </c>
      <c r="I136" s="7">
        <f t="shared" si="21"/>
        <v>0</v>
      </c>
      <c r="J136" s="7">
        <f t="shared" si="21"/>
        <v>0</v>
      </c>
      <c r="K136" s="7">
        <f t="shared" si="21"/>
        <v>0</v>
      </c>
      <c r="L136" s="7"/>
    </row>
    <row r="137" spans="1:12" x14ac:dyDescent="0.25">
      <c r="A137" s="4">
        <f t="shared" si="11"/>
        <v>2.0134000000000283</v>
      </c>
      <c r="B137" s="122" t="s">
        <v>783</v>
      </c>
      <c r="C137" s="121"/>
      <c r="D137" s="125"/>
      <c r="E137" s="7"/>
      <c r="F137" s="7" t="s">
        <v>5</v>
      </c>
      <c r="G137" s="7">
        <f t="shared" ref="G137:K137" si="22">IF($F137=G$1,1,0)</f>
        <v>1</v>
      </c>
      <c r="H137" s="7">
        <f t="shared" si="22"/>
        <v>0</v>
      </c>
      <c r="I137" s="7">
        <f t="shared" si="22"/>
        <v>0</v>
      </c>
      <c r="J137" s="7">
        <f t="shared" si="22"/>
        <v>0</v>
      </c>
      <c r="K137" s="7">
        <f t="shared" si="22"/>
        <v>0</v>
      </c>
      <c r="L137" s="7"/>
    </row>
    <row r="138" spans="1:12" x14ac:dyDescent="0.25">
      <c r="A138" s="4">
        <f t="shared" si="11"/>
        <v>2.0135000000000285</v>
      </c>
      <c r="B138" s="110" t="s">
        <v>771</v>
      </c>
      <c r="C138" s="111" t="s">
        <v>794</v>
      </c>
      <c r="D138" s="16"/>
      <c r="E138" s="16"/>
      <c r="F138" s="18"/>
      <c r="G138" s="18"/>
      <c r="H138" s="18"/>
      <c r="I138" s="18"/>
      <c r="J138" s="18"/>
      <c r="K138" s="18"/>
      <c r="L138" s="16"/>
    </row>
    <row r="139" spans="1:12" x14ac:dyDescent="0.25">
      <c r="A139" s="4">
        <f t="shared" si="11"/>
        <v>2.0136000000000287</v>
      </c>
      <c r="B139" s="66" t="s">
        <v>726</v>
      </c>
      <c r="C139" s="22" t="s">
        <v>727</v>
      </c>
      <c r="D139" s="115"/>
      <c r="E139" s="7"/>
      <c r="F139" s="7" t="s">
        <v>5</v>
      </c>
      <c r="G139" s="7">
        <f t="shared" ref="G139:K139" si="23">IF($F139=G$1,1,0)</f>
        <v>1</v>
      </c>
      <c r="H139" s="7">
        <f t="shared" si="23"/>
        <v>0</v>
      </c>
      <c r="I139" s="7">
        <f t="shared" si="23"/>
        <v>0</v>
      </c>
      <c r="J139" s="7">
        <f t="shared" si="23"/>
        <v>0</v>
      </c>
      <c r="K139" s="7">
        <f t="shared" si="23"/>
        <v>0</v>
      </c>
      <c r="L139" s="7"/>
    </row>
    <row r="140" spans="1:12" ht="38.25" x14ac:dyDescent="0.25">
      <c r="A140" s="4">
        <f t="shared" si="11"/>
        <v>2.0137000000000289</v>
      </c>
      <c r="B140" s="123" t="s">
        <v>779</v>
      </c>
      <c r="C140" s="124" t="s">
        <v>766</v>
      </c>
      <c r="D140" s="115"/>
      <c r="E140" s="7"/>
      <c r="F140" s="7" t="s">
        <v>5</v>
      </c>
      <c r="G140" s="7">
        <f t="shared" ref="G140:K141" si="24">IF($F140=G$1,1,0)</f>
        <v>1</v>
      </c>
      <c r="H140" s="7">
        <f t="shared" si="24"/>
        <v>0</v>
      </c>
      <c r="I140" s="7">
        <f t="shared" si="24"/>
        <v>0</v>
      </c>
      <c r="J140" s="7">
        <f t="shared" si="24"/>
        <v>0</v>
      </c>
      <c r="K140" s="7">
        <f t="shared" si="24"/>
        <v>0</v>
      </c>
      <c r="L140" s="7"/>
    </row>
    <row r="141" spans="1:12" ht="38.25" x14ac:dyDescent="0.25">
      <c r="A141" s="4">
        <f t="shared" si="11"/>
        <v>2.0138000000000291</v>
      </c>
      <c r="B141" s="123" t="s">
        <v>776</v>
      </c>
      <c r="C141" s="124" t="s">
        <v>795</v>
      </c>
      <c r="D141" s="115"/>
      <c r="E141" s="7"/>
      <c r="F141" s="7" t="s">
        <v>7</v>
      </c>
      <c r="G141" s="7">
        <f t="shared" si="24"/>
        <v>0</v>
      </c>
      <c r="H141" s="7">
        <f t="shared" si="24"/>
        <v>0</v>
      </c>
      <c r="I141" s="7">
        <f t="shared" si="24"/>
        <v>0</v>
      </c>
      <c r="J141" s="7">
        <f t="shared" si="24"/>
        <v>1</v>
      </c>
      <c r="K141" s="7">
        <f t="shared" si="24"/>
        <v>0</v>
      </c>
      <c r="L141" s="7"/>
    </row>
    <row r="142" spans="1:12" x14ac:dyDescent="0.25">
      <c r="A142" s="4">
        <f t="shared" si="11"/>
        <v>2.0139000000000293</v>
      </c>
      <c r="B142" s="5" t="s">
        <v>729</v>
      </c>
      <c r="C142" s="23" t="s">
        <v>730</v>
      </c>
      <c r="D142" s="115"/>
      <c r="E142" s="7"/>
      <c r="F142" s="7" t="s">
        <v>7</v>
      </c>
      <c r="G142" s="7">
        <f t="shared" ref="G142:K149" si="25">IF($F142=G$1,1,0)</f>
        <v>0</v>
      </c>
      <c r="H142" s="7">
        <f t="shared" si="25"/>
        <v>0</v>
      </c>
      <c r="I142" s="7">
        <f t="shared" si="25"/>
        <v>0</v>
      </c>
      <c r="J142" s="7">
        <f t="shared" si="25"/>
        <v>1</v>
      </c>
      <c r="K142" s="7">
        <f t="shared" si="25"/>
        <v>0</v>
      </c>
      <c r="L142" s="7"/>
    </row>
    <row r="143" spans="1:12" x14ac:dyDescent="0.25">
      <c r="A143" s="4">
        <f t="shared" si="11"/>
        <v>2.0140000000000295</v>
      </c>
      <c r="B143" s="5" t="s">
        <v>748</v>
      </c>
      <c r="C143" s="23" t="s">
        <v>749</v>
      </c>
      <c r="D143" s="115"/>
      <c r="E143" s="7"/>
      <c r="F143" s="7" t="s">
        <v>7</v>
      </c>
      <c r="G143" s="7">
        <f t="shared" si="25"/>
        <v>0</v>
      </c>
      <c r="H143" s="7">
        <f t="shared" si="25"/>
        <v>0</v>
      </c>
      <c r="I143" s="7">
        <f t="shared" si="25"/>
        <v>0</v>
      </c>
      <c r="J143" s="7">
        <f t="shared" si="25"/>
        <v>1</v>
      </c>
      <c r="K143" s="7">
        <f t="shared" si="25"/>
        <v>0</v>
      </c>
      <c r="L143" s="7"/>
    </row>
    <row r="144" spans="1:12" x14ac:dyDescent="0.25">
      <c r="A144" s="4">
        <f t="shared" si="11"/>
        <v>2.0141000000000298</v>
      </c>
      <c r="B144" s="5" t="s">
        <v>731</v>
      </c>
      <c r="C144" s="23" t="s">
        <v>747</v>
      </c>
      <c r="D144" s="115"/>
      <c r="E144" s="7"/>
      <c r="F144" s="7" t="s">
        <v>7</v>
      </c>
      <c r="G144" s="7">
        <f t="shared" si="25"/>
        <v>0</v>
      </c>
      <c r="H144" s="7">
        <f t="shared" si="25"/>
        <v>0</v>
      </c>
      <c r="I144" s="7">
        <f t="shared" si="25"/>
        <v>0</v>
      </c>
      <c r="J144" s="7">
        <f t="shared" si="25"/>
        <v>1</v>
      </c>
      <c r="K144" s="7">
        <f t="shared" si="25"/>
        <v>0</v>
      </c>
      <c r="L144" s="7"/>
    </row>
    <row r="145" spans="1:12" x14ac:dyDescent="0.25">
      <c r="A145" s="4">
        <f t="shared" si="11"/>
        <v>2.01420000000003</v>
      </c>
      <c r="B145" s="5" t="s">
        <v>489</v>
      </c>
      <c r="C145" s="22" t="s">
        <v>490</v>
      </c>
      <c r="D145" s="115"/>
      <c r="E145" s="7"/>
      <c r="F145" s="7" t="s">
        <v>7</v>
      </c>
      <c r="G145" s="7">
        <f t="shared" si="25"/>
        <v>0</v>
      </c>
      <c r="H145" s="7">
        <f t="shared" si="25"/>
        <v>0</v>
      </c>
      <c r="I145" s="7">
        <f t="shared" si="25"/>
        <v>0</v>
      </c>
      <c r="J145" s="7">
        <f t="shared" si="25"/>
        <v>1</v>
      </c>
      <c r="K145" s="7">
        <f t="shared" si="25"/>
        <v>0</v>
      </c>
      <c r="L145" s="7"/>
    </row>
    <row r="146" spans="1:12" x14ac:dyDescent="0.25">
      <c r="A146" s="4">
        <f t="shared" si="11"/>
        <v>2.0143000000000302</v>
      </c>
      <c r="B146" s="5" t="s">
        <v>491</v>
      </c>
      <c r="C146" s="23" t="s">
        <v>750</v>
      </c>
      <c r="D146" s="115"/>
      <c r="E146" s="7"/>
      <c r="F146" s="7" t="s">
        <v>7</v>
      </c>
      <c r="G146" s="7">
        <f t="shared" si="25"/>
        <v>0</v>
      </c>
      <c r="H146" s="7">
        <f t="shared" si="25"/>
        <v>0</v>
      </c>
      <c r="I146" s="7">
        <f t="shared" si="25"/>
        <v>0</v>
      </c>
      <c r="J146" s="7">
        <f t="shared" si="25"/>
        <v>1</v>
      </c>
      <c r="K146" s="7">
        <f t="shared" si="25"/>
        <v>0</v>
      </c>
      <c r="L146" s="7"/>
    </row>
    <row r="147" spans="1:12" x14ac:dyDescent="0.25">
      <c r="A147" s="4">
        <f t="shared" si="11"/>
        <v>2.0144000000000304</v>
      </c>
      <c r="B147" s="5" t="s">
        <v>553</v>
      </c>
      <c r="C147" s="22" t="s">
        <v>492</v>
      </c>
      <c r="D147" s="6"/>
      <c r="E147" s="7"/>
      <c r="F147" s="7" t="s">
        <v>7</v>
      </c>
      <c r="G147" s="7">
        <f t="shared" si="25"/>
        <v>0</v>
      </c>
      <c r="H147" s="7">
        <f t="shared" si="25"/>
        <v>0</v>
      </c>
      <c r="I147" s="7">
        <f t="shared" si="25"/>
        <v>0</v>
      </c>
      <c r="J147" s="7">
        <f t="shared" si="25"/>
        <v>1</v>
      </c>
      <c r="K147" s="7">
        <f t="shared" si="25"/>
        <v>0</v>
      </c>
      <c r="L147" s="7"/>
    </row>
    <row r="148" spans="1:12" x14ac:dyDescent="0.25">
      <c r="A148" s="4">
        <f t="shared" si="11"/>
        <v>2.0145000000000306</v>
      </c>
      <c r="B148" s="5"/>
      <c r="C148" s="22" t="s">
        <v>493</v>
      </c>
      <c r="D148" s="6"/>
      <c r="E148" s="7"/>
      <c r="F148" s="7" t="s">
        <v>7</v>
      </c>
      <c r="G148" s="7">
        <f t="shared" si="25"/>
        <v>0</v>
      </c>
      <c r="H148" s="7">
        <f t="shared" si="25"/>
        <v>0</v>
      </c>
      <c r="I148" s="7">
        <f t="shared" si="25"/>
        <v>0</v>
      </c>
      <c r="J148" s="7">
        <f t="shared" si="25"/>
        <v>1</v>
      </c>
      <c r="K148" s="7">
        <f t="shared" si="25"/>
        <v>0</v>
      </c>
      <c r="L148" s="7"/>
    </row>
    <row r="149" spans="1:12" ht="25.5" x14ac:dyDescent="0.25">
      <c r="A149" s="4">
        <f t="shared" si="11"/>
        <v>2.0146000000000308</v>
      </c>
      <c r="B149" s="5" t="s">
        <v>482</v>
      </c>
      <c r="C149" s="94" t="s">
        <v>751</v>
      </c>
      <c r="D149" s="6"/>
      <c r="E149" s="7"/>
      <c r="F149" s="7" t="s">
        <v>7</v>
      </c>
      <c r="G149" s="7">
        <f t="shared" si="25"/>
        <v>0</v>
      </c>
      <c r="H149" s="7">
        <f t="shared" si="25"/>
        <v>0</v>
      </c>
      <c r="I149" s="7">
        <f t="shared" si="25"/>
        <v>0</v>
      </c>
      <c r="J149" s="7">
        <f t="shared" si="25"/>
        <v>1</v>
      </c>
      <c r="K149" s="7">
        <f t="shared" si="25"/>
        <v>0</v>
      </c>
      <c r="L149" s="7"/>
    </row>
    <row r="150" spans="1:12" x14ac:dyDescent="0.25">
      <c r="A150" s="4">
        <f t="shared" si="11"/>
        <v>2.014700000000031</v>
      </c>
      <c r="B150" s="126" t="s">
        <v>767</v>
      </c>
      <c r="C150" s="127" t="s">
        <v>769</v>
      </c>
      <c r="D150" s="128"/>
      <c r="E150" s="7"/>
      <c r="F150" s="7" t="s">
        <v>7</v>
      </c>
      <c r="G150" s="7">
        <f t="shared" ref="G150:K151" si="26">IF($F150=G$1,1,0)</f>
        <v>0</v>
      </c>
      <c r="H150" s="7">
        <f t="shared" si="26"/>
        <v>0</v>
      </c>
      <c r="I150" s="7">
        <f t="shared" si="26"/>
        <v>0</v>
      </c>
      <c r="J150" s="7">
        <f t="shared" si="26"/>
        <v>1</v>
      </c>
      <c r="K150" s="7">
        <f t="shared" si="26"/>
        <v>0</v>
      </c>
      <c r="L150" s="7"/>
    </row>
    <row r="151" spans="1:12" x14ac:dyDescent="0.25">
      <c r="A151" s="4">
        <f t="shared" si="11"/>
        <v>2.0148000000000312</v>
      </c>
      <c r="B151" s="126" t="s">
        <v>768</v>
      </c>
      <c r="C151" s="127" t="s">
        <v>770</v>
      </c>
      <c r="D151" s="128"/>
      <c r="E151" s="7"/>
      <c r="F151" s="7" t="s">
        <v>7</v>
      </c>
      <c r="G151" s="7">
        <f t="shared" si="26"/>
        <v>0</v>
      </c>
      <c r="H151" s="7">
        <f t="shared" si="26"/>
        <v>0</v>
      </c>
      <c r="I151" s="7">
        <f t="shared" si="26"/>
        <v>0</v>
      </c>
      <c r="J151" s="7">
        <f t="shared" si="26"/>
        <v>1</v>
      </c>
      <c r="K151" s="7">
        <f t="shared" si="26"/>
        <v>0</v>
      </c>
      <c r="L151" s="7"/>
    </row>
    <row r="152" spans="1:12" x14ac:dyDescent="0.25">
      <c r="A152" s="4">
        <f t="shared" si="11"/>
        <v>2.0149000000000314</v>
      </c>
      <c r="B152" s="122" t="s">
        <v>783</v>
      </c>
      <c r="C152" s="121"/>
      <c r="D152" s="125"/>
      <c r="E152" s="7"/>
      <c r="F152" s="7" t="s">
        <v>7</v>
      </c>
      <c r="G152" s="7">
        <f t="shared" ref="G152:K152" si="27">IF($F152=G$1,1,0)</f>
        <v>0</v>
      </c>
      <c r="H152" s="7">
        <f t="shared" si="27"/>
        <v>0</v>
      </c>
      <c r="I152" s="7">
        <f t="shared" si="27"/>
        <v>0</v>
      </c>
      <c r="J152" s="7">
        <f t="shared" si="27"/>
        <v>1</v>
      </c>
      <c r="K152" s="7">
        <f t="shared" si="27"/>
        <v>0</v>
      </c>
      <c r="L152" s="7"/>
    </row>
    <row r="153" spans="1:12" x14ac:dyDescent="0.25">
      <c r="A153" s="4">
        <f t="shared" si="11"/>
        <v>2.0150000000000317</v>
      </c>
      <c r="B153" s="110" t="s">
        <v>771</v>
      </c>
      <c r="C153" s="111" t="s">
        <v>777</v>
      </c>
      <c r="D153" s="16"/>
      <c r="E153" s="16"/>
      <c r="F153" s="18"/>
      <c r="G153" s="18"/>
      <c r="H153" s="18"/>
      <c r="I153" s="18"/>
      <c r="J153" s="18"/>
      <c r="K153" s="18"/>
      <c r="L153" s="16"/>
    </row>
    <row r="154" spans="1:12" x14ac:dyDescent="0.25">
      <c r="A154" s="4">
        <f t="shared" si="11"/>
        <v>2.0151000000000319</v>
      </c>
      <c r="B154" s="66" t="s">
        <v>726</v>
      </c>
      <c r="C154" s="22" t="s">
        <v>727</v>
      </c>
      <c r="D154" s="115"/>
      <c r="E154" s="7"/>
      <c r="F154" s="7" t="s">
        <v>7</v>
      </c>
      <c r="G154" s="7">
        <f t="shared" ref="G154:K154" si="28">IF($F154=G$1,1,0)</f>
        <v>0</v>
      </c>
      <c r="H154" s="7">
        <f t="shared" si="28"/>
        <v>0</v>
      </c>
      <c r="I154" s="7">
        <f t="shared" si="28"/>
        <v>0</v>
      </c>
      <c r="J154" s="7">
        <f t="shared" si="28"/>
        <v>1</v>
      </c>
      <c r="K154" s="7">
        <f t="shared" si="28"/>
        <v>0</v>
      </c>
      <c r="L154" s="7"/>
    </row>
    <row r="155" spans="1:12" ht="38.25" x14ac:dyDescent="0.25">
      <c r="A155" s="4">
        <f t="shared" si="11"/>
        <v>2.0152000000000321</v>
      </c>
      <c r="B155" s="123" t="s">
        <v>779</v>
      </c>
      <c r="C155" s="124" t="s">
        <v>766</v>
      </c>
      <c r="D155" s="115"/>
      <c r="E155" s="7"/>
      <c r="F155" s="7" t="s">
        <v>7</v>
      </c>
      <c r="G155" s="7">
        <f t="shared" ref="G155:K156" si="29">IF($F155=G$1,1,0)</f>
        <v>0</v>
      </c>
      <c r="H155" s="7">
        <f t="shared" si="29"/>
        <v>0</v>
      </c>
      <c r="I155" s="7">
        <f t="shared" si="29"/>
        <v>0</v>
      </c>
      <c r="J155" s="7">
        <f t="shared" si="29"/>
        <v>1</v>
      </c>
      <c r="K155" s="7">
        <f t="shared" si="29"/>
        <v>0</v>
      </c>
      <c r="L155" s="7"/>
    </row>
    <row r="156" spans="1:12" ht="38.25" x14ac:dyDescent="0.25">
      <c r="A156" s="4">
        <f t="shared" si="11"/>
        <v>2.0153000000000323</v>
      </c>
      <c r="B156" s="123" t="s">
        <v>776</v>
      </c>
      <c r="C156" s="124" t="s">
        <v>778</v>
      </c>
      <c r="D156" s="115"/>
      <c r="E156" s="7"/>
      <c r="F156" s="7" t="s">
        <v>7</v>
      </c>
      <c r="G156" s="7">
        <f t="shared" si="29"/>
        <v>0</v>
      </c>
      <c r="H156" s="7">
        <f t="shared" si="29"/>
        <v>0</v>
      </c>
      <c r="I156" s="7">
        <f t="shared" si="29"/>
        <v>0</v>
      </c>
      <c r="J156" s="7">
        <f t="shared" si="29"/>
        <v>1</v>
      </c>
      <c r="K156" s="7">
        <f t="shared" si="29"/>
        <v>0</v>
      </c>
      <c r="L156" s="7"/>
    </row>
    <row r="157" spans="1:12" x14ac:dyDescent="0.25">
      <c r="A157" s="4">
        <f t="shared" si="11"/>
        <v>2.0154000000000325</v>
      </c>
      <c r="B157" s="5" t="s">
        <v>729</v>
      </c>
      <c r="C157" s="23" t="s">
        <v>730</v>
      </c>
      <c r="D157" s="115"/>
      <c r="E157" s="7"/>
      <c r="F157" s="7" t="s">
        <v>7</v>
      </c>
      <c r="G157" s="7">
        <f t="shared" ref="G157:K164" si="30">IF($F157=G$1,1,0)</f>
        <v>0</v>
      </c>
      <c r="H157" s="7">
        <f t="shared" si="30"/>
        <v>0</v>
      </c>
      <c r="I157" s="7">
        <f t="shared" si="30"/>
        <v>0</v>
      </c>
      <c r="J157" s="7">
        <f t="shared" si="30"/>
        <v>1</v>
      </c>
      <c r="K157" s="7">
        <f t="shared" si="30"/>
        <v>0</v>
      </c>
      <c r="L157" s="7"/>
    </row>
    <row r="158" spans="1:12" x14ac:dyDescent="0.25">
      <c r="A158" s="4">
        <f t="shared" si="11"/>
        <v>2.0155000000000327</v>
      </c>
      <c r="B158" s="5" t="s">
        <v>748</v>
      </c>
      <c r="C158" s="23" t="s">
        <v>749</v>
      </c>
      <c r="D158" s="115"/>
      <c r="E158" s="7"/>
      <c r="F158" s="7" t="s">
        <v>7</v>
      </c>
      <c r="G158" s="7">
        <f t="shared" si="30"/>
        <v>0</v>
      </c>
      <c r="H158" s="7">
        <f t="shared" si="30"/>
        <v>0</v>
      </c>
      <c r="I158" s="7">
        <f t="shared" si="30"/>
        <v>0</v>
      </c>
      <c r="J158" s="7">
        <f t="shared" si="30"/>
        <v>1</v>
      </c>
      <c r="K158" s="7">
        <f t="shared" si="30"/>
        <v>0</v>
      </c>
      <c r="L158" s="7"/>
    </row>
    <row r="159" spans="1:12" x14ac:dyDescent="0.25">
      <c r="A159" s="4">
        <f t="shared" ref="A159:A171" si="31">A158+0.0001</f>
        <v>2.0156000000000329</v>
      </c>
      <c r="B159" s="5" t="s">
        <v>731</v>
      </c>
      <c r="C159" s="23" t="s">
        <v>796</v>
      </c>
      <c r="D159" s="115"/>
      <c r="E159" s="7"/>
      <c r="F159" s="7" t="s">
        <v>7</v>
      </c>
      <c r="G159" s="7">
        <f t="shared" si="30"/>
        <v>0</v>
      </c>
      <c r="H159" s="7">
        <f t="shared" si="30"/>
        <v>0</v>
      </c>
      <c r="I159" s="7">
        <f t="shared" si="30"/>
        <v>0</v>
      </c>
      <c r="J159" s="7">
        <f t="shared" si="30"/>
        <v>1</v>
      </c>
      <c r="K159" s="7">
        <f t="shared" si="30"/>
        <v>0</v>
      </c>
      <c r="L159" s="7"/>
    </row>
    <row r="160" spans="1:12" x14ac:dyDescent="0.25">
      <c r="A160" s="4">
        <f t="shared" si="31"/>
        <v>2.0157000000000331</v>
      </c>
      <c r="B160" s="5" t="s">
        <v>489</v>
      </c>
      <c r="C160" s="22" t="s">
        <v>490</v>
      </c>
      <c r="D160" s="115"/>
      <c r="E160" s="7"/>
      <c r="F160" s="7" t="s">
        <v>7</v>
      </c>
      <c r="G160" s="7">
        <f t="shared" si="30"/>
        <v>0</v>
      </c>
      <c r="H160" s="7">
        <f t="shared" si="30"/>
        <v>0</v>
      </c>
      <c r="I160" s="7">
        <f t="shared" si="30"/>
        <v>0</v>
      </c>
      <c r="J160" s="7">
        <f t="shared" si="30"/>
        <v>1</v>
      </c>
      <c r="K160" s="7">
        <f t="shared" si="30"/>
        <v>0</v>
      </c>
      <c r="L160" s="7"/>
    </row>
    <row r="161" spans="1:12" x14ac:dyDescent="0.25">
      <c r="A161" s="4">
        <f t="shared" si="31"/>
        <v>2.0158000000000333</v>
      </c>
      <c r="B161" s="5" t="s">
        <v>491</v>
      </c>
      <c r="C161" s="23" t="s">
        <v>750</v>
      </c>
      <c r="D161" s="115"/>
      <c r="E161" s="7"/>
      <c r="F161" s="7" t="s">
        <v>7</v>
      </c>
      <c r="G161" s="7">
        <f t="shared" si="30"/>
        <v>0</v>
      </c>
      <c r="H161" s="7">
        <f t="shared" si="30"/>
        <v>0</v>
      </c>
      <c r="I161" s="7">
        <f t="shared" si="30"/>
        <v>0</v>
      </c>
      <c r="J161" s="7">
        <f t="shared" si="30"/>
        <v>1</v>
      </c>
      <c r="K161" s="7">
        <f t="shared" si="30"/>
        <v>0</v>
      </c>
      <c r="L161" s="7"/>
    </row>
    <row r="162" spans="1:12" x14ac:dyDescent="0.25">
      <c r="A162" s="4">
        <f t="shared" si="31"/>
        <v>2.0159000000000336</v>
      </c>
      <c r="B162" s="5" t="s">
        <v>553</v>
      </c>
      <c r="C162" s="22" t="s">
        <v>492</v>
      </c>
      <c r="D162" s="6"/>
      <c r="E162" s="7"/>
      <c r="F162" s="7" t="s">
        <v>7</v>
      </c>
      <c r="G162" s="7">
        <f t="shared" si="30"/>
        <v>0</v>
      </c>
      <c r="H162" s="7">
        <f t="shared" si="30"/>
        <v>0</v>
      </c>
      <c r="I162" s="7">
        <f t="shared" si="30"/>
        <v>0</v>
      </c>
      <c r="J162" s="7">
        <f t="shared" si="30"/>
        <v>1</v>
      </c>
      <c r="K162" s="7">
        <f t="shared" si="30"/>
        <v>0</v>
      </c>
      <c r="L162" s="7"/>
    </row>
    <row r="163" spans="1:12" x14ac:dyDescent="0.25">
      <c r="A163" s="4">
        <f t="shared" si="31"/>
        <v>2.0160000000000338</v>
      </c>
      <c r="B163" s="5"/>
      <c r="C163" s="22" t="s">
        <v>493</v>
      </c>
      <c r="D163" s="6"/>
      <c r="E163" s="7"/>
      <c r="F163" s="7" t="s">
        <v>7</v>
      </c>
      <c r="G163" s="7">
        <f t="shared" si="30"/>
        <v>0</v>
      </c>
      <c r="H163" s="7">
        <f t="shared" si="30"/>
        <v>0</v>
      </c>
      <c r="I163" s="7">
        <f t="shared" si="30"/>
        <v>0</v>
      </c>
      <c r="J163" s="7">
        <f t="shared" si="30"/>
        <v>1</v>
      </c>
      <c r="K163" s="7">
        <f t="shared" si="30"/>
        <v>0</v>
      </c>
      <c r="L163" s="7"/>
    </row>
    <row r="164" spans="1:12" ht="25.5" x14ac:dyDescent="0.25">
      <c r="A164" s="4">
        <f t="shared" si="31"/>
        <v>2.016100000000034</v>
      </c>
      <c r="B164" s="5" t="s">
        <v>482</v>
      </c>
      <c r="C164" s="94" t="s">
        <v>751</v>
      </c>
      <c r="D164" s="6"/>
      <c r="E164" s="7"/>
      <c r="F164" s="7" t="s">
        <v>7</v>
      </c>
      <c r="G164" s="7">
        <f t="shared" si="30"/>
        <v>0</v>
      </c>
      <c r="H164" s="7">
        <f t="shared" si="30"/>
        <v>0</v>
      </c>
      <c r="I164" s="7">
        <f t="shared" si="30"/>
        <v>0</v>
      </c>
      <c r="J164" s="7">
        <f t="shared" si="30"/>
        <v>1</v>
      </c>
      <c r="K164" s="7">
        <f t="shared" si="30"/>
        <v>0</v>
      </c>
      <c r="L164" s="7"/>
    </row>
    <row r="165" spans="1:12" x14ac:dyDescent="0.25">
      <c r="A165" s="4">
        <f t="shared" si="31"/>
        <v>2.0162000000000342</v>
      </c>
      <c r="B165" s="126" t="s">
        <v>767</v>
      </c>
      <c r="C165" s="127" t="s">
        <v>769</v>
      </c>
      <c r="D165" s="128"/>
      <c r="E165" s="7"/>
      <c r="F165" s="7" t="s">
        <v>7</v>
      </c>
      <c r="G165" s="7">
        <f t="shared" ref="G165:K166" si="32">IF($F165=G$1,1,0)</f>
        <v>0</v>
      </c>
      <c r="H165" s="7">
        <f t="shared" si="32"/>
        <v>0</v>
      </c>
      <c r="I165" s="7">
        <f t="shared" si="32"/>
        <v>0</v>
      </c>
      <c r="J165" s="7">
        <f t="shared" si="32"/>
        <v>1</v>
      </c>
      <c r="K165" s="7">
        <f t="shared" si="32"/>
        <v>0</v>
      </c>
      <c r="L165" s="7"/>
    </row>
    <row r="166" spans="1:12" x14ac:dyDescent="0.25">
      <c r="A166" s="4">
        <f t="shared" si="31"/>
        <v>2.0163000000000344</v>
      </c>
      <c r="B166" s="126" t="s">
        <v>768</v>
      </c>
      <c r="C166" s="127" t="s">
        <v>770</v>
      </c>
      <c r="D166" s="128"/>
      <c r="E166" s="7"/>
      <c r="F166" s="7" t="s">
        <v>7</v>
      </c>
      <c r="G166" s="7">
        <f t="shared" si="32"/>
        <v>0</v>
      </c>
      <c r="H166" s="7">
        <f t="shared" si="32"/>
        <v>0</v>
      </c>
      <c r="I166" s="7">
        <f t="shared" si="32"/>
        <v>0</v>
      </c>
      <c r="J166" s="7">
        <f t="shared" si="32"/>
        <v>1</v>
      </c>
      <c r="K166" s="7">
        <f t="shared" si="32"/>
        <v>0</v>
      </c>
      <c r="L166" s="7"/>
    </row>
    <row r="167" spans="1:12" x14ac:dyDescent="0.25">
      <c r="A167" s="4">
        <f t="shared" si="31"/>
        <v>2.0164000000000346</v>
      </c>
      <c r="B167" s="16" t="s">
        <v>647</v>
      </c>
      <c r="C167" s="17" t="s">
        <v>648</v>
      </c>
      <c r="D167" s="16"/>
      <c r="E167" s="16"/>
      <c r="F167" s="18"/>
      <c r="G167" s="18"/>
      <c r="H167" s="18"/>
      <c r="I167" s="18"/>
      <c r="J167" s="18"/>
      <c r="K167" s="18"/>
      <c r="L167" s="16"/>
    </row>
    <row r="168" spans="1:12" ht="51" x14ac:dyDescent="0.25">
      <c r="A168" s="4">
        <f t="shared" si="31"/>
        <v>2.0165000000000348</v>
      </c>
      <c r="B168" s="103" t="s">
        <v>653</v>
      </c>
      <c r="C168" s="104" t="s">
        <v>650</v>
      </c>
      <c r="D168" s="6" t="s">
        <v>649</v>
      </c>
      <c r="E168" s="7"/>
      <c r="F168" s="7" t="s">
        <v>8</v>
      </c>
      <c r="G168" s="7">
        <f t="shared" ref="G168:K168" si="33">IF($F168=G$1,1,0)</f>
        <v>0</v>
      </c>
      <c r="H168" s="7">
        <f t="shared" si="33"/>
        <v>0</v>
      </c>
      <c r="I168" s="7">
        <f t="shared" si="33"/>
        <v>0</v>
      </c>
      <c r="J168" s="7">
        <f t="shared" si="33"/>
        <v>0</v>
      </c>
      <c r="K168" s="7">
        <f t="shared" si="33"/>
        <v>1</v>
      </c>
      <c r="L168" s="7"/>
    </row>
    <row r="169" spans="1:12" x14ac:dyDescent="0.25">
      <c r="A169" s="4">
        <f t="shared" si="31"/>
        <v>2.016600000000035</v>
      </c>
      <c r="B169" s="96" t="s">
        <v>824</v>
      </c>
      <c r="D169" s="7"/>
      <c r="E169" s="7"/>
      <c r="F169" s="7"/>
      <c r="G169" s="7"/>
      <c r="H169" s="7"/>
      <c r="I169" s="7"/>
      <c r="J169" s="7"/>
      <c r="K169" s="7"/>
      <c r="L169" s="7"/>
    </row>
    <row r="170" spans="1:12" ht="51" x14ac:dyDescent="0.25">
      <c r="A170" s="4">
        <f t="shared" si="31"/>
        <v>2.0167000000000352</v>
      </c>
      <c r="B170" s="140" t="s">
        <v>826</v>
      </c>
      <c r="C170" s="104" t="s">
        <v>825</v>
      </c>
      <c r="D170" s="6" t="s">
        <v>649</v>
      </c>
      <c r="E170" s="7"/>
      <c r="F170" s="7" t="s">
        <v>8</v>
      </c>
      <c r="G170" s="7">
        <f t="shared" ref="G170:K170" si="34">IF($F170=G$1,1,0)</f>
        <v>0</v>
      </c>
      <c r="H170" s="7">
        <f t="shared" si="34"/>
        <v>0</v>
      </c>
      <c r="I170" s="7">
        <f t="shared" si="34"/>
        <v>0</v>
      </c>
      <c r="J170" s="7">
        <f t="shared" si="34"/>
        <v>0</v>
      </c>
      <c r="K170" s="7">
        <f t="shared" si="34"/>
        <v>1</v>
      </c>
      <c r="L170" s="7"/>
    </row>
    <row r="171" spans="1:12" x14ac:dyDescent="0.25">
      <c r="A171" s="4">
        <f t="shared" si="31"/>
        <v>2.0168000000000355</v>
      </c>
      <c r="B171" s="6"/>
      <c r="C171" s="5"/>
      <c r="D171" s="7"/>
      <c r="E171" s="7"/>
      <c r="F171" s="7"/>
      <c r="G171" s="7"/>
      <c r="H171" s="7"/>
      <c r="I171" s="7"/>
      <c r="J171" s="7"/>
      <c r="K171" s="7"/>
      <c r="L171" s="7"/>
    </row>
    <row r="172" spans="1:12" ht="15.75" thickBot="1" x14ac:dyDescent="0.3">
      <c r="G172" s="95">
        <f>SUM(G2:G171)</f>
        <v>94</v>
      </c>
      <c r="H172" s="95">
        <f>SUM(H2:H171)</f>
        <v>0</v>
      </c>
      <c r="I172" s="95">
        <f>SUM(I2:I171)</f>
        <v>0</v>
      </c>
      <c r="J172" s="95">
        <f>SUM(J2:J171)</f>
        <v>39</v>
      </c>
      <c r="K172" s="95">
        <f>SUM(K2:K171)</f>
        <v>2</v>
      </c>
    </row>
    <row r="173" spans="1:12" ht="15.75" thickTop="1" x14ac:dyDescent="0.25"/>
  </sheetData>
  <mergeCells count="1">
    <mergeCell ref="B2:C2"/>
  </mergeCells>
  <conditionalFormatting sqref="B38:C41 B54:C55 B63:B65 B43:B45 C42:C45 C52:C53 B62:C62 B57:B61 B47:B51 B67:B75 B77:B85 B87:B91 G22:K31 G33:K36 F51:K51 F61:K62 G63:K70 B171:C171 B169 G4:K9 B23:C23 D22:D26 B12:C16 D12:D14 B33:C36 B92:C101 B112:C112 D111:D115 D125:D129 B126:C126 B135:C136 B141:C141 D139:D144 D154:D159 B155:C156 F71:K91 B167:C167 A4:A171 F109:K109 G111:K120 F124:K124 F168:K171 G11:K20 G38:K50 F95:K95 G92:K94 F101:K101 G96:K100 G103:K108 G122:K123 G125:K137 G139:K152 G154:K166 G52:K60">
    <cfRule type="expression" dxfId="1112" priority="376">
      <formula>$F4="Fail"</formula>
    </cfRule>
  </conditionalFormatting>
  <conditionalFormatting sqref="A3:K3 D8:E9 D4:E5">
    <cfRule type="expression" dxfId="1111" priority="375">
      <formula>$F3="Fail"</formula>
    </cfRule>
  </conditionalFormatting>
  <conditionalFormatting sqref="D7:E7">
    <cfRule type="expression" dxfId="1110" priority="370">
      <formula>$F7="Fail"</formula>
    </cfRule>
  </conditionalFormatting>
  <conditionalFormatting sqref="D6:E6">
    <cfRule type="expression" dxfId="1109" priority="369">
      <formula>$F6="Fail"</formula>
    </cfRule>
  </conditionalFormatting>
  <conditionalFormatting sqref="F4">
    <cfRule type="expression" dxfId="1108" priority="368">
      <formula>$F4="Fail"</formula>
    </cfRule>
  </conditionalFormatting>
  <conditionalFormatting sqref="L8:L9 L3:L5">
    <cfRule type="expression" dxfId="1107" priority="366">
      <formula>$F3="Fail"</formula>
    </cfRule>
  </conditionalFormatting>
  <conditionalFormatting sqref="L7">
    <cfRule type="expression" dxfId="1106" priority="361">
      <formula>$F7="Fail"</formula>
    </cfRule>
  </conditionalFormatting>
  <conditionalFormatting sqref="L6">
    <cfRule type="expression" dxfId="1105" priority="360">
      <formula>$F6="Fail"</formula>
    </cfRule>
  </conditionalFormatting>
  <conditionalFormatting sqref="G172:K172">
    <cfRule type="expression" dxfId="1104" priority="339">
      <formula>$F172="Fail"</formula>
    </cfRule>
  </conditionalFormatting>
  <conditionalFormatting sqref="D29:D31">
    <cfRule type="expression" dxfId="1103" priority="325">
      <formula>$F29="Fail"</formula>
    </cfRule>
  </conditionalFormatting>
  <conditionalFormatting sqref="B32">
    <cfRule type="expression" dxfId="1102" priority="306">
      <formula>$F32="Fail"</formula>
    </cfRule>
  </conditionalFormatting>
  <conditionalFormatting sqref="C32">
    <cfRule type="expression" dxfId="1101" priority="305">
      <formula>$F32="Fail"</formula>
    </cfRule>
  </conditionalFormatting>
  <conditionalFormatting sqref="C94:C95">
    <cfRule type="expression" dxfId="1100" priority="298">
      <formula>$F94="Fail"</formula>
    </cfRule>
  </conditionalFormatting>
  <conditionalFormatting sqref="B37">
    <cfRule type="expression" dxfId="1099" priority="297">
      <formula>$F37="Fail"</formula>
    </cfRule>
  </conditionalFormatting>
  <conditionalFormatting sqref="C37">
    <cfRule type="expression" dxfId="1098" priority="296">
      <formula>$F37="Fail"</formula>
    </cfRule>
  </conditionalFormatting>
  <conditionalFormatting sqref="C171">
    <cfRule type="expression" dxfId="1097" priority="290">
      <formula>$F171="Fail"</formula>
    </cfRule>
  </conditionalFormatting>
  <conditionalFormatting sqref="D15:D20 B20:C20">
    <cfRule type="expression" dxfId="1096" priority="274">
      <formula>$F15="Fail"</formula>
    </cfRule>
  </conditionalFormatting>
  <conditionalFormatting sqref="B168:C168">
    <cfRule type="expression" dxfId="1095" priority="282">
      <formula>$F168="Fail"</formula>
    </cfRule>
  </conditionalFormatting>
  <conditionalFormatting sqref="D168">
    <cfRule type="expression" dxfId="1094" priority="281">
      <formula>$F168="Fail"</formula>
    </cfRule>
  </conditionalFormatting>
  <conditionalFormatting sqref="B8:C8">
    <cfRule type="expression" dxfId="1093" priority="279">
      <formula>$F8="Fail"</formula>
    </cfRule>
  </conditionalFormatting>
  <conditionalFormatting sqref="B8:C8">
    <cfRule type="expression" dxfId="1092" priority="278">
      <formula>$F8="Fail"</formula>
    </cfRule>
  </conditionalFormatting>
  <conditionalFormatting sqref="B9:C9">
    <cfRule type="expression" dxfId="1091" priority="277">
      <formula>$F9="Fail"</formula>
    </cfRule>
  </conditionalFormatting>
  <conditionalFormatting sqref="C4 B5:C7">
    <cfRule type="expression" dxfId="1090" priority="276">
      <formula>$F4="Fail"</formula>
    </cfRule>
  </conditionalFormatting>
  <conditionalFormatting sqref="B4">
    <cfRule type="expression" dxfId="1089" priority="275">
      <formula>$F4="Fail"</formula>
    </cfRule>
  </conditionalFormatting>
  <conditionalFormatting sqref="B19:C19">
    <cfRule type="expression" dxfId="1088" priority="266">
      <formula>$F19="Fail"</formula>
    </cfRule>
  </conditionalFormatting>
  <conditionalFormatting sqref="D11">
    <cfRule type="expression" dxfId="1087" priority="272">
      <formula>$F11="Fail"</formula>
    </cfRule>
  </conditionalFormatting>
  <conditionalFormatting sqref="B10:C10 B17">
    <cfRule type="expression" dxfId="1086" priority="270">
      <formula>$F10="Fail"</formula>
    </cfRule>
  </conditionalFormatting>
  <conditionalFormatting sqref="C17">
    <cfRule type="expression" dxfId="1085" priority="267">
      <formula>$F17="Fail"</formula>
    </cfRule>
  </conditionalFormatting>
  <conditionalFormatting sqref="C18">
    <cfRule type="expression" dxfId="1084" priority="263">
      <formula>$F18="Fail"</formula>
    </cfRule>
  </conditionalFormatting>
  <conditionalFormatting sqref="B11">
    <cfRule type="expression" dxfId="1083" priority="269">
      <formula>$F11="Fail"</formula>
    </cfRule>
  </conditionalFormatting>
  <conditionalFormatting sqref="C11">
    <cfRule type="expression" dxfId="1082" priority="268">
      <formula>$F11="Fail"</formula>
    </cfRule>
  </conditionalFormatting>
  <conditionalFormatting sqref="D10">
    <cfRule type="expression" dxfId="1081" priority="265">
      <formula>$F10="Fail"</formula>
    </cfRule>
  </conditionalFormatting>
  <conditionalFormatting sqref="B18">
    <cfRule type="expression" dxfId="1080" priority="264">
      <formula>$F18="Fail"</formula>
    </cfRule>
  </conditionalFormatting>
  <conditionalFormatting sqref="B19">
    <cfRule type="expression" dxfId="1079" priority="262">
      <formula>$F19="Fail"</formula>
    </cfRule>
  </conditionalFormatting>
  <conditionalFormatting sqref="C19">
    <cfRule type="expression" dxfId="1078" priority="261">
      <formula>$F19="Fail"</formula>
    </cfRule>
  </conditionalFormatting>
  <conditionalFormatting sqref="B27:C27">
    <cfRule type="expression" dxfId="1077" priority="245">
      <formula>$F27="Fail"</formula>
    </cfRule>
  </conditionalFormatting>
  <conditionalFormatting sqref="D27:D28">
    <cfRule type="expression" dxfId="1076" priority="258">
      <formula>$F27="Fail"</formula>
    </cfRule>
  </conditionalFormatting>
  <conditionalFormatting sqref="C21">
    <cfRule type="expression" dxfId="1075" priority="256">
      <formula>$F21="Fail"</formula>
    </cfRule>
  </conditionalFormatting>
  <conditionalFormatting sqref="B21">
    <cfRule type="expression" dxfId="1074" priority="255">
      <formula>$F21="Fail"</formula>
    </cfRule>
  </conditionalFormatting>
  <conditionalFormatting sqref="B24:C26 B28:C30 B31">
    <cfRule type="expression" dxfId="1073" priority="248">
      <formula>$F24="Fail"</formula>
    </cfRule>
  </conditionalFormatting>
  <conditionalFormatting sqref="B22:C22">
    <cfRule type="expression" dxfId="1072" priority="247">
      <formula>$F22="Fail"</formula>
    </cfRule>
  </conditionalFormatting>
  <conditionalFormatting sqref="D21">
    <cfRule type="expression" dxfId="1071" priority="251">
      <formula>$F21="Fail"</formula>
    </cfRule>
  </conditionalFormatting>
  <conditionalFormatting sqref="C31">
    <cfRule type="expression" dxfId="1070" priority="244">
      <formula>$F31="Fail"</formula>
    </cfRule>
  </conditionalFormatting>
  <conditionalFormatting sqref="B109:C109 B121:C122">
    <cfRule type="expression" dxfId="1069" priority="226">
      <formula>$F109="Fail"</formula>
    </cfRule>
  </conditionalFormatting>
  <conditionalFormatting sqref="B109:C109 B121:C122">
    <cfRule type="expression" dxfId="1068" priority="225">
      <formula>$F109="Fail"</formula>
    </cfRule>
  </conditionalFormatting>
  <conditionalFormatting sqref="D118:D120">
    <cfRule type="expression" dxfId="1067" priority="224">
      <formula>$F118="Fail"</formula>
    </cfRule>
  </conditionalFormatting>
  <conditionalFormatting sqref="B116:C116">
    <cfRule type="expression" dxfId="1066" priority="212">
      <formula>$F116="Fail"</formula>
    </cfRule>
  </conditionalFormatting>
  <conditionalFormatting sqref="D116:D117">
    <cfRule type="expression" dxfId="1065" priority="219">
      <formula>$F116="Fail"</formula>
    </cfRule>
  </conditionalFormatting>
  <conditionalFormatting sqref="C110">
    <cfRule type="expression" dxfId="1064" priority="218">
      <formula>$F110="Fail"</formula>
    </cfRule>
  </conditionalFormatting>
  <conditionalFormatting sqref="B113:C115 B117:C119 B120">
    <cfRule type="expression" dxfId="1063" priority="215">
      <formula>$F113="Fail"</formula>
    </cfRule>
  </conditionalFormatting>
  <conditionalFormatting sqref="B111:C111">
    <cfRule type="expression" dxfId="1062" priority="214">
      <formula>$F111="Fail"</formula>
    </cfRule>
  </conditionalFormatting>
  <conditionalFormatting sqref="D124">
    <cfRule type="expression" dxfId="1061" priority="200">
      <formula>$F124="Fail"</formula>
    </cfRule>
  </conditionalFormatting>
  <conditionalFormatting sqref="C120">
    <cfRule type="expression" dxfId="1060" priority="211">
      <formula>$F120="Fail"</formula>
    </cfRule>
  </conditionalFormatting>
  <conditionalFormatting sqref="B110">
    <cfRule type="expression" dxfId="1059" priority="210">
      <formula>$F110="Fail"</formula>
    </cfRule>
  </conditionalFormatting>
  <conditionalFormatting sqref="C123">
    <cfRule type="expression" dxfId="1058" priority="209">
      <formula>$F123="Fail"</formula>
    </cfRule>
  </conditionalFormatting>
  <conditionalFormatting sqref="C123">
    <cfRule type="expression" dxfId="1057" priority="208">
      <formula>$F123="Fail"</formula>
    </cfRule>
  </conditionalFormatting>
  <conditionalFormatting sqref="D132:D134">
    <cfRule type="expression" dxfId="1056" priority="207">
      <formula>$F132="Fail"</formula>
    </cfRule>
  </conditionalFormatting>
  <conditionalFormatting sqref="B130:C130">
    <cfRule type="expression" dxfId="1055" priority="196">
      <formula>$F130="Fail"</formula>
    </cfRule>
  </conditionalFormatting>
  <conditionalFormatting sqref="D130:D131">
    <cfRule type="expression" dxfId="1054" priority="202">
      <formula>$F130="Fail"</formula>
    </cfRule>
  </conditionalFormatting>
  <conditionalFormatting sqref="C124">
    <cfRule type="expression" dxfId="1053" priority="201">
      <formula>$F124="Fail"</formula>
    </cfRule>
  </conditionalFormatting>
  <conditionalFormatting sqref="B138">
    <cfRule type="expression" dxfId="1052" priority="184">
      <formula>$F138="Fail"</formula>
    </cfRule>
  </conditionalFormatting>
  <conditionalFormatting sqref="B127:C129 B131:C133 B134">
    <cfRule type="expression" dxfId="1051" priority="199">
      <formula>$F127="Fail"</formula>
    </cfRule>
  </conditionalFormatting>
  <conditionalFormatting sqref="B125:C125">
    <cfRule type="expression" dxfId="1050" priority="198">
      <formula>$F125="Fail"</formula>
    </cfRule>
  </conditionalFormatting>
  <conditionalFormatting sqref="C134">
    <cfRule type="expression" dxfId="1049" priority="195">
      <formula>$F134="Fail"</formula>
    </cfRule>
  </conditionalFormatting>
  <conditionalFormatting sqref="B124">
    <cfRule type="expression" dxfId="1048" priority="194">
      <formula>$F124="Fail"</formula>
    </cfRule>
  </conditionalFormatting>
  <conditionalFormatting sqref="C137 B150:C151">
    <cfRule type="expression" dxfId="1047" priority="193">
      <formula>$F137="Fail"</formula>
    </cfRule>
  </conditionalFormatting>
  <conditionalFormatting sqref="C137 B150:C151">
    <cfRule type="expression" dxfId="1046" priority="192">
      <formula>$F137="Fail"</formula>
    </cfRule>
  </conditionalFormatting>
  <conditionalFormatting sqref="D147:D149">
    <cfRule type="expression" dxfId="1045" priority="191">
      <formula>$F147="Fail"</formula>
    </cfRule>
  </conditionalFormatting>
  <conditionalFormatting sqref="B145:C145">
    <cfRule type="expression" dxfId="1044" priority="179">
      <formula>$F145="Fail"</formula>
    </cfRule>
  </conditionalFormatting>
  <conditionalFormatting sqref="D145:D146">
    <cfRule type="expression" dxfId="1043" priority="186">
      <formula>$F145="Fail"</formula>
    </cfRule>
  </conditionalFormatting>
  <conditionalFormatting sqref="C138">
    <cfRule type="expression" dxfId="1042" priority="185">
      <formula>$F138="Fail"</formula>
    </cfRule>
  </conditionalFormatting>
  <conditionalFormatting sqref="B142:C144 B146:C148 B149">
    <cfRule type="expression" dxfId="1041" priority="182">
      <formula>$F142="Fail"</formula>
    </cfRule>
  </conditionalFormatting>
  <conditionalFormatting sqref="B139:C139">
    <cfRule type="expression" dxfId="1040" priority="181">
      <formula>$F139="Fail"</formula>
    </cfRule>
  </conditionalFormatting>
  <conditionalFormatting sqref="C149">
    <cfRule type="expression" dxfId="1039" priority="178">
      <formula>$F149="Fail"</formula>
    </cfRule>
  </conditionalFormatting>
  <conditionalFormatting sqref="C140">
    <cfRule type="expression" dxfId="1038" priority="180">
      <formula>$F140="Fail"</formula>
    </cfRule>
  </conditionalFormatting>
  <conditionalFormatting sqref="C152">
    <cfRule type="expression" dxfId="1037" priority="161">
      <formula>$F152="Fail"</formula>
    </cfRule>
  </conditionalFormatting>
  <conditionalFormatting sqref="C152">
    <cfRule type="expression" dxfId="1036" priority="160">
      <formula>$F152="Fail"</formula>
    </cfRule>
  </conditionalFormatting>
  <conditionalFormatting sqref="D162:D164">
    <cfRule type="expression" dxfId="1035" priority="159">
      <formula>$F162="Fail"</formula>
    </cfRule>
  </conditionalFormatting>
  <conditionalFormatting sqref="C164">
    <cfRule type="expression" dxfId="1034" priority="149">
      <formula>$F164="Fail"</formula>
    </cfRule>
  </conditionalFormatting>
  <conditionalFormatting sqref="D160:D161">
    <cfRule type="expression" dxfId="1033" priority="157">
      <formula>$F160="Fail"</formula>
    </cfRule>
  </conditionalFormatting>
  <conditionalFormatting sqref="C153">
    <cfRule type="expression" dxfId="1032" priority="156">
      <formula>$F153="Fail"</formula>
    </cfRule>
  </conditionalFormatting>
  <conditionalFormatting sqref="B153">
    <cfRule type="expression" dxfId="1031" priority="155">
      <formula>$F153="Fail"</formula>
    </cfRule>
  </conditionalFormatting>
  <conditionalFormatting sqref="B154:C154">
    <cfRule type="expression" dxfId="1030" priority="152">
      <formula>$F154="Fail"</formula>
    </cfRule>
  </conditionalFormatting>
  <conditionalFormatting sqref="B157:C159 B161:C163 B164">
    <cfRule type="expression" dxfId="1029" priority="153">
      <formula>$F157="Fail"</formula>
    </cfRule>
  </conditionalFormatting>
  <conditionalFormatting sqref="B140">
    <cfRule type="expression" dxfId="1028" priority="148">
      <formula>$F140="Fail"</formula>
    </cfRule>
  </conditionalFormatting>
  <conditionalFormatting sqref="B160:C160">
    <cfRule type="expression" dxfId="1027" priority="150">
      <formula>$F160="Fail"</formula>
    </cfRule>
  </conditionalFormatting>
  <conditionalFormatting sqref="B165:C166">
    <cfRule type="expression" dxfId="1026" priority="147">
      <formula>$F165="Fail"</formula>
    </cfRule>
  </conditionalFormatting>
  <conditionalFormatting sqref="B165:C166">
    <cfRule type="expression" dxfId="1025" priority="146">
      <formula>$F165="Fail"</formula>
    </cfRule>
  </conditionalFormatting>
  <conditionalFormatting sqref="B123">
    <cfRule type="expression" dxfId="1024" priority="143">
      <formula>$F123="Fail"</formula>
    </cfRule>
  </conditionalFormatting>
  <conditionalFormatting sqref="B123">
    <cfRule type="expression" dxfId="1023" priority="142">
      <formula>$F123="Fail"</formula>
    </cfRule>
  </conditionalFormatting>
  <conditionalFormatting sqref="B137">
    <cfRule type="expression" dxfId="1022" priority="141">
      <formula>$F137="Fail"</formula>
    </cfRule>
  </conditionalFormatting>
  <conditionalFormatting sqref="B137">
    <cfRule type="expression" dxfId="1021" priority="140">
      <formula>$F137="Fail"</formula>
    </cfRule>
  </conditionalFormatting>
  <conditionalFormatting sqref="B152">
    <cfRule type="expression" dxfId="1020" priority="139">
      <formula>$F152="Fail"</formula>
    </cfRule>
  </conditionalFormatting>
  <conditionalFormatting sqref="B152">
    <cfRule type="expression" dxfId="1019" priority="138">
      <formula>$F152="Fail"</formula>
    </cfRule>
  </conditionalFormatting>
  <conditionalFormatting sqref="C63:C65 C73:C75">
    <cfRule type="expression" dxfId="1018" priority="137">
      <formula>$F63="Fail"</formula>
    </cfRule>
  </conditionalFormatting>
  <conditionalFormatting sqref="C72">
    <cfRule type="expression" dxfId="1017" priority="136">
      <formula>$F72="Fail"</formula>
    </cfRule>
  </conditionalFormatting>
  <conditionalFormatting sqref="C83:C85 C91">
    <cfRule type="expression" dxfId="1016" priority="135">
      <formula>$F83="Fail"</formula>
    </cfRule>
  </conditionalFormatting>
  <conditionalFormatting sqref="C82">
    <cfRule type="expression" dxfId="1015" priority="134">
      <formula>$F82="Fail"</formula>
    </cfRule>
  </conditionalFormatting>
  <conditionalFormatting sqref="C48:C51">
    <cfRule type="expression" dxfId="1014" priority="132">
      <formula>$F48="Fail"</formula>
    </cfRule>
  </conditionalFormatting>
  <conditionalFormatting sqref="C48:C51">
    <cfRule type="expression" dxfId="1013" priority="131">
      <formula>$F48="Fail"</formula>
    </cfRule>
  </conditionalFormatting>
  <conditionalFormatting sqref="C46">
    <cfRule type="expression" dxfId="1012" priority="130">
      <formula>$F46="Fail"</formula>
    </cfRule>
  </conditionalFormatting>
  <conditionalFormatting sqref="C46">
    <cfRule type="expression" dxfId="1011" priority="129">
      <formula>$F46="Fail"</formula>
    </cfRule>
  </conditionalFormatting>
  <conditionalFormatting sqref="C46">
    <cfRule type="expression" dxfId="1010" priority="128">
      <formula>$F46="Fail"</formula>
    </cfRule>
  </conditionalFormatting>
  <conditionalFormatting sqref="C58:C59">
    <cfRule type="expression" dxfId="1009" priority="127">
      <formula>$F58="Fail"</formula>
    </cfRule>
  </conditionalFormatting>
  <conditionalFormatting sqref="C58:C59">
    <cfRule type="expression" dxfId="1008" priority="126">
      <formula>$F58="Fail"</formula>
    </cfRule>
  </conditionalFormatting>
  <conditionalFormatting sqref="C56">
    <cfRule type="expression" dxfId="1007" priority="125">
      <formula>$F56="Fail"</formula>
    </cfRule>
  </conditionalFormatting>
  <conditionalFormatting sqref="C56">
    <cfRule type="expression" dxfId="1006" priority="124">
      <formula>$F56="Fail"</formula>
    </cfRule>
  </conditionalFormatting>
  <conditionalFormatting sqref="C56">
    <cfRule type="expression" dxfId="1005" priority="123">
      <formula>$F56="Fail"</formula>
    </cfRule>
  </conditionalFormatting>
  <conditionalFormatting sqref="C68:C69">
    <cfRule type="expression" dxfId="1004" priority="122">
      <formula>$F68="Fail"</formula>
    </cfRule>
  </conditionalFormatting>
  <conditionalFormatting sqref="C68:C69">
    <cfRule type="expression" dxfId="1003" priority="121">
      <formula>$F68="Fail"</formula>
    </cfRule>
  </conditionalFormatting>
  <conditionalFormatting sqref="C66">
    <cfRule type="expression" dxfId="1002" priority="120">
      <formula>$F66="Fail"</formula>
    </cfRule>
  </conditionalFormatting>
  <conditionalFormatting sqref="C66">
    <cfRule type="expression" dxfId="1001" priority="119">
      <formula>$F66="Fail"</formula>
    </cfRule>
  </conditionalFormatting>
  <conditionalFormatting sqref="C66">
    <cfRule type="expression" dxfId="1000" priority="118">
      <formula>$F66="Fail"</formula>
    </cfRule>
  </conditionalFormatting>
  <conditionalFormatting sqref="C77:C79">
    <cfRule type="expression" dxfId="999" priority="117">
      <formula>$F77="Fail"</formula>
    </cfRule>
  </conditionalFormatting>
  <conditionalFormatting sqref="C77:C79">
    <cfRule type="expression" dxfId="998" priority="116">
      <formula>$F77="Fail"</formula>
    </cfRule>
  </conditionalFormatting>
  <conditionalFormatting sqref="C76">
    <cfRule type="expression" dxfId="997" priority="115">
      <formula>$F76="Fail"</formula>
    </cfRule>
  </conditionalFormatting>
  <conditionalFormatting sqref="C76">
    <cfRule type="expression" dxfId="996" priority="114">
      <formula>$F76="Fail"</formula>
    </cfRule>
  </conditionalFormatting>
  <conditionalFormatting sqref="C76">
    <cfRule type="expression" dxfId="995" priority="113">
      <formula>$F76="Fail"</formula>
    </cfRule>
  </conditionalFormatting>
  <conditionalFormatting sqref="C88:C89">
    <cfRule type="expression" dxfId="994" priority="112">
      <formula>$F88="Fail"</formula>
    </cfRule>
  </conditionalFormatting>
  <conditionalFormatting sqref="C88:C89">
    <cfRule type="expression" dxfId="993" priority="111">
      <formula>$F88="Fail"</formula>
    </cfRule>
  </conditionalFormatting>
  <conditionalFormatting sqref="C86">
    <cfRule type="expression" dxfId="992" priority="110">
      <formula>$F86="Fail"</formula>
    </cfRule>
  </conditionalFormatting>
  <conditionalFormatting sqref="C86">
    <cfRule type="expression" dxfId="991" priority="109">
      <formula>$F86="Fail"</formula>
    </cfRule>
  </conditionalFormatting>
  <conditionalFormatting sqref="C86">
    <cfRule type="expression" dxfId="990" priority="108">
      <formula>$F86="Fail"</formula>
    </cfRule>
  </conditionalFormatting>
  <conditionalFormatting sqref="B46">
    <cfRule type="expression" dxfId="989" priority="107">
      <formula>$F46="Fail"</formula>
    </cfRule>
  </conditionalFormatting>
  <conditionalFormatting sqref="B56">
    <cfRule type="expression" dxfId="988" priority="106">
      <formula>$F56="Fail"</formula>
    </cfRule>
  </conditionalFormatting>
  <conditionalFormatting sqref="B66">
    <cfRule type="expression" dxfId="987" priority="105">
      <formula>$F66="Fail"</formula>
    </cfRule>
  </conditionalFormatting>
  <conditionalFormatting sqref="B76">
    <cfRule type="expression" dxfId="986" priority="104">
      <formula>$F76="Fail"</formula>
    </cfRule>
  </conditionalFormatting>
  <conditionalFormatting sqref="B86">
    <cfRule type="expression" dxfId="985" priority="103">
      <formula>$F86="Fail"</formula>
    </cfRule>
  </conditionalFormatting>
  <conditionalFormatting sqref="C70:C71">
    <cfRule type="expression" dxfId="984" priority="102">
      <formula>$F70="Fail"</formula>
    </cfRule>
  </conditionalFormatting>
  <conditionalFormatting sqref="C70:C71">
    <cfRule type="expression" dxfId="983" priority="101">
      <formula>$F70="Fail"</formula>
    </cfRule>
  </conditionalFormatting>
  <conditionalFormatting sqref="C60:C61">
    <cfRule type="expression" dxfId="982" priority="100">
      <formula>$F60="Fail"</formula>
    </cfRule>
  </conditionalFormatting>
  <conditionalFormatting sqref="C60:C61">
    <cfRule type="expression" dxfId="981" priority="99">
      <formula>$F60="Fail"</formula>
    </cfRule>
  </conditionalFormatting>
  <conditionalFormatting sqref="C80:C81">
    <cfRule type="expression" dxfId="980" priority="98">
      <formula>$F80="Fail"</formula>
    </cfRule>
  </conditionalFormatting>
  <conditionalFormatting sqref="C80:C81">
    <cfRule type="expression" dxfId="979" priority="97">
      <formula>$F80="Fail"</formula>
    </cfRule>
  </conditionalFormatting>
  <conditionalFormatting sqref="C90">
    <cfRule type="expression" dxfId="978" priority="96">
      <formula>$F90="Fail"</formula>
    </cfRule>
  </conditionalFormatting>
  <conditionalFormatting sqref="C90">
    <cfRule type="expression" dxfId="977" priority="95">
      <formula>$F90="Fail"</formula>
    </cfRule>
  </conditionalFormatting>
  <conditionalFormatting sqref="C87">
    <cfRule type="expression" dxfId="976" priority="77">
      <formula>$F87="Fail"</formula>
    </cfRule>
  </conditionalFormatting>
  <conditionalFormatting sqref="C87">
    <cfRule type="expression" dxfId="975" priority="76">
      <formula>$F87="Fail"</formula>
    </cfRule>
  </conditionalFormatting>
  <conditionalFormatting sqref="C87">
    <cfRule type="expression" dxfId="974" priority="75">
      <formula>$F87="Fail"</formula>
    </cfRule>
  </conditionalFormatting>
  <conditionalFormatting sqref="C67">
    <cfRule type="expression" dxfId="973" priority="74">
      <formula>$F67="Fail"</formula>
    </cfRule>
  </conditionalFormatting>
  <conditionalFormatting sqref="C67">
    <cfRule type="expression" dxfId="972" priority="73">
      <formula>$F67="Fail"</formula>
    </cfRule>
  </conditionalFormatting>
  <conditionalFormatting sqref="C67">
    <cfRule type="expression" dxfId="971" priority="72">
      <formula>$F67="Fail"</formula>
    </cfRule>
  </conditionalFormatting>
  <conditionalFormatting sqref="C57">
    <cfRule type="expression" dxfId="970" priority="71">
      <formula>$F57="Fail"</formula>
    </cfRule>
  </conditionalFormatting>
  <conditionalFormatting sqref="C57">
    <cfRule type="expression" dxfId="969" priority="70">
      <formula>$F57="Fail"</formula>
    </cfRule>
  </conditionalFormatting>
  <conditionalFormatting sqref="C57">
    <cfRule type="expression" dxfId="968" priority="69">
      <formula>$F57="Fail"</formula>
    </cfRule>
  </conditionalFormatting>
  <conditionalFormatting sqref="C47">
    <cfRule type="expression" dxfId="967" priority="68">
      <formula>$F47="Fail"</formula>
    </cfRule>
  </conditionalFormatting>
  <conditionalFormatting sqref="C47">
    <cfRule type="expression" dxfId="966" priority="67">
      <formula>$F47="Fail"</formula>
    </cfRule>
  </conditionalFormatting>
  <conditionalFormatting sqref="C47">
    <cfRule type="expression" dxfId="965" priority="66">
      <formula>$F47="Fail"</formula>
    </cfRule>
  </conditionalFormatting>
  <conditionalFormatting sqref="C170">
    <cfRule type="expression" dxfId="964" priority="65">
      <formula>$F169="Fail"</formula>
    </cfRule>
  </conditionalFormatting>
  <conditionalFormatting sqref="D170">
    <cfRule type="expression" dxfId="963" priority="63">
      <formula>$F170="Fail"</formula>
    </cfRule>
  </conditionalFormatting>
  <conditionalFormatting sqref="E10:K10">
    <cfRule type="expression" dxfId="962" priority="58">
      <formula>$F10="Fail"</formula>
    </cfRule>
  </conditionalFormatting>
  <conditionalFormatting sqref="L10">
    <cfRule type="expression" dxfId="961" priority="57">
      <formula>$F10="Fail"</formula>
    </cfRule>
  </conditionalFormatting>
  <conditionalFormatting sqref="E21:K21">
    <cfRule type="expression" dxfId="960" priority="56">
      <formula>$F21="Fail"</formula>
    </cfRule>
  </conditionalFormatting>
  <conditionalFormatting sqref="L21">
    <cfRule type="expression" dxfId="959" priority="55">
      <formula>$F21="Fail"</formula>
    </cfRule>
  </conditionalFormatting>
  <conditionalFormatting sqref="D32:K32">
    <cfRule type="expression" dxfId="958" priority="52">
      <formula>$F32="Fail"</formula>
    </cfRule>
  </conditionalFormatting>
  <conditionalFormatting sqref="L32">
    <cfRule type="expression" dxfId="957" priority="51">
      <formula>$F32="Fail"</formula>
    </cfRule>
  </conditionalFormatting>
  <conditionalFormatting sqref="D37:K37">
    <cfRule type="expression" dxfId="956" priority="50">
      <formula>$F37="Fail"</formula>
    </cfRule>
  </conditionalFormatting>
  <conditionalFormatting sqref="L37">
    <cfRule type="expression" dxfId="955" priority="49">
      <formula>$F37="Fail"</formula>
    </cfRule>
  </conditionalFormatting>
  <conditionalFormatting sqref="D102:K102">
    <cfRule type="expression" dxfId="954" priority="48">
      <formula>$F102="Fail"</formula>
    </cfRule>
  </conditionalFormatting>
  <conditionalFormatting sqref="L102">
    <cfRule type="expression" dxfId="953" priority="47">
      <formula>$F102="Fail"</formula>
    </cfRule>
  </conditionalFormatting>
  <conditionalFormatting sqref="D110:K110">
    <cfRule type="expression" dxfId="952" priority="46">
      <formula>$F110="Fail"</formula>
    </cfRule>
  </conditionalFormatting>
  <conditionalFormatting sqref="L110">
    <cfRule type="expression" dxfId="951" priority="45">
      <formula>$F110="Fail"</formula>
    </cfRule>
  </conditionalFormatting>
  <conditionalFormatting sqref="D121:K121">
    <cfRule type="expression" dxfId="950" priority="44">
      <formula>$F121="Fail"</formula>
    </cfRule>
  </conditionalFormatting>
  <conditionalFormatting sqref="L121">
    <cfRule type="expression" dxfId="949" priority="43">
      <formula>$F121="Fail"</formula>
    </cfRule>
  </conditionalFormatting>
  <conditionalFormatting sqref="D138:K138">
    <cfRule type="expression" dxfId="948" priority="42">
      <formula>$F138="Fail"</formula>
    </cfRule>
  </conditionalFormatting>
  <conditionalFormatting sqref="L138">
    <cfRule type="expression" dxfId="947" priority="41">
      <formula>$F138="Fail"</formula>
    </cfRule>
  </conditionalFormatting>
  <conditionalFormatting sqref="D153:K153">
    <cfRule type="expression" dxfId="946" priority="40">
      <formula>$F153="Fail"</formula>
    </cfRule>
  </conditionalFormatting>
  <conditionalFormatting sqref="L153">
    <cfRule type="expression" dxfId="945" priority="39">
      <formula>$F153="Fail"</formula>
    </cfRule>
  </conditionalFormatting>
  <conditionalFormatting sqref="D167:K167">
    <cfRule type="expression" dxfId="944" priority="38">
      <formula>$F167="Fail"</formula>
    </cfRule>
  </conditionalFormatting>
  <conditionalFormatting sqref="L167">
    <cfRule type="expression" dxfId="943" priority="37">
      <formula>$F167="Fail"</formula>
    </cfRule>
  </conditionalFormatting>
  <conditionalFormatting sqref="F50">
    <cfRule type="expression" dxfId="942" priority="34">
      <formula>$F50="Fail"</formula>
    </cfRule>
  </conditionalFormatting>
  <conditionalFormatting sqref="F92:F94">
    <cfRule type="expression" dxfId="941" priority="30">
      <formula>$F92="Fail"</formula>
    </cfRule>
  </conditionalFormatting>
  <conditionalFormatting sqref="F5:F9">
    <cfRule type="expression" dxfId="940" priority="18">
      <formula>$F5="Fail"</formula>
    </cfRule>
  </conditionalFormatting>
  <conditionalFormatting sqref="F11:F20">
    <cfRule type="expression" dxfId="939" priority="17">
      <formula>$F11="Fail"</formula>
    </cfRule>
  </conditionalFormatting>
  <conditionalFormatting sqref="F22:F31">
    <cfRule type="expression" dxfId="938" priority="16">
      <formula>$F22="Fail"</formula>
    </cfRule>
  </conditionalFormatting>
  <conditionalFormatting sqref="F33:F36">
    <cfRule type="expression" dxfId="937" priority="15">
      <formula>$F33="Fail"</formula>
    </cfRule>
  </conditionalFormatting>
  <conditionalFormatting sqref="F38:F49">
    <cfRule type="expression" dxfId="936" priority="14">
      <formula>$F38="Fail"</formula>
    </cfRule>
  </conditionalFormatting>
  <conditionalFormatting sqref="F52:F60">
    <cfRule type="expression" dxfId="935" priority="13">
      <formula>$F52="Fail"</formula>
    </cfRule>
  </conditionalFormatting>
  <conditionalFormatting sqref="F63:F70">
    <cfRule type="expression" dxfId="934" priority="12">
      <formula>$F63="Fail"</formula>
    </cfRule>
  </conditionalFormatting>
  <conditionalFormatting sqref="F96:F100">
    <cfRule type="expression" dxfId="933" priority="11">
      <formula>$F96="Fail"</formula>
    </cfRule>
  </conditionalFormatting>
  <conditionalFormatting sqref="F103:F108">
    <cfRule type="expression" dxfId="932" priority="10">
      <formula>$F103="Fail"</formula>
    </cfRule>
  </conditionalFormatting>
  <conditionalFormatting sqref="F111:F120">
    <cfRule type="expression" dxfId="931" priority="9">
      <formula>$F111="Fail"</formula>
    </cfRule>
  </conditionalFormatting>
  <conditionalFormatting sqref="F122">
    <cfRule type="expression" dxfId="930" priority="8">
      <formula>$F122="Fail"</formula>
    </cfRule>
  </conditionalFormatting>
  <conditionalFormatting sqref="F123">
    <cfRule type="expression" dxfId="929" priority="7">
      <formula>$F123="Fail"</formula>
    </cfRule>
  </conditionalFormatting>
  <conditionalFormatting sqref="F125:F134">
    <cfRule type="expression" dxfId="928" priority="6">
      <formula>$F125="Fail"</formula>
    </cfRule>
  </conditionalFormatting>
  <conditionalFormatting sqref="F135:F136">
    <cfRule type="expression" dxfId="927" priority="5">
      <formula>$F135="Fail"</formula>
    </cfRule>
  </conditionalFormatting>
  <conditionalFormatting sqref="F137">
    <cfRule type="expression" dxfId="926" priority="4">
      <formula>$F137="Fail"</formula>
    </cfRule>
  </conditionalFormatting>
  <conditionalFormatting sqref="F139:F151">
    <cfRule type="expression" dxfId="925" priority="3">
      <formula>$F139="Fail"</formula>
    </cfRule>
  </conditionalFormatting>
  <conditionalFormatting sqref="F154:F166">
    <cfRule type="expression" dxfId="924" priority="2">
      <formula>$F154="Fail"</formula>
    </cfRule>
  </conditionalFormatting>
  <conditionalFormatting sqref="F152">
    <cfRule type="expression" dxfId="1" priority="1">
      <formula>$F152="Fail"</formula>
    </cfRule>
  </conditionalFormatting>
  <dataValidations count="1">
    <dataValidation type="list" allowBlank="1" showInputMessage="1" showErrorMessage="1" sqref="F3:F171">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4" id="{F16819DA-4D98-41AF-A7A0-2C80DA8B91A0}">
            <xm:f>'C:\Users\E939818\Documents\_Project Documents\SVN TEST  team\_Sutuwa\Testing\Release 1\Stats\[SEB_InvestAdmin_Investment.xlsm]External'!#REF!="Fail"</xm:f>
            <x14:dxf>
              <font>
                <color rgb="FFFF0000"/>
              </font>
              <fill>
                <patternFill>
                  <bgColor theme="9" tint="0.59996337778862885"/>
                </patternFill>
              </fill>
            </x14:dxf>
          </x14:cfRule>
          <xm:sqref>B103:D108 B102:C102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132"/>
  <sheetViews>
    <sheetView topLeftCell="C1" zoomScaleNormal="100" workbookViewId="0">
      <pane ySplit="1" topLeftCell="A26" activePane="bottomLeft" state="frozen"/>
      <selection pane="bottomLeft" activeCell="C42" sqref="C42"/>
    </sheetView>
  </sheetViews>
  <sheetFormatPr defaultRowHeight="15" x14ac:dyDescent="0.25"/>
  <cols>
    <col min="1" max="1" width="11.28515625" style="3" bestFit="1" customWidth="1"/>
    <col min="2" max="2" width="56.7109375" style="1" customWidth="1"/>
    <col min="3" max="3" width="50.7109375" style="1" customWidth="1"/>
    <col min="4" max="4" width="48.140625" style="1" customWidth="1"/>
    <col min="5" max="5" width="7.85546875" style="1" customWidth="1"/>
    <col min="6" max="6" width="8.42578125"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9" customFormat="1" x14ac:dyDescent="0.25">
      <c r="A2" s="15">
        <v>2</v>
      </c>
      <c r="B2" s="16" t="s">
        <v>605</v>
      </c>
      <c r="C2" s="17"/>
      <c r="D2" s="16"/>
      <c r="E2" s="16"/>
      <c r="F2" s="18"/>
      <c r="G2" s="18"/>
      <c r="H2" s="18"/>
      <c r="I2" s="18"/>
      <c r="J2" s="18"/>
      <c r="K2" s="18"/>
      <c r="L2" s="16"/>
    </row>
    <row r="3" spans="1:12" ht="25.5" x14ac:dyDescent="0.25">
      <c r="A3" s="4">
        <f>A2+0.0001</f>
        <v>2.0001000000000002</v>
      </c>
      <c r="B3" s="72" t="s">
        <v>1001</v>
      </c>
      <c r="C3" s="94" t="s">
        <v>614</v>
      </c>
      <c r="D3" s="6" t="s">
        <v>601</v>
      </c>
      <c r="E3" s="6"/>
      <c r="F3" s="7"/>
      <c r="G3" s="7">
        <f t="shared" ref="G3:K10" si="0">IF($F3=G$1,1,0)</f>
        <v>0</v>
      </c>
      <c r="H3" s="7">
        <f t="shared" si="0"/>
        <v>0</v>
      </c>
      <c r="I3" s="7">
        <f t="shared" si="0"/>
        <v>1</v>
      </c>
      <c r="J3" s="7">
        <f t="shared" si="0"/>
        <v>0</v>
      </c>
      <c r="K3" s="7">
        <f t="shared" si="0"/>
        <v>0</v>
      </c>
      <c r="L3" s="6"/>
    </row>
    <row r="4" spans="1:12" x14ac:dyDescent="0.25">
      <c r="A4" s="4">
        <f t="shared" ref="A4:A72" si="1">A3+0.0001</f>
        <v>2.0002000000000004</v>
      </c>
      <c r="B4" s="53" t="s">
        <v>1003</v>
      </c>
      <c r="C4" s="22"/>
      <c r="D4" s="6"/>
      <c r="E4" s="6"/>
      <c r="F4" s="7"/>
      <c r="G4" s="7">
        <f t="shared" si="0"/>
        <v>0</v>
      </c>
      <c r="H4" s="7">
        <f t="shared" si="0"/>
        <v>0</v>
      </c>
      <c r="I4" s="7">
        <f t="shared" si="0"/>
        <v>1</v>
      </c>
      <c r="J4" s="7">
        <f t="shared" si="0"/>
        <v>0</v>
      </c>
      <c r="K4" s="7">
        <f t="shared" si="0"/>
        <v>0</v>
      </c>
      <c r="L4" s="6"/>
    </row>
    <row r="5" spans="1:12" x14ac:dyDescent="0.25">
      <c r="A5" s="4">
        <f t="shared" si="1"/>
        <v>2.0003000000000006</v>
      </c>
      <c r="B5" s="53" t="s">
        <v>554</v>
      </c>
      <c r="C5" s="22"/>
      <c r="D5" s="6"/>
      <c r="E5" s="6"/>
      <c r="F5" s="7"/>
      <c r="G5" s="7"/>
      <c r="H5" s="7"/>
      <c r="I5" s="7"/>
      <c r="J5" s="7"/>
      <c r="K5" s="7"/>
      <c r="L5" s="6"/>
    </row>
    <row r="6" spans="1:12" x14ac:dyDescent="0.25">
      <c r="A6" s="4">
        <f t="shared" si="1"/>
        <v>2.0004000000000008</v>
      </c>
      <c r="B6" s="87" t="s">
        <v>495</v>
      </c>
      <c r="C6" s="80"/>
      <c r="D6" s="6"/>
      <c r="E6" s="6"/>
      <c r="F6" s="7"/>
      <c r="G6" s="7"/>
      <c r="H6" s="7"/>
      <c r="I6" s="7"/>
      <c r="J6" s="7"/>
      <c r="K6" s="7"/>
      <c r="L6" s="6"/>
    </row>
    <row r="7" spans="1:12" ht="38.25" x14ac:dyDescent="0.25">
      <c r="A7" s="4">
        <f t="shared" si="1"/>
        <v>2.0005000000000011</v>
      </c>
      <c r="B7" s="24" t="s">
        <v>425</v>
      </c>
      <c r="C7" s="22" t="s">
        <v>1002</v>
      </c>
      <c r="D7" s="6"/>
      <c r="E7" s="6"/>
      <c r="F7" s="7"/>
      <c r="G7" s="7">
        <f t="shared" si="0"/>
        <v>0</v>
      </c>
      <c r="H7" s="7">
        <f t="shared" si="0"/>
        <v>0</v>
      </c>
      <c r="I7" s="7">
        <f t="shared" si="0"/>
        <v>1</v>
      </c>
      <c r="J7" s="7">
        <f t="shared" si="0"/>
        <v>0</v>
      </c>
      <c r="K7" s="7">
        <f t="shared" si="0"/>
        <v>0</v>
      </c>
      <c r="L7" s="6"/>
    </row>
    <row r="8" spans="1:12" x14ac:dyDescent="0.25">
      <c r="A8" s="4">
        <f t="shared" si="1"/>
        <v>2.0006000000000013</v>
      </c>
      <c r="B8" s="43" t="s">
        <v>350</v>
      </c>
      <c r="C8" s="23" t="s">
        <v>602</v>
      </c>
      <c r="D8" s="6"/>
      <c r="E8" s="6"/>
      <c r="F8" s="7"/>
      <c r="G8" s="7">
        <f t="shared" si="0"/>
        <v>0</v>
      </c>
      <c r="H8" s="7">
        <f t="shared" si="0"/>
        <v>0</v>
      </c>
      <c r="I8" s="7">
        <f t="shared" si="0"/>
        <v>1</v>
      </c>
      <c r="J8" s="7">
        <f t="shared" si="0"/>
        <v>0</v>
      </c>
      <c r="K8" s="7">
        <f t="shared" si="0"/>
        <v>0</v>
      </c>
      <c r="L8" s="6"/>
    </row>
    <row r="9" spans="1:12" x14ac:dyDescent="0.25">
      <c r="A9" s="4">
        <f t="shared" si="1"/>
        <v>2.0007000000000015</v>
      </c>
      <c r="B9" s="87" t="s">
        <v>496</v>
      </c>
      <c r="C9" s="80"/>
      <c r="D9" s="6"/>
      <c r="E9" s="6"/>
      <c r="F9" s="7"/>
      <c r="G9" s="7"/>
      <c r="H9" s="7"/>
      <c r="I9" s="7"/>
      <c r="J9" s="7"/>
      <c r="K9" s="7"/>
      <c r="L9" s="6"/>
    </row>
    <row r="10" spans="1:12" x14ac:dyDescent="0.25">
      <c r="A10" s="4">
        <f t="shared" si="1"/>
        <v>2.0008000000000017</v>
      </c>
      <c r="B10" s="24" t="s">
        <v>284</v>
      </c>
      <c r="C10" s="23" t="s">
        <v>285</v>
      </c>
      <c r="D10" s="6"/>
      <c r="E10" s="6"/>
      <c r="F10" s="7"/>
      <c r="G10" s="7">
        <f t="shared" si="0"/>
        <v>0</v>
      </c>
      <c r="H10" s="7">
        <f t="shared" si="0"/>
        <v>0</v>
      </c>
      <c r="I10" s="7">
        <f t="shared" si="0"/>
        <v>1</v>
      </c>
      <c r="J10" s="7">
        <f t="shared" si="0"/>
        <v>0</v>
      </c>
      <c r="K10" s="7">
        <f t="shared" si="0"/>
        <v>0</v>
      </c>
      <c r="L10" s="6"/>
    </row>
    <row r="11" spans="1:12" ht="25.5" x14ac:dyDescent="0.25">
      <c r="A11" s="4">
        <f t="shared" si="1"/>
        <v>2.0009000000000019</v>
      </c>
      <c r="B11" s="25"/>
      <c r="C11" s="23" t="s">
        <v>430</v>
      </c>
      <c r="D11" s="6"/>
      <c r="E11" s="6"/>
      <c r="F11" s="7"/>
      <c r="G11" s="7">
        <f t="shared" ref="G11:K12" si="2">IF($F11=G$1,1,0)</f>
        <v>0</v>
      </c>
      <c r="H11" s="7">
        <f t="shared" si="2"/>
        <v>0</v>
      </c>
      <c r="I11" s="7">
        <f t="shared" si="2"/>
        <v>1</v>
      </c>
      <c r="J11" s="7">
        <f t="shared" si="2"/>
        <v>0</v>
      </c>
      <c r="K11" s="7">
        <f t="shared" si="2"/>
        <v>0</v>
      </c>
      <c r="L11" s="6"/>
    </row>
    <row r="12" spans="1:12" x14ac:dyDescent="0.25">
      <c r="A12" s="4">
        <f t="shared" si="1"/>
        <v>2.0010000000000021</v>
      </c>
      <c r="B12" s="25" t="s">
        <v>603</v>
      </c>
      <c r="C12" s="48" t="s">
        <v>604</v>
      </c>
      <c r="D12" s="6"/>
      <c r="E12" s="6"/>
      <c r="F12" s="7"/>
      <c r="G12" s="7">
        <f t="shared" si="2"/>
        <v>0</v>
      </c>
      <c r="H12" s="7">
        <f t="shared" si="2"/>
        <v>0</v>
      </c>
      <c r="I12" s="7">
        <f t="shared" si="2"/>
        <v>1</v>
      </c>
      <c r="J12" s="7">
        <f t="shared" si="2"/>
        <v>0</v>
      </c>
      <c r="K12" s="7">
        <f t="shared" si="2"/>
        <v>0</v>
      </c>
      <c r="L12" s="6"/>
    </row>
    <row r="13" spans="1:12" x14ac:dyDescent="0.25">
      <c r="A13" s="4">
        <f t="shared" si="1"/>
        <v>2.0011000000000023</v>
      </c>
      <c r="B13" s="79" t="s">
        <v>621</v>
      </c>
      <c r="C13" s="80" t="s">
        <v>1004</v>
      </c>
      <c r="D13" s="6"/>
      <c r="E13" s="6"/>
      <c r="F13" s="7"/>
      <c r="G13" s="7"/>
      <c r="H13" s="7"/>
      <c r="I13" s="7"/>
      <c r="J13" s="7"/>
      <c r="K13" s="7"/>
      <c r="L13" s="6"/>
    </row>
    <row r="14" spans="1:12" x14ac:dyDescent="0.25">
      <c r="A14" s="4">
        <f t="shared" si="1"/>
        <v>2.0012000000000025</v>
      </c>
      <c r="B14" s="48" t="s">
        <v>662</v>
      </c>
      <c r="C14" s="23" t="s">
        <v>663</v>
      </c>
      <c r="D14" s="6"/>
      <c r="E14" s="6"/>
      <c r="F14" s="7"/>
      <c r="G14" s="7">
        <f t="shared" ref="G14:K19" si="3">IF($F14=G$1,1,0)</f>
        <v>0</v>
      </c>
      <c r="H14" s="7">
        <f t="shared" si="3"/>
        <v>0</v>
      </c>
      <c r="I14" s="7">
        <f t="shared" si="3"/>
        <v>1</v>
      </c>
      <c r="J14" s="7">
        <f t="shared" si="3"/>
        <v>0</v>
      </c>
      <c r="K14" s="7">
        <f t="shared" si="3"/>
        <v>0</v>
      </c>
      <c r="L14" s="6"/>
    </row>
    <row r="15" spans="1:12" x14ac:dyDescent="0.25">
      <c r="A15" s="4">
        <f t="shared" si="1"/>
        <v>2.0013000000000027</v>
      </c>
      <c r="B15" s="5"/>
      <c r="C15" s="23"/>
      <c r="D15" s="6"/>
      <c r="E15" s="6"/>
      <c r="F15" s="7"/>
      <c r="G15" s="7"/>
      <c r="H15" s="7"/>
      <c r="I15" s="7"/>
      <c r="J15" s="7"/>
      <c r="K15" s="7"/>
      <c r="L15" s="6"/>
    </row>
    <row r="16" spans="1:12" ht="25.5" x14ac:dyDescent="0.25">
      <c r="A16" s="4">
        <f t="shared" si="1"/>
        <v>2.001400000000003</v>
      </c>
      <c r="B16" s="8" t="s">
        <v>664</v>
      </c>
      <c r="C16" s="22" t="s">
        <v>452</v>
      </c>
      <c r="D16" s="6"/>
      <c r="E16" s="6"/>
      <c r="F16" s="7"/>
      <c r="G16" s="7">
        <f t="shared" si="3"/>
        <v>0</v>
      </c>
      <c r="H16" s="7">
        <f t="shared" si="3"/>
        <v>0</v>
      </c>
      <c r="I16" s="7">
        <f t="shared" si="3"/>
        <v>1</v>
      </c>
      <c r="J16" s="7">
        <f t="shared" si="3"/>
        <v>0</v>
      </c>
      <c r="K16" s="7">
        <f t="shared" si="3"/>
        <v>0</v>
      </c>
      <c r="L16" s="6"/>
    </row>
    <row r="17" spans="1:12" x14ac:dyDescent="0.25">
      <c r="A17" s="4">
        <f t="shared" si="1"/>
        <v>2.0015000000000032</v>
      </c>
      <c r="B17" s="108"/>
      <c r="C17" s="104" t="s">
        <v>1006</v>
      </c>
      <c r="D17" s="6"/>
      <c r="E17" s="6"/>
      <c r="F17" s="7"/>
      <c r="G17" s="7">
        <f t="shared" si="3"/>
        <v>0</v>
      </c>
      <c r="H17" s="7">
        <f t="shared" si="3"/>
        <v>0</v>
      </c>
      <c r="I17" s="7">
        <f t="shared" si="3"/>
        <v>1</v>
      </c>
      <c r="J17" s="7">
        <f t="shared" si="3"/>
        <v>0</v>
      </c>
      <c r="K17" s="7">
        <f t="shared" si="3"/>
        <v>0</v>
      </c>
      <c r="L17" s="6"/>
    </row>
    <row r="18" spans="1:12" ht="25.5" x14ac:dyDescent="0.25">
      <c r="A18" s="4">
        <f>A17+0.0001</f>
        <v>2.0016000000000034</v>
      </c>
      <c r="B18" s="5" t="s">
        <v>665</v>
      </c>
      <c r="C18" s="23" t="s">
        <v>1007</v>
      </c>
      <c r="D18" s="6"/>
      <c r="E18" s="6"/>
      <c r="F18" s="7"/>
      <c r="G18" s="7">
        <f t="shared" si="3"/>
        <v>0</v>
      </c>
      <c r="H18" s="7">
        <f t="shared" si="3"/>
        <v>0</v>
      </c>
      <c r="I18" s="7">
        <f t="shared" si="3"/>
        <v>1</v>
      </c>
      <c r="J18" s="7">
        <f t="shared" si="3"/>
        <v>0</v>
      </c>
      <c r="K18" s="7">
        <f t="shared" si="3"/>
        <v>0</v>
      </c>
      <c r="L18" s="6"/>
    </row>
    <row r="19" spans="1:12" x14ac:dyDescent="0.25">
      <c r="A19" s="4">
        <f>A18+0.0001</f>
        <v>2.0017000000000036</v>
      </c>
      <c r="B19" s="5" t="s">
        <v>674</v>
      </c>
      <c r="C19" s="23" t="s">
        <v>675</v>
      </c>
      <c r="D19" s="6"/>
      <c r="E19" s="6"/>
      <c r="F19" s="7"/>
      <c r="G19" s="7">
        <f t="shared" si="3"/>
        <v>0</v>
      </c>
      <c r="H19" s="7">
        <f t="shared" si="3"/>
        <v>0</v>
      </c>
      <c r="I19" s="7">
        <f t="shared" si="3"/>
        <v>1</v>
      </c>
      <c r="J19" s="7">
        <f t="shared" si="3"/>
        <v>0</v>
      </c>
      <c r="K19" s="7">
        <f t="shared" si="3"/>
        <v>0</v>
      </c>
      <c r="L19" s="6"/>
    </row>
    <row r="20" spans="1:12" x14ac:dyDescent="0.25">
      <c r="A20" s="4">
        <f t="shared" ref="A20:A25" si="4">A19+0.0001</f>
        <v>2.0018000000000038</v>
      </c>
      <c r="B20" s="25" t="s">
        <v>344</v>
      </c>
      <c r="C20" s="22" t="s">
        <v>606</v>
      </c>
      <c r="D20" s="6"/>
      <c r="E20" s="6"/>
      <c r="F20" s="7"/>
      <c r="G20" s="7">
        <f t="shared" ref="G20:K35" si="5">IF($F20=G$1,1,0)</f>
        <v>0</v>
      </c>
      <c r="H20" s="7">
        <f t="shared" si="5"/>
        <v>0</v>
      </c>
      <c r="I20" s="7">
        <f t="shared" si="5"/>
        <v>1</v>
      </c>
      <c r="J20" s="7">
        <f t="shared" si="5"/>
        <v>0</v>
      </c>
      <c r="K20" s="7">
        <f t="shared" si="5"/>
        <v>0</v>
      </c>
      <c r="L20" s="6"/>
    </row>
    <row r="21" spans="1:12" x14ac:dyDescent="0.25">
      <c r="A21" s="4">
        <f t="shared" si="4"/>
        <v>2.001900000000004</v>
      </c>
      <c r="B21" s="26"/>
      <c r="C21" s="22" t="s">
        <v>607</v>
      </c>
      <c r="D21" s="6"/>
      <c r="E21" s="6"/>
      <c r="F21" s="7"/>
      <c r="G21" s="7">
        <f t="shared" si="5"/>
        <v>0</v>
      </c>
      <c r="H21" s="7">
        <f t="shared" si="5"/>
        <v>0</v>
      </c>
      <c r="I21" s="7">
        <f t="shared" si="5"/>
        <v>1</v>
      </c>
      <c r="J21" s="7">
        <f t="shared" si="5"/>
        <v>0</v>
      </c>
      <c r="K21" s="7">
        <f t="shared" si="5"/>
        <v>0</v>
      </c>
      <c r="L21" s="6"/>
    </row>
    <row r="22" spans="1:12" x14ac:dyDescent="0.25">
      <c r="A22" s="4">
        <f t="shared" si="4"/>
        <v>2.0020000000000042</v>
      </c>
      <c r="B22" s="5" t="s">
        <v>608</v>
      </c>
      <c r="C22" s="22" t="s">
        <v>609</v>
      </c>
      <c r="D22" s="6"/>
      <c r="E22" s="6"/>
      <c r="F22" s="7"/>
      <c r="G22" s="7">
        <f t="shared" si="5"/>
        <v>0</v>
      </c>
      <c r="H22" s="7">
        <f t="shared" si="5"/>
        <v>0</v>
      </c>
      <c r="I22" s="7">
        <f t="shared" si="5"/>
        <v>1</v>
      </c>
      <c r="J22" s="7">
        <f t="shared" si="5"/>
        <v>0</v>
      </c>
      <c r="K22" s="7">
        <f t="shared" si="5"/>
        <v>0</v>
      </c>
      <c r="L22" s="6"/>
    </row>
    <row r="23" spans="1:12" x14ac:dyDescent="0.25">
      <c r="A23" s="4">
        <f t="shared" si="4"/>
        <v>2.0021000000000044</v>
      </c>
      <c r="B23" s="5" t="s">
        <v>361</v>
      </c>
      <c r="C23" s="22" t="s">
        <v>610</v>
      </c>
      <c r="D23" s="6"/>
      <c r="E23" s="6"/>
      <c r="F23" s="7"/>
      <c r="G23" s="7">
        <f t="shared" si="5"/>
        <v>0</v>
      </c>
      <c r="H23" s="7">
        <f t="shared" si="5"/>
        <v>0</v>
      </c>
      <c r="I23" s="7">
        <f t="shared" si="5"/>
        <v>1</v>
      </c>
      <c r="J23" s="7">
        <f t="shared" si="5"/>
        <v>0</v>
      </c>
      <c r="K23" s="7">
        <f t="shared" si="5"/>
        <v>0</v>
      </c>
      <c r="L23" s="6"/>
    </row>
    <row r="24" spans="1:12" ht="38.25" x14ac:dyDescent="0.25">
      <c r="A24" s="4">
        <f t="shared" si="4"/>
        <v>2.0022000000000046</v>
      </c>
      <c r="B24" s="5" t="s">
        <v>611</v>
      </c>
      <c r="C24" s="22" t="s">
        <v>1008</v>
      </c>
      <c r="D24" s="160" t="s">
        <v>1012</v>
      </c>
      <c r="E24" s="6"/>
      <c r="F24" s="7"/>
      <c r="G24" s="7">
        <f t="shared" si="5"/>
        <v>0</v>
      </c>
      <c r="H24" s="7">
        <f t="shared" si="5"/>
        <v>0</v>
      </c>
      <c r="I24" s="7">
        <f t="shared" si="5"/>
        <v>1</v>
      </c>
      <c r="J24" s="7">
        <f t="shared" si="5"/>
        <v>0</v>
      </c>
      <c r="K24" s="7">
        <f t="shared" si="5"/>
        <v>0</v>
      </c>
      <c r="L24" s="6"/>
    </row>
    <row r="25" spans="1:12" ht="38.25" x14ac:dyDescent="0.25">
      <c r="A25" s="4">
        <f t="shared" si="4"/>
        <v>2.0023000000000049</v>
      </c>
      <c r="B25" s="24" t="s">
        <v>612</v>
      </c>
      <c r="C25" s="22" t="s">
        <v>613</v>
      </c>
      <c r="D25" s="96" t="s">
        <v>1013</v>
      </c>
      <c r="E25" s="6"/>
      <c r="F25" s="7" t="s">
        <v>8</v>
      </c>
      <c r="G25" s="7">
        <f t="shared" si="5"/>
        <v>0</v>
      </c>
      <c r="H25" s="7">
        <f t="shared" si="5"/>
        <v>0</v>
      </c>
      <c r="I25" s="7">
        <f t="shared" si="5"/>
        <v>0</v>
      </c>
      <c r="J25" s="7">
        <f t="shared" si="5"/>
        <v>0</v>
      </c>
      <c r="K25" s="7">
        <f t="shared" si="5"/>
        <v>1</v>
      </c>
      <c r="L25" s="6"/>
    </row>
    <row r="26" spans="1:12" ht="30" x14ac:dyDescent="0.25">
      <c r="A26" s="4">
        <f t="shared" si="1"/>
        <v>2.0024000000000051</v>
      </c>
      <c r="B26" s="5"/>
      <c r="C26" s="22" t="s">
        <v>615</v>
      </c>
      <c r="D26" s="7"/>
      <c r="E26" s="7"/>
      <c r="F26" s="7" t="s">
        <v>8</v>
      </c>
      <c r="G26" s="7">
        <f t="shared" si="5"/>
        <v>0</v>
      </c>
      <c r="H26" s="7">
        <f t="shared" si="5"/>
        <v>0</v>
      </c>
      <c r="I26" s="7">
        <f t="shared" si="5"/>
        <v>0</v>
      </c>
      <c r="J26" s="7">
        <f t="shared" si="5"/>
        <v>0</v>
      </c>
      <c r="K26" s="7">
        <f t="shared" si="5"/>
        <v>1</v>
      </c>
      <c r="L26" s="6"/>
    </row>
    <row r="27" spans="1:12" ht="30" x14ac:dyDescent="0.25">
      <c r="A27" s="4">
        <f t="shared" si="1"/>
        <v>2.0025000000000053</v>
      </c>
      <c r="B27" s="5"/>
      <c r="C27" s="22" t="s">
        <v>617</v>
      </c>
      <c r="D27" s="7"/>
      <c r="E27" s="7"/>
      <c r="F27" s="7" t="s">
        <v>8</v>
      </c>
      <c r="G27" s="7">
        <f t="shared" si="5"/>
        <v>0</v>
      </c>
      <c r="H27" s="7">
        <f t="shared" si="5"/>
        <v>0</v>
      </c>
      <c r="I27" s="7">
        <f t="shared" si="5"/>
        <v>0</v>
      </c>
      <c r="J27" s="7">
        <f t="shared" si="5"/>
        <v>0</v>
      </c>
      <c r="K27" s="7">
        <f t="shared" si="5"/>
        <v>1</v>
      </c>
      <c r="L27" s="6"/>
    </row>
    <row r="28" spans="1:12" ht="30" x14ac:dyDescent="0.25">
      <c r="A28" s="4">
        <f t="shared" si="1"/>
        <v>2.0026000000000055</v>
      </c>
      <c r="B28" s="5"/>
      <c r="C28" s="22" t="s">
        <v>616</v>
      </c>
      <c r="D28" s="7"/>
      <c r="E28" s="7"/>
      <c r="F28" s="7" t="s">
        <v>8</v>
      </c>
      <c r="G28" s="7">
        <f t="shared" si="5"/>
        <v>0</v>
      </c>
      <c r="H28" s="7">
        <f t="shared" si="5"/>
        <v>0</v>
      </c>
      <c r="I28" s="7">
        <f t="shared" si="5"/>
        <v>0</v>
      </c>
      <c r="J28" s="7">
        <f t="shared" si="5"/>
        <v>0</v>
      </c>
      <c r="K28" s="7">
        <f t="shared" si="5"/>
        <v>1</v>
      </c>
      <c r="L28" s="6"/>
    </row>
    <row r="29" spans="1:12" ht="30" x14ac:dyDescent="0.25">
      <c r="A29" s="4">
        <f t="shared" si="1"/>
        <v>2.0027000000000057</v>
      </c>
      <c r="B29" s="5" t="s">
        <v>618</v>
      </c>
      <c r="C29" s="22"/>
      <c r="D29" s="7"/>
      <c r="E29" s="7"/>
      <c r="F29" s="7" t="s">
        <v>8</v>
      </c>
      <c r="G29" s="7">
        <f t="shared" si="5"/>
        <v>0</v>
      </c>
      <c r="H29" s="7">
        <f t="shared" si="5"/>
        <v>0</v>
      </c>
      <c r="I29" s="7">
        <f t="shared" si="5"/>
        <v>0</v>
      </c>
      <c r="J29" s="7">
        <f t="shared" si="5"/>
        <v>0</v>
      </c>
      <c r="K29" s="7">
        <f t="shared" si="5"/>
        <v>1</v>
      </c>
      <c r="L29" s="6"/>
    </row>
    <row r="30" spans="1:12" ht="51" x14ac:dyDescent="0.25">
      <c r="A30" s="4">
        <f t="shared" si="1"/>
        <v>2.0028000000000059</v>
      </c>
      <c r="B30" s="5" t="s">
        <v>491</v>
      </c>
      <c r="C30" s="22" t="s">
        <v>619</v>
      </c>
      <c r="D30" s="7"/>
      <c r="E30" s="7"/>
      <c r="F30" s="7" t="s">
        <v>8</v>
      </c>
      <c r="G30" s="7">
        <f t="shared" si="5"/>
        <v>0</v>
      </c>
      <c r="H30" s="7">
        <f t="shared" si="5"/>
        <v>0</v>
      </c>
      <c r="I30" s="7">
        <f t="shared" si="5"/>
        <v>0</v>
      </c>
      <c r="J30" s="7">
        <f t="shared" si="5"/>
        <v>0</v>
      </c>
      <c r="K30" s="7">
        <f t="shared" si="5"/>
        <v>1</v>
      </c>
      <c r="L30" s="6"/>
    </row>
    <row r="31" spans="1:12" ht="30" x14ac:dyDescent="0.25">
      <c r="A31" s="4">
        <f t="shared" si="1"/>
        <v>2.0029000000000061</v>
      </c>
      <c r="B31" s="5" t="s">
        <v>620</v>
      </c>
      <c r="C31" s="22" t="s">
        <v>1009</v>
      </c>
      <c r="D31" s="7"/>
      <c r="E31" s="7"/>
      <c r="F31" s="7" t="s">
        <v>8</v>
      </c>
      <c r="G31" s="7">
        <f t="shared" si="5"/>
        <v>0</v>
      </c>
      <c r="H31" s="7">
        <f t="shared" si="5"/>
        <v>0</v>
      </c>
      <c r="I31" s="7">
        <f t="shared" si="5"/>
        <v>0</v>
      </c>
      <c r="J31" s="7">
        <f t="shared" si="5"/>
        <v>0</v>
      </c>
      <c r="K31" s="7">
        <f t="shared" si="5"/>
        <v>1</v>
      </c>
      <c r="L31" s="6"/>
    </row>
    <row r="32" spans="1:12" x14ac:dyDescent="0.25">
      <c r="A32" s="4">
        <f t="shared" si="1"/>
        <v>2.0030000000000063</v>
      </c>
      <c r="B32" s="5" t="s">
        <v>620</v>
      </c>
      <c r="C32" s="22"/>
      <c r="D32" s="7"/>
      <c r="E32" s="7"/>
      <c r="F32" s="7"/>
      <c r="G32" s="7"/>
      <c r="H32" s="7"/>
      <c r="I32" s="7"/>
      <c r="J32" s="7"/>
      <c r="K32" s="7"/>
      <c r="L32" s="6"/>
    </row>
    <row r="33" spans="1:12" x14ac:dyDescent="0.25">
      <c r="A33" s="4">
        <f t="shared" si="1"/>
        <v>2.0031000000000065</v>
      </c>
      <c r="B33" s="79" t="s">
        <v>622</v>
      </c>
      <c r="C33" s="80" t="s">
        <v>1010</v>
      </c>
      <c r="D33" s="7"/>
      <c r="E33" s="7"/>
      <c r="F33" s="7"/>
      <c r="G33" s="7"/>
      <c r="H33" s="7"/>
      <c r="I33" s="7"/>
      <c r="J33" s="7"/>
      <c r="K33" s="7">
        <f t="shared" si="5"/>
        <v>0</v>
      </c>
      <c r="L33" s="6"/>
    </row>
    <row r="34" spans="1:12" ht="30" x14ac:dyDescent="0.25">
      <c r="A34" s="4">
        <f t="shared" si="1"/>
        <v>2.0032000000000068</v>
      </c>
      <c r="B34" s="24" t="s">
        <v>447</v>
      </c>
      <c r="C34" s="22" t="s">
        <v>448</v>
      </c>
      <c r="D34" s="7"/>
      <c r="E34" s="7"/>
      <c r="F34" s="7" t="s">
        <v>8</v>
      </c>
      <c r="G34" s="7">
        <f t="shared" si="5"/>
        <v>0</v>
      </c>
      <c r="H34" s="7">
        <f t="shared" si="5"/>
        <v>0</v>
      </c>
      <c r="I34" s="7">
        <f t="shared" si="5"/>
        <v>0</v>
      </c>
      <c r="J34" s="7">
        <f t="shared" si="5"/>
        <v>0</v>
      </c>
      <c r="K34" s="7">
        <f t="shared" si="5"/>
        <v>1</v>
      </c>
      <c r="L34" s="6"/>
    </row>
    <row r="35" spans="1:12" ht="30" x14ac:dyDescent="0.25">
      <c r="A35" s="4">
        <f t="shared" si="1"/>
        <v>2.003300000000007</v>
      </c>
      <c r="B35" s="25" t="s">
        <v>344</v>
      </c>
      <c r="C35" s="22" t="s">
        <v>606</v>
      </c>
      <c r="D35" s="7"/>
      <c r="E35" s="7"/>
      <c r="F35" s="7" t="s">
        <v>8</v>
      </c>
      <c r="G35" s="7">
        <f t="shared" si="5"/>
        <v>0</v>
      </c>
      <c r="H35" s="7">
        <f t="shared" si="5"/>
        <v>0</v>
      </c>
      <c r="I35" s="7">
        <f t="shared" si="5"/>
        <v>0</v>
      </c>
      <c r="J35" s="7">
        <f t="shared" si="5"/>
        <v>0</v>
      </c>
      <c r="K35" s="7">
        <f t="shared" si="5"/>
        <v>1</v>
      </c>
      <c r="L35" s="6"/>
    </row>
    <row r="36" spans="1:12" ht="30" x14ac:dyDescent="0.25">
      <c r="A36" s="4">
        <f t="shared" si="1"/>
        <v>2.0034000000000072</v>
      </c>
      <c r="B36" s="26"/>
      <c r="C36" s="22" t="s">
        <v>607</v>
      </c>
      <c r="D36" s="7"/>
      <c r="E36" s="7"/>
      <c r="F36" s="7" t="s">
        <v>8</v>
      </c>
      <c r="G36" s="7">
        <f t="shared" ref="G36:K51" si="6">IF($F36=G$1,1,0)</f>
        <v>0</v>
      </c>
      <c r="H36" s="7">
        <f t="shared" si="6"/>
        <v>0</v>
      </c>
      <c r="I36" s="7">
        <f t="shared" si="6"/>
        <v>0</v>
      </c>
      <c r="J36" s="7">
        <f t="shared" si="6"/>
        <v>0</v>
      </c>
      <c r="K36" s="7">
        <f t="shared" si="6"/>
        <v>1</v>
      </c>
      <c r="L36" s="6"/>
    </row>
    <row r="37" spans="1:12" ht="30" x14ac:dyDescent="0.25">
      <c r="A37" s="4">
        <f t="shared" si="1"/>
        <v>2.0035000000000074</v>
      </c>
      <c r="B37" s="26" t="s">
        <v>371</v>
      </c>
      <c r="C37" s="22" t="s">
        <v>372</v>
      </c>
      <c r="D37" s="7"/>
      <c r="E37" s="7"/>
      <c r="F37" s="7" t="s">
        <v>8</v>
      </c>
      <c r="G37" s="7">
        <f t="shared" si="6"/>
        <v>0</v>
      </c>
      <c r="H37" s="7">
        <f t="shared" si="6"/>
        <v>0</v>
      </c>
      <c r="I37" s="7">
        <f t="shared" si="6"/>
        <v>0</v>
      </c>
      <c r="J37" s="7">
        <f t="shared" si="6"/>
        <v>0</v>
      </c>
      <c r="K37" s="7">
        <f t="shared" si="6"/>
        <v>1</v>
      </c>
      <c r="L37" s="6"/>
    </row>
    <row r="38" spans="1:12" x14ac:dyDescent="0.25">
      <c r="A38" s="4">
        <f t="shared" si="1"/>
        <v>2.0036000000000076</v>
      </c>
      <c r="B38" s="26" t="s">
        <v>373</v>
      </c>
      <c r="C38" s="22" t="s">
        <v>374</v>
      </c>
      <c r="D38" s="7"/>
      <c r="E38" s="7"/>
      <c r="F38" s="7"/>
      <c r="G38" s="7">
        <f t="shared" si="6"/>
        <v>0</v>
      </c>
      <c r="H38" s="7">
        <f t="shared" si="6"/>
        <v>0</v>
      </c>
      <c r="I38" s="7">
        <f t="shared" si="6"/>
        <v>1</v>
      </c>
      <c r="J38" s="7">
        <f t="shared" si="6"/>
        <v>0</v>
      </c>
      <c r="K38" s="7">
        <f t="shared" si="6"/>
        <v>0</v>
      </c>
      <c r="L38" s="6"/>
    </row>
    <row r="39" spans="1:12" ht="30" x14ac:dyDescent="0.25">
      <c r="A39" s="4">
        <f t="shared" si="1"/>
        <v>2.0037000000000078</v>
      </c>
      <c r="B39" s="24" t="s">
        <v>612</v>
      </c>
      <c r="C39" s="22" t="s">
        <v>613</v>
      </c>
      <c r="D39" s="7"/>
      <c r="E39" s="7"/>
      <c r="F39" s="7" t="s">
        <v>8</v>
      </c>
      <c r="G39" s="7">
        <f t="shared" si="6"/>
        <v>0</v>
      </c>
      <c r="H39" s="7">
        <f t="shared" si="6"/>
        <v>0</v>
      </c>
      <c r="I39" s="7">
        <f t="shared" si="6"/>
        <v>0</v>
      </c>
      <c r="J39" s="7">
        <f t="shared" si="6"/>
        <v>0</v>
      </c>
      <c r="K39" s="7">
        <f t="shared" si="6"/>
        <v>1</v>
      </c>
      <c r="L39" s="6"/>
    </row>
    <row r="40" spans="1:12" ht="30" x14ac:dyDescent="0.25">
      <c r="A40" s="4">
        <f t="shared" si="1"/>
        <v>2.003800000000008</v>
      </c>
      <c r="B40" s="5"/>
      <c r="C40" s="22" t="s">
        <v>615</v>
      </c>
      <c r="D40" s="7"/>
      <c r="E40" s="7"/>
      <c r="F40" s="7" t="s">
        <v>8</v>
      </c>
      <c r="G40" s="7">
        <f t="shared" si="6"/>
        <v>0</v>
      </c>
      <c r="H40" s="7">
        <f t="shared" si="6"/>
        <v>0</v>
      </c>
      <c r="I40" s="7">
        <f t="shared" si="6"/>
        <v>0</v>
      </c>
      <c r="J40" s="7">
        <f t="shared" si="6"/>
        <v>0</v>
      </c>
      <c r="K40" s="7">
        <f t="shared" si="6"/>
        <v>1</v>
      </c>
      <c r="L40" s="6"/>
    </row>
    <row r="41" spans="1:12" ht="30" x14ac:dyDescent="0.25">
      <c r="A41" s="4">
        <f t="shared" si="1"/>
        <v>2.0039000000000082</v>
      </c>
      <c r="B41" s="5"/>
      <c r="C41" s="22" t="s">
        <v>617</v>
      </c>
      <c r="D41" s="7"/>
      <c r="E41" s="7"/>
      <c r="F41" s="7" t="s">
        <v>8</v>
      </c>
      <c r="G41" s="7">
        <f t="shared" si="6"/>
        <v>0</v>
      </c>
      <c r="H41" s="7">
        <f t="shared" si="6"/>
        <v>0</v>
      </c>
      <c r="I41" s="7">
        <f t="shared" si="6"/>
        <v>0</v>
      </c>
      <c r="J41" s="7">
        <f t="shared" si="6"/>
        <v>0</v>
      </c>
      <c r="K41" s="7">
        <f t="shared" si="6"/>
        <v>1</v>
      </c>
      <c r="L41" s="6"/>
    </row>
    <row r="42" spans="1:12" ht="30" x14ac:dyDescent="0.25">
      <c r="A42" s="4">
        <f t="shared" si="1"/>
        <v>2.0040000000000084</v>
      </c>
      <c r="B42" s="5"/>
      <c r="C42" s="22" t="s">
        <v>616</v>
      </c>
      <c r="D42" s="7"/>
      <c r="E42" s="7"/>
      <c r="F42" s="7" t="s">
        <v>8</v>
      </c>
      <c r="G42" s="7">
        <f t="shared" si="6"/>
        <v>0</v>
      </c>
      <c r="H42" s="7">
        <f t="shared" si="6"/>
        <v>0</v>
      </c>
      <c r="I42" s="7">
        <f t="shared" si="6"/>
        <v>0</v>
      </c>
      <c r="J42" s="7">
        <f t="shared" si="6"/>
        <v>0</v>
      </c>
      <c r="K42" s="7">
        <f t="shared" si="6"/>
        <v>1</v>
      </c>
      <c r="L42" s="6"/>
    </row>
    <row r="43" spans="1:12" x14ac:dyDescent="0.25">
      <c r="A43" s="4">
        <f t="shared" si="1"/>
        <v>2.0041000000000087</v>
      </c>
      <c r="B43" s="5" t="s">
        <v>624</v>
      </c>
      <c r="C43" s="22"/>
      <c r="D43" s="7"/>
      <c r="E43" s="7"/>
      <c r="F43" s="7"/>
      <c r="G43" s="7"/>
      <c r="H43" s="7"/>
      <c r="I43" s="7"/>
      <c r="J43" s="7"/>
      <c r="K43" s="7"/>
      <c r="L43" s="6"/>
    </row>
    <row r="44" spans="1:12" ht="30" x14ac:dyDescent="0.25">
      <c r="A44" s="4">
        <f t="shared" si="1"/>
        <v>2.0042000000000089</v>
      </c>
      <c r="B44" s="5" t="s">
        <v>625</v>
      </c>
      <c r="C44" s="22" t="s">
        <v>626</v>
      </c>
      <c r="D44" s="7"/>
      <c r="E44" s="7"/>
      <c r="F44" s="7" t="s">
        <v>8</v>
      </c>
      <c r="G44" s="7">
        <f t="shared" si="6"/>
        <v>0</v>
      </c>
      <c r="H44" s="7">
        <f t="shared" si="6"/>
        <v>0</v>
      </c>
      <c r="I44" s="7">
        <f t="shared" si="6"/>
        <v>0</v>
      </c>
      <c r="J44" s="7">
        <f t="shared" si="6"/>
        <v>0</v>
      </c>
      <c r="K44" s="7">
        <f t="shared" si="6"/>
        <v>1</v>
      </c>
      <c r="L44" s="6"/>
    </row>
    <row r="45" spans="1:12" ht="30" x14ac:dyDescent="0.25">
      <c r="A45" s="4">
        <f t="shared" si="1"/>
        <v>2.0043000000000091</v>
      </c>
      <c r="B45" s="5" t="s">
        <v>627</v>
      </c>
      <c r="C45" s="22" t="s">
        <v>628</v>
      </c>
      <c r="D45" s="7"/>
      <c r="E45" s="7"/>
      <c r="F45" s="7" t="s">
        <v>8</v>
      </c>
      <c r="G45" s="7">
        <f t="shared" si="6"/>
        <v>0</v>
      </c>
      <c r="H45" s="7">
        <f t="shared" si="6"/>
        <v>0</v>
      </c>
      <c r="I45" s="7">
        <f t="shared" si="6"/>
        <v>0</v>
      </c>
      <c r="J45" s="7">
        <f t="shared" si="6"/>
        <v>0</v>
      </c>
      <c r="K45" s="7">
        <f t="shared" si="6"/>
        <v>1</v>
      </c>
      <c r="L45" s="6"/>
    </row>
    <row r="46" spans="1:12" ht="30" x14ac:dyDescent="0.25">
      <c r="A46" s="4">
        <f t="shared" si="1"/>
        <v>2.0044000000000093</v>
      </c>
      <c r="B46" s="5" t="s">
        <v>620</v>
      </c>
      <c r="C46" s="22"/>
      <c r="D46" s="7"/>
      <c r="E46" s="7"/>
      <c r="F46" s="7" t="s">
        <v>8</v>
      </c>
      <c r="G46" s="7">
        <f t="shared" si="6"/>
        <v>0</v>
      </c>
      <c r="H46" s="7">
        <f t="shared" si="6"/>
        <v>0</v>
      </c>
      <c r="I46" s="7">
        <f t="shared" si="6"/>
        <v>0</v>
      </c>
      <c r="J46" s="7">
        <f t="shared" si="6"/>
        <v>0</v>
      </c>
      <c r="K46" s="7">
        <f t="shared" si="6"/>
        <v>1</v>
      </c>
      <c r="L46" s="6"/>
    </row>
    <row r="47" spans="1:12" x14ac:dyDescent="0.25">
      <c r="A47" s="4">
        <f t="shared" si="1"/>
        <v>2.0045000000000095</v>
      </c>
      <c r="B47" s="5"/>
      <c r="C47" s="22"/>
      <c r="D47" s="7"/>
      <c r="E47" s="7"/>
      <c r="F47" s="7"/>
      <c r="G47" s="7"/>
      <c r="H47" s="7"/>
      <c r="I47" s="7"/>
      <c r="J47" s="7"/>
      <c r="K47" s="7"/>
      <c r="L47" s="6"/>
    </row>
    <row r="48" spans="1:12" ht="30" x14ac:dyDescent="0.25">
      <c r="A48" s="4">
        <f t="shared" si="1"/>
        <v>2.0046000000000097</v>
      </c>
      <c r="B48" s="5" t="s">
        <v>457</v>
      </c>
      <c r="C48" s="22" t="s">
        <v>629</v>
      </c>
      <c r="D48" s="7"/>
      <c r="E48" s="7"/>
      <c r="F48" s="7" t="s">
        <v>8</v>
      </c>
      <c r="G48" s="7">
        <f t="shared" si="6"/>
        <v>0</v>
      </c>
      <c r="H48" s="7">
        <f t="shared" si="6"/>
        <v>0</v>
      </c>
      <c r="I48" s="7">
        <f t="shared" si="6"/>
        <v>0</v>
      </c>
      <c r="J48" s="7">
        <f t="shared" si="6"/>
        <v>0</v>
      </c>
      <c r="K48" s="7">
        <f t="shared" si="6"/>
        <v>1</v>
      </c>
      <c r="L48" s="6"/>
    </row>
    <row r="49" spans="1:12" ht="30" x14ac:dyDescent="0.25">
      <c r="A49" s="4">
        <f t="shared" si="1"/>
        <v>2.0047000000000099</v>
      </c>
      <c r="B49" s="5"/>
      <c r="C49" s="22" t="s">
        <v>630</v>
      </c>
      <c r="D49" s="7"/>
      <c r="E49" s="7"/>
      <c r="F49" s="7" t="s">
        <v>8</v>
      </c>
      <c r="G49" s="7">
        <f t="shared" si="6"/>
        <v>0</v>
      </c>
      <c r="H49" s="7">
        <f t="shared" si="6"/>
        <v>0</v>
      </c>
      <c r="I49" s="7">
        <f t="shared" si="6"/>
        <v>0</v>
      </c>
      <c r="J49" s="7">
        <f t="shared" si="6"/>
        <v>0</v>
      </c>
      <c r="K49" s="7">
        <f t="shared" si="6"/>
        <v>1</v>
      </c>
      <c r="L49" s="6"/>
    </row>
    <row r="50" spans="1:12" ht="30" x14ac:dyDescent="0.25">
      <c r="A50" s="4">
        <f t="shared" si="1"/>
        <v>2.0048000000000101</v>
      </c>
      <c r="B50" s="5" t="s">
        <v>631</v>
      </c>
      <c r="C50" s="22"/>
      <c r="D50" s="7"/>
      <c r="E50" s="7"/>
      <c r="F50" s="7" t="s">
        <v>8</v>
      </c>
      <c r="G50" s="7">
        <f t="shared" si="6"/>
        <v>0</v>
      </c>
      <c r="H50" s="7">
        <f t="shared" si="6"/>
        <v>0</v>
      </c>
      <c r="I50" s="7">
        <f t="shared" si="6"/>
        <v>0</v>
      </c>
      <c r="J50" s="7">
        <f t="shared" si="6"/>
        <v>0</v>
      </c>
      <c r="K50" s="7">
        <f t="shared" si="6"/>
        <v>1</v>
      </c>
      <c r="L50" s="6"/>
    </row>
    <row r="51" spans="1:12" ht="30" x14ac:dyDescent="0.25">
      <c r="A51" s="4">
        <f t="shared" si="1"/>
        <v>2.0049000000000103</v>
      </c>
      <c r="B51" s="5" t="s">
        <v>632</v>
      </c>
      <c r="C51" s="22"/>
      <c r="D51" s="7"/>
      <c r="E51" s="7"/>
      <c r="F51" s="7" t="s">
        <v>8</v>
      </c>
      <c r="G51" s="7">
        <f t="shared" si="6"/>
        <v>0</v>
      </c>
      <c r="H51" s="7">
        <f t="shared" si="6"/>
        <v>0</v>
      </c>
      <c r="I51" s="7">
        <f t="shared" si="6"/>
        <v>0</v>
      </c>
      <c r="J51" s="7">
        <f t="shared" si="6"/>
        <v>0</v>
      </c>
      <c r="K51" s="7">
        <f t="shared" si="6"/>
        <v>1</v>
      </c>
      <c r="L51" s="6"/>
    </row>
    <row r="52" spans="1:12" x14ac:dyDescent="0.25">
      <c r="A52" s="4">
        <f t="shared" si="1"/>
        <v>2.0050000000000106</v>
      </c>
      <c r="B52" s="16" t="s">
        <v>580</v>
      </c>
      <c r="C52" s="16"/>
      <c r="D52" s="7"/>
      <c r="E52" s="7"/>
      <c r="F52" s="7"/>
      <c r="G52" s="7"/>
      <c r="H52" s="7"/>
      <c r="I52" s="7"/>
      <c r="J52" s="7"/>
      <c r="K52" s="7"/>
      <c r="L52" s="6"/>
    </row>
    <row r="53" spans="1:12" ht="30" x14ac:dyDescent="0.25">
      <c r="A53" s="4">
        <f t="shared" si="1"/>
        <v>2.0051000000000108</v>
      </c>
      <c r="B53" s="96" t="s">
        <v>555</v>
      </c>
      <c r="C53" s="5" t="s">
        <v>898</v>
      </c>
      <c r="D53" s="6"/>
      <c r="E53" s="7"/>
      <c r="F53" s="7" t="s">
        <v>8</v>
      </c>
      <c r="G53" s="7">
        <f t="shared" ref="G53:K74" si="7">IF($F53=G$1,1,0)</f>
        <v>0</v>
      </c>
      <c r="H53" s="7">
        <f t="shared" si="7"/>
        <v>0</v>
      </c>
      <c r="I53" s="7">
        <f t="shared" si="7"/>
        <v>0</v>
      </c>
      <c r="J53" s="7">
        <f t="shared" si="7"/>
        <v>0</v>
      </c>
      <c r="K53" s="7">
        <f t="shared" si="7"/>
        <v>1</v>
      </c>
      <c r="L53" s="6"/>
    </row>
    <row r="54" spans="1:12" ht="30" x14ac:dyDescent="0.25">
      <c r="A54" s="4">
        <f t="shared" si="1"/>
        <v>2.005200000000011</v>
      </c>
      <c r="B54" s="6"/>
      <c r="C54" s="5" t="s">
        <v>557</v>
      </c>
      <c r="D54" s="6"/>
      <c r="E54" s="7"/>
      <c r="F54" s="7" t="s">
        <v>8</v>
      </c>
      <c r="G54" s="7">
        <f t="shared" si="7"/>
        <v>0</v>
      </c>
      <c r="H54" s="7">
        <f t="shared" si="7"/>
        <v>0</v>
      </c>
      <c r="I54" s="7">
        <f t="shared" si="7"/>
        <v>0</v>
      </c>
      <c r="J54" s="7">
        <f t="shared" si="7"/>
        <v>0</v>
      </c>
      <c r="K54" s="7">
        <f t="shared" si="7"/>
        <v>1</v>
      </c>
      <c r="L54" s="6"/>
    </row>
    <row r="55" spans="1:12" ht="30" x14ac:dyDescent="0.25">
      <c r="A55" s="4">
        <f t="shared" si="1"/>
        <v>2.0053000000000112</v>
      </c>
      <c r="B55" s="6"/>
      <c r="C55" s="5" t="s">
        <v>558</v>
      </c>
      <c r="D55" s="6"/>
      <c r="E55" s="7"/>
      <c r="F55" s="7" t="s">
        <v>8</v>
      </c>
      <c r="G55" s="7">
        <f t="shared" si="7"/>
        <v>0</v>
      </c>
      <c r="H55" s="7">
        <f t="shared" si="7"/>
        <v>0</v>
      </c>
      <c r="I55" s="7">
        <f t="shared" si="7"/>
        <v>0</v>
      </c>
      <c r="J55" s="7">
        <f t="shared" si="7"/>
        <v>0</v>
      </c>
      <c r="K55" s="7">
        <f t="shared" si="7"/>
        <v>1</v>
      </c>
      <c r="L55" s="6"/>
    </row>
    <row r="56" spans="1:12" ht="30" x14ac:dyDescent="0.25">
      <c r="A56" s="4">
        <f t="shared" si="1"/>
        <v>2.0054000000000114</v>
      </c>
      <c r="B56" s="6"/>
      <c r="C56" s="5" t="s">
        <v>559</v>
      </c>
      <c r="D56" s="6"/>
      <c r="E56" s="7"/>
      <c r="F56" s="7" t="s">
        <v>8</v>
      </c>
      <c r="G56" s="7">
        <f t="shared" si="7"/>
        <v>0</v>
      </c>
      <c r="H56" s="7">
        <f t="shared" si="7"/>
        <v>0</v>
      </c>
      <c r="I56" s="7">
        <f t="shared" si="7"/>
        <v>0</v>
      </c>
      <c r="J56" s="7">
        <f t="shared" si="7"/>
        <v>0</v>
      </c>
      <c r="K56" s="7">
        <f t="shared" si="7"/>
        <v>1</v>
      </c>
      <c r="L56" s="6"/>
    </row>
    <row r="57" spans="1:12" ht="30" x14ac:dyDescent="0.25">
      <c r="A57" s="4">
        <f t="shared" si="1"/>
        <v>2.0055000000000116</v>
      </c>
      <c r="B57" s="6"/>
      <c r="C57" s="5" t="s">
        <v>563</v>
      </c>
      <c r="D57" s="6"/>
      <c r="E57" s="7"/>
      <c r="F57" s="7" t="s">
        <v>8</v>
      </c>
      <c r="G57" s="7">
        <f t="shared" si="7"/>
        <v>0</v>
      </c>
      <c r="H57" s="7">
        <f t="shared" si="7"/>
        <v>0</v>
      </c>
      <c r="I57" s="7">
        <f t="shared" si="7"/>
        <v>0</v>
      </c>
      <c r="J57" s="7">
        <f t="shared" si="7"/>
        <v>0</v>
      </c>
      <c r="K57" s="7">
        <f t="shared" si="7"/>
        <v>1</v>
      </c>
      <c r="L57" s="6"/>
    </row>
    <row r="58" spans="1:12" ht="18.75" customHeight="1" x14ac:dyDescent="0.25">
      <c r="A58" s="4">
        <f t="shared" si="1"/>
        <v>2.0056000000000118</v>
      </c>
      <c r="B58" s="6"/>
      <c r="C58" s="5" t="s">
        <v>633</v>
      </c>
      <c r="D58" s="6" t="s">
        <v>564</v>
      </c>
      <c r="E58" s="7"/>
      <c r="F58" s="7" t="s">
        <v>8</v>
      </c>
      <c r="G58" s="7">
        <f t="shared" si="7"/>
        <v>0</v>
      </c>
      <c r="H58" s="7">
        <f t="shared" si="7"/>
        <v>0</v>
      </c>
      <c r="I58" s="7">
        <f t="shared" si="7"/>
        <v>0</v>
      </c>
      <c r="J58" s="7">
        <f t="shared" si="7"/>
        <v>0</v>
      </c>
      <c r="K58" s="7">
        <f t="shared" si="7"/>
        <v>1</v>
      </c>
      <c r="L58" s="6"/>
    </row>
    <row r="59" spans="1:12" ht="30" x14ac:dyDescent="0.25">
      <c r="A59" s="4">
        <f t="shared" si="1"/>
        <v>2.005700000000012</v>
      </c>
      <c r="B59" s="6"/>
      <c r="C59" s="5" t="s">
        <v>565</v>
      </c>
      <c r="D59" s="6"/>
      <c r="E59" s="7"/>
      <c r="F59" s="7" t="s">
        <v>8</v>
      </c>
      <c r="G59" s="7">
        <f t="shared" si="7"/>
        <v>0</v>
      </c>
      <c r="H59" s="7">
        <f t="shared" si="7"/>
        <v>0</v>
      </c>
      <c r="I59" s="7">
        <f t="shared" si="7"/>
        <v>0</v>
      </c>
      <c r="J59" s="7">
        <f t="shared" si="7"/>
        <v>0</v>
      </c>
      <c r="K59" s="7">
        <f t="shared" si="7"/>
        <v>1</v>
      </c>
      <c r="L59" s="6"/>
    </row>
    <row r="60" spans="1:12" ht="30" x14ac:dyDescent="0.25">
      <c r="A60" s="4">
        <f t="shared" si="1"/>
        <v>2.0058000000000122</v>
      </c>
      <c r="B60" s="6"/>
      <c r="C60" s="5" t="s">
        <v>566</v>
      </c>
      <c r="D60" s="6"/>
      <c r="E60" s="7"/>
      <c r="F60" s="7" t="s">
        <v>8</v>
      </c>
      <c r="G60" s="7">
        <f t="shared" si="7"/>
        <v>0</v>
      </c>
      <c r="H60" s="7">
        <f t="shared" si="7"/>
        <v>0</v>
      </c>
      <c r="I60" s="7">
        <f t="shared" si="7"/>
        <v>0</v>
      </c>
      <c r="J60" s="7">
        <f t="shared" si="7"/>
        <v>0</v>
      </c>
      <c r="K60" s="7">
        <f t="shared" si="7"/>
        <v>1</v>
      </c>
      <c r="L60" s="6"/>
    </row>
    <row r="61" spans="1:12" x14ac:dyDescent="0.25">
      <c r="A61" s="4">
        <f t="shared" si="1"/>
        <v>2.0059000000000125</v>
      </c>
      <c r="B61" s="6"/>
      <c r="C61" s="5"/>
      <c r="D61" s="6"/>
      <c r="E61" s="7"/>
      <c r="F61" s="7"/>
      <c r="G61" s="7"/>
      <c r="H61" s="7"/>
      <c r="I61" s="7"/>
      <c r="J61" s="7"/>
      <c r="K61" s="7"/>
      <c r="L61" s="6"/>
    </row>
    <row r="62" spans="1:12" x14ac:dyDescent="0.25">
      <c r="A62" s="4">
        <f t="shared" si="1"/>
        <v>2.0060000000000127</v>
      </c>
      <c r="B62" s="5"/>
      <c r="C62" s="5"/>
      <c r="D62" s="6"/>
      <c r="E62" s="7"/>
      <c r="F62" s="7"/>
      <c r="G62" s="7"/>
      <c r="H62" s="7"/>
      <c r="I62" s="7"/>
      <c r="J62" s="7"/>
      <c r="K62" s="7"/>
      <c r="L62" s="6"/>
    </row>
    <row r="63" spans="1:12" x14ac:dyDescent="0.25">
      <c r="A63" s="4">
        <f t="shared" si="1"/>
        <v>2.0061000000000129</v>
      </c>
      <c r="B63" s="5"/>
      <c r="C63" s="5"/>
      <c r="D63" s="6"/>
      <c r="E63" s="7"/>
      <c r="F63" s="7"/>
      <c r="G63" s="7"/>
      <c r="H63" s="7"/>
      <c r="I63" s="7"/>
      <c r="J63" s="7"/>
      <c r="K63" s="7"/>
      <c r="L63" s="6"/>
    </row>
    <row r="64" spans="1:12" ht="30" x14ac:dyDescent="0.25">
      <c r="A64" s="4">
        <f t="shared" si="1"/>
        <v>2.0062000000000131</v>
      </c>
      <c r="B64" s="96" t="s">
        <v>560</v>
      </c>
      <c r="C64" s="63" t="s">
        <v>561</v>
      </c>
      <c r="D64" s="6"/>
      <c r="E64" s="7"/>
      <c r="F64" s="7" t="s">
        <v>8</v>
      </c>
      <c r="G64" s="7">
        <f>IF($F64=G$1,1,0)</f>
        <v>0</v>
      </c>
      <c r="H64" s="7">
        <f>IF($F64=H$1,1,0)</f>
        <v>0</v>
      </c>
      <c r="I64" s="7">
        <f>IF($F64=I$1,1,0)</f>
        <v>0</v>
      </c>
      <c r="J64" s="7">
        <f>IF($F64=J$1,1,0)</f>
        <v>0</v>
      </c>
      <c r="K64" s="7"/>
      <c r="L64" s="6"/>
    </row>
    <row r="65" spans="1:12" ht="30" x14ac:dyDescent="0.25">
      <c r="A65" s="4">
        <f t="shared" si="1"/>
        <v>2.0063000000000133</v>
      </c>
      <c r="B65" s="6"/>
      <c r="C65" s="5" t="s">
        <v>584</v>
      </c>
      <c r="D65" s="6"/>
      <c r="E65" s="7"/>
      <c r="F65" s="7" t="s">
        <v>8</v>
      </c>
      <c r="G65" s="7">
        <f t="shared" si="7"/>
        <v>0</v>
      </c>
      <c r="H65" s="7">
        <f t="shared" si="7"/>
        <v>0</v>
      </c>
      <c r="I65" s="7">
        <f t="shared" si="7"/>
        <v>0</v>
      </c>
      <c r="J65" s="7">
        <f t="shared" si="7"/>
        <v>0</v>
      </c>
      <c r="K65" s="7">
        <f t="shared" si="7"/>
        <v>1</v>
      </c>
      <c r="L65" s="6"/>
    </row>
    <row r="66" spans="1:12" ht="30" x14ac:dyDescent="0.25">
      <c r="A66" s="4">
        <f t="shared" si="1"/>
        <v>2.0064000000000135</v>
      </c>
      <c r="B66" s="6"/>
      <c r="C66" s="5" t="s">
        <v>585</v>
      </c>
      <c r="D66" s="6"/>
      <c r="E66" s="7"/>
      <c r="F66" s="7" t="s">
        <v>8</v>
      </c>
      <c r="G66" s="7">
        <f t="shared" si="7"/>
        <v>0</v>
      </c>
      <c r="H66" s="7">
        <f t="shared" si="7"/>
        <v>0</v>
      </c>
      <c r="I66" s="7">
        <f t="shared" si="7"/>
        <v>0</v>
      </c>
      <c r="J66" s="7">
        <f t="shared" si="7"/>
        <v>0</v>
      </c>
      <c r="K66" s="7">
        <f t="shared" si="7"/>
        <v>1</v>
      </c>
      <c r="L66" s="6"/>
    </row>
    <row r="67" spans="1:12" ht="30" x14ac:dyDescent="0.25">
      <c r="A67" s="4">
        <f t="shared" si="1"/>
        <v>2.0065000000000137</v>
      </c>
      <c r="B67" s="6"/>
      <c r="C67" s="5" t="s">
        <v>562</v>
      </c>
      <c r="D67" s="6"/>
      <c r="E67" s="7"/>
      <c r="F67" s="7" t="s">
        <v>8</v>
      </c>
      <c r="G67" s="7">
        <f t="shared" si="7"/>
        <v>0</v>
      </c>
      <c r="H67" s="7">
        <f t="shared" si="7"/>
        <v>0</v>
      </c>
      <c r="I67" s="7">
        <f t="shared" si="7"/>
        <v>0</v>
      </c>
      <c r="J67" s="7">
        <f t="shared" si="7"/>
        <v>0</v>
      </c>
      <c r="K67" s="7">
        <f t="shared" si="7"/>
        <v>1</v>
      </c>
      <c r="L67" s="6"/>
    </row>
    <row r="68" spans="1:12" ht="30" x14ac:dyDescent="0.25">
      <c r="A68" s="4">
        <f t="shared" si="1"/>
        <v>2.0066000000000139</v>
      </c>
      <c r="B68" s="6"/>
      <c r="C68" s="5"/>
      <c r="D68" s="6"/>
      <c r="E68" s="7"/>
      <c r="F68" s="7" t="s">
        <v>8</v>
      </c>
      <c r="G68" s="7">
        <f t="shared" si="7"/>
        <v>0</v>
      </c>
      <c r="H68" s="7">
        <f t="shared" si="7"/>
        <v>0</v>
      </c>
      <c r="I68" s="7">
        <f t="shared" si="7"/>
        <v>0</v>
      </c>
      <c r="J68" s="7">
        <f t="shared" si="7"/>
        <v>0</v>
      </c>
      <c r="K68" s="7">
        <f t="shared" si="7"/>
        <v>1</v>
      </c>
      <c r="L68" s="6"/>
    </row>
    <row r="69" spans="1:12" ht="30" x14ac:dyDescent="0.25">
      <c r="A69" s="4">
        <f t="shared" si="1"/>
        <v>2.0067000000000141</v>
      </c>
      <c r="B69" s="6"/>
      <c r="C69" s="5" t="s">
        <v>591</v>
      </c>
      <c r="D69" s="6"/>
      <c r="E69" s="7"/>
      <c r="F69" s="7" t="s">
        <v>8</v>
      </c>
      <c r="G69" s="7">
        <f t="shared" si="7"/>
        <v>0</v>
      </c>
      <c r="H69" s="7">
        <f t="shared" si="7"/>
        <v>0</v>
      </c>
      <c r="I69" s="7">
        <f t="shared" si="7"/>
        <v>0</v>
      </c>
      <c r="J69" s="7">
        <f t="shared" si="7"/>
        <v>0</v>
      </c>
      <c r="K69" s="7">
        <f t="shared" si="7"/>
        <v>1</v>
      </c>
      <c r="L69" s="6"/>
    </row>
    <row r="70" spans="1:12" ht="16.5" customHeight="1" x14ac:dyDescent="0.25">
      <c r="A70" s="4">
        <f t="shared" si="1"/>
        <v>2.0068000000000144</v>
      </c>
      <c r="B70" s="6"/>
      <c r="C70" s="5" t="s">
        <v>590</v>
      </c>
      <c r="D70" s="6"/>
      <c r="E70" s="7"/>
      <c r="F70" s="7" t="s">
        <v>8</v>
      </c>
      <c r="G70" s="7">
        <f t="shared" si="7"/>
        <v>0</v>
      </c>
      <c r="H70" s="7">
        <f t="shared" si="7"/>
        <v>0</v>
      </c>
      <c r="I70" s="7">
        <f t="shared" si="7"/>
        <v>0</v>
      </c>
      <c r="J70" s="7">
        <f t="shared" si="7"/>
        <v>0</v>
      </c>
      <c r="K70" s="7">
        <f t="shared" si="7"/>
        <v>1</v>
      </c>
      <c r="L70" s="6"/>
    </row>
    <row r="71" spans="1:12" ht="30" x14ac:dyDescent="0.25">
      <c r="A71" s="4">
        <f t="shared" si="1"/>
        <v>2.0069000000000146</v>
      </c>
      <c r="B71" s="6"/>
      <c r="C71" s="5" t="s">
        <v>589</v>
      </c>
      <c r="D71" s="6"/>
      <c r="E71" s="7"/>
      <c r="F71" s="7" t="s">
        <v>8</v>
      </c>
      <c r="G71" s="7">
        <f t="shared" si="7"/>
        <v>0</v>
      </c>
      <c r="H71" s="7">
        <f t="shared" si="7"/>
        <v>0</v>
      </c>
      <c r="I71" s="7">
        <f t="shared" si="7"/>
        <v>0</v>
      </c>
      <c r="J71" s="7">
        <f t="shared" si="7"/>
        <v>0</v>
      </c>
      <c r="K71" s="7">
        <f t="shared" si="7"/>
        <v>1</v>
      </c>
      <c r="L71" s="6"/>
    </row>
    <row r="72" spans="1:12" ht="30" x14ac:dyDescent="0.25">
      <c r="A72" s="4">
        <f t="shared" si="1"/>
        <v>2.0070000000000148</v>
      </c>
      <c r="B72" s="6"/>
      <c r="C72" s="5" t="s">
        <v>588</v>
      </c>
      <c r="D72" s="6"/>
      <c r="E72" s="7"/>
      <c r="F72" s="7" t="s">
        <v>8</v>
      </c>
      <c r="G72" s="7">
        <f t="shared" si="7"/>
        <v>0</v>
      </c>
      <c r="H72" s="7">
        <f t="shared" si="7"/>
        <v>0</v>
      </c>
      <c r="I72" s="7">
        <f t="shared" si="7"/>
        <v>0</v>
      </c>
      <c r="J72" s="7">
        <f t="shared" si="7"/>
        <v>0</v>
      </c>
      <c r="K72" s="7">
        <f t="shared" si="7"/>
        <v>1</v>
      </c>
      <c r="L72" s="6"/>
    </row>
    <row r="73" spans="1:12" ht="30" x14ac:dyDescent="0.25">
      <c r="A73" s="4">
        <f t="shared" ref="A73:A130" si="8">A72+0.0001</f>
        <v>2.007100000000015</v>
      </c>
      <c r="B73" s="6"/>
      <c r="C73" s="5" t="s">
        <v>587</v>
      </c>
      <c r="D73" s="6"/>
      <c r="E73" s="7"/>
      <c r="F73" s="7" t="s">
        <v>8</v>
      </c>
      <c r="G73" s="7">
        <f t="shared" si="7"/>
        <v>0</v>
      </c>
      <c r="H73" s="7">
        <f t="shared" si="7"/>
        <v>0</v>
      </c>
      <c r="I73" s="7">
        <f t="shared" si="7"/>
        <v>0</v>
      </c>
      <c r="J73" s="7">
        <f t="shared" si="7"/>
        <v>0</v>
      </c>
      <c r="K73" s="7">
        <f t="shared" si="7"/>
        <v>1</v>
      </c>
      <c r="L73" s="6"/>
    </row>
    <row r="74" spans="1:12" ht="30" x14ac:dyDescent="0.25">
      <c r="A74" s="4">
        <f t="shared" si="8"/>
        <v>2.0072000000000152</v>
      </c>
      <c r="B74" s="5"/>
      <c r="C74" s="5" t="s">
        <v>586</v>
      </c>
      <c r="D74" s="6"/>
      <c r="E74" s="7"/>
      <c r="F74" s="7" t="s">
        <v>8</v>
      </c>
      <c r="G74" s="7">
        <f t="shared" si="7"/>
        <v>0</v>
      </c>
      <c r="H74" s="7">
        <f t="shared" si="7"/>
        <v>0</v>
      </c>
      <c r="I74" s="7">
        <f t="shared" si="7"/>
        <v>0</v>
      </c>
      <c r="J74" s="7">
        <f t="shared" si="7"/>
        <v>0</v>
      </c>
      <c r="K74" s="7">
        <f t="shared" si="7"/>
        <v>1</v>
      </c>
      <c r="L74" s="6"/>
    </row>
    <row r="75" spans="1:12" x14ac:dyDescent="0.25">
      <c r="A75" s="4">
        <f t="shared" si="8"/>
        <v>2.0073000000000154</v>
      </c>
      <c r="B75" s="5"/>
      <c r="C75" s="23"/>
      <c r="D75" s="6"/>
      <c r="E75" s="7"/>
      <c r="F75" s="7"/>
      <c r="G75" s="7"/>
      <c r="H75" s="7"/>
      <c r="I75" s="7"/>
      <c r="J75" s="7"/>
      <c r="K75" s="7"/>
      <c r="L75" s="6"/>
    </row>
    <row r="76" spans="1:12" x14ac:dyDescent="0.25">
      <c r="A76" s="4">
        <f t="shared" si="8"/>
        <v>2.0074000000000156</v>
      </c>
      <c r="B76" s="16" t="s">
        <v>634</v>
      </c>
      <c r="C76" s="16"/>
      <c r="D76" s="6"/>
      <c r="E76" s="7"/>
      <c r="F76" s="7"/>
      <c r="G76" s="7"/>
      <c r="H76" s="7"/>
      <c r="I76" s="7"/>
      <c r="J76" s="7"/>
      <c r="K76" s="7"/>
      <c r="L76" s="6"/>
    </row>
    <row r="77" spans="1:12" ht="30" x14ac:dyDescent="0.25">
      <c r="A77" s="4">
        <f t="shared" si="8"/>
        <v>2.0075000000000158</v>
      </c>
      <c r="B77" s="6" t="s">
        <v>635</v>
      </c>
      <c r="C77" t="s">
        <v>636</v>
      </c>
      <c r="D77" s="6"/>
      <c r="E77" s="7"/>
      <c r="F77" s="7" t="s">
        <v>8</v>
      </c>
      <c r="G77" s="7">
        <f t="shared" ref="G77:K80" si="9">IF($F77=G$1,1,0)</f>
        <v>0</v>
      </c>
      <c r="H77" s="7">
        <f t="shared" si="9"/>
        <v>0</v>
      </c>
      <c r="I77" s="7">
        <f t="shared" si="9"/>
        <v>0</v>
      </c>
      <c r="J77" s="7">
        <f t="shared" si="9"/>
        <v>0</v>
      </c>
      <c r="K77" s="7">
        <f t="shared" si="9"/>
        <v>1</v>
      </c>
      <c r="L77" s="6"/>
    </row>
    <row r="78" spans="1:12" ht="30" x14ac:dyDescent="0.25">
      <c r="A78" s="4">
        <f t="shared" si="8"/>
        <v>2.007600000000016</v>
      </c>
      <c r="B78" s="6"/>
      <c r="C78" s="5" t="s">
        <v>637</v>
      </c>
      <c r="D78" s="6"/>
      <c r="E78" s="7"/>
      <c r="F78" s="7" t="s">
        <v>8</v>
      </c>
      <c r="G78" s="7">
        <f t="shared" si="9"/>
        <v>0</v>
      </c>
      <c r="H78" s="7">
        <f t="shared" si="9"/>
        <v>0</v>
      </c>
      <c r="I78" s="7">
        <f t="shared" si="9"/>
        <v>0</v>
      </c>
      <c r="J78" s="7">
        <f t="shared" si="9"/>
        <v>0</v>
      </c>
      <c r="K78" s="7">
        <f t="shared" si="9"/>
        <v>1</v>
      </c>
      <c r="L78" s="6"/>
    </row>
    <row r="79" spans="1:12" ht="30" x14ac:dyDescent="0.25">
      <c r="A79" s="4">
        <f t="shared" si="8"/>
        <v>2.0077000000000162</v>
      </c>
      <c r="B79" s="6"/>
      <c r="C79" s="5" t="s">
        <v>638</v>
      </c>
      <c r="D79" s="6"/>
      <c r="E79" s="7"/>
      <c r="F79" s="7" t="s">
        <v>8</v>
      </c>
      <c r="G79" s="7">
        <f t="shared" si="9"/>
        <v>0</v>
      </c>
      <c r="H79" s="7">
        <f t="shared" si="9"/>
        <v>0</v>
      </c>
      <c r="I79" s="7">
        <f t="shared" si="9"/>
        <v>0</v>
      </c>
      <c r="J79" s="7">
        <f t="shared" si="9"/>
        <v>0</v>
      </c>
      <c r="K79" s="7">
        <f t="shared" si="9"/>
        <v>1</v>
      </c>
      <c r="L79" s="6"/>
    </row>
    <row r="80" spans="1:12" ht="30" x14ac:dyDescent="0.25">
      <c r="A80" s="4">
        <f t="shared" si="8"/>
        <v>2.0078000000000165</v>
      </c>
      <c r="B80" s="6"/>
      <c r="C80" s="5" t="s">
        <v>639</v>
      </c>
      <c r="D80" s="6"/>
      <c r="E80" s="7"/>
      <c r="F80" s="7" t="s">
        <v>8</v>
      </c>
      <c r="G80" s="7">
        <f t="shared" si="9"/>
        <v>0</v>
      </c>
      <c r="H80" s="7">
        <f t="shared" si="9"/>
        <v>0</v>
      </c>
      <c r="I80" s="7">
        <f t="shared" si="9"/>
        <v>0</v>
      </c>
      <c r="J80" s="7">
        <f t="shared" si="9"/>
        <v>0</v>
      </c>
      <c r="K80" s="7">
        <f t="shared" si="9"/>
        <v>1</v>
      </c>
      <c r="L80" s="6"/>
    </row>
    <row r="81" spans="1:12" x14ac:dyDescent="0.25">
      <c r="A81" s="4">
        <f t="shared" si="8"/>
        <v>2.0079000000000167</v>
      </c>
      <c r="B81" s="5"/>
      <c r="C81" s="23"/>
      <c r="D81" s="6"/>
      <c r="E81" s="7"/>
      <c r="F81" s="7"/>
      <c r="G81" s="7"/>
      <c r="H81" s="7"/>
      <c r="I81" s="7"/>
      <c r="J81" s="7"/>
      <c r="K81" s="7"/>
      <c r="L81" s="6"/>
    </row>
    <row r="82" spans="1:12" ht="30" x14ac:dyDescent="0.25">
      <c r="A82" s="4">
        <f t="shared" si="8"/>
        <v>2.0080000000000169</v>
      </c>
      <c r="B82" s="79" t="s">
        <v>622</v>
      </c>
      <c r="C82" s="80" t="s">
        <v>623</v>
      </c>
      <c r="D82" s="6"/>
      <c r="E82" s="7"/>
      <c r="F82" s="7" t="s">
        <v>8</v>
      </c>
      <c r="G82" s="7"/>
      <c r="H82" s="7"/>
      <c r="I82" s="7"/>
      <c r="J82" s="7"/>
      <c r="K82" s="7"/>
      <c r="L82" s="6"/>
    </row>
    <row r="83" spans="1:12" ht="30" x14ac:dyDescent="0.25">
      <c r="A83" s="4">
        <f t="shared" si="8"/>
        <v>2.0081000000000171</v>
      </c>
      <c r="B83" s="24" t="s">
        <v>447</v>
      </c>
      <c r="C83" s="22" t="s">
        <v>448</v>
      </c>
      <c r="D83" s="6"/>
      <c r="E83" s="7"/>
      <c r="F83" s="7" t="s">
        <v>8</v>
      </c>
      <c r="G83" s="7">
        <f t="shared" ref="G83:K130" si="10">IF($F83=G$1,1,0)</f>
        <v>0</v>
      </c>
      <c r="H83" s="7">
        <f t="shared" si="10"/>
        <v>0</v>
      </c>
      <c r="I83" s="7">
        <f t="shared" si="10"/>
        <v>0</v>
      </c>
      <c r="J83" s="7">
        <f t="shared" si="10"/>
        <v>0</v>
      </c>
      <c r="K83" s="7">
        <f t="shared" si="10"/>
        <v>1</v>
      </c>
      <c r="L83" s="6"/>
    </row>
    <row r="84" spans="1:12" ht="30" x14ac:dyDescent="0.25">
      <c r="A84" s="4">
        <f t="shared" si="8"/>
        <v>2.0082000000000173</v>
      </c>
      <c r="B84" s="25" t="s">
        <v>344</v>
      </c>
      <c r="C84" s="22" t="s">
        <v>606</v>
      </c>
      <c r="D84" s="6"/>
      <c r="E84" s="7"/>
      <c r="F84" s="7" t="s">
        <v>8</v>
      </c>
      <c r="G84" s="7">
        <f t="shared" si="10"/>
        <v>0</v>
      </c>
      <c r="H84" s="7">
        <f t="shared" si="10"/>
        <v>0</v>
      </c>
      <c r="I84" s="7">
        <f t="shared" si="10"/>
        <v>0</v>
      </c>
      <c r="J84" s="7">
        <f t="shared" si="10"/>
        <v>0</v>
      </c>
      <c r="K84" s="7">
        <f t="shared" si="10"/>
        <v>1</v>
      </c>
      <c r="L84" s="6"/>
    </row>
    <row r="85" spans="1:12" ht="30" x14ac:dyDescent="0.25">
      <c r="A85" s="4">
        <f t="shared" si="8"/>
        <v>2.0083000000000175</v>
      </c>
      <c r="B85" s="26"/>
      <c r="C85" s="22" t="s">
        <v>607</v>
      </c>
      <c r="D85" s="6"/>
      <c r="E85" s="7"/>
      <c r="F85" s="7" t="s">
        <v>8</v>
      </c>
      <c r="G85" s="7">
        <f t="shared" si="10"/>
        <v>0</v>
      </c>
      <c r="H85" s="7">
        <f t="shared" si="10"/>
        <v>0</v>
      </c>
      <c r="I85" s="7">
        <f t="shared" si="10"/>
        <v>0</v>
      </c>
      <c r="J85" s="7">
        <f t="shared" si="10"/>
        <v>0</v>
      </c>
      <c r="K85" s="7">
        <f t="shared" si="10"/>
        <v>1</v>
      </c>
      <c r="L85" s="6"/>
    </row>
    <row r="86" spans="1:12" ht="30" x14ac:dyDescent="0.25">
      <c r="A86" s="4">
        <f t="shared" si="8"/>
        <v>2.0084000000000177</v>
      </c>
      <c r="B86" s="26" t="s">
        <v>371</v>
      </c>
      <c r="C86" s="22" t="s">
        <v>372</v>
      </c>
      <c r="D86" s="7"/>
      <c r="E86" s="7"/>
      <c r="F86" s="7" t="s">
        <v>8</v>
      </c>
      <c r="G86" s="7">
        <f t="shared" si="10"/>
        <v>0</v>
      </c>
      <c r="H86" s="7">
        <f t="shared" si="10"/>
        <v>0</v>
      </c>
      <c r="I86" s="7">
        <f t="shared" si="10"/>
        <v>0</v>
      </c>
      <c r="J86" s="7">
        <f t="shared" si="10"/>
        <v>0</v>
      </c>
      <c r="K86" s="7">
        <f t="shared" si="10"/>
        <v>1</v>
      </c>
      <c r="L86" s="6"/>
    </row>
    <row r="87" spans="1:12" ht="30" x14ac:dyDescent="0.25">
      <c r="A87" s="4">
        <f t="shared" si="8"/>
        <v>2.0085000000000179</v>
      </c>
      <c r="B87" s="26" t="s">
        <v>373</v>
      </c>
      <c r="C87" s="22" t="s">
        <v>374</v>
      </c>
      <c r="D87" s="7" t="s">
        <v>567</v>
      </c>
      <c r="E87" s="7"/>
      <c r="F87" s="7" t="s">
        <v>8</v>
      </c>
      <c r="G87" s="7">
        <f t="shared" si="10"/>
        <v>0</v>
      </c>
      <c r="H87" s="7">
        <f t="shared" si="10"/>
        <v>0</v>
      </c>
      <c r="I87" s="7">
        <f t="shared" si="10"/>
        <v>0</v>
      </c>
      <c r="J87" s="7">
        <f t="shared" si="10"/>
        <v>0</v>
      </c>
      <c r="K87" s="7">
        <f t="shared" si="10"/>
        <v>1</v>
      </c>
      <c r="L87" s="6"/>
    </row>
    <row r="88" spans="1:12" ht="30" x14ac:dyDescent="0.25">
      <c r="A88" s="4">
        <f t="shared" si="8"/>
        <v>2.0086000000000181</v>
      </c>
      <c r="B88" s="24" t="s">
        <v>612</v>
      </c>
      <c r="C88" s="22" t="s">
        <v>613</v>
      </c>
      <c r="D88" s="7"/>
      <c r="E88" s="7"/>
      <c r="F88" s="7" t="s">
        <v>8</v>
      </c>
      <c r="G88" s="7">
        <f t="shared" si="10"/>
        <v>0</v>
      </c>
      <c r="H88" s="7">
        <f t="shared" si="10"/>
        <v>0</v>
      </c>
      <c r="I88" s="7">
        <f t="shared" si="10"/>
        <v>0</v>
      </c>
      <c r="J88" s="7">
        <f t="shared" si="10"/>
        <v>0</v>
      </c>
      <c r="K88" s="7">
        <f t="shared" si="10"/>
        <v>1</v>
      </c>
      <c r="L88" s="6"/>
    </row>
    <row r="89" spans="1:12" ht="30" x14ac:dyDescent="0.25">
      <c r="A89" s="4">
        <f t="shared" si="8"/>
        <v>2.0087000000000184</v>
      </c>
      <c r="B89" s="5"/>
      <c r="C89" s="22" t="s">
        <v>615</v>
      </c>
      <c r="D89" s="7"/>
      <c r="E89" s="7"/>
      <c r="F89" s="7" t="s">
        <v>8</v>
      </c>
      <c r="G89" s="7">
        <f t="shared" si="10"/>
        <v>0</v>
      </c>
      <c r="H89" s="7">
        <f t="shared" si="10"/>
        <v>0</v>
      </c>
      <c r="I89" s="7">
        <f t="shared" si="10"/>
        <v>0</v>
      </c>
      <c r="J89" s="7">
        <f t="shared" si="10"/>
        <v>0</v>
      </c>
      <c r="K89" s="7">
        <f t="shared" si="10"/>
        <v>1</v>
      </c>
      <c r="L89" s="6"/>
    </row>
    <row r="90" spans="1:12" ht="30" x14ac:dyDescent="0.25">
      <c r="A90" s="4">
        <f t="shared" si="8"/>
        <v>2.0088000000000186</v>
      </c>
      <c r="B90" s="5"/>
      <c r="C90" s="22" t="s">
        <v>617</v>
      </c>
      <c r="D90" s="7"/>
      <c r="E90" s="7"/>
      <c r="F90" s="7" t="s">
        <v>8</v>
      </c>
      <c r="G90" s="7">
        <f t="shared" si="10"/>
        <v>0</v>
      </c>
      <c r="H90" s="7">
        <f t="shared" si="10"/>
        <v>0</v>
      </c>
      <c r="I90" s="7">
        <f t="shared" si="10"/>
        <v>0</v>
      </c>
      <c r="J90" s="7">
        <f t="shared" si="10"/>
        <v>0</v>
      </c>
      <c r="K90" s="7">
        <f t="shared" si="10"/>
        <v>1</v>
      </c>
      <c r="L90" s="6"/>
    </row>
    <row r="91" spans="1:12" ht="30" x14ac:dyDescent="0.25">
      <c r="A91" s="4">
        <f t="shared" si="8"/>
        <v>2.0089000000000188</v>
      </c>
      <c r="B91" s="5"/>
      <c r="C91" s="22" t="s">
        <v>616</v>
      </c>
      <c r="D91" s="7"/>
      <c r="E91" s="7"/>
      <c r="F91" s="7" t="s">
        <v>8</v>
      </c>
      <c r="G91" s="7">
        <f t="shared" si="10"/>
        <v>0</v>
      </c>
      <c r="H91" s="7">
        <f t="shared" si="10"/>
        <v>0</v>
      </c>
      <c r="I91" s="7">
        <f t="shared" si="10"/>
        <v>0</v>
      </c>
      <c r="J91" s="7">
        <f t="shared" si="10"/>
        <v>0</v>
      </c>
      <c r="K91" s="7">
        <f t="shared" si="10"/>
        <v>1</v>
      </c>
      <c r="L91" s="6"/>
    </row>
    <row r="92" spans="1:12" ht="30" x14ac:dyDescent="0.25">
      <c r="A92" s="4">
        <f t="shared" si="8"/>
        <v>2.009000000000019</v>
      </c>
      <c r="B92" s="5" t="s">
        <v>624</v>
      </c>
      <c r="C92" s="22"/>
      <c r="D92" s="7"/>
      <c r="E92" s="7"/>
      <c r="F92" s="7" t="s">
        <v>8</v>
      </c>
      <c r="G92" s="7">
        <f t="shared" si="10"/>
        <v>0</v>
      </c>
      <c r="H92" s="7">
        <f t="shared" si="10"/>
        <v>0</v>
      </c>
      <c r="I92" s="7">
        <f t="shared" si="10"/>
        <v>0</v>
      </c>
      <c r="J92" s="7">
        <f t="shared" si="10"/>
        <v>0</v>
      </c>
      <c r="K92" s="7">
        <f t="shared" si="10"/>
        <v>1</v>
      </c>
      <c r="L92" s="6"/>
    </row>
    <row r="93" spans="1:12" ht="30" x14ac:dyDescent="0.25">
      <c r="A93" s="4">
        <f t="shared" si="8"/>
        <v>2.0091000000000192</v>
      </c>
      <c r="B93" s="5" t="s">
        <v>625</v>
      </c>
      <c r="C93" s="22" t="s">
        <v>640</v>
      </c>
      <c r="D93" s="7"/>
      <c r="E93" s="7"/>
      <c r="F93" s="7" t="s">
        <v>8</v>
      </c>
      <c r="G93" s="7">
        <f t="shared" si="10"/>
        <v>0</v>
      </c>
      <c r="H93" s="7">
        <f t="shared" si="10"/>
        <v>0</v>
      </c>
      <c r="I93" s="7">
        <f t="shared" si="10"/>
        <v>0</v>
      </c>
      <c r="J93" s="7">
        <f t="shared" si="10"/>
        <v>0</v>
      </c>
      <c r="K93" s="7">
        <f t="shared" si="10"/>
        <v>1</v>
      </c>
      <c r="L93" s="6"/>
    </row>
    <row r="94" spans="1:12" ht="30" x14ac:dyDescent="0.25">
      <c r="A94" s="4">
        <f t="shared" si="8"/>
        <v>2.0092000000000194</v>
      </c>
      <c r="B94" s="5" t="s">
        <v>627</v>
      </c>
      <c r="C94" s="22" t="s">
        <v>628</v>
      </c>
      <c r="D94" s="7"/>
      <c r="E94" s="7"/>
      <c r="F94" s="7" t="s">
        <v>8</v>
      </c>
      <c r="G94" s="7">
        <f t="shared" si="10"/>
        <v>0</v>
      </c>
      <c r="H94" s="7">
        <f t="shared" si="10"/>
        <v>0</v>
      </c>
      <c r="I94" s="7">
        <f t="shared" si="10"/>
        <v>0</v>
      </c>
      <c r="J94" s="7">
        <f t="shared" si="10"/>
        <v>0</v>
      </c>
      <c r="K94" s="7">
        <f t="shared" si="10"/>
        <v>1</v>
      </c>
      <c r="L94" s="6"/>
    </row>
    <row r="95" spans="1:12" ht="30" x14ac:dyDescent="0.25">
      <c r="A95" s="4">
        <f t="shared" si="8"/>
        <v>2.0093000000000196</v>
      </c>
      <c r="B95" s="5" t="s">
        <v>620</v>
      </c>
      <c r="C95" s="22"/>
      <c r="D95" s="7"/>
      <c r="E95" s="7"/>
      <c r="F95" s="7" t="s">
        <v>8</v>
      </c>
      <c r="G95" s="7">
        <f t="shared" si="10"/>
        <v>0</v>
      </c>
      <c r="H95" s="7">
        <f t="shared" si="10"/>
        <v>0</v>
      </c>
      <c r="I95" s="7">
        <f t="shared" si="10"/>
        <v>0</v>
      </c>
      <c r="J95" s="7">
        <f t="shared" si="10"/>
        <v>0</v>
      </c>
      <c r="K95" s="7">
        <f t="shared" si="10"/>
        <v>1</v>
      </c>
      <c r="L95" s="6"/>
    </row>
    <row r="96" spans="1:12" x14ac:dyDescent="0.25">
      <c r="A96" s="4">
        <f t="shared" si="8"/>
        <v>2.0094000000000198</v>
      </c>
      <c r="B96" s="5"/>
      <c r="C96" s="22"/>
      <c r="D96" s="7"/>
      <c r="E96" s="7"/>
      <c r="F96" s="7"/>
      <c r="G96" s="7"/>
      <c r="H96" s="7"/>
      <c r="I96" s="7"/>
      <c r="J96" s="7"/>
      <c r="K96" s="7"/>
      <c r="L96" s="6"/>
    </row>
    <row r="97" spans="1:12" ht="30" x14ac:dyDescent="0.25">
      <c r="A97" s="4">
        <f t="shared" si="8"/>
        <v>2.00950000000002</v>
      </c>
      <c r="B97" s="5" t="s">
        <v>457</v>
      </c>
      <c r="C97" s="22" t="s">
        <v>629</v>
      </c>
      <c r="D97" s="7"/>
      <c r="E97" s="7"/>
      <c r="F97" s="7" t="s">
        <v>8</v>
      </c>
      <c r="G97" s="7">
        <f t="shared" si="10"/>
        <v>0</v>
      </c>
      <c r="H97" s="7">
        <f t="shared" si="10"/>
        <v>0</v>
      </c>
      <c r="I97" s="7">
        <f t="shared" si="10"/>
        <v>0</v>
      </c>
      <c r="J97" s="7">
        <f t="shared" si="10"/>
        <v>0</v>
      </c>
      <c r="K97" s="7">
        <f t="shared" si="10"/>
        <v>1</v>
      </c>
      <c r="L97" s="6"/>
    </row>
    <row r="98" spans="1:12" ht="30" x14ac:dyDescent="0.25">
      <c r="A98" s="4">
        <f t="shared" si="8"/>
        <v>2.0096000000000203</v>
      </c>
      <c r="B98" s="5"/>
      <c r="C98" s="22" t="s">
        <v>630</v>
      </c>
      <c r="D98" s="7"/>
      <c r="E98" s="7"/>
      <c r="F98" s="7" t="s">
        <v>8</v>
      </c>
      <c r="G98" s="7">
        <f t="shared" si="10"/>
        <v>0</v>
      </c>
      <c r="H98" s="7">
        <f t="shared" si="10"/>
        <v>0</v>
      </c>
      <c r="I98" s="7">
        <f t="shared" si="10"/>
        <v>0</v>
      </c>
      <c r="J98" s="7">
        <f t="shared" si="10"/>
        <v>0</v>
      </c>
      <c r="K98" s="7">
        <f t="shared" si="10"/>
        <v>1</v>
      </c>
      <c r="L98" s="6"/>
    </row>
    <row r="99" spans="1:12" ht="30" x14ac:dyDescent="0.25">
      <c r="A99" s="4">
        <f t="shared" si="8"/>
        <v>2.0097000000000205</v>
      </c>
      <c r="B99" s="5" t="s">
        <v>631</v>
      </c>
      <c r="C99" s="22"/>
      <c r="D99" s="7"/>
      <c r="E99" s="7"/>
      <c r="F99" s="7" t="s">
        <v>8</v>
      </c>
      <c r="G99" s="7">
        <f t="shared" si="10"/>
        <v>0</v>
      </c>
      <c r="H99" s="7">
        <f t="shared" si="10"/>
        <v>0</v>
      </c>
      <c r="I99" s="7">
        <f t="shared" si="10"/>
        <v>0</v>
      </c>
      <c r="J99" s="7">
        <f t="shared" si="10"/>
        <v>0</v>
      </c>
      <c r="K99" s="7">
        <f t="shared" si="10"/>
        <v>1</v>
      </c>
      <c r="L99" s="6"/>
    </row>
    <row r="100" spans="1:12" ht="30" x14ac:dyDescent="0.25">
      <c r="A100" s="4">
        <f t="shared" si="8"/>
        <v>2.0098000000000207</v>
      </c>
      <c r="B100" s="5" t="s">
        <v>632</v>
      </c>
      <c r="C100" s="22"/>
      <c r="D100" s="7"/>
      <c r="E100" s="7"/>
      <c r="F100" s="7" t="s">
        <v>8</v>
      </c>
      <c r="G100" s="7">
        <f t="shared" si="10"/>
        <v>0</v>
      </c>
      <c r="H100" s="7">
        <f t="shared" si="10"/>
        <v>0</v>
      </c>
      <c r="I100" s="7">
        <f t="shared" si="10"/>
        <v>0</v>
      </c>
      <c r="J100" s="7">
        <f t="shared" si="10"/>
        <v>0</v>
      </c>
      <c r="K100" s="7">
        <f t="shared" si="10"/>
        <v>1</v>
      </c>
      <c r="L100" s="6"/>
    </row>
    <row r="101" spans="1:12" x14ac:dyDescent="0.25">
      <c r="A101" s="4">
        <f t="shared" si="8"/>
        <v>2.0099000000000209</v>
      </c>
      <c r="B101" s="63"/>
      <c r="C101" s="22"/>
      <c r="D101" s="7"/>
      <c r="E101" s="7"/>
      <c r="F101" s="7"/>
      <c r="G101" s="7"/>
      <c r="H101" s="7"/>
      <c r="I101" s="7"/>
      <c r="J101" s="7"/>
      <c r="K101" s="7"/>
      <c r="L101" s="6"/>
    </row>
    <row r="102" spans="1:12" x14ac:dyDescent="0.25">
      <c r="A102" s="4">
        <f t="shared" si="8"/>
        <v>2.0100000000000211</v>
      </c>
      <c r="B102" s="16" t="s">
        <v>580</v>
      </c>
      <c r="C102" s="16"/>
      <c r="D102" s="7"/>
      <c r="E102" s="7"/>
      <c r="F102" s="7"/>
      <c r="G102" s="7"/>
      <c r="H102" s="7"/>
      <c r="I102" s="7"/>
      <c r="J102" s="7"/>
      <c r="K102" s="7"/>
      <c r="L102" s="6"/>
    </row>
    <row r="103" spans="1:12" ht="30" x14ac:dyDescent="0.25">
      <c r="A103" s="4">
        <f t="shared" si="8"/>
        <v>2.0101000000000213</v>
      </c>
      <c r="B103" s="96" t="s">
        <v>555</v>
      </c>
      <c r="C103" s="5" t="s">
        <v>556</v>
      </c>
      <c r="D103" s="7"/>
      <c r="E103" s="7"/>
      <c r="F103" s="7" t="s">
        <v>8</v>
      </c>
      <c r="G103" s="7">
        <f t="shared" si="10"/>
        <v>0</v>
      </c>
      <c r="H103" s="7">
        <f t="shared" si="10"/>
        <v>0</v>
      </c>
      <c r="I103" s="7">
        <f t="shared" si="10"/>
        <v>0</v>
      </c>
      <c r="J103" s="7">
        <f t="shared" si="10"/>
        <v>0</v>
      </c>
      <c r="K103" s="7">
        <f t="shared" si="10"/>
        <v>1</v>
      </c>
      <c r="L103" s="6"/>
    </row>
    <row r="104" spans="1:12" ht="30" x14ac:dyDescent="0.25">
      <c r="A104" s="4">
        <f t="shared" si="8"/>
        <v>2.0102000000000215</v>
      </c>
      <c r="B104" s="6"/>
      <c r="C104" s="5" t="s">
        <v>557</v>
      </c>
      <c r="D104" s="7"/>
      <c r="E104" s="7"/>
      <c r="F104" s="7" t="s">
        <v>8</v>
      </c>
      <c r="G104" s="7">
        <f t="shared" si="10"/>
        <v>0</v>
      </c>
      <c r="H104" s="7">
        <f t="shared" si="10"/>
        <v>0</v>
      </c>
      <c r="I104" s="7">
        <f t="shared" si="10"/>
        <v>0</v>
      </c>
      <c r="J104" s="7">
        <f t="shared" si="10"/>
        <v>0</v>
      </c>
      <c r="K104" s="7">
        <f t="shared" si="10"/>
        <v>1</v>
      </c>
      <c r="L104" s="6"/>
    </row>
    <row r="105" spans="1:12" ht="30" x14ac:dyDescent="0.25">
      <c r="A105" s="4">
        <f t="shared" si="8"/>
        <v>2.0103000000000217</v>
      </c>
      <c r="B105" s="6"/>
      <c r="C105" s="5" t="s">
        <v>574</v>
      </c>
      <c r="D105" s="7"/>
      <c r="E105" s="7"/>
      <c r="F105" s="7" t="s">
        <v>8</v>
      </c>
      <c r="G105" s="7">
        <f t="shared" si="10"/>
        <v>0</v>
      </c>
      <c r="H105" s="7">
        <f t="shared" si="10"/>
        <v>0</v>
      </c>
      <c r="I105" s="7">
        <f t="shared" si="10"/>
        <v>0</v>
      </c>
      <c r="J105" s="7">
        <f t="shared" si="10"/>
        <v>0</v>
      </c>
      <c r="K105" s="7">
        <f t="shared" si="10"/>
        <v>1</v>
      </c>
      <c r="L105" s="6"/>
    </row>
    <row r="106" spans="1:12" ht="30" x14ac:dyDescent="0.25">
      <c r="A106" s="4">
        <f t="shared" si="8"/>
        <v>2.0104000000000219</v>
      </c>
      <c r="B106" s="6"/>
      <c r="C106" s="5" t="s">
        <v>575</v>
      </c>
      <c r="D106" s="7"/>
      <c r="E106" s="7"/>
      <c r="F106" s="7" t="s">
        <v>8</v>
      </c>
      <c r="G106" s="7">
        <f t="shared" si="10"/>
        <v>0</v>
      </c>
      <c r="H106" s="7">
        <f t="shared" si="10"/>
        <v>0</v>
      </c>
      <c r="I106" s="7">
        <f t="shared" si="10"/>
        <v>0</v>
      </c>
      <c r="J106" s="7">
        <f t="shared" si="10"/>
        <v>0</v>
      </c>
      <c r="K106" s="7">
        <f t="shared" si="10"/>
        <v>1</v>
      </c>
      <c r="L106" s="6"/>
    </row>
    <row r="107" spans="1:12" ht="30" x14ac:dyDescent="0.25">
      <c r="A107" s="4">
        <f t="shared" si="8"/>
        <v>2.0105000000000222</v>
      </c>
      <c r="B107" s="6"/>
      <c r="C107" s="5" t="s">
        <v>576</v>
      </c>
      <c r="D107" s="7"/>
      <c r="E107" s="7"/>
      <c r="F107" s="7" t="s">
        <v>8</v>
      </c>
      <c r="G107" s="7">
        <f t="shared" si="10"/>
        <v>0</v>
      </c>
      <c r="H107" s="7">
        <f t="shared" si="10"/>
        <v>0</v>
      </c>
      <c r="I107" s="7">
        <f t="shared" si="10"/>
        <v>0</v>
      </c>
      <c r="J107" s="7">
        <f t="shared" si="10"/>
        <v>0</v>
      </c>
      <c r="K107" s="7">
        <f t="shared" si="10"/>
        <v>1</v>
      </c>
      <c r="L107" s="6"/>
    </row>
    <row r="108" spans="1:12" ht="30" x14ac:dyDescent="0.25">
      <c r="A108" s="4">
        <f t="shared" si="8"/>
        <v>2.0106000000000224</v>
      </c>
      <c r="B108" s="6"/>
      <c r="C108" s="5" t="s">
        <v>577</v>
      </c>
      <c r="D108" s="7"/>
      <c r="E108" s="7"/>
      <c r="F108" s="7" t="s">
        <v>8</v>
      </c>
      <c r="G108" s="7">
        <f t="shared" si="10"/>
        <v>0</v>
      </c>
      <c r="H108" s="7">
        <f t="shared" si="10"/>
        <v>0</v>
      </c>
      <c r="I108" s="7">
        <f t="shared" si="10"/>
        <v>0</v>
      </c>
      <c r="J108" s="7">
        <f t="shared" si="10"/>
        <v>0</v>
      </c>
      <c r="K108" s="7">
        <f t="shared" si="10"/>
        <v>1</v>
      </c>
      <c r="L108" s="6"/>
    </row>
    <row r="109" spans="1:12" ht="30" x14ac:dyDescent="0.25">
      <c r="A109" s="4">
        <f t="shared" si="8"/>
        <v>2.0107000000000226</v>
      </c>
      <c r="B109" s="6"/>
      <c r="C109" s="5" t="s">
        <v>578</v>
      </c>
      <c r="D109" s="7"/>
      <c r="E109" s="7"/>
      <c r="F109" s="7" t="s">
        <v>8</v>
      </c>
      <c r="G109" s="7">
        <f t="shared" si="10"/>
        <v>0</v>
      </c>
      <c r="H109" s="7">
        <f t="shared" si="10"/>
        <v>0</v>
      </c>
      <c r="I109" s="7">
        <f t="shared" si="10"/>
        <v>0</v>
      </c>
      <c r="J109" s="7">
        <f t="shared" si="10"/>
        <v>0</v>
      </c>
      <c r="K109" s="7">
        <f t="shared" si="10"/>
        <v>1</v>
      </c>
      <c r="L109" s="6"/>
    </row>
    <row r="110" spans="1:12" ht="30" x14ac:dyDescent="0.25">
      <c r="A110" s="4">
        <f t="shared" si="8"/>
        <v>2.0108000000000228</v>
      </c>
      <c r="B110" s="6"/>
      <c r="C110" s="5" t="s">
        <v>579</v>
      </c>
      <c r="D110" s="7"/>
      <c r="E110" s="7"/>
      <c r="F110" s="7" t="s">
        <v>8</v>
      </c>
      <c r="G110" s="7">
        <f t="shared" si="10"/>
        <v>0</v>
      </c>
      <c r="H110" s="7">
        <f t="shared" si="10"/>
        <v>0</v>
      </c>
      <c r="I110" s="7">
        <f t="shared" si="10"/>
        <v>0</v>
      </c>
      <c r="J110" s="7">
        <f t="shared" si="10"/>
        <v>0</v>
      </c>
      <c r="K110" s="7">
        <f t="shared" si="10"/>
        <v>1</v>
      </c>
      <c r="L110" s="6"/>
    </row>
    <row r="111" spans="1:12" x14ac:dyDescent="0.25">
      <c r="A111" s="4">
        <f t="shared" si="8"/>
        <v>2.010900000000023</v>
      </c>
      <c r="B111" s="6"/>
      <c r="C111" s="5"/>
      <c r="D111" s="7"/>
      <c r="E111" s="7"/>
      <c r="F111" s="7"/>
      <c r="G111" s="7"/>
      <c r="H111" s="7"/>
      <c r="I111" s="7"/>
      <c r="J111" s="7"/>
      <c r="K111" s="7"/>
      <c r="L111" s="6"/>
    </row>
    <row r="112" spans="1:12" x14ac:dyDescent="0.25">
      <c r="A112" s="4">
        <f t="shared" si="8"/>
        <v>2.0110000000000232</v>
      </c>
      <c r="B112" s="5"/>
      <c r="C112" s="5"/>
      <c r="D112" s="7"/>
      <c r="E112" s="7"/>
      <c r="F112" s="7"/>
      <c r="G112" s="7"/>
      <c r="H112" s="7"/>
      <c r="I112" s="7"/>
      <c r="J112" s="7"/>
      <c r="K112" s="7"/>
      <c r="L112" s="6"/>
    </row>
    <row r="113" spans="1:12" x14ac:dyDescent="0.25">
      <c r="A113" s="4">
        <f t="shared" si="8"/>
        <v>2.0111000000000234</v>
      </c>
      <c r="B113" s="5"/>
      <c r="C113" s="5"/>
      <c r="D113" s="7"/>
      <c r="E113" s="7"/>
      <c r="F113" s="7"/>
      <c r="G113" s="7"/>
      <c r="H113" s="7"/>
      <c r="I113" s="7"/>
      <c r="J113" s="7"/>
      <c r="K113" s="7"/>
      <c r="L113" s="6"/>
    </row>
    <row r="114" spans="1:12" ht="30" x14ac:dyDescent="0.25">
      <c r="A114" s="4">
        <f t="shared" si="8"/>
        <v>2.0112000000000236</v>
      </c>
      <c r="B114" s="96" t="s">
        <v>560</v>
      </c>
      <c r="C114" s="63" t="s">
        <v>561</v>
      </c>
      <c r="D114" s="7"/>
      <c r="E114" s="7"/>
      <c r="F114" s="7" t="s">
        <v>8</v>
      </c>
      <c r="G114" s="7">
        <f t="shared" si="10"/>
        <v>0</v>
      </c>
      <c r="H114" s="7">
        <f t="shared" si="10"/>
        <v>0</v>
      </c>
      <c r="I114" s="7">
        <f t="shared" si="10"/>
        <v>0</v>
      </c>
      <c r="J114" s="7">
        <f t="shared" si="10"/>
        <v>0</v>
      </c>
      <c r="K114" s="7">
        <f t="shared" si="10"/>
        <v>1</v>
      </c>
      <c r="L114" s="6"/>
    </row>
    <row r="115" spans="1:12" ht="30" x14ac:dyDescent="0.25">
      <c r="A115" s="4">
        <f t="shared" si="8"/>
        <v>2.0113000000000238</v>
      </c>
      <c r="B115" s="6"/>
      <c r="C115" s="5" t="s">
        <v>821</v>
      </c>
      <c r="D115" s="7"/>
      <c r="E115" s="7"/>
      <c r="F115" s="7" t="s">
        <v>8</v>
      </c>
      <c r="G115" s="7">
        <f t="shared" si="10"/>
        <v>0</v>
      </c>
      <c r="H115" s="7">
        <f t="shared" si="10"/>
        <v>0</v>
      </c>
      <c r="I115" s="7">
        <f t="shared" si="10"/>
        <v>0</v>
      </c>
      <c r="J115" s="7">
        <f t="shared" si="10"/>
        <v>0</v>
      </c>
      <c r="K115" s="7">
        <f t="shared" si="10"/>
        <v>1</v>
      </c>
      <c r="L115" s="6"/>
    </row>
    <row r="116" spans="1:12" ht="30" x14ac:dyDescent="0.25">
      <c r="A116" s="4">
        <f t="shared" si="8"/>
        <v>2.0114000000000241</v>
      </c>
      <c r="B116" s="6"/>
      <c r="C116" s="5" t="s">
        <v>585</v>
      </c>
      <c r="D116" s="7"/>
      <c r="E116" s="7"/>
      <c r="F116" s="7" t="s">
        <v>8</v>
      </c>
      <c r="G116" s="7">
        <f t="shared" si="10"/>
        <v>0</v>
      </c>
      <c r="H116" s="7">
        <f t="shared" si="10"/>
        <v>0</v>
      </c>
      <c r="I116" s="7">
        <f t="shared" si="10"/>
        <v>0</v>
      </c>
      <c r="J116" s="7">
        <f t="shared" si="10"/>
        <v>0</v>
      </c>
      <c r="K116" s="7">
        <f t="shared" si="10"/>
        <v>1</v>
      </c>
      <c r="L116" s="6"/>
    </row>
    <row r="117" spans="1:12" ht="30" x14ac:dyDescent="0.25">
      <c r="A117" s="4">
        <f t="shared" si="8"/>
        <v>2.0115000000000243</v>
      </c>
      <c r="B117" s="6"/>
      <c r="C117" s="5" t="s">
        <v>562</v>
      </c>
      <c r="D117" s="7"/>
      <c r="E117" s="7"/>
      <c r="F117" s="7" t="s">
        <v>8</v>
      </c>
      <c r="G117" s="7">
        <f t="shared" si="10"/>
        <v>0</v>
      </c>
      <c r="H117" s="7">
        <f t="shared" si="10"/>
        <v>0</v>
      </c>
      <c r="I117" s="7">
        <f t="shared" si="10"/>
        <v>0</v>
      </c>
      <c r="J117" s="7">
        <f t="shared" si="10"/>
        <v>0</v>
      </c>
      <c r="K117" s="7">
        <f t="shared" si="10"/>
        <v>1</v>
      </c>
      <c r="L117" s="6"/>
    </row>
    <row r="118" spans="1:12" ht="30" x14ac:dyDescent="0.25">
      <c r="A118" s="4">
        <f t="shared" si="8"/>
        <v>2.0116000000000245</v>
      </c>
      <c r="B118" s="6"/>
      <c r="C118" s="5"/>
      <c r="D118" s="7"/>
      <c r="E118" s="7"/>
      <c r="F118" s="7" t="s">
        <v>8</v>
      </c>
      <c r="G118" s="7">
        <f t="shared" si="10"/>
        <v>0</v>
      </c>
      <c r="H118" s="7">
        <f t="shared" si="10"/>
        <v>0</v>
      </c>
      <c r="I118" s="7">
        <f t="shared" si="10"/>
        <v>0</v>
      </c>
      <c r="J118" s="7">
        <f t="shared" si="10"/>
        <v>0</v>
      </c>
      <c r="K118" s="7">
        <f t="shared" si="10"/>
        <v>1</v>
      </c>
      <c r="L118" s="6"/>
    </row>
    <row r="119" spans="1:12" ht="30" x14ac:dyDescent="0.25">
      <c r="A119" s="4">
        <f t="shared" si="8"/>
        <v>2.0117000000000247</v>
      </c>
      <c r="B119" s="6"/>
      <c r="C119" s="5" t="s">
        <v>591</v>
      </c>
      <c r="D119" s="7"/>
      <c r="E119" s="7"/>
      <c r="F119" s="7" t="s">
        <v>8</v>
      </c>
      <c r="G119" s="7">
        <f t="shared" si="10"/>
        <v>0</v>
      </c>
      <c r="H119" s="7">
        <f t="shared" si="10"/>
        <v>0</v>
      </c>
      <c r="I119" s="7">
        <f t="shared" si="10"/>
        <v>0</v>
      </c>
      <c r="J119" s="7">
        <f t="shared" si="10"/>
        <v>0</v>
      </c>
      <c r="K119" s="7">
        <f t="shared" si="10"/>
        <v>1</v>
      </c>
      <c r="L119" s="6"/>
    </row>
    <row r="120" spans="1:12" ht="30" x14ac:dyDescent="0.25">
      <c r="A120" s="4">
        <f t="shared" si="8"/>
        <v>2.0118000000000249</v>
      </c>
      <c r="B120" s="6"/>
      <c r="C120" s="5" t="s">
        <v>590</v>
      </c>
      <c r="D120" s="7"/>
      <c r="E120" s="7"/>
      <c r="F120" s="7" t="s">
        <v>8</v>
      </c>
      <c r="G120" s="7">
        <f t="shared" si="10"/>
        <v>0</v>
      </c>
      <c r="H120" s="7">
        <f t="shared" si="10"/>
        <v>0</v>
      </c>
      <c r="I120" s="7">
        <f t="shared" si="10"/>
        <v>0</v>
      </c>
      <c r="J120" s="7">
        <f t="shared" si="10"/>
        <v>0</v>
      </c>
      <c r="K120" s="7">
        <f t="shared" si="10"/>
        <v>1</v>
      </c>
      <c r="L120" s="6"/>
    </row>
    <row r="121" spans="1:12" ht="30" x14ac:dyDescent="0.25">
      <c r="A121" s="4">
        <f t="shared" si="8"/>
        <v>2.0119000000000251</v>
      </c>
      <c r="B121" s="6"/>
      <c r="C121" s="5" t="s">
        <v>589</v>
      </c>
      <c r="D121" s="7"/>
      <c r="E121" s="7"/>
      <c r="F121" s="7" t="s">
        <v>8</v>
      </c>
      <c r="G121" s="7">
        <f t="shared" si="10"/>
        <v>0</v>
      </c>
      <c r="H121" s="7">
        <f t="shared" si="10"/>
        <v>0</v>
      </c>
      <c r="I121" s="7">
        <f t="shared" si="10"/>
        <v>0</v>
      </c>
      <c r="J121" s="7">
        <f t="shared" si="10"/>
        <v>0</v>
      </c>
      <c r="K121" s="7">
        <f t="shared" si="10"/>
        <v>1</v>
      </c>
      <c r="L121" s="6"/>
    </row>
    <row r="122" spans="1:12" ht="30" x14ac:dyDescent="0.25">
      <c r="A122" s="4">
        <f t="shared" si="8"/>
        <v>2.0120000000000253</v>
      </c>
      <c r="B122" s="6"/>
      <c r="C122" s="5" t="s">
        <v>588</v>
      </c>
      <c r="D122" s="7"/>
      <c r="E122" s="7"/>
      <c r="F122" s="7" t="s">
        <v>8</v>
      </c>
      <c r="G122" s="7">
        <f t="shared" si="10"/>
        <v>0</v>
      </c>
      <c r="H122" s="7">
        <f t="shared" si="10"/>
        <v>0</v>
      </c>
      <c r="I122" s="7">
        <f t="shared" si="10"/>
        <v>0</v>
      </c>
      <c r="J122" s="7">
        <f t="shared" si="10"/>
        <v>0</v>
      </c>
      <c r="K122" s="7">
        <f t="shared" si="10"/>
        <v>1</v>
      </c>
      <c r="L122" s="6"/>
    </row>
    <row r="123" spans="1:12" ht="30" x14ac:dyDescent="0.25">
      <c r="A123" s="4">
        <f t="shared" si="8"/>
        <v>2.0121000000000255</v>
      </c>
      <c r="B123" s="6"/>
      <c r="C123" s="5" t="s">
        <v>587</v>
      </c>
      <c r="D123" s="7"/>
      <c r="E123" s="7"/>
      <c r="F123" s="7" t="s">
        <v>8</v>
      </c>
      <c r="G123" s="7">
        <f t="shared" si="10"/>
        <v>0</v>
      </c>
      <c r="H123" s="7">
        <f t="shared" si="10"/>
        <v>0</v>
      </c>
      <c r="I123" s="7">
        <f t="shared" si="10"/>
        <v>0</v>
      </c>
      <c r="J123" s="7">
        <f t="shared" si="10"/>
        <v>0</v>
      </c>
      <c r="K123" s="7">
        <f t="shared" si="10"/>
        <v>1</v>
      </c>
      <c r="L123" s="6"/>
    </row>
    <row r="124" spans="1:12" ht="30" x14ac:dyDescent="0.25">
      <c r="A124" s="4">
        <f t="shared" si="8"/>
        <v>2.0122000000000257</v>
      </c>
      <c r="B124" s="5"/>
      <c r="C124" s="5" t="s">
        <v>586</v>
      </c>
      <c r="D124" s="7"/>
      <c r="E124" s="7"/>
      <c r="F124" s="7" t="s">
        <v>8</v>
      </c>
      <c r="G124" s="7">
        <f t="shared" si="10"/>
        <v>0</v>
      </c>
      <c r="H124" s="7">
        <f t="shared" si="10"/>
        <v>0</v>
      </c>
      <c r="I124" s="7">
        <f t="shared" si="10"/>
        <v>0</v>
      </c>
      <c r="J124" s="7">
        <f t="shared" si="10"/>
        <v>0</v>
      </c>
      <c r="K124" s="7">
        <f t="shared" si="10"/>
        <v>1</v>
      </c>
      <c r="L124" s="6"/>
    </row>
    <row r="125" spans="1:12" x14ac:dyDescent="0.25">
      <c r="A125" s="4">
        <f t="shared" si="8"/>
        <v>2.012300000000026</v>
      </c>
      <c r="B125" s="5"/>
      <c r="C125" s="22"/>
      <c r="D125" s="7"/>
      <c r="E125" s="7"/>
      <c r="F125" s="7"/>
      <c r="G125" s="7"/>
      <c r="H125" s="7"/>
      <c r="I125" s="7"/>
      <c r="J125" s="7"/>
      <c r="K125" s="7"/>
      <c r="L125" s="6"/>
    </row>
    <row r="126" spans="1:12" ht="30" x14ac:dyDescent="0.25">
      <c r="A126" s="4">
        <f t="shared" si="8"/>
        <v>2.0124000000000262</v>
      </c>
      <c r="B126" s="16" t="s">
        <v>634</v>
      </c>
      <c r="C126" s="16"/>
      <c r="D126" s="7"/>
      <c r="E126" s="7"/>
      <c r="F126" s="7" t="s">
        <v>8</v>
      </c>
      <c r="G126" s="7">
        <f t="shared" si="10"/>
        <v>0</v>
      </c>
      <c r="H126" s="7">
        <f t="shared" si="10"/>
        <v>0</v>
      </c>
      <c r="I126" s="7">
        <f t="shared" si="10"/>
        <v>0</v>
      </c>
      <c r="J126" s="7">
        <f t="shared" si="10"/>
        <v>0</v>
      </c>
      <c r="K126" s="7">
        <f t="shared" si="10"/>
        <v>1</v>
      </c>
      <c r="L126" s="6"/>
    </row>
    <row r="127" spans="1:12" ht="30" x14ac:dyDescent="0.25">
      <c r="A127" s="4">
        <f t="shared" si="8"/>
        <v>2.0125000000000264</v>
      </c>
      <c r="B127" s="6" t="s">
        <v>635</v>
      </c>
      <c r="C127" t="s">
        <v>1011</v>
      </c>
      <c r="D127" s="7"/>
      <c r="E127" s="7"/>
      <c r="F127" s="7" t="s">
        <v>8</v>
      </c>
      <c r="G127" s="7">
        <f t="shared" si="10"/>
        <v>0</v>
      </c>
      <c r="H127" s="7">
        <f t="shared" si="10"/>
        <v>0</v>
      </c>
      <c r="I127" s="7">
        <f t="shared" si="10"/>
        <v>0</v>
      </c>
      <c r="J127" s="7">
        <f t="shared" si="10"/>
        <v>0</v>
      </c>
      <c r="K127" s="7">
        <f t="shared" si="10"/>
        <v>1</v>
      </c>
      <c r="L127" s="6"/>
    </row>
    <row r="128" spans="1:12" ht="30" x14ac:dyDescent="0.25">
      <c r="A128" s="4">
        <f t="shared" si="8"/>
        <v>2.0126000000000266</v>
      </c>
      <c r="B128" s="6"/>
      <c r="C128" s="5" t="s">
        <v>641</v>
      </c>
      <c r="D128" s="7"/>
      <c r="E128" s="7"/>
      <c r="F128" s="7" t="s">
        <v>8</v>
      </c>
      <c r="G128" s="7">
        <f t="shared" si="10"/>
        <v>0</v>
      </c>
      <c r="H128" s="7">
        <f t="shared" si="10"/>
        <v>0</v>
      </c>
      <c r="I128" s="7">
        <f t="shared" si="10"/>
        <v>0</v>
      </c>
      <c r="J128" s="7">
        <f t="shared" si="10"/>
        <v>0</v>
      </c>
      <c r="K128" s="7">
        <f t="shared" si="10"/>
        <v>1</v>
      </c>
      <c r="L128" s="6"/>
    </row>
    <row r="129" spans="1:12" ht="30" x14ac:dyDescent="0.25">
      <c r="A129" s="4">
        <f t="shared" si="8"/>
        <v>2.0127000000000268</v>
      </c>
      <c r="B129" s="6"/>
      <c r="C129" s="5" t="s">
        <v>642</v>
      </c>
      <c r="D129" s="7"/>
      <c r="E129" s="7"/>
      <c r="F129" s="7" t="s">
        <v>8</v>
      </c>
      <c r="G129" s="7">
        <f t="shared" si="10"/>
        <v>0</v>
      </c>
      <c r="H129" s="7">
        <f t="shared" si="10"/>
        <v>0</v>
      </c>
      <c r="I129" s="7">
        <f t="shared" si="10"/>
        <v>0</v>
      </c>
      <c r="J129" s="7">
        <f t="shared" si="10"/>
        <v>0</v>
      </c>
      <c r="K129" s="7">
        <f t="shared" si="10"/>
        <v>1</v>
      </c>
      <c r="L129" s="6"/>
    </row>
    <row r="130" spans="1:12" ht="30" x14ac:dyDescent="0.25">
      <c r="A130" s="4">
        <f t="shared" si="8"/>
        <v>2.012800000000027</v>
      </c>
      <c r="B130" s="6"/>
      <c r="C130" s="5" t="s">
        <v>639</v>
      </c>
      <c r="D130" s="7"/>
      <c r="E130" s="7"/>
      <c r="F130" s="7" t="s">
        <v>8</v>
      </c>
      <c r="G130" s="7">
        <f t="shared" si="10"/>
        <v>0</v>
      </c>
      <c r="H130" s="7">
        <f t="shared" si="10"/>
        <v>0</v>
      </c>
      <c r="I130" s="7">
        <f t="shared" si="10"/>
        <v>0</v>
      </c>
      <c r="J130" s="7">
        <f t="shared" si="10"/>
        <v>0</v>
      </c>
      <c r="K130" s="7">
        <f t="shared" si="10"/>
        <v>1</v>
      </c>
      <c r="L130" s="6"/>
    </row>
    <row r="131" spans="1:12" ht="15.75" thickBot="1" x14ac:dyDescent="0.3">
      <c r="G131" s="95">
        <f>SUM(G3:G130)</f>
        <v>0</v>
      </c>
      <c r="H131" s="95">
        <f>SUM(H3:H130)</f>
        <v>0</v>
      </c>
      <c r="I131" s="95">
        <f>SUM(I3:I130)</f>
        <v>18</v>
      </c>
      <c r="J131" s="95">
        <f>SUM(J3:J130)</f>
        <v>0</v>
      </c>
      <c r="K131" s="95">
        <f>SUM(K52:K130)</f>
        <v>63</v>
      </c>
    </row>
    <row r="132" spans="1:12" ht="15.75" thickTop="1" x14ac:dyDescent="0.25"/>
  </sheetData>
  <conditionalFormatting sqref="D3:E3 L2:L3 F3:K5 D8:E8 G7:K8 B6:C12 D10:E12 D33:E33 B34:E36 D37:E38 B39:E51 G10:K12 A26:A130 G20:L23 B20:E32 L8:L13 A4:A15 G25:L25 L24 G26:K51 F52:K130">
    <cfRule type="expression" dxfId="922" priority="157">
      <formula>$F2="Fail"</formula>
    </cfRule>
  </conditionalFormatting>
  <conditionalFormatting sqref="A2:K2">
    <cfRule type="expression" dxfId="921" priority="156">
      <formula>$F2="Fail"</formula>
    </cfRule>
  </conditionalFormatting>
  <conditionalFormatting sqref="D13:E13 G13:K13">
    <cfRule type="expression" dxfId="920" priority="155">
      <formula>$F13="Fail"</formula>
    </cfRule>
  </conditionalFormatting>
  <conditionalFormatting sqref="D9:E9 G9:K9">
    <cfRule type="expression" dxfId="919" priority="154">
      <formula>$F9="Fail"</formula>
    </cfRule>
  </conditionalFormatting>
  <conditionalFormatting sqref="D4:E7 G6:K6">
    <cfRule type="expression" dxfId="918" priority="153">
      <formula>$F4="Fail"</formula>
    </cfRule>
  </conditionalFormatting>
  <conditionalFormatting sqref="L4:L7">
    <cfRule type="expression" dxfId="917" priority="144">
      <formula>$F4="Fail"</formula>
    </cfRule>
  </conditionalFormatting>
  <conditionalFormatting sqref="B125:C125">
    <cfRule type="expression" dxfId="916" priority="140">
      <formula>$F125="Fail"</formula>
    </cfRule>
  </conditionalFormatting>
  <conditionalFormatting sqref="C13">
    <cfRule type="expression" dxfId="915" priority="135">
      <formula>$F13="Fail"</formula>
    </cfRule>
  </conditionalFormatting>
  <conditionalFormatting sqref="B13">
    <cfRule type="expression" dxfId="914" priority="134">
      <formula>$F13="Fail"</formula>
    </cfRule>
  </conditionalFormatting>
  <conditionalFormatting sqref="B3:C4">
    <cfRule type="expression" dxfId="913" priority="126">
      <formula>$F3="Fail"</formula>
    </cfRule>
  </conditionalFormatting>
  <conditionalFormatting sqref="B5:C5">
    <cfRule type="expression" dxfId="912" priority="125">
      <formula>$F5="Fail"</formula>
    </cfRule>
  </conditionalFormatting>
  <conditionalFormatting sqref="B5:C5">
    <cfRule type="expression" dxfId="911" priority="124">
      <formula>$F5="Fail"</formula>
    </cfRule>
  </conditionalFormatting>
  <conditionalFormatting sqref="G131:K131">
    <cfRule type="expression" dxfId="910" priority="120">
      <formula>$F131="Fail"</formula>
    </cfRule>
  </conditionalFormatting>
  <conditionalFormatting sqref="B75:C75 D64:D73 B81:C81 B64:B74">
    <cfRule type="expression" dxfId="909" priority="106">
      <formula>$F64="Fail"</formula>
    </cfRule>
  </conditionalFormatting>
  <conditionalFormatting sqref="B78:C80 B77">
    <cfRule type="expression" dxfId="908" priority="96">
      <formula>$F77="Fail"</formula>
    </cfRule>
  </conditionalFormatting>
  <conditionalFormatting sqref="B101">
    <cfRule type="expression" dxfId="907" priority="97">
      <formula>$F101="Fail"</formula>
    </cfRule>
  </conditionalFormatting>
  <conditionalFormatting sqref="D53:D63">
    <cfRule type="expression" dxfId="906" priority="109">
      <formula>$F53="Fail"</formula>
    </cfRule>
  </conditionalFormatting>
  <conditionalFormatting sqref="B53:C63">
    <cfRule type="expression" dxfId="905" priority="108">
      <formula>$F53="Fail"</formula>
    </cfRule>
  </conditionalFormatting>
  <conditionalFormatting sqref="B62:C63">
    <cfRule type="expression" dxfId="904" priority="107">
      <formula>$F62="Fail"</formula>
    </cfRule>
  </conditionalFormatting>
  <conditionalFormatting sqref="B75:D75 B81:D81 D76:D80 B74 D74 D82:D85">
    <cfRule type="expression" dxfId="903" priority="105">
      <formula>$F74="Fail"</formula>
    </cfRule>
  </conditionalFormatting>
  <conditionalFormatting sqref="C60">
    <cfRule type="expression" dxfId="902" priority="104">
      <formula>$F60="Fail"</formula>
    </cfRule>
  </conditionalFormatting>
  <conditionalFormatting sqref="C101">
    <cfRule type="expression" dxfId="901" priority="98">
      <formula>$F101="Fail"</formula>
    </cfRule>
  </conditionalFormatting>
  <conditionalFormatting sqref="C78:C80">
    <cfRule type="expression" dxfId="900" priority="94">
      <formula>$F78="Fail"</formula>
    </cfRule>
  </conditionalFormatting>
  <conditionalFormatting sqref="B76">
    <cfRule type="expression" dxfId="899" priority="93">
      <formula>$F76="Fail"</formula>
    </cfRule>
  </conditionalFormatting>
  <conditionalFormatting sqref="C76">
    <cfRule type="expression" dxfId="898" priority="92">
      <formula>$F76="Fail"</formula>
    </cfRule>
  </conditionalFormatting>
  <conditionalFormatting sqref="C80">
    <cfRule type="expression" dxfId="897" priority="91">
      <formula>$F80="Fail"</formula>
    </cfRule>
  </conditionalFormatting>
  <conditionalFormatting sqref="C78:C80">
    <cfRule type="expression" dxfId="896" priority="95">
      <formula>$F78="Fail"</formula>
    </cfRule>
  </conditionalFormatting>
  <conditionalFormatting sqref="C64:C73">
    <cfRule type="expression" dxfId="895" priority="66">
      <formula>$F64="Fail"</formula>
    </cfRule>
  </conditionalFormatting>
  <conditionalFormatting sqref="B114:C114 B116:C124 B115">
    <cfRule type="expression" dxfId="894" priority="82">
      <formula>$F114="Fail"</formula>
    </cfRule>
  </conditionalFormatting>
  <conditionalFormatting sqref="B103:C113">
    <cfRule type="expression" dxfId="893" priority="84">
      <formula>$F103="Fail"</formula>
    </cfRule>
  </conditionalFormatting>
  <conditionalFormatting sqref="B112:C113">
    <cfRule type="expression" dxfId="892" priority="83">
      <formula>$F112="Fail"</formula>
    </cfRule>
  </conditionalFormatting>
  <conditionalFormatting sqref="B124:C124">
    <cfRule type="expression" dxfId="891" priority="81">
      <formula>$F124="Fail"</formula>
    </cfRule>
  </conditionalFormatting>
  <conditionalFormatting sqref="C114 C116:C123">
    <cfRule type="expression" dxfId="890" priority="80">
      <formula>$F114="Fail"</formula>
    </cfRule>
  </conditionalFormatting>
  <conditionalFormatting sqref="C110">
    <cfRule type="expression" dxfId="889" priority="79">
      <formula>$F110="Fail"</formula>
    </cfRule>
  </conditionalFormatting>
  <conditionalFormatting sqref="B102">
    <cfRule type="expression" dxfId="888" priority="78">
      <formula>$F102="Fail"</formula>
    </cfRule>
  </conditionalFormatting>
  <conditionalFormatting sqref="C102">
    <cfRule type="expression" dxfId="887" priority="77">
      <formula>$F102="Fail"</formula>
    </cfRule>
  </conditionalFormatting>
  <conditionalFormatting sqref="B52">
    <cfRule type="expression" dxfId="886" priority="70">
      <formula>$F52="Fail"</formula>
    </cfRule>
  </conditionalFormatting>
  <conditionalFormatting sqref="C52">
    <cfRule type="expression" dxfId="885" priority="69">
      <formula>$F52="Fail"</formula>
    </cfRule>
  </conditionalFormatting>
  <conditionalFormatting sqref="C64:C74">
    <cfRule type="expression" dxfId="884" priority="68">
      <formula>$F64="Fail"</formula>
    </cfRule>
  </conditionalFormatting>
  <conditionalFormatting sqref="C74">
    <cfRule type="expression" dxfId="883" priority="67">
      <formula>$F74="Fail"</formula>
    </cfRule>
  </conditionalFormatting>
  <conditionalFormatting sqref="C33">
    <cfRule type="expression" dxfId="882" priority="64">
      <formula>$F33="Fail"</formula>
    </cfRule>
  </conditionalFormatting>
  <conditionalFormatting sqref="B33">
    <cfRule type="expression" dxfId="881" priority="63">
      <formula>$F33="Fail"</formula>
    </cfRule>
  </conditionalFormatting>
  <conditionalFormatting sqref="B38:C38">
    <cfRule type="expression" dxfId="880" priority="62">
      <formula>$F38="Fail"</formula>
    </cfRule>
  </conditionalFormatting>
  <conditionalFormatting sqref="B37:C37">
    <cfRule type="expression" dxfId="879" priority="61">
      <formula>$F37="Fail"</formula>
    </cfRule>
  </conditionalFormatting>
  <conditionalFormatting sqref="B83:C85 B88:C100">
    <cfRule type="expression" dxfId="878" priority="60">
      <formula>$F83="Fail"</formula>
    </cfRule>
  </conditionalFormatting>
  <conditionalFormatting sqref="C82">
    <cfRule type="expression" dxfId="877" priority="59">
      <formula>$F82="Fail"</formula>
    </cfRule>
  </conditionalFormatting>
  <conditionalFormatting sqref="B82">
    <cfRule type="expression" dxfId="876" priority="58">
      <formula>$F82="Fail"</formula>
    </cfRule>
  </conditionalFormatting>
  <conditionalFormatting sqref="B87:C87">
    <cfRule type="expression" dxfId="875" priority="57">
      <formula>$F87="Fail"</formula>
    </cfRule>
  </conditionalFormatting>
  <conditionalFormatting sqref="B86:C86">
    <cfRule type="expression" dxfId="874" priority="56">
      <formula>$F86="Fail"</formula>
    </cfRule>
  </conditionalFormatting>
  <conditionalFormatting sqref="B128:C130 B127">
    <cfRule type="expression" dxfId="873" priority="55">
      <formula>$F127="Fail"</formula>
    </cfRule>
  </conditionalFormatting>
  <conditionalFormatting sqref="C128:C130">
    <cfRule type="expression" dxfId="872" priority="53">
      <formula>$F128="Fail"</formula>
    </cfRule>
  </conditionalFormatting>
  <conditionalFormatting sqref="B126">
    <cfRule type="expression" dxfId="871" priority="52">
      <formula>$F126="Fail"</formula>
    </cfRule>
  </conditionalFormatting>
  <conditionalFormatting sqref="C126">
    <cfRule type="expression" dxfId="870" priority="51">
      <formula>$F126="Fail"</formula>
    </cfRule>
  </conditionalFormatting>
  <conditionalFormatting sqref="C130">
    <cfRule type="expression" dxfId="869" priority="50">
      <formula>$F130="Fail"</formula>
    </cfRule>
  </conditionalFormatting>
  <conditionalFormatting sqref="C128:C130">
    <cfRule type="expression" dxfId="868" priority="54">
      <formula>$F128="Fail"</formula>
    </cfRule>
  </conditionalFormatting>
  <conditionalFormatting sqref="F9 F13 F30:F33">
    <cfRule type="expression" dxfId="867" priority="49">
      <formula>$F9="Fail"</formula>
    </cfRule>
  </conditionalFormatting>
  <conditionalFormatting sqref="A3">
    <cfRule type="expression" dxfId="866" priority="48">
      <formula>$F3="Fail"</formula>
    </cfRule>
  </conditionalFormatting>
  <conditionalFormatting sqref="F6">
    <cfRule type="expression" dxfId="865" priority="47">
      <formula>$F6="Fail"</formula>
    </cfRule>
  </conditionalFormatting>
  <conditionalFormatting sqref="F7">
    <cfRule type="expression" dxfId="864" priority="46">
      <formula>$F7="Fail"</formula>
    </cfRule>
  </conditionalFormatting>
  <conditionalFormatting sqref="F8">
    <cfRule type="expression" dxfId="863" priority="45">
      <formula>$F8="Fail"</formula>
    </cfRule>
  </conditionalFormatting>
  <conditionalFormatting sqref="F10:F12">
    <cfRule type="expression" dxfId="862" priority="44">
      <formula>$F10="Fail"</formula>
    </cfRule>
  </conditionalFormatting>
  <conditionalFormatting sqref="F20:F23 F25:F29">
    <cfRule type="expression" dxfId="861" priority="43">
      <formula>$F20="Fail"</formula>
    </cfRule>
  </conditionalFormatting>
  <conditionalFormatting sqref="C115">
    <cfRule type="expression" dxfId="860" priority="42">
      <formula>$F115="Fail"</formula>
    </cfRule>
  </conditionalFormatting>
  <conditionalFormatting sqref="C115">
    <cfRule type="expression" dxfId="859" priority="41">
      <formula>$F115="Fail"</formula>
    </cfRule>
  </conditionalFormatting>
  <conditionalFormatting sqref="C115">
    <cfRule type="expression" dxfId="858" priority="40">
      <formula>$F115="Fail"</formula>
    </cfRule>
  </conditionalFormatting>
  <conditionalFormatting sqref="F34:F51">
    <cfRule type="expression" dxfId="857" priority="39">
      <formula>$F34="Fail"</formula>
    </cfRule>
  </conditionalFormatting>
  <conditionalFormatting sqref="G24:K24">
    <cfRule type="expression" dxfId="856" priority="20">
      <formula>$F24="Fail"</formula>
    </cfRule>
  </conditionalFormatting>
  <conditionalFormatting sqref="F24">
    <cfRule type="expression" dxfId="855" priority="19">
      <formula>$F24="Fail"</formula>
    </cfRule>
  </conditionalFormatting>
  <conditionalFormatting sqref="L32:L37">
    <cfRule type="expression" dxfId="854" priority="18">
      <formula>$F32="Fail"</formula>
    </cfRule>
  </conditionalFormatting>
  <conditionalFormatting sqref="L44:L49">
    <cfRule type="expression" dxfId="853" priority="16">
      <formula>$F44="Fail"</formula>
    </cfRule>
  </conditionalFormatting>
  <conditionalFormatting sqref="L56:L61">
    <cfRule type="expression" dxfId="852" priority="14">
      <formula>$F56="Fail"</formula>
    </cfRule>
  </conditionalFormatting>
  <conditionalFormatting sqref="L68:L73">
    <cfRule type="expression" dxfId="851" priority="12">
      <formula>$F68="Fail"</formula>
    </cfRule>
  </conditionalFormatting>
  <conditionalFormatting sqref="L80:L85">
    <cfRule type="expression" dxfId="850" priority="10">
      <formula>$F80="Fail"</formula>
    </cfRule>
  </conditionalFormatting>
  <conditionalFormatting sqref="L92:L97">
    <cfRule type="expression" dxfId="849" priority="8">
      <formula>$F92="Fail"</formula>
    </cfRule>
  </conditionalFormatting>
  <conditionalFormatting sqref="L104:L109">
    <cfRule type="expression" dxfId="848" priority="6">
      <formula>$F104="Fail"</formula>
    </cfRule>
  </conditionalFormatting>
  <conditionalFormatting sqref="L116:L121">
    <cfRule type="expression" dxfId="847" priority="4">
      <formula>$F116="Fail"</formula>
    </cfRule>
  </conditionalFormatting>
  <conditionalFormatting sqref="L128:L130">
    <cfRule type="expression" dxfId="846" priority="2">
      <formula>$F128="Fail"</formula>
    </cfRule>
  </conditionalFormatting>
  <dataValidations count="1">
    <dataValidation type="list" allowBlank="1" showInputMessage="1" showErrorMessage="1" sqref="F2:F130">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8" id="{FC262858-A68E-4E64-97F2-083684DBC009}">
            <xm:f>'Internal - MV Adjustment'!$F47="Fail"</xm:f>
            <x14:dxf>
              <font>
                <color rgb="FFFF0000"/>
              </font>
              <fill>
                <patternFill>
                  <bgColor theme="9" tint="0.59996337778862885"/>
                </patternFill>
              </fill>
            </x14:dxf>
          </x14:cfRule>
          <xm:sqref>L38:L43 L50:L55 L62:L67 L74:L79 L86:L91 L98:L103 L110:L115 L122:L127</xm:sqref>
        </x14:conditionalFormatting>
        <x14:conditionalFormatting xmlns:xm="http://schemas.microsoft.com/office/excel/2006/main">
          <x14:cfRule type="expression" priority="1164" id="{FC262858-A68E-4E64-97F2-083684DBC009}">
            <xm:f>'Internal - MV Adjustment'!$F17="Fail"</xm:f>
            <x14:dxf>
              <font>
                <color rgb="FFFF0000"/>
              </font>
              <fill>
                <patternFill>
                  <bgColor theme="9" tint="0.59996337778862885"/>
                </patternFill>
              </fill>
            </x14:dxf>
          </x14:cfRule>
          <xm:sqref>B14:L19 L26:L31 A16:A25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207"/>
  <sheetViews>
    <sheetView topLeftCell="C1" zoomScaleNormal="100" workbookViewId="0">
      <pane ySplit="1" topLeftCell="A15" activePane="bottomLeft" state="frozen"/>
      <selection pane="bottomLeft" activeCell="F17" sqref="F17:K17"/>
    </sheetView>
  </sheetViews>
  <sheetFormatPr defaultRowHeight="15" x14ac:dyDescent="0.25"/>
  <cols>
    <col min="1" max="1" width="11.28515625" style="3" bestFit="1" customWidth="1"/>
    <col min="2" max="2" width="56.7109375" style="1" customWidth="1"/>
    <col min="3" max="3" width="50.7109375" style="1" customWidth="1"/>
    <col min="4" max="4" width="18.425781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797</v>
      </c>
      <c r="C2" s="183"/>
      <c r="D2" s="102" t="s">
        <v>686</v>
      </c>
      <c r="E2" s="99"/>
      <c r="F2" s="98"/>
      <c r="G2" s="99"/>
      <c r="H2" s="99"/>
      <c r="I2" s="99"/>
      <c r="J2" s="99"/>
      <c r="K2" s="99"/>
      <c r="L2" s="99"/>
    </row>
    <row r="3" spans="1:12" s="19" customFormat="1" x14ac:dyDescent="0.25">
      <c r="A3" s="15">
        <v>2</v>
      </c>
      <c r="B3" s="16" t="s">
        <v>798</v>
      </c>
      <c r="C3" s="17"/>
      <c r="D3" s="16"/>
      <c r="E3" s="16"/>
      <c r="F3" s="18"/>
      <c r="G3" s="18"/>
      <c r="H3" s="18"/>
      <c r="I3" s="18"/>
      <c r="J3" s="18"/>
      <c r="K3" s="18"/>
      <c r="L3" s="16"/>
    </row>
    <row r="4" spans="1:12" ht="25.5" x14ac:dyDescent="0.25">
      <c r="A4" s="4">
        <f t="shared" ref="A4:A67" si="0">A3+0.0001</f>
        <v>2.0001000000000002</v>
      </c>
      <c r="B4" s="5" t="s">
        <v>654</v>
      </c>
      <c r="C4" s="8"/>
      <c r="D4" s="6"/>
      <c r="E4" s="5"/>
      <c r="F4" s="7" t="s">
        <v>5</v>
      </c>
      <c r="G4" s="7">
        <f t="shared" ref="G4:K9" si="1">IF($F4=G$1,1,0)</f>
        <v>1</v>
      </c>
      <c r="H4" s="7">
        <f t="shared" si="1"/>
        <v>0</v>
      </c>
      <c r="I4" s="7">
        <f t="shared" si="1"/>
        <v>0</v>
      </c>
      <c r="J4" s="7">
        <f t="shared" si="1"/>
        <v>0</v>
      </c>
      <c r="K4" s="7">
        <f t="shared" si="1"/>
        <v>0</v>
      </c>
      <c r="L4" s="6"/>
    </row>
    <row r="5" spans="1:12" ht="25.5" x14ac:dyDescent="0.25">
      <c r="A5" s="4">
        <f t="shared" si="0"/>
        <v>2.0002000000000004</v>
      </c>
      <c r="B5" s="63" t="s">
        <v>593</v>
      </c>
      <c r="C5" s="8" t="s">
        <v>594</v>
      </c>
      <c r="D5" s="6"/>
      <c r="E5" s="5"/>
      <c r="F5" s="7" t="s">
        <v>5</v>
      </c>
      <c r="G5" s="7">
        <f t="shared" si="1"/>
        <v>1</v>
      </c>
      <c r="H5" s="7">
        <f t="shared" si="1"/>
        <v>0</v>
      </c>
      <c r="I5" s="7">
        <f t="shared" si="1"/>
        <v>0</v>
      </c>
      <c r="J5" s="7">
        <f t="shared" si="1"/>
        <v>0</v>
      </c>
      <c r="K5" s="7">
        <f t="shared" si="1"/>
        <v>0</v>
      </c>
      <c r="L5" s="6"/>
    </row>
    <row r="6" spans="1:12" ht="25.5" x14ac:dyDescent="0.25">
      <c r="A6" s="4">
        <f t="shared" si="0"/>
        <v>2.0003000000000006</v>
      </c>
      <c r="B6" s="63" t="s">
        <v>595</v>
      </c>
      <c r="C6" s="8" t="s">
        <v>596</v>
      </c>
      <c r="D6" s="6"/>
      <c r="E6" s="5"/>
      <c r="F6" s="7" t="s">
        <v>5</v>
      </c>
      <c r="G6" s="7">
        <f t="shared" si="1"/>
        <v>1</v>
      </c>
      <c r="H6" s="7">
        <f t="shared" si="1"/>
        <v>0</v>
      </c>
      <c r="I6" s="7">
        <f t="shared" si="1"/>
        <v>0</v>
      </c>
      <c r="J6" s="7">
        <f t="shared" si="1"/>
        <v>0</v>
      </c>
      <c r="K6" s="7">
        <f t="shared" si="1"/>
        <v>0</v>
      </c>
      <c r="L6" s="6"/>
    </row>
    <row r="7" spans="1:12" x14ac:dyDescent="0.25">
      <c r="A7" s="4">
        <f t="shared" si="0"/>
        <v>2.0004000000000008</v>
      </c>
      <c r="B7" s="5"/>
      <c r="C7" s="8" t="s">
        <v>655</v>
      </c>
      <c r="D7" s="6"/>
      <c r="E7" s="5"/>
      <c r="F7" s="7" t="s">
        <v>5</v>
      </c>
      <c r="G7" s="7">
        <f t="shared" si="1"/>
        <v>1</v>
      </c>
      <c r="H7" s="7">
        <f t="shared" si="1"/>
        <v>0</v>
      </c>
      <c r="I7" s="7">
        <f t="shared" si="1"/>
        <v>0</v>
      </c>
      <c r="J7" s="7">
        <f t="shared" si="1"/>
        <v>0</v>
      </c>
      <c r="K7" s="7">
        <f t="shared" si="1"/>
        <v>0</v>
      </c>
      <c r="L7" s="6"/>
    </row>
    <row r="8" spans="1:12" x14ac:dyDescent="0.25">
      <c r="A8" s="4">
        <f t="shared" si="0"/>
        <v>2.0005000000000011</v>
      </c>
      <c r="B8" s="53"/>
      <c r="C8" s="23"/>
      <c r="D8" s="20"/>
      <c r="E8" s="5"/>
      <c r="F8" s="7"/>
      <c r="G8" s="7"/>
      <c r="H8" s="7"/>
      <c r="I8" s="7"/>
      <c r="J8" s="7"/>
      <c r="K8" s="7"/>
      <c r="L8" s="6"/>
    </row>
    <row r="9" spans="1:12" x14ac:dyDescent="0.25">
      <c r="A9" s="4">
        <f t="shared" si="0"/>
        <v>2.0006000000000013</v>
      </c>
      <c r="B9" s="72" t="s">
        <v>672</v>
      </c>
      <c r="C9" s="94" t="s">
        <v>673</v>
      </c>
      <c r="D9" s="6"/>
      <c r="E9" s="6"/>
      <c r="F9" s="7" t="s">
        <v>5</v>
      </c>
      <c r="G9" s="7">
        <f t="shared" si="1"/>
        <v>1</v>
      </c>
      <c r="H9" s="7">
        <f t="shared" si="1"/>
        <v>0</v>
      </c>
      <c r="I9" s="7">
        <f t="shared" si="1"/>
        <v>0</v>
      </c>
      <c r="J9" s="7">
        <f t="shared" si="1"/>
        <v>0</v>
      </c>
      <c r="K9" s="7">
        <f t="shared" si="1"/>
        <v>0</v>
      </c>
      <c r="L9" s="6"/>
    </row>
    <row r="10" spans="1:12" x14ac:dyDescent="0.25">
      <c r="A10" s="4">
        <f t="shared" si="0"/>
        <v>2.0007000000000015</v>
      </c>
      <c r="B10" s="53"/>
      <c r="C10" s="22"/>
      <c r="D10" s="6"/>
      <c r="E10" s="6"/>
      <c r="F10" s="7"/>
      <c r="G10" s="7"/>
      <c r="H10" s="7"/>
      <c r="I10" s="7"/>
      <c r="J10" s="7"/>
      <c r="K10" s="7"/>
      <c r="L10" s="6"/>
    </row>
    <row r="11" spans="1:12" x14ac:dyDescent="0.25">
      <c r="A11" s="4">
        <f t="shared" si="0"/>
        <v>2.0008000000000017</v>
      </c>
      <c r="B11" s="53" t="s">
        <v>554</v>
      </c>
      <c r="C11" s="22"/>
      <c r="D11" s="6"/>
      <c r="E11" s="6"/>
      <c r="F11" s="7"/>
      <c r="G11" s="7"/>
      <c r="H11" s="7"/>
      <c r="I11" s="7"/>
      <c r="J11" s="7"/>
      <c r="K11" s="7"/>
      <c r="L11" s="6"/>
    </row>
    <row r="12" spans="1:12" x14ac:dyDescent="0.25">
      <c r="A12" s="4">
        <f t="shared" si="0"/>
        <v>2.0009000000000019</v>
      </c>
      <c r="B12" s="5"/>
      <c r="C12" s="22"/>
      <c r="D12" s="7"/>
      <c r="E12" s="7"/>
      <c r="F12" s="7"/>
      <c r="G12" s="7"/>
      <c r="H12" s="7"/>
      <c r="I12" s="7"/>
      <c r="J12" s="7"/>
      <c r="K12" s="7"/>
      <c r="L12" s="6"/>
    </row>
    <row r="13" spans="1:12" x14ac:dyDescent="0.25">
      <c r="A13" s="4">
        <f t="shared" si="0"/>
        <v>2.0010000000000021</v>
      </c>
      <c r="B13" s="105" t="s">
        <v>495</v>
      </c>
      <c r="C13" s="17"/>
      <c r="D13" s="17"/>
      <c r="E13" s="7"/>
      <c r="F13" s="7"/>
      <c r="G13" s="7"/>
      <c r="H13" s="7"/>
      <c r="I13" s="7"/>
      <c r="J13" s="7"/>
      <c r="K13" s="7"/>
      <c r="L13" s="6"/>
    </row>
    <row r="14" spans="1:12" ht="25.5" x14ac:dyDescent="0.25">
      <c r="A14" s="4">
        <f t="shared" si="0"/>
        <v>2.0011000000000023</v>
      </c>
      <c r="B14" s="63" t="s">
        <v>656</v>
      </c>
      <c r="C14" s="107" t="s">
        <v>659</v>
      </c>
      <c r="D14" s="115"/>
      <c r="E14" s="7"/>
      <c r="F14" s="7" t="s">
        <v>5</v>
      </c>
      <c r="G14" s="7">
        <f t="shared" ref="G14:K49" si="2">IF($F14=G$1,1,0)</f>
        <v>1</v>
      </c>
      <c r="H14" s="7">
        <f t="shared" si="2"/>
        <v>0</v>
      </c>
      <c r="I14" s="7">
        <f t="shared" si="2"/>
        <v>0</v>
      </c>
      <c r="J14" s="7">
        <f t="shared" si="2"/>
        <v>0</v>
      </c>
      <c r="K14" s="7">
        <f t="shared" si="2"/>
        <v>0</v>
      </c>
      <c r="L14" s="6"/>
    </row>
    <row r="15" spans="1:12" x14ac:dyDescent="0.25">
      <c r="A15" s="4">
        <f t="shared" si="0"/>
        <v>2.0012000000000025</v>
      </c>
      <c r="B15" s="5"/>
      <c r="C15" s="22"/>
      <c r="D15" s="115"/>
      <c r="E15" s="7"/>
      <c r="F15" s="7"/>
      <c r="G15" s="7"/>
      <c r="H15" s="7"/>
      <c r="I15" s="7"/>
      <c r="J15" s="7"/>
      <c r="K15" s="7"/>
      <c r="L15" s="6"/>
    </row>
    <row r="16" spans="1:12" x14ac:dyDescent="0.25">
      <c r="A16" s="4">
        <f t="shared" si="0"/>
        <v>2.0013000000000027</v>
      </c>
      <c r="B16" s="5" t="s">
        <v>660</v>
      </c>
      <c r="C16" s="22" t="s">
        <v>661</v>
      </c>
      <c r="D16" s="115"/>
      <c r="E16" s="7"/>
      <c r="F16" s="7" t="s">
        <v>5</v>
      </c>
      <c r="G16" s="7">
        <f t="shared" si="2"/>
        <v>1</v>
      </c>
      <c r="H16" s="7">
        <f t="shared" si="2"/>
        <v>0</v>
      </c>
      <c r="I16" s="7">
        <f t="shared" si="2"/>
        <v>0</v>
      </c>
      <c r="J16" s="7">
        <f t="shared" si="2"/>
        <v>0</v>
      </c>
      <c r="K16" s="7">
        <f t="shared" si="2"/>
        <v>0</v>
      </c>
      <c r="L16" s="6"/>
    </row>
    <row r="17" spans="1:12" x14ac:dyDescent="0.25">
      <c r="A17" s="4">
        <f t="shared" si="0"/>
        <v>2.001400000000003</v>
      </c>
      <c r="B17" s="5"/>
      <c r="C17" s="23"/>
      <c r="D17" s="115"/>
      <c r="E17" s="7"/>
      <c r="F17" s="7"/>
      <c r="G17" s="7"/>
      <c r="H17" s="7"/>
      <c r="I17" s="7"/>
      <c r="J17" s="7"/>
      <c r="K17" s="7"/>
      <c r="L17" s="6"/>
    </row>
    <row r="18" spans="1:12" x14ac:dyDescent="0.25">
      <c r="A18" s="4">
        <f t="shared" si="0"/>
        <v>2.0015000000000032</v>
      </c>
      <c r="B18" s="48" t="s">
        <v>662</v>
      </c>
      <c r="C18" s="23" t="s">
        <v>663</v>
      </c>
      <c r="D18" s="115"/>
      <c r="E18" s="7"/>
      <c r="F18" s="7" t="s">
        <v>5</v>
      </c>
      <c r="G18" s="7">
        <f t="shared" si="2"/>
        <v>1</v>
      </c>
      <c r="H18" s="7">
        <f t="shared" si="2"/>
        <v>0</v>
      </c>
      <c r="I18" s="7">
        <f t="shared" si="2"/>
        <v>0</v>
      </c>
      <c r="J18" s="7">
        <f t="shared" si="2"/>
        <v>0</v>
      </c>
      <c r="K18" s="7">
        <f t="shared" si="2"/>
        <v>0</v>
      </c>
      <c r="L18" s="6"/>
    </row>
    <row r="19" spans="1:12" x14ac:dyDescent="0.25">
      <c r="A19" s="4">
        <f t="shared" si="0"/>
        <v>2.0016000000000034</v>
      </c>
      <c r="B19" s="5"/>
      <c r="C19" s="23"/>
      <c r="D19" s="115"/>
      <c r="E19" s="7"/>
      <c r="F19" s="7"/>
      <c r="G19" s="7"/>
      <c r="H19" s="7"/>
      <c r="I19" s="7"/>
      <c r="J19" s="7"/>
      <c r="K19" s="7">
        <f t="shared" si="2"/>
        <v>0</v>
      </c>
      <c r="L19" s="6"/>
    </row>
    <row r="20" spans="1:12" ht="25.5" x14ac:dyDescent="0.25">
      <c r="A20" s="4">
        <f t="shared" si="0"/>
        <v>2.0017000000000036</v>
      </c>
      <c r="B20" s="8" t="s">
        <v>664</v>
      </c>
      <c r="C20" s="22" t="s">
        <v>452</v>
      </c>
      <c r="D20" s="115"/>
      <c r="E20" s="7"/>
      <c r="F20" s="7" t="s">
        <v>5</v>
      </c>
      <c r="G20" s="7">
        <f t="shared" si="2"/>
        <v>1</v>
      </c>
      <c r="H20" s="7">
        <f t="shared" si="2"/>
        <v>0</v>
      </c>
      <c r="I20" s="7">
        <f t="shared" si="2"/>
        <v>0</v>
      </c>
      <c r="J20" s="7">
        <f t="shared" si="2"/>
        <v>0</v>
      </c>
      <c r="K20" s="7">
        <f t="shared" si="2"/>
        <v>0</v>
      </c>
      <c r="L20" s="6"/>
    </row>
    <row r="21" spans="1:12" x14ac:dyDescent="0.25">
      <c r="A21" s="4">
        <f t="shared" si="0"/>
        <v>2.0018000000000038</v>
      </c>
      <c r="B21" s="108"/>
      <c r="C21" s="109"/>
      <c r="D21" s="115"/>
      <c r="E21" s="7"/>
      <c r="F21" s="7"/>
      <c r="G21" s="7"/>
      <c r="H21" s="7"/>
      <c r="I21" s="7"/>
      <c r="J21" s="7"/>
      <c r="K21" s="7">
        <f t="shared" si="2"/>
        <v>0</v>
      </c>
      <c r="L21" s="6"/>
    </row>
    <row r="22" spans="1:12" x14ac:dyDescent="0.25">
      <c r="A22" s="4">
        <f t="shared" si="0"/>
        <v>2.001900000000004</v>
      </c>
      <c r="B22" s="5" t="s">
        <v>665</v>
      </c>
      <c r="C22" s="23" t="s">
        <v>663</v>
      </c>
      <c r="D22" s="115"/>
      <c r="E22" s="7"/>
      <c r="F22" s="7" t="s">
        <v>5</v>
      </c>
      <c r="G22" s="7">
        <f t="shared" si="2"/>
        <v>1</v>
      </c>
      <c r="H22" s="7">
        <f t="shared" si="2"/>
        <v>0</v>
      </c>
      <c r="I22" s="7">
        <f t="shared" si="2"/>
        <v>0</v>
      </c>
      <c r="J22" s="7">
        <f t="shared" si="2"/>
        <v>0</v>
      </c>
      <c r="K22" s="7"/>
      <c r="L22" s="6"/>
    </row>
    <row r="23" spans="1:12" x14ac:dyDescent="0.25">
      <c r="A23" s="4">
        <f t="shared" si="0"/>
        <v>2.0020000000000042</v>
      </c>
      <c r="B23" s="5" t="s">
        <v>674</v>
      </c>
      <c r="C23" s="23" t="s">
        <v>675</v>
      </c>
      <c r="D23" s="115"/>
      <c r="E23" s="7"/>
      <c r="F23" s="7" t="s">
        <v>5</v>
      </c>
      <c r="G23" s="7">
        <f t="shared" si="2"/>
        <v>1</v>
      </c>
      <c r="H23" s="7">
        <f t="shared" si="2"/>
        <v>0</v>
      </c>
      <c r="I23" s="7">
        <f t="shared" si="2"/>
        <v>0</v>
      </c>
      <c r="J23" s="7">
        <f t="shared" si="2"/>
        <v>0</v>
      </c>
      <c r="K23" s="7"/>
      <c r="L23" s="6"/>
    </row>
    <row r="24" spans="1:12" x14ac:dyDescent="0.25">
      <c r="A24" s="4">
        <f t="shared" si="0"/>
        <v>2.0021000000000044</v>
      </c>
      <c r="B24" s="5" t="s">
        <v>676</v>
      </c>
      <c r="C24" s="22" t="s">
        <v>677</v>
      </c>
      <c r="D24" s="115" t="s">
        <v>720</v>
      </c>
      <c r="E24" s="7"/>
      <c r="F24" s="7" t="s">
        <v>5</v>
      </c>
      <c r="G24" s="7">
        <f t="shared" si="2"/>
        <v>1</v>
      </c>
      <c r="H24" s="7">
        <f t="shared" si="2"/>
        <v>0</v>
      </c>
      <c r="I24" s="7">
        <f t="shared" si="2"/>
        <v>0</v>
      </c>
      <c r="J24" s="7">
        <f t="shared" si="2"/>
        <v>0</v>
      </c>
      <c r="K24" s="7"/>
      <c r="L24" s="6"/>
    </row>
    <row r="25" spans="1:12" x14ac:dyDescent="0.25">
      <c r="A25" s="4">
        <f t="shared" si="0"/>
        <v>2.0022000000000046</v>
      </c>
      <c r="B25" s="5" t="s">
        <v>678</v>
      </c>
      <c r="C25" s="22" t="s">
        <v>679</v>
      </c>
      <c r="D25" s="115"/>
      <c r="E25" s="7"/>
      <c r="F25" s="7" t="s">
        <v>5</v>
      </c>
      <c r="G25" s="7">
        <f>IF($F25=G$1,1,0)</f>
        <v>1</v>
      </c>
      <c r="H25" s="7">
        <f>IF($F25=H$1,1,0)</f>
        <v>0</v>
      </c>
      <c r="I25" s="7">
        <f>IF($F25=I$1,1,0)</f>
        <v>0</v>
      </c>
      <c r="J25" s="7">
        <f>IF($F25=J$1,1,0)</f>
        <v>0</v>
      </c>
      <c r="K25" s="7"/>
      <c r="L25" s="6"/>
    </row>
    <row r="26" spans="1:12" x14ac:dyDescent="0.25">
      <c r="A26" s="4">
        <f t="shared" si="0"/>
        <v>2.0023000000000049</v>
      </c>
      <c r="B26" s="5">
        <v>66</v>
      </c>
      <c r="C26" s="94" t="s">
        <v>758</v>
      </c>
      <c r="D26" s="115"/>
      <c r="E26" s="7"/>
      <c r="F26" s="7" t="s">
        <v>5</v>
      </c>
      <c r="G26" s="7">
        <f t="shared" si="2"/>
        <v>1</v>
      </c>
      <c r="H26" s="7">
        <f t="shared" si="2"/>
        <v>0</v>
      </c>
      <c r="I26" s="7">
        <f t="shared" si="2"/>
        <v>0</v>
      </c>
      <c r="J26" s="7">
        <f t="shared" si="2"/>
        <v>0</v>
      </c>
      <c r="K26" s="7">
        <f t="shared" si="2"/>
        <v>0</v>
      </c>
      <c r="L26" s="6"/>
    </row>
    <row r="27" spans="1:12" x14ac:dyDescent="0.25">
      <c r="A27" s="4">
        <f t="shared" si="0"/>
        <v>2.0024000000000051</v>
      </c>
      <c r="B27" s="63" t="s">
        <v>667</v>
      </c>
      <c r="C27" s="94" t="s">
        <v>350</v>
      </c>
      <c r="D27" s="115"/>
      <c r="E27" s="7"/>
      <c r="F27" s="7" t="s">
        <v>5</v>
      </c>
      <c r="G27" s="7">
        <f t="shared" si="2"/>
        <v>1</v>
      </c>
      <c r="H27" s="7">
        <f t="shared" si="2"/>
        <v>0</v>
      </c>
      <c r="I27" s="7">
        <f t="shared" si="2"/>
        <v>0</v>
      </c>
      <c r="J27" s="7">
        <f t="shared" si="2"/>
        <v>0</v>
      </c>
      <c r="K27" s="7">
        <f t="shared" si="2"/>
        <v>0</v>
      </c>
      <c r="L27" s="6"/>
    </row>
    <row r="28" spans="1:12" x14ac:dyDescent="0.25">
      <c r="A28" s="4">
        <f t="shared" si="0"/>
        <v>2.0025000000000053</v>
      </c>
      <c r="B28" s="6"/>
      <c r="C28" s="5"/>
      <c r="D28" s="6"/>
      <c r="E28" s="7"/>
      <c r="F28" s="7"/>
      <c r="G28" s="7"/>
      <c r="H28" s="7"/>
      <c r="I28" s="7"/>
      <c r="J28" s="7"/>
      <c r="K28" s="7">
        <f t="shared" si="2"/>
        <v>0</v>
      </c>
      <c r="L28" s="6"/>
    </row>
    <row r="29" spans="1:12" x14ac:dyDescent="0.25">
      <c r="A29" s="4">
        <f t="shared" si="0"/>
        <v>2.0026000000000055</v>
      </c>
      <c r="B29" s="110" t="s">
        <v>668</v>
      </c>
      <c r="C29" s="111" t="s">
        <v>759</v>
      </c>
      <c r="D29" s="17"/>
      <c r="E29" s="7"/>
      <c r="F29" s="7"/>
      <c r="G29" s="7"/>
      <c r="H29" s="7"/>
      <c r="I29" s="7"/>
      <c r="J29" s="7"/>
      <c r="K29" s="7"/>
      <c r="L29" s="6"/>
    </row>
    <row r="30" spans="1:12" x14ac:dyDescent="0.25">
      <c r="A30" s="4">
        <f t="shared" si="0"/>
        <v>2.0027000000000057</v>
      </c>
      <c r="B30" s="66" t="s">
        <v>726</v>
      </c>
      <c r="C30" s="22" t="s">
        <v>727</v>
      </c>
      <c r="D30" s="115"/>
      <c r="E30" s="7"/>
      <c r="F30" s="7" t="s">
        <v>5</v>
      </c>
      <c r="G30" s="7">
        <f t="shared" ref="G30:J30" si="3">IF($F30=G$1,1,0)</f>
        <v>1</v>
      </c>
      <c r="H30" s="7">
        <f t="shared" si="3"/>
        <v>0</v>
      </c>
      <c r="I30" s="7">
        <f t="shared" si="3"/>
        <v>0</v>
      </c>
      <c r="J30" s="7">
        <f t="shared" si="3"/>
        <v>0</v>
      </c>
      <c r="K30" s="7"/>
      <c r="L30" s="6"/>
    </row>
    <row r="31" spans="1:12" x14ac:dyDescent="0.25">
      <c r="A31" s="4">
        <f t="shared" si="0"/>
        <v>2.0028000000000059</v>
      </c>
      <c r="B31" s="5"/>
      <c r="C31" s="23"/>
      <c r="D31" s="115"/>
      <c r="E31" s="7"/>
      <c r="F31" s="7"/>
      <c r="G31" s="7"/>
      <c r="H31" s="7"/>
      <c r="I31" s="7"/>
      <c r="J31" s="7"/>
      <c r="K31" s="7"/>
      <c r="L31" s="6"/>
    </row>
    <row r="32" spans="1:12" ht="38.25" x14ac:dyDescent="0.25">
      <c r="A32" s="4">
        <f t="shared" si="0"/>
        <v>2.0029000000000061</v>
      </c>
      <c r="B32" s="66" t="s">
        <v>725</v>
      </c>
      <c r="C32" s="22" t="s">
        <v>728</v>
      </c>
      <c r="D32" s="115"/>
      <c r="E32" s="7"/>
      <c r="F32" s="7" t="s">
        <v>5</v>
      </c>
      <c r="G32" s="7">
        <f t="shared" ref="G32:J32" si="4">IF($F32=G$1,1,0)</f>
        <v>1</v>
      </c>
      <c r="H32" s="7">
        <f t="shared" si="4"/>
        <v>0</v>
      </c>
      <c r="I32" s="7">
        <f t="shared" si="4"/>
        <v>0</v>
      </c>
      <c r="J32" s="7">
        <f t="shared" si="4"/>
        <v>0</v>
      </c>
      <c r="K32" s="7"/>
      <c r="L32" s="6"/>
    </row>
    <row r="33" spans="1:12" x14ac:dyDescent="0.25">
      <c r="A33" s="4">
        <f t="shared" si="0"/>
        <v>2.0030000000000063</v>
      </c>
      <c r="B33" s="66"/>
      <c r="C33" s="22"/>
      <c r="D33" s="115"/>
      <c r="E33" s="7"/>
      <c r="F33" s="7"/>
      <c r="G33" s="7"/>
      <c r="H33" s="7"/>
      <c r="I33" s="7"/>
      <c r="J33" s="7"/>
      <c r="K33" s="7"/>
      <c r="L33" s="6"/>
    </row>
    <row r="34" spans="1:12" x14ac:dyDescent="0.25">
      <c r="A34" s="4">
        <f t="shared" si="0"/>
        <v>2.0031000000000065</v>
      </c>
      <c r="B34" s="5" t="s">
        <v>729</v>
      </c>
      <c r="C34" s="23" t="s">
        <v>730</v>
      </c>
      <c r="D34" s="115"/>
      <c r="E34" s="7"/>
      <c r="F34" s="7" t="s">
        <v>5</v>
      </c>
      <c r="G34" s="7">
        <f t="shared" ref="G34:J34" si="5">IF($F34=G$1,1,0)</f>
        <v>1</v>
      </c>
      <c r="H34" s="7">
        <f t="shared" si="5"/>
        <v>0</v>
      </c>
      <c r="I34" s="7">
        <f t="shared" si="5"/>
        <v>0</v>
      </c>
      <c r="J34" s="7">
        <f t="shared" si="5"/>
        <v>0</v>
      </c>
      <c r="K34" s="7"/>
      <c r="L34" s="6"/>
    </row>
    <row r="35" spans="1:12" x14ac:dyDescent="0.25">
      <c r="A35" s="4">
        <f t="shared" si="0"/>
        <v>2.0032000000000068</v>
      </c>
      <c r="B35" s="5" t="s">
        <v>748</v>
      </c>
      <c r="C35" s="23" t="s">
        <v>749</v>
      </c>
      <c r="D35" s="115"/>
      <c r="E35" s="7"/>
      <c r="F35" s="7"/>
      <c r="G35" s="7"/>
      <c r="H35" s="7"/>
      <c r="I35" s="7"/>
      <c r="J35" s="7"/>
      <c r="K35" s="7"/>
      <c r="L35" s="6"/>
    </row>
    <row r="36" spans="1:12" x14ac:dyDescent="0.25">
      <c r="A36" s="4">
        <f t="shared" si="0"/>
        <v>2.003300000000007</v>
      </c>
      <c r="B36" s="5" t="s">
        <v>731</v>
      </c>
      <c r="C36" s="23" t="s">
        <v>747</v>
      </c>
      <c r="D36" s="115"/>
      <c r="E36" s="7"/>
      <c r="F36" s="7" t="s">
        <v>5</v>
      </c>
      <c r="G36" s="7">
        <f t="shared" si="2"/>
        <v>1</v>
      </c>
      <c r="H36" s="7">
        <f t="shared" si="2"/>
        <v>0</v>
      </c>
      <c r="I36" s="7">
        <f t="shared" si="2"/>
        <v>0</v>
      </c>
      <c r="J36" s="7">
        <f t="shared" si="2"/>
        <v>0</v>
      </c>
      <c r="K36" s="7">
        <f t="shared" si="2"/>
        <v>0</v>
      </c>
      <c r="L36" s="6"/>
    </row>
    <row r="37" spans="1:12" x14ac:dyDescent="0.25">
      <c r="A37" s="4">
        <f t="shared" si="0"/>
        <v>2.0034000000000072</v>
      </c>
      <c r="B37" s="5" t="s">
        <v>489</v>
      </c>
      <c r="C37" s="22" t="s">
        <v>490</v>
      </c>
      <c r="D37" s="115"/>
      <c r="E37" s="7"/>
      <c r="F37" s="7" t="s">
        <v>5</v>
      </c>
      <c r="G37" s="7">
        <f t="shared" si="2"/>
        <v>1</v>
      </c>
      <c r="H37" s="7">
        <f t="shared" si="2"/>
        <v>0</v>
      </c>
      <c r="I37" s="7">
        <f t="shared" si="2"/>
        <v>0</v>
      </c>
      <c r="J37" s="7">
        <f t="shared" si="2"/>
        <v>0</v>
      </c>
      <c r="K37" s="7">
        <f t="shared" si="2"/>
        <v>0</v>
      </c>
      <c r="L37" s="6"/>
    </row>
    <row r="38" spans="1:12" x14ac:dyDescent="0.25">
      <c r="A38" s="4">
        <f t="shared" si="0"/>
        <v>2.0035000000000074</v>
      </c>
      <c r="B38" s="5" t="s">
        <v>491</v>
      </c>
      <c r="C38" s="23" t="s">
        <v>750</v>
      </c>
      <c r="D38" s="115"/>
      <c r="E38" s="7"/>
      <c r="F38" s="7" t="s">
        <v>5</v>
      </c>
      <c r="G38" s="7">
        <f t="shared" si="2"/>
        <v>1</v>
      </c>
      <c r="H38" s="7">
        <f t="shared" si="2"/>
        <v>0</v>
      </c>
      <c r="I38" s="7">
        <f t="shared" si="2"/>
        <v>0</v>
      </c>
      <c r="J38" s="7">
        <f t="shared" si="2"/>
        <v>0</v>
      </c>
      <c r="K38" s="7">
        <f t="shared" si="2"/>
        <v>0</v>
      </c>
      <c r="L38" s="6"/>
    </row>
    <row r="39" spans="1:12" x14ac:dyDescent="0.25">
      <c r="A39" s="4">
        <f t="shared" si="0"/>
        <v>2.0036000000000076</v>
      </c>
      <c r="B39" s="5" t="s">
        <v>553</v>
      </c>
      <c r="C39" s="22" t="s">
        <v>492</v>
      </c>
      <c r="D39" s="6"/>
      <c r="E39" s="7"/>
      <c r="F39" s="7" t="s">
        <v>5</v>
      </c>
      <c r="G39" s="7">
        <f t="shared" si="2"/>
        <v>1</v>
      </c>
      <c r="H39" s="7">
        <f t="shared" si="2"/>
        <v>0</v>
      </c>
      <c r="I39" s="7">
        <f t="shared" si="2"/>
        <v>0</v>
      </c>
      <c r="J39" s="7">
        <f t="shared" si="2"/>
        <v>0</v>
      </c>
      <c r="K39" s="7"/>
      <c r="L39" s="6"/>
    </row>
    <row r="40" spans="1:12" x14ac:dyDescent="0.25">
      <c r="A40" s="4">
        <f t="shared" si="0"/>
        <v>2.0037000000000078</v>
      </c>
      <c r="B40" s="5"/>
      <c r="C40" s="22" t="s">
        <v>493</v>
      </c>
      <c r="D40" s="6"/>
      <c r="E40" s="7"/>
      <c r="F40" s="7" t="s">
        <v>5</v>
      </c>
      <c r="G40" s="7">
        <f t="shared" si="2"/>
        <v>1</v>
      </c>
      <c r="H40" s="7">
        <f t="shared" si="2"/>
        <v>0</v>
      </c>
      <c r="I40" s="7">
        <f t="shared" si="2"/>
        <v>0</v>
      </c>
      <c r="J40" s="7">
        <f t="shared" si="2"/>
        <v>0</v>
      </c>
      <c r="K40" s="7"/>
      <c r="L40" s="6"/>
    </row>
    <row r="41" spans="1:12" ht="25.5" x14ac:dyDescent="0.25">
      <c r="A41" s="4">
        <f t="shared" si="0"/>
        <v>2.003800000000008</v>
      </c>
      <c r="B41" s="5" t="s">
        <v>482</v>
      </c>
      <c r="C41" s="94" t="s">
        <v>751</v>
      </c>
      <c r="D41" s="6"/>
      <c r="E41" s="7"/>
      <c r="F41" s="7" t="s">
        <v>5</v>
      </c>
      <c r="G41" s="7">
        <f t="shared" si="2"/>
        <v>1</v>
      </c>
      <c r="H41" s="7">
        <f t="shared" si="2"/>
        <v>0</v>
      </c>
      <c r="I41" s="7">
        <f t="shared" si="2"/>
        <v>0</v>
      </c>
      <c r="J41" s="7">
        <f t="shared" si="2"/>
        <v>0</v>
      </c>
      <c r="K41" s="7"/>
      <c r="L41" s="6"/>
    </row>
    <row r="42" spans="1:12" x14ac:dyDescent="0.25">
      <c r="A42" s="4">
        <f t="shared" si="0"/>
        <v>2.0039000000000082</v>
      </c>
      <c r="B42" s="5"/>
      <c r="C42" s="5"/>
      <c r="D42" s="6"/>
      <c r="E42" s="7"/>
      <c r="F42" s="7"/>
      <c r="G42" s="7"/>
      <c r="H42" s="7"/>
      <c r="I42" s="7"/>
      <c r="J42" s="7"/>
      <c r="K42" s="7"/>
      <c r="L42" s="6"/>
    </row>
    <row r="43" spans="1:12" x14ac:dyDescent="0.25">
      <c r="A43" s="4">
        <f t="shared" si="0"/>
        <v>2.0040000000000084</v>
      </c>
      <c r="B43" s="5"/>
      <c r="C43" s="23"/>
      <c r="D43" s="6"/>
      <c r="E43" s="7"/>
      <c r="F43" s="7"/>
      <c r="G43" s="7"/>
      <c r="H43" s="7"/>
      <c r="I43" s="7"/>
      <c r="J43" s="7"/>
      <c r="K43" s="7"/>
      <c r="L43" s="6"/>
    </row>
    <row r="44" spans="1:12" x14ac:dyDescent="0.25">
      <c r="A44" s="4">
        <f t="shared" si="0"/>
        <v>2.0041000000000087</v>
      </c>
      <c r="B44" s="5"/>
      <c r="C44" s="22"/>
      <c r="D44" s="7"/>
      <c r="E44" s="7"/>
      <c r="F44" s="7"/>
      <c r="G44" s="7"/>
      <c r="H44" s="7"/>
      <c r="I44" s="7"/>
      <c r="J44" s="7"/>
      <c r="K44" s="7"/>
      <c r="L44" s="6"/>
    </row>
    <row r="45" spans="1:12" x14ac:dyDescent="0.25">
      <c r="A45" s="4">
        <f t="shared" si="0"/>
        <v>2.0042000000000089</v>
      </c>
      <c r="B45" s="16" t="s">
        <v>568</v>
      </c>
      <c r="C45" s="16"/>
      <c r="D45" s="7"/>
      <c r="E45" s="7"/>
      <c r="F45" s="7"/>
      <c r="G45" s="7"/>
      <c r="H45" s="7"/>
      <c r="I45" s="7"/>
      <c r="J45" s="7"/>
      <c r="K45" s="7"/>
      <c r="L45" s="6"/>
    </row>
    <row r="46" spans="1:12" x14ac:dyDescent="0.25">
      <c r="A46" s="4">
        <f t="shared" si="0"/>
        <v>2.0043000000000091</v>
      </c>
      <c r="B46" s="6" t="s">
        <v>572</v>
      </c>
      <c r="C46" s="5" t="s">
        <v>569</v>
      </c>
      <c r="D46" s="7"/>
      <c r="E46" s="7"/>
      <c r="F46" s="7" t="s">
        <v>5</v>
      </c>
      <c r="G46" s="7">
        <f t="shared" si="2"/>
        <v>1</v>
      </c>
      <c r="H46" s="7">
        <f t="shared" si="2"/>
        <v>0</v>
      </c>
      <c r="I46" s="7">
        <f t="shared" si="2"/>
        <v>0</v>
      </c>
      <c r="J46" s="7">
        <f t="shared" si="2"/>
        <v>0</v>
      </c>
      <c r="K46" s="7"/>
      <c r="L46" s="6"/>
    </row>
    <row r="47" spans="1:12" x14ac:dyDescent="0.25">
      <c r="A47" s="4">
        <f t="shared" si="0"/>
        <v>2.0044000000000093</v>
      </c>
      <c r="B47" s="6"/>
      <c r="C47" s="5" t="s">
        <v>570</v>
      </c>
      <c r="D47" s="7"/>
      <c r="E47" s="7"/>
      <c r="F47" s="7" t="s">
        <v>5</v>
      </c>
      <c r="G47" s="7">
        <f t="shared" si="2"/>
        <v>1</v>
      </c>
      <c r="H47" s="7">
        <f t="shared" si="2"/>
        <v>0</v>
      </c>
      <c r="I47" s="7">
        <f t="shared" si="2"/>
        <v>0</v>
      </c>
      <c r="J47" s="7">
        <f t="shared" si="2"/>
        <v>0</v>
      </c>
      <c r="K47" s="7"/>
      <c r="L47" s="6"/>
    </row>
    <row r="48" spans="1:12" x14ac:dyDescent="0.25">
      <c r="A48" s="4">
        <f t="shared" si="0"/>
        <v>2.0045000000000095</v>
      </c>
      <c r="B48" s="6"/>
      <c r="C48" s="5" t="s">
        <v>571</v>
      </c>
      <c r="D48" s="7"/>
      <c r="E48" s="7"/>
      <c r="F48" s="7" t="s">
        <v>5</v>
      </c>
      <c r="G48" s="7">
        <f t="shared" si="2"/>
        <v>1</v>
      </c>
      <c r="H48" s="7">
        <f t="shared" si="2"/>
        <v>0</v>
      </c>
      <c r="I48" s="7">
        <f t="shared" si="2"/>
        <v>0</v>
      </c>
      <c r="J48" s="7">
        <f t="shared" si="2"/>
        <v>0</v>
      </c>
      <c r="K48" s="7"/>
      <c r="L48" s="62"/>
    </row>
    <row r="49" spans="1:11" ht="25.5" x14ac:dyDescent="0.25">
      <c r="A49" s="4">
        <f t="shared" si="0"/>
        <v>2.0046000000000097</v>
      </c>
      <c r="B49" s="6"/>
      <c r="C49" s="5" t="s">
        <v>573</v>
      </c>
      <c r="D49" s="7"/>
      <c r="E49" s="7"/>
      <c r="F49" s="7" t="s">
        <v>5</v>
      </c>
      <c r="G49" s="7">
        <f t="shared" si="2"/>
        <v>1</v>
      </c>
      <c r="H49" s="7">
        <f t="shared" si="2"/>
        <v>0</v>
      </c>
      <c r="I49" s="7">
        <f t="shared" si="2"/>
        <v>0</v>
      </c>
      <c r="J49" s="7">
        <f t="shared" si="2"/>
        <v>0</v>
      </c>
      <c r="K49" s="7"/>
    </row>
    <row r="50" spans="1:11" x14ac:dyDescent="0.25">
      <c r="A50" s="4">
        <f t="shared" si="0"/>
        <v>2.0047000000000099</v>
      </c>
      <c r="B50" s="6"/>
      <c r="C50" s="23"/>
      <c r="D50" s="7"/>
      <c r="E50" s="7"/>
      <c r="F50" s="7"/>
      <c r="G50" s="7"/>
      <c r="H50" s="7"/>
      <c r="I50" s="7"/>
      <c r="J50" s="7"/>
      <c r="K50" s="7"/>
    </row>
    <row r="51" spans="1:11" x14ac:dyDescent="0.25">
      <c r="A51" s="4">
        <f t="shared" si="0"/>
        <v>2.0048000000000101</v>
      </c>
      <c r="B51" s="6"/>
      <c r="C51" s="23"/>
      <c r="D51" s="7"/>
      <c r="E51" s="7"/>
      <c r="F51" s="7"/>
      <c r="G51" s="7"/>
      <c r="H51" s="7"/>
      <c r="I51" s="7"/>
      <c r="J51" s="7"/>
      <c r="K51" s="7"/>
    </row>
    <row r="52" spans="1:11" x14ac:dyDescent="0.25">
      <c r="A52" s="4">
        <f t="shared" si="0"/>
        <v>2.0049000000000103</v>
      </c>
      <c r="B52" s="16" t="s">
        <v>580</v>
      </c>
      <c r="C52" s="16"/>
      <c r="D52" s="7"/>
      <c r="E52" s="7"/>
      <c r="F52" s="7"/>
      <c r="G52" s="7"/>
      <c r="H52" s="7"/>
      <c r="I52" s="7"/>
      <c r="J52" s="7"/>
      <c r="K52" s="7"/>
    </row>
    <row r="53" spans="1:11" x14ac:dyDescent="0.25">
      <c r="A53" s="4">
        <f t="shared" si="0"/>
        <v>2.0050000000000106</v>
      </c>
      <c r="B53" s="96" t="s">
        <v>555</v>
      </c>
      <c r="C53" s="5" t="s">
        <v>556</v>
      </c>
      <c r="D53" s="7"/>
      <c r="E53" s="7"/>
      <c r="F53" s="7" t="s">
        <v>5</v>
      </c>
      <c r="G53" s="7">
        <f t="shared" ref="G53:K109" si="6">IF($F53=G$1,1,0)</f>
        <v>1</v>
      </c>
      <c r="H53" s="7">
        <f t="shared" si="6"/>
        <v>0</v>
      </c>
      <c r="I53" s="7">
        <f t="shared" si="6"/>
        <v>0</v>
      </c>
      <c r="J53" s="7">
        <f t="shared" si="6"/>
        <v>0</v>
      </c>
      <c r="K53" s="7"/>
    </row>
    <row r="54" spans="1:11" x14ac:dyDescent="0.25">
      <c r="A54" s="4">
        <f t="shared" si="0"/>
        <v>2.0051000000000108</v>
      </c>
      <c r="B54" s="6"/>
      <c r="C54" s="5" t="s">
        <v>557</v>
      </c>
      <c r="D54" s="7"/>
      <c r="E54" s="7"/>
      <c r="F54" s="7" t="s">
        <v>5</v>
      </c>
      <c r="G54" s="7">
        <f t="shared" si="6"/>
        <v>1</v>
      </c>
      <c r="H54" s="7">
        <f t="shared" si="6"/>
        <v>0</v>
      </c>
      <c r="I54" s="7">
        <f t="shared" si="6"/>
        <v>0</v>
      </c>
      <c r="J54" s="7">
        <f t="shared" si="6"/>
        <v>0</v>
      </c>
      <c r="K54" s="7"/>
    </row>
    <row r="55" spans="1:11" x14ac:dyDescent="0.25">
      <c r="A55" s="4">
        <f t="shared" si="0"/>
        <v>2.005200000000011</v>
      </c>
      <c r="B55" s="6"/>
      <c r="C55" s="5" t="s">
        <v>574</v>
      </c>
      <c r="D55" s="7"/>
      <c r="E55" s="7"/>
      <c r="F55" s="7" t="s">
        <v>5</v>
      </c>
      <c r="G55" s="7">
        <f t="shared" si="6"/>
        <v>1</v>
      </c>
      <c r="H55" s="7">
        <f t="shared" si="6"/>
        <v>0</v>
      </c>
      <c r="I55" s="7">
        <f t="shared" si="6"/>
        <v>0</v>
      </c>
      <c r="J55" s="7">
        <f t="shared" si="6"/>
        <v>0</v>
      </c>
      <c r="K55" s="7"/>
    </row>
    <row r="56" spans="1:11" x14ac:dyDescent="0.25">
      <c r="A56" s="4">
        <f t="shared" si="0"/>
        <v>2.0053000000000112</v>
      </c>
      <c r="B56" s="6"/>
      <c r="C56" s="5" t="s">
        <v>575</v>
      </c>
      <c r="D56" s="7"/>
      <c r="E56" s="7"/>
      <c r="F56" s="7" t="s">
        <v>5</v>
      </c>
      <c r="G56" s="7">
        <f t="shared" si="6"/>
        <v>1</v>
      </c>
      <c r="H56" s="7">
        <f t="shared" si="6"/>
        <v>0</v>
      </c>
      <c r="I56" s="7">
        <f t="shared" si="6"/>
        <v>0</v>
      </c>
      <c r="J56" s="7">
        <f t="shared" si="6"/>
        <v>0</v>
      </c>
      <c r="K56" s="7"/>
    </row>
    <row r="57" spans="1:11" x14ac:dyDescent="0.25">
      <c r="A57" s="4">
        <f t="shared" si="0"/>
        <v>2.0054000000000114</v>
      </c>
      <c r="B57" s="132" t="s">
        <v>792</v>
      </c>
      <c r="C57" s="120" t="s">
        <v>813</v>
      </c>
      <c r="D57" s="7"/>
      <c r="E57" s="7"/>
      <c r="F57" s="7"/>
      <c r="G57" s="7"/>
      <c r="H57" s="7"/>
      <c r="I57" s="7"/>
      <c r="J57" s="7"/>
      <c r="K57" s="7"/>
    </row>
    <row r="58" spans="1:11" x14ac:dyDescent="0.25">
      <c r="A58" s="4">
        <f t="shared" si="0"/>
        <v>2.0055000000000116</v>
      </c>
      <c r="B58" s="6"/>
      <c r="C58" s="5" t="s">
        <v>823</v>
      </c>
      <c r="D58" s="7"/>
      <c r="E58" s="7"/>
      <c r="F58" s="7" t="s">
        <v>5</v>
      </c>
      <c r="G58" s="7">
        <f t="shared" si="6"/>
        <v>1</v>
      </c>
      <c r="H58" s="7">
        <f t="shared" si="6"/>
        <v>0</v>
      </c>
      <c r="I58" s="7">
        <f t="shared" si="6"/>
        <v>0</v>
      </c>
      <c r="J58" s="7">
        <f t="shared" si="6"/>
        <v>0</v>
      </c>
      <c r="K58" s="7">
        <f t="shared" si="6"/>
        <v>0</v>
      </c>
    </row>
    <row r="59" spans="1:11" x14ac:dyDescent="0.25">
      <c r="A59" s="4">
        <f t="shared" si="0"/>
        <v>2.0056000000000118</v>
      </c>
      <c r="B59" s="6"/>
      <c r="C59" s="5" t="s">
        <v>790</v>
      </c>
      <c r="D59" s="7"/>
      <c r="E59" s="7"/>
      <c r="F59" s="7" t="s">
        <v>5</v>
      </c>
      <c r="G59" s="7">
        <f t="shared" si="6"/>
        <v>1</v>
      </c>
      <c r="H59" s="7">
        <f t="shared" si="6"/>
        <v>0</v>
      </c>
      <c r="I59" s="7">
        <f t="shared" si="6"/>
        <v>0</v>
      </c>
      <c r="J59" s="7">
        <f t="shared" si="6"/>
        <v>0</v>
      </c>
      <c r="K59" s="7">
        <f t="shared" si="6"/>
        <v>0</v>
      </c>
    </row>
    <row r="60" spans="1:11" x14ac:dyDescent="0.25">
      <c r="A60" s="4">
        <f t="shared" si="0"/>
        <v>2.005700000000012</v>
      </c>
      <c r="B60" s="6"/>
      <c r="C60" s="5" t="s">
        <v>791</v>
      </c>
      <c r="D60" s="7"/>
      <c r="E60" s="7"/>
      <c r="F60" s="7" t="s">
        <v>5</v>
      </c>
      <c r="G60" s="7">
        <f t="shared" si="6"/>
        <v>1</v>
      </c>
      <c r="H60" s="7">
        <f t="shared" si="6"/>
        <v>0</v>
      </c>
      <c r="I60" s="7">
        <f t="shared" si="6"/>
        <v>0</v>
      </c>
      <c r="J60" s="7">
        <f t="shared" si="6"/>
        <v>0</v>
      </c>
      <c r="K60" s="7">
        <f t="shared" si="6"/>
        <v>0</v>
      </c>
    </row>
    <row r="61" spans="1:11" x14ac:dyDescent="0.25">
      <c r="A61" s="4">
        <f t="shared" si="0"/>
        <v>2.0058000000000122</v>
      </c>
      <c r="B61" s="96" t="s">
        <v>560</v>
      </c>
      <c r="C61" s="63" t="s">
        <v>765</v>
      </c>
      <c r="D61" s="7"/>
      <c r="E61" s="7"/>
      <c r="F61" s="7" t="s">
        <v>5</v>
      </c>
      <c r="G61" s="7"/>
      <c r="H61" s="7"/>
      <c r="I61" s="7"/>
      <c r="J61" s="7"/>
      <c r="K61" s="7"/>
    </row>
    <row r="62" spans="1:11" x14ac:dyDescent="0.25">
      <c r="A62" s="4">
        <f t="shared" si="0"/>
        <v>2.0059000000000125</v>
      </c>
      <c r="B62" s="6"/>
      <c r="C62" s="5" t="s">
        <v>584</v>
      </c>
      <c r="D62" s="7"/>
      <c r="E62" s="7"/>
      <c r="F62" s="7" t="s">
        <v>5</v>
      </c>
      <c r="G62" s="7">
        <f t="shared" ref="G62:K65" si="7">IF($F62=G$1,1,0)</f>
        <v>1</v>
      </c>
      <c r="H62" s="7">
        <f t="shared" si="7"/>
        <v>0</v>
      </c>
      <c r="I62" s="7">
        <f t="shared" si="7"/>
        <v>0</v>
      </c>
      <c r="J62" s="7">
        <f t="shared" si="7"/>
        <v>0</v>
      </c>
      <c r="K62" s="7">
        <f t="shared" si="7"/>
        <v>0</v>
      </c>
    </row>
    <row r="63" spans="1:11" x14ac:dyDescent="0.25">
      <c r="A63" s="4">
        <f t="shared" si="0"/>
        <v>2.0060000000000127</v>
      </c>
      <c r="B63" s="6"/>
      <c r="C63" s="5" t="s">
        <v>585</v>
      </c>
      <c r="D63" s="7"/>
      <c r="E63" s="7"/>
      <c r="F63" s="7" t="s">
        <v>5</v>
      </c>
      <c r="G63" s="7">
        <f t="shared" si="7"/>
        <v>1</v>
      </c>
      <c r="H63" s="7">
        <f t="shared" si="7"/>
        <v>0</v>
      </c>
      <c r="I63" s="7">
        <f t="shared" si="7"/>
        <v>0</v>
      </c>
      <c r="J63" s="7">
        <f t="shared" si="7"/>
        <v>0</v>
      </c>
      <c r="K63" s="7">
        <f t="shared" si="7"/>
        <v>0</v>
      </c>
    </row>
    <row r="64" spans="1:11" x14ac:dyDescent="0.25">
      <c r="A64" s="4">
        <f t="shared" si="0"/>
        <v>2.0061000000000129</v>
      </c>
      <c r="B64" s="6"/>
      <c r="C64" s="5" t="s">
        <v>562</v>
      </c>
      <c r="D64" s="7"/>
      <c r="E64" s="7"/>
      <c r="F64" s="7" t="s">
        <v>5</v>
      </c>
      <c r="G64" s="7">
        <f t="shared" si="7"/>
        <v>1</v>
      </c>
      <c r="H64" s="7">
        <f t="shared" si="7"/>
        <v>0</v>
      </c>
      <c r="I64" s="7">
        <f t="shared" si="7"/>
        <v>0</v>
      </c>
      <c r="J64" s="7">
        <f t="shared" si="7"/>
        <v>0</v>
      </c>
      <c r="K64" s="7">
        <f t="shared" si="7"/>
        <v>0</v>
      </c>
    </row>
    <row r="65" spans="1:11" ht="25.5" x14ac:dyDescent="0.25">
      <c r="A65" s="4">
        <f t="shared" si="0"/>
        <v>2.0062000000000131</v>
      </c>
      <c r="B65" s="6"/>
      <c r="C65" s="5" t="s">
        <v>1043</v>
      </c>
      <c r="D65" s="7"/>
      <c r="E65" s="7"/>
      <c r="F65" s="7" t="s">
        <v>5</v>
      </c>
      <c r="G65" s="7">
        <f t="shared" si="7"/>
        <v>1</v>
      </c>
      <c r="H65" s="7">
        <f t="shared" si="7"/>
        <v>0</v>
      </c>
      <c r="I65" s="7">
        <f t="shared" si="7"/>
        <v>0</v>
      </c>
      <c r="J65" s="7">
        <f t="shared" si="7"/>
        <v>0</v>
      </c>
      <c r="K65" s="7">
        <f t="shared" si="7"/>
        <v>0</v>
      </c>
    </row>
    <row r="66" spans="1:11" x14ac:dyDescent="0.25">
      <c r="A66" s="4">
        <f t="shared" si="0"/>
        <v>2.0063000000000133</v>
      </c>
      <c r="B66" s="6"/>
      <c r="C66" s="5"/>
      <c r="D66" s="7"/>
      <c r="E66" s="7"/>
      <c r="F66" s="7"/>
      <c r="G66" s="7"/>
      <c r="H66" s="7"/>
      <c r="I66" s="7"/>
      <c r="J66" s="7"/>
      <c r="K66" s="7"/>
    </row>
    <row r="67" spans="1:11" x14ac:dyDescent="0.25">
      <c r="A67" s="4">
        <f t="shared" si="0"/>
        <v>2.0064000000000135</v>
      </c>
      <c r="B67" s="132"/>
      <c r="C67" s="120" t="s">
        <v>806</v>
      </c>
      <c r="D67" s="7"/>
      <c r="E67" s="7"/>
      <c r="F67" s="7"/>
      <c r="G67" s="7"/>
      <c r="H67" s="7"/>
      <c r="I67" s="7"/>
      <c r="J67" s="7"/>
      <c r="K67" s="7"/>
    </row>
    <row r="68" spans="1:11" x14ac:dyDescent="0.25">
      <c r="A68" s="4">
        <f t="shared" ref="A68:A131" si="8">A67+0.0001</f>
        <v>2.0065000000000137</v>
      </c>
      <c r="B68" s="7"/>
      <c r="C68" s="5" t="s">
        <v>789</v>
      </c>
      <c r="D68" s="7"/>
      <c r="E68" s="7"/>
      <c r="F68" s="7" t="s">
        <v>5</v>
      </c>
      <c r="G68" s="7">
        <f t="shared" si="6"/>
        <v>1</v>
      </c>
      <c r="H68" s="7">
        <f t="shared" si="6"/>
        <v>0</v>
      </c>
      <c r="I68" s="7">
        <f t="shared" si="6"/>
        <v>0</v>
      </c>
      <c r="J68" s="7">
        <f t="shared" si="6"/>
        <v>0</v>
      </c>
      <c r="K68" s="7">
        <f t="shared" si="6"/>
        <v>0</v>
      </c>
    </row>
    <row r="69" spans="1:11" x14ac:dyDescent="0.25">
      <c r="A69" s="4">
        <f t="shared" si="8"/>
        <v>2.0066000000000139</v>
      </c>
      <c r="B69" s="6"/>
      <c r="C69" s="5" t="s">
        <v>790</v>
      </c>
      <c r="D69" s="7"/>
      <c r="E69" s="7"/>
      <c r="F69" s="7" t="s">
        <v>5</v>
      </c>
      <c r="G69" s="7">
        <f t="shared" si="6"/>
        <v>1</v>
      </c>
      <c r="H69" s="7">
        <f t="shared" si="6"/>
        <v>0</v>
      </c>
      <c r="I69" s="7">
        <f t="shared" si="6"/>
        <v>0</v>
      </c>
      <c r="J69" s="7">
        <f t="shared" si="6"/>
        <v>0</v>
      </c>
      <c r="K69" s="7">
        <f t="shared" si="6"/>
        <v>0</v>
      </c>
    </row>
    <row r="70" spans="1:11" x14ac:dyDescent="0.25">
      <c r="A70" s="4">
        <f t="shared" si="8"/>
        <v>2.0067000000000141</v>
      </c>
      <c r="B70" s="6"/>
      <c r="C70" s="5" t="s">
        <v>791</v>
      </c>
      <c r="D70" s="7"/>
      <c r="E70" s="7"/>
      <c r="F70" s="7" t="s">
        <v>5</v>
      </c>
      <c r="G70" s="7">
        <f t="shared" si="6"/>
        <v>1</v>
      </c>
      <c r="H70" s="7">
        <f t="shared" si="6"/>
        <v>0</v>
      </c>
      <c r="I70" s="7">
        <f t="shared" si="6"/>
        <v>0</v>
      </c>
      <c r="J70" s="7">
        <f t="shared" si="6"/>
        <v>0</v>
      </c>
      <c r="K70" s="7">
        <f t="shared" si="6"/>
        <v>0</v>
      </c>
    </row>
    <row r="71" spans="1:11" x14ac:dyDescent="0.25">
      <c r="A71" s="4">
        <f t="shared" si="8"/>
        <v>2.0068000000000144</v>
      </c>
      <c r="B71" s="96" t="s">
        <v>560</v>
      </c>
      <c r="C71" s="63" t="s">
        <v>765</v>
      </c>
      <c r="D71" s="7"/>
      <c r="E71" s="7"/>
      <c r="F71" s="7" t="s">
        <v>5</v>
      </c>
      <c r="G71" s="7"/>
      <c r="H71" s="7"/>
      <c r="I71" s="7"/>
      <c r="J71" s="7"/>
      <c r="K71" s="7"/>
    </row>
    <row r="72" spans="1:11" x14ac:dyDescent="0.25">
      <c r="A72" s="4">
        <f t="shared" si="8"/>
        <v>2.0069000000000146</v>
      </c>
      <c r="B72" s="6"/>
      <c r="C72" s="5" t="s">
        <v>584</v>
      </c>
      <c r="D72" s="7"/>
      <c r="E72" s="7"/>
      <c r="F72" s="7" t="s">
        <v>5</v>
      </c>
      <c r="G72" s="7">
        <f t="shared" si="6"/>
        <v>1</v>
      </c>
      <c r="H72" s="7">
        <f t="shared" si="6"/>
        <v>0</v>
      </c>
      <c r="I72" s="7">
        <f t="shared" si="6"/>
        <v>0</v>
      </c>
      <c r="J72" s="7">
        <f t="shared" si="6"/>
        <v>0</v>
      </c>
      <c r="K72" s="7">
        <f t="shared" si="6"/>
        <v>0</v>
      </c>
    </row>
    <row r="73" spans="1:11" x14ac:dyDescent="0.25">
      <c r="A73" s="4">
        <f t="shared" si="8"/>
        <v>2.0070000000000148</v>
      </c>
      <c r="B73" s="6"/>
      <c r="C73" s="5" t="s">
        <v>585</v>
      </c>
      <c r="D73" s="7"/>
      <c r="E73" s="7"/>
      <c r="F73" s="7" t="s">
        <v>5</v>
      </c>
      <c r="G73" s="7">
        <f t="shared" si="6"/>
        <v>1</v>
      </c>
      <c r="H73" s="7">
        <f t="shared" si="6"/>
        <v>0</v>
      </c>
      <c r="I73" s="7">
        <f t="shared" si="6"/>
        <v>0</v>
      </c>
      <c r="J73" s="7">
        <f t="shared" si="6"/>
        <v>0</v>
      </c>
      <c r="K73" s="7">
        <f t="shared" si="6"/>
        <v>0</v>
      </c>
    </row>
    <row r="74" spans="1:11" x14ac:dyDescent="0.25">
      <c r="A74" s="4">
        <f t="shared" si="8"/>
        <v>2.007100000000015</v>
      </c>
      <c r="B74" s="6"/>
      <c r="C74" s="5" t="s">
        <v>562</v>
      </c>
      <c r="D74" s="7"/>
      <c r="E74" s="7"/>
      <c r="F74" s="7" t="s">
        <v>5</v>
      </c>
      <c r="G74" s="7">
        <f t="shared" si="6"/>
        <v>1</v>
      </c>
      <c r="H74" s="7">
        <f t="shared" si="6"/>
        <v>0</v>
      </c>
      <c r="I74" s="7">
        <f t="shared" si="6"/>
        <v>0</v>
      </c>
      <c r="J74" s="7">
        <f t="shared" si="6"/>
        <v>0</v>
      </c>
      <c r="K74" s="7">
        <f t="shared" si="6"/>
        <v>0</v>
      </c>
    </row>
    <row r="75" spans="1:11" ht="25.5" x14ac:dyDescent="0.25">
      <c r="A75" s="4">
        <f t="shared" si="8"/>
        <v>2.0072000000000152</v>
      </c>
      <c r="B75" s="6"/>
      <c r="C75" s="5" t="s">
        <v>785</v>
      </c>
      <c r="D75" s="7"/>
      <c r="E75" s="7"/>
      <c r="F75" s="7" t="s">
        <v>5</v>
      </c>
      <c r="G75" s="7">
        <f t="shared" si="6"/>
        <v>1</v>
      </c>
      <c r="H75" s="7">
        <f t="shared" si="6"/>
        <v>0</v>
      </c>
      <c r="I75" s="7">
        <f t="shared" si="6"/>
        <v>0</v>
      </c>
      <c r="J75" s="7">
        <f t="shared" si="6"/>
        <v>0</v>
      </c>
      <c r="K75" s="7">
        <f t="shared" si="6"/>
        <v>0</v>
      </c>
    </row>
    <row r="76" spans="1:11" x14ac:dyDescent="0.25">
      <c r="A76" s="4">
        <f t="shared" si="8"/>
        <v>2.0073000000000154</v>
      </c>
      <c r="B76" s="6"/>
      <c r="C76" s="5"/>
      <c r="D76" s="7"/>
      <c r="E76" s="7"/>
      <c r="F76" s="7"/>
      <c r="G76" s="7"/>
      <c r="H76" s="7"/>
      <c r="I76" s="7"/>
      <c r="J76" s="7"/>
      <c r="K76" s="7"/>
    </row>
    <row r="77" spans="1:11" x14ac:dyDescent="0.25">
      <c r="A77" s="4">
        <f t="shared" si="8"/>
        <v>2.0074000000000156</v>
      </c>
      <c r="B77" s="6"/>
      <c r="C77" s="120" t="s">
        <v>807</v>
      </c>
      <c r="D77" s="7"/>
      <c r="E77" s="7"/>
      <c r="F77" s="7"/>
      <c r="G77" s="7"/>
      <c r="H77" s="7"/>
      <c r="I77" s="7"/>
      <c r="J77" s="7"/>
      <c r="K77" s="7"/>
    </row>
    <row r="78" spans="1:11" x14ac:dyDescent="0.25">
      <c r="A78" s="4">
        <f t="shared" si="8"/>
        <v>2.0075000000000158</v>
      </c>
      <c r="B78" s="6"/>
      <c r="C78" s="5" t="s">
        <v>808</v>
      </c>
      <c r="D78" s="7"/>
      <c r="E78" s="7"/>
      <c r="F78" s="7" t="s">
        <v>5</v>
      </c>
      <c r="G78" s="7">
        <f t="shared" si="6"/>
        <v>1</v>
      </c>
      <c r="H78" s="7">
        <f t="shared" si="6"/>
        <v>0</v>
      </c>
      <c r="I78" s="7">
        <f t="shared" si="6"/>
        <v>0</v>
      </c>
      <c r="J78" s="7">
        <f t="shared" si="6"/>
        <v>0</v>
      </c>
      <c r="K78" s="7">
        <f t="shared" si="6"/>
        <v>0</v>
      </c>
    </row>
    <row r="79" spans="1:11" x14ac:dyDescent="0.25">
      <c r="A79" s="4">
        <f t="shared" si="8"/>
        <v>2.007600000000016</v>
      </c>
      <c r="B79" s="6"/>
      <c r="C79" s="5" t="s">
        <v>790</v>
      </c>
      <c r="D79" s="7"/>
      <c r="E79" s="7"/>
      <c r="F79" s="7" t="s">
        <v>5</v>
      </c>
      <c r="G79" s="7">
        <f t="shared" si="6"/>
        <v>1</v>
      </c>
      <c r="H79" s="7">
        <f t="shared" si="6"/>
        <v>0</v>
      </c>
      <c r="I79" s="7">
        <f t="shared" si="6"/>
        <v>0</v>
      </c>
      <c r="J79" s="7">
        <f t="shared" si="6"/>
        <v>0</v>
      </c>
      <c r="K79" s="7">
        <f t="shared" si="6"/>
        <v>0</v>
      </c>
    </row>
    <row r="80" spans="1:11" x14ac:dyDescent="0.25">
      <c r="A80" s="4">
        <f t="shared" si="8"/>
        <v>2.0077000000000162</v>
      </c>
      <c r="B80" s="6"/>
      <c r="C80" s="5" t="s">
        <v>791</v>
      </c>
      <c r="D80" s="7"/>
      <c r="E80" s="7"/>
      <c r="F80" s="7" t="s">
        <v>5</v>
      </c>
      <c r="G80" s="7">
        <f t="shared" si="6"/>
        <v>1</v>
      </c>
      <c r="H80" s="7">
        <f t="shared" si="6"/>
        <v>0</v>
      </c>
      <c r="I80" s="7">
        <f t="shared" si="6"/>
        <v>0</v>
      </c>
      <c r="J80" s="7">
        <f t="shared" si="6"/>
        <v>0</v>
      </c>
      <c r="K80" s="7">
        <f t="shared" si="6"/>
        <v>0</v>
      </c>
    </row>
    <row r="81" spans="1:11" x14ac:dyDescent="0.25">
      <c r="A81" s="4">
        <f t="shared" si="8"/>
        <v>2.0078000000000165</v>
      </c>
      <c r="B81" s="96" t="s">
        <v>560</v>
      </c>
      <c r="C81" s="63" t="s">
        <v>765</v>
      </c>
      <c r="D81" s="7"/>
      <c r="E81" s="7"/>
      <c r="F81" s="7" t="s">
        <v>5</v>
      </c>
      <c r="G81" s="7"/>
      <c r="H81" s="7"/>
      <c r="I81" s="7"/>
      <c r="J81" s="7"/>
      <c r="K81" s="7"/>
    </row>
    <row r="82" spans="1:11" x14ac:dyDescent="0.25">
      <c r="A82" s="4">
        <f t="shared" si="8"/>
        <v>2.0079000000000167</v>
      </c>
      <c r="B82" s="6"/>
      <c r="C82" s="5" t="s">
        <v>584</v>
      </c>
      <c r="D82" s="7"/>
      <c r="E82" s="7"/>
      <c r="F82" s="7" t="s">
        <v>5</v>
      </c>
      <c r="G82" s="7">
        <f t="shared" si="6"/>
        <v>1</v>
      </c>
      <c r="H82" s="7">
        <f t="shared" si="6"/>
        <v>0</v>
      </c>
      <c r="I82" s="7">
        <f t="shared" si="6"/>
        <v>0</v>
      </c>
      <c r="J82" s="7">
        <f t="shared" si="6"/>
        <v>0</v>
      </c>
      <c r="K82" s="7">
        <f t="shared" si="6"/>
        <v>0</v>
      </c>
    </row>
    <row r="83" spans="1:11" x14ac:dyDescent="0.25">
      <c r="A83" s="4">
        <f t="shared" si="8"/>
        <v>2.0080000000000169</v>
      </c>
      <c r="B83" s="6"/>
      <c r="C83" s="5" t="s">
        <v>585</v>
      </c>
      <c r="D83" s="7"/>
      <c r="E83" s="7"/>
      <c r="F83" s="7" t="s">
        <v>5</v>
      </c>
      <c r="G83" s="7">
        <f t="shared" si="6"/>
        <v>1</v>
      </c>
      <c r="H83" s="7">
        <f t="shared" si="6"/>
        <v>0</v>
      </c>
      <c r="I83" s="7">
        <f t="shared" si="6"/>
        <v>0</v>
      </c>
      <c r="J83" s="7">
        <f t="shared" si="6"/>
        <v>0</v>
      </c>
      <c r="K83" s="7">
        <f t="shared" si="6"/>
        <v>0</v>
      </c>
    </row>
    <row r="84" spans="1:11" x14ac:dyDescent="0.25">
      <c r="A84" s="4">
        <f t="shared" si="8"/>
        <v>2.0081000000000171</v>
      </c>
      <c r="B84" s="6"/>
      <c r="C84" s="5" t="s">
        <v>562</v>
      </c>
      <c r="D84" s="7"/>
      <c r="E84" s="7"/>
      <c r="F84" s="7" t="s">
        <v>5</v>
      </c>
      <c r="G84" s="7">
        <f t="shared" si="6"/>
        <v>1</v>
      </c>
      <c r="H84" s="7">
        <f t="shared" si="6"/>
        <v>0</v>
      </c>
      <c r="I84" s="7">
        <f t="shared" si="6"/>
        <v>0</v>
      </c>
      <c r="J84" s="7">
        <f t="shared" si="6"/>
        <v>0</v>
      </c>
      <c r="K84" s="7">
        <f t="shared" si="6"/>
        <v>0</v>
      </c>
    </row>
    <row r="85" spans="1:11" ht="25.5" x14ac:dyDescent="0.25">
      <c r="A85" s="4">
        <f t="shared" si="8"/>
        <v>2.0082000000000173</v>
      </c>
      <c r="B85" s="6"/>
      <c r="C85" s="5" t="s">
        <v>787</v>
      </c>
      <c r="D85" s="7"/>
      <c r="E85" s="7"/>
      <c r="F85" s="7" t="s">
        <v>5</v>
      </c>
      <c r="G85" s="7">
        <f t="shared" si="6"/>
        <v>1</v>
      </c>
      <c r="H85" s="7">
        <f t="shared" si="6"/>
        <v>0</v>
      </c>
      <c r="I85" s="7">
        <f t="shared" si="6"/>
        <v>0</v>
      </c>
      <c r="J85" s="7">
        <f t="shared" si="6"/>
        <v>0</v>
      </c>
      <c r="K85" s="7">
        <f t="shared" si="6"/>
        <v>0</v>
      </c>
    </row>
    <row r="86" spans="1:11" x14ac:dyDescent="0.25">
      <c r="A86" s="4">
        <f t="shared" si="8"/>
        <v>2.0083000000000175</v>
      </c>
      <c r="B86" s="6"/>
      <c r="C86" s="5"/>
      <c r="D86" s="7"/>
      <c r="E86" s="7"/>
      <c r="F86" s="7"/>
      <c r="G86" s="7"/>
      <c r="H86" s="7"/>
      <c r="I86" s="7"/>
      <c r="J86" s="7"/>
      <c r="K86" s="7"/>
    </row>
    <row r="87" spans="1:11" x14ac:dyDescent="0.25">
      <c r="A87" s="4">
        <f t="shared" si="8"/>
        <v>2.0084000000000177</v>
      </c>
      <c r="B87" s="6"/>
      <c r="C87" s="120" t="s">
        <v>810</v>
      </c>
      <c r="D87" s="7"/>
      <c r="E87" s="7"/>
      <c r="F87" s="7"/>
      <c r="G87" s="7"/>
      <c r="H87" s="7"/>
      <c r="I87" s="7"/>
      <c r="J87" s="7"/>
      <c r="K87" s="7"/>
    </row>
    <row r="88" spans="1:11" x14ac:dyDescent="0.25">
      <c r="A88" s="4">
        <f t="shared" si="8"/>
        <v>2.0085000000000179</v>
      </c>
      <c r="B88" s="6"/>
      <c r="C88" s="5" t="s">
        <v>809</v>
      </c>
      <c r="D88" s="7"/>
      <c r="E88" s="7"/>
      <c r="F88" s="7" t="s">
        <v>7</v>
      </c>
      <c r="G88" s="7">
        <f t="shared" si="6"/>
        <v>0</v>
      </c>
      <c r="H88" s="7">
        <f t="shared" si="6"/>
        <v>0</v>
      </c>
      <c r="I88" s="7">
        <f t="shared" si="6"/>
        <v>0</v>
      </c>
      <c r="J88" s="7">
        <f t="shared" si="6"/>
        <v>1</v>
      </c>
      <c r="K88" s="7">
        <f t="shared" si="6"/>
        <v>0</v>
      </c>
    </row>
    <row r="89" spans="1:11" x14ac:dyDescent="0.25">
      <c r="A89" s="4">
        <f t="shared" si="8"/>
        <v>2.0086000000000181</v>
      </c>
      <c r="B89" s="6"/>
      <c r="C89" s="5" t="s">
        <v>790</v>
      </c>
      <c r="D89" s="7"/>
      <c r="E89" s="7"/>
      <c r="F89" s="7" t="s">
        <v>7</v>
      </c>
      <c r="G89" s="7">
        <f t="shared" si="6"/>
        <v>0</v>
      </c>
      <c r="H89" s="7">
        <f t="shared" si="6"/>
        <v>0</v>
      </c>
      <c r="I89" s="7">
        <f t="shared" si="6"/>
        <v>0</v>
      </c>
      <c r="J89" s="7">
        <f t="shared" si="6"/>
        <v>1</v>
      </c>
      <c r="K89" s="7">
        <f t="shared" si="6"/>
        <v>0</v>
      </c>
    </row>
    <row r="90" spans="1:11" x14ac:dyDescent="0.25">
      <c r="A90" s="4">
        <f t="shared" si="8"/>
        <v>2.0087000000000184</v>
      </c>
      <c r="B90" s="6"/>
      <c r="C90" s="5" t="s">
        <v>791</v>
      </c>
      <c r="D90" s="7"/>
      <c r="E90" s="7"/>
      <c r="F90" s="7" t="s">
        <v>7</v>
      </c>
      <c r="G90" s="7">
        <f t="shared" si="6"/>
        <v>0</v>
      </c>
      <c r="H90" s="7">
        <f t="shared" si="6"/>
        <v>0</v>
      </c>
      <c r="I90" s="7">
        <f t="shared" si="6"/>
        <v>0</v>
      </c>
      <c r="J90" s="7">
        <f t="shared" si="6"/>
        <v>1</v>
      </c>
      <c r="K90" s="7">
        <f t="shared" si="6"/>
        <v>0</v>
      </c>
    </row>
    <row r="91" spans="1:11" x14ac:dyDescent="0.25">
      <c r="A91" s="4">
        <f t="shared" si="8"/>
        <v>2.0088000000000186</v>
      </c>
      <c r="B91" s="96" t="s">
        <v>560</v>
      </c>
      <c r="C91" s="63" t="s">
        <v>765</v>
      </c>
      <c r="D91" s="7"/>
      <c r="E91" s="7"/>
      <c r="F91" s="7" t="s">
        <v>7</v>
      </c>
      <c r="G91" s="7"/>
      <c r="H91" s="7"/>
      <c r="I91" s="7"/>
      <c r="J91" s="7"/>
      <c r="K91" s="7"/>
    </row>
    <row r="92" spans="1:11" x14ac:dyDescent="0.25">
      <c r="A92" s="4">
        <f t="shared" si="8"/>
        <v>2.0089000000000188</v>
      </c>
      <c r="B92" s="6"/>
      <c r="C92" s="5" t="s">
        <v>584</v>
      </c>
      <c r="D92" s="7"/>
      <c r="E92" s="7"/>
      <c r="F92" s="7" t="s">
        <v>7</v>
      </c>
      <c r="G92" s="7">
        <f t="shared" si="6"/>
        <v>0</v>
      </c>
      <c r="H92" s="7">
        <f t="shared" si="6"/>
        <v>0</v>
      </c>
      <c r="I92" s="7">
        <f t="shared" si="6"/>
        <v>0</v>
      </c>
      <c r="J92" s="7">
        <f t="shared" si="6"/>
        <v>1</v>
      </c>
      <c r="K92" s="7">
        <f t="shared" si="6"/>
        <v>0</v>
      </c>
    </row>
    <row r="93" spans="1:11" x14ac:dyDescent="0.25">
      <c r="A93" s="4">
        <f t="shared" si="8"/>
        <v>2.009000000000019</v>
      </c>
      <c r="B93" s="6"/>
      <c r="C93" s="5" t="s">
        <v>585</v>
      </c>
      <c r="D93" s="7"/>
      <c r="E93" s="7"/>
      <c r="F93" s="7" t="s">
        <v>7</v>
      </c>
      <c r="G93" s="7">
        <f t="shared" si="6"/>
        <v>0</v>
      </c>
      <c r="H93" s="7">
        <f t="shared" si="6"/>
        <v>0</v>
      </c>
      <c r="I93" s="7">
        <f t="shared" si="6"/>
        <v>0</v>
      </c>
      <c r="J93" s="7">
        <f t="shared" si="6"/>
        <v>1</v>
      </c>
      <c r="K93" s="7">
        <f t="shared" si="6"/>
        <v>0</v>
      </c>
    </row>
    <row r="94" spans="1:11" x14ac:dyDescent="0.25">
      <c r="A94" s="4">
        <f t="shared" si="8"/>
        <v>2.0091000000000192</v>
      </c>
      <c r="B94" s="6"/>
      <c r="C94" s="5" t="s">
        <v>562</v>
      </c>
      <c r="D94" s="7"/>
      <c r="E94" s="7"/>
      <c r="F94" s="7" t="s">
        <v>7</v>
      </c>
      <c r="G94" s="7">
        <f t="shared" si="6"/>
        <v>0</v>
      </c>
      <c r="H94" s="7">
        <f t="shared" si="6"/>
        <v>0</v>
      </c>
      <c r="I94" s="7">
        <f t="shared" si="6"/>
        <v>0</v>
      </c>
      <c r="J94" s="7">
        <f t="shared" si="6"/>
        <v>1</v>
      </c>
      <c r="K94" s="7">
        <f t="shared" si="6"/>
        <v>0</v>
      </c>
    </row>
    <row r="95" spans="1:11" ht="25.5" x14ac:dyDescent="0.25">
      <c r="A95" s="4">
        <f t="shared" si="8"/>
        <v>2.0092000000000194</v>
      </c>
      <c r="B95" s="6"/>
      <c r="C95" s="5" t="s">
        <v>793</v>
      </c>
      <c r="D95" s="7"/>
      <c r="E95" s="7"/>
      <c r="F95" s="7" t="s">
        <v>7</v>
      </c>
      <c r="G95" s="7">
        <f t="shared" si="6"/>
        <v>0</v>
      </c>
      <c r="H95" s="7">
        <f t="shared" si="6"/>
        <v>0</v>
      </c>
      <c r="I95" s="7">
        <f t="shared" si="6"/>
        <v>0</v>
      </c>
      <c r="J95" s="7">
        <f t="shared" si="6"/>
        <v>1</v>
      </c>
      <c r="K95" s="7">
        <f t="shared" si="6"/>
        <v>0</v>
      </c>
    </row>
    <row r="96" spans="1:11" x14ac:dyDescent="0.25">
      <c r="A96" s="4">
        <f t="shared" si="8"/>
        <v>2.0093000000000196</v>
      </c>
      <c r="B96" s="6"/>
      <c r="C96" s="5"/>
      <c r="D96" s="7"/>
      <c r="E96" s="7"/>
      <c r="F96" s="7"/>
      <c r="G96" s="7"/>
      <c r="H96" s="7"/>
      <c r="I96" s="7"/>
      <c r="J96" s="7"/>
      <c r="K96" s="7"/>
    </row>
    <row r="97" spans="1:11" x14ac:dyDescent="0.25">
      <c r="A97" s="4">
        <f t="shared" si="8"/>
        <v>2.0094000000000198</v>
      </c>
      <c r="B97" s="6"/>
      <c r="C97" s="120" t="s">
        <v>811</v>
      </c>
      <c r="D97" s="7"/>
      <c r="E97" s="7"/>
      <c r="F97" s="7"/>
      <c r="G97" s="7"/>
      <c r="H97" s="7"/>
      <c r="I97" s="7"/>
      <c r="J97" s="7"/>
      <c r="K97" s="7"/>
    </row>
    <row r="98" spans="1:11" x14ac:dyDescent="0.25">
      <c r="A98" s="4">
        <f t="shared" si="8"/>
        <v>2.00950000000002</v>
      </c>
      <c r="B98" s="6"/>
      <c r="C98" s="5" t="s">
        <v>809</v>
      </c>
      <c r="D98" s="7"/>
      <c r="E98" s="7"/>
      <c r="F98" s="7" t="s">
        <v>7</v>
      </c>
      <c r="G98" s="7">
        <f t="shared" si="6"/>
        <v>0</v>
      </c>
      <c r="H98" s="7">
        <f t="shared" si="6"/>
        <v>0</v>
      </c>
      <c r="I98" s="7">
        <f t="shared" si="6"/>
        <v>0</v>
      </c>
      <c r="J98" s="7">
        <f t="shared" si="6"/>
        <v>1</v>
      </c>
      <c r="K98" s="7">
        <f t="shared" si="6"/>
        <v>0</v>
      </c>
    </row>
    <row r="99" spans="1:11" x14ac:dyDescent="0.25">
      <c r="A99" s="4">
        <f t="shared" si="8"/>
        <v>2.0096000000000203</v>
      </c>
      <c r="B99" s="6"/>
      <c r="C99" s="5" t="s">
        <v>790</v>
      </c>
      <c r="D99" s="7"/>
      <c r="E99" s="7"/>
      <c r="F99" s="7" t="s">
        <v>7</v>
      </c>
      <c r="G99" s="7">
        <f t="shared" si="6"/>
        <v>0</v>
      </c>
      <c r="H99" s="7">
        <f t="shared" si="6"/>
        <v>0</v>
      </c>
      <c r="I99" s="7">
        <f t="shared" si="6"/>
        <v>0</v>
      </c>
      <c r="J99" s="7">
        <f t="shared" si="6"/>
        <v>1</v>
      </c>
      <c r="K99" s="7">
        <f t="shared" si="6"/>
        <v>0</v>
      </c>
    </row>
    <row r="100" spans="1:11" x14ac:dyDescent="0.25">
      <c r="A100" s="4">
        <f t="shared" si="8"/>
        <v>2.0097000000000205</v>
      </c>
      <c r="B100" s="6"/>
      <c r="C100" s="5" t="s">
        <v>791</v>
      </c>
      <c r="D100" s="7"/>
      <c r="E100" s="7"/>
      <c r="F100" s="7" t="s">
        <v>7</v>
      </c>
      <c r="G100" s="7">
        <f t="shared" si="6"/>
        <v>0</v>
      </c>
      <c r="H100" s="7">
        <f t="shared" si="6"/>
        <v>0</v>
      </c>
      <c r="I100" s="7">
        <f t="shared" si="6"/>
        <v>0</v>
      </c>
      <c r="J100" s="7">
        <f t="shared" si="6"/>
        <v>1</v>
      </c>
      <c r="K100" s="7">
        <f t="shared" si="6"/>
        <v>0</v>
      </c>
    </row>
    <row r="101" spans="1:11" x14ac:dyDescent="0.25">
      <c r="A101" s="4">
        <f t="shared" si="8"/>
        <v>2.0098000000000207</v>
      </c>
      <c r="B101" s="96" t="s">
        <v>560</v>
      </c>
      <c r="C101" s="63" t="s">
        <v>765</v>
      </c>
      <c r="D101" s="7"/>
      <c r="E101" s="7"/>
      <c r="F101" s="7" t="s">
        <v>7</v>
      </c>
      <c r="G101" s="7"/>
      <c r="H101" s="7"/>
      <c r="I101" s="7"/>
      <c r="J101" s="7"/>
      <c r="K101" s="7"/>
    </row>
    <row r="102" spans="1:11" x14ac:dyDescent="0.25">
      <c r="A102" s="4">
        <f t="shared" si="8"/>
        <v>2.0099000000000209</v>
      </c>
      <c r="B102" s="6"/>
      <c r="C102" s="5" t="s">
        <v>584</v>
      </c>
      <c r="D102" s="7"/>
      <c r="E102" s="7"/>
      <c r="F102" s="7" t="s">
        <v>7</v>
      </c>
      <c r="G102" s="7">
        <f t="shared" ref="G102:K105" si="9">IF($F102=G$1,1,0)</f>
        <v>0</v>
      </c>
      <c r="H102" s="7">
        <f t="shared" si="9"/>
        <v>0</v>
      </c>
      <c r="I102" s="7">
        <f t="shared" si="9"/>
        <v>0</v>
      </c>
      <c r="J102" s="7">
        <f t="shared" si="9"/>
        <v>1</v>
      </c>
      <c r="K102" s="7">
        <f t="shared" si="9"/>
        <v>0</v>
      </c>
    </row>
    <row r="103" spans="1:11" x14ac:dyDescent="0.25">
      <c r="A103" s="4">
        <f t="shared" si="8"/>
        <v>2.0100000000000211</v>
      </c>
      <c r="B103" s="6"/>
      <c r="C103" s="5" t="s">
        <v>585</v>
      </c>
      <c r="D103" s="7"/>
      <c r="E103" s="7"/>
      <c r="F103" s="7" t="s">
        <v>7</v>
      </c>
      <c r="G103" s="7">
        <f t="shared" si="9"/>
        <v>0</v>
      </c>
      <c r="H103" s="7">
        <f t="shared" si="9"/>
        <v>0</v>
      </c>
      <c r="I103" s="7">
        <f t="shared" si="9"/>
        <v>0</v>
      </c>
      <c r="J103" s="7">
        <f t="shared" si="9"/>
        <v>1</v>
      </c>
      <c r="K103" s="7">
        <f t="shared" si="9"/>
        <v>0</v>
      </c>
    </row>
    <row r="104" spans="1:11" x14ac:dyDescent="0.25">
      <c r="A104" s="4">
        <f t="shared" si="8"/>
        <v>2.0101000000000213</v>
      </c>
      <c r="B104" s="6"/>
      <c r="C104" s="5" t="s">
        <v>562</v>
      </c>
      <c r="D104" s="7"/>
      <c r="E104" s="7"/>
      <c r="F104" s="7" t="s">
        <v>7</v>
      </c>
      <c r="G104" s="7">
        <f t="shared" si="9"/>
        <v>0</v>
      </c>
      <c r="H104" s="7">
        <f t="shared" si="9"/>
        <v>0</v>
      </c>
      <c r="I104" s="7">
        <f t="shared" si="9"/>
        <v>0</v>
      </c>
      <c r="J104" s="7">
        <f t="shared" si="9"/>
        <v>1</v>
      </c>
      <c r="K104" s="7">
        <f t="shared" si="9"/>
        <v>0</v>
      </c>
    </row>
    <row r="105" spans="1:11" ht="25.5" x14ac:dyDescent="0.25">
      <c r="A105" s="4">
        <f t="shared" si="8"/>
        <v>2.0102000000000215</v>
      </c>
      <c r="B105" s="6"/>
      <c r="C105" s="5" t="s">
        <v>786</v>
      </c>
      <c r="D105" s="7"/>
      <c r="E105" s="7"/>
      <c r="F105" s="7" t="s">
        <v>7</v>
      </c>
      <c r="G105" s="7">
        <f t="shared" si="9"/>
        <v>0</v>
      </c>
      <c r="H105" s="7">
        <f t="shared" si="9"/>
        <v>0</v>
      </c>
      <c r="I105" s="7">
        <f t="shared" si="9"/>
        <v>0</v>
      </c>
      <c r="J105" s="7">
        <f t="shared" si="9"/>
        <v>1</v>
      </c>
      <c r="K105" s="7">
        <f t="shared" si="9"/>
        <v>0</v>
      </c>
    </row>
    <row r="106" spans="1:11" x14ac:dyDescent="0.25">
      <c r="A106" s="4">
        <f t="shared" si="8"/>
        <v>2.0103000000000217</v>
      </c>
      <c r="B106" s="6"/>
      <c r="C106" s="5"/>
      <c r="D106" s="7"/>
      <c r="E106" s="7"/>
      <c r="F106" s="7"/>
      <c r="G106" s="7"/>
      <c r="H106" s="7"/>
      <c r="I106" s="7"/>
      <c r="J106" s="7"/>
      <c r="K106" s="7"/>
    </row>
    <row r="107" spans="1:11" x14ac:dyDescent="0.25">
      <c r="A107" s="4">
        <f t="shared" si="8"/>
        <v>2.0104000000000219</v>
      </c>
      <c r="B107" s="6" t="s">
        <v>812</v>
      </c>
      <c r="C107" s="5" t="s">
        <v>577</v>
      </c>
      <c r="D107" s="7"/>
      <c r="E107" s="7"/>
      <c r="F107" s="7" t="s">
        <v>5</v>
      </c>
      <c r="G107" s="7">
        <f t="shared" si="6"/>
        <v>1</v>
      </c>
      <c r="H107" s="7">
        <f t="shared" si="6"/>
        <v>0</v>
      </c>
      <c r="I107" s="7">
        <f t="shared" si="6"/>
        <v>0</v>
      </c>
      <c r="J107" s="7">
        <f t="shared" si="6"/>
        <v>0</v>
      </c>
      <c r="K107" s="7">
        <f t="shared" si="6"/>
        <v>0</v>
      </c>
    </row>
    <row r="108" spans="1:11" x14ac:dyDescent="0.25">
      <c r="A108" s="4">
        <f t="shared" si="8"/>
        <v>2.0105000000000222</v>
      </c>
      <c r="B108" s="6"/>
      <c r="C108" s="5" t="s">
        <v>578</v>
      </c>
      <c r="D108" s="7"/>
      <c r="E108" s="7"/>
      <c r="F108" s="7" t="s">
        <v>5</v>
      </c>
      <c r="G108" s="7">
        <f t="shared" si="6"/>
        <v>1</v>
      </c>
      <c r="H108" s="7">
        <f t="shared" si="6"/>
        <v>0</v>
      </c>
      <c r="I108" s="7">
        <f t="shared" si="6"/>
        <v>0</v>
      </c>
      <c r="J108" s="7">
        <f t="shared" si="6"/>
        <v>0</v>
      </c>
      <c r="K108" s="7">
        <f t="shared" si="6"/>
        <v>0</v>
      </c>
    </row>
    <row r="109" spans="1:11" x14ac:dyDescent="0.25">
      <c r="A109" s="4">
        <f t="shared" si="8"/>
        <v>2.0106000000000224</v>
      </c>
      <c r="B109" s="6"/>
      <c r="C109" s="5" t="s">
        <v>579</v>
      </c>
      <c r="D109" s="7"/>
      <c r="E109" s="7"/>
      <c r="F109" s="7" t="s">
        <v>5</v>
      </c>
      <c r="G109" s="7">
        <f t="shared" si="6"/>
        <v>1</v>
      </c>
      <c r="H109" s="7">
        <f t="shared" si="6"/>
        <v>0</v>
      </c>
      <c r="I109" s="7">
        <f t="shared" si="6"/>
        <v>0</v>
      </c>
      <c r="J109" s="7">
        <f t="shared" si="6"/>
        <v>0</v>
      </c>
      <c r="K109" s="7">
        <f t="shared" si="6"/>
        <v>0</v>
      </c>
    </row>
    <row r="110" spans="1:11" x14ac:dyDescent="0.25">
      <c r="A110" s="4">
        <f t="shared" si="8"/>
        <v>2.0107000000000226</v>
      </c>
      <c r="B110" s="6"/>
      <c r="C110" s="5"/>
      <c r="D110" s="7"/>
      <c r="E110" s="7"/>
      <c r="F110" s="7"/>
      <c r="G110" s="7"/>
      <c r="H110" s="7"/>
      <c r="I110" s="7"/>
      <c r="J110" s="7"/>
      <c r="K110" s="7"/>
    </row>
    <row r="111" spans="1:11" x14ac:dyDescent="0.25">
      <c r="A111" s="4">
        <f t="shared" si="8"/>
        <v>2.0108000000000228</v>
      </c>
      <c r="B111" s="6" t="s">
        <v>814</v>
      </c>
      <c r="C111" s="5" t="s">
        <v>590</v>
      </c>
      <c r="D111" s="7"/>
      <c r="E111" s="7"/>
      <c r="F111" s="7" t="s">
        <v>5</v>
      </c>
      <c r="G111" s="7">
        <f t="shared" ref="G111:J115" si="10">IF($F111=G$1,1,0)</f>
        <v>1</v>
      </c>
      <c r="H111" s="7">
        <f t="shared" si="10"/>
        <v>0</v>
      </c>
      <c r="I111" s="7">
        <f t="shared" si="10"/>
        <v>0</v>
      </c>
      <c r="J111" s="7">
        <f t="shared" si="10"/>
        <v>0</v>
      </c>
      <c r="K111" s="7"/>
    </row>
    <row r="112" spans="1:11" x14ac:dyDescent="0.25">
      <c r="A112" s="4">
        <f t="shared" si="8"/>
        <v>2.010900000000023</v>
      </c>
      <c r="B112" s="6"/>
      <c r="C112" s="5" t="s">
        <v>589</v>
      </c>
      <c r="D112" s="7"/>
      <c r="E112" s="7"/>
      <c r="F112" s="7" t="s">
        <v>5</v>
      </c>
      <c r="G112" s="7">
        <f t="shared" si="10"/>
        <v>1</v>
      </c>
      <c r="H112" s="7">
        <f t="shared" si="10"/>
        <v>0</v>
      </c>
      <c r="I112" s="7">
        <f t="shared" si="10"/>
        <v>0</v>
      </c>
      <c r="J112" s="7">
        <f t="shared" si="10"/>
        <v>0</v>
      </c>
      <c r="K112" s="7"/>
    </row>
    <row r="113" spans="1:11" x14ac:dyDescent="0.25">
      <c r="A113" s="4">
        <f t="shared" si="8"/>
        <v>2.0110000000000232</v>
      </c>
      <c r="B113" s="6"/>
      <c r="C113" s="5" t="s">
        <v>588</v>
      </c>
      <c r="D113" s="7"/>
      <c r="E113" s="7"/>
      <c r="F113" s="7" t="s">
        <v>5</v>
      </c>
      <c r="G113" s="7">
        <f t="shared" si="10"/>
        <v>1</v>
      </c>
      <c r="H113" s="7">
        <f t="shared" si="10"/>
        <v>0</v>
      </c>
      <c r="I113" s="7">
        <f t="shared" si="10"/>
        <v>0</v>
      </c>
      <c r="J113" s="7">
        <f t="shared" si="10"/>
        <v>0</v>
      </c>
      <c r="K113" s="7"/>
    </row>
    <row r="114" spans="1:11" x14ac:dyDescent="0.25">
      <c r="A114" s="4">
        <f t="shared" si="8"/>
        <v>2.0111000000000234</v>
      </c>
      <c r="B114" s="6"/>
      <c r="C114" s="5" t="s">
        <v>587</v>
      </c>
      <c r="D114" s="7"/>
      <c r="E114" s="7"/>
      <c r="F114" s="7" t="s">
        <v>5</v>
      </c>
      <c r="G114" s="7">
        <f t="shared" si="10"/>
        <v>1</v>
      </c>
      <c r="H114" s="7">
        <f t="shared" si="10"/>
        <v>0</v>
      </c>
      <c r="I114" s="7">
        <f t="shared" si="10"/>
        <v>0</v>
      </c>
      <c r="J114" s="7">
        <f t="shared" si="10"/>
        <v>0</v>
      </c>
      <c r="K114" s="7"/>
    </row>
    <row r="115" spans="1:11" ht="25.5" x14ac:dyDescent="0.25">
      <c r="A115" s="4">
        <f t="shared" si="8"/>
        <v>2.0112000000000236</v>
      </c>
      <c r="B115" s="5"/>
      <c r="C115" s="5" t="s">
        <v>586</v>
      </c>
      <c r="D115" s="7"/>
      <c r="E115" s="7"/>
      <c r="F115" s="7" t="s">
        <v>5</v>
      </c>
      <c r="G115" s="7">
        <f t="shared" si="10"/>
        <v>1</v>
      </c>
      <c r="H115" s="7">
        <f t="shared" si="10"/>
        <v>0</v>
      </c>
      <c r="I115" s="7">
        <f t="shared" si="10"/>
        <v>0</v>
      </c>
      <c r="J115" s="7">
        <f t="shared" si="10"/>
        <v>0</v>
      </c>
      <c r="K115" s="7"/>
    </row>
    <row r="116" spans="1:11" x14ac:dyDescent="0.25">
      <c r="A116" s="4">
        <f t="shared" si="8"/>
        <v>2.0113000000000238</v>
      </c>
      <c r="B116" s="5"/>
      <c r="C116" s="23"/>
      <c r="D116" s="7"/>
      <c r="E116" s="7"/>
      <c r="F116" s="7"/>
      <c r="G116" s="7"/>
      <c r="H116" s="7"/>
      <c r="I116" s="7"/>
      <c r="J116" s="7"/>
      <c r="K116" s="7"/>
    </row>
    <row r="117" spans="1:11" x14ac:dyDescent="0.25">
      <c r="A117" s="4">
        <f t="shared" si="8"/>
        <v>2.0114000000000241</v>
      </c>
      <c r="B117" s="120" t="s">
        <v>781</v>
      </c>
      <c r="C117" s="121"/>
      <c r="D117" s="7"/>
      <c r="E117" s="7"/>
      <c r="F117" s="7"/>
      <c r="G117" s="7"/>
      <c r="H117" s="7"/>
      <c r="I117" s="7"/>
      <c r="J117" s="7"/>
      <c r="K117" s="7"/>
    </row>
    <row r="118" spans="1:11" x14ac:dyDescent="0.25">
      <c r="A118" s="4">
        <f t="shared" si="8"/>
        <v>2.0115000000000243</v>
      </c>
      <c r="B118" s="16" t="s">
        <v>735</v>
      </c>
      <c r="C118" s="17"/>
      <c r="D118" s="16"/>
      <c r="E118" s="7"/>
      <c r="F118" s="7"/>
      <c r="G118" s="7"/>
      <c r="H118" s="7"/>
      <c r="I118" s="7"/>
      <c r="J118" s="7"/>
      <c r="K118" s="7"/>
    </row>
    <row r="119" spans="1:11" ht="38.25" x14ac:dyDescent="0.25">
      <c r="A119" s="4">
        <f t="shared" si="8"/>
        <v>2.0116000000000245</v>
      </c>
      <c r="B119" s="5" t="s">
        <v>693</v>
      </c>
      <c r="C119" s="5" t="s">
        <v>598</v>
      </c>
      <c r="D119" s="6" t="s">
        <v>694</v>
      </c>
      <c r="E119" s="7"/>
      <c r="F119" s="7" t="s">
        <v>5</v>
      </c>
      <c r="G119" s="7">
        <f t="shared" ref="G119:K127" si="11">IF($F119=G$1,1,0)</f>
        <v>1</v>
      </c>
      <c r="H119" s="7">
        <f t="shared" si="11"/>
        <v>0</v>
      </c>
      <c r="I119" s="7">
        <f t="shared" si="11"/>
        <v>0</v>
      </c>
      <c r="J119" s="7">
        <f t="shared" si="11"/>
        <v>0</v>
      </c>
      <c r="K119" s="7">
        <f t="shared" si="11"/>
        <v>0</v>
      </c>
    </row>
    <row r="120" spans="1:11" ht="38.25" x14ac:dyDescent="0.25">
      <c r="A120" s="4">
        <f t="shared" si="8"/>
        <v>2.0117000000000247</v>
      </c>
      <c r="B120" s="5" t="s">
        <v>599</v>
      </c>
      <c r="C120" s="5" t="s">
        <v>695</v>
      </c>
      <c r="D120" s="6" t="s">
        <v>737</v>
      </c>
      <c r="E120" s="7"/>
      <c r="F120" s="7" t="s">
        <v>5</v>
      </c>
      <c r="G120" s="7">
        <f t="shared" si="11"/>
        <v>1</v>
      </c>
      <c r="H120" s="7">
        <f t="shared" si="11"/>
        <v>0</v>
      </c>
      <c r="I120" s="7">
        <f t="shared" si="11"/>
        <v>0</v>
      </c>
      <c r="J120" s="7">
        <f t="shared" si="11"/>
        <v>0</v>
      </c>
      <c r="K120" s="7">
        <f t="shared" si="11"/>
        <v>0</v>
      </c>
    </row>
    <row r="121" spans="1:11" x14ac:dyDescent="0.25">
      <c r="A121" s="4">
        <f t="shared" si="8"/>
        <v>2.0118000000000249</v>
      </c>
      <c r="B121" s="5" t="s">
        <v>482</v>
      </c>
      <c r="C121" s="5" t="s">
        <v>600</v>
      </c>
      <c r="D121" s="6"/>
      <c r="E121" s="7"/>
      <c r="F121" s="7" t="s">
        <v>5</v>
      </c>
      <c r="G121" s="7">
        <f t="shared" si="11"/>
        <v>1</v>
      </c>
      <c r="H121" s="7">
        <f t="shared" si="11"/>
        <v>0</v>
      </c>
      <c r="I121" s="7">
        <f t="shared" si="11"/>
        <v>0</v>
      </c>
      <c r="J121" s="7">
        <f t="shared" si="11"/>
        <v>0</v>
      </c>
      <c r="K121" s="7">
        <f t="shared" si="11"/>
        <v>0</v>
      </c>
    </row>
    <row r="122" spans="1:11" ht="25.5" x14ac:dyDescent="0.25">
      <c r="A122" s="4">
        <f t="shared" si="8"/>
        <v>2.0119000000000251</v>
      </c>
      <c r="B122" s="5" t="s">
        <v>736</v>
      </c>
      <c r="C122" s="5" t="s">
        <v>598</v>
      </c>
      <c r="D122" s="6"/>
      <c r="E122" s="7"/>
      <c r="F122" s="7" t="s">
        <v>5</v>
      </c>
      <c r="G122" s="7">
        <f t="shared" si="11"/>
        <v>1</v>
      </c>
      <c r="H122" s="7">
        <f t="shared" si="11"/>
        <v>0</v>
      </c>
      <c r="I122" s="7">
        <f t="shared" si="11"/>
        <v>0</v>
      </c>
      <c r="J122" s="7">
        <f t="shared" si="11"/>
        <v>0</v>
      </c>
      <c r="K122" s="7">
        <f t="shared" si="11"/>
        <v>0</v>
      </c>
    </row>
    <row r="123" spans="1:11" x14ac:dyDescent="0.25">
      <c r="A123" s="4">
        <f t="shared" si="8"/>
        <v>2.0120000000000253</v>
      </c>
      <c r="B123" s="5" t="s">
        <v>599</v>
      </c>
      <c r="C123" s="5" t="s">
        <v>697</v>
      </c>
      <c r="D123" s="6"/>
      <c r="E123" s="7"/>
      <c r="F123" s="7" t="s">
        <v>5</v>
      </c>
      <c r="G123" s="7">
        <f t="shared" si="11"/>
        <v>1</v>
      </c>
      <c r="H123" s="7">
        <f t="shared" si="11"/>
        <v>0</v>
      </c>
      <c r="I123" s="7">
        <f t="shared" si="11"/>
        <v>0</v>
      </c>
      <c r="J123" s="7">
        <f t="shared" si="11"/>
        <v>0</v>
      </c>
      <c r="K123" s="7">
        <f t="shared" si="11"/>
        <v>0</v>
      </c>
    </row>
    <row r="124" spans="1:11" x14ac:dyDescent="0.25">
      <c r="A124" s="4">
        <f t="shared" si="8"/>
        <v>2.0121000000000255</v>
      </c>
      <c r="B124" s="5" t="s">
        <v>482</v>
      </c>
      <c r="C124" s="5" t="s">
        <v>600</v>
      </c>
      <c r="D124" s="6"/>
      <c r="E124" s="7"/>
      <c r="F124" s="7" t="s">
        <v>5</v>
      </c>
      <c r="G124" s="7">
        <f t="shared" si="11"/>
        <v>1</v>
      </c>
      <c r="H124" s="7">
        <f t="shared" si="11"/>
        <v>0</v>
      </c>
      <c r="I124" s="7">
        <f t="shared" si="11"/>
        <v>0</v>
      </c>
      <c r="J124" s="7">
        <f t="shared" si="11"/>
        <v>0</v>
      </c>
      <c r="K124" s="7">
        <f t="shared" si="11"/>
        <v>0</v>
      </c>
    </row>
    <row r="125" spans="1:11" x14ac:dyDescent="0.25">
      <c r="A125" s="4">
        <f t="shared" si="8"/>
        <v>2.0122000000000257</v>
      </c>
      <c r="B125" s="122" t="s">
        <v>783</v>
      </c>
      <c r="C125" s="121"/>
      <c r="D125" s="125"/>
      <c r="E125" s="7"/>
      <c r="F125" s="7" t="s">
        <v>5</v>
      </c>
      <c r="G125" s="7">
        <f t="shared" si="11"/>
        <v>1</v>
      </c>
      <c r="H125" s="7">
        <f t="shared" si="11"/>
        <v>0</v>
      </c>
      <c r="I125" s="7">
        <f t="shared" si="11"/>
        <v>0</v>
      </c>
      <c r="J125" s="7">
        <f t="shared" si="11"/>
        <v>0</v>
      </c>
      <c r="K125" s="7">
        <f t="shared" si="11"/>
        <v>0</v>
      </c>
    </row>
    <row r="126" spans="1:11" x14ac:dyDescent="0.25">
      <c r="A126" s="4">
        <f t="shared" si="8"/>
        <v>2.012300000000026</v>
      </c>
      <c r="B126" s="110" t="s">
        <v>771</v>
      </c>
      <c r="C126" s="111" t="s">
        <v>772</v>
      </c>
      <c r="D126" s="17"/>
      <c r="E126" s="7"/>
      <c r="F126" s="7"/>
      <c r="G126" s="7"/>
      <c r="H126" s="7"/>
      <c r="I126" s="7"/>
      <c r="J126" s="7"/>
      <c r="K126" s="7"/>
    </row>
    <row r="127" spans="1:11" x14ac:dyDescent="0.25">
      <c r="A127" s="4">
        <f t="shared" si="8"/>
        <v>2.0124000000000262</v>
      </c>
      <c r="B127" s="66" t="s">
        <v>726</v>
      </c>
      <c r="C127" s="22" t="s">
        <v>727</v>
      </c>
      <c r="D127" s="115"/>
      <c r="E127" s="7"/>
      <c r="F127" s="7" t="s">
        <v>5</v>
      </c>
      <c r="G127" s="7">
        <f t="shared" si="11"/>
        <v>1</v>
      </c>
      <c r="H127" s="7">
        <f t="shared" si="11"/>
        <v>0</v>
      </c>
      <c r="I127" s="7">
        <f t="shared" si="11"/>
        <v>0</v>
      </c>
      <c r="J127" s="7">
        <f t="shared" si="11"/>
        <v>0</v>
      </c>
      <c r="K127" s="7">
        <f t="shared" si="11"/>
        <v>0</v>
      </c>
    </row>
    <row r="128" spans="1:11" x14ac:dyDescent="0.25">
      <c r="A128" s="4">
        <f t="shared" si="8"/>
        <v>2.0125000000000264</v>
      </c>
      <c r="B128" s="5"/>
      <c r="C128" s="23"/>
      <c r="D128" s="115"/>
      <c r="E128" s="7"/>
      <c r="F128" s="7"/>
      <c r="G128" s="7"/>
      <c r="H128" s="7"/>
      <c r="I128" s="7"/>
      <c r="J128" s="7"/>
      <c r="K128" s="7"/>
    </row>
    <row r="129" spans="1:11" ht="38.25" x14ac:dyDescent="0.25">
      <c r="A129" s="4">
        <f t="shared" si="8"/>
        <v>2.0126000000000266</v>
      </c>
      <c r="B129" s="123" t="s">
        <v>725</v>
      </c>
      <c r="C129" s="124" t="s">
        <v>773</v>
      </c>
      <c r="D129" s="115"/>
      <c r="E129" s="7"/>
      <c r="F129" s="7" t="s">
        <v>5</v>
      </c>
      <c r="G129" s="7">
        <f t="shared" ref="G129:K138" si="12">IF($F129=G$1,1,0)</f>
        <v>1</v>
      </c>
      <c r="H129" s="7">
        <f t="shared" si="12"/>
        <v>0</v>
      </c>
      <c r="I129" s="7">
        <f t="shared" si="12"/>
        <v>0</v>
      </c>
      <c r="J129" s="7">
        <f t="shared" si="12"/>
        <v>0</v>
      </c>
      <c r="K129" s="7">
        <f t="shared" si="12"/>
        <v>0</v>
      </c>
    </row>
    <row r="130" spans="1:11" x14ac:dyDescent="0.25">
      <c r="A130" s="4">
        <f t="shared" si="8"/>
        <v>2.0127000000000268</v>
      </c>
      <c r="B130" s="66"/>
      <c r="C130" s="22"/>
      <c r="D130" s="115"/>
      <c r="E130" s="7"/>
      <c r="F130" s="7"/>
      <c r="G130" s="7"/>
      <c r="H130" s="7"/>
      <c r="I130" s="7"/>
      <c r="J130" s="7"/>
      <c r="K130" s="7"/>
    </row>
    <row r="131" spans="1:11" x14ac:dyDescent="0.25">
      <c r="A131" s="4">
        <f t="shared" si="8"/>
        <v>2.012800000000027</v>
      </c>
      <c r="B131" s="5" t="s">
        <v>729</v>
      </c>
      <c r="C131" s="23" t="s">
        <v>730</v>
      </c>
      <c r="D131" s="115"/>
      <c r="E131" s="7"/>
      <c r="F131" s="7" t="s">
        <v>5</v>
      </c>
      <c r="G131" s="7">
        <f t="shared" si="12"/>
        <v>1</v>
      </c>
      <c r="H131" s="7">
        <f t="shared" si="12"/>
        <v>0</v>
      </c>
      <c r="I131" s="7">
        <f t="shared" si="12"/>
        <v>0</v>
      </c>
      <c r="J131" s="7">
        <f t="shared" si="12"/>
        <v>0</v>
      </c>
      <c r="K131" s="7">
        <f t="shared" si="12"/>
        <v>0</v>
      </c>
    </row>
    <row r="132" spans="1:11" x14ac:dyDescent="0.25">
      <c r="A132" s="4">
        <f t="shared" ref="A132:A195" si="13">A131+0.0001</f>
        <v>2.0129000000000272</v>
      </c>
      <c r="B132" s="5" t="s">
        <v>748</v>
      </c>
      <c r="C132" s="23" t="s">
        <v>749</v>
      </c>
      <c r="D132" s="115"/>
      <c r="E132" s="7"/>
      <c r="F132" s="7" t="s">
        <v>5</v>
      </c>
      <c r="G132" s="7">
        <f t="shared" si="12"/>
        <v>1</v>
      </c>
      <c r="H132" s="7">
        <f t="shared" si="12"/>
        <v>0</v>
      </c>
      <c r="I132" s="7">
        <f t="shared" si="12"/>
        <v>0</v>
      </c>
      <c r="J132" s="7">
        <f t="shared" si="12"/>
        <v>0</v>
      </c>
      <c r="K132" s="7">
        <f t="shared" si="12"/>
        <v>0</v>
      </c>
    </row>
    <row r="133" spans="1:11" x14ac:dyDescent="0.25">
      <c r="A133" s="4">
        <f t="shared" si="13"/>
        <v>2.0130000000000274</v>
      </c>
      <c r="B133" s="5" t="s">
        <v>731</v>
      </c>
      <c r="C133" s="23" t="s">
        <v>801</v>
      </c>
      <c r="D133" s="115"/>
      <c r="E133" s="7"/>
      <c r="F133" s="7" t="s">
        <v>5</v>
      </c>
      <c r="G133" s="7">
        <f t="shared" si="12"/>
        <v>1</v>
      </c>
      <c r="H133" s="7">
        <f t="shared" si="12"/>
        <v>0</v>
      </c>
      <c r="I133" s="7">
        <f t="shared" si="12"/>
        <v>0</v>
      </c>
      <c r="J133" s="7">
        <f t="shared" si="12"/>
        <v>0</v>
      </c>
      <c r="K133" s="7">
        <f t="shared" si="12"/>
        <v>0</v>
      </c>
    </row>
    <row r="134" spans="1:11" x14ac:dyDescent="0.25">
      <c r="A134" s="4">
        <f t="shared" si="13"/>
        <v>2.0131000000000276</v>
      </c>
      <c r="B134" s="5" t="s">
        <v>489</v>
      </c>
      <c r="C134" s="22" t="s">
        <v>490</v>
      </c>
      <c r="D134" s="115"/>
      <c r="E134" s="7"/>
      <c r="F134" s="7" t="s">
        <v>5</v>
      </c>
      <c r="G134" s="7">
        <f t="shared" si="12"/>
        <v>1</v>
      </c>
      <c r="H134" s="7">
        <f t="shared" si="12"/>
        <v>0</v>
      </c>
      <c r="I134" s="7">
        <f t="shared" si="12"/>
        <v>0</v>
      </c>
      <c r="J134" s="7">
        <f t="shared" si="12"/>
        <v>0</v>
      </c>
      <c r="K134" s="7">
        <f t="shared" si="12"/>
        <v>0</v>
      </c>
    </row>
    <row r="135" spans="1:11" x14ac:dyDescent="0.25">
      <c r="A135" s="4">
        <f t="shared" si="13"/>
        <v>2.0132000000000279</v>
      </c>
      <c r="B135" s="5" t="s">
        <v>491</v>
      </c>
      <c r="C135" s="23" t="s">
        <v>750</v>
      </c>
      <c r="D135" s="115"/>
      <c r="E135" s="7"/>
      <c r="F135" s="7" t="s">
        <v>5</v>
      </c>
      <c r="G135" s="7">
        <f t="shared" si="12"/>
        <v>1</v>
      </c>
      <c r="H135" s="7">
        <f t="shared" si="12"/>
        <v>0</v>
      </c>
      <c r="I135" s="7">
        <f t="shared" si="12"/>
        <v>0</v>
      </c>
      <c r="J135" s="7">
        <f t="shared" si="12"/>
        <v>0</v>
      </c>
      <c r="K135" s="7">
        <f t="shared" si="12"/>
        <v>0</v>
      </c>
    </row>
    <row r="136" spans="1:11" x14ac:dyDescent="0.25">
      <c r="A136" s="4">
        <f t="shared" si="13"/>
        <v>2.0133000000000281</v>
      </c>
      <c r="B136" s="5" t="s">
        <v>553</v>
      </c>
      <c r="C136" s="22" t="s">
        <v>492</v>
      </c>
      <c r="D136" s="6"/>
      <c r="E136" s="7"/>
      <c r="F136" s="7" t="s">
        <v>5</v>
      </c>
      <c r="G136" s="7">
        <f t="shared" si="12"/>
        <v>1</v>
      </c>
      <c r="H136" s="7">
        <f t="shared" si="12"/>
        <v>0</v>
      </c>
      <c r="I136" s="7">
        <f t="shared" si="12"/>
        <v>0</v>
      </c>
      <c r="J136" s="7">
        <f t="shared" si="12"/>
        <v>0</v>
      </c>
      <c r="K136" s="7">
        <f t="shared" si="12"/>
        <v>0</v>
      </c>
    </row>
    <row r="137" spans="1:11" x14ac:dyDescent="0.25">
      <c r="A137" s="4">
        <f t="shared" si="13"/>
        <v>2.0134000000000283</v>
      </c>
      <c r="B137" s="5"/>
      <c r="C137" s="22" t="s">
        <v>493</v>
      </c>
      <c r="D137" s="6"/>
      <c r="E137" s="7"/>
      <c r="F137" s="7" t="s">
        <v>5</v>
      </c>
      <c r="G137" s="7">
        <f t="shared" si="12"/>
        <v>1</v>
      </c>
      <c r="H137" s="7">
        <f t="shared" si="12"/>
        <v>0</v>
      </c>
      <c r="I137" s="7">
        <f t="shared" si="12"/>
        <v>0</v>
      </c>
      <c r="J137" s="7">
        <f t="shared" si="12"/>
        <v>0</v>
      </c>
      <c r="K137" s="7">
        <f t="shared" si="12"/>
        <v>0</v>
      </c>
    </row>
    <row r="138" spans="1:11" ht="25.5" x14ac:dyDescent="0.25">
      <c r="A138" s="4">
        <f t="shared" si="13"/>
        <v>2.0135000000000285</v>
      </c>
      <c r="B138" s="5" t="s">
        <v>482</v>
      </c>
      <c r="C138" s="94" t="s">
        <v>751</v>
      </c>
      <c r="D138" s="6"/>
      <c r="E138" s="7"/>
      <c r="F138" s="7" t="s">
        <v>5</v>
      </c>
      <c r="G138" s="7">
        <f t="shared" si="12"/>
        <v>1</v>
      </c>
      <c r="H138" s="7">
        <f t="shared" si="12"/>
        <v>0</v>
      </c>
      <c r="I138" s="7">
        <f t="shared" si="12"/>
        <v>0</v>
      </c>
      <c r="J138" s="7">
        <f t="shared" si="12"/>
        <v>0</v>
      </c>
      <c r="K138" s="7">
        <f t="shared" si="12"/>
        <v>0</v>
      </c>
    </row>
    <row r="139" spans="1:11" x14ac:dyDescent="0.25">
      <c r="A139" s="4">
        <f t="shared" si="13"/>
        <v>2.0136000000000287</v>
      </c>
      <c r="B139" s="5"/>
      <c r="C139" s="5"/>
      <c r="D139" s="6"/>
      <c r="E139" s="7"/>
      <c r="F139" s="7"/>
      <c r="G139" s="7"/>
      <c r="H139" s="7"/>
      <c r="I139" s="7"/>
      <c r="J139" s="7"/>
      <c r="K139" s="7"/>
    </row>
    <row r="140" spans="1:11" x14ac:dyDescent="0.25">
      <c r="A140" s="4">
        <f t="shared" si="13"/>
        <v>2.0137000000000289</v>
      </c>
      <c r="B140" s="126" t="s">
        <v>767</v>
      </c>
      <c r="C140" s="127" t="s">
        <v>769</v>
      </c>
      <c r="D140" s="128"/>
      <c r="E140" s="7"/>
      <c r="F140" s="7" t="s">
        <v>5</v>
      </c>
      <c r="G140" s="7">
        <f t="shared" ref="G140:K141" si="14">IF($F140=G$1,1,0)</f>
        <v>1</v>
      </c>
      <c r="H140" s="7">
        <f t="shared" si="14"/>
        <v>0</v>
      </c>
      <c r="I140" s="7">
        <f t="shared" si="14"/>
        <v>0</v>
      </c>
      <c r="J140" s="7">
        <f t="shared" si="14"/>
        <v>0</v>
      </c>
      <c r="K140" s="7">
        <f t="shared" si="14"/>
        <v>0</v>
      </c>
    </row>
    <row r="141" spans="1:11" x14ac:dyDescent="0.25">
      <c r="A141" s="4">
        <f t="shared" si="13"/>
        <v>2.0138000000000291</v>
      </c>
      <c r="B141" s="126" t="s">
        <v>768</v>
      </c>
      <c r="C141" s="127" t="s">
        <v>770</v>
      </c>
      <c r="D141" s="128"/>
      <c r="E141" s="7"/>
      <c r="F141" s="7" t="s">
        <v>5</v>
      </c>
      <c r="G141" s="7">
        <f t="shared" si="14"/>
        <v>1</v>
      </c>
      <c r="H141" s="7">
        <f t="shared" si="14"/>
        <v>0</v>
      </c>
      <c r="I141" s="7">
        <f t="shared" si="14"/>
        <v>0</v>
      </c>
      <c r="J141" s="7">
        <f t="shared" si="14"/>
        <v>0</v>
      </c>
      <c r="K141" s="7">
        <f t="shared" si="14"/>
        <v>0</v>
      </c>
    </row>
    <row r="142" spans="1:11" x14ac:dyDescent="0.25">
      <c r="A142" s="4">
        <f t="shared" si="13"/>
        <v>2.0139000000000293</v>
      </c>
      <c r="B142" s="129"/>
      <c r="C142" s="130"/>
      <c r="D142" s="131"/>
      <c r="E142" s="7"/>
      <c r="F142" s="7"/>
      <c r="G142" s="7"/>
      <c r="H142" s="7"/>
      <c r="I142" s="7"/>
      <c r="J142" s="7"/>
      <c r="K142" s="7"/>
    </row>
    <row r="143" spans="1:11" x14ac:dyDescent="0.25">
      <c r="A143" s="4">
        <f t="shared" si="13"/>
        <v>2.0140000000000295</v>
      </c>
      <c r="B143" s="122" t="s">
        <v>783</v>
      </c>
      <c r="C143" s="121"/>
      <c r="D143" s="125"/>
      <c r="E143" s="7"/>
      <c r="F143" s="7" t="s">
        <v>5</v>
      </c>
      <c r="G143" s="7">
        <f t="shared" ref="G143:K143" si="15">IF($F143=G$1,1,0)</f>
        <v>1</v>
      </c>
      <c r="H143" s="7">
        <f t="shared" si="15"/>
        <v>0</v>
      </c>
      <c r="I143" s="7">
        <f t="shared" si="15"/>
        <v>0</v>
      </c>
      <c r="J143" s="7">
        <f t="shared" si="15"/>
        <v>0</v>
      </c>
      <c r="K143" s="7">
        <f t="shared" si="15"/>
        <v>0</v>
      </c>
    </row>
    <row r="144" spans="1:11" x14ac:dyDescent="0.25">
      <c r="A144" s="4">
        <f t="shared" si="13"/>
        <v>2.0141000000000298</v>
      </c>
      <c r="B144" s="110" t="s">
        <v>771</v>
      </c>
      <c r="C144" s="111" t="s">
        <v>775</v>
      </c>
      <c r="D144" s="17"/>
      <c r="E144" s="7"/>
      <c r="F144" s="7"/>
      <c r="G144" s="7"/>
      <c r="H144" s="7"/>
      <c r="I144" s="7"/>
      <c r="J144" s="7"/>
      <c r="K144" s="7"/>
    </row>
    <row r="145" spans="1:11" x14ac:dyDescent="0.25">
      <c r="A145" s="4">
        <f t="shared" si="13"/>
        <v>2.01420000000003</v>
      </c>
      <c r="B145" s="66" t="s">
        <v>726</v>
      </c>
      <c r="C145" s="22" t="s">
        <v>727</v>
      </c>
      <c r="D145" s="115"/>
      <c r="E145" s="7"/>
      <c r="F145" s="7" t="s">
        <v>5</v>
      </c>
      <c r="G145" s="7">
        <f t="shared" ref="G145:K145" si="16">IF($F145=G$1,1,0)</f>
        <v>1</v>
      </c>
      <c r="H145" s="7">
        <f t="shared" si="16"/>
        <v>0</v>
      </c>
      <c r="I145" s="7">
        <f t="shared" si="16"/>
        <v>0</v>
      </c>
      <c r="J145" s="7">
        <f t="shared" si="16"/>
        <v>0</v>
      </c>
      <c r="K145" s="7">
        <f t="shared" si="16"/>
        <v>0</v>
      </c>
    </row>
    <row r="146" spans="1:11" x14ac:dyDescent="0.25">
      <c r="A146" s="4">
        <f t="shared" si="13"/>
        <v>2.0143000000000302</v>
      </c>
      <c r="B146" s="5"/>
      <c r="C146" s="23"/>
      <c r="D146" s="115"/>
      <c r="E146" s="7"/>
      <c r="F146" s="7"/>
      <c r="G146" s="7"/>
      <c r="H146" s="7"/>
      <c r="I146" s="7"/>
      <c r="J146" s="7"/>
      <c r="K146" s="7"/>
    </row>
    <row r="147" spans="1:11" ht="38.25" x14ac:dyDescent="0.25">
      <c r="A147" s="4">
        <f t="shared" si="13"/>
        <v>2.0144000000000304</v>
      </c>
      <c r="B147" s="123" t="s">
        <v>725</v>
      </c>
      <c r="C147" s="124" t="s">
        <v>774</v>
      </c>
      <c r="D147" s="115"/>
      <c r="E147" s="7"/>
      <c r="F147" s="7" t="s">
        <v>5</v>
      </c>
      <c r="G147" s="7">
        <f t="shared" ref="G147:K147" si="17">IF($F147=G$1,1,0)</f>
        <v>1</v>
      </c>
      <c r="H147" s="7">
        <f t="shared" si="17"/>
        <v>0</v>
      </c>
      <c r="I147" s="7">
        <f t="shared" si="17"/>
        <v>0</v>
      </c>
      <c r="J147" s="7">
        <f t="shared" si="17"/>
        <v>0</v>
      </c>
      <c r="K147" s="7">
        <f t="shared" si="17"/>
        <v>0</v>
      </c>
    </row>
    <row r="148" spans="1:11" x14ac:dyDescent="0.25">
      <c r="A148" s="4">
        <f t="shared" si="13"/>
        <v>2.0145000000000306</v>
      </c>
      <c r="B148" s="66" t="s">
        <v>799</v>
      </c>
      <c r="C148" s="22" t="s">
        <v>800</v>
      </c>
      <c r="D148" s="115"/>
      <c r="E148" s="7"/>
      <c r="F148" s="7" t="s">
        <v>5</v>
      </c>
      <c r="G148" s="7"/>
      <c r="H148" s="7"/>
      <c r="I148" s="7"/>
      <c r="J148" s="7"/>
      <c r="K148" s="7"/>
    </row>
    <row r="149" spans="1:11" x14ac:dyDescent="0.25">
      <c r="A149" s="4">
        <f t="shared" si="13"/>
        <v>2.0146000000000308</v>
      </c>
      <c r="B149" s="5" t="s">
        <v>729</v>
      </c>
      <c r="C149" s="23" t="s">
        <v>730</v>
      </c>
      <c r="D149" s="115"/>
      <c r="E149" s="7"/>
      <c r="F149" s="7" t="s">
        <v>5</v>
      </c>
      <c r="G149" s="7">
        <f t="shared" ref="G149:K156" si="18">IF($F149=G$1,1,0)</f>
        <v>1</v>
      </c>
      <c r="H149" s="7">
        <f t="shared" si="18"/>
        <v>0</v>
      </c>
      <c r="I149" s="7">
        <f t="shared" si="18"/>
        <v>0</v>
      </c>
      <c r="J149" s="7">
        <f t="shared" si="18"/>
        <v>0</v>
      </c>
      <c r="K149" s="7">
        <f t="shared" si="18"/>
        <v>0</v>
      </c>
    </row>
    <row r="150" spans="1:11" x14ac:dyDescent="0.25">
      <c r="A150" s="4">
        <f t="shared" si="13"/>
        <v>2.014700000000031</v>
      </c>
      <c r="B150" s="5" t="s">
        <v>748</v>
      </c>
      <c r="C150" s="23" t="s">
        <v>749</v>
      </c>
      <c r="D150" s="115"/>
      <c r="E150" s="7"/>
      <c r="F150" s="7" t="s">
        <v>5</v>
      </c>
      <c r="G150" s="7">
        <f t="shared" si="18"/>
        <v>1</v>
      </c>
      <c r="H150" s="7">
        <f t="shared" si="18"/>
        <v>0</v>
      </c>
      <c r="I150" s="7">
        <f t="shared" si="18"/>
        <v>0</v>
      </c>
      <c r="J150" s="7">
        <f t="shared" si="18"/>
        <v>0</v>
      </c>
      <c r="K150" s="7">
        <f t="shared" si="18"/>
        <v>0</v>
      </c>
    </row>
    <row r="151" spans="1:11" x14ac:dyDescent="0.25">
      <c r="A151" s="4">
        <f t="shared" si="13"/>
        <v>2.0148000000000312</v>
      </c>
      <c r="B151" s="5" t="s">
        <v>731</v>
      </c>
      <c r="C151" s="23" t="s">
        <v>784</v>
      </c>
      <c r="D151" s="115"/>
      <c r="E151" s="7"/>
      <c r="F151" s="7" t="s">
        <v>5</v>
      </c>
      <c r="G151" s="7">
        <f t="shared" si="18"/>
        <v>1</v>
      </c>
      <c r="H151" s="7">
        <f t="shared" si="18"/>
        <v>0</v>
      </c>
      <c r="I151" s="7">
        <f t="shared" si="18"/>
        <v>0</v>
      </c>
      <c r="J151" s="7">
        <f t="shared" si="18"/>
        <v>0</v>
      </c>
      <c r="K151" s="7">
        <f t="shared" si="18"/>
        <v>0</v>
      </c>
    </row>
    <row r="152" spans="1:11" x14ac:dyDescent="0.25">
      <c r="A152" s="4">
        <f t="shared" si="13"/>
        <v>2.0149000000000314</v>
      </c>
      <c r="B152" s="5" t="s">
        <v>489</v>
      </c>
      <c r="C152" s="22" t="s">
        <v>490</v>
      </c>
      <c r="D152" s="115"/>
      <c r="E152" s="7"/>
      <c r="F152" s="7" t="s">
        <v>5</v>
      </c>
      <c r="G152" s="7">
        <f t="shared" si="18"/>
        <v>1</v>
      </c>
      <c r="H152" s="7">
        <f t="shared" si="18"/>
        <v>0</v>
      </c>
      <c r="I152" s="7">
        <f t="shared" si="18"/>
        <v>0</v>
      </c>
      <c r="J152" s="7">
        <f t="shared" si="18"/>
        <v>0</v>
      </c>
      <c r="K152" s="7">
        <f t="shared" si="18"/>
        <v>0</v>
      </c>
    </row>
    <row r="153" spans="1:11" x14ac:dyDescent="0.25">
      <c r="A153" s="4">
        <f t="shared" si="13"/>
        <v>2.0150000000000317</v>
      </c>
      <c r="B153" s="5" t="s">
        <v>491</v>
      </c>
      <c r="C153" s="23" t="s">
        <v>750</v>
      </c>
      <c r="D153" s="115"/>
      <c r="E153" s="7"/>
      <c r="F153" s="7" t="s">
        <v>5</v>
      </c>
      <c r="G153" s="7">
        <f t="shared" si="18"/>
        <v>1</v>
      </c>
      <c r="H153" s="7">
        <f t="shared" si="18"/>
        <v>0</v>
      </c>
      <c r="I153" s="7">
        <f t="shared" si="18"/>
        <v>0</v>
      </c>
      <c r="J153" s="7">
        <f t="shared" si="18"/>
        <v>0</v>
      </c>
      <c r="K153" s="7">
        <f t="shared" si="18"/>
        <v>0</v>
      </c>
    </row>
    <row r="154" spans="1:11" x14ac:dyDescent="0.25">
      <c r="A154" s="4">
        <f t="shared" si="13"/>
        <v>2.0151000000000319</v>
      </c>
      <c r="B154" s="5" t="s">
        <v>553</v>
      </c>
      <c r="C154" s="22" t="s">
        <v>492</v>
      </c>
      <c r="D154" s="6"/>
      <c r="E154" s="7"/>
      <c r="F154" s="7" t="s">
        <v>5</v>
      </c>
      <c r="G154" s="7">
        <f t="shared" si="18"/>
        <v>1</v>
      </c>
      <c r="H154" s="7">
        <f t="shared" si="18"/>
        <v>0</v>
      </c>
      <c r="I154" s="7">
        <f t="shared" si="18"/>
        <v>0</v>
      </c>
      <c r="J154" s="7">
        <f t="shared" si="18"/>
        <v>0</v>
      </c>
      <c r="K154" s="7">
        <f t="shared" si="18"/>
        <v>0</v>
      </c>
    </row>
    <row r="155" spans="1:11" x14ac:dyDescent="0.25">
      <c r="A155" s="4">
        <f t="shared" si="13"/>
        <v>2.0152000000000321</v>
      </c>
      <c r="B155" s="5"/>
      <c r="C155" s="22" t="s">
        <v>493</v>
      </c>
      <c r="D155" s="6"/>
      <c r="E155" s="7"/>
      <c r="F155" s="7" t="s">
        <v>5</v>
      </c>
      <c r="G155" s="7">
        <f t="shared" si="18"/>
        <v>1</v>
      </c>
      <c r="H155" s="7">
        <f t="shared" si="18"/>
        <v>0</v>
      </c>
      <c r="I155" s="7">
        <f t="shared" si="18"/>
        <v>0</v>
      </c>
      <c r="J155" s="7">
        <f t="shared" si="18"/>
        <v>0</v>
      </c>
      <c r="K155" s="7">
        <f t="shared" si="18"/>
        <v>0</v>
      </c>
    </row>
    <row r="156" spans="1:11" ht="25.5" x14ac:dyDescent="0.25">
      <c r="A156" s="4">
        <f t="shared" si="13"/>
        <v>2.0153000000000323</v>
      </c>
      <c r="B156" s="5" t="s">
        <v>482</v>
      </c>
      <c r="C156" s="94" t="s">
        <v>751</v>
      </c>
      <c r="D156" s="6"/>
      <c r="E156" s="7"/>
      <c r="F156" s="7" t="s">
        <v>5</v>
      </c>
      <c r="G156" s="7">
        <f t="shared" si="18"/>
        <v>1</v>
      </c>
      <c r="H156" s="7">
        <f t="shared" si="18"/>
        <v>0</v>
      </c>
      <c r="I156" s="7">
        <f t="shared" si="18"/>
        <v>0</v>
      </c>
      <c r="J156" s="7">
        <f t="shared" si="18"/>
        <v>0</v>
      </c>
      <c r="K156" s="7">
        <f t="shared" si="18"/>
        <v>0</v>
      </c>
    </row>
    <row r="157" spans="1:11" x14ac:dyDescent="0.25">
      <c r="A157" s="4">
        <f t="shared" si="13"/>
        <v>2.0154000000000325</v>
      </c>
      <c r="B157" s="5"/>
      <c r="C157" s="5"/>
      <c r="D157" s="6"/>
      <c r="E157" s="7"/>
      <c r="F157" s="7"/>
      <c r="G157" s="7"/>
      <c r="H157" s="7"/>
      <c r="I157" s="7"/>
      <c r="J157" s="7"/>
      <c r="K157" s="7"/>
    </row>
    <row r="158" spans="1:11" x14ac:dyDescent="0.25">
      <c r="A158" s="4">
        <f t="shared" si="13"/>
        <v>2.0155000000000327</v>
      </c>
      <c r="B158" s="126" t="s">
        <v>767</v>
      </c>
      <c r="C158" s="127" t="s">
        <v>769</v>
      </c>
      <c r="D158" s="128"/>
      <c r="E158" s="7"/>
      <c r="F158" s="7" t="s">
        <v>5</v>
      </c>
      <c r="G158" s="7">
        <f t="shared" ref="G158:K159" si="19">IF($F158=G$1,1,0)</f>
        <v>1</v>
      </c>
      <c r="H158" s="7">
        <f t="shared" si="19"/>
        <v>0</v>
      </c>
      <c r="I158" s="7">
        <f t="shared" si="19"/>
        <v>0</v>
      </c>
      <c r="J158" s="7">
        <f t="shared" si="19"/>
        <v>0</v>
      </c>
      <c r="K158" s="7">
        <f t="shared" si="19"/>
        <v>0</v>
      </c>
    </row>
    <row r="159" spans="1:11" x14ac:dyDescent="0.25">
      <c r="A159" s="4">
        <f t="shared" si="13"/>
        <v>2.0156000000000329</v>
      </c>
      <c r="B159" s="126" t="s">
        <v>768</v>
      </c>
      <c r="C159" s="127" t="s">
        <v>770</v>
      </c>
      <c r="D159" s="128"/>
      <c r="E159" s="7"/>
      <c r="F159" s="7" t="s">
        <v>5</v>
      </c>
      <c r="G159" s="7">
        <f t="shared" si="19"/>
        <v>1</v>
      </c>
      <c r="H159" s="7">
        <f t="shared" si="19"/>
        <v>0</v>
      </c>
      <c r="I159" s="7">
        <f t="shared" si="19"/>
        <v>0</v>
      </c>
      <c r="J159" s="7">
        <f t="shared" si="19"/>
        <v>0</v>
      </c>
      <c r="K159" s="7">
        <f t="shared" si="19"/>
        <v>0</v>
      </c>
    </row>
    <row r="160" spans="1:11" x14ac:dyDescent="0.25">
      <c r="A160" s="4">
        <f t="shared" si="13"/>
        <v>2.0157000000000331</v>
      </c>
      <c r="B160" s="129"/>
      <c r="C160" s="130"/>
      <c r="D160" s="131"/>
      <c r="E160" s="7"/>
      <c r="F160" s="7"/>
      <c r="G160" s="7"/>
      <c r="H160" s="7"/>
      <c r="I160" s="7"/>
      <c r="J160" s="7"/>
      <c r="K160" s="7"/>
    </row>
    <row r="161" spans="1:11" x14ac:dyDescent="0.25">
      <c r="A161" s="4">
        <f t="shared" si="13"/>
        <v>2.0158000000000333</v>
      </c>
      <c r="B161" s="122" t="s">
        <v>783</v>
      </c>
      <c r="C161" s="121"/>
      <c r="D161" s="125"/>
      <c r="E161" s="7"/>
      <c r="F161" s="7" t="s">
        <v>7</v>
      </c>
      <c r="G161" s="7">
        <f t="shared" ref="G161:K161" si="20">IF($F161=G$1,1,0)</f>
        <v>0</v>
      </c>
      <c r="H161" s="7">
        <f t="shared" si="20"/>
        <v>0</v>
      </c>
      <c r="I161" s="7">
        <f t="shared" si="20"/>
        <v>0</v>
      </c>
      <c r="J161" s="7">
        <f t="shared" si="20"/>
        <v>1</v>
      </c>
      <c r="K161" s="7">
        <f t="shared" si="20"/>
        <v>0</v>
      </c>
    </row>
    <row r="162" spans="1:11" ht="25.5" x14ac:dyDescent="0.25">
      <c r="A162" s="4">
        <f t="shared" si="13"/>
        <v>2.0159000000000336</v>
      </c>
      <c r="B162" s="110" t="s">
        <v>771</v>
      </c>
      <c r="C162" s="111" t="s">
        <v>794</v>
      </c>
      <c r="D162" s="17"/>
      <c r="E162" s="7"/>
      <c r="F162" s="7" t="s">
        <v>7</v>
      </c>
      <c r="G162" s="7"/>
      <c r="H162" s="7"/>
      <c r="I162" s="7"/>
      <c r="J162" s="7"/>
      <c r="K162" s="7"/>
    </row>
    <row r="163" spans="1:11" x14ac:dyDescent="0.25">
      <c r="A163" s="4">
        <f t="shared" si="13"/>
        <v>2.0160000000000338</v>
      </c>
      <c r="B163" s="66" t="s">
        <v>726</v>
      </c>
      <c r="C163" s="22" t="s">
        <v>727</v>
      </c>
      <c r="D163" s="115"/>
      <c r="E163" s="7"/>
      <c r="F163" s="7" t="s">
        <v>7</v>
      </c>
      <c r="G163" s="7">
        <f t="shared" ref="G163:K163" si="21">IF($F163=G$1,1,0)</f>
        <v>0</v>
      </c>
      <c r="H163" s="7">
        <f t="shared" si="21"/>
        <v>0</v>
      </c>
      <c r="I163" s="7">
        <f t="shared" si="21"/>
        <v>0</v>
      </c>
      <c r="J163" s="7">
        <f t="shared" si="21"/>
        <v>1</v>
      </c>
      <c r="K163" s="7">
        <f t="shared" si="21"/>
        <v>0</v>
      </c>
    </row>
    <row r="164" spans="1:11" x14ac:dyDescent="0.25">
      <c r="A164" s="4">
        <f t="shared" si="13"/>
        <v>2.016100000000034</v>
      </c>
      <c r="B164" s="5"/>
      <c r="C164" s="23"/>
      <c r="D164" s="115"/>
      <c r="E164" s="7"/>
      <c r="F164" s="7"/>
      <c r="G164" s="7"/>
      <c r="H164" s="7"/>
      <c r="I164" s="7"/>
      <c r="J164" s="7"/>
      <c r="K164" s="7"/>
    </row>
    <row r="165" spans="1:11" ht="38.25" x14ac:dyDescent="0.25">
      <c r="A165" s="4">
        <f t="shared" si="13"/>
        <v>2.0162000000000342</v>
      </c>
      <c r="B165" s="123" t="s">
        <v>779</v>
      </c>
      <c r="C165" s="124" t="s">
        <v>766</v>
      </c>
      <c r="D165" s="115"/>
      <c r="E165" s="7"/>
      <c r="F165" s="7" t="s">
        <v>7</v>
      </c>
      <c r="G165" s="7">
        <f t="shared" ref="G165:K166" si="22">IF($F165=G$1,1,0)</f>
        <v>0</v>
      </c>
      <c r="H165" s="7">
        <f t="shared" si="22"/>
        <v>0</v>
      </c>
      <c r="I165" s="7">
        <f t="shared" si="22"/>
        <v>0</v>
      </c>
      <c r="J165" s="7">
        <f t="shared" si="22"/>
        <v>1</v>
      </c>
      <c r="K165" s="7">
        <f t="shared" si="22"/>
        <v>0</v>
      </c>
    </row>
    <row r="166" spans="1:11" ht="38.25" x14ac:dyDescent="0.25">
      <c r="A166" s="4">
        <f t="shared" si="13"/>
        <v>2.0163000000000344</v>
      </c>
      <c r="B166" s="123" t="s">
        <v>776</v>
      </c>
      <c r="C166" s="124" t="s">
        <v>795</v>
      </c>
      <c r="D166" s="115"/>
      <c r="E166" s="7"/>
      <c r="F166" s="7" t="s">
        <v>7</v>
      </c>
      <c r="G166" s="7">
        <f t="shared" si="22"/>
        <v>0</v>
      </c>
      <c r="H166" s="7">
        <f t="shared" si="22"/>
        <v>0</v>
      </c>
      <c r="I166" s="7">
        <f t="shared" si="22"/>
        <v>0</v>
      </c>
      <c r="J166" s="7">
        <f t="shared" si="22"/>
        <v>1</v>
      </c>
      <c r="K166" s="7">
        <f t="shared" si="22"/>
        <v>0</v>
      </c>
    </row>
    <row r="167" spans="1:11" x14ac:dyDescent="0.25">
      <c r="A167" s="4">
        <f t="shared" si="13"/>
        <v>2.0164000000000346</v>
      </c>
      <c r="B167" s="123"/>
      <c r="C167" s="124"/>
      <c r="D167" s="115"/>
      <c r="E167" s="7"/>
      <c r="F167" s="7"/>
      <c r="G167" s="7"/>
      <c r="H167" s="7"/>
      <c r="I167" s="7"/>
      <c r="J167" s="7"/>
      <c r="K167" s="7"/>
    </row>
    <row r="168" spans="1:11" x14ac:dyDescent="0.25">
      <c r="A168" s="4">
        <f t="shared" si="13"/>
        <v>2.0165000000000348</v>
      </c>
      <c r="B168" s="66"/>
      <c r="C168" s="22"/>
      <c r="D168" s="115"/>
      <c r="E168" s="7"/>
      <c r="F168" s="7" t="s">
        <v>7</v>
      </c>
      <c r="G168" s="7"/>
      <c r="H168" s="7"/>
      <c r="I168" s="7"/>
      <c r="J168" s="7"/>
      <c r="K168" s="7"/>
    </row>
    <row r="169" spans="1:11" x14ac:dyDescent="0.25">
      <c r="A169" s="4">
        <f t="shared" si="13"/>
        <v>2.016600000000035</v>
      </c>
      <c r="B169" s="5" t="s">
        <v>729</v>
      </c>
      <c r="C169" s="23" t="s">
        <v>730</v>
      </c>
      <c r="D169" s="115"/>
      <c r="E169" s="7"/>
      <c r="F169" s="7" t="s">
        <v>7</v>
      </c>
      <c r="G169" s="7">
        <f t="shared" ref="G169:K176" si="23">IF($F169=G$1,1,0)</f>
        <v>0</v>
      </c>
      <c r="H169" s="7">
        <f t="shared" si="23"/>
        <v>0</v>
      </c>
      <c r="I169" s="7">
        <f t="shared" si="23"/>
        <v>0</v>
      </c>
      <c r="J169" s="7">
        <f t="shared" si="23"/>
        <v>1</v>
      </c>
      <c r="K169" s="7">
        <f t="shared" si="23"/>
        <v>0</v>
      </c>
    </row>
    <row r="170" spans="1:11" x14ac:dyDescent="0.25">
      <c r="A170" s="4">
        <f t="shared" si="13"/>
        <v>2.0167000000000352</v>
      </c>
      <c r="B170" s="5" t="s">
        <v>748</v>
      </c>
      <c r="C170" s="23" t="s">
        <v>749</v>
      </c>
      <c r="D170" s="115"/>
      <c r="E170" s="7"/>
      <c r="F170" s="7" t="s">
        <v>7</v>
      </c>
      <c r="G170" s="7">
        <f t="shared" si="23"/>
        <v>0</v>
      </c>
      <c r="H170" s="7">
        <f t="shared" si="23"/>
        <v>0</v>
      </c>
      <c r="I170" s="7">
        <f t="shared" si="23"/>
        <v>0</v>
      </c>
      <c r="J170" s="7">
        <f t="shared" si="23"/>
        <v>1</v>
      </c>
      <c r="K170" s="7">
        <f t="shared" si="23"/>
        <v>0</v>
      </c>
    </row>
    <row r="171" spans="1:11" x14ac:dyDescent="0.25">
      <c r="A171" s="4">
        <f t="shared" si="13"/>
        <v>2.0168000000000355</v>
      </c>
      <c r="B171" s="5" t="s">
        <v>731</v>
      </c>
      <c r="C171" s="23" t="s">
        <v>747</v>
      </c>
      <c r="D171" s="115"/>
      <c r="E171" s="7"/>
      <c r="F171" s="7" t="s">
        <v>7</v>
      </c>
      <c r="G171" s="7">
        <f t="shared" si="23"/>
        <v>0</v>
      </c>
      <c r="H171" s="7">
        <f t="shared" si="23"/>
        <v>0</v>
      </c>
      <c r="I171" s="7">
        <f t="shared" si="23"/>
        <v>0</v>
      </c>
      <c r="J171" s="7">
        <f t="shared" si="23"/>
        <v>1</v>
      </c>
      <c r="K171" s="7">
        <f t="shared" si="23"/>
        <v>0</v>
      </c>
    </row>
    <row r="172" spans="1:11" x14ac:dyDescent="0.25">
      <c r="A172" s="4">
        <f t="shared" si="13"/>
        <v>2.0169000000000357</v>
      </c>
      <c r="B172" s="5" t="s">
        <v>489</v>
      </c>
      <c r="C172" s="22" t="s">
        <v>490</v>
      </c>
      <c r="D172" s="115"/>
      <c r="E172" s="7"/>
      <c r="F172" s="7" t="s">
        <v>7</v>
      </c>
      <c r="G172" s="7">
        <f t="shared" si="23"/>
        <v>0</v>
      </c>
      <c r="H172" s="7">
        <f t="shared" si="23"/>
        <v>0</v>
      </c>
      <c r="I172" s="7">
        <f t="shared" si="23"/>
        <v>0</v>
      </c>
      <c r="J172" s="7">
        <f t="shared" si="23"/>
        <v>1</v>
      </c>
      <c r="K172" s="7">
        <f t="shared" si="23"/>
        <v>0</v>
      </c>
    </row>
    <row r="173" spans="1:11" x14ac:dyDescent="0.25">
      <c r="A173" s="4">
        <f t="shared" si="13"/>
        <v>2.0170000000000359</v>
      </c>
      <c r="B173" s="5" t="s">
        <v>491</v>
      </c>
      <c r="C173" s="23" t="s">
        <v>750</v>
      </c>
      <c r="D173" s="115"/>
      <c r="E173" s="7"/>
      <c r="F173" s="7" t="s">
        <v>7</v>
      </c>
      <c r="G173" s="7">
        <f t="shared" si="23"/>
        <v>0</v>
      </c>
      <c r="H173" s="7">
        <f t="shared" si="23"/>
        <v>0</v>
      </c>
      <c r="I173" s="7">
        <f t="shared" si="23"/>
        <v>0</v>
      </c>
      <c r="J173" s="7">
        <f t="shared" si="23"/>
        <v>1</v>
      </c>
      <c r="K173" s="7">
        <f t="shared" si="23"/>
        <v>0</v>
      </c>
    </row>
    <row r="174" spans="1:11" x14ac:dyDescent="0.25">
      <c r="A174" s="4">
        <f t="shared" si="13"/>
        <v>2.0171000000000361</v>
      </c>
      <c r="B174" s="5" t="s">
        <v>553</v>
      </c>
      <c r="C174" s="22" t="s">
        <v>492</v>
      </c>
      <c r="D174" s="6"/>
      <c r="E174" s="7"/>
      <c r="F174" s="7" t="s">
        <v>7</v>
      </c>
      <c r="G174" s="7">
        <f t="shared" si="23"/>
        <v>0</v>
      </c>
      <c r="H174" s="7">
        <f t="shared" si="23"/>
        <v>0</v>
      </c>
      <c r="I174" s="7">
        <f t="shared" si="23"/>
        <v>0</v>
      </c>
      <c r="J174" s="7">
        <f t="shared" si="23"/>
        <v>1</v>
      </c>
      <c r="K174" s="7">
        <f t="shared" si="23"/>
        <v>0</v>
      </c>
    </row>
    <row r="175" spans="1:11" x14ac:dyDescent="0.25">
      <c r="A175" s="4">
        <f t="shared" si="13"/>
        <v>2.0172000000000363</v>
      </c>
      <c r="B175" s="5"/>
      <c r="C175" s="22" t="s">
        <v>493</v>
      </c>
      <c r="D175" s="6"/>
      <c r="E175" s="7"/>
      <c r="F175" s="7" t="s">
        <v>7</v>
      </c>
      <c r="G175" s="7">
        <f t="shared" si="23"/>
        <v>0</v>
      </c>
      <c r="H175" s="7">
        <f t="shared" si="23"/>
        <v>0</v>
      </c>
      <c r="I175" s="7">
        <f t="shared" si="23"/>
        <v>0</v>
      </c>
      <c r="J175" s="7">
        <f t="shared" si="23"/>
        <v>1</v>
      </c>
      <c r="K175" s="7">
        <f t="shared" si="23"/>
        <v>0</v>
      </c>
    </row>
    <row r="176" spans="1:11" ht="25.5" x14ac:dyDescent="0.25">
      <c r="A176" s="4">
        <f t="shared" si="13"/>
        <v>2.0173000000000365</v>
      </c>
      <c r="B176" s="5" t="s">
        <v>482</v>
      </c>
      <c r="C176" s="94" t="s">
        <v>751</v>
      </c>
      <c r="D176" s="6"/>
      <c r="E176" s="7"/>
      <c r="F176" s="7" t="s">
        <v>7</v>
      </c>
      <c r="G176" s="7">
        <f t="shared" si="23"/>
        <v>0</v>
      </c>
      <c r="H176" s="7">
        <f t="shared" si="23"/>
        <v>0</v>
      </c>
      <c r="I176" s="7">
        <f t="shared" si="23"/>
        <v>0</v>
      </c>
      <c r="J176" s="7">
        <f t="shared" si="23"/>
        <v>1</v>
      </c>
      <c r="K176" s="7">
        <f t="shared" si="23"/>
        <v>0</v>
      </c>
    </row>
    <row r="177" spans="1:11" x14ac:dyDescent="0.25">
      <c r="A177" s="4">
        <f t="shared" si="13"/>
        <v>2.0174000000000367</v>
      </c>
      <c r="B177" s="5"/>
      <c r="C177" s="5"/>
      <c r="D177" s="6"/>
      <c r="E177" s="7"/>
      <c r="F177" s="7"/>
      <c r="G177" s="7"/>
      <c r="H177" s="7"/>
      <c r="I177" s="7"/>
      <c r="J177" s="7"/>
      <c r="K177" s="7"/>
    </row>
    <row r="178" spans="1:11" x14ac:dyDescent="0.25">
      <c r="A178" s="4">
        <f t="shared" si="13"/>
        <v>2.0175000000000369</v>
      </c>
      <c r="B178" s="126" t="s">
        <v>767</v>
      </c>
      <c r="C178" s="127" t="s">
        <v>769</v>
      </c>
      <c r="D178" s="128"/>
      <c r="E178" s="7"/>
      <c r="F178" s="7" t="s">
        <v>7</v>
      </c>
      <c r="G178" s="7">
        <f t="shared" ref="G178:K179" si="24">IF($F178=G$1,1,0)</f>
        <v>0</v>
      </c>
      <c r="H178" s="7">
        <f t="shared" si="24"/>
        <v>0</v>
      </c>
      <c r="I178" s="7">
        <f t="shared" si="24"/>
        <v>0</v>
      </c>
      <c r="J178" s="7">
        <f t="shared" si="24"/>
        <v>1</v>
      </c>
      <c r="K178" s="7">
        <f t="shared" si="24"/>
        <v>0</v>
      </c>
    </row>
    <row r="179" spans="1:11" x14ac:dyDescent="0.25">
      <c r="A179" s="4">
        <f t="shared" si="13"/>
        <v>2.0176000000000371</v>
      </c>
      <c r="B179" s="126" t="s">
        <v>768</v>
      </c>
      <c r="C179" s="127" t="s">
        <v>770</v>
      </c>
      <c r="D179" s="128"/>
      <c r="E179" s="7"/>
      <c r="F179" s="7" t="s">
        <v>7</v>
      </c>
      <c r="G179" s="7">
        <f t="shared" si="24"/>
        <v>0</v>
      </c>
      <c r="H179" s="7">
        <f t="shared" si="24"/>
        <v>0</v>
      </c>
      <c r="I179" s="7">
        <f t="shared" si="24"/>
        <v>0</v>
      </c>
      <c r="J179" s="7">
        <f t="shared" si="24"/>
        <v>1</v>
      </c>
      <c r="K179" s="7">
        <f t="shared" si="24"/>
        <v>0</v>
      </c>
    </row>
    <row r="180" spans="1:11" x14ac:dyDescent="0.25">
      <c r="A180" s="4">
        <f t="shared" si="13"/>
        <v>2.0177000000000374</v>
      </c>
      <c r="B180" s="5"/>
      <c r="C180" s="23"/>
      <c r="D180" s="7"/>
      <c r="E180" s="7"/>
      <c r="F180" s="7"/>
      <c r="G180" s="7"/>
      <c r="H180" s="7"/>
      <c r="I180" s="7"/>
      <c r="J180" s="7"/>
      <c r="K180" s="7"/>
    </row>
    <row r="181" spans="1:11" x14ac:dyDescent="0.25">
      <c r="A181" s="4">
        <f t="shared" si="13"/>
        <v>2.0178000000000376</v>
      </c>
      <c r="B181" s="122" t="s">
        <v>783</v>
      </c>
      <c r="C181" s="121"/>
      <c r="D181" s="125"/>
      <c r="E181" s="7"/>
      <c r="F181" s="7" t="s">
        <v>7</v>
      </c>
      <c r="G181" s="7">
        <f t="shared" ref="G181:K181" si="25">IF($F181=G$1,1,0)</f>
        <v>0</v>
      </c>
      <c r="H181" s="7">
        <f t="shared" si="25"/>
        <v>0</v>
      </c>
      <c r="I181" s="7">
        <f t="shared" si="25"/>
        <v>0</v>
      </c>
      <c r="J181" s="7">
        <f t="shared" si="25"/>
        <v>1</v>
      </c>
      <c r="K181" s="7">
        <f t="shared" si="25"/>
        <v>0</v>
      </c>
    </row>
    <row r="182" spans="1:11" x14ac:dyDescent="0.25">
      <c r="A182" s="4">
        <f t="shared" si="13"/>
        <v>2.0179000000000378</v>
      </c>
      <c r="B182" s="110" t="s">
        <v>771</v>
      </c>
      <c r="C182" s="111" t="s">
        <v>777</v>
      </c>
      <c r="D182" s="17"/>
      <c r="E182" s="7"/>
      <c r="F182" s="7"/>
      <c r="G182" s="7"/>
      <c r="H182" s="7"/>
      <c r="I182" s="7"/>
      <c r="J182" s="7"/>
      <c r="K182" s="7"/>
    </row>
    <row r="183" spans="1:11" x14ac:dyDescent="0.25">
      <c r="A183" s="4">
        <f t="shared" si="13"/>
        <v>2.018000000000038</v>
      </c>
      <c r="B183" s="66" t="s">
        <v>726</v>
      </c>
      <c r="C183" s="22" t="s">
        <v>727</v>
      </c>
      <c r="D183" s="115"/>
      <c r="E183" s="7"/>
      <c r="F183" s="7" t="s">
        <v>7</v>
      </c>
      <c r="G183" s="7">
        <f t="shared" ref="G183:K183" si="26">IF($F183=G$1,1,0)</f>
        <v>0</v>
      </c>
      <c r="H183" s="7">
        <f t="shared" si="26"/>
        <v>0</v>
      </c>
      <c r="I183" s="7">
        <f t="shared" si="26"/>
        <v>0</v>
      </c>
      <c r="J183" s="7">
        <f t="shared" si="26"/>
        <v>1</v>
      </c>
      <c r="K183" s="7">
        <f t="shared" si="26"/>
        <v>0</v>
      </c>
    </row>
    <row r="184" spans="1:11" x14ac:dyDescent="0.25">
      <c r="A184" s="4">
        <f t="shared" si="13"/>
        <v>2.0181000000000382</v>
      </c>
      <c r="B184" s="5"/>
      <c r="C184" s="23"/>
      <c r="D184" s="115"/>
      <c r="E184" s="7"/>
      <c r="F184" s="7"/>
      <c r="G184" s="7"/>
      <c r="H184" s="7"/>
      <c r="I184" s="7"/>
      <c r="J184" s="7"/>
      <c r="K184" s="7"/>
    </row>
    <row r="185" spans="1:11" ht="38.25" x14ac:dyDescent="0.25">
      <c r="A185" s="4">
        <f t="shared" si="13"/>
        <v>2.0182000000000384</v>
      </c>
      <c r="B185" s="123" t="s">
        <v>779</v>
      </c>
      <c r="C185" s="124" t="s">
        <v>766</v>
      </c>
      <c r="D185" s="115"/>
      <c r="E185" s="7"/>
      <c r="F185" s="7" t="s">
        <v>7</v>
      </c>
      <c r="G185" s="7">
        <f t="shared" ref="G185:K186" si="27">IF($F185=G$1,1,0)</f>
        <v>0</v>
      </c>
      <c r="H185" s="7">
        <f t="shared" si="27"/>
        <v>0</v>
      </c>
      <c r="I185" s="7">
        <f t="shared" si="27"/>
        <v>0</v>
      </c>
      <c r="J185" s="7">
        <f t="shared" si="27"/>
        <v>1</v>
      </c>
      <c r="K185" s="7">
        <f t="shared" si="27"/>
        <v>0</v>
      </c>
    </row>
    <row r="186" spans="1:11" ht="38.25" x14ac:dyDescent="0.25">
      <c r="A186" s="4">
        <f t="shared" si="13"/>
        <v>2.0183000000000386</v>
      </c>
      <c r="B186" s="123" t="s">
        <v>776</v>
      </c>
      <c r="C186" s="124" t="s">
        <v>778</v>
      </c>
      <c r="D186" s="115"/>
      <c r="E186" s="7"/>
      <c r="F186" s="7" t="s">
        <v>7</v>
      </c>
      <c r="G186" s="7">
        <f t="shared" si="27"/>
        <v>0</v>
      </c>
      <c r="H186" s="7">
        <f t="shared" si="27"/>
        <v>0</v>
      </c>
      <c r="I186" s="7">
        <f t="shared" si="27"/>
        <v>0</v>
      </c>
      <c r="J186" s="7">
        <f t="shared" si="27"/>
        <v>1</v>
      </c>
      <c r="K186" s="7">
        <f t="shared" si="27"/>
        <v>0</v>
      </c>
    </row>
    <row r="187" spans="1:11" x14ac:dyDescent="0.25">
      <c r="A187" s="4">
        <f t="shared" si="13"/>
        <v>2.0184000000000388</v>
      </c>
      <c r="B187" s="123"/>
      <c r="C187" s="124"/>
      <c r="D187" s="115"/>
      <c r="E187" s="7"/>
      <c r="F187" s="7"/>
      <c r="G187" s="7"/>
      <c r="H187" s="7"/>
      <c r="I187" s="7"/>
      <c r="J187" s="7"/>
      <c r="K187" s="7"/>
    </row>
    <row r="188" spans="1:11" x14ac:dyDescent="0.25">
      <c r="A188" s="4">
        <f t="shared" si="13"/>
        <v>2.018500000000039</v>
      </c>
      <c r="B188" s="66"/>
      <c r="C188" s="22"/>
      <c r="D188" s="115"/>
      <c r="E188" s="7"/>
      <c r="F188" s="7"/>
      <c r="G188" s="7"/>
      <c r="H188" s="7"/>
      <c r="I188" s="7"/>
      <c r="J188" s="7"/>
      <c r="K188" s="7"/>
    </row>
    <row r="189" spans="1:11" x14ac:dyDescent="0.25">
      <c r="A189" s="4">
        <f t="shared" si="13"/>
        <v>2.0186000000000393</v>
      </c>
      <c r="B189" s="5" t="s">
        <v>729</v>
      </c>
      <c r="C189" s="23" t="s">
        <v>730</v>
      </c>
      <c r="D189" s="115"/>
      <c r="E189" s="7"/>
      <c r="F189" s="7" t="s">
        <v>7</v>
      </c>
      <c r="G189" s="7">
        <f t="shared" ref="G189:K195" si="28">IF($F189=G$1,1,0)</f>
        <v>0</v>
      </c>
      <c r="H189" s="7">
        <f t="shared" si="28"/>
        <v>0</v>
      </c>
      <c r="I189" s="7">
        <f t="shared" si="28"/>
        <v>0</v>
      </c>
      <c r="J189" s="7">
        <f t="shared" si="28"/>
        <v>1</v>
      </c>
      <c r="K189" s="7">
        <f t="shared" si="28"/>
        <v>0</v>
      </c>
    </row>
    <row r="190" spans="1:11" x14ac:dyDescent="0.25">
      <c r="A190" s="4">
        <f t="shared" si="13"/>
        <v>2.0187000000000395</v>
      </c>
      <c r="B190" s="5" t="s">
        <v>748</v>
      </c>
      <c r="C190" s="23" t="s">
        <v>749</v>
      </c>
      <c r="D190" s="115"/>
      <c r="E190" s="7"/>
      <c r="F190" s="7" t="s">
        <v>7</v>
      </c>
      <c r="G190" s="7">
        <f t="shared" si="28"/>
        <v>0</v>
      </c>
      <c r="H190" s="7">
        <f t="shared" si="28"/>
        <v>0</v>
      </c>
      <c r="I190" s="7">
        <f t="shared" si="28"/>
        <v>0</v>
      </c>
      <c r="J190" s="7">
        <f t="shared" si="28"/>
        <v>1</v>
      </c>
      <c r="K190" s="7">
        <f t="shared" si="28"/>
        <v>0</v>
      </c>
    </row>
    <row r="191" spans="1:11" x14ac:dyDescent="0.25">
      <c r="A191" s="4">
        <f t="shared" si="13"/>
        <v>2.0188000000000397</v>
      </c>
      <c r="B191" s="5" t="s">
        <v>731</v>
      </c>
      <c r="C191" s="23" t="s">
        <v>802</v>
      </c>
      <c r="D191" s="115"/>
      <c r="E191" s="7"/>
      <c r="F191" s="7" t="s">
        <v>7</v>
      </c>
      <c r="G191" s="7">
        <f t="shared" si="28"/>
        <v>0</v>
      </c>
      <c r="H191" s="7">
        <f t="shared" si="28"/>
        <v>0</v>
      </c>
      <c r="I191" s="7">
        <f t="shared" si="28"/>
        <v>0</v>
      </c>
      <c r="J191" s="7">
        <f t="shared" si="28"/>
        <v>1</v>
      </c>
      <c r="K191" s="7">
        <f t="shared" si="28"/>
        <v>0</v>
      </c>
    </row>
    <row r="192" spans="1:11" x14ac:dyDescent="0.25">
      <c r="A192" s="4">
        <f t="shared" si="13"/>
        <v>2.0189000000000399</v>
      </c>
      <c r="B192" s="5" t="s">
        <v>489</v>
      </c>
      <c r="C192" s="22" t="s">
        <v>490</v>
      </c>
      <c r="D192" s="115"/>
      <c r="E192" s="7"/>
      <c r="F192" s="7" t="s">
        <v>7</v>
      </c>
      <c r="G192" s="7">
        <f t="shared" si="28"/>
        <v>0</v>
      </c>
      <c r="H192" s="7">
        <f t="shared" si="28"/>
        <v>0</v>
      </c>
      <c r="I192" s="7">
        <f t="shared" si="28"/>
        <v>0</v>
      </c>
      <c r="J192" s="7">
        <f t="shared" si="28"/>
        <v>1</v>
      </c>
      <c r="K192" s="7">
        <f t="shared" si="28"/>
        <v>0</v>
      </c>
    </row>
    <row r="193" spans="1:11" x14ac:dyDescent="0.25">
      <c r="A193" s="4">
        <f t="shared" si="13"/>
        <v>2.0190000000000401</v>
      </c>
      <c r="B193" s="5" t="s">
        <v>491</v>
      </c>
      <c r="C193" s="23" t="s">
        <v>750</v>
      </c>
      <c r="D193" s="115"/>
      <c r="E193" s="7"/>
      <c r="F193" s="7" t="s">
        <v>7</v>
      </c>
      <c r="G193" s="7">
        <f t="shared" si="28"/>
        <v>0</v>
      </c>
      <c r="H193" s="7">
        <f t="shared" si="28"/>
        <v>0</v>
      </c>
      <c r="I193" s="7">
        <f t="shared" si="28"/>
        <v>0</v>
      </c>
      <c r="J193" s="7">
        <f t="shared" si="28"/>
        <v>1</v>
      </c>
      <c r="K193" s="7">
        <f t="shared" si="28"/>
        <v>0</v>
      </c>
    </row>
    <row r="194" spans="1:11" x14ac:dyDescent="0.25">
      <c r="A194" s="4">
        <f t="shared" si="13"/>
        <v>2.0191000000000403</v>
      </c>
      <c r="B194" s="5" t="s">
        <v>553</v>
      </c>
      <c r="C194" s="22" t="s">
        <v>492</v>
      </c>
      <c r="D194" s="6"/>
      <c r="E194" s="7"/>
      <c r="F194" s="7" t="s">
        <v>7</v>
      </c>
      <c r="G194" s="7">
        <f t="shared" si="28"/>
        <v>0</v>
      </c>
      <c r="H194" s="7">
        <f t="shared" si="28"/>
        <v>0</v>
      </c>
      <c r="I194" s="7">
        <f t="shared" si="28"/>
        <v>0</v>
      </c>
      <c r="J194" s="7">
        <f t="shared" si="28"/>
        <v>1</v>
      </c>
      <c r="K194" s="7">
        <f t="shared" si="28"/>
        <v>0</v>
      </c>
    </row>
    <row r="195" spans="1:11" x14ac:dyDescent="0.25">
      <c r="A195" s="4">
        <f t="shared" si="13"/>
        <v>2.0192000000000405</v>
      </c>
      <c r="B195" s="5"/>
      <c r="C195" s="22" t="s">
        <v>493</v>
      </c>
      <c r="D195" s="6"/>
      <c r="E195" s="7"/>
      <c r="F195" s="7" t="s">
        <v>7</v>
      </c>
      <c r="G195" s="7">
        <f t="shared" si="28"/>
        <v>0</v>
      </c>
      <c r="H195" s="7">
        <f t="shared" si="28"/>
        <v>0</v>
      </c>
      <c r="I195" s="7">
        <f t="shared" si="28"/>
        <v>0</v>
      </c>
      <c r="J195" s="7">
        <f t="shared" si="28"/>
        <v>1</v>
      </c>
      <c r="K195" s="7">
        <f t="shared" si="28"/>
        <v>0</v>
      </c>
    </row>
    <row r="196" spans="1:11" ht="25.5" x14ac:dyDescent="0.25">
      <c r="A196" s="4">
        <f t="shared" ref="A196:A205" si="29">A195+0.0001</f>
        <v>2.0193000000000407</v>
      </c>
      <c r="B196" s="5" t="s">
        <v>482</v>
      </c>
      <c r="C196" s="94" t="s">
        <v>751</v>
      </c>
      <c r="D196" s="6"/>
      <c r="E196" s="7"/>
      <c r="F196" s="7"/>
      <c r="G196" s="7"/>
      <c r="H196" s="7"/>
      <c r="I196" s="7"/>
      <c r="J196" s="7"/>
      <c r="K196" s="7"/>
    </row>
    <row r="197" spans="1:11" x14ac:dyDescent="0.25">
      <c r="A197" s="4">
        <f t="shared" si="29"/>
        <v>2.0194000000000409</v>
      </c>
      <c r="B197" s="126" t="s">
        <v>767</v>
      </c>
      <c r="C197" s="127" t="s">
        <v>769</v>
      </c>
      <c r="D197" s="128"/>
      <c r="E197" s="7"/>
      <c r="F197" s="7" t="s">
        <v>7</v>
      </c>
      <c r="G197" s="7">
        <f t="shared" ref="G197:K198" si="30">IF($F197=G$1,1,0)</f>
        <v>0</v>
      </c>
      <c r="H197" s="7">
        <f t="shared" si="30"/>
        <v>0</v>
      </c>
      <c r="I197" s="7">
        <f t="shared" si="30"/>
        <v>0</v>
      </c>
      <c r="J197" s="7">
        <f t="shared" si="30"/>
        <v>1</v>
      </c>
      <c r="K197" s="7">
        <f t="shared" si="30"/>
        <v>0</v>
      </c>
    </row>
    <row r="198" spans="1:11" x14ac:dyDescent="0.25">
      <c r="A198" s="4">
        <f t="shared" si="29"/>
        <v>2.0195000000000412</v>
      </c>
      <c r="B198" s="126" t="s">
        <v>768</v>
      </c>
      <c r="C198" s="127" t="s">
        <v>770</v>
      </c>
      <c r="D198" s="128"/>
      <c r="E198" s="7"/>
      <c r="F198" s="7" t="s">
        <v>7</v>
      </c>
      <c r="G198" s="7">
        <f t="shared" si="30"/>
        <v>0</v>
      </c>
      <c r="H198" s="7">
        <f t="shared" si="30"/>
        <v>0</v>
      </c>
      <c r="I198" s="7">
        <f t="shared" si="30"/>
        <v>0</v>
      </c>
      <c r="J198" s="7">
        <f t="shared" si="30"/>
        <v>1</v>
      </c>
      <c r="K198" s="7">
        <f t="shared" si="30"/>
        <v>0</v>
      </c>
    </row>
    <row r="199" spans="1:11" x14ac:dyDescent="0.25">
      <c r="A199" s="4">
        <f t="shared" si="29"/>
        <v>2.0196000000000414</v>
      </c>
      <c r="B199" s="103"/>
      <c r="C199" s="104"/>
      <c r="D199" s="6"/>
      <c r="E199" s="7"/>
      <c r="F199" s="7"/>
      <c r="G199" s="7"/>
      <c r="H199" s="7"/>
      <c r="I199" s="7"/>
      <c r="J199" s="7"/>
      <c r="K199" s="7"/>
    </row>
    <row r="200" spans="1:11" x14ac:dyDescent="0.25">
      <c r="A200" s="4">
        <f t="shared" si="29"/>
        <v>2.0197000000000416</v>
      </c>
      <c r="B200" s="16" t="s">
        <v>647</v>
      </c>
      <c r="C200" s="17" t="s">
        <v>683</v>
      </c>
      <c r="D200" s="16"/>
      <c r="E200" s="7"/>
      <c r="F200" s="7"/>
      <c r="G200" s="7"/>
      <c r="H200" s="7"/>
      <c r="I200" s="7"/>
      <c r="J200" s="7"/>
      <c r="K200" s="7"/>
    </row>
    <row r="201" spans="1:11" ht="63.75" x14ac:dyDescent="0.25">
      <c r="A201" s="4">
        <f t="shared" si="29"/>
        <v>2.0198000000000418</v>
      </c>
      <c r="B201" s="103" t="s">
        <v>685</v>
      </c>
      <c r="C201" s="104" t="s">
        <v>684</v>
      </c>
      <c r="D201" s="6" t="s">
        <v>649</v>
      </c>
      <c r="E201" s="7"/>
      <c r="F201" s="7" t="s">
        <v>8</v>
      </c>
      <c r="G201" s="7">
        <f t="shared" ref="G201:J201" si="31">IF($F201=G$1,1,0)</f>
        <v>0</v>
      </c>
      <c r="H201" s="7">
        <f t="shared" si="31"/>
        <v>0</v>
      </c>
      <c r="I201" s="7">
        <f t="shared" si="31"/>
        <v>0</v>
      </c>
      <c r="J201" s="7">
        <f t="shared" si="31"/>
        <v>0</v>
      </c>
      <c r="K201" s="7"/>
    </row>
    <row r="202" spans="1:11" x14ac:dyDescent="0.25">
      <c r="A202" s="4">
        <f t="shared" si="29"/>
        <v>2.019900000000042</v>
      </c>
      <c r="B202" s="103"/>
      <c r="C202" s="104"/>
      <c r="D202" s="6"/>
      <c r="E202" s="7"/>
      <c r="F202" s="7"/>
      <c r="G202" s="7"/>
      <c r="H202" s="7"/>
      <c r="I202" s="7"/>
      <c r="J202" s="7"/>
      <c r="K202" s="7"/>
    </row>
    <row r="203" spans="1:11" x14ac:dyDescent="0.25">
      <c r="A203" s="4">
        <f t="shared" si="29"/>
        <v>2.0200000000000422</v>
      </c>
      <c r="B203" s="103"/>
      <c r="C203" s="104"/>
      <c r="D203" s="6"/>
      <c r="E203" s="7"/>
      <c r="F203" s="7"/>
      <c r="G203" s="7"/>
      <c r="H203" s="7"/>
      <c r="I203" s="7"/>
      <c r="J203" s="7"/>
      <c r="K203" s="7"/>
    </row>
    <row r="204" spans="1:11" x14ac:dyDescent="0.25">
      <c r="A204" s="4">
        <f t="shared" si="29"/>
        <v>2.0201000000000424</v>
      </c>
      <c r="B204" s="103"/>
      <c r="C204" s="104"/>
      <c r="D204" s="6"/>
      <c r="E204" s="7"/>
      <c r="F204" s="7"/>
      <c r="G204" s="7"/>
      <c r="H204" s="7"/>
      <c r="I204" s="7"/>
      <c r="J204" s="7"/>
      <c r="K204" s="7"/>
    </row>
    <row r="205" spans="1:11" x14ac:dyDescent="0.25">
      <c r="A205" s="4">
        <f t="shared" si="29"/>
        <v>2.0202000000000426</v>
      </c>
      <c r="B205" s="6"/>
      <c r="C205" s="5"/>
      <c r="D205" s="7"/>
      <c r="E205" s="7"/>
      <c r="F205" s="7"/>
      <c r="G205" s="7"/>
      <c r="H205" s="7"/>
      <c r="I205" s="7"/>
      <c r="J205" s="7"/>
      <c r="K205" s="7"/>
    </row>
    <row r="206" spans="1:11" ht="15.75" thickBot="1" x14ac:dyDescent="0.3">
      <c r="G206" s="95">
        <f>SUM(G3:G205)</f>
        <v>93</v>
      </c>
      <c r="H206" s="95">
        <f>SUM(H3:H205)</f>
        <v>0</v>
      </c>
      <c r="I206" s="95">
        <f>SUM(I3:I205)</f>
        <v>0</v>
      </c>
      <c r="J206" s="95">
        <f>SUM(J3:J205)</f>
        <v>41</v>
      </c>
      <c r="K206" s="95">
        <f>SUM(K3:K205)</f>
        <v>0</v>
      </c>
    </row>
    <row r="207" spans="1:11" ht="15.75" thickTop="1" x14ac:dyDescent="0.25"/>
  </sheetData>
  <mergeCells count="1">
    <mergeCell ref="B2:C2"/>
  </mergeCells>
  <conditionalFormatting sqref="L41:L94 L20:L26 B205:C205 F202:K205 B199:D199 B116:C117 F116:K118 A4:A205 F126:K126 G119:K125 F128:K128 G127:K127 F130:K130 G129:K129 F139:K139 G131:K138 F142:K142 G140:K141 F144:K144 G143:K143 F146:K146 G145:K145 F157:K157 G147:K156 F160:K160 G158:K159 F167:K167 G161:K166 F177:K177 F180:K180 G178:K179 F182:K182 G181:K181 F184:K184 G183:K183 F187:K188 G185:K186 F196:K196 G189:K195 F199:K199 G197:K198 G168:K176">
    <cfRule type="expression" dxfId="843" priority="358">
      <formula>$F4="Fail"</formula>
    </cfRule>
  </conditionalFormatting>
  <conditionalFormatting sqref="A3">
    <cfRule type="expression" dxfId="842" priority="357">
      <formula>$F3="Fail"</formula>
    </cfRule>
  </conditionalFormatting>
  <conditionalFormatting sqref="C41">
    <cfRule type="expression" dxfId="841" priority="224">
      <formula>$F41="Fail"</formula>
    </cfRule>
  </conditionalFormatting>
  <conditionalFormatting sqref="B162">
    <cfRule type="expression" dxfId="840" priority="179">
      <formula>$F162="Fail"</formula>
    </cfRule>
  </conditionalFormatting>
  <conditionalFormatting sqref="D162">
    <cfRule type="expression" dxfId="839" priority="178">
      <formula>$F162="Fail"</formula>
    </cfRule>
  </conditionalFormatting>
  <conditionalFormatting sqref="B164:C164 B169:C171 B173:C175 B176">
    <cfRule type="expression" dxfId="838" priority="177">
      <formula>$F164="Fail"</formula>
    </cfRule>
  </conditionalFormatting>
  <conditionalFormatting sqref="B125:C125 B140:C141">
    <cfRule type="expression" dxfId="837" priority="220">
      <formula>$F125="Fail"</formula>
    </cfRule>
  </conditionalFormatting>
  <conditionalFormatting sqref="B125:C125 B140:C141">
    <cfRule type="expression" dxfId="836" priority="219">
      <formula>$F125="Fail"</formula>
    </cfRule>
  </conditionalFormatting>
  <conditionalFormatting sqref="B139 D136:D138">
    <cfRule type="expression" dxfId="835" priority="218">
      <formula>$F136="Fail"</formula>
    </cfRule>
  </conditionalFormatting>
  <conditionalFormatting sqref="L28:L34 L8:L9 L3:L5">
    <cfRule type="expression" dxfId="834" priority="349">
      <formula>$F3="Fail"</formula>
    </cfRule>
  </conditionalFormatting>
  <conditionalFormatting sqref="L35:L40">
    <cfRule type="expression" dxfId="833" priority="348">
      <formula>$F35="Fail"</formula>
    </cfRule>
  </conditionalFormatting>
  <conditionalFormatting sqref="L27">
    <cfRule type="expression" dxfId="832" priority="347">
      <formula>$F27="Fail"</formula>
    </cfRule>
  </conditionalFormatting>
  <conditionalFormatting sqref="L10:L13">
    <cfRule type="expression" dxfId="831" priority="346">
      <formula>$F10="Fail"</formula>
    </cfRule>
  </conditionalFormatting>
  <conditionalFormatting sqref="L14:L19">
    <cfRule type="expression" dxfId="830" priority="345">
      <formula>$F14="Fail"</formula>
    </cfRule>
  </conditionalFormatting>
  <conditionalFormatting sqref="L7">
    <cfRule type="expression" dxfId="829" priority="344">
      <formula>$F7="Fail"</formula>
    </cfRule>
  </conditionalFormatting>
  <conditionalFormatting sqref="L6">
    <cfRule type="expression" dxfId="828" priority="343">
      <formula>$F6="Fail"</formula>
    </cfRule>
  </conditionalFormatting>
  <conditionalFormatting sqref="B128:C128 B131:C133 B135:C137 B138">
    <cfRule type="expression" dxfId="827" priority="210">
      <formula>$F128="Fail"</formula>
    </cfRule>
  </conditionalFormatting>
  <conditionalFormatting sqref="B134:C134">
    <cfRule type="expression" dxfId="826" priority="207">
      <formula>$F134="Fail"</formula>
    </cfRule>
  </conditionalFormatting>
  <conditionalFormatting sqref="C138">
    <cfRule type="expression" dxfId="825" priority="206">
      <formula>$F138="Fail"</formula>
    </cfRule>
  </conditionalFormatting>
  <conditionalFormatting sqref="B127:C127">
    <cfRule type="expression" dxfId="824" priority="209">
      <formula>$F127="Fail"</formula>
    </cfRule>
  </conditionalFormatting>
  <conditionalFormatting sqref="B129:C130">
    <cfRule type="expression" dxfId="823" priority="208">
      <formula>$F129="Fail"</formula>
    </cfRule>
  </conditionalFormatting>
  <conditionalFormatting sqref="B126">
    <cfRule type="expression" dxfId="822" priority="205">
      <formula>$F126="Fail"</formula>
    </cfRule>
  </conditionalFormatting>
  <conditionalFormatting sqref="C143 B158:C160">
    <cfRule type="expression" dxfId="821" priority="204">
      <formula>$F143="Fail"</formula>
    </cfRule>
  </conditionalFormatting>
  <conditionalFormatting sqref="C143 B158:C160">
    <cfRule type="expression" dxfId="820" priority="203">
      <formula>$F143="Fail"</formula>
    </cfRule>
  </conditionalFormatting>
  <conditionalFormatting sqref="B157 D154:D156">
    <cfRule type="expression" dxfId="819" priority="202">
      <formula>$F154="Fail"</formula>
    </cfRule>
  </conditionalFormatting>
  <conditionalFormatting sqref="G206:K206">
    <cfRule type="expression" dxfId="818" priority="333">
      <formula>$F206="Fail"</formula>
    </cfRule>
  </conditionalFormatting>
  <conditionalFormatting sqref="C157">
    <cfRule type="expression" dxfId="817" priority="199">
      <formula>$F157="Fail"</formula>
    </cfRule>
  </conditionalFormatting>
  <conditionalFormatting sqref="C157">
    <cfRule type="expression" dxfId="816" priority="200">
      <formula>$F157="Fail"</formula>
    </cfRule>
  </conditionalFormatting>
  <conditionalFormatting sqref="D145:D151">
    <cfRule type="expression" dxfId="815" priority="198">
      <formula>$F145="Fail"</formula>
    </cfRule>
  </conditionalFormatting>
  <conditionalFormatting sqref="D152:D153">
    <cfRule type="expression" dxfId="814" priority="197">
      <formula>$F152="Fail"</formula>
    </cfRule>
  </conditionalFormatting>
  <conditionalFormatting sqref="C144">
    <cfRule type="expression" dxfId="813" priority="196">
      <formula>$F144="Fail"</formula>
    </cfRule>
  </conditionalFormatting>
  <conditionalFormatting sqref="D144">
    <cfRule type="expression" dxfId="812" priority="195">
      <formula>$F144="Fail"</formula>
    </cfRule>
  </conditionalFormatting>
  <conditionalFormatting sqref="C205">
    <cfRule type="expression" dxfId="811" priority="326">
      <formula>$F205="Fail"</formula>
    </cfRule>
  </conditionalFormatting>
  <conditionalFormatting sqref="B145:C145">
    <cfRule type="expression" dxfId="810" priority="193">
      <formula>$F145="Fail"</formula>
    </cfRule>
  </conditionalFormatting>
  <conditionalFormatting sqref="B147:C148">
    <cfRule type="expression" dxfId="809" priority="192">
      <formula>$F147="Fail"</formula>
    </cfRule>
  </conditionalFormatting>
  <conditionalFormatting sqref="B152:C152">
    <cfRule type="expression" dxfId="808" priority="191">
      <formula>$F152="Fail"</formula>
    </cfRule>
  </conditionalFormatting>
  <conditionalFormatting sqref="C156">
    <cfRule type="expression" dxfId="807" priority="190">
      <formula>$F156="Fail"</formula>
    </cfRule>
  </conditionalFormatting>
  <conditionalFormatting sqref="B144">
    <cfRule type="expression" dxfId="806" priority="189">
      <formula>$F144="Fail"</formula>
    </cfRule>
  </conditionalFormatting>
  <conditionalFormatting sqref="C161 B178:C179">
    <cfRule type="expression" dxfId="805" priority="188">
      <formula>$F161="Fail"</formula>
    </cfRule>
  </conditionalFormatting>
  <conditionalFormatting sqref="C161 B178:C179">
    <cfRule type="expression" dxfId="804" priority="187">
      <formula>$F161="Fail"</formula>
    </cfRule>
  </conditionalFormatting>
  <conditionalFormatting sqref="B177 D174:D176">
    <cfRule type="expression" dxfId="803" priority="186">
      <formula>$F174="Fail"</formula>
    </cfRule>
  </conditionalFormatting>
  <conditionalFormatting sqref="B177 D177">
    <cfRule type="expression" dxfId="802" priority="185">
      <formula>$F177="Fail"</formula>
    </cfRule>
  </conditionalFormatting>
  <conditionalFormatting sqref="C177">
    <cfRule type="expression" dxfId="801" priority="184">
      <formula>$F177="Fail"</formula>
    </cfRule>
  </conditionalFormatting>
  <conditionalFormatting sqref="C177">
    <cfRule type="expression" dxfId="800" priority="183">
      <formula>$F177="Fail"</formula>
    </cfRule>
  </conditionalFormatting>
  <conditionalFormatting sqref="D163:D171">
    <cfRule type="expression" dxfId="799" priority="182">
      <formula>$F163="Fail"</formula>
    </cfRule>
  </conditionalFormatting>
  <conditionalFormatting sqref="D172:D173">
    <cfRule type="expression" dxfId="798" priority="181">
      <formula>$F172="Fail"</formula>
    </cfRule>
  </conditionalFormatting>
  <conditionalFormatting sqref="C162">
    <cfRule type="expression" dxfId="797" priority="180">
      <formula>$F162="Fail"</formula>
    </cfRule>
  </conditionalFormatting>
  <conditionalFormatting sqref="B163:C163">
    <cfRule type="expression" dxfId="796" priority="176">
      <formula>$F163="Fail"</formula>
    </cfRule>
  </conditionalFormatting>
  <conditionalFormatting sqref="B166:C168 C165">
    <cfRule type="expression" dxfId="795" priority="175">
      <formula>$F165="Fail"</formula>
    </cfRule>
  </conditionalFormatting>
  <conditionalFormatting sqref="B172:C172">
    <cfRule type="expression" dxfId="794" priority="174">
      <formula>$F172="Fail"</formula>
    </cfRule>
  </conditionalFormatting>
  <conditionalFormatting sqref="C176">
    <cfRule type="expression" dxfId="793" priority="173">
      <formula>$F176="Fail"</formula>
    </cfRule>
  </conditionalFormatting>
  <conditionalFormatting sqref="D194:D196">
    <cfRule type="expression" dxfId="792" priority="170">
      <formula>$F194="Fail"</formula>
    </cfRule>
  </conditionalFormatting>
  <conditionalFormatting sqref="D183:D191">
    <cfRule type="expression" dxfId="791" priority="169">
      <formula>$F183="Fail"</formula>
    </cfRule>
  </conditionalFormatting>
  <conditionalFormatting sqref="D192:D193">
    <cfRule type="expression" dxfId="790" priority="168">
      <formula>$F192="Fail"</formula>
    </cfRule>
  </conditionalFormatting>
  <conditionalFormatting sqref="C181">
    <cfRule type="expression" dxfId="789" priority="171">
      <formula>$F181="Fail"</formula>
    </cfRule>
  </conditionalFormatting>
  <conditionalFormatting sqref="C181">
    <cfRule type="expression" dxfId="788" priority="172">
      <formula>$F181="Fail"</formula>
    </cfRule>
  </conditionalFormatting>
  <conditionalFormatting sqref="C182">
    <cfRule type="expression" dxfId="787" priority="167">
      <formula>$F182="Fail"</formula>
    </cfRule>
  </conditionalFormatting>
  <conditionalFormatting sqref="B202:C204">
    <cfRule type="expression" dxfId="786" priority="298">
      <formula>$F202="Fail"</formula>
    </cfRule>
  </conditionalFormatting>
  <conditionalFormatting sqref="D202:D204">
    <cfRule type="expression" dxfId="785" priority="297">
      <formula>$F202="Fail"</formula>
    </cfRule>
  </conditionalFormatting>
  <conditionalFormatting sqref="B184:C184 B189:C191 B193:C195 B196">
    <cfRule type="expression" dxfId="784" priority="164">
      <formula>$F184="Fail"</formula>
    </cfRule>
  </conditionalFormatting>
  <conditionalFormatting sqref="B183:C183">
    <cfRule type="expression" dxfId="783" priority="163">
      <formula>$F183="Fail"</formula>
    </cfRule>
  </conditionalFormatting>
  <conditionalFormatting sqref="B185:C188">
    <cfRule type="expression" dxfId="782" priority="162">
      <formula>$F185="Fail"</formula>
    </cfRule>
  </conditionalFormatting>
  <conditionalFormatting sqref="B192:C192">
    <cfRule type="expression" dxfId="781" priority="161">
      <formula>$F192="Fail"</formula>
    </cfRule>
  </conditionalFormatting>
  <conditionalFormatting sqref="C196">
    <cfRule type="expression" dxfId="780" priority="160">
      <formula>$F196="Fail"</formula>
    </cfRule>
  </conditionalFormatting>
  <conditionalFormatting sqref="B165">
    <cfRule type="expression" dxfId="779" priority="159">
      <formula>$F165="Fail"</formula>
    </cfRule>
  </conditionalFormatting>
  <conditionalFormatting sqref="B197:C198">
    <cfRule type="expression" dxfId="778" priority="158">
      <formula>$F197="Fail"</formula>
    </cfRule>
  </conditionalFormatting>
  <conditionalFormatting sqref="B197:C198">
    <cfRule type="expression" dxfId="777" priority="157">
      <formula>$F197="Fail"</formula>
    </cfRule>
  </conditionalFormatting>
  <conditionalFormatting sqref="B143">
    <cfRule type="expression" dxfId="776" priority="155">
      <formula>$F143="Fail"</formula>
    </cfRule>
  </conditionalFormatting>
  <conditionalFormatting sqref="B143">
    <cfRule type="expression" dxfId="775" priority="154">
      <formula>$F143="Fail"</formula>
    </cfRule>
  </conditionalFormatting>
  <conditionalFormatting sqref="B161">
    <cfRule type="expression" dxfId="774" priority="153">
      <formula>$F161="Fail"</formula>
    </cfRule>
  </conditionalFormatting>
  <conditionalFormatting sqref="B181">
    <cfRule type="expression" dxfId="773" priority="150">
      <formula>$F181="Fail"</formula>
    </cfRule>
  </conditionalFormatting>
  <conditionalFormatting sqref="F200:K201">
    <cfRule type="expression" dxfId="772" priority="284">
      <formula>$F200="Fail"</formula>
    </cfRule>
  </conditionalFormatting>
  <conditionalFormatting sqref="B200:D200 B201:C201">
    <cfRule type="expression" dxfId="771" priority="283">
      <formula>$F200="Fail"</formula>
    </cfRule>
  </conditionalFormatting>
  <conditionalFormatting sqref="D201">
    <cfRule type="expression" dxfId="770" priority="282">
      <formula>$F201="Fail"</formula>
    </cfRule>
  </conditionalFormatting>
  <conditionalFormatting sqref="B12:C12 B44:C44 F12:K13 F19:K19 G14:K18 F21:K21 G20:K20 F28:K29 G22:K27 F31:K31 G30:K30 F33:K33 G32:K32 F42:K45 G34:K41 F50:K52 G46:K49">
    <cfRule type="expression" dxfId="769" priority="281">
      <formula>$F12="Fail"</formula>
    </cfRule>
  </conditionalFormatting>
  <conditionalFormatting sqref="B3:K3 D8:E9 D4:E5">
    <cfRule type="expression" dxfId="768" priority="280">
      <formula>$F3="Fail"</formula>
    </cfRule>
  </conditionalFormatting>
  <conditionalFormatting sqref="D10:E11">
    <cfRule type="expression" dxfId="767" priority="279">
      <formula>$F10="Fail"</formula>
    </cfRule>
  </conditionalFormatting>
  <conditionalFormatting sqref="D7:E7">
    <cfRule type="expression" dxfId="766" priority="278">
      <formula>$F7="Fail"</formula>
    </cfRule>
  </conditionalFormatting>
  <conditionalFormatting sqref="D6:E6">
    <cfRule type="expression" dxfId="765" priority="277">
      <formula>$F6="Fail"</formula>
    </cfRule>
  </conditionalFormatting>
  <conditionalFormatting sqref="F4:F7">
    <cfRule type="expression" dxfId="764" priority="276">
      <formula>$F4="Fail"</formula>
    </cfRule>
  </conditionalFormatting>
  <conditionalFormatting sqref="B10:C10">
    <cfRule type="expression" dxfId="763" priority="275">
      <formula>$F10="Fail"</formula>
    </cfRule>
  </conditionalFormatting>
  <conditionalFormatting sqref="B11:C11">
    <cfRule type="expression" dxfId="762" priority="274">
      <formula>$F11="Fail"</formula>
    </cfRule>
  </conditionalFormatting>
  <conditionalFormatting sqref="B11:C11">
    <cfRule type="expression" dxfId="761" priority="273">
      <formula>$F11="Fail"</formula>
    </cfRule>
  </conditionalFormatting>
  <conditionalFormatting sqref="G4:K11">
    <cfRule type="expression" dxfId="760" priority="272">
      <formula>$F4="Fail"</formula>
    </cfRule>
  </conditionalFormatting>
  <conditionalFormatting sqref="B43:C43 D28 B28 B42 D39:D41">
    <cfRule type="expression" dxfId="759" priority="271">
      <formula>$F28="Fail"</formula>
    </cfRule>
  </conditionalFormatting>
  <conditionalFormatting sqref="B43:D43 B42 D42">
    <cfRule type="expression" dxfId="758" priority="270">
      <formula>$F42="Fail"</formula>
    </cfRule>
  </conditionalFormatting>
  <conditionalFormatting sqref="C46:C51">
    <cfRule type="expression" dxfId="757" priority="268">
      <formula>$F46="Fail"</formula>
    </cfRule>
  </conditionalFormatting>
  <conditionalFormatting sqref="C46:C51">
    <cfRule type="expression" dxfId="756" priority="267">
      <formula>$F46="Fail"</formula>
    </cfRule>
  </conditionalFormatting>
  <conditionalFormatting sqref="B45">
    <cfRule type="expression" dxfId="755" priority="266">
      <formula>$F45="Fail"</formula>
    </cfRule>
  </conditionalFormatting>
  <conditionalFormatting sqref="C45">
    <cfRule type="expression" dxfId="754" priority="265">
      <formula>$F45="Fail"</formula>
    </cfRule>
  </conditionalFormatting>
  <conditionalFormatting sqref="C49:C51">
    <cfRule type="expression" dxfId="753" priority="264">
      <formula>$F49="Fail"</formula>
    </cfRule>
  </conditionalFormatting>
  <conditionalFormatting sqref="B46:C51">
    <cfRule type="expression" dxfId="752" priority="269">
      <formula>$F46="Fail"</formula>
    </cfRule>
  </conditionalFormatting>
  <conditionalFormatting sqref="C28">
    <cfRule type="expression" dxfId="751" priority="254">
      <formula>$F28="Fail"</formula>
    </cfRule>
  </conditionalFormatting>
  <conditionalFormatting sqref="B142:C142 B180:C180">
    <cfRule type="expression" dxfId="750" priority="262">
      <formula>$F142="Fail"</formula>
    </cfRule>
  </conditionalFormatting>
  <conditionalFormatting sqref="B142:C142 B180:C180">
    <cfRule type="expression" dxfId="749" priority="261">
      <formula>$F142="Fail"</formula>
    </cfRule>
  </conditionalFormatting>
  <conditionalFormatting sqref="C139">
    <cfRule type="expression" dxfId="748" priority="215">
      <formula>$F139="Fail"</formula>
    </cfRule>
  </conditionalFormatting>
  <conditionalFormatting sqref="B52">
    <cfRule type="expression" dxfId="747" priority="258">
      <formula>$F52="Fail"</formula>
    </cfRule>
  </conditionalFormatting>
  <conditionalFormatting sqref="C52">
    <cfRule type="expression" dxfId="746" priority="257">
      <formula>$F52="Fail"</formula>
    </cfRule>
  </conditionalFormatting>
  <conditionalFormatting sqref="D22:D27 B27:C27">
    <cfRule type="expression" dxfId="745" priority="247">
      <formula>$F22="Fail"</formula>
    </cfRule>
  </conditionalFormatting>
  <conditionalFormatting sqref="D21">
    <cfRule type="expression" dxfId="744" priority="246">
      <formula>$F21="Fail"</formula>
    </cfRule>
  </conditionalFormatting>
  <conditionalFormatting sqref="C28 C42">
    <cfRule type="expression" dxfId="743" priority="256">
      <formula>$F28="Fail"</formula>
    </cfRule>
  </conditionalFormatting>
  <conditionalFormatting sqref="C42">
    <cfRule type="expression" dxfId="742" priority="255">
      <formula>$F42="Fail"</formula>
    </cfRule>
  </conditionalFormatting>
  <conditionalFormatting sqref="F8 F10:F11">
    <cfRule type="expression" dxfId="741" priority="253">
      <formula>$F8="Fail"</formula>
    </cfRule>
  </conditionalFormatting>
  <conditionalFormatting sqref="B8:C8">
    <cfRule type="expression" dxfId="740" priority="252">
      <formula>$F8="Fail"</formula>
    </cfRule>
  </conditionalFormatting>
  <conditionalFormatting sqref="B8:C8">
    <cfRule type="expression" dxfId="739" priority="251">
      <formula>$F8="Fail"</formula>
    </cfRule>
  </conditionalFormatting>
  <conditionalFormatting sqref="B9:C9">
    <cfRule type="expression" dxfId="738" priority="250">
      <formula>$F9="Fail"</formula>
    </cfRule>
  </conditionalFormatting>
  <conditionalFormatting sqref="C4 B5:C7">
    <cfRule type="expression" dxfId="737" priority="249">
      <formula>$F4="Fail"</formula>
    </cfRule>
  </conditionalFormatting>
  <conditionalFormatting sqref="B4">
    <cfRule type="expression" dxfId="736" priority="248">
      <formula>$F4="Fail"</formula>
    </cfRule>
  </conditionalFormatting>
  <conditionalFormatting sqref="B26:C26">
    <cfRule type="expression" dxfId="735" priority="239">
      <formula>$F26="Fail"</formula>
    </cfRule>
  </conditionalFormatting>
  <conditionalFormatting sqref="D14">
    <cfRule type="expression" dxfId="734" priority="245">
      <formula>$F14="Fail"</formula>
    </cfRule>
  </conditionalFormatting>
  <conditionalFormatting sqref="B13:C13 B15:C23 B24">
    <cfRule type="expression" dxfId="733" priority="243">
      <formula>$F13="Fail"</formula>
    </cfRule>
  </conditionalFormatting>
  <conditionalFormatting sqref="C24">
    <cfRule type="expression" dxfId="732" priority="240">
      <formula>$F24="Fail"</formula>
    </cfRule>
  </conditionalFormatting>
  <conditionalFormatting sqref="C25">
    <cfRule type="expression" dxfId="731" priority="236">
      <formula>$F25="Fail"</formula>
    </cfRule>
  </conditionalFormatting>
  <conditionalFormatting sqref="D15:D20">
    <cfRule type="expression" dxfId="730" priority="244">
      <formula>$F15="Fail"</formula>
    </cfRule>
  </conditionalFormatting>
  <conditionalFormatting sqref="B14">
    <cfRule type="expression" dxfId="729" priority="242">
      <formula>$F14="Fail"</formula>
    </cfRule>
  </conditionalFormatting>
  <conditionalFormatting sqref="C14">
    <cfRule type="expression" dxfId="728" priority="241">
      <formula>$F14="Fail"</formula>
    </cfRule>
  </conditionalFormatting>
  <conditionalFormatting sqref="D13">
    <cfRule type="expression" dxfId="727" priority="238">
      <formula>$F13="Fail"</formula>
    </cfRule>
  </conditionalFormatting>
  <conditionalFormatting sqref="B25">
    <cfRule type="expression" dxfId="726" priority="237">
      <formula>$F25="Fail"</formula>
    </cfRule>
  </conditionalFormatting>
  <conditionalFormatting sqref="B26">
    <cfRule type="expression" dxfId="725" priority="235">
      <formula>$F26="Fail"</formula>
    </cfRule>
  </conditionalFormatting>
  <conditionalFormatting sqref="C26">
    <cfRule type="expression" dxfId="724" priority="234">
      <formula>$F26="Fail"</formula>
    </cfRule>
  </conditionalFormatting>
  <conditionalFormatting sqref="B37:C37">
    <cfRule type="expression" dxfId="723" priority="225">
      <formula>$F37="Fail"</formula>
    </cfRule>
  </conditionalFormatting>
  <conditionalFormatting sqref="D30:D36">
    <cfRule type="expression" dxfId="722" priority="233">
      <formula>$F30="Fail"</formula>
    </cfRule>
  </conditionalFormatting>
  <conditionalFormatting sqref="D37:D38">
    <cfRule type="expression" dxfId="721" priority="232">
      <formula>$F37="Fail"</formula>
    </cfRule>
  </conditionalFormatting>
  <conditionalFormatting sqref="C29">
    <cfRule type="expression" dxfId="720" priority="231">
      <formula>$F29="Fail"</formula>
    </cfRule>
  </conditionalFormatting>
  <conditionalFormatting sqref="B29">
    <cfRule type="expression" dxfId="719" priority="230">
      <formula>$F29="Fail"</formula>
    </cfRule>
  </conditionalFormatting>
  <conditionalFormatting sqref="B31:C31 B34:C36 B38:C40 B41">
    <cfRule type="expression" dxfId="718" priority="228">
      <formula>$F31="Fail"</formula>
    </cfRule>
  </conditionalFormatting>
  <conditionalFormatting sqref="B30:C30">
    <cfRule type="expression" dxfId="717" priority="227">
      <formula>$F30="Fail"</formula>
    </cfRule>
  </conditionalFormatting>
  <conditionalFormatting sqref="D29">
    <cfRule type="expression" dxfId="716" priority="229">
      <formula>$F29="Fail"</formula>
    </cfRule>
  </conditionalFormatting>
  <conditionalFormatting sqref="B32:C33">
    <cfRule type="expression" dxfId="715" priority="226">
      <formula>$F32="Fail"</formula>
    </cfRule>
  </conditionalFormatting>
  <conditionalFormatting sqref="B139 D139">
    <cfRule type="expression" dxfId="714" priority="217">
      <formula>$F139="Fail"</formula>
    </cfRule>
  </conditionalFormatting>
  <conditionalFormatting sqref="C139">
    <cfRule type="expression" dxfId="713" priority="216">
      <formula>$F139="Fail"</formula>
    </cfRule>
  </conditionalFormatting>
  <conditionalFormatting sqref="D127:D133">
    <cfRule type="expression" dxfId="712" priority="214">
      <formula>$F127="Fail"</formula>
    </cfRule>
  </conditionalFormatting>
  <conditionalFormatting sqref="D134:D135">
    <cfRule type="expression" dxfId="711" priority="213">
      <formula>$F134="Fail"</formula>
    </cfRule>
  </conditionalFormatting>
  <conditionalFormatting sqref="C126">
    <cfRule type="expression" dxfId="710" priority="212">
      <formula>$F126="Fail"</formula>
    </cfRule>
  </conditionalFormatting>
  <conditionalFormatting sqref="D126">
    <cfRule type="expression" dxfId="709" priority="211">
      <formula>$F126="Fail"</formula>
    </cfRule>
  </conditionalFormatting>
  <conditionalFormatting sqref="B157 D157">
    <cfRule type="expression" dxfId="708" priority="201">
      <formula>$F157="Fail"</formula>
    </cfRule>
  </conditionalFormatting>
  <conditionalFormatting sqref="B146:C146 B149:C151 B153:C155 B156">
    <cfRule type="expression" dxfId="707" priority="194">
      <formula>$F146="Fail"</formula>
    </cfRule>
  </conditionalFormatting>
  <conditionalFormatting sqref="D182">
    <cfRule type="expression" dxfId="706" priority="165">
      <formula>$F182="Fail"</formula>
    </cfRule>
  </conditionalFormatting>
  <conditionalFormatting sqref="B182">
    <cfRule type="expression" dxfId="705" priority="166">
      <formula>$F182="Fail"</formula>
    </cfRule>
  </conditionalFormatting>
  <conditionalFormatting sqref="B161">
    <cfRule type="expression" dxfId="704" priority="152">
      <formula>$F161="Fail"</formula>
    </cfRule>
  </conditionalFormatting>
  <conditionalFormatting sqref="B181">
    <cfRule type="expression" dxfId="703" priority="151">
      <formula>$F181="Fail"</formula>
    </cfRule>
  </conditionalFormatting>
  <conditionalFormatting sqref="C105">
    <cfRule type="expression" dxfId="702" priority="106">
      <formula>$F105="Fail"</formula>
    </cfRule>
  </conditionalFormatting>
  <conditionalFormatting sqref="B53:C56 B69:C70 B78:B80 B58:B60 C57:C60 C67:C68 B77:C77 B72:B76 B62:B66 B82:B90 B92:B100 B102:B106 B107:C115 F66:K67 G53:K65 F76:K77 G68:K75 F86:K87 G78:K85 F96:K97 G88:K95 F106:K106 G98:K105 F110:K110 G107:K109 G111:K115">
    <cfRule type="expression" dxfId="701" priority="149">
      <formula>$F53="Fail"</formula>
    </cfRule>
  </conditionalFormatting>
  <conditionalFormatting sqref="C109:C110">
    <cfRule type="expression" dxfId="700" priority="148">
      <formula>$F109="Fail"</formula>
    </cfRule>
  </conditionalFormatting>
  <conditionalFormatting sqref="C78:C80 C88:C90">
    <cfRule type="expression" dxfId="699" priority="147">
      <formula>$F78="Fail"</formula>
    </cfRule>
  </conditionalFormatting>
  <conditionalFormatting sqref="C87">
    <cfRule type="expression" dxfId="698" priority="146">
      <formula>$F87="Fail"</formula>
    </cfRule>
  </conditionalFormatting>
  <conditionalFormatting sqref="C98:C100 C106">
    <cfRule type="expression" dxfId="697" priority="145">
      <formula>$F98="Fail"</formula>
    </cfRule>
  </conditionalFormatting>
  <conditionalFormatting sqref="C97">
    <cfRule type="expression" dxfId="696" priority="144">
      <formula>$F97="Fail"</formula>
    </cfRule>
  </conditionalFormatting>
  <conditionalFormatting sqref="C62:C66">
    <cfRule type="expression" dxfId="695" priority="143">
      <formula>$F62="Fail"</formula>
    </cfRule>
  </conditionalFormatting>
  <conditionalFormatting sqref="C62:C66">
    <cfRule type="expression" dxfId="694" priority="142">
      <formula>$F62="Fail"</formula>
    </cfRule>
  </conditionalFormatting>
  <conditionalFormatting sqref="C61">
    <cfRule type="expression" dxfId="693" priority="141">
      <formula>$F61="Fail"</formula>
    </cfRule>
  </conditionalFormatting>
  <conditionalFormatting sqref="C61">
    <cfRule type="expression" dxfId="692" priority="140">
      <formula>$F61="Fail"</formula>
    </cfRule>
  </conditionalFormatting>
  <conditionalFormatting sqref="C61">
    <cfRule type="expression" dxfId="691" priority="139">
      <formula>$F61="Fail"</formula>
    </cfRule>
  </conditionalFormatting>
  <conditionalFormatting sqref="C72:C74">
    <cfRule type="expression" dxfId="690" priority="138">
      <formula>$F72="Fail"</formula>
    </cfRule>
  </conditionalFormatting>
  <conditionalFormatting sqref="C72:C74">
    <cfRule type="expression" dxfId="689" priority="137">
      <formula>$F72="Fail"</formula>
    </cfRule>
  </conditionalFormatting>
  <conditionalFormatting sqref="C71">
    <cfRule type="expression" dxfId="688" priority="136">
      <formula>$F71="Fail"</formula>
    </cfRule>
  </conditionalFormatting>
  <conditionalFormatting sqref="C71">
    <cfRule type="expression" dxfId="687" priority="135">
      <formula>$F71="Fail"</formula>
    </cfRule>
  </conditionalFormatting>
  <conditionalFormatting sqref="C71">
    <cfRule type="expression" dxfId="686" priority="134">
      <formula>$F71="Fail"</formula>
    </cfRule>
  </conditionalFormatting>
  <conditionalFormatting sqref="C82:C84">
    <cfRule type="expression" dxfId="685" priority="133">
      <formula>$F82="Fail"</formula>
    </cfRule>
  </conditionalFormatting>
  <conditionalFormatting sqref="C82:C84">
    <cfRule type="expression" dxfId="684" priority="132">
      <formula>$F82="Fail"</formula>
    </cfRule>
  </conditionalFormatting>
  <conditionalFormatting sqref="C81">
    <cfRule type="expression" dxfId="683" priority="131">
      <formula>$F81="Fail"</formula>
    </cfRule>
  </conditionalFormatting>
  <conditionalFormatting sqref="C81">
    <cfRule type="expression" dxfId="682" priority="130">
      <formula>$F81="Fail"</formula>
    </cfRule>
  </conditionalFormatting>
  <conditionalFormatting sqref="C81">
    <cfRule type="expression" dxfId="681" priority="129">
      <formula>$F81="Fail"</formula>
    </cfRule>
  </conditionalFormatting>
  <conditionalFormatting sqref="C92:C94">
    <cfRule type="expression" dxfId="680" priority="128">
      <formula>$F92="Fail"</formula>
    </cfRule>
  </conditionalFormatting>
  <conditionalFormatting sqref="C92:C94">
    <cfRule type="expression" dxfId="679" priority="127">
      <formula>$F92="Fail"</formula>
    </cfRule>
  </conditionalFormatting>
  <conditionalFormatting sqref="C91">
    <cfRule type="expression" dxfId="678" priority="126">
      <formula>$F91="Fail"</formula>
    </cfRule>
  </conditionalFormatting>
  <conditionalFormatting sqref="C91">
    <cfRule type="expression" dxfId="677" priority="125">
      <formula>$F91="Fail"</formula>
    </cfRule>
  </conditionalFormatting>
  <conditionalFormatting sqref="C91">
    <cfRule type="expression" dxfId="676" priority="124">
      <formula>$F91="Fail"</formula>
    </cfRule>
  </conditionalFormatting>
  <conditionalFormatting sqref="C102:C104">
    <cfRule type="expression" dxfId="675" priority="123">
      <formula>$F102="Fail"</formula>
    </cfRule>
  </conditionalFormatting>
  <conditionalFormatting sqref="C102:C104">
    <cfRule type="expression" dxfId="674" priority="122">
      <formula>$F102="Fail"</formula>
    </cfRule>
  </conditionalFormatting>
  <conditionalFormatting sqref="C101">
    <cfRule type="expression" dxfId="673" priority="121">
      <formula>$F101="Fail"</formula>
    </cfRule>
  </conditionalFormatting>
  <conditionalFormatting sqref="C101">
    <cfRule type="expression" dxfId="672" priority="120">
      <formula>$F101="Fail"</formula>
    </cfRule>
  </conditionalFormatting>
  <conditionalFormatting sqref="C101">
    <cfRule type="expression" dxfId="671" priority="119">
      <formula>$F101="Fail"</formula>
    </cfRule>
  </conditionalFormatting>
  <conditionalFormatting sqref="B61">
    <cfRule type="expression" dxfId="670" priority="118">
      <formula>$F61="Fail"</formula>
    </cfRule>
  </conditionalFormatting>
  <conditionalFormatting sqref="B71">
    <cfRule type="expression" dxfId="669" priority="117">
      <formula>$F71="Fail"</formula>
    </cfRule>
  </conditionalFormatting>
  <conditionalFormatting sqref="B81">
    <cfRule type="expression" dxfId="668" priority="116">
      <formula>$F81="Fail"</formula>
    </cfRule>
  </conditionalFormatting>
  <conditionalFormatting sqref="B91">
    <cfRule type="expression" dxfId="667" priority="115">
      <formula>$F91="Fail"</formula>
    </cfRule>
  </conditionalFormatting>
  <conditionalFormatting sqref="B101">
    <cfRule type="expression" dxfId="666" priority="114">
      <formula>$F101="Fail"</formula>
    </cfRule>
  </conditionalFormatting>
  <conditionalFormatting sqref="C85:C86">
    <cfRule type="expression" dxfId="665" priority="113">
      <formula>$F85="Fail"</formula>
    </cfRule>
  </conditionalFormatting>
  <conditionalFormatting sqref="C85:C86">
    <cfRule type="expression" dxfId="664" priority="112">
      <formula>$F85="Fail"</formula>
    </cfRule>
  </conditionalFormatting>
  <conditionalFormatting sqref="C75:C76">
    <cfRule type="expression" dxfId="663" priority="111">
      <formula>$F75="Fail"</formula>
    </cfRule>
  </conditionalFormatting>
  <conditionalFormatting sqref="C75:C76">
    <cfRule type="expression" dxfId="662" priority="110">
      <formula>$F75="Fail"</formula>
    </cfRule>
  </conditionalFormatting>
  <conditionalFormatting sqref="C95:C96">
    <cfRule type="expression" dxfId="661" priority="109">
      <formula>$F95="Fail"</formula>
    </cfRule>
  </conditionalFormatting>
  <conditionalFormatting sqref="C95:C96">
    <cfRule type="expression" dxfId="660" priority="108">
      <formula>$F95="Fail"</formula>
    </cfRule>
  </conditionalFormatting>
  <conditionalFormatting sqref="C105">
    <cfRule type="expression" dxfId="659" priority="107">
      <formula>$F105="Fail"</formula>
    </cfRule>
  </conditionalFormatting>
  <conditionalFormatting sqref="F5:F7">
    <cfRule type="expression" dxfId="658" priority="105">
      <formula>$F5="Fail"</formula>
    </cfRule>
  </conditionalFormatting>
  <conditionalFormatting sqref="F35">
    <cfRule type="expression" dxfId="657" priority="96">
      <formula>$F35="Fail"</formula>
    </cfRule>
  </conditionalFormatting>
  <conditionalFormatting sqref="F57">
    <cfRule type="expression" dxfId="656" priority="94">
      <formula>$F57="Fail"</formula>
    </cfRule>
  </conditionalFormatting>
  <conditionalFormatting sqref="F15 F17">
    <cfRule type="expression" dxfId="655" priority="92">
      <formula>$F15="Fail"</formula>
    </cfRule>
  </conditionalFormatting>
  <conditionalFormatting sqref="F41">
    <cfRule type="expression" dxfId="654" priority="85">
      <formula>$F41="Fail"</formula>
    </cfRule>
  </conditionalFormatting>
  <conditionalFormatting sqref="F107:F109">
    <cfRule type="expression" dxfId="653" priority="71">
      <formula>$F107="Fail"</formula>
    </cfRule>
  </conditionalFormatting>
  <conditionalFormatting sqref="F9">
    <cfRule type="expression" dxfId="650" priority="42">
      <formula>$F9="Fail"</formula>
    </cfRule>
  </conditionalFormatting>
  <conditionalFormatting sqref="F53:F56">
    <cfRule type="expression" dxfId="649" priority="41">
      <formula>$F53="Fail"</formula>
    </cfRule>
  </conditionalFormatting>
  <conditionalFormatting sqref="F58:F65">
    <cfRule type="expression" dxfId="648" priority="40">
      <formula>$F58="Fail"</formula>
    </cfRule>
  </conditionalFormatting>
  <conditionalFormatting sqref="F68:F75">
    <cfRule type="expression" dxfId="647" priority="39">
      <formula>$F68="Fail"</formula>
    </cfRule>
  </conditionalFormatting>
  <conditionalFormatting sqref="F78:F85">
    <cfRule type="expression" dxfId="646" priority="38">
      <formula>$F78="Fail"</formula>
    </cfRule>
  </conditionalFormatting>
  <conditionalFormatting sqref="F88">
    <cfRule type="expression" dxfId="645" priority="37">
      <formula>$F88="Fail"</formula>
    </cfRule>
  </conditionalFormatting>
  <conditionalFormatting sqref="F89:F95">
    <cfRule type="expression" dxfId="644" priority="36">
      <formula>$F89="Fail"</formula>
    </cfRule>
  </conditionalFormatting>
  <conditionalFormatting sqref="F98:F105">
    <cfRule type="expression" dxfId="643" priority="35">
      <formula>$F98="Fail"</formula>
    </cfRule>
  </conditionalFormatting>
  <conditionalFormatting sqref="F111:F115">
    <cfRule type="expression" dxfId="642" priority="34">
      <formula>$F111="Fail"</formula>
    </cfRule>
  </conditionalFormatting>
  <conditionalFormatting sqref="F119:F124">
    <cfRule type="expression" dxfId="641" priority="33">
      <formula>$F119="Fail"</formula>
    </cfRule>
  </conditionalFormatting>
  <conditionalFormatting sqref="F127">
    <cfRule type="expression" dxfId="640" priority="32">
      <formula>$F127="Fail"</formula>
    </cfRule>
  </conditionalFormatting>
  <conditionalFormatting sqref="F129">
    <cfRule type="expression" dxfId="639" priority="31">
      <formula>$F129="Fail"</formula>
    </cfRule>
  </conditionalFormatting>
  <conditionalFormatting sqref="F131:F138">
    <cfRule type="expression" dxfId="638" priority="30">
      <formula>$F131="Fail"</formula>
    </cfRule>
  </conditionalFormatting>
  <conditionalFormatting sqref="F140:F141">
    <cfRule type="expression" dxfId="637" priority="29">
      <formula>$F140="Fail"</formula>
    </cfRule>
  </conditionalFormatting>
  <conditionalFormatting sqref="F143">
    <cfRule type="expression" dxfId="636" priority="28">
      <formula>$F143="Fail"</formula>
    </cfRule>
  </conditionalFormatting>
  <conditionalFormatting sqref="F145">
    <cfRule type="expression" dxfId="635" priority="27">
      <formula>$F145="Fail"</formula>
    </cfRule>
  </conditionalFormatting>
  <conditionalFormatting sqref="F147:F156">
    <cfRule type="expression" dxfId="634" priority="26">
      <formula>$F147="Fail"</formula>
    </cfRule>
  </conditionalFormatting>
  <conditionalFormatting sqref="F158:F159">
    <cfRule type="expression" dxfId="633" priority="25">
      <formula>$F158="Fail"</formula>
    </cfRule>
  </conditionalFormatting>
  <conditionalFormatting sqref="F165:F166">
    <cfRule type="expression" dxfId="632" priority="22">
      <formula>$F165="Fail"</formula>
    </cfRule>
  </conditionalFormatting>
  <conditionalFormatting sqref="F163:F164">
    <cfRule type="expression" dxfId="631" priority="21">
      <formula>$F163="Fail"</formula>
    </cfRule>
  </conditionalFormatting>
  <conditionalFormatting sqref="F161:F162">
    <cfRule type="expression" dxfId="630" priority="20">
      <formula>$F161="Fail"</formula>
    </cfRule>
  </conditionalFormatting>
  <conditionalFormatting sqref="F168:F175">
    <cfRule type="expression" dxfId="629" priority="19">
      <formula>$F168="Fail"</formula>
    </cfRule>
  </conditionalFormatting>
  <conditionalFormatting sqref="F176">
    <cfRule type="expression" dxfId="628" priority="18">
      <formula>$F176="Fail"</formula>
    </cfRule>
  </conditionalFormatting>
  <conditionalFormatting sqref="F181">
    <cfRule type="expression" dxfId="627" priority="17">
      <formula>$F181="Fail"</formula>
    </cfRule>
  </conditionalFormatting>
  <conditionalFormatting sqref="F183">
    <cfRule type="expression" dxfId="626" priority="16">
      <formula>$F183="Fail"</formula>
    </cfRule>
  </conditionalFormatting>
  <conditionalFormatting sqref="F185:F186">
    <cfRule type="expression" dxfId="625" priority="15">
      <formula>$F185="Fail"</formula>
    </cfRule>
  </conditionalFormatting>
  <conditionalFormatting sqref="F189:F195">
    <cfRule type="expression" dxfId="624" priority="14">
      <formula>$F189="Fail"</formula>
    </cfRule>
  </conditionalFormatting>
  <conditionalFormatting sqref="F197:F198">
    <cfRule type="expression" dxfId="623" priority="13">
      <formula>$F197="Fail"</formula>
    </cfRule>
  </conditionalFormatting>
  <conditionalFormatting sqref="F14">
    <cfRule type="expression" dxfId="622" priority="12">
      <formula>$F14="Fail"</formula>
    </cfRule>
  </conditionalFormatting>
  <conditionalFormatting sqref="F16">
    <cfRule type="expression" dxfId="621" priority="11">
      <formula>$F16="Fail"</formula>
    </cfRule>
  </conditionalFormatting>
  <conditionalFormatting sqref="F18">
    <cfRule type="expression" dxfId="620" priority="10">
      <formula>$F18="Fail"</formula>
    </cfRule>
  </conditionalFormatting>
  <conditionalFormatting sqref="F20">
    <cfRule type="expression" dxfId="619" priority="9">
      <formula>$F20="Fail"</formula>
    </cfRule>
  </conditionalFormatting>
  <conditionalFormatting sqref="F22:F27">
    <cfRule type="expression" dxfId="618" priority="8">
      <formula>$F22="Fail"</formula>
    </cfRule>
  </conditionalFormatting>
  <conditionalFormatting sqref="F30">
    <cfRule type="expression" dxfId="617" priority="7">
      <formula>$F30="Fail"</formula>
    </cfRule>
  </conditionalFormatting>
  <conditionalFormatting sqref="F32">
    <cfRule type="expression" dxfId="616" priority="6">
      <formula>$F32="Fail"</formula>
    </cfRule>
  </conditionalFormatting>
  <conditionalFormatting sqref="F34">
    <cfRule type="expression" dxfId="615" priority="5">
      <formula>$F34="Fail"</formula>
    </cfRule>
  </conditionalFormatting>
  <conditionalFormatting sqref="F36:F40">
    <cfRule type="expression" dxfId="614" priority="4">
      <formula>$F36="Fail"</formula>
    </cfRule>
  </conditionalFormatting>
  <conditionalFormatting sqref="F46:F49">
    <cfRule type="expression" dxfId="613" priority="3">
      <formula>$F46="Fail"</formula>
    </cfRule>
  </conditionalFormatting>
  <conditionalFormatting sqref="F178:F179">
    <cfRule type="expression" dxfId="5" priority="2">
      <formula>$F178="Fail"</formula>
    </cfRule>
  </conditionalFormatting>
  <conditionalFormatting sqref="F125">
    <cfRule type="expression" dxfId="3" priority="1">
      <formula>$F125="Fail"</formula>
    </cfRule>
  </conditionalFormatting>
  <dataValidations count="1">
    <dataValidation type="list" allowBlank="1" showInputMessage="1" showErrorMessage="1" sqref="F3:F205">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56" id="{2BD8D37B-5BD0-408A-B645-4AE8DCA8A1BF}">
            <xm:f>'C:\Users\E939818\Documents\_Project Documents\SVN TEST  team\_Sutuwa\Testing\Release 1\Stats\[SEB_InvestAdmin_Investment.xlsm]External'!#REF!="Fail"</xm:f>
            <x14:dxf>
              <font>
                <color rgb="FFFF0000"/>
              </font>
              <fill>
                <patternFill>
                  <bgColor theme="9" tint="0.59996337778862885"/>
                </patternFill>
              </fill>
            </x14:dxf>
          </x14:cfRule>
          <xm:sqref>B118:D124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83"/>
  <sheetViews>
    <sheetView topLeftCell="C1" zoomScaleNormal="100" workbookViewId="0">
      <pane ySplit="1" topLeftCell="A64" activePane="bottomLeft" state="frozen"/>
      <selection pane="bottomLeft" activeCell="F65" sqref="F65"/>
    </sheetView>
  </sheetViews>
  <sheetFormatPr defaultRowHeight="15" x14ac:dyDescent="0.25"/>
  <cols>
    <col min="1" max="1" width="11.28515625" style="3" bestFit="1" customWidth="1"/>
    <col min="2" max="2" width="56.7109375" style="1" customWidth="1"/>
    <col min="3" max="3" width="50.7109375" style="1" customWidth="1"/>
    <col min="4" max="4" width="48.140625" style="1" customWidth="1"/>
    <col min="5" max="5" width="7.85546875" style="1" customWidth="1"/>
    <col min="6" max="6" width="8.5703125"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657</v>
      </c>
      <c r="C2" s="183"/>
      <c r="D2" s="102" t="s">
        <v>658</v>
      </c>
      <c r="E2" s="99"/>
      <c r="F2" s="98"/>
      <c r="G2" s="99"/>
      <c r="H2" s="99"/>
      <c r="I2" s="99"/>
      <c r="J2" s="99"/>
      <c r="K2" s="99"/>
      <c r="L2" s="99"/>
    </row>
    <row r="3" spans="1:12" s="19" customFormat="1" x14ac:dyDescent="0.25">
      <c r="A3" s="15">
        <v>2</v>
      </c>
      <c r="B3" s="16" t="s">
        <v>651</v>
      </c>
      <c r="C3" s="17"/>
      <c r="D3" s="16"/>
      <c r="E3" s="16"/>
      <c r="F3" s="18"/>
      <c r="G3" s="18"/>
      <c r="H3" s="18"/>
      <c r="I3" s="18"/>
      <c r="J3" s="18"/>
      <c r="K3" s="18"/>
      <c r="L3" s="16"/>
    </row>
    <row r="4" spans="1:12" ht="25.5" x14ac:dyDescent="0.25">
      <c r="A4" s="4">
        <f t="shared" ref="A4:A77" si="0">A3+0.0001</f>
        <v>2.0001000000000002</v>
      </c>
      <c r="B4" s="5" t="s">
        <v>654</v>
      </c>
      <c r="C4" s="8"/>
      <c r="D4" s="6"/>
      <c r="E4" s="5"/>
      <c r="F4" s="7" t="s">
        <v>5</v>
      </c>
      <c r="G4" s="7">
        <f t="shared" ref="G4:K21" si="1">IF($F4=G$1,1,0)</f>
        <v>1</v>
      </c>
      <c r="H4" s="7">
        <f t="shared" si="1"/>
        <v>0</v>
      </c>
      <c r="I4" s="7">
        <f t="shared" si="1"/>
        <v>0</v>
      </c>
      <c r="J4" s="7">
        <f t="shared" si="1"/>
        <v>0</v>
      </c>
      <c r="K4" s="7">
        <f t="shared" si="1"/>
        <v>0</v>
      </c>
      <c r="L4" s="6"/>
    </row>
    <row r="5" spans="1:12" ht="25.5" x14ac:dyDescent="0.25">
      <c r="A5" s="4">
        <f t="shared" si="0"/>
        <v>2.0002000000000004</v>
      </c>
      <c r="B5" s="63" t="s">
        <v>593</v>
      </c>
      <c r="C5" s="8" t="s">
        <v>594</v>
      </c>
      <c r="D5" s="6"/>
      <c r="E5" s="5"/>
      <c r="F5" s="7" t="s">
        <v>5</v>
      </c>
      <c r="G5" s="7">
        <f t="shared" si="1"/>
        <v>1</v>
      </c>
      <c r="H5" s="7">
        <f t="shared" si="1"/>
        <v>0</v>
      </c>
      <c r="I5" s="7">
        <f t="shared" si="1"/>
        <v>0</v>
      </c>
      <c r="J5" s="7">
        <f t="shared" si="1"/>
        <v>0</v>
      </c>
      <c r="K5" s="7">
        <f t="shared" si="1"/>
        <v>0</v>
      </c>
      <c r="L5" s="6"/>
    </row>
    <row r="6" spans="1:12" ht="25.5" x14ac:dyDescent="0.25">
      <c r="A6" s="4">
        <f t="shared" si="0"/>
        <v>2.0003000000000006</v>
      </c>
      <c r="B6" s="5" t="s">
        <v>595</v>
      </c>
      <c r="C6" s="8" t="s">
        <v>596</v>
      </c>
      <c r="D6" s="6"/>
      <c r="E6" s="5"/>
      <c r="F6" s="7" t="s">
        <v>5</v>
      </c>
      <c r="G6" s="7">
        <f t="shared" si="1"/>
        <v>1</v>
      </c>
      <c r="H6" s="7">
        <f t="shared" si="1"/>
        <v>0</v>
      </c>
      <c r="I6" s="7">
        <f t="shared" si="1"/>
        <v>0</v>
      </c>
      <c r="J6" s="7">
        <f t="shared" si="1"/>
        <v>0</v>
      </c>
      <c r="K6" s="7">
        <f t="shared" si="1"/>
        <v>0</v>
      </c>
      <c r="L6" s="6"/>
    </row>
    <row r="7" spans="1:12" x14ac:dyDescent="0.25">
      <c r="A7" s="4">
        <f t="shared" si="0"/>
        <v>2.0004000000000008</v>
      </c>
      <c r="B7" s="5"/>
      <c r="C7" s="8" t="s">
        <v>655</v>
      </c>
      <c r="D7" s="6"/>
      <c r="E7" s="5"/>
      <c r="F7" s="7" t="s">
        <v>5</v>
      </c>
      <c r="G7" s="7">
        <f t="shared" si="1"/>
        <v>1</v>
      </c>
      <c r="H7" s="7">
        <f t="shared" si="1"/>
        <v>0</v>
      </c>
      <c r="I7" s="7">
        <f t="shared" si="1"/>
        <v>0</v>
      </c>
      <c r="J7" s="7">
        <f t="shared" si="1"/>
        <v>0</v>
      </c>
      <c r="K7" s="7">
        <f t="shared" si="1"/>
        <v>0</v>
      </c>
      <c r="L7" s="6"/>
    </row>
    <row r="8" spans="1:12" x14ac:dyDescent="0.25">
      <c r="A8" s="4">
        <f t="shared" si="0"/>
        <v>2.0005000000000011</v>
      </c>
      <c r="B8" s="5"/>
      <c r="C8" s="8"/>
      <c r="D8" s="20"/>
      <c r="E8" s="5"/>
      <c r="F8" s="7"/>
      <c r="G8" s="7"/>
      <c r="H8" s="7"/>
      <c r="I8" s="7"/>
      <c r="J8" s="7"/>
      <c r="K8" s="7"/>
      <c r="L8" s="6"/>
    </row>
    <row r="9" spans="1:12" x14ac:dyDescent="0.25">
      <c r="A9" s="4">
        <f t="shared" si="0"/>
        <v>2.0006000000000013</v>
      </c>
      <c r="B9" s="5" t="s">
        <v>672</v>
      </c>
      <c r="C9" s="94" t="s">
        <v>673</v>
      </c>
      <c r="D9" s="6"/>
      <c r="E9" s="6"/>
      <c r="F9" s="7" t="s">
        <v>5</v>
      </c>
      <c r="G9" s="7">
        <f t="shared" si="1"/>
        <v>1</v>
      </c>
      <c r="H9" s="7">
        <f t="shared" si="1"/>
        <v>0</v>
      </c>
      <c r="I9" s="7">
        <f t="shared" si="1"/>
        <v>0</v>
      </c>
      <c r="J9" s="7">
        <f t="shared" si="1"/>
        <v>0</v>
      </c>
      <c r="K9" s="7">
        <f t="shared" si="1"/>
        <v>0</v>
      </c>
      <c r="L9" s="6"/>
    </row>
    <row r="10" spans="1:12" x14ac:dyDescent="0.25">
      <c r="A10" s="4">
        <f t="shared" si="0"/>
        <v>2.0007000000000015</v>
      </c>
      <c r="B10" s="5"/>
      <c r="C10" s="22"/>
      <c r="D10" s="6"/>
      <c r="E10" s="6"/>
      <c r="F10" s="7"/>
      <c r="G10" s="7"/>
      <c r="H10" s="7"/>
      <c r="I10" s="7"/>
      <c r="J10" s="7"/>
      <c r="K10" s="7"/>
      <c r="L10" s="6"/>
    </row>
    <row r="11" spans="1:12" x14ac:dyDescent="0.25">
      <c r="A11" s="4">
        <f t="shared" si="0"/>
        <v>2.0008000000000017</v>
      </c>
      <c r="B11" s="5"/>
      <c r="C11" s="22"/>
      <c r="D11" s="6"/>
      <c r="E11" s="6"/>
      <c r="F11" s="7"/>
      <c r="G11" s="7"/>
      <c r="H11" s="7"/>
      <c r="I11" s="7"/>
      <c r="J11" s="7"/>
      <c r="K11" s="7"/>
      <c r="L11" s="6"/>
    </row>
    <row r="12" spans="1:12" x14ac:dyDescent="0.25">
      <c r="A12" s="4">
        <f t="shared" si="0"/>
        <v>2.0009000000000019</v>
      </c>
      <c r="B12" s="105" t="s">
        <v>495</v>
      </c>
      <c r="C12" s="17"/>
      <c r="D12" s="16"/>
      <c r="E12" s="6"/>
      <c r="F12" s="7"/>
      <c r="G12" s="7"/>
      <c r="H12" s="7"/>
      <c r="I12" s="7"/>
      <c r="J12" s="7"/>
      <c r="K12" s="7"/>
      <c r="L12" s="6"/>
    </row>
    <row r="13" spans="1:12" ht="25.5" x14ac:dyDescent="0.25">
      <c r="A13" s="4">
        <f t="shared" si="0"/>
        <v>2.0010000000000021</v>
      </c>
      <c r="B13" s="63" t="s">
        <v>656</v>
      </c>
      <c r="C13" s="107" t="s">
        <v>659</v>
      </c>
      <c r="D13" s="6"/>
      <c r="E13" s="6"/>
      <c r="F13" s="7" t="s">
        <v>5</v>
      </c>
      <c r="G13" s="7">
        <f t="shared" si="1"/>
        <v>1</v>
      </c>
      <c r="H13" s="7">
        <f t="shared" si="1"/>
        <v>0</v>
      </c>
      <c r="I13" s="7">
        <f t="shared" si="1"/>
        <v>0</v>
      </c>
      <c r="J13" s="7">
        <f t="shared" si="1"/>
        <v>0</v>
      </c>
      <c r="K13" s="7">
        <f t="shared" si="1"/>
        <v>0</v>
      </c>
      <c r="L13" s="6"/>
    </row>
    <row r="14" spans="1:12" x14ac:dyDescent="0.25">
      <c r="A14" s="4">
        <f t="shared" si="0"/>
        <v>2.0011000000000023</v>
      </c>
      <c r="B14" s="5"/>
      <c r="C14" s="22"/>
      <c r="D14" s="6"/>
      <c r="E14" s="6"/>
      <c r="F14" s="7"/>
      <c r="G14" s="7"/>
      <c r="H14" s="7"/>
      <c r="I14" s="7"/>
      <c r="J14" s="7"/>
      <c r="K14" s="7"/>
      <c r="L14" s="6"/>
    </row>
    <row r="15" spans="1:12" x14ac:dyDescent="0.25">
      <c r="A15" s="4">
        <f t="shared" si="0"/>
        <v>2.0012000000000025</v>
      </c>
      <c r="B15" s="5" t="s">
        <v>660</v>
      </c>
      <c r="C15" s="22" t="s">
        <v>661</v>
      </c>
      <c r="D15" s="6"/>
      <c r="E15" s="6"/>
      <c r="F15" s="7" t="s">
        <v>5</v>
      </c>
      <c r="G15" s="7">
        <f t="shared" si="1"/>
        <v>1</v>
      </c>
      <c r="H15" s="7">
        <f t="shared" si="1"/>
        <v>0</v>
      </c>
      <c r="I15" s="7">
        <f t="shared" si="1"/>
        <v>0</v>
      </c>
      <c r="J15" s="7">
        <f t="shared" si="1"/>
        <v>0</v>
      </c>
      <c r="K15" s="7">
        <f t="shared" si="1"/>
        <v>0</v>
      </c>
      <c r="L15" s="6"/>
    </row>
    <row r="16" spans="1:12" x14ac:dyDescent="0.25">
      <c r="A16" s="4">
        <f t="shared" si="0"/>
        <v>2.0013000000000027</v>
      </c>
      <c r="B16" s="5"/>
      <c r="C16" s="23"/>
      <c r="D16" s="6"/>
      <c r="E16" s="6"/>
      <c r="F16" s="7"/>
      <c r="G16" s="7"/>
      <c r="H16" s="7"/>
      <c r="I16" s="7"/>
      <c r="J16" s="7"/>
      <c r="K16" s="7">
        <f t="shared" si="1"/>
        <v>0</v>
      </c>
      <c r="L16" s="6"/>
    </row>
    <row r="17" spans="1:12" x14ac:dyDescent="0.25">
      <c r="A17" s="4">
        <f t="shared" si="0"/>
        <v>2.001400000000003</v>
      </c>
      <c r="B17" s="48" t="s">
        <v>662</v>
      </c>
      <c r="C17" s="23" t="s">
        <v>663</v>
      </c>
      <c r="D17" s="6"/>
      <c r="E17" s="6"/>
      <c r="F17" s="7" t="s">
        <v>5</v>
      </c>
      <c r="G17" s="7">
        <f t="shared" si="1"/>
        <v>1</v>
      </c>
      <c r="H17" s="7">
        <f t="shared" si="1"/>
        <v>0</v>
      </c>
      <c r="I17" s="7">
        <f t="shared" si="1"/>
        <v>0</v>
      </c>
      <c r="J17" s="7">
        <f t="shared" si="1"/>
        <v>0</v>
      </c>
      <c r="K17" s="7">
        <f t="shared" si="1"/>
        <v>0</v>
      </c>
      <c r="L17" s="6"/>
    </row>
    <row r="18" spans="1:12" x14ac:dyDescent="0.25">
      <c r="A18" s="4">
        <f t="shared" si="0"/>
        <v>2.0015000000000032</v>
      </c>
      <c r="B18" s="5"/>
      <c r="C18" s="23"/>
      <c r="D18" s="6"/>
      <c r="E18" s="6"/>
      <c r="F18" s="7"/>
      <c r="G18" s="7"/>
      <c r="H18" s="7"/>
      <c r="I18" s="7"/>
      <c r="J18" s="7"/>
      <c r="K18" s="7">
        <f t="shared" si="1"/>
        <v>0</v>
      </c>
      <c r="L18" s="6"/>
    </row>
    <row r="19" spans="1:12" ht="25.5" x14ac:dyDescent="0.25">
      <c r="A19" s="4">
        <f t="shared" si="0"/>
        <v>2.0016000000000034</v>
      </c>
      <c r="B19" s="8" t="s">
        <v>664</v>
      </c>
      <c r="C19" s="22" t="s">
        <v>452</v>
      </c>
      <c r="D19" s="6"/>
      <c r="E19" s="6"/>
      <c r="F19" s="7" t="s">
        <v>5</v>
      </c>
      <c r="G19" s="7">
        <f t="shared" si="1"/>
        <v>1</v>
      </c>
      <c r="H19" s="7">
        <f t="shared" si="1"/>
        <v>0</v>
      </c>
      <c r="I19" s="7">
        <f t="shared" si="1"/>
        <v>0</v>
      </c>
      <c r="J19" s="7">
        <f t="shared" si="1"/>
        <v>0</v>
      </c>
      <c r="K19" s="7">
        <f t="shared" si="1"/>
        <v>0</v>
      </c>
      <c r="L19" s="6"/>
    </row>
    <row r="20" spans="1:12" x14ac:dyDescent="0.25">
      <c r="A20" s="4">
        <f t="shared" si="0"/>
        <v>2.0017000000000036</v>
      </c>
      <c r="B20" s="108"/>
      <c r="C20" s="109"/>
      <c r="D20" s="6"/>
      <c r="E20" s="6"/>
      <c r="F20" s="7"/>
      <c r="G20" s="7"/>
      <c r="H20" s="7"/>
      <c r="I20" s="7"/>
      <c r="J20" s="7"/>
      <c r="K20" s="7"/>
      <c r="L20" s="6"/>
    </row>
    <row r="21" spans="1:12" x14ac:dyDescent="0.25">
      <c r="A21" s="4">
        <f t="shared" si="0"/>
        <v>2.0018000000000038</v>
      </c>
      <c r="B21" s="5" t="s">
        <v>665</v>
      </c>
      <c r="C21" s="23" t="s">
        <v>663</v>
      </c>
      <c r="D21" s="6"/>
      <c r="E21" s="6"/>
      <c r="F21" s="7" t="s">
        <v>5</v>
      </c>
      <c r="G21" s="7">
        <f t="shared" si="1"/>
        <v>1</v>
      </c>
      <c r="H21" s="7">
        <f t="shared" si="1"/>
        <v>0</v>
      </c>
      <c r="I21" s="7">
        <f t="shared" si="1"/>
        <v>0</v>
      </c>
      <c r="J21" s="7">
        <f t="shared" si="1"/>
        <v>0</v>
      </c>
      <c r="K21" s="7">
        <f t="shared" si="1"/>
        <v>0</v>
      </c>
      <c r="L21" s="6"/>
    </row>
    <row r="22" spans="1:12" x14ac:dyDescent="0.25">
      <c r="A22" s="4">
        <f t="shared" si="0"/>
        <v>2.001900000000004</v>
      </c>
      <c r="B22" s="5" t="s">
        <v>674</v>
      </c>
      <c r="C22" s="23" t="s">
        <v>675</v>
      </c>
      <c r="D22" s="6"/>
      <c r="E22" s="6"/>
      <c r="F22" s="7" t="s">
        <v>5</v>
      </c>
      <c r="G22" s="7">
        <f t="shared" ref="G22:K46" si="2">IF($F22=G$1,1,0)</f>
        <v>1</v>
      </c>
      <c r="H22" s="7">
        <f t="shared" si="2"/>
        <v>0</v>
      </c>
      <c r="I22" s="7">
        <f t="shared" si="2"/>
        <v>0</v>
      </c>
      <c r="J22" s="7">
        <f t="shared" si="2"/>
        <v>0</v>
      </c>
      <c r="K22" s="7">
        <f t="shared" si="2"/>
        <v>0</v>
      </c>
      <c r="L22" s="6"/>
    </row>
    <row r="23" spans="1:12" x14ac:dyDescent="0.25">
      <c r="A23" s="4">
        <f t="shared" si="0"/>
        <v>2.0020000000000042</v>
      </c>
      <c r="B23" s="5" t="s">
        <v>676</v>
      </c>
      <c r="C23" s="22" t="s">
        <v>677</v>
      </c>
      <c r="D23" s="6"/>
      <c r="E23" s="6"/>
      <c r="F23" s="7" t="s">
        <v>5</v>
      </c>
      <c r="G23" s="7">
        <f t="shared" si="2"/>
        <v>1</v>
      </c>
      <c r="H23" s="7">
        <f t="shared" si="2"/>
        <v>0</v>
      </c>
      <c r="I23" s="7">
        <f t="shared" si="2"/>
        <v>0</v>
      </c>
      <c r="J23" s="7">
        <f t="shared" si="2"/>
        <v>0</v>
      </c>
      <c r="K23" s="7">
        <f t="shared" si="2"/>
        <v>0</v>
      </c>
      <c r="L23" s="6"/>
    </row>
    <row r="24" spans="1:12" x14ac:dyDescent="0.25">
      <c r="A24" s="4">
        <f t="shared" si="0"/>
        <v>2.0021000000000044</v>
      </c>
      <c r="B24" s="5" t="s">
        <v>678</v>
      </c>
      <c r="C24" s="22" t="s">
        <v>679</v>
      </c>
      <c r="D24" s="6"/>
      <c r="E24" s="6"/>
      <c r="F24" s="7" t="s">
        <v>5</v>
      </c>
      <c r="G24" s="7">
        <f t="shared" si="2"/>
        <v>1</v>
      </c>
      <c r="H24" s="7">
        <f t="shared" si="2"/>
        <v>0</v>
      </c>
      <c r="I24" s="7">
        <f t="shared" si="2"/>
        <v>0</v>
      </c>
      <c r="J24" s="7">
        <f t="shared" si="2"/>
        <v>0</v>
      </c>
      <c r="K24" s="7">
        <f t="shared" si="2"/>
        <v>0</v>
      </c>
      <c r="L24" s="6"/>
    </row>
    <row r="25" spans="1:12" x14ac:dyDescent="0.25">
      <c r="A25" s="4">
        <f t="shared" si="0"/>
        <v>2.0022000000000046</v>
      </c>
      <c r="B25" s="5" t="s">
        <v>666</v>
      </c>
      <c r="C25" s="94" t="s">
        <v>552</v>
      </c>
      <c r="D25" s="6"/>
      <c r="E25" s="6"/>
      <c r="F25" s="7" t="s">
        <v>5</v>
      </c>
      <c r="G25" s="7">
        <f t="shared" si="2"/>
        <v>1</v>
      </c>
      <c r="H25" s="7">
        <f t="shared" si="2"/>
        <v>0</v>
      </c>
      <c r="I25" s="7">
        <f t="shared" si="2"/>
        <v>0</v>
      </c>
      <c r="J25" s="7">
        <f t="shared" si="2"/>
        <v>0</v>
      </c>
      <c r="K25" s="7">
        <f t="shared" si="2"/>
        <v>0</v>
      </c>
      <c r="L25" s="6"/>
    </row>
    <row r="26" spans="1:12" x14ac:dyDescent="0.25">
      <c r="A26" s="4">
        <f t="shared" si="0"/>
        <v>2.0023000000000049</v>
      </c>
      <c r="B26" s="63" t="s">
        <v>667</v>
      </c>
      <c r="C26" s="94" t="s">
        <v>350</v>
      </c>
      <c r="D26" s="6"/>
      <c r="E26" s="6"/>
      <c r="F26" s="7" t="s">
        <v>5</v>
      </c>
      <c r="G26" s="7">
        <f t="shared" si="2"/>
        <v>1</v>
      </c>
      <c r="H26" s="7">
        <f t="shared" si="2"/>
        <v>0</v>
      </c>
      <c r="I26" s="7">
        <f t="shared" si="2"/>
        <v>0</v>
      </c>
      <c r="J26" s="7">
        <f t="shared" si="2"/>
        <v>0</v>
      </c>
      <c r="K26" s="7">
        <f t="shared" si="2"/>
        <v>0</v>
      </c>
      <c r="L26" s="6"/>
    </row>
    <row r="27" spans="1:12" x14ac:dyDescent="0.25">
      <c r="A27" s="4">
        <f t="shared" si="0"/>
        <v>2.0024000000000051</v>
      </c>
      <c r="B27" s="110" t="s">
        <v>668</v>
      </c>
      <c r="C27" s="111" t="s">
        <v>669</v>
      </c>
      <c r="D27" s="16"/>
      <c r="E27" s="6"/>
      <c r="F27" s="7"/>
      <c r="G27" s="7"/>
      <c r="H27" s="7"/>
      <c r="I27" s="7"/>
      <c r="J27" s="7"/>
      <c r="K27" s="7">
        <f t="shared" si="2"/>
        <v>0</v>
      </c>
      <c r="L27" s="6"/>
    </row>
    <row r="28" spans="1:12" ht="38.25" x14ac:dyDescent="0.25">
      <c r="A28" s="4">
        <f t="shared" si="0"/>
        <v>2.0025000000000053</v>
      </c>
      <c r="B28" s="66" t="s">
        <v>394</v>
      </c>
      <c r="C28" s="22" t="s">
        <v>646</v>
      </c>
      <c r="D28" s="6"/>
      <c r="E28" s="6"/>
      <c r="F28" s="7" t="s">
        <v>5</v>
      </c>
      <c r="G28" s="7">
        <f t="shared" si="2"/>
        <v>1</v>
      </c>
      <c r="H28" s="7">
        <f t="shared" si="2"/>
        <v>0</v>
      </c>
      <c r="I28" s="7">
        <f t="shared" si="2"/>
        <v>0</v>
      </c>
      <c r="J28" s="7">
        <f t="shared" si="2"/>
        <v>0</v>
      </c>
      <c r="K28" s="7">
        <f t="shared" si="2"/>
        <v>0</v>
      </c>
      <c r="L28" s="6"/>
    </row>
    <row r="29" spans="1:12" x14ac:dyDescent="0.25">
      <c r="A29" s="4">
        <f t="shared" si="0"/>
        <v>2.0026000000000055</v>
      </c>
      <c r="B29" s="5"/>
      <c r="C29" s="23"/>
      <c r="D29" s="6"/>
      <c r="E29" s="6"/>
      <c r="F29" s="7"/>
      <c r="G29" s="7"/>
      <c r="H29" s="7"/>
      <c r="I29" s="7"/>
      <c r="J29" s="7"/>
      <c r="K29" s="7">
        <f t="shared" si="2"/>
        <v>0</v>
      </c>
      <c r="L29" s="6"/>
    </row>
    <row r="30" spans="1:12" ht="51" x14ac:dyDescent="0.25">
      <c r="A30" s="4">
        <f t="shared" si="0"/>
        <v>2.0027000000000057</v>
      </c>
      <c r="B30" s="66" t="s">
        <v>671</v>
      </c>
      <c r="C30" s="22" t="s">
        <v>761</v>
      </c>
      <c r="D30" s="6"/>
      <c r="E30" s="6"/>
      <c r="F30" s="7" t="s">
        <v>5</v>
      </c>
      <c r="G30" s="7">
        <f t="shared" si="2"/>
        <v>1</v>
      </c>
      <c r="H30" s="7">
        <f t="shared" si="2"/>
        <v>0</v>
      </c>
      <c r="I30" s="7">
        <f t="shared" si="2"/>
        <v>0</v>
      </c>
      <c r="J30" s="7">
        <f t="shared" si="2"/>
        <v>0</v>
      </c>
      <c r="K30" s="7">
        <f t="shared" si="2"/>
        <v>0</v>
      </c>
      <c r="L30" s="6"/>
    </row>
    <row r="31" spans="1:12" x14ac:dyDescent="0.25">
      <c r="A31" s="4">
        <f t="shared" si="0"/>
        <v>2.0028000000000059</v>
      </c>
      <c r="B31" s="5" t="s">
        <v>762</v>
      </c>
      <c r="C31" s="23" t="s">
        <v>763</v>
      </c>
      <c r="D31" s="6"/>
      <c r="E31" s="6"/>
      <c r="F31" s="7" t="s">
        <v>5</v>
      </c>
      <c r="G31" s="7">
        <f t="shared" si="2"/>
        <v>1</v>
      </c>
      <c r="H31" s="7">
        <f t="shared" si="2"/>
        <v>0</v>
      </c>
      <c r="I31" s="7">
        <f t="shared" si="2"/>
        <v>0</v>
      </c>
      <c r="J31" s="7">
        <f t="shared" si="2"/>
        <v>0</v>
      </c>
      <c r="K31" s="7">
        <f t="shared" si="2"/>
        <v>0</v>
      </c>
      <c r="L31" s="6"/>
    </row>
    <row r="32" spans="1:12" x14ac:dyDescent="0.25">
      <c r="A32" s="4">
        <f t="shared" si="0"/>
        <v>2.0029000000000061</v>
      </c>
      <c r="B32" s="5" t="s">
        <v>382</v>
      </c>
      <c r="C32" s="23" t="s">
        <v>764</v>
      </c>
      <c r="D32" s="6"/>
      <c r="E32" s="6"/>
      <c r="F32" s="7" t="s">
        <v>5</v>
      </c>
      <c r="G32" s="7">
        <f t="shared" si="2"/>
        <v>1</v>
      </c>
      <c r="H32" s="7">
        <f t="shared" si="2"/>
        <v>0</v>
      </c>
      <c r="I32" s="7">
        <f t="shared" si="2"/>
        <v>0</v>
      </c>
      <c r="J32" s="7">
        <f t="shared" si="2"/>
        <v>0</v>
      </c>
      <c r="K32" s="7">
        <f t="shared" si="2"/>
        <v>0</v>
      </c>
      <c r="L32" s="6"/>
    </row>
    <row r="33" spans="1:12" x14ac:dyDescent="0.25">
      <c r="A33" s="4">
        <f t="shared" si="0"/>
        <v>2.0030000000000063</v>
      </c>
      <c r="B33" s="5" t="s">
        <v>489</v>
      </c>
      <c r="C33" s="22" t="s">
        <v>490</v>
      </c>
      <c r="D33" s="6"/>
      <c r="E33" s="6"/>
      <c r="F33" s="7" t="s">
        <v>5</v>
      </c>
      <c r="G33" s="7">
        <f t="shared" si="2"/>
        <v>1</v>
      </c>
      <c r="H33" s="7">
        <f t="shared" si="2"/>
        <v>0</v>
      </c>
      <c r="I33" s="7">
        <f t="shared" si="2"/>
        <v>0</v>
      </c>
      <c r="J33" s="7">
        <f t="shared" si="2"/>
        <v>0</v>
      </c>
      <c r="K33" s="7">
        <f t="shared" si="2"/>
        <v>0</v>
      </c>
      <c r="L33" s="6"/>
    </row>
    <row r="34" spans="1:12" x14ac:dyDescent="0.25">
      <c r="A34" s="4">
        <f t="shared" si="0"/>
        <v>2.0031000000000065</v>
      </c>
      <c r="B34" s="5"/>
      <c r="C34" s="23"/>
      <c r="D34" s="6"/>
      <c r="E34" s="6"/>
      <c r="F34" s="7"/>
      <c r="G34" s="7"/>
      <c r="H34" s="7"/>
      <c r="I34" s="7"/>
      <c r="J34" s="7"/>
      <c r="K34" s="7">
        <f t="shared" si="2"/>
        <v>0</v>
      </c>
      <c r="L34" s="6"/>
    </row>
    <row r="35" spans="1:12" x14ac:dyDescent="0.25">
      <c r="A35" s="4">
        <f t="shared" si="0"/>
        <v>2.0032000000000068</v>
      </c>
      <c r="B35" s="5" t="s">
        <v>553</v>
      </c>
      <c r="C35" s="22" t="s">
        <v>492</v>
      </c>
      <c r="D35" s="6"/>
      <c r="E35" s="6"/>
      <c r="F35" s="7" t="s">
        <v>5</v>
      </c>
      <c r="G35" s="7">
        <f t="shared" si="2"/>
        <v>1</v>
      </c>
      <c r="H35" s="7">
        <f t="shared" si="2"/>
        <v>0</v>
      </c>
      <c r="I35" s="7">
        <f t="shared" si="2"/>
        <v>0</v>
      </c>
      <c r="J35" s="7">
        <f t="shared" si="2"/>
        <v>0</v>
      </c>
      <c r="K35" s="7">
        <f t="shared" si="2"/>
        <v>0</v>
      </c>
      <c r="L35" s="6"/>
    </row>
    <row r="36" spans="1:12" x14ac:dyDescent="0.25">
      <c r="A36" s="4">
        <f t="shared" si="0"/>
        <v>2.003300000000007</v>
      </c>
      <c r="B36" s="5"/>
      <c r="C36" s="22" t="s">
        <v>493</v>
      </c>
      <c r="D36" s="6"/>
      <c r="E36" s="6"/>
      <c r="F36" s="7" t="s">
        <v>5</v>
      </c>
      <c r="G36" s="7">
        <f t="shared" si="2"/>
        <v>1</v>
      </c>
      <c r="H36" s="7">
        <f t="shared" si="2"/>
        <v>0</v>
      </c>
      <c r="I36" s="7">
        <f t="shared" si="2"/>
        <v>0</v>
      </c>
      <c r="J36" s="7">
        <f t="shared" si="2"/>
        <v>0</v>
      </c>
      <c r="K36" s="7">
        <f t="shared" si="2"/>
        <v>0</v>
      </c>
      <c r="L36" s="6"/>
    </row>
    <row r="37" spans="1:12" ht="25.5" x14ac:dyDescent="0.25">
      <c r="A37" s="4">
        <f t="shared" si="0"/>
        <v>2.0034000000000072</v>
      </c>
      <c r="B37" s="5" t="s">
        <v>482</v>
      </c>
      <c r="C37" s="94" t="s">
        <v>680</v>
      </c>
      <c r="D37" s="6"/>
      <c r="E37" s="6"/>
      <c r="F37" s="7" t="s">
        <v>5</v>
      </c>
      <c r="G37" s="7">
        <f t="shared" si="2"/>
        <v>1</v>
      </c>
      <c r="H37" s="7">
        <f t="shared" si="2"/>
        <v>0</v>
      </c>
      <c r="I37" s="7">
        <f t="shared" si="2"/>
        <v>0</v>
      </c>
      <c r="J37" s="7">
        <f t="shared" si="2"/>
        <v>0</v>
      </c>
      <c r="K37" s="7">
        <f t="shared" si="2"/>
        <v>0</v>
      </c>
      <c r="L37" s="6"/>
    </row>
    <row r="38" spans="1:12" x14ac:dyDescent="0.25">
      <c r="A38" s="4">
        <f t="shared" si="0"/>
        <v>2.0035000000000074</v>
      </c>
      <c r="B38" s="16" t="s">
        <v>692</v>
      </c>
      <c r="C38" s="17"/>
      <c r="D38" s="16"/>
      <c r="E38" s="6"/>
      <c r="F38" s="7"/>
      <c r="G38" s="7"/>
      <c r="H38" s="7"/>
      <c r="I38" s="7"/>
      <c r="J38" s="7"/>
      <c r="K38" s="7"/>
      <c r="L38" s="6"/>
    </row>
    <row r="39" spans="1:12" x14ac:dyDescent="0.25">
      <c r="A39" s="4">
        <f t="shared" si="0"/>
        <v>2.0036000000000076</v>
      </c>
      <c r="B39" s="5" t="s">
        <v>693</v>
      </c>
      <c r="C39" s="5" t="s">
        <v>598</v>
      </c>
      <c r="D39" s="6" t="s">
        <v>694</v>
      </c>
      <c r="E39" s="6"/>
      <c r="F39" s="7" t="s">
        <v>5</v>
      </c>
      <c r="G39" s="7">
        <f t="shared" si="2"/>
        <v>1</v>
      </c>
      <c r="H39" s="7">
        <f t="shared" si="2"/>
        <v>0</v>
      </c>
      <c r="I39" s="7">
        <f t="shared" si="2"/>
        <v>0</v>
      </c>
      <c r="J39" s="7">
        <f t="shared" si="2"/>
        <v>0</v>
      </c>
      <c r="K39" s="7">
        <f t="shared" si="2"/>
        <v>0</v>
      </c>
      <c r="L39" s="6"/>
    </row>
    <row r="40" spans="1:12" x14ac:dyDescent="0.25">
      <c r="A40" s="4">
        <f t="shared" si="0"/>
        <v>2.0037000000000078</v>
      </c>
      <c r="B40" s="5" t="s">
        <v>599</v>
      </c>
      <c r="C40" s="5" t="s">
        <v>695</v>
      </c>
      <c r="D40" s="6"/>
      <c r="E40" s="6"/>
      <c r="F40" s="7" t="s">
        <v>5</v>
      </c>
      <c r="G40" s="7">
        <f t="shared" si="2"/>
        <v>1</v>
      </c>
      <c r="H40" s="7">
        <f t="shared" si="2"/>
        <v>0</v>
      </c>
      <c r="I40" s="7">
        <f t="shared" si="2"/>
        <v>0</v>
      </c>
      <c r="J40" s="7">
        <f t="shared" si="2"/>
        <v>0</v>
      </c>
      <c r="K40" s="7">
        <f t="shared" si="2"/>
        <v>0</v>
      </c>
      <c r="L40" s="6"/>
    </row>
    <row r="41" spans="1:12" x14ac:dyDescent="0.25">
      <c r="A41" s="4">
        <f t="shared" si="0"/>
        <v>2.003800000000008</v>
      </c>
      <c r="B41" s="5" t="s">
        <v>482</v>
      </c>
      <c r="C41" s="5" t="s">
        <v>600</v>
      </c>
      <c r="D41" s="6"/>
      <c r="E41" s="6"/>
      <c r="F41" s="7" t="s">
        <v>5</v>
      </c>
      <c r="G41" s="7">
        <f t="shared" si="2"/>
        <v>1</v>
      </c>
      <c r="H41" s="7">
        <f t="shared" si="2"/>
        <v>0</v>
      </c>
      <c r="I41" s="7">
        <f t="shared" si="2"/>
        <v>0</v>
      </c>
      <c r="J41" s="7">
        <f t="shared" si="2"/>
        <v>0</v>
      </c>
      <c r="K41" s="7">
        <f t="shared" si="2"/>
        <v>0</v>
      </c>
      <c r="L41" s="6"/>
    </row>
    <row r="42" spans="1:12" ht="25.5" x14ac:dyDescent="0.25">
      <c r="A42" s="4">
        <f t="shared" si="0"/>
        <v>2.0039000000000082</v>
      </c>
      <c r="B42" s="5" t="s">
        <v>696</v>
      </c>
      <c r="C42" s="5" t="s">
        <v>598</v>
      </c>
      <c r="D42" s="6"/>
      <c r="E42" s="6"/>
      <c r="F42" s="7" t="s">
        <v>5</v>
      </c>
      <c r="G42" s="7">
        <f t="shared" si="2"/>
        <v>1</v>
      </c>
      <c r="H42" s="7">
        <f t="shared" si="2"/>
        <v>0</v>
      </c>
      <c r="I42" s="7">
        <f t="shared" si="2"/>
        <v>0</v>
      </c>
      <c r="J42" s="7">
        <f t="shared" si="2"/>
        <v>0</v>
      </c>
      <c r="K42" s="7">
        <f t="shared" si="2"/>
        <v>0</v>
      </c>
      <c r="L42" s="6"/>
    </row>
    <row r="43" spans="1:12" x14ac:dyDescent="0.25">
      <c r="A43" s="4">
        <f t="shared" si="0"/>
        <v>2.0040000000000084</v>
      </c>
      <c r="B43" s="5" t="s">
        <v>599</v>
      </c>
      <c r="C43" s="5" t="s">
        <v>697</v>
      </c>
      <c r="D43" s="6"/>
      <c r="E43" s="6"/>
      <c r="F43" s="7" t="s">
        <v>5</v>
      </c>
      <c r="G43" s="7">
        <f t="shared" si="2"/>
        <v>1</v>
      </c>
      <c r="H43" s="7">
        <f t="shared" si="2"/>
        <v>0</v>
      </c>
      <c r="I43" s="7">
        <f t="shared" si="2"/>
        <v>0</v>
      </c>
      <c r="J43" s="7">
        <f t="shared" si="2"/>
        <v>0</v>
      </c>
      <c r="K43" s="7">
        <f t="shared" si="2"/>
        <v>0</v>
      </c>
      <c r="L43" s="6"/>
    </row>
    <row r="44" spans="1:12" x14ac:dyDescent="0.25">
      <c r="A44" s="4">
        <f t="shared" si="0"/>
        <v>2.0041000000000087</v>
      </c>
      <c r="B44" s="5" t="s">
        <v>482</v>
      </c>
      <c r="C44" s="5" t="s">
        <v>600</v>
      </c>
      <c r="D44" s="6"/>
      <c r="E44" s="6"/>
      <c r="F44" s="7" t="s">
        <v>5</v>
      </c>
      <c r="G44" s="7">
        <f t="shared" si="2"/>
        <v>1</v>
      </c>
      <c r="H44" s="7">
        <f t="shared" si="2"/>
        <v>0</v>
      </c>
      <c r="I44" s="7">
        <f t="shared" si="2"/>
        <v>0</v>
      </c>
      <c r="J44" s="7">
        <f t="shared" si="2"/>
        <v>0</v>
      </c>
      <c r="K44" s="7">
        <f t="shared" si="2"/>
        <v>0</v>
      </c>
      <c r="L44" s="6"/>
    </row>
    <row r="45" spans="1:12" x14ac:dyDescent="0.25">
      <c r="A45" s="4">
        <f t="shared" si="0"/>
        <v>2.0042000000000089</v>
      </c>
      <c r="B45" s="106"/>
      <c r="C45" s="109"/>
      <c r="D45" s="6"/>
      <c r="E45" s="6"/>
      <c r="F45" s="7"/>
      <c r="G45" s="7"/>
      <c r="H45" s="7"/>
      <c r="I45" s="7"/>
      <c r="J45" s="7"/>
      <c r="K45" s="7"/>
      <c r="L45" s="6"/>
    </row>
    <row r="46" spans="1:12" x14ac:dyDescent="0.25">
      <c r="A46" s="4">
        <f t="shared" si="0"/>
        <v>2.0043000000000091</v>
      </c>
      <c r="B46" s="16" t="s">
        <v>580</v>
      </c>
      <c r="C46" s="16"/>
      <c r="D46" s="16"/>
      <c r="E46" s="6"/>
      <c r="F46" s="7"/>
      <c r="G46" s="7"/>
      <c r="H46" s="7"/>
      <c r="I46" s="7"/>
      <c r="J46" s="7"/>
      <c r="K46" s="7">
        <f t="shared" si="2"/>
        <v>0</v>
      </c>
      <c r="L46" s="6"/>
    </row>
    <row r="47" spans="1:12" x14ac:dyDescent="0.25">
      <c r="A47" s="4">
        <f t="shared" si="0"/>
        <v>2.0044000000000093</v>
      </c>
      <c r="B47" s="96" t="s">
        <v>555</v>
      </c>
      <c r="C47" s="5" t="s">
        <v>556</v>
      </c>
      <c r="D47" s="6"/>
      <c r="E47" s="6"/>
      <c r="F47" s="7" t="s">
        <v>5</v>
      </c>
      <c r="G47" s="7">
        <f t="shared" ref="G47:K63" si="3">IF($F47=G$1,1,0)</f>
        <v>1</v>
      </c>
      <c r="H47" s="7">
        <f t="shared" si="3"/>
        <v>0</v>
      </c>
      <c r="I47" s="7">
        <f t="shared" si="3"/>
        <v>0</v>
      </c>
      <c r="J47" s="7">
        <f t="shared" si="3"/>
        <v>0</v>
      </c>
      <c r="K47" s="7">
        <f t="shared" si="3"/>
        <v>0</v>
      </c>
      <c r="L47" s="6"/>
    </row>
    <row r="48" spans="1:12" x14ac:dyDescent="0.25">
      <c r="A48" s="4">
        <f t="shared" si="0"/>
        <v>2.0045000000000095</v>
      </c>
      <c r="B48" s="6"/>
      <c r="C48" s="5" t="s">
        <v>557</v>
      </c>
      <c r="D48" s="6"/>
      <c r="E48" s="6"/>
      <c r="F48" s="7" t="s">
        <v>5</v>
      </c>
      <c r="G48" s="7">
        <f t="shared" si="3"/>
        <v>1</v>
      </c>
      <c r="H48" s="7">
        <f t="shared" si="3"/>
        <v>0</v>
      </c>
      <c r="I48" s="7">
        <f t="shared" si="3"/>
        <v>0</v>
      </c>
      <c r="J48" s="7">
        <f t="shared" si="3"/>
        <v>0</v>
      </c>
      <c r="K48" s="7">
        <f t="shared" si="3"/>
        <v>0</v>
      </c>
      <c r="L48" s="6"/>
    </row>
    <row r="49" spans="1:12" x14ac:dyDescent="0.25">
      <c r="A49" s="4">
        <f t="shared" si="0"/>
        <v>2.0046000000000097</v>
      </c>
      <c r="B49" s="6"/>
      <c r="C49" s="5" t="s">
        <v>574</v>
      </c>
      <c r="D49" s="6"/>
      <c r="E49" s="6"/>
      <c r="F49" s="7" t="s">
        <v>5</v>
      </c>
      <c r="G49" s="7">
        <f t="shared" si="3"/>
        <v>1</v>
      </c>
      <c r="H49" s="7">
        <f t="shared" si="3"/>
        <v>0</v>
      </c>
      <c r="I49" s="7">
        <f t="shared" si="3"/>
        <v>0</v>
      </c>
      <c r="J49" s="7">
        <f t="shared" si="3"/>
        <v>0</v>
      </c>
      <c r="K49" s="7">
        <f t="shared" si="3"/>
        <v>0</v>
      </c>
      <c r="L49" s="6"/>
    </row>
    <row r="50" spans="1:12" x14ac:dyDescent="0.25">
      <c r="A50" s="4">
        <f t="shared" si="0"/>
        <v>2.0047000000000099</v>
      </c>
      <c r="B50" s="6"/>
      <c r="C50" s="5" t="s">
        <v>575</v>
      </c>
      <c r="D50" s="6"/>
      <c r="E50" s="6"/>
      <c r="F50" s="7" t="s">
        <v>5</v>
      </c>
      <c r="G50" s="7">
        <f t="shared" si="3"/>
        <v>1</v>
      </c>
      <c r="H50" s="7">
        <f t="shared" si="3"/>
        <v>0</v>
      </c>
      <c r="I50" s="7">
        <f t="shared" si="3"/>
        <v>0</v>
      </c>
      <c r="J50" s="7">
        <f t="shared" si="3"/>
        <v>0</v>
      </c>
      <c r="K50" s="7">
        <f t="shared" si="3"/>
        <v>0</v>
      </c>
      <c r="L50" s="6"/>
    </row>
    <row r="51" spans="1:12" x14ac:dyDescent="0.25">
      <c r="A51" s="4">
        <f t="shared" si="0"/>
        <v>2.0048000000000101</v>
      </c>
      <c r="B51" s="6"/>
      <c r="C51" s="120" t="s">
        <v>820</v>
      </c>
      <c r="D51" s="6"/>
      <c r="E51" s="6"/>
      <c r="F51" s="7" t="s">
        <v>5</v>
      </c>
      <c r="G51" s="7">
        <f t="shared" si="3"/>
        <v>1</v>
      </c>
      <c r="H51" s="7">
        <f t="shared" si="3"/>
        <v>0</v>
      </c>
      <c r="I51" s="7">
        <f t="shared" si="3"/>
        <v>0</v>
      </c>
      <c r="J51" s="7">
        <f t="shared" si="3"/>
        <v>0</v>
      </c>
      <c r="K51" s="7">
        <f t="shared" si="3"/>
        <v>0</v>
      </c>
      <c r="L51" s="6"/>
    </row>
    <row r="52" spans="1:12" x14ac:dyDescent="0.25">
      <c r="A52" s="4">
        <f t="shared" si="0"/>
        <v>2.0049000000000103</v>
      </c>
      <c r="B52" s="6"/>
      <c r="C52" s="120" t="s">
        <v>790</v>
      </c>
      <c r="D52" s="6"/>
      <c r="E52" s="6"/>
      <c r="F52" s="7" t="s">
        <v>5</v>
      </c>
      <c r="G52" s="7">
        <f t="shared" si="3"/>
        <v>1</v>
      </c>
      <c r="H52" s="7">
        <f t="shared" si="3"/>
        <v>0</v>
      </c>
      <c r="I52" s="7">
        <f t="shared" si="3"/>
        <v>0</v>
      </c>
      <c r="J52" s="7">
        <f t="shared" si="3"/>
        <v>0</v>
      </c>
      <c r="K52" s="7">
        <f t="shared" si="3"/>
        <v>0</v>
      </c>
      <c r="L52" s="6"/>
    </row>
    <row r="53" spans="1:12" x14ac:dyDescent="0.25">
      <c r="A53" s="4">
        <f t="shared" si="0"/>
        <v>2.0050000000000106</v>
      </c>
      <c r="B53" s="6"/>
      <c r="C53" s="120" t="s">
        <v>791</v>
      </c>
      <c r="D53" s="6"/>
      <c r="E53" s="6"/>
      <c r="F53" s="7" t="s">
        <v>5</v>
      </c>
      <c r="G53" s="7">
        <f t="shared" si="3"/>
        <v>1</v>
      </c>
      <c r="H53" s="7">
        <f t="shared" si="3"/>
        <v>0</v>
      </c>
      <c r="I53" s="7">
        <f t="shared" si="3"/>
        <v>0</v>
      </c>
      <c r="J53" s="7">
        <f t="shared" si="3"/>
        <v>0</v>
      </c>
      <c r="K53" s="7">
        <f t="shared" si="3"/>
        <v>0</v>
      </c>
      <c r="L53" s="6"/>
    </row>
    <row r="54" spans="1:12" x14ac:dyDescent="0.25">
      <c r="A54" s="4">
        <f t="shared" si="0"/>
        <v>2.0051000000000108</v>
      </c>
      <c r="B54" s="6"/>
      <c r="C54" s="5" t="s">
        <v>577</v>
      </c>
      <c r="D54" s="6"/>
      <c r="E54" s="6"/>
      <c r="F54" s="7" t="s">
        <v>5</v>
      </c>
      <c r="G54" s="7">
        <f t="shared" si="3"/>
        <v>1</v>
      </c>
      <c r="H54" s="7">
        <f t="shared" si="3"/>
        <v>0</v>
      </c>
      <c r="I54" s="7">
        <f t="shared" si="3"/>
        <v>0</v>
      </c>
      <c r="J54" s="7">
        <f t="shared" si="3"/>
        <v>0</v>
      </c>
      <c r="K54" s="7">
        <f t="shared" si="3"/>
        <v>0</v>
      </c>
      <c r="L54" s="6"/>
    </row>
    <row r="55" spans="1:12" x14ac:dyDescent="0.25">
      <c r="A55" s="4">
        <f t="shared" si="0"/>
        <v>2.005200000000011</v>
      </c>
      <c r="B55" s="6"/>
      <c r="C55" s="5" t="s">
        <v>578</v>
      </c>
      <c r="D55" s="6"/>
      <c r="E55" s="6"/>
      <c r="F55" s="7" t="s">
        <v>5</v>
      </c>
      <c r="G55" s="7">
        <f t="shared" si="3"/>
        <v>1</v>
      </c>
      <c r="H55" s="7">
        <f t="shared" si="3"/>
        <v>0</v>
      </c>
      <c r="I55" s="7">
        <f t="shared" si="3"/>
        <v>0</v>
      </c>
      <c r="J55" s="7">
        <f t="shared" si="3"/>
        <v>0</v>
      </c>
      <c r="K55" s="7">
        <f t="shared" si="3"/>
        <v>0</v>
      </c>
      <c r="L55" s="6"/>
    </row>
    <row r="56" spans="1:12" x14ac:dyDescent="0.25">
      <c r="A56" s="4">
        <f t="shared" si="0"/>
        <v>2.0053000000000112</v>
      </c>
      <c r="B56" s="6"/>
      <c r="C56" s="5" t="s">
        <v>579</v>
      </c>
      <c r="D56" s="6"/>
      <c r="E56" s="6"/>
      <c r="F56" s="7" t="s">
        <v>5</v>
      </c>
      <c r="G56" s="7">
        <f t="shared" si="3"/>
        <v>1</v>
      </c>
      <c r="H56" s="7">
        <f t="shared" si="3"/>
        <v>0</v>
      </c>
      <c r="I56" s="7">
        <f t="shared" si="3"/>
        <v>0</v>
      </c>
      <c r="J56" s="7">
        <f t="shared" si="3"/>
        <v>0</v>
      </c>
      <c r="K56" s="7">
        <f t="shared" si="3"/>
        <v>0</v>
      </c>
      <c r="L56" s="6"/>
    </row>
    <row r="57" spans="1:12" x14ac:dyDescent="0.25">
      <c r="A57" s="4">
        <f t="shared" si="0"/>
        <v>2.0054000000000114</v>
      </c>
      <c r="B57" s="6"/>
      <c r="C57" s="5"/>
      <c r="D57" s="6"/>
      <c r="E57" s="6"/>
      <c r="F57" s="7"/>
      <c r="G57" s="7"/>
      <c r="H57" s="7"/>
      <c r="I57" s="7"/>
      <c r="J57" s="7"/>
      <c r="K57" s="7"/>
      <c r="L57" s="6"/>
    </row>
    <row r="58" spans="1:12" x14ac:dyDescent="0.25">
      <c r="A58" s="4">
        <f t="shared" si="0"/>
        <v>2.0055000000000116</v>
      </c>
      <c r="B58" s="5"/>
      <c r="C58" s="5"/>
      <c r="D58" s="6"/>
      <c r="E58" s="6"/>
      <c r="F58" s="7"/>
      <c r="G58" s="7"/>
      <c r="H58" s="7"/>
      <c r="I58" s="7"/>
      <c r="J58" s="7"/>
      <c r="K58" s="7"/>
      <c r="L58" s="62"/>
    </row>
    <row r="59" spans="1:12" x14ac:dyDescent="0.25">
      <c r="A59" s="4">
        <f t="shared" si="0"/>
        <v>2.0056000000000118</v>
      </c>
      <c r="B59" s="5"/>
      <c r="C59" s="5"/>
      <c r="D59" s="7"/>
      <c r="E59" s="7"/>
      <c r="F59" s="7"/>
      <c r="G59" s="7"/>
      <c r="H59" s="7"/>
      <c r="I59" s="7"/>
      <c r="J59" s="7"/>
      <c r="K59" s="7"/>
    </row>
    <row r="60" spans="1:12" x14ac:dyDescent="0.25">
      <c r="A60" s="4">
        <f t="shared" si="0"/>
        <v>2.005700000000012</v>
      </c>
      <c r="B60" s="96" t="s">
        <v>560</v>
      </c>
      <c r="C60" s="63" t="s">
        <v>765</v>
      </c>
      <c r="D60" s="7"/>
      <c r="E60" s="7"/>
      <c r="F60" s="7" t="s">
        <v>5</v>
      </c>
      <c r="G60" s="7">
        <f t="shared" si="3"/>
        <v>1</v>
      </c>
      <c r="H60" s="7">
        <f t="shared" si="3"/>
        <v>0</v>
      </c>
      <c r="I60" s="7">
        <f t="shared" si="3"/>
        <v>0</v>
      </c>
      <c r="J60" s="7">
        <f t="shared" si="3"/>
        <v>0</v>
      </c>
      <c r="K60" s="7">
        <f t="shared" si="3"/>
        <v>0</v>
      </c>
    </row>
    <row r="61" spans="1:12" x14ac:dyDescent="0.25">
      <c r="A61" s="4">
        <f t="shared" si="0"/>
        <v>2.0058000000000122</v>
      </c>
      <c r="B61" s="6"/>
      <c r="C61" s="5" t="s">
        <v>821</v>
      </c>
      <c r="D61" s="7"/>
      <c r="E61" s="7"/>
      <c r="F61" s="7" t="s">
        <v>5</v>
      </c>
      <c r="G61" s="7">
        <f t="shared" si="3"/>
        <v>1</v>
      </c>
      <c r="H61" s="7">
        <f t="shared" si="3"/>
        <v>0</v>
      </c>
      <c r="I61" s="7">
        <f t="shared" si="3"/>
        <v>0</v>
      </c>
      <c r="J61" s="7">
        <f t="shared" si="3"/>
        <v>0</v>
      </c>
      <c r="K61" s="7">
        <f t="shared" si="3"/>
        <v>0</v>
      </c>
    </row>
    <row r="62" spans="1:12" x14ac:dyDescent="0.25">
      <c r="A62" s="4">
        <f t="shared" si="0"/>
        <v>2.0059000000000125</v>
      </c>
      <c r="B62" s="6"/>
      <c r="C62" s="5" t="s">
        <v>585</v>
      </c>
      <c r="D62" s="7"/>
      <c r="E62" s="7"/>
      <c r="F62" s="7" t="s">
        <v>5</v>
      </c>
      <c r="G62" s="7">
        <f t="shared" si="3"/>
        <v>1</v>
      </c>
      <c r="H62" s="7">
        <f t="shared" si="3"/>
        <v>0</v>
      </c>
      <c r="I62" s="7">
        <f t="shared" si="3"/>
        <v>0</v>
      </c>
      <c r="J62" s="7">
        <f t="shared" si="3"/>
        <v>0</v>
      </c>
      <c r="K62" s="7">
        <f t="shared" si="3"/>
        <v>0</v>
      </c>
    </row>
    <row r="63" spans="1:12" x14ac:dyDescent="0.25">
      <c r="A63" s="4">
        <f t="shared" si="0"/>
        <v>2.0060000000000127</v>
      </c>
      <c r="B63" s="6"/>
      <c r="C63" s="5" t="s">
        <v>562</v>
      </c>
      <c r="D63" s="7"/>
      <c r="E63" s="7"/>
      <c r="F63" s="7" t="s">
        <v>5</v>
      </c>
      <c r="G63" s="7">
        <f t="shared" si="3"/>
        <v>1</v>
      </c>
      <c r="H63" s="7">
        <f t="shared" si="3"/>
        <v>0</v>
      </c>
      <c r="I63" s="7">
        <f t="shared" si="3"/>
        <v>0</v>
      </c>
      <c r="J63" s="7">
        <f t="shared" si="3"/>
        <v>0</v>
      </c>
      <c r="K63" s="7"/>
    </row>
    <row r="64" spans="1:12" x14ac:dyDescent="0.25">
      <c r="A64" s="4">
        <f t="shared" si="0"/>
        <v>2.0061000000000129</v>
      </c>
      <c r="B64" s="6"/>
      <c r="C64" s="5"/>
      <c r="D64" s="7"/>
      <c r="E64" s="7"/>
      <c r="F64" s="7"/>
      <c r="G64" s="7"/>
      <c r="H64" s="7"/>
      <c r="I64" s="7"/>
      <c r="J64" s="7"/>
      <c r="K64" s="7"/>
    </row>
    <row r="65" spans="1:11" x14ac:dyDescent="0.25">
      <c r="A65" s="4">
        <f t="shared" si="0"/>
        <v>2.0062000000000131</v>
      </c>
      <c r="B65" s="6"/>
      <c r="C65" s="5" t="s">
        <v>591</v>
      </c>
      <c r="D65" s="7"/>
      <c r="E65" s="7"/>
      <c r="F65" s="7" t="s">
        <v>5</v>
      </c>
      <c r="G65" s="7">
        <f t="shared" ref="G65:J70" si="4">IF($F65=G$1,1,0)</f>
        <v>1</v>
      </c>
      <c r="H65" s="7">
        <f t="shared" si="4"/>
        <v>0</v>
      </c>
      <c r="I65" s="7">
        <f t="shared" si="4"/>
        <v>0</v>
      </c>
      <c r="J65" s="7">
        <f t="shared" si="4"/>
        <v>0</v>
      </c>
      <c r="K65" s="7"/>
    </row>
    <row r="66" spans="1:11" x14ac:dyDescent="0.25">
      <c r="A66" s="4">
        <f t="shared" si="0"/>
        <v>2.0063000000000133</v>
      </c>
      <c r="B66" s="6"/>
      <c r="C66" s="120" t="s">
        <v>822</v>
      </c>
      <c r="D66" s="7"/>
      <c r="E66" s="7"/>
      <c r="F66" s="7" t="s">
        <v>5</v>
      </c>
      <c r="G66" s="7">
        <f t="shared" si="4"/>
        <v>1</v>
      </c>
      <c r="H66" s="7">
        <f t="shared" si="4"/>
        <v>0</v>
      </c>
      <c r="I66" s="7">
        <f t="shared" si="4"/>
        <v>0</v>
      </c>
      <c r="J66" s="7">
        <f t="shared" si="4"/>
        <v>0</v>
      </c>
      <c r="K66" s="7"/>
    </row>
    <row r="67" spans="1:11" x14ac:dyDescent="0.25">
      <c r="A67" s="4">
        <f t="shared" si="0"/>
        <v>2.0064000000000135</v>
      </c>
      <c r="B67" s="6"/>
      <c r="C67" s="5" t="s">
        <v>589</v>
      </c>
      <c r="D67" s="7"/>
      <c r="E67" s="7"/>
      <c r="F67" s="7" t="s">
        <v>5</v>
      </c>
      <c r="G67" s="7">
        <f t="shared" si="4"/>
        <v>1</v>
      </c>
      <c r="H67" s="7">
        <f t="shared" si="4"/>
        <v>0</v>
      </c>
      <c r="I67" s="7">
        <f t="shared" si="4"/>
        <v>0</v>
      </c>
      <c r="J67" s="7">
        <f t="shared" si="4"/>
        <v>0</v>
      </c>
      <c r="K67" s="7"/>
    </row>
    <row r="68" spans="1:11" x14ac:dyDescent="0.25">
      <c r="A68" s="4">
        <f t="shared" si="0"/>
        <v>2.0065000000000137</v>
      </c>
      <c r="B68" s="6"/>
      <c r="C68" s="5" t="s">
        <v>588</v>
      </c>
      <c r="D68" s="7"/>
      <c r="E68" s="7"/>
      <c r="F68" s="7" t="s">
        <v>7</v>
      </c>
      <c r="G68" s="7">
        <f t="shared" si="4"/>
        <v>0</v>
      </c>
      <c r="H68" s="7">
        <f t="shared" si="4"/>
        <v>0</v>
      </c>
      <c r="I68" s="7">
        <f t="shared" si="4"/>
        <v>0</v>
      </c>
      <c r="J68" s="7">
        <f t="shared" si="4"/>
        <v>1</v>
      </c>
      <c r="K68" s="7"/>
    </row>
    <row r="69" spans="1:11" x14ac:dyDescent="0.25">
      <c r="A69" s="4">
        <f t="shared" si="0"/>
        <v>2.0066000000000139</v>
      </c>
      <c r="B69" s="6"/>
      <c r="C69" s="5" t="s">
        <v>587</v>
      </c>
      <c r="D69" s="7"/>
      <c r="E69" s="7"/>
      <c r="F69" s="7" t="s">
        <v>7</v>
      </c>
      <c r="G69" s="7">
        <f t="shared" si="4"/>
        <v>0</v>
      </c>
      <c r="H69" s="7">
        <f t="shared" si="4"/>
        <v>0</v>
      </c>
      <c r="I69" s="7">
        <f t="shared" si="4"/>
        <v>0</v>
      </c>
      <c r="J69" s="7">
        <f t="shared" si="4"/>
        <v>1</v>
      </c>
      <c r="K69" s="7"/>
    </row>
    <row r="70" spans="1:11" ht="25.5" x14ac:dyDescent="0.25">
      <c r="A70" s="4">
        <f t="shared" si="0"/>
        <v>2.0067000000000141</v>
      </c>
      <c r="B70" s="5"/>
      <c r="C70" s="5" t="s">
        <v>586</v>
      </c>
      <c r="D70" s="7"/>
      <c r="E70" s="7"/>
      <c r="F70" s="7" t="s">
        <v>7</v>
      </c>
      <c r="G70" s="7">
        <f t="shared" si="4"/>
        <v>0</v>
      </c>
      <c r="H70" s="7">
        <f t="shared" si="4"/>
        <v>0</v>
      </c>
      <c r="I70" s="7">
        <f t="shared" si="4"/>
        <v>0</v>
      </c>
      <c r="J70" s="7">
        <f t="shared" si="4"/>
        <v>1</v>
      </c>
      <c r="K70" s="7"/>
    </row>
    <row r="71" spans="1:11" x14ac:dyDescent="0.25">
      <c r="A71" s="4">
        <f t="shared" si="0"/>
        <v>2.0068000000000144</v>
      </c>
      <c r="B71" s="5"/>
      <c r="C71" s="22"/>
      <c r="D71" s="7"/>
      <c r="E71" s="7"/>
      <c r="F71" s="7"/>
      <c r="G71" s="7"/>
      <c r="H71" s="7"/>
      <c r="I71" s="7"/>
      <c r="J71" s="7"/>
      <c r="K71" s="7"/>
    </row>
    <row r="72" spans="1:11" x14ac:dyDescent="0.25">
      <c r="A72" s="4">
        <f t="shared" si="0"/>
        <v>2.0069000000000146</v>
      </c>
      <c r="B72" s="16" t="s">
        <v>581</v>
      </c>
      <c r="C72" s="16"/>
      <c r="D72" s="16"/>
      <c r="E72" s="7"/>
      <c r="F72" s="7"/>
      <c r="G72" s="7"/>
      <c r="H72" s="7"/>
      <c r="I72" s="7"/>
      <c r="J72" s="7"/>
      <c r="K72" s="7"/>
    </row>
    <row r="73" spans="1:11" x14ac:dyDescent="0.25">
      <c r="A73" s="4">
        <f t="shared" si="0"/>
        <v>2.0070000000000148</v>
      </c>
      <c r="B73" s="6" t="s">
        <v>572</v>
      </c>
      <c r="C73" s="5" t="s">
        <v>569</v>
      </c>
      <c r="D73" s="7"/>
      <c r="E73" s="7"/>
      <c r="F73" s="7" t="s">
        <v>5</v>
      </c>
      <c r="G73" s="7">
        <f t="shared" ref="G73:J80" si="5">IF($F73=G$1,1,0)</f>
        <v>1</v>
      </c>
      <c r="H73" s="7">
        <f t="shared" si="5"/>
        <v>0</v>
      </c>
      <c r="I73" s="7">
        <f t="shared" si="5"/>
        <v>0</v>
      </c>
      <c r="J73" s="7">
        <f t="shared" si="5"/>
        <v>0</v>
      </c>
      <c r="K73" s="7"/>
    </row>
    <row r="74" spans="1:11" x14ac:dyDescent="0.25">
      <c r="A74" s="4">
        <f t="shared" si="0"/>
        <v>2.007100000000015</v>
      </c>
      <c r="B74" s="6"/>
      <c r="C74" s="5" t="s">
        <v>582</v>
      </c>
      <c r="D74" s="7"/>
      <c r="E74" s="7"/>
      <c r="F74" s="7" t="s">
        <v>5</v>
      </c>
      <c r="G74" s="7">
        <f t="shared" si="5"/>
        <v>1</v>
      </c>
      <c r="H74" s="7">
        <f t="shared" si="5"/>
        <v>0</v>
      </c>
      <c r="I74" s="7">
        <f t="shared" si="5"/>
        <v>0</v>
      </c>
      <c r="J74" s="7">
        <f t="shared" si="5"/>
        <v>0</v>
      </c>
      <c r="K74" s="7"/>
    </row>
    <row r="75" spans="1:11" x14ac:dyDescent="0.25">
      <c r="A75" s="4">
        <f t="shared" si="0"/>
        <v>2.0072000000000152</v>
      </c>
      <c r="B75" s="6"/>
      <c r="C75" s="5" t="s">
        <v>583</v>
      </c>
      <c r="D75" s="7"/>
      <c r="E75" s="7"/>
      <c r="F75" s="7" t="s">
        <v>5</v>
      </c>
      <c r="G75" s="7">
        <f t="shared" si="5"/>
        <v>1</v>
      </c>
      <c r="H75" s="7">
        <f t="shared" si="5"/>
        <v>0</v>
      </c>
      <c r="I75" s="7">
        <f t="shared" si="5"/>
        <v>0</v>
      </c>
      <c r="J75" s="7">
        <f t="shared" si="5"/>
        <v>0</v>
      </c>
      <c r="K75" s="7"/>
    </row>
    <row r="76" spans="1:11" x14ac:dyDescent="0.25">
      <c r="A76" s="4">
        <f t="shared" si="0"/>
        <v>2.0073000000000154</v>
      </c>
      <c r="B76" s="6"/>
      <c r="C76" s="5" t="s">
        <v>834</v>
      </c>
      <c r="D76" s="7"/>
      <c r="E76" s="7"/>
      <c r="F76" s="7" t="s">
        <v>5</v>
      </c>
      <c r="G76" s="7">
        <f t="shared" si="5"/>
        <v>1</v>
      </c>
      <c r="H76" s="7">
        <f t="shared" si="5"/>
        <v>0</v>
      </c>
      <c r="I76" s="7">
        <f t="shared" si="5"/>
        <v>0</v>
      </c>
      <c r="J76" s="7">
        <f t="shared" si="5"/>
        <v>0</v>
      </c>
      <c r="K76" s="7"/>
    </row>
    <row r="77" spans="1:11" x14ac:dyDescent="0.25">
      <c r="A77" s="4">
        <f t="shared" si="0"/>
        <v>2.0074000000000156</v>
      </c>
      <c r="B77" s="6"/>
      <c r="C77" s="5"/>
      <c r="D77" s="7"/>
      <c r="E77" s="7"/>
      <c r="F77" s="7"/>
      <c r="G77" s="7"/>
      <c r="H77" s="7"/>
      <c r="I77" s="7"/>
      <c r="J77" s="7"/>
      <c r="K77" s="7"/>
    </row>
    <row r="78" spans="1:11" x14ac:dyDescent="0.25">
      <c r="A78" s="4">
        <f t="shared" ref="A78:A80" si="6">A77+0.0001</f>
        <v>2.0075000000000158</v>
      </c>
      <c r="B78" s="6"/>
      <c r="C78" s="5"/>
      <c r="D78" s="7"/>
      <c r="E78" s="7"/>
      <c r="F78" s="7"/>
      <c r="G78" s="7"/>
      <c r="H78" s="7"/>
      <c r="I78" s="7"/>
      <c r="J78" s="7"/>
      <c r="K78" s="7"/>
    </row>
    <row r="79" spans="1:11" x14ac:dyDescent="0.25">
      <c r="A79" s="4">
        <f t="shared" si="6"/>
        <v>2.007600000000016</v>
      </c>
      <c r="B79" s="16" t="s">
        <v>647</v>
      </c>
      <c r="C79" s="17" t="s">
        <v>683</v>
      </c>
      <c r="D79" s="16"/>
      <c r="E79" s="7"/>
      <c r="F79" s="7"/>
      <c r="G79" s="7"/>
      <c r="H79" s="7"/>
      <c r="I79" s="7"/>
      <c r="J79" s="7"/>
      <c r="K79" s="7"/>
    </row>
    <row r="80" spans="1:11" ht="63.75" x14ac:dyDescent="0.25">
      <c r="A80" s="4">
        <f t="shared" si="6"/>
        <v>2.0077000000000162</v>
      </c>
      <c r="B80" s="103" t="s">
        <v>681</v>
      </c>
      <c r="C80" s="104" t="s">
        <v>682</v>
      </c>
      <c r="D80" s="6" t="s">
        <v>649</v>
      </c>
      <c r="E80" s="7"/>
      <c r="F80" s="7" t="s">
        <v>7</v>
      </c>
      <c r="G80" s="7">
        <f t="shared" si="5"/>
        <v>0</v>
      </c>
      <c r="H80" s="7">
        <f t="shared" si="5"/>
        <v>0</v>
      </c>
      <c r="I80" s="7">
        <f t="shared" si="5"/>
        <v>0</v>
      </c>
      <c r="J80" s="7">
        <f t="shared" si="5"/>
        <v>1</v>
      </c>
      <c r="K80" s="7"/>
    </row>
    <row r="81" spans="1:11" x14ac:dyDescent="0.25">
      <c r="A81" s="4"/>
      <c r="B81" s="6"/>
      <c r="C81" s="5"/>
      <c r="D81" s="7"/>
      <c r="E81" s="7"/>
      <c r="F81" s="7"/>
      <c r="G81" s="7"/>
      <c r="H81" s="7"/>
      <c r="I81" s="7"/>
      <c r="J81" s="7"/>
      <c r="K81" s="7"/>
    </row>
    <row r="82" spans="1:11" ht="15.75" thickBot="1" x14ac:dyDescent="0.3">
      <c r="G82" s="95">
        <f>SUM(G3:G81)</f>
        <v>50</v>
      </c>
      <c r="H82" s="95">
        <f>SUM(H3:H81)</f>
        <v>0</v>
      </c>
      <c r="I82" s="95">
        <f>SUM(I4:I81)</f>
        <v>0</v>
      </c>
      <c r="J82" s="95">
        <f>SUM(J3:J81)</f>
        <v>4</v>
      </c>
      <c r="K82" s="95">
        <f>SUM(K3:K81)</f>
        <v>0</v>
      </c>
    </row>
    <row r="83" spans="1:11" ht="15.75" thickTop="1" x14ac:dyDescent="0.25"/>
  </sheetData>
  <mergeCells count="1">
    <mergeCell ref="B2:C2"/>
  </mergeCells>
  <conditionalFormatting sqref="L20:L26 D21:E26 B26:C26 A81:C81 G21:K26 G65:K68 D49:E53 L49:L62 B54:E62 A4:A80 F46:K46 F69:K72 G47:K56 F57:K59 F77:K81 G73:K76 F64:K64 G60:K63">
    <cfRule type="expression" dxfId="611" priority="182">
      <formula>$F4="Fail"</formula>
    </cfRule>
  </conditionalFormatting>
  <conditionalFormatting sqref="A3:K3 D29:F29 D8:E9 D4:E5 D28:E28 D34:F34 D30:E33 D35:E35">
    <cfRule type="expression" dxfId="610" priority="181">
      <formula>$F3="Fail"</formula>
    </cfRule>
  </conditionalFormatting>
  <conditionalFormatting sqref="D45:K45 D36:E37 D47:E48 E46 E38:F38 E39:E44">
    <cfRule type="expression" dxfId="609" priority="180">
      <formula>$F36="Fail"</formula>
    </cfRule>
  </conditionalFormatting>
  <conditionalFormatting sqref="D20:K20 E27:F27">
    <cfRule type="expression" dxfId="608" priority="179">
      <formula>$F20="Fail"</formula>
    </cfRule>
  </conditionalFormatting>
  <conditionalFormatting sqref="E12:K12 D10:E11 D13:E13">
    <cfRule type="expression" dxfId="607" priority="178">
      <formula>$F10="Fail"</formula>
    </cfRule>
  </conditionalFormatting>
  <conditionalFormatting sqref="D14:F14 D16:F16 D15:E15 D18:F18 D17:E17 D19:E19">
    <cfRule type="expression" dxfId="606" priority="177">
      <formula>$F14="Fail"</formula>
    </cfRule>
  </conditionalFormatting>
  <conditionalFormatting sqref="D7:E7">
    <cfRule type="expression" dxfId="605" priority="176">
      <formula>$F7="Fail"</formula>
    </cfRule>
  </conditionalFormatting>
  <conditionalFormatting sqref="D6:E6">
    <cfRule type="expression" dxfId="604" priority="175">
      <formula>$F6="Fail"</formula>
    </cfRule>
  </conditionalFormatting>
  <conditionalFormatting sqref="F4">
    <cfRule type="expression" dxfId="603" priority="174">
      <formula>$F4="Fail"</formula>
    </cfRule>
  </conditionalFormatting>
  <conditionalFormatting sqref="L28:L35 L8:L9 L3:L5">
    <cfRule type="expression" dxfId="602" priority="172">
      <formula>$F3="Fail"</formula>
    </cfRule>
  </conditionalFormatting>
  <conditionalFormatting sqref="L36:L48">
    <cfRule type="expression" dxfId="601" priority="171">
      <formula>$F36="Fail"</formula>
    </cfRule>
  </conditionalFormatting>
  <conditionalFormatting sqref="L27">
    <cfRule type="expression" dxfId="600" priority="170">
      <formula>$F27="Fail"</formula>
    </cfRule>
  </conditionalFormatting>
  <conditionalFormatting sqref="L10:L13">
    <cfRule type="expression" dxfId="599" priority="169">
      <formula>$F10="Fail"</formula>
    </cfRule>
  </conditionalFormatting>
  <conditionalFormatting sqref="L14:L19">
    <cfRule type="expression" dxfId="598" priority="168">
      <formula>$F14="Fail"</formula>
    </cfRule>
  </conditionalFormatting>
  <conditionalFormatting sqref="L7">
    <cfRule type="expression" dxfId="597" priority="167">
      <formula>$F7="Fail"</formula>
    </cfRule>
  </conditionalFormatting>
  <conditionalFormatting sqref="L6">
    <cfRule type="expression" dxfId="596" priority="166">
      <formula>$F6="Fail"</formula>
    </cfRule>
  </conditionalFormatting>
  <conditionalFormatting sqref="B46:C50 B29:C29 B12:C12 B14:C22 B23 B31:C32 B34:C36 B37 B51:B53">
    <cfRule type="expression" dxfId="595" priority="165">
      <formula>$F12="Fail"</formula>
    </cfRule>
  </conditionalFormatting>
  <conditionalFormatting sqref="B9:C10">
    <cfRule type="expression" dxfId="594" priority="151">
      <formula>$F9="Fail"</formula>
    </cfRule>
  </conditionalFormatting>
  <conditionalFormatting sqref="B11:C11">
    <cfRule type="expression" dxfId="593" priority="150">
      <formula>$F11="Fail"</formula>
    </cfRule>
  </conditionalFormatting>
  <conditionalFormatting sqref="C45">
    <cfRule type="expression" dxfId="592" priority="160">
      <formula>$F45="Fail"</formula>
    </cfRule>
  </conditionalFormatting>
  <conditionalFormatting sqref="B45">
    <cfRule type="expression" dxfId="591" priority="159">
      <formula>$F45="Fail"</formula>
    </cfRule>
  </conditionalFormatting>
  <conditionalFormatting sqref="B11:C11">
    <cfRule type="expression" dxfId="590" priority="149">
      <formula>$F11="Fail"</formula>
    </cfRule>
  </conditionalFormatting>
  <conditionalFormatting sqref="G4:K11">
    <cfRule type="expression" dxfId="589" priority="148">
      <formula>$F4="Fail"</formula>
    </cfRule>
  </conditionalFormatting>
  <conditionalFormatting sqref="G13:K19">
    <cfRule type="expression" dxfId="588" priority="147">
      <formula>$F13="Fail"</formula>
    </cfRule>
  </conditionalFormatting>
  <conditionalFormatting sqref="G27:K44">
    <cfRule type="expression" dxfId="587" priority="146">
      <formula>$F27="Fail"</formula>
    </cfRule>
  </conditionalFormatting>
  <conditionalFormatting sqref="G82:K82">
    <cfRule type="expression" dxfId="586" priority="145">
      <formula>$F82="Fail"</formula>
    </cfRule>
  </conditionalFormatting>
  <conditionalFormatting sqref="B77:C78">
    <cfRule type="expression" dxfId="585" priority="107">
      <formula>$F77="Fail"</formula>
    </cfRule>
  </conditionalFormatting>
  <conditionalFormatting sqref="B64:C71">
    <cfRule type="expression" dxfId="584" priority="109">
      <formula>$F64="Fail"</formula>
    </cfRule>
  </conditionalFormatting>
  <conditionalFormatting sqref="C77:C78">
    <cfRule type="expression" dxfId="583" priority="105">
      <formula>$F77="Fail"</formula>
    </cfRule>
  </conditionalFormatting>
  <conditionalFormatting sqref="C71">
    <cfRule type="expression" dxfId="582" priority="104">
      <formula>$F71="Fail"</formula>
    </cfRule>
  </conditionalFormatting>
  <conditionalFormatting sqref="B63">
    <cfRule type="expression" dxfId="581" priority="103">
      <formula>$F63="Fail"</formula>
    </cfRule>
  </conditionalFormatting>
  <conditionalFormatting sqref="C63">
    <cfRule type="expression" dxfId="580" priority="102">
      <formula>$F63="Fail"</formula>
    </cfRule>
  </conditionalFormatting>
  <conditionalFormatting sqref="C81">
    <cfRule type="expression" dxfId="579" priority="96">
      <formula>$F81="Fail"</formula>
    </cfRule>
  </conditionalFormatting>
  <conditionalFormatting sqref="F8 F10:F11">
    <cfRule type="expression" dxfId="578" priority="90">
      <formula>$F8="Fail"</formula>
    </cfRule>
  </conditionalFormatting>
  <conditionalFormatting sqref="B4:C5">
    <cfRule type="expression" dxfId="577" priority="86">
      <formula>$F4="Fail"</formula>
    </cfRule>
  </conditionalFormatting>
  <conditionalFormatting sqref="B6:C8">
    <cfRule type="expression" dxfId="576" priority="85">
      <formula>$F6="Fail"</formula>
    </cfRule>
  </conditionalFormatting>
  <conditionalFormatting sqref="B13">
    <cfRule type="expression" dxfId="575" priority="84">
      <formula>$F13="Fail"</formula>
    </cfRule>
  </conditionalFormatting>
  <conditionalFormatting sqref="C13">
    <cfRule type="expression" dxfId="574" priority="83">
      <formula>$F13="Fail"</formula>
    </cfRule>
  </conditionalFormatting>
  <conditionalFormatting sqref="C23">
    <cfRule type="expression" dxfId="573" priority="82">
      <formula>$F23="Fail"</formula>
    </cfRule>
  </conditionalFormatting>
  <conditionalFormatting sqref="B25:C25">
    <cfRule type="expression" dxfId="572" priority="81">
      <formula>$F25="Fail"</formula>
    </cfRule>
  </conditionalFormatting>
  <conditionalFormatting sqref="C27">
    <cfRule type="expression" dxfId="571" priority="80">
      <formula>$F27="Fail"</formula>
    </cfRule>
  </conditionalFormatting>
  <conditionalFormatting sqref="B27">
    <cfRule type="expression" dxfId="570" priority="79">
      <formula>$F27="Fail"</formula>
    </cfRule>
  </conditionalFormatting>
  <conditionalFormatting sqref="B28:C28">
    <cfRule type="expression" dxfId="569" priority="78">
      <formula>$F28="Fail"</formula>
    </cfRule>
  </conditionalFormatting>
  <conditionalFormatting sqref="B30:C30">
    <cfRule type="expression" dxfId="568" priority="77">
      <formula>$F30="Fail"</formula>
    </cfRule>
  </conditionalFormatting>
  <conditionalFormatting sqref="B33:C33">
    <cfRule type="expression" dxfId="567" priority="76">
      <formula>$F33="Fail"</formula>
    </cfRule>
  </conditionalFormatting>
  <conditionalFormatting sqref="B71:C71">
    <cfRule type="expression" dxfId="566" priority="75">
      <formula>$F71="Fail"</formula>
    </cfRule>
  </conditionalFormatting>
  <conditionalFormatting sqref="B60:C70">
    <cfRule type="expression" dxfId="565" priority="72">
      <formula>$F60="Fail"</formula>
    </cfRule>
  </conditionalFormatting>
  <conditionalFormatting sqref="B47:C50 B51:B53">
    <cfRule type="expression" dxfId="564" priority="74">
      <formula>$F47="Fail"</formula>
    </cfRule>
  </conditionalFormatting>
  <conditionalFormatting sqref="B58:C59">
    <cfRule type="expression" dxfId="563" priority="73">
      <formula>$F58="Fail"</formula>
    </cfRule>
  </conditionalFormatting>
  <conditionalFormatting sqref="B70:C70">
    <cfRule type="expression" dxfId="562" priority="71">
      <formula>$F70="Fail"</formula>
    </cfRule>
  </conditionalFormatting>
  <conditionalFormatting sqref="C60:C69">
    <cfRule type="expression" dxfId="561" priority="70">
      <formula>$F60="Fail"</formula>
    </cfRule>
  </conditionalFormatting>
  <conditionalFormatting sqref="C56">
    <cfRule type="expression" dxfId="560" priority="69">
      <formula>$F56="Fail"</formula>
    </cfRule>
  </conditionalFormatting>
  <conditionalFormatting sqref="B46">
    <cfRule type="expression" dxfId="559" priority="68">
      <formula>$F46="Fail"</formula>
    </cfRule>
  </conditionalFormatting>
  <conditionalFormatting sqref="C46">
    <cfRule type="expression" dxfId="558" priority="67">
      <formula>$F46="Fail"</formula>
    </cfRule>
  </conditionalFormatting>
  <conditionalFormatting sqref="C73:C76">
    <cfRule type="expression" dxfId="557" priority="64">
      <formula>$F73="Fail"</formula>
    </cfRule>
  </conditionalFormatting>
  <conditionalFormatting sqref="B72">
    <cfRule type="expression" dxfId="556" priority="63">
      <formula>$F72="Fail"</formula>
    </cfRule>
  </conditionalFormatting>
  <conditionalFormatting sqref="C72">
    <cfRule type="expression" dxfId="555" priority="62">
      <formula>$F72="Fail"</formula>
    </cfRule>
  </conditionalFormatting>
  <conditionalFormatting sqref="C73:C76">
    <cfRule type="expression" dxfId="554" priority="65">
      <formula>$F73="Fail"</formula>
    </cfRule>
  </conditionalFormatting>
  <conditionalFormatting sqref="B73:C76">
    <cfRule type="expression" dxfId="553" priority="66">
      <formula>$F73="Fail"</formula>
    </cfRule>
  </conditionalFormatting>
  <conditionalFormatting sqref="C76">
    <cfRule type="expression" dxfId="552" priority="61">
      <formula>$F76="Fail"</formula>
    </cfRule>
  </conditionalFormatting>
  <conditionalFormatting sqref="B79:D79 B80:C80">
    <cfRule type="expression" dxfId="551" priority="60">
      <formula>$F79="Fail"</formula>
    </cfRule>
  </conditionalFormatting>
  <conditionalFormatting sqref="D80">
    <cfRule type="expression" dxfId="550" priority="59">
      <formula>$F80="Fail"</formula>
    </cfRule>
  </conditionalFormatting>
  <conditionalFormatting sqref="D12">
    <cfRule type="expression" dxfId="549" priority="58">
      <formula>$F12="Fail"</formula>
    </cfRule>
  </conditionalFormatting>
  <conditionalFormatting sqref="D27">
    <cfRule type="expression" dxfId="548" priority="57">
      <formula>$F27="Fail"</formula>
    </cfRule>
  </conditionalFormatting>
  <conditionalFormatting sqref="D72">
    <cfRule type="expression" dxfId="547" priority="56">
      <formula>$F72="Fail"</formula>
    </cfRule>
  </conditionalFormatting>
  <conditionalFormatting sqref="B24">
    <cfRule type="expression" dxfId="546" priority="55">
      <formula>$F24="Fail"</formula>
    </cfRule>
  </conditionalFormatting>
  <conditionalFormatting sqref="C24">
    <cfRule type="expression" dxfId="545" priority="54">
      <formula>$F24="Fail"</formula>
    </cfRule>
  </conditionalFormatting>
  <conditionalFormatting sqref="B25">
    <cfRule type="expression" dxfId="544" priority="52">
      <formula>$F25="Fail"</formula>
    </cfRule>
  </conditionalFormatting>
  <conditionalFormatting sqref="C25">
    <cfRule type="expression" dxfId="543" priority="51">
      <formula>$F25="Fail"</formula>
    </cfRule>
  </conditionalFormatting>
  <conditionalFormatting sqref="C37">
    <cfRule type="expression" dxfId="542" priority="50">
      <formula>$F37="Fail"</formula>
    </cfRule>
  </conditionalFormatting>
  <conditionalFormatting sqref="D46">
    <cfRule type="expression" dxfId="541" priority="49">
      <formula>$F46="Fail"</formula>
    </cfRule>
  </conditionalFormatting>
  <conditionalFormatting sqref="F68">
    <cfRule type="expression" dxfId="540" priority="33">
      <formula>$F68="Fail"</formula>
    </cfRule>
  </conditionalFormatting>
  <conditionalFormatting sqref="C51:C53">
    <cfRule type="expression" dxfId="539" priority="32">
      <formula>$F51="Fail"</formula>
    </cfRule>
  </conditionalFormatting>
  <conditionalFormatting sqref="F5:F7">
    <cfRule type="expression" dxfId="537" priority="16">
      <formula>$F5="Fail"</formula>
    </cfRule>
  </conditionalFormatting>
  <conditionalFormatting sqref="F9">
    <cfRule type="expression" dxfId="536" priority="15">
      <formula>$F9="Fail"</formula>
    </cfRule>
  </conditionalFormatting>
  <conditionalFormatting sqref="F13">
    <cfRule type="expression" dxfId="535" priority="14">
      <formula>$F13="Fail"</formula>
    </cfRule>
  </conditionalFormatting>
  <conditionalFormatting sqref="F15">
    <cfRule type="expression" dxfId="534" priority="13">
      <formula>$F15="Fail"</formula>
    </cfRule>
  </conditionalFormatting>
  <conditionalFormatting sqref="F17">
    <cfRule type="expression" dxfId="533" priority="12">
      <formula>$F17="Fail"</formula>
    </cfRule>
  </conditionalFormatting>
  <conditionalFormatting sqref="F19">
    <cfRule type="expression" dxfId="532" priority="11">
      <formula>$F19="Fail"</formula>
    </cfRule>
  </conditionalFormatting>
  <conditionalFormatting sqref="F21:F26">
    <cfRule type="expression" dxfId="531" priority="10">
      <formula>$F21="Fail"</formula>
    </cfRule>
  </conditionalFormatting>
  <conditionalFormatting sqref="F28">
    <cfRule type="expression" dxfId="530" priority="9">
      <formula>$F28="Fail"</formula>
    </cfRule>
  </conditionalFormatting>
  <conditionalFormatting sqref="F30:F33">
    <cfRule type="expression" dxfId="529" priority="8">
      <formula>$F30="Fail"</formula>
    </cfRule>
  </conditionalFormatting>
  <conditionalFormatting sqref="F35:F37">
    <cfRule type="expression" dxfId="528" priority="7">
      <formula>$F35="Fail"</formula>
    </cfRule>
  </conditionalFormatting>
  <conditionalFormatting sqref="F39:F44">
    <cfRule type="expression" dxfId="527" priority="6">
      <formula>$F39="Fail"</formula>
    </cfRule>
  </conditionalFormatting>
  <conditionalFormatting sqref="F47:F56">
    <cfRule type="expression" dxfId="526" priority="5">
      <formula>$F47="Fail"</formula>
    </cfRule>
  </conditionalFormatting>
  <conditionalFormatting sqref="F60:F63">
    <cfRule type="expression" dxfId="525" priority="4">
      <formula>$F60="Fail"</formula>
    </cfRule>
  </conditionalFormatting>
  <conditionalFormatting sqref="F66:F67">
    <cfRule type="expression" dxfId="524" priority="3">
      <formula>$F66="Fail"</formula>
    </cfRule>
  </conditionalFormatting>
  <conditionalFormatting sqref="F73:F76">
    <cfRule type="expression" dxfId="523" priority="2">
      <formula>$F73="Fail"</formula>
    </cfRule>
  </conditionalFormatting>
  <conditionalFormatting sqref="F65">
    <cfRule type="expression" dxfId="7" priority="1">
      <formula>$F65="Fail"</formula>
    </cfRule>
  </conditionalFormatting>
  <dataValidations count="1">
    <dataValidation type="list" allowBlank="1" showInputMessage="1" showErrorMessage="1" sqref="F3:F81">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8" id="{61BBE3D5-0CC1-4928-ADEA-AF2F39B45356}">
            <xm:f>'C:\Users\E939818\Documents\_Project Documents\SVN TEST  team\_Sutuwa\Testing\Release 1\Stats\[SEB_InvestAdmin_Investment.xlsm]External'!#REF!="Fail"</xm:f>
            <x14:dxf>
              <font>
                <color rgb="FFFF0000"/>
              </font>
              <fill>
                <patternFill>
                  <bgColor theme="9" tint="0.59996337778862885"/>
                </patternFill>
              </fill>
            </x14:dxf>
          </x14:cfRule>
          <xm:sqref>B38:D44</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92"/>
  <sheetViews>
    <sheetView topLeftCell="C1" zoomScaleNormal="100" workbookViewId="0">
      <pane ySplit="1" topLeftCell="A26" activePane="bottomLeft" state="frozen"/>
      <selection pane="bottomLeft" activeCell="F34" sqref="F34:K34"/>
    </sheetView>
  </sheetViews>
  <sheetFormatPr defaultRowHeight="15" x14ac:dyDescent="0.25"/>
  <cols>
    <col min="1" max="1" width="11.28515625" style="3" bestFit="1" customWidth="1"/>
    <col min="2" max="2" width="56.7109375" style="1" customWidth="1"/>
    <col min="3" max="3" width="50.7109375" style="1" customWidth="1"/>
    <col min="4" max="4" width="48.1406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687</v>
      </c>
      <c r="C2" s="183"/>
      <c r="D2" s="102" t="s">
        <v>815</v>
      </c>
      <c r="E2" s="99"/>
      <c r="F2" s="98"/>
      <c r="G2" s="99"/>
      <c r="H2" s="99"/>
      <c r="I2" s="99"/>
      <c r="J2" s="99"/>
      <c r="K2" s="99"/>
      <c r="L2" s="99"/>
    </row>
    <row r="3" spans="1:12" s="19" customFormat="1" x14ac:dyDescent="0.25">
      <c r="A3" s="15">
        <v>2</v>
      </c>
      <c r="B3" s="16" t="s">
        <v>651</v>
      </c>
      <c r="C3" s="17"/>
      <c r="D3" s="16"/>
      <c r="E3" s="16"/>
      <c r="F3" s="18"/>
      <c r="G3" s="18"/>
      <c r="H3" s="18"/>
      <c r="I3" s="18"/>
      <c r="J3" s="18"/>
      <c r="K3" s="18"/>
      <c r="L3" s="16"/>
    </row>
    <row r="4" spans="1:12" s="137" customFormat="1" ht="38.25" x14ac:dyDescent="0.25">
      <c r="A4" s="134"/>
      <c r="B4" s="138" t="s">
        <v>816</v>
      </c>
      <c r="C4" s="139" t="s">
        <v>817</v>
      </c>
      <c r="D4" s="135"/>
      <c r="E4" s="135"/>
      <c r="F4" s="136"/>
      <c r="G4" s="136"/>
      <c r="H4" s="136"/>
      <c r="I4" s="136"/>
      <c r="J4" s="136"/>
      <c r="K4" s="136"/>
      <c r="L4" s="135"/>
    </row>
    <row r="5" spans="1:12" ht="51" x14ac:dyDescent="0.25">
      <c r="A5" s="4">
        <f>A3+0.0001</f>
        <v>2.0001000000000002</v>
      </c>
      <c r="B5" s="5" t="s">
        <v>688</v>
      </c>
      <c r="C5" s="8"/>
      <c r="D5" s="6" t="s">
        <v>689</v>
      </c>
      <c r="E5" s="5"/>
      <c r="F5" s="136" t="s">
        <v>5</v>
      </c>
      <c r="G5" s="7">
        <f t="shared" ref="G5:K22" si="0">IF($F5=G$1,1,0)</f>
        <v>1</v>
      </c>
      <c r="H5" s="7">
        <f t="shared" si="0"/>
        <v>0</v>
      </c>
      <c r="I5" s="7">
        <f t="shared" si="0"/>
        <v>0</v>
      </c>
      <c r="J5" s="7">
        <f t="shared" si="0"/>
        <v>0</v>
      </c>
      <c r="K5" s="7">
        <f t="shared" si="0"/>
        <v>0</v>
      </c>
      <c r="L5" s="6"/>
    </row>
    <row r="6" spans="1:12" ht="25.5" x14ac:dyDescent="0.25">
      <c r="A6" s="4">
        <f t="shared" ref="A6:A86" si="1">A5+0.0001</f>
        <v>2.0002000000000004</v>
      </c>
      <c r="B6" s="63" t="s">
        <v>593</v>
      </c>
      <c r="C6" s="8" t="s">
        <v>594</v>
      </c>
      <c r="D6" s="6"/>
      <c r="E6" s="5"/>
      <c r="F6" s="136" t="s">
        <v>5</v>
      </c>
      <c r="G6" s="7">
        <f t="shared" si="0"/>
        <v>1</v>
      </c>
      <c r="H6" s="7">
        <f t="shared" si="0"/>
        <v>0</v>
      </c>
      <c r="I6" s="7">
        <f t="shared" si="0"/>
        <v>0</v>
      </c>
      <c r="J6" s="7">
        <f t="shared" si="0"/>
        <v>0</v>
      </c>
      <c r="K6" s="7">
        <f t="shared" si="0"/>
        <v>0</v>
      </c>
      <c r="L6" s="6"/>
    </row>
    <row r="7" spans="1:12" ht="25.5" x14ac:dyDescent="0.25">
      <c r="A7" s="4">
        <f t="shared" si="1"/>
        <v>2.0003000000000006</v>
      </c>
      <c r="B7" s="63" t="s">
        <v>595</v>
      </c>
      <c r="C7" s="8" t="s">
        <v>596</v>
      </c>
      <c r="D7" s="6"/>
      <c r="E7" s="5"/>
      <c r="F7" s="136" t="s">
        <v>5</v>
      </c>
      <c r="G7" s="7">
        <f t="shared" si="0"/>
        <v>1</v>
      </c>
      <c r="H7" s="7">
        <f t="shared" si="0"/>
        <v>0</v>
      </c>
      <c r="I7" s="7">
        <f t="shared" si="0"/>
        <v>0</v>
      </c>
      <c r="J7" s="7">
        <f t="shared" si="0"/>
        <v>0</v>
      </c>
      <c r="K7" s="7">
        <f t="shared" si="0"/>
        <v>0</v>
      </c>
      <c r="L7" s="6"/>
    </row>
    <row r="8" spans="1:12" x14ac:dyDescent="0.25">
      <c r="A8" s="4">
        <f t="shared" si="1"/>
        <v>2.0004000000000008</v>
      </c>
      <c r="B8" s="5"/>
      <c r="C8" s="8" t="s">
        <v>597</v>
      </c>
      <c r="D8" s="6"/>
      <c r="E8" s="5"/>
      <c r="F8" s="136" t="s">
        <v>5</v>
      </c>
      <c r="G8" s="7">
        <f t="shared" si="0"/>
        <v>1</v>
      </c>
      <c r="H8" s="7">
        <f t="shared" si="0"/>
        <v>0</v>
      </c>
      <c r="I8" s="7">
        <f t="shared" si="0"/>
        <v>0</v>
      </c>
      <c r="J8" s="7">
        <f t="shared" si="0"/>
        <v>0</v>
      </c>
      <c r="K8" s="7">
        <f t="shared" si="0"/>
        <v>0</v>
      </c>
      <c r="L8" s="6"/>
    </row>
    <row r="9" spans="1:12" ht="25.5" x14ac:dyDescent="0.25">
      <c r="A9" s="4">
        <f t="shared" si="1"/>
        <v>2.0005000000000011</v>
      </c>
      <c r="B9" s="5"/>
      <c r="C9" s="8" t="s">
        <v>690</v>
      </c>
      <c r="D9" s="20" t="s">
        <v>691</v>
      </c>
      <c r="E9" s="5"/>
      <c r="F9" s="136" t="s">
        <v>5</v>
      </c>
      <c r="G9" s="7">
        <f t="shared" si="0"/>
        <v>1</v>
      </c>
      <c r="H9" s="7">
        <f t="shared" si="0"/>
        <v>0</v>
      </c>
      <c r="I9" s="7">
        <f t="shared" si="0"/>
        <v>0</v>
      </c>
      <c r="J9" s="7">
        <f t="shared" si="0"/>
        <v>0</v>
      </c>
      <c r="K9" s="7">
        <f t="shared" si="0"/>
        <v>0</v>
      </c>
      <c r="L9" s="6"/>
    </row>
    <row r="10" spans="1:12" x14ac:dyDescent="0.25">
      <c r="A10" s="4">
        <f t="shared" si="1"/>
        <v>2.0006000000000013</v>
      </c>
      <c r="B10" s="5" t="s">
        <v>672</v>
      </c>
      <c r="C10" s="94" t="s">
        <v>714</v>
      </c>
      <c r="D10" s="6"/>
      <c r="E10" s="6"/>
      <c r="F10" s="136" t="s">
        <v>5</v>
      </c>
      <c r="G10" s="7">
        <f t="shared" si="0"/>
        <v>1</v>
      </c>
      <c r="H10" s="7">
        <f t="shared" si="0"/>
        <v>0</v>
      </c>
      <c r="I10" s="7">
        <f t="shared" si="0"/>
        <v>0</v>
      </c>
      <c r="J10" s="7">
        <f t="shared" si="0"/>
        <v>0</v>
      </c>
      <c r="K10" s="7">
        <f t="shared" si="0"/>
        <v>0</v>
      </c>
      <c r="L10" s="6"/>
    </row>
    <row r="11" spans="1:12" x14ac:dyDescent="0.25">
      <c r="A11" s="4">
        <f t="shared" si="1"/>
        <v>2.0007000000000015</v>
      </c>
      <c r="B11" s="5"/>
      <c r="C11" s="22"/>
      <c r="D11" s="6"/>
      <c r="E11" s="6"/>
      <c r="F11" s="7"/>
      <c r="G11" s="7"/>
      <c r="H11" s="7"/>
      <c r="I11" s="7"/>
      <c r="J11" s="7"/>
      <c r="K11" s="7"/>
      <c r="L11" s="6"/>
    </row>
    <row r="12" spans="1:12" x14ac:dyDescent="0.25">
      <c r="A12" s="4">
        <f t="shared" si="1"/>
        <v>2.0008000000000017</v>
      </c>
      <c r="B12" s="5"/>
      <c r="C12" s="22"/>
      <c r="D12" s="6"/>
      <c r="E12" s="6"/>
      <c r="F12" s="7"/>
      <c r="G12" s="7"/>
      <c r="H12" s="7"/>
      <c r="I12" s="7"/>
      <c r="J12" s="7"/>
      <c r="K12" s="7"/>
      <c r="L12" s="6"/>
    </row>
    <row r="13" spans="1:12" x14ac:dyDescent="0.25">
      <c r="A13" s="4">
        <f t="shared" si="1"/>
        <v>2.0009000000000019</v>
      </c>
      <c r="B13" s="105" t="s">
        <v>495</v>
      </c>
      <c r="C13" s="17"/>
      <c r="D13" s="16"/>
      <c r="E13" s="6"/>
      <c r="F13" s="7"/>
      <c r="G13" s="7"/>
      <c r="H13" s="7"/>
      <c r="I13" s="7"/>
      <c r="J13" s="7"/>
      <c r="K13" s="7"/>
      <c r="L13" s="6"/>
    </row>
    <row r="14" spans="1:12" ht="25.5" x14ac:dyDescent="0.25">
      <c r="A14" s="4">
        <f t="shared" si="1"/>
        <v>2.0010000000000021</v>
      </c>
      <c r="B14" s="63" t="s">
        <v>656</v>
      </c>
      <c r="C14" s="107" t="s">
        <v>659</v>
      </c>
      <c r="D14" s="6"/>
      <c r="E14" s="6"/>
      <c r="F14" s="136" t="s">
        <v>5</v>
      </c>
      <c r="G14" s="7">
        <f t="shared" si="0"/>
        <v>1</v>
      </c>
      <c r="H14" s="7">
        <f t="shared" si="0"/>
        <v>0</v>
      </c>
      <c r="I14" s="7">
        <f t="shared" si="0"/>
        <v>0</v>
      </c>
      <c r="J14" s="7">
        <f t="shared" si="0"/>
        <v>0</v>
      </c>
      <c r="K14" s="7">
        <f t="shared" si="0"/>
        <v>0</v>
      </c>
      <c r="L14" s="6"/>
    </row>
    <row r="15" spans="1:12" x14ac:dyDescent="0.25">
      <c r="A15" s="4">
        <f t="shared" si="1"/>
        <v>2.0011000000000023</v>
      </c>
      <c r="B15" s="5"/>
      <c r="C15" s="22"/>
      <c r="D15" s="6"/>
      <c r="E15" s="6"/>
      <c r="F15" s="7"/>
      <c r="G15" s="7"/>
      <c r="H15" s="7"/>
      <c r="I15" s="7"/>
      <c r="J15" s="7"/>
      <c r="K15" s="7"/>
      <c r="L15" s="6"/>
    </row>
    <row r="16" spans="1:12" x14ac:dyDescent="0.25">
      <c r="A16" s="4">
        <f t="shared" si="1"/>
        <v>2.0012000000000025</v>
      </c>
      <c r="B16" s="5" t="s">
        <v>660</v>
      </c>
      <c r="C16" s="22" t="s">
        <v>661</v>
      </c>
      <c r="D16" s="6"/>
      <c r="E16" s="6"/>
      <c r="F16" s="136" t="s">
        <v>5</v>
      </c>
      <c r="G16" s="7">
        <f t="shared" si="0"/>
        <v>1</v>
      </c>
      <c r="H16" s="7">
        <f t="shared" si="0"/>
        <v>0</v>
      </c>
      <c r="I16" s="7">
        <f t="shared" si="0"/>
        <v>0</v>
      </c>
      <c r="J16" s="7">
        <f t="shared" si="0"/>
        <v>0</v>
      </c>
      <c r="K16" s="7">
        <f t="shared" si="0"/>
        <v>0</v>
      </c>
      <c r="L16" s="6"/>
    </row>
    <row r="17" spans="1:12" x14ac:dyDescent="0.25">
      <c r="A17" s="4">
        <f t="shared" si="1"/>
        <v>2.0013000000000027</v>
      </c>
      <c r="B17" s="5"/>
      <c r="C17" s="23"/>
      <c r="D17" s="6"/>
      <c r="E17" s="6"/>
      <c r="F17" s="7"/>
      <c r="G17" s="7"/>
      <c r="H17" s="7"/>
      <c r="I17" s="7"/>
      <c r="J17" s="7"/>
      <c r="K17" s="7"/>
      <c r="L17" s="6"/>
    </row>
    <row r="18" spans="1:12" x14ac:dyDescent="0.25">
      <c r="A18" s="4">
        <f t="shared" si="1"/>
        <v>2.001400000000003</v>
      </c>
      <c r="B18" s="48" t="s">
        <v>662</v>
      </c>
      <c r="C18" s="23" t="s">
        <v>663</v>
      </c>
      <c r="D18" s="6"/>
      <c r="E18" s="6"/>
      <c r="F18" s="136" t="s">
        <v>5</v>
      </c>
      <c r="G18" s="7">
        <f t="shared" si="0"/>
        <v>1</v>
      </c>
      <c r="H18" s="7">
        <f t="shared" si="0"/>
        <v>0</v>
      </c>
      <c r="I18" s="7">
        <f t="shared" si="0"/>
        <v>0</v>
      </c>
      <c r="J18" s="7">
        <f t="shared" si="0"/>
        <v>0</v>
      </c>
      <c r="K18" s="7">
        <f t="shared" si="0"/>
        <v>0</v>
      </c>
      <c r="L18" s="6"/>
    </row>
    <row r="19" spans="1:12" x14ac:dyDescent="0.25">
      <c r="A19" s="4">
        <f t="shared" si="1"/>
        <v>2.0015000000000032</v>
      </c>
      <c r="B19" s="5"/>
      <c r="C19" s="23"/>
      <c r="D19" s="6"/>
      <c r="E19" s="6"/>
      <c r="F19" s="7"/>
      <c r="G19" s="7"/>
      <c r="H19" s="7"/>
      <c r="I19" s="7"/>
      <c r="J19" s="7"/>
      <c r="K19" s="7"/>
      <c r="L19" s="6"/>
    </row>
    <row r="20" spans="1:12" ht="25.5" x14ac:dyDescent="0.25">
      <c r="A20" s="4">
        <f t="shared" si="1"/>
        <v>2.0016000000000034</v>
      </c>
      <c r="B20" s="8" t="s">
        <v>664</v>
      </c>
      <c r="C20" s="22" t="s">
        <v>452</v>
      </c>
      <c r="D20" s="6"/>
      <c r="E20" s="6"/>
      <c r="F20" s="136" t="s">
        <v>5</v>
      </c>
      <c r="G20" s="7">
        <f t="shared" si="0"/>
        <v>1</v>
      </c>
      <c r="H20" s="7">
        <f t="shared" si="0"/>
        <v>0</v>
      </c>
      <c r="I20" s="7">
        <f t="shared" si="0"/>
        <v>0</v>
      </c>
      <c r="J20" s="7">
        <f t="shared" si="0"/>
        <v>0</v>
      </c>
      <c r="K20" s="7">
        <f t="shared" si="0"/>
        <v>0</v>
      </c>
      <c r="L20" s="6"/>
    </row>
    <row r="21" spans="1:12" x14ac:dyDescent="0.25">
      <c r="A21" s="4">
        <f t="shared" si="1"/>
        <v>2.0017000000000036</v>
      </c>
      <c r="B21" s="108"/>
      <c r="C21" s="109"/>
      <c r="D21" s="6"/>
      <c r="E21" s="6"/>
      <c r="F21" s="7"/>
      <c r="G21" s="7"/>
      <c r="H21" s="7"/>
      <c r="I21" s="7"/>
      <c r="J21" s="7"/>
      <c r="K21" s="7"/>
      <c r="L21" s="6"/>
    </row>
    <row r="22" spans="1:12" x14ac:dyDescent="0.25">
      <c r="A22" s="4">
        <f t="shared" si="1"/>
        <v>2.0018000000000038</v>
      </c>
      <c r="B22" s="5" t="s">
        <v>665</v>
      </c>
      <c r="C22" s="23" t="s">
        <v>663</v>
      </c>
      <c r="D22" s="6"/>
      <c r="E22" s="6"/>
      <c r="F22" s="136" t="s">
        <v>5</v>
      </c>
      <c r="G22" s="7">
        <f t="shared" si="0"/>
        <v>1</v>
      </c>
      <c r="H22" s="7">
        <f t="shared" si="0"/>
        <v>0</v>
      </c>
      <c r="I22" s="7">
        <f t="shared" si="0"/>
        <v>0</v>
      </c>
      <c r="J22" s="7">
        <f t="shared" si="0"/>
        <v>0</v>
      </c>
      <c r="K22" s="7">
        <f t="shared" si="0"/>
        <v>0</v>
      </c>
      <c r="L22" s="6"/>
    </row>
    <row r="23" spans="1:12" x14ac:dyDescent="0.25">
      <c r="A23" s="4">
        <f t="shared" si="1"/>
        <v>2.001900000000004</v>
      </c>
      <c r="B23" s="5" t="s">
        <v>674</v>
      </c>
      <c r="C23" s="23" t="s">
        <v>675</v>
      </c>
      <c r="D23" s="6"/>
      <c r="E23" s="6"/>
      <c r="F23" s="136" t="s">
        <v>5</v>
      </c>
      <c r="G23" s="7">
        <f t="shared" ref="G23:K45" si="2">IF($F23=G$1,1,0)</f>
        <v>1</v>
      </c>
      <c r="H23" s="7">
        <f t="shared" si="2"/>
        <v>0</v>
      </c>
      <c r="I23" s="7">
        <f t="shared" si="2"/>
        <v>0</v>
      </c>
      <c r="J23" s="7">
        <f t="shared" si="2"/>
        <v>0</v>
      </c>
      <c r="K23" s="7">
        <f t="shared" si="2"/>
        <v>0</v>
      </c>
      <c r="L23" s="6"/>
    </row>
    <row r="24" spans="1:12" x14ac:dyDescent="0.25">
      <c r="A24" s="4">
        <f t="shared" si="1"/>
        <v>2.0020000000000042</v>
      </c>
      <c r="B24" s="5" t="s">
        <v>676</v>
      </c>
      <c r="C24" s="22" t="s">
        <v>677</v>
      </c>
      <c r="D24" s="6"/>
      <c r="E24" s="6"/>
      <c r="F24" s="136" t="s">
        <v>5</v>
      </c>
      <c r="G24" s="7">
        <f t="shared" si="2"/>
        <v>1</v>
      </c>
      <c r="H24" s="7">
        <f t="shared" si="2"/>
        <v>0</v>
      </c>
      <c r="I24" s="7">
        <f t="shared" si="2"/>
        <v>0</v>
      </c>
      <c r="J24" s="7">
        <f t="shared" si="2"/>
        <v>0</v>
      </c>
      <c r="K24" s="7">
        <f t="shared" si="2"/>
        <v>0</v>
      </c>
      <c r="L24" s="6"/>
    </row>
    <row r="25" spans="1:12" x14ac:dyDescent="0.25">
      <c r="A25" s="4">
        <f t="shared" si="1"/>
        <v>2.0021000000000044</v>
      </c>
      <c r="B25" s="5" t="s">
        <v>678</v>
      </c>
      <c r="C25" s="22" t="s">
        <v>679</v>
      </c>
      <c r="D25" s="6"/>
      <c r="E25" s="6"/>
      <c r="F25" s="136" t="s">
        <v>5</v>
      </c>
      <c r="G25" s="7">
        <f t="shared" si="2"/>
        <v>1</v>
      </c>
      <c r="H25" s="7">
        <f t="shared" si="2"/>
        <v>0</v>
      </c>
      <c r="I25" s="7">
        <f t="shared" si="2"/>
        <v>0</v>
      </c>
      <c r="J25" s="7">
        <f t="shared" si="2"/>
        <v>0</v>
      </c>
      <c r="K25" s="7">
        <f t="shared" si="2"/>
        <v>0</v>
      </c>
      <c r="L25" s="6"/>
    </row>
    <row r="26" spans="1:12" x14ac:dyDescent="0.25">
      <c r="A26" s="4">
        <f t="shared" si="1"/>
        <v>2.0022000000000046</v>
      </c>
      <c r="B26" s="5" t="s">
        <v>666</v>
      </c>
      <c r="C26" s="94" t="s">
        <v>552</v>
      </c>
      <c r="D26" s="6"/>
      <c r="E26" s="6"/>
      <c r="F26" s="136" t="s">
        <v>5</v>
      </c>
      <c r="G26" s="7">
        <f t="shared" si="2"/>
        <v>1</v>
      </c>
      <c r="H26" s="7">
        <f t="shared" si="2"/>
        <v>0</v>
      </c>
      <c r="I26" s="7">
        <f t="shared" si="2"/>
        <v>0</v>
      </c>
      <c r="J26" s="7">
        <f t="shared" si="2"/>
        <v>0</v>
      </c>
      <c r="K26" s="7">
        <f t="shared" si="2"/>
        <v>0</v>
      </c>
      <c r="L26" s="6"/>
    </row>
    <row r="27" spans="1:12" x14ac:dyDescent="0.25">
      <c r="A27" s="4">
        <f t="shared" si="1"/>
        <v>2.0023000000000049</v>
      </c>
      <c r="B27" s="63" t="s">
        <v>667</v>
      </c>
      <c r="C27" s="94" t="s">
        <v>350</v>
      </c>
      <c r="D27" s="6"/>
      <c r="E27" s="6"/>
      <c r="F27" s="136" t="s">
        <v>5</v>
      </c>
      <c r="G27" s="7">
        <f t="shared" si="2"/>
        <v>1</v>
      </c>
      <c r="H27" s="7">
        <f t="shared" si="2"/>
        <v>0</v>
      </c>
      <c r="I27" s="7">
        <f t="shared" si="2"/>
        <v>0</v>
      </c>
      <c r="J27" s="7">
        <f t="shared" si="2"/>
        <v>0</v>
      </c>
      <c r="K27" s="7">
        <f t="shared" si="2"/>
        <v>0</v>
      </c>
      <c r="L27" s="6"/>
    </row>
    <row r="28" spans="1:12" x14ac:dyDescent="0.25">
      <c r="A28" s="4">
        <f t="shared" si="1"/>
        <v>2.0024000000000051</v>
      </c>
      <c r="B28" s="110" t="s">
        <v>668</v>
      </c>
      <c r="C28" s="111" t="s">
        <v>669</v>
      </c>
      <c r="D28" s="16"/>
      <c r="E28" s="6"/>
      <c r="F28" s="7"/>
      <c r="G28" s="7"/>
      <c r="H28" s="7"/>
      <c r="I28" s="7"/>
      <c r="J28" s="7"/>
      <c r="K28" s="7"/>
      <c r="L28" s="6"/>
    </row>
    <row r="29" spans="1:12" ht="38.25" x14ac:dyDescent="0.25">
      <c r="A29" s="4">
        <f t="shared" si="1"/>
        <v>2.0025000000000053</v>
      </c>
      <c r="B29" s="66" t="s">
        <v>394</v>
      </c>
      <c r="C29" s="22" t="s">
        <v>1044</v>
      </c>
      <c r="D29" s="6"/>
      <c r="E29" s="6"/>
      <c r="F29" s="136" t="s">
        <v>5</v>
      </c>
      <c r="G29" s="7">
        <f t="shared" si="2"/>
        <v>1</v>
      </c>
      <c r="H29" s="7">
        <f t="shared" si="2"/>
        <v>0</v>
      </c>
      <c r="I29" s="7">
        <f t="shared" si="2"/>
        <v>0</v>
      </c>
      <c r="J29" s="7">
        <f t="shared" si="2"/>
        <v>0</v>
      </c>
      <c r="K29" s="7">
        <f t="shared" si="2"/>
        <v>0</v>
      </c>
      <c r="L29" s="6"/>
    </row>
    <row r="30" spans="1:12" x14ac:dyDescent="0.25">
      <c r="A30" s="4">
        <f t="shared" si="1"/>
        <v>2.0026000000000055</v>
      </c>
      <c r="B30" s="5"/>
      <c r="C30" s="23"/>
      <c r="D30" s="6"/>
      <c r="E30" s="6"/>
      <c r="F30" s="7"/>
      <c r="G30" s="7"/>
      <c r="H30" s="7"/>
      <c r="I30" s="7"/>
      <c r="J30" s="7"/>
      <c r="K30" s="7"/>
      <c r="L30" s="6"/>
    </row>
    <row r="31" spans="1:12" ht="51" x14ac:dyDescent="0.25">
      <c r="A31" s="4">
        <f t="shared" si="1"/>
        <v>2.0027000000000057</v>
      </c>
      <c r="B31" s="66" t="s">
        <v>671</v>
      </c>
      <c r="C31" s="22" t="s">
        <v>670</v>
      </c>
      <c r="D31" s="6"/>
      <c r="E31" s="6"/>
      <c r="F31" s="136" t="s">
        <v>5</v>
      </c>
      <c r="G31" s="7">
        <f t="shared" si="2"/>
        <v>1</v>
      </c>
      <c r="H31" s="7">
        <f t="shared" si="2"/>
        <v>0</v>
      </c>
      <c r="I31" s="7">
        <f t="shared" si="2"/>
        <v>0</v>
      </c>
      <c r="J31" s="7">
        <f t="shared" si="2"/>
        <v>0</v>
      </c>
      <c r="K31" s="7">
        <f t="shared" si="2"/>
        <v>0</v>
      </c>
      <c r="L31" s="6"/>
    </row>
    <row r="32" spans="1:12" x14ac:dyDescent="0.25">
      <c r="A32" s="4">
        <f t="shared" si="1"/>
        <v>2.0028000000000059</v>
      </c>
      <c r="B32" s="5"/>
      <c r="C32" s="23"/>
      <c r="D32" s="6"/>
      <c r="E32" s="6"/>
      <c r="F32" s="136"/>
      <c r="G32" s="7"/>
      <c r="H32" s="7"/>
      <c r="I32" s="7"/>
      <c r="J32" s="7"/>
      <c r="K32" s="7"/>
      <c r="L32" s="6"/>
    </row>
    <row r="33" spans="1:12" x14ac:dyDescent="0.25">
      <c r="A33" s="4">
        <f t="shared" si="1"/>
        <v>2.0029000000000061</v>
      </c>
      <c r="B33" s="5" t="s">
        <v>489</v>
      </c>
      <c r="C33" s="22" t="s">
        <v>490</v>
      </c>
      <c r="D33" s="6"/>
      <c r="E33" s="6"/>
      <c r="F33" s="136" t="s">
        <v>5</v>
      </c>
      <c r="G33" s="7">
        <f t="shared" si="2"/>
        <v>1</v>
      </c>
      <c r="H33" s="7">
        <f t="shared" si="2"/>
        <v>0</v>
      </c>
      <c r="I33" s="7">
        <f t="shared" si="2"/>
        <v>0</v>
      </c>
      <c r="J33" s="7">
        <f t="shared" si="2"/>
        <v>0</v>
      </c>
      <c r="K33" s="7">
        <f t="shared" si="2"/>
        <v>0</v>
      </c>
      <c r="L33" s="6"/>
    </row>
    <row r="34" spans="1:12" x14ac:dyDescent="0.25">
      <c r="A34" s="4">
        <f t="shared" si="1"/>
        <v>2.0030000000000063</v>
      </c>
      <c r="B34" s="5"/>
      <c r="C34" s="23"/>
      <c r="D34" s="6"/>
      <c r="E34" s="6"/>
      <c r="F34" s="7"/>
      <c r="G34" s="7"/>
      <c r="H34" s="7"/>
      <c r="I34" s="7"/>
      <c r="J34" s="7"/>
      <c r="K34" s="7"/>
      <c r="L34" s="6"/>
    </row>
    <row r="35" spans="1:12" x14ac:dyDescent="0.25">
      <c r="A35" s="4">
        <f t="shared" si="1"/>
        <v>2.0031000000000065</v>
      </c>
      <c r="B35" s="5" t="s">
        <v>553</v>
      </c>
      <c r="C35" s="22" t="s">
        <v>492</v>
      </c>
      <c r="D35" s="6"/>
      <c r="E35" s="6"/>
      <c r="F35" s="136" t="s">
        <v>5</v>
      </c>
      <c r="G35" s="7">
        <f t="shared" si="2"/>
        <v>1</v>
      </c>
      <c r="H35" s="7">
        <f t="shared" si="2"/>
        <v>0</v>
      </c>
      <c r="I35" s="7">
        <f t="shared" si="2"/>
        <v>0</v>
      </c>
      <c r="J35" s="7">
        <f t="shared" si="2"/>
        <v>0</v>
      </c>
      <c r="K35" s="7">
        <f t="shared" si="2"/>
        <v>0</v>
      </c>
      <c r="L35" s="6"/>
    </row>
    <row r="36" spans="1:12" x14ac:dyDescent="0.25">
      <c r="A36" s="4">
        <f t="shared" si="1"/>
        <v>2.0032000000000068</v>
      </c>
      <c r="B36" s="5"/>
      <c r="C36" s="22" t="s">
        <v>493</v>
      </c>
      <c r="D36" s="6"/>
      <c r="E36" s="6"/>
      <c r="F36" s="136" t="s">
        <v>5</v>
      </c>
      <c r="G36" s="7">
        <f t="shared" si="2"/>
        <v>1</v>
      </c>
      <c r="H36" s="7">
        <f t="shared" si="2"/>
        <v>0</v>
      </c>
      <c r="I36" s="7">
        <f t="shared" si="2"/>
        <v>0</v>
      </c>
      <c r="J36" s="7">
        <f t="shared" si="2"/>
        <v>0</v>
      </c>
      <c r="K36" s="7">
        <f t="shared" si="2"/>
        <v>0</v>
      </c>
      <c r="L36" s="6"/>
    </row>
    <row r="37" spans="1:12" ht="25.5" x14ac:dyDescent="0.25">
      <c r="A37" s="4">
        <f t="shared" si="1"/>
        <v>2.003300000000007</v>
      </c>
      <c r="B37" s="5" t="s">
        <v>482</v>
      </c>
      <c r="C37" s="94" t="s">
        <v>680</v>
      </c>
      <c r="D37" s="6"/>
      <c r="E37" s="6"/>
      <c r="F37" s="136" t="s">
        <v>5</v>
      </c>
      <c r="G37" s="7">
        <f t="shared" si="2"/>
        <v>1</v>
      </c>
      <c r="H37" s="7">
        <f t="shared" si="2"/>
        <v>0</v>
      </c>
      <c r="I37" s="7">
        <f t="shared" si="2"/>
        <v>0</v>
      </c>
      <c r="J37" s="7">
        <f t="shared" si="2"/>
        <v>0</v>
      </c>
      <c r="K37" s="7">
        <f t="shared" si="2"/>
        <v>0</v>
      </c>
      <c r="L37" s="6"/>
    </row>
    <row r="38" spans="1:12" x14ac:dyDescent="0.25">
      <c r="A38" s="4">
        <f t="shared" si="1"/>
        <v>2.0034000000000072</v>
      </c>
      <c r="B38" s="5"/>
      <c r="C38" s="94"/>
      <c r="D38" s="6"/>
      <c r="E38" s="6"/>
      <c r="F38" s="136"/>
      <c r="G38" s="7"/>
      <c r="H38" s="7"/>
      <c r="I38" s="7"/>
      <c r="J38" s="7"/>
      <c r="K38" s="7"/>
      <c r="L38" s="6"/>
    </row>
    <row r="39" spans="1:12" x14ac:dyDescent="0.25">
      <c r="A39" s="4">
        <f t="shared" si="1"/>
        <v>2.0035000000000074</v>
      </c>
      <c r="B39" s="16" t="s">
        <v>692</v>
      </c>
      <c r="C39" s="17"/>
      <c r="D39" s="16"/>
      <c r="E39" s="6"/>
      <c r="F39" s="7"/>
      <c r="G39" s="7"/>
      <c r="H39" s="7"/>
      <c r="I39" s="7"/>
      <c r="J39" s="7"/>
      <c r="K39" s="7"/>
      <c r="L39" s="6"/>
    </row>
    <row r="40" spans="1:12" x14ac:dyDescent="0.25">
      <c r="A40" s="4">
        <f t="shared" si="1"/>
        <v>2.0036000000000076</v>
      </c>
      <c r="B40" s="5" t="s">
        <v>693</v>
      </c>
      <c r="C40" s="5" t="s">
        <v>598</v>
      </c>
      <c r="D40" s="6" t="s">
        <v>694</v>
      </c>
      <c r="E40" s="6"/>
      <c r="F40" s="136" t="s">
        <v>5</v>
      </c>
      <c r="G40" s="7">
        <f t="shared" si="2"/>
        <v>1</v>
      </c>
      <c r="H40" s="7">
        <f t="shared" si="2"/>
        <v>0</v>
      </c>
      <c r="I40" s="7">
        <f t="shared" si="2"/>
        <v>0</v>
      </c>
      <c r="J40" s="7">
        <f t="shared" si="2"/>
        <v>0</v>
      </c>
      <c r="K40" s="7">
        <f t="shared" si="2"/>
        <v>0</v>
      </c>
      <c r="L40" s="6"/>
    </row>
    <row r="41" spans="1:12" x14ac:dyDescent="0.25">
      <c r="A41" s="4">
        <f t="shared" si="1"/>
        <v>2.0037000000000078</v>
      </c>
      <c r="B41" s="5" t="s">
        <v>599</v>
      </c>
      <c r="C41" s="5" t="s">
        <v>695</v>
      </c>
      <c r="D41" s="6"/>
      <c r="E41" s="6"/>
      <c r="F41" s="136" t="s">
        <v>5</v>
      </c>
      <c r="G41" s="7">
        <f t="shared" si="2"/>
        <v>1</v>
      </c>
      <c r="H41" s="7">
        <f t="shared" si="2"/>
        <v>0</v>
      </c>
      <c r="I41" s="7">
        <f t="shared" si="2"/>
        <v>0</v>
      </c>
      <c r="J41" s="7">
        <f t="shared" si="2"/>
        <v>0</v>
      </c>
      <c r="K41" s="7">
        <f t="shared" si="2"/>
        <v>0</v>
      </c>
      <c r="L41" s="6"/>
    </row>
    <row r="42" spans="1:12" x14ac:dyDescent="0.25">
      <c r="A42" s="4">
        <f t="shared" si="1"/>
        <v>2.003800000000008</v>
      </c>
      <c r="B42" s="5" t="s">
        <v>482</v>
      </c>
      <c r="C42" s="5" t="s">
        <v>600</v>
      </c>
      <c r="D42" s="6"/>
      <c r="E42" s="6"/>
      <c r="F42" s="136" t="s">
        <v>5</v>
      </c>
      <c r="G42" s="7">
        <f t="shared" si="2"/>
        <v>1</v>
      </c>
      <c r="H42" s="7">
        <f t="shared" si="2"/>
        <v>0</v>
      </c>
      <c r="I42" s="7">
        <f t="shared" si="2"/>
        <v>0</v>
      </c>
      <c r="J42" s="7">
        <f t="shared" si="2"/>
        <v>0</v>
      </c>
      <c r="K42" s="7">
        <f t="shared" si="2"/>
        <v>0</v>
      </c>
      <c r="L42" s="6"/>
    </row>
    <row r="43" spans="1:12" ht="25.5" x14ac:dyDescent="0.25">
      <c r="A43" s="4">
        <f t="shared" si="1"/>
        <v>2.0039000000000082</v>
      </c>
      <c r="B43" s="5" t="s">
        <v>696</v>
      </c>
      <c r="C43" s="5" t="s">
        <v>598</v>
      </c>
      <c r="D43" s="6"/>
      <c r="E43" s="6"/>
      <c r="F43" s="136" t="s">
        <v>5</v>
      </c>
      <c r="G43" s="7">
        <f t="shared" si="2"/>
        <v>1</v>
      </c>
      <c r="H43" s="7">
        <f t="shared" si="2"/>
        <v>0</v>
      </c>
      <c r="I43" s="7">
        <f t="shared" si="2"/>
        <v>0</v>
      </c>
      <c r="J43" s="7">
        <f t="shared" si="2"/>
        <v>0</v>
      </c>
      <c r="K43" s="7">
        <f t="shared" si="2"/>
        <v>0</v>
      </c>
      <c r="L43" s="6"/>
    </row>
    <row r="44" spans="1:12" x14ac:dyDescent="0.25">
      <c r="A44" s="4">
        <f t="shared" si="1"/>
        <v>2.0040000000000084</v>
      </c>
      <c r="B44" s="5" t="s">
        <v>599</v>
      </c>
      <c r="C44" s="5" t="s">
        <v>697</v>
      </c>
      <c r="D44" s="6"/>
      <c r="E44" s="6"/>
      <c r="F44" s="136" t="s">
        <v>5</v>
      </c>
      <c r="G44" s="7">
        <f t="shared" si="2"/>
        <v>1</v>
      </c>
      <c r="H44" s="7">
        <f t="shared" si="2"/>
        <v>0</v>
      </c>
      <c r="I44" s="7">
        <f t="shared" si="2"/>
        <v>0</v>
      </c>
      <c r="J44" s="7">
        <f t="shared" si="2"/>
        <v>0</v>
      </c>
      <c r="K44" s="7">
        <f t="shared" si="2"/>
        <v>0</v>
      </c>
      <c r="L44" s="6"/>
    </row>
    <row r="45" spans="1:12" x14ac:dyDescent="0.25">
      <c r="A45" s="4">
        <f t="shared" si="1"/>
        <v>2.0041000000000087</v>
      </c>
      <c r="B45" s="5" t="s">
        <v>482</v>
      </c>
      <c r="C45" s="5" t="s">
        <v>600</v>
      </c>
      <c r="D45" s="6"/>
      <c r="E45" s="6"/>
      <c r="F45" s="136" t="s">
        <v>5</v>
      </c>
      <c r="G45" s="7">
        <f t="shared" si="2"/>
        <v>1</v>
      </c>
      <c r="H45" s="7">
        <f t="shared" si="2"/>
        <v>0</v>
      </c>
      <c r="I45" s="7">
        <f t="shared" si="2"/>
        <v>0</v>
      </c>
      <c r="J45" s="7">
        <f t="shared" si="2"/>
        <v>0</v>
      </c>
      <c r="K45" s="7">
        <f t="shared" si="2"/>
        <v>0</v>
      </c>
      <c r="L45" s="6"/>
    </row>
    <row r="46" spans="1:12" x14ac:dyDescent="0.25">
      <c r="A46" s="4">
        <f t="shared" si="1"/>
        <v>2.0042000000000089</v>
      </c>
      <c r="B46" s="16" t="s">
        <v>580</v>
      </c>
      <c r="C46" s="16"/>
      <c r="D46" s="16"/>
      <c r="E46" s="6"/>
      <c r="F46" s="7"/>
      <c r="G46" s="7"/>
      <c r="H46" s="7"/>
      <c r="I46" s="7"/>
      <c r="J46" s="7"/>
      <c r="K46" s="7"/>
      <c r="L46" s="6"/>
    </row>
    <row r="47" spans="1:12" x14ac:dyDescent="0.25">
      <c r="A47" s="4">
        <f t="shared" si="1"/>
        <v>2.0043000000000091</v>
      </c>
      <c r="B47" s="96" t="s">
        <v>555</v>
      </c>
      <c r="C47" s="5" t="s">
        <v>556</v>
      </c>
      <c r="D47" s="6"/>
      <c r="E47" s="6"/>
      <c r="F47" s="136" t="s">
        <v>5</v>
      </c>
      <c r="G47" s="7">
        <f t="shared" ref="G47:K62" si="3">IF($F47=G$1,1,0)</f>
        <v>1</v>
      </c>
      <c r="H47" s="7">
        <f t="shared" si="3"/>
        <v>0</v>
      </c>
      <c r="I47" s="7">
        <f t="shared" si="3"/>
        <v>0</v>
      </c>
      <c r="J47" s="7">
        <f t="shared" si="3"/>
        <v>0</v>
      </c>
      <c r="K47" s="7">
        <f t="shared" si="3"/>
        <v>0</v>
      </c>
      <c r="L47" s="6"/>
    </row>
    <row r="48" spans="1:12" x14ac:dyDescent="0.25">
      <c r="A48" s="4">
        <f t="shared" si="1"/>
        <v>2.0044000000000093</v>
      </c>
      <c r="B48" s="6"/>
      <c r="C48" s="5" t="s">
        <v>557</v>
      </c>
      <c r="D48" s="6"/>
      <c r="E48" s="6"/>
      <c r="F48" s="136" t="s">
        <v>5</v>
      </c>
      <c r="G48" s="7">
        <f t="shared" si="3"/>
        <v>1</v>
      </c>
      <c r="H48" s="7">
        <f t="shared" si="3"/>
        <v>0</v>
      </c>
      <c r="I48" s="7">
        <f t="shared" si="3"/>
        <v>0</v>
      </c>
      <c r="J48" s="7">
        <f t="shared" si="3"/>
        <v>0</v>
      </c>
      <c r="K48" s="7">
        <f t="shared" si="3"/>
        <v>0</v>
      </c>
      <c r="L48" s="6"/>
    </row>
    <row r="49" spans="1:12" x14ac:dyDescent="0.25">
      <c r="A49" s="4">
        <f t="shared" si="1"/>
        <v>2.0045000000000095</v>
      </c>
      <c r="B49" s="6"/>
      <c r="C49" s="5" t="s">
        <v>574</v>
      </c>
      <c r="D49" s="6"/>
      <c r="E49" s="6"/>
      <c r="F49" s="136" t="s">
        <v>5</v>
      </c>
      <c r="G49" s="7">
        <f t="shared" si="3"/>
        <v>1</v>
      </c>
      <c r="H49" s="7">
        <f t="shared" si="3"/>
        <v>0</v>
      </c>
      <c r="I49" s="7">
        <f t="shared" si="3"/>
        <v>0</v>
      </c>
      <c r="J49" s="7">
        <f t="shared" si="3"/>
        <v>0</v>
      </c>
      <c r="K49" s="7">
        <f t="shared" si="3"/>
        <v>0</v>
      </c>
      <c r="L49" s="6"/>
    </row>
    <row r="50" spans="1:12" x14ac:dyDescent="0.25">
      <c r="A50" s="4">
        <f t="shared" si="1"/>
        <v>2.0046000000000097</v>
      </c>
      <c r="B50" s="6"/>
      <c r="C50" s="5" t="s">
        <v>575</v>
      </c>
      <c r="D50" s="6"/>
      <c r="E50" s="6"/>
      <c r="F50" s="136" t="s">
        <v>5</v>
      </c>
      <c r="G50" s="7">
        <f t="shared" si="3"/>
        <v>1</v>
      </c>
      <c r="H50" s="7">
        <f t="shared" si="3"/>
        <v>0</v>
      </c>
      <c r="I50" s="7">
        <f t="shared" si="3"/>
        <v>0</v>
      </c>
      <c r="J50" s="7">
        <f t="shared" si="3"/>
        <v>0</v>
      </c>
      <c r="K50" s="7">
        <f t="shared" si="3"/>
        <v>0</v>
      </c>
      <c r="L50" s="6"/>
    </row>
    <row r="51" spans="1:12" x14ac:dyDescent="0.25">
      <c r="A51" s="4">
        <f t="shared" si="1"/>
        <v>2.0047000000000099</v>
      </c>
      <c r="B51" s="120"/>
      <c r="C51" s="120" t="s">
        <v>831</v>
      </c>
      <c r="D51" s="6"/>
      <c r="E51" s="6"/>
      <c r="F51" s="136" t="s">
        <v>5</v>
      </c>
      <c r="G51" s="7">
        <f t="shared" si="3"/>
        <v>1</v>
      </c>
      <c r="H51" s="7">
        <f t="shared" si="3"/>
        <v>0</v>
      </c>
      <c r="I51" s="7">
        <f t="shared" si="3"/>
        <v>0</v>
      </c>
      <c r="J51" s="7">
        <f t="shared" si="3"/>
        <v>0</v>
      </c>
      <c r="K51" s="7">
        <f t="shared" si="3"/>
        <v>0</v>
      </c>
      <c r="L51" s="6"/>
    </row>
    <row r="52" spans="1:12" x14ac:dyDescent="0.25">
      <c r="A52" s="4">
        <f t="shared" si="1"/>
        <v>2.0048000000000101</v>
      </c>
      <c r="B52" s="112"/>
      <c r="C52" s="120" t="s">
        <v>790</v>
      </c>
      <c r="D52" s="6"/>
      <c r="E52" s="6"/>
      <c r="F52" s="136" t="s">
        <v>5</v>
      </c>
      <c r="G52" s="7"/>
      <c r="H52" s="7"/>
      <c r="I52" s="7"/>
      <c r="J52" s="7"/>
      <c r="K52" s="7"/>
      <c r="L52" s="6"/>
    </row>
    <row r="53" spans="1:12" x14ac:dyDescent="0.25">
      <c r="A53" s="4">
        <f t="shared" si="1"/>
        <v>2.0049000000000103</v>
      </c>
      <c r="B53" s="112"/>
      <c r="C53" s="120" t="s">
        <v>832</v>
      </c>
      <c r="D53" s="6"/>
      <c r="E53" s="6"/>
      <c r="F53" s="136" t="s">
        <v>5</v>
      </c>
      <c r="G53" s="7"/>
      <c r="H53" s="7"/>
      <c r="I53" s="7"/>
      <c r="J53" s="7"/>
      <c r="K53" s="7"/>
      <c r="L53" s="6"/>
    </row>
    <row r="54" spans="1:12" x14ac:dyDescent="0.25">
      <c r="A54" s="4">
        <f t="shared" si="1"/>
        <v>2.0050000000000106</v>
      </c>
      <c r="B54" s="6"/>
      <c r="C54" s="5" t="s">
        <v>577</v>
      </c>
      <c r="D54" s="6"/>
      <c r="E54" s="6"/>
      <c r="F54" s="136" t="s">
        <v>5</v>
      </c>
      <c r="G54" s="7">
        <f t="shared" si="3"/>
        <v>1</v>
      </c>
      <c r="H54" s="7">
        <f t="shared" si="3"/>
        <v>0</v>
      </c>
      <c r="I54" s="7">
        <f t="shared" si="3"/>
        <v>0</v>
      </c>
      <c r="J54" s="7">
        <f t="shared" si="3"/>
        <v>0</v>
      </c>
      <c r="K54" s="7">
        <f t="shared" si="3"/>
        <v>0</v>
      </c>
      <c r="L54" s="6"/>
    </row>
    <row r="55" spans="1:12" x14ac:dyDescent="0.25">
      <c r="A55" s="4">
        <f t="shared" si="1"/>
        <v>2.0051000000000108</v>
      </c>
      <c r="B55" s="6"/>
      <c r="C55" s="5" t="s">
        <v>578</v>
      </c>
      <c r="D55" s="6"/>
      <c r="E55" s="6"/>
      <c r="F55" s="136" t="s">
        <v>5</v>
      </c>
      <c r="G55" s="7">
        <f t="shared" si="3"/>
        <v>1</v>
      </c>
      <c r="H55" s="7">
        <f t="shared" si="3"/>
        <v>0</v>
      </c>
      <c r="I55" s="7">
        <f t="shared" si="3"/>
        <v>0</v>
      </c>
      <c r="J55" s="7">
        <f t="shared" si="3"/>
        <v>0</v>
      </c>
      <c r="K55" s="7">
        <f t="shared" si="3"/>
        <v>0</v>
      </c>
      <c r="L55" s="6"/>
    </row>
    <row r="56" spans="1:12" x14ac:dyDescent="0.25">
      <c r="A56" s="4">
        <f t="shared" si="1"/>
        <v>2.005200000000011</v>
      </c>
      <c r="B56" s="6"/>
      <c r="C56" s="5" t="s">
        <v>579</v>
      </c>
      <c r="D56" s="6"/>
      <c r="E56" s="6"/>
      <c r="F56" s="136" t="s">
        <v>5</v>
      </c>
      <c r="G56" s="7">
        <f t="shared" si="3"/>
        <v>1</v>
      </c>
      <c r="H56" s="7">
        <f t="shared" si="3"/>
        <v>0</v>
      </c>
      <c r="I56" s="7">
        <f t="shared" si="3"/>
        <v>0</v>
      </c>
      <c r="J56" s="7">
        <f t="shared" si="3"/>
        <v>0</v>
      </c>
      <c r="K56" s="7">
        <f t="shared" si="3"/>
        <v>0</v>
      </c>
      <c r="L56" s="6"/>
    </row>
    <row r="57" spans="1:12" x14ac:dyDescent="0.25">
      <c r="A57" s="4">
        <f t="shared" si="1"/>
        <v>2.0053000000000112</v>
      </c>
      <c r="B57" s="6"/>
      <c r="C57" s="5"/>
      <c r="D57" s="6"/>
      <c r="E57" s="6"/>
      <c r="F57" s="7"/>
      <c r="G57" s="7"/>
      <c r="H57" s="7"/>
      <c r="I57" s="7"/>
      <c r="J57" s="7"/>
      <c r="K57" s="7"/>
      <c r="L57" s="6"/>
    </row>
    <row r="58" spans="1:12" x14ac:dyDescent="0.25">
      <c r="A58" s="4">
        <f t="shared" si="1"/>
        <v>2.0054000000000114</v>
      </c>
      <c r="B58" s="5"/>
      <c r="C58" s="5"/>
      <c r="D58" s="6"/>
      <c r="E58" s="6"/>
      <c r="F58" s="7"/>
      <c r="G58" s="7"/>
      <c r="H58" s="7"/>
      <c r="I58" s="7"/>
      <c r="J58" s="7"/>
      <c r="K58" s="7"/>
      <c r="L58" s="62"/>
    </row>
    <row r="59" spans="1:12" x14ac:dyDescent="0.25">
      <c r="A59" s="4">
        <f t="shared" si="1"/>
        <v>2.0055000000000116</v>
      </c>
      <c r="B59" s="5"/>
      <c r="C59" s="5"/>
      <c r="D59" s="7"/>
      <c r="E59" s="7"/>
      <c r="F59" s="136"/>
      <c r="G59" s="7"/>
      <c r="H59" s="7"/>
      <c r="I59" s="7"/>
      <c r="J59" s="7"/>
      <c r="K59" s="7"/>
      <c r="L59" s="6"/>
    </row>
    <row r="60" spans="1:12" x14ac:dyDescent="0.25">
      <c r="A60" s="4">
        <f t="shared" si="1"/>
        <v>2.0056000000000118</v>
      </c>
      <c r="B60" s="96" t="s">
        <v>560</v>
      </c>
      <c r="C60" s="63" t="s">
        <v>561</v>
      </c>
      <c r="D60" s="7"/>
      <c r="E60" s="7"/>
      <c r="F60" s="136" t="s">
        <v>5</v>
      </c>
      <c r="G60" s="7">
        <f t="shared" si="3"/>
        <v>1</v>
      </c>
      <c r="H60" s="7">
        <f t="shared" si="3"/>
        <v>0</v>
      </c>
      <c r="I60" s="7">
        <f t="shared" si="3"/>
        <v>0</v>
      </c>
      <c r="J60" s="7">
        <f t="shared" si="3"/>
        <v>0</v>
      </c>
      <c r="K60" s="7">
        <f t="shared" si="3"/>
        <v>0</v>
      </c>
      <c r="L60" s="6"/>
    </row>
    <row r="61" spans="1:12" x14ac:dyDescent="0.25">
      <c r="A61" s="4">
        <f t="shared" si="1"/>
        <v>2.005700000000012</v>
      </c>
      <c r="B61" s="6"/>
      <c r="C61" s="5" t="s">
        <v>584</v>
      </c>
      <c r="D61" s="7"/>
      <c r="E61" s="7"/>
      <c r="F61" s="136" t="s">
        <v>5</v>
      </c>
      <c r="G61" s="7">
        <f t="shared" si="3"/>
        <v>1</v>
      </c>
      <c r="H61" s="7">
        <f t="shared" si="3"/>
        <v>0</v>
      </c>
      <c r="I61" s="7">
        <f t="shared" si="3"/>
        <v>0</v>
      </c>
      <c r="J61" s="7">
        <f t="shared" si="3"/>
        <v>0</v>
      </c>
      <c r="K61" s="7">
        <f t="shared" si="3"/>
        <v>0</v>
      </c>
      <c r="L61" s="6"/>
    </row>
    <row r="62" spans="1:12" x14ac:dyDescent="0.25">
      <c r="A62" s="4">
        <f t="shared" si="1"/>
        <v>2.0058000000000122</v>
      </c>
      <c r="B62" s="6"/>
      <c r="C62" s="5" t="s">
        <v>585</v>
      </c>
      <c r="D62" s="7"/>
      <c r="E62" s="7"/>
      <c r="F62" s="136" t="s">
        <v>5</v>
      </c>
      <c r="G62" s="7">
        <f t="shared" si="3"/>
        <v>1</v>
      </c>
      <c r="H62" s="7">
        <f t="shared" si="3"/>
        <v>0</v>
      </c>
      <c r="I62" s="7">
        <f t="shared" si="3"/>
        <v>0</v>
      </c>
      <c r="J62" s="7">
        <f t="shared" si="3"/>
        <v>0</v>
      </c>
      <c r="K62" s="7">
        <f t="shared" si="3"/>
        <v>0</v>
      </c>
      <c r="L62" s="6"/>
    </row>
    <row r="63" spans="1:12" x14ac:dyDescent="0.25">
      <c r="A63" s="4">
        <f t="shared" si="1"/>
        <v>2.0059000000000125</v>
      </c>
      <c r="B63" s="6"/>
      <c r="C63" s="5" t="s">
        <v>562</v>
      </c>
      <c r="D63" s="7"/>
      <c r="E63" s="7"/>
      <c r="F63" s="136" t="s">
        <v>5</v>
      </c>
      <c r="G63" s="7"/>
      <c r="H63" s="7"/>
      <c r="I63" s="7"/>
      <c r="J63" s="7"/>
      <c r="K63" s="7"/>
      <c r="L63" s="6"/>
    </row>
    <row r="64" spans="1:12" x14ac:dyDescent="0.25">
      <c r="A64" s="4">
        <f t="shared" si="1"/>
        <v>2.0060000000000127</v>
      </c>
      <c r="B64" s="6"/>
      <c r="C64" s="5"/>
      <c r="D64" s="7"/>
      <c r="E64" s="7"/>
      <c r="F64" s="136"/>
      <c r="G64" s="7"/>
      <c r="H64" s="7"/>
      <c r="I64" s="7"/>
      <c r="J64" s="7"/>
      <c r="K64" s="7"/>
      <c r="L64" s="6"/>
    </row>
    <row r="65" spans="1:12" x14ac:dyDescent="0.25">
      <c r="A65" s="4">
        <f t="shared" si="1"/>
        <v>2.0061000000000129</v>
      </c>
      <c r="B65" s="6"/>
      <c r="C65" s="5" t="s">
        <v>591</v>
      </c>
      <c r="D65" s="7" t="s">
        <v>833</v>
      </c>
      <c r="E65" s="7"/>
      <c r="F65" s="136" t="s">
        <v>7</v>
      </c>
      <c r="G65" s="7">
        <f t="shared" ref="G65:K71" si="4">IF($F65=G$1,1,0)</f>
        <v>0</v>
      </c>
      <c r="H65" s="7">
        <f t="shared" si="4"/>
        <v>0</v>
      </c>
      <c r="I65" s="7">
        <f t="shared" si="4"/>
        <v>0</v>
      </c>
      <c r="J65" s="7">
        <f t="shared" si="4"/>
        <v>1</v>
      </c>
      <c r="K65" s="7"/>
      <c r="L65" s="6"/>
    </row>
    <row r="66" spans="1:12" x14ac:dyDescent="0.25">
      <c r="A66" s="4">
        <f t="shared" si="1"/>
        <v>2.0062000000000131</v>
      </c>
      <c r="B66" s="6"/>
      <c r="C66" s="5" t="s">
        <v>590</v>
      </c>
      <c r="D66" s="7"/>
      <c r="E66" s="7"/>
      <c r="F66" s="136" t="s">
        <v>5</v>
      </c>
      <c r="G66" s="7">
        <f t="shared" si="4"/>
        <v>1</v>
      </c>
      <c r="H66" s="7">
        <f t="shared" si="4"/>
        <v>0</v>
      </c>
      <c r="I66" s="7">
        <f t="shared" si="4"/>
        <v>0</v>
      </c>
      <c r="J66" s="7">
        <f t="shared" si="4"/>
        <v>0</v>
      </c>
      <c r="K66" s="7"/>
      <c r="L66" s="6"/>
    </row>
    <row r="67" spans="1:12" x14ac:dyDescent="0.25">
      <c r="A67" s="4">
        <f t="shared" si="1"/>
        <v>2.0063000000000133</v>
      </c>
      <c r="B67" s="6"/>
      <c r="C67" s="5" t="s">
        <v>589</v>
      </c>
      <c r="D67" s="7"/>
      <c r="E67" s="7"/>
      <c r="F67" s="136" t="s">
        <v>5</v>
      </c>
      <c r="G67" s="7">
        <f t="shared" si="4"/>
        <v>1</v>
      </c>
      <c r="H67" s="7">
        <f t="shared" si="4"/>
        <v>0</v>
      </c>
      <c r="I67" s="7">
        <f t="shared" si="4"/>
        <v>0</v>
      </c>
      <c r="J67" s="7">
        <f t="shared" si="4"/>
        <v>0</v>
      </c>
      <c r="K67" s="7"/>
      <c r="L67" s="6"/>
    </row>
    <row r="68" spans="1:12" x14ac:dyDescent="0.25">
      <c r="A68" s="4">
        <f t="shared" si="1"/>
        <v>2.0064000000000135</v>
      </c>
      <c r="B68" s="6"/>
      <c r="C68" s="5" t="s">
        <v>588</v>
      </c>
      <c r="D68" s="7"/>
      <c r="E68" s="7"/>
      <c r="F68" s="136" t="s">
        <v>5</v>
      </c>
      <c r="G68" s="7">
        <f t="shared" si="4"/>
        <v>1</v>
      </c>
      <c r="H68" s="7">
        <f t="shared" si="4"/>
        <v>0</v>
      </c>
      <c r="I68" s="7">
        <f t="shared" si="4"/>
        <v>0</v>
      </c>
      <c r="J68" s="7">
        <f t="shared" si="4"/>
        <v>0</v>
      </c>
      <c r="K68" s="7"/>
      <c r="L68" s="6"/>
    </row>
    <row r="69" spans="1:12" x14ac:dyDescent="0.25">
      <c r="A69" s="4">
        <f t="shared" si="1"/>
        <v>2.0065000000000137</v>
      </c>
      <c r="B69" s="6"/>
      <c r="C69" s="5" t="s">
        <v>587</v>
      </c>
      <c r="D69" s="7"/>
      <c r="E69" s="7"/>
      <c r="F69" s="136" t="s">
        <v>5</v>
      </c>
      <c r="G69" s="7">
        <f t="shared" si="4"/>
        <v>1</v>
      </c>
      <c r="H69" s="7">
        <f t="shared" si="4"/>
        <v>0</v>
      </c>
      <c r="I69" s="7">
        <f t="shared" si="4"/>
        <v>0</v>
      </c>
      <c r="J69" s="7">
        <f t="shared" si="4"/>
        <v>0</v>
      </c>
      <c r="K69" s="7"/>
      <c r="L69" s="6"/>
    </row>
    <row r="70" spans="1:12" ht="25.5" x14ac:dyDescent="0.25">
      <c r="A70" s="4">
        <f t="shared" si="1"/>
        <v>2.0066000000000139</v>
      </c>
      <c r="B70" s="5"/>
      <c r="C70" s="5" t="s">
        <v>586</v>
      </c>
      <c r="D70" s="7"/>
      <c r="E70" s="7"/>
      <c r="F70" s="136" t="s">
        <v>5</v>
      </c>
      <c r="G70" s="7">
        <f t="shared" si="4"/>
        <v>1</v>
      </c>
      <c r="H70" s="7">
        <f t="shared" si="4"/>
        <v>0</v>
      </c>
      <c r="I70" s="7">
        <f t="shared" si="4"/>
        <v>0</v>
      </c>
      <c r="J70" s="7">
        <f t="shared" si="4"/>
        <v>0</v>
      </c>
      <c r="K70" s="7"/>
      <c r="L70" s="62"/>
    </row>
    <row r="71" spans="1:12" x14ac:dyDescent="0.25">
      <c r="A71" s="4">
        <f t="shared" si="1"/>
        <v>2.0067000000000141</v>
      </c>
      <c r="B71" s="5" t="s">
        <v>838</v>
      </c>
      <c r="C71" s="23" t="s">
        <v>839</v>
      </c>
      <c r="D71" s="7"/>
      <c r="E71" s="7"/>
      <c r="F71" s="136" t="s">
        <v>5</v>
      </c>
      <c r="G71" s="7">
        <f t="shared" si="4"/>
        <v>1</v>
      </c>
      <c r="H71" s="7">
        <f t="shared" si="4"/>
        <v>0</v>
      </c>
      <c r="I71" s="7">
        <f t="shared" si="4"/>
        <v>0</v>
      </c>
      <c r="J71" s="7">
        <f t="shared" si="4"/>
        <v>0</v>
      </c>
      <c r="K71" s="7">
        <f t="shared" si="4"/>
        <v>0</v>
      </c>
      <c r="L71" s="6"/>
    </row>
    <row r="72" spans="1:12" x14ac:dyDescent="0.25">
      <c r="A72" s="4">
        <f t="shared" si="1"/>
        <v>2.0068000000000144</v>
      </c>
      <c r="B72" s="5"/>
      <c r="C72" s="23"/>
      <c r="D72" s="7"/>
      <c r="E72" s="7"/>
      <c r="F72" s="136"/>
      <c r="G72" s="7"/>
      <c r="H72" s="7"/>
      <c r="I72" s="7"/>
      <c r="J72" s="7"/>
      <c r="K72" s="7"/>
      <c r="L72" s="6"/>
    </row>
    <row r="73" spans="1:12" x14ac:dyDescent="0.25">
      <c r="A73" s="4">
        <f t="shared" si="1"/>
        <v>2.0069000000000146</v>
      </c>
      <c r="B73" s="16" t="s">
        <v>840</v>
      </c>
      <c r="C73" s="16" t="s">
        <v>841</v>
      </c>
      <c r="D73" s="16"/>
      <c r="E73" s="7"/>
      <c r="F73" s="136"/>
      <c r="G73" s="7"/>
      <c r="H73" s="7"/>
      <c r="I73" s="7"/>
      <c r="J73" s="7"/>
      <c r="K73" s="7"/>
      <c r="L73" s="6"/>
    </row>
    <row r="74" spans="1:12" x14ac:dyDescent="0.25">
      <c r="A74" s="4">
        <f t="shared" si="1"/>
        <v>2.0070000000000148</v>
      </c>
      <c r="B74" s="96" t="s">
        <v>846</v>
      </c>
      <c r="C74" s="63" t="s">
        <v>561</v>
      </c>
      <c r="D74" s="7"/>
      <c r="E74" s="7"/>
      <c r="F74" s="136" t="s">
        <v>5</v>
      </c>
      <c r="G74" s="7">
        <f t="shared" ref="G74:K79" si="5">IF($F74=G$1,1,0)</f>
        <v>1</v>
      </c>
      <c r="H74" s="7">
        <f t="shared" si="5"/>
        <v>0</v>
      </c>
      <c r="I74" s="7">
        <f t="shared" si="5"/>
        <v>0</v>
      </c>
      <c r="J74" s="7">
        <f t="shared" si="5"/>
        <v>0</v>
      </c>
      <c r="K74" s="7">
        <f t="shared" si="5"/>
        <v>0</v>
      </c>
      <c r="L74" s="6"/>
    </row>
    <row r="75" spans="1:12" x14ac:dyDescent="0.25">
      <c r="A75" s="4">
        <f t="shared" si="1"/>
        <v>2.007100000000015</v>
      </c>
      <c r="B75" s="6"/>
      <c r="C75" s="5" t="s">
        <v>842</v>
      </c>
      <c r="D75" s="7"/>
      <c r="E75" s="7"/>
      <c r="F75" s="136" t="s">
        <v>5</v>
      </c>
      <c r="G75" s="7">
        <f t="shared" si="5"/>
        <v>1</v>
      </c>
      <c r="H75" s="7">
        <f t="shared" si="5"/>
        <v>0</v>
      </c>
      <c r="I75" s="7">
        <f t="shared" si="5"/>
        <v>0</v>
      </c>
      <c r="J75" s="7">
        <f t="shared" si="5"/>
        <v>0</v>
      </c>
      <c r="K75" s="7">
        <f t="shared" si="5"/>
        <v>0</v>
      </c>
      <c r="L75" s="6"/>
    </row>
    <row r="76" spans="1:12" x14ac:dyDescent="0.25">
      <c r="A76" s="4">
        <f t="shared" si="1"/>
        <v>2.0072000000000152</v>
      </c>
      <c r="B76" s="6" t="s">
        <v>980</v>
      </c>
      <c r="C76" s="5" t="s">
        <v>843</v>
      </c>
      <c r="D76" s="7" t="s">
        <v>979</v>
      </c>
      <c r="E76" s="7"/>
      <c r="F76" s="136" t="s">
        <v>5</v>
      </c>
      <c r="G76" s="7">
        <f t="shared" si="5"/>
        <v>1</v>
      </c>
      <c r="H76" s="7">
        <f t="shared" si="5"/>
        <v>0</v>
      </c>
      <c r="I76" s="7">
        <f t="shared" si="5"/>
        <v>0</v>
      </c>
      <c r="J76" s="7">
        <f t="shared" si="5"/>
        <v>0</v>
      </c>
      <c r="K76" s="7">
        <f t="shared" si="5"/>
        <v>0</v>
      </c>
      <c r="L76" s="6"/>
    </row>
    <row r="77" spans="1:12" x14ac:dyDescent="0.25">
      <c r="A77" s="4">
        <f t="shared" si="1"/>
        <v>2.0073000000000154</v>
      </c>
      <c r="B77" s="6"/>
      <c r="C77" s="5" t="s">
        <v>844</v>
      </c>
      <c r="D77" s="7"/>
      <c r="E77" s="7"/>
      <c r="F77" s="136" t="s">
        <v>5</v>
      </c>
      <c r="G77" s="7">
        <f t="shared" si="5"/>
        <v>1</v>
      </c>
      <c r="H77" s="7">
        <f t="shared" si="5"/>
        <v>0</v>
      </c>
      <c r="I77" s="7">
        <f t="shared" si="5"/>
        <v>0</v>
      </c>
      <c r="J77" s="7">
        <f t="shared" si="5"/>
        <v>0</v>
      </c>
      <c r="K77" s="7">
        <f t="shared" si="5"/>
        <v>0</v>
      </c>
      <c r="L77" s="6"/>
    </row>
    <row r="78" spans="1:12" x14ac:dyDescent="0.25">
      <c r="A78" s="4">
        <f t="shared" si="1"/>
        <v>2.0074000000000156</v>
      </c>
      <c r="B78" s="5"/>
      <c r="C78" s="5" t="s">
        <v>845</v>
      </c>
      <c r="D78" s="7"/>
      <c r="E78" s="7"/>
      <c r="F78" s="136" t="s">
        <v>5</v>
      </c>
      <c r="G78" s="7">
        <f t="shared" si="5"/>
        <v>1</v>
      </c>
      <c r="H78" s="7">
        <f t="shared" si="5"/>
        <v>0</v>
      </c>
      <c r="I78" s="7">
        <f t="shared" si="5"/>
        <v>0</v>
      </c>
      <c r="J78" s="7">
        <f t="shared" si="5"/>
        <v>0</v>
      </c>
      <c r="K78" s="7">
        <f t="shared" si="5"/>
        <v>0</v>
      </c>
      <c r="L78" s="6"/>
    </row>
    <row r="79" spans="1:12" x14ac:dyDescent="0.25">
      <c r="A79" s="4">
        <f t="shared" si="1"/>
        <v>2.0075000000000158</v>
      </c>
      <c r="B79" s="5"/>
      <c r="C79" s="23" t="s">
        <v>847</v>
      </c>
      <c r="D79" s="7"/>
      <c r="E79" s="7"/>
      <c r="F79" s="136" t="s">
        <v>5</v>
      </c>
      <c r="G79" s="7">
        <f t="shared" si="5"/>
        <v>1</v>
      </c>
      <c r="H79" s="7">
        <f t="shared" si="5"/>
        <v>0</v>
      </c>
      <c r="I79" s="7">
        <f t="shared" si="5"/>
        <v>0</v>
      </c>
      <c r="J79" s="7">
        <f t="shared" si="5"/>
        <v>0</v>
      </c>
      <c r="K79" s="7">
        <f t="shared" si="5"/>
        <v>0</v>
      </c>
      <c r="L79" s="6"/>
    </row>
    <row r="80" spans="1:12" x14ac:dyDescent="0.25">
      <c r="A80" s="4">
        <f t="shared" si="1"/>
        <v>2.007600000000016</v>
      </c>
      <c r="B80" s="5"/>
      <c r="C80" s="22"/>
      <c r="D80" s="7"/>
      <c r="E80" s="7"/>
      <c r="F80" s="7"/>
      <c r="G80" s="7"/>
      <c r="H80" s="7"/>
      <c r="I80" s="7"/>
      <c r="J80" s="7"/>
      <c r="K80" s="7"/>
      <c r="L80" s="6"/>
    </row>
    <row r="81" spans="1:12" x14ac:dyDescent="0.25">
      <c r="A81" s="4">
        <f t="shared" si="1"/>
        <v>2.0077000000000162</v>
      </c>
      <c r="B81" s="16" t="s">
        <v>581</v>
      </c>
      <c r="C81" s="16"/>
      <c r="D81" s="16"/>
      <c r="E81" s="7"/>
      <c r="F81" s="7"/>
      <c r="G81" s="7"/>
      <c r="H81" s="7"/>
      <c r="I81" s="7"/>
      <c r="J81" s="7"/>
      <c r="K81" s="7"/>
      <c r="L81" s="6"/>
    </row>
    <row r="82" spans="1:12" x14ac:dyDescent="0.25">
      <c r="A82" s="4">
        <f t="shared" si="1"/>
        <v>2.0078000000000165</v>
      </c>
      <c r="B82" s="6" t="s">
        <v>572</v>
      </c>
      <c r="C82" s="5" t="s">
        <v>569</v>
      </c>
      <c r="D82" s="7"/>
      <c r="E82" s="7"/>
      <c r="F82" s="136" t="s">
        <v>5</v>
      </c>
      <c r="G82" s="7">
        <f t="shared" ref="G82:J89" si="6">IF($F82=G$1,1,0)</f>
        <v>1</v>
      </c>
      <c r="H82" s="7">
        <f t="shared" si="6"/>
        <v>0</v>
      </c>
      <c r="I82" s="7">
        <f t="shared" si="6"/>
        <v>0</v>
      </c>
      <c r="J82" s="7">
        <f t="shared" si="6"/>
        <v>0</v>
      </c>
      <c r="K82" s="7"/>
      <c r="L82" s="62"/>
    </row>
    <row r="83" spans="1:12" x14ac:dyDescent="0.25">
      <c r="A83" s="4">
        <f t="shared" si="1"/>
        <v>2.0079000000000167</v>
      </c>
      <c r="B83" s="6"/>
      <c r="C83" s="5" t="s">
        <v>582</v>
      </c>
      <c r="D83" s="7"/>
      <c r="E83" s="7"/>
      <c r="F83" s="136" t="s">
        <v>5</v>
      </c>
      <c r="G83" s="7">
        <f t="shared" si="6"/>
        <v>1</v>
      </c>
      <c r="H83" s="7">
        <f t="shared" si="6"/>
        <v>0</v>
      </c>
      <c r="I83" s="7">
        <f t="shared" si="6"/>
        <v>0</v>
      </c>
      <c r="J83" s="7">
        <f t="shared" si="6"/>
        <v>0</v>
      </c>
      <c r="K83" s="7"/>
      <c r="L83" s="6"/>
    </row>
    <row r="84" spans="1:12" x14ac:dyDescent="0.25">
      <c r="A84" s="4">
        <f t="shared" si="1"/>
        <v>2.0080000000000169</v>
      </c>
      <c r="B84" s="6"/>
      <c r="C84" s="5" t="s">
        <v>583</v>
      </c>
      <c r="D84" s="7"/>
      <c r="E84" s="7"/>
      <c r="F84" s="136" t="s">
        <v>5</v>
      </c>
      <c r="G84" s="7">
        <f t="shared" si="6"/>
        <v>1</v>
      </c>
      <c r="H84" s="7">
        <f t="shared" si="6"/>
        <v>0</v>
      </c>
      <c r="I84" s="7">
        <f t="shared" si="6"/>
        <v>0</v>
      </c>
      <c r="J84" s="7">
        <f t="shared" si="6"/>
        <v>0</v>
      </c>
      <c r="K84" s="7"/>
      <c r="L84" s="6"/>
    </row>
    <row r="85" spans="1:12" x14ac:dyDescent="0.25">
      <c r="A85" s="4">
        <f t="shared" si="1"/>
        <v>2.0081000000000171</v>
      </c>
      <c r="B85" s="6"/>
      <c r="C85" s="5" t="s">
        <v>834</v>
      </c>
      <c r="D85" s="7"/>
      <c r="E85" s="7"/>
      <c r="F85" s="136" t="s">
        <v>5</v>
      </c>
      <c r="G85" s="7">
        <f t="shared" si="6"/>
        <v>1</v>
      </c>
      <c r="H85" s="7">
        <f t="shared" si="6"/>
        <v>0</v>
      </c>
      <c r="I85" s="7">
        <f t="shared" si="6"/>
        <v>0</v>
      </c>
      <c r="J85" s="7">
        <f t="shared" si="6"/>
        <v>0</v>
      </c>
      <c r="K85" s="7"/>
      <c r="L85" s="6"/>
    </row>
    <row r="86" spans="1:12" x14ac:dyDescent="0.25">
      <c r="A86" s="4">
        <f t="shared" si="1"/>
        <v>2.0082000000000173</v>
      </c>
      <c r="B86" s="6"/>
      <c r="C86" s="5"/>
      <c r="D86" s="7"/>
      <c r="E86" s="133"/>
      <c r="F86" s="7"/>
      <c r="G86" s="7"/>
      <c r="H86" s="7"/>
      <c r="I86" s="7"/>
      <c r="J86" s="7"/>
      <c r="K86" s="7"/>
      <c r="L86" s="6"/>
    </row>
    <row r="87" spans="1:12" x14ac:dyDescent="0.25">
      <c r="A87" s="4">
        <f t="shared" ref="A87:A89" si="7">A86+0.0001</f>
        <v>2.0083000000000175</v>
      </c>
      <c r="B87" s="6"/>
      <c r="C87" s="5"/>
      <c r="D87" s="7"/>
      <c r="E87" s="7"/>
      <c r="F87" s="7"/>
      <c r="G87" s="7"/>
      <c r="H87" s="7"/>
      <c r="I87" s="7"/>
      <c r="J87" s="7"/>
      <c r="K87" s="7"/>
      <c r="L87" s="6"/>
    </row>
    <row r="88" spans="1:12" x14ac:dyDescent="0.25">
      <c r="A88" s="4">
        <f t="shared" si="7"/>
        <v>2.0084000000000177</v>
      </c>
      <c r="B88" s="16" t="s">
        <v>647</v>
      </c>
      <c r="C88" s="17" t="s">
        <v>683</v>
      </c>
      <c r="D88" s="16"/>
      <c r="E88" s="7"/>
      <c r="F88" s="7"/>
      <c r="G88" s="7"/>
      <c r="H88" s="7"/>
      <c r="I88" s="7"/>
      <c r="J88" s="7"/>
      <c r="K88" s="7"/>
      <c r="L88" s="6"/>
    </row>
    <row r="89" spans="1:12" ht="76.5" x14ac:dyDescent="0.25">
      <c r="A89" s="4">
        <f t="shared" si="7"/>
        <v>2.0085000000000179</v>
      </c>
      <c r="B89" s="103" t="s">
        <v>699</v>
      </c>
      <c r="C89" s="104" t="s">
        <v>698</v>
      </c>
      <c r="D89" s="6" t="s">
        <v>649</v>
      </c>
      <c r="E89" s="7"/>
      <c r="F89" s="7" t="s">
        <v>8</v>
      </c>
      <c r="G89" s="7">
        <f t="shared" si="6"/>
        <v>0</v>
      </c>
      <c r="H89" s="7">
        <f t="shared" si="6"/>
        <v>0</v>
      </c>
      <c r="I89" s="7">
        <f t="shared" si="6"/>
        <v>0</v>
      </c>
      <c r="J89" s="7">
        <f t="shared" si="6"/>
        <v>0</v>
      </c>
      <c r="K89" s="7"/>
      <c r="L89" s="6"/>
    </row>
    <row r="90" spans="1:12" x14ac:dyDescent="0.25">
      <c r="A90" s="4"/>
      <c r="B90" s="6"/>
      <c r="C90" s="5"/>
      <c r="D90" s="7"/>
      <c r="E90" s="7"/>
      <c r="F90" s="7"/>
      <c r="G90" s="7"/>
      <c r="H90" s="7"/>
      <c r="I90" s="7"/>
      <c r="J90" s="7"/>
      <c r="K90" s="7"/>
      <c r="L90" s="6"/>
    </row>
    <row r="91" spans="1:12" ht="15.75" thickBot="1" x14ac:dyDescent="0.3">
      <c r="G91" s="95">
        <f>SUM(G3:G90)</f>
        <v>55</v>
      </c>
      <c r="H91" s="95">
        <f>SUM(H3:H90)</f>
        <v>0</v>
      </c>
      <c r="I91" s="95">
        <f>SUM(I3:I90)</f>
        <v>0</v>
      </c>
      <c r="J91" s="95">
        <f>SUM(J3:J90)</f>
        <v>1</v>
      </c>
      <c r="K91" s="95">
        <f>SUM(K3:K90)</f>
        <v>0</v>
      </c>
    </row>
    <row r="92" spans="1:12" ht="15.75" thickTop="1" x14ac:dyDescent="0.25"/>
  </sheetData>
  <mergeCells count="1">
    <mergeCell ref="B2:C2"/>
  </mergeCells>
  <conditionalFormatting sqref="D49:E62 L49:L58 B54:C62 L21:L27 B27:C27 A90:C90 D22:E27 F46:K46 G22:K27 G47:K56 B74:C80 A5:A89 F57:K59 F64:K65 G60:K63 F72:K73 G66:K71 F80:K81 G74:K79 F86:K90 G82:K85">
    <cfRule type="expression" dxfId="521" priority="136">
      <formula>$F5="Fail"</formula>
    </cfRule>
  </conditionalFormatting>
  <conditionalFormatting sqref="A3:K4 D30:F30 D9:E10 D5:E6 D29:E29 D31:E35">
    <cfRule type="expression" dxfId="520" priority="135">
      <formula>$F3="Fail"</formula>
    </cfRule>
  </conditionalFormatting>
  <conditionalFormatting sqref="D47:E48 E39:F39 D36:E38 E40:E46">
    <cfRule type="expression" dxfId="519" priority="134">
      <formula>$F36="Fail"</formula>
    </cfRule>
  </conditionalFormatting>
  <conditionalFormatting sqref="D21:K21 E28:F28">
    <cfRule type="expression" dxfId="518" priority="133">
      <formula>$F21="Fail"</formula>
    </cfRule>
  </conditionalFormatting>
  <conditionalFormatting sqref="E13:K13 D11:E12 D14:E14">
    <cfRule type="expression" dxfId="517" priority="132">
      <formula>$F11="Fail"</formula>
    </cfRule>
  </conditionalFormatting>
  <conditionalFormatting sqref="D15:F15 D17:F17 D16:E16 D19:F19 D18:E18 D20:E20">
    <cfRule type="expression" dxfId="516" priority="131">
      <formula>$F15="Fail"</formula>
    </cfRule>
  </conditionalFormatting>
  <conditionalFormatting sqref="D8:E8">
    <cfRule type="expression" dxfId="515" priority="130">
      <formula>$F8="Fail"</formula>
    </cfRule>
  </conditionalFormatting>
  <conditionalFormatting sqref="D7:E7">
    <cfRule type="expression" dxfId="514" priority="129">
      <formula>$F7="Fail"</formula>
    </cfRule>
  </conditionalFormatting>
  <conditionalFormatting sqref="B12:C12">
    <cfRule type="expression" dxfId="513" priority="116">
      <formula>$F12="Fail"</formula>
    </cfRule>
  </conditionalFormatting>
  <conditionalFormatting sqref="L29:L35 L9:L10 L3:L6">
    <cfRule type="expression" dxfId="512" priority="127">
      <formula>$F3="Fail"</formula>
    </cfRule>
  </conditionalFormatting>
  <conditionalFormatting sqref="L36:L48">
    <cfRule type="expression" dxfId="511" priority="126">
      <formula>$F36="Fail"</formula>
    </cfRule>
  </conditionalFormatting>
  <conditionalFormatting sqref="L28">
    <cfRule type="expression" dxfId="510" priority="125">
      <formula>$F28="Fail"</formula>
    </cfRule>
  </conditionalFormatting>
  <conditionalFormatting sqref="L11:L14">
    <cfRule type="expression" dxfId="509" priority="124">
      <formula>$F11="Fail"</formula>
    </cfRule>
  </conditionalFormatting>
  <conditionalFormatting sqref="L15:L20">
    <cfRule type="expression" dxfId="508" priority="123">
      <formula>$F15="Fail"</formula>
    </cfRule>
  </conditionalFormatting>
  <conditionalFormatting sqref="L8">
    <cfRule type="expression" dxfId="507" priority="122">
      <formula>$F8="Fail"</formula>
    </cfRule>
  </conditionalFormatting>
  <conditionalFormatting sqref="L7">
    <cfRule type="expression" dxfId="506" priority="121">
      <formula>$F7="Fail"</formula>
    </cfRule>
  </conditionalFormatting>
  <conditionalFormatting sqref="B46:C50 B30:C30 B13:C13 B15:C23 B24 B32:C32 B34:C36 B37:B38">
    <cfRule type="expression" dxfId="505" priority="120">
      <formula>$F13="Fail"</formula>
    </cfRule>
  </conditionalFormatting>
  <conditionalFormatting sqref="B10:C11">
    <cfRule type="expression" dxfId="504" priority="117">
      <formula>$F10="Fail"</formula>
    </cfRule>
  </conditionalFormatting>
  <conditionalFormatting sqref="B12:C12">
    <cfRule type="expression" dxfId="503" priority="115">
      <formula>$F12="Fail"</formula>
    </cfRule>
  </conditionalFormatting>
  <conditionalFormatting sqref="G5:K12">
    <cfRule type="expression" dxfId="502" priority="114">
      <formula>$F5="Fail"</formula>
    </cfRule>
  </conditionalFormatting>
  <conditionalFormatting sqref="G14:K20">
    <cfRule type="expression" dxfId="501" priority="113">
      <formula>$F14="Fail"</formula>
    </cfRule>
  </conditionalFormatting>
  <conditionalFormatting sqref="G28:K44">
    <cfRule type="expression" dxfId="500" priority="112">
      <formula>$F28="Fail"</formula>
    </cfRule>
  </conditionalFormatting>
  <conditionalFormatting sqref="G91:K91">
    <cfRule type="expression" dxfId="499" priority="111">
      <formula>$F91="Fail"</formula>
    </cfRule>
  </conditionalFormatting>
  <conditionalFormatting sqref="B86:C87">
    <cfRule type="expression" dxfId="498" priority="109">
      <formula>$F86="Fail"</formula>
    </cfRule>
  </conditionalFormatting>
  <conditionalFormatting sqref="B64:C72">
    <cfRule type="expression" dxfId="497" priority="110">
      <formula>$F64="Fail"</formula>
    </cfRule>
  </conditionalFormatting>
  <conditionalFormatting sqref="C86:C87">
    <cfRule type="expression" dxfId="496" priority="108">
      <formula>$F86="Fail"</formula>
    </cfRule>
  </conditionalFormatting>
  <conditionalFormatting sqref="C80">
    <cfRule type="expression" dxfId="495" priority="107">
      <formula>$F80="Fail"</formula>
    </cfRule>
  </conditionalFormatting>
  <conditionalFormatting sqref="B63">
    <cfRule type="expression" dxfId="494" priority="106">
      <formula>$F63="Fail"</formula>
    </cfRule>
  </conditionalFormatting>
  <conditionalFormatting sqref="C63">
    <cfRule type="expression" dxfId="493" priority="105">
      <formula>$F63="Fail"</formula>
    </cfRule>
  </conditionalFormatting>
  <conditionalFormatting sqref="C90">
    <cfRule type="expression" dxfId="492" priority="104">
      <formula>$F90="Fail"</formula>
    </cfRule>
  </conditionalFormatting>
  <conditionalFormatting sqref="F11:F12">
    <cfRule type="expression" dxfId="491" priority="103">
      <formula>$F11="Fail"</formula>
    </cfRule>
  </conditionalFormatting>
  <conditionalFormatting sqref="C14">
    <cfRule type="expression" dxfId="490" priority="99">
      <formula>$F14="Fail"</formula>
    </cfRule>
  </conditionalFormatting>
  <conditionalFormatting sqref="B9:C9">
    <cfRule type="expression" dxfId="489" priority="101">
      <formula>$F9="Fail"</formula>
    </cfRule>
  </conditionalFormatting>
  <conditionalFormatting sqref="B14">
    <cfRule type="expression" dxfId="488" priority="100">
      <formula>$F14="Fail"</formula>
    </cfRule>
  </conditionalFormatting>
  <conditionalFormatting sqref="B26:C26">
    <cfRule type="expression" dxfId="487" priority="97">
      <formula>$F26="Fail"</formula>
    </cfRule>
  </conditionalFormatting>
  <conditionalFormatting sqref="C24">
    <cfRule type="expression" dxfId="486" priority="98">
      <formula>$F24="Fail"</formula>
    </cfRule>
  </conditionalFormatting>
  <conditionalFormatting sqref="C28">
    <cfRule type="expression" dxfId="485" priority="96">
      <formula>$F28="Fail"</formula>
    </cfRule>
  </conditionalFormatting>
  <conditionalFormatting sqref="B28">
    <cfRule type="expression" dxfId="484" priority="95">
      <formula>$F28="Fail"</formula>
    </cfRule>
  </conditionalFormatting>
  <conditionalFormatting sqref="B29:C29">
    <cfRule type="expression" dxfId="483" priority="94">
      <formula>$F29="Fail"</formula>
    </cfRule>
  </conditionalFormatting>
  <conditionalFormatting sqref="B31:C31">
    <cfRule type="expression" dxfId="482" priority="93">
      <formula>$F31="Fail"</formula>
    </cfRule>
  </conditionalFormatting>
  <conditionalFormatting sqref="B33:C33">
    <cfRule type="expression" dxfId="481" priority="92">
      <formula>$F33="Fail"</formula>
    </cfRule>
  </conditionalFormatting>
  <conditionalFormatting sqref="B80:C80">
    <cfRule type="expression" dxfId="480" priority="91">
      <formula>$F80="Fail"</formula>
    </cfRule>
  </conditionalFormatting>
  <conditionalFormatting sqref="B60:C72">
    <cfRule type="expression" dxfId="479" priority="88">
      <formula>$F60="Fail"</formula>
    </cfRule>
  </conditionalFormatting>
  <conditionalFormatting sqref="B47:C50 B54:C59">
    <cfRule type="expression" dxfId="478" priority="90">
      <formula>$F47="Fail"</formula>
    </cfRule>
  </conditionalFormatting>
  <conditionalFormatting sqref="B58:C59">
    <cfRule type="expression" dxfId="477" priority="89">
      <formula>$F58="Fail"</formula>
    </cfRule>
  </conditionalFormatting>
  <conditionalFormatting sqref="B70:C72">
    <cfRule type="expression" dxfId="476" priority="87">
      <formula>$F70="Fail"</formula>
    </cfRule>
  </conditionalFormatting>
  <conditionalFormatting sqref="C60:C69">
    <cfRule type="expression" dxfId="475" priority="86">
      <formula>$F60="Fail"</formula>
    </cfRule>
  </conditionalFormatting>
  <conditionalFormatting sqref="C56">
    <cfRule type="expression" dxfId="474" priority="85">
      <formula>$F56="Fail"</formula>
    </cfRule>
  </conditionalFormatting>
  <conditionalFormatting sqref="B46">
    <cfRule type="expression" dxfId="473" priority="84">
      <formula>$F46="Fail"</formula>
    </cfRule>
  </conditionalFormatting>
  <conditionalFormatting sqref="C46">
    <cfRule type="expression" dxfId="472" priority="83">
      <formula>$F46="Fail"</formula>
    </cfRule>
  </conditionalFormatting>
  <conditionalFormatting sqref="C82:C85">
    <cfRule type="expression" dxfId="471" priority="80">
      <formula>$F82="Fail"</formula>
    </cfRule>
  </conditionalFormatting>
  <conditionalFormatting sqref="B81">
    <cfRule type="expression" dxfId="470" priority="79">
      <formula>$F81="Fail"</formula>
    </cfRule>
  </conditionalFormatting>
  <conditionalFormatting sqref="C81">
    <cfRule type="expression" dxfId="469" priority="78">
      <formula>$F81="Fail"</formula>
    </cfRule>
  </conditionalFormatting>
  <conditionalFormatting sqref="C82:C85">
    <cfRule type="expression" dxfId="468" priority="81">
      <formula>$F82="Fail"</formula>
    </cfRule>
  </conditionalFormatting>
  <conditionalFormatting sqref="B82:C85">
    <cfRule type="expression" dxfId="467" priority="82">
      <formula>$F82="Fail"</formula>
    </cfRule>
  </conditionalFormatting>
  <conditionalFormatting sqref="C85">
    <cfRule type="expression" dxfId="466" priority="77">
      <formula>$F85="Fail"</formula>
    </cfRule>
  </conditionalFormatting>
  <conditionalFormatting sqref="B88:D88 B89:C89">
    <cfRule type="expression" dxfId="465" priority="76">
      <formula>$F88="Fail"</formula>
    </cfRule>
  </conditionalFormatting>
  <conditionalFormatting sqref="D89">
    <cfRule type="expression" dxfId="464" priority="75">
      <formula>$F89="Fail"</formula>
    </cfRule>
  </conditionalFormatting>
  <conditionalFormatting sqref="D13">
    <cfRule type="expression" dxfId="463" priority="74">
      <formula>$F13="Fail"</formula>
    </cfRule>
  </conditionalFormatting>
  <conditionalFormatting sqref="D28">
    <cfRule type="expression" dxfId="462" priority="73">
      <formula>$F28="Fail"</formula>
    </cfRule>
  </conditionalFormatting>
  <conditionalFormatting sqref="D81">
    <cfRule type="expression" dxfId="461" priority="72">
      <formula>$F81="Fail"</formula>
    </cfRule>
  </conditionalFormatting>
  <conditionalFormatting sqref="B25">
    <cfRule type="expression" dxfId="460" priority="71">
      <formula>$F25="Fail"</formula>
    </cfRule>
  </conditionalFormatting>
  <conditionalFormatting sqref="C25">
    <cfRule type="expression" dxfId="459" priority="70">
      <formula>$F25="Fail"</formula>
    </cfRule>
  </conditionalFormatting>
  <conditionalFormatting sqref="B26">
    <cfRule type="expression" dxfId="458" priority="69">
      <formula>$F26="Fail"</formula>
    </cfRule>
  </conditionalFormatting>
  <conditionalFormatting sqref="C26">
    <cfRule type="expression" dxfId="457" priority="68">
      <formula>$F26="Fail"</formula>
    </cfRule>
  </conditionalFormatting>
  <conditionalFormatting sqref="C37:C38">
    <cfRule type="expression" dxfId="456" priority="67">
      <formula>$F37="Fail"</formula>
    </cfRule>
  </conditionalFormatting>
  <conditionalFormatting sqref="C5">
    <cfRule type="expression" dxfId="455" priority="66">
      <formula>$F5="Fail"</formula>
    </cfRule>
  </conditionalFormatting>
  <conditionalFormatting sqref="B5">
    <cfRule type="expression" dxfId="454" priority="65">
      <formula>$F5="Fail"</formula>
    </cfRule>
  </conditionalFormatting>
  <conditionalFormatting sqref="B6:C8">
    <cfRule type="expression" dxfId="453" priority="64">
      <formula>$F6="Fail"</formula>
    </cfRule>
  </conditionalFormatting>
  <conditionalFormatting sqref="F34">
    <cfRule type="expression" dxfId="452" priority="59">
      <formula>$F34="Fail"</formula>
    </cfRule>
  </conditionalFormatting>
  <conditionalFormatting sqref="G45:K45">
    <cfRule type="expression" dxfId="451" priority="58">
      <formula>$F45="Fail"</formula>
    </cfRule>
  </conditionalFormatting>
  <conditionalFormatting sqref="B51:C53">
    <cfRule type="expression" dxfId="450" priority="57">
      <formula>$F51="Fail"</formula>
    </cfRule>
  </conditionalFormatting>
  <conditionalFormatting sqref="B51:C53">
    <cfRule type="expression" dxfId="449" priority="56">
      <formula>$F51="Fail"</formula>
    </cfRule>
  </conditionalFormatting>
  <conditionalFormatting sqref="F14">
    <cfRule type="expression" dxfId="448" priority="54">
      <formula>$F14="Fail"</formula>
    </cfRule>
  </conditionalFormatting>
  <conditionalFormatting sqref="F32">
    <cfRule type="expression" dxfId="447" priority="48">
      <formula>$F32="Fail"</formula>
    </cfRule>
  </conditionalFormatting>
  <conditionalFormatting sqref="F38">
    <cfRule type="expression" dxfId="446" priority="45">
      <formula>$F38="Fail"</formula>
    </cfRule>
  </conditionalFormatting>
  <conditionalFormatting sqref="B73:C73">
    <cfRule type="expression" dxfId="445" priority="40">
      <formula>$F73="Fail"</formula>
    </cfRule>
  </conditionalFormatting>
  <conditionalFormatting sqref="B73">
    <cfRule type="expression" dxfId="444" priority="39">
      <formula>$F73="Fail"</formula>
    </cfRule>
  </conditionalFormatting>
  <conditionalFormatting sqref="C73">
    <cfRule type="expression" dxfId="443" priority="38">
      <formula>$F73="Fail"</formula>
    </cfRule>
  </conditionalFormatting>
  <conditionalFormatting sqref="B77">
    <cfRule type="expression" dxfId="442" priority="35">
      <formula>$F77="Fail"</formula>
    </cfRule>
  </conditionalFormatting>
  <conditionalFormatting sqref="C77">
    <cfRule type="expression" dxfId="441" priority="34">
      <formula>$F77="Fail"</formula>
    </cfRule>
  </conditionalFormatting>
  <conditionalFormatting sqref="C78">
    <cfRule type="expression" dxfId="440" priority="32">
      <formula>$F78="Fail"</formula>
    </cfRule>
  </conditionalFormatting>
  <conditionalFormatting sqref="C78">
    <cfRule type="expression" dxfId="439" priority="31">
      <formula>$F78="Fail"</formula>
    </cfRule>
  </conditionalFormatting>
  <conditionalFormatting sqref="L61:L70">
    <cfRule type="expression" dxfId="437" priority="21">
      <formula>$F61="Fail"</formula>
    </cfRule>
  </conditionalFormatting>
  <conditionalFormatting sqref="L59:L60">
    <cfRule type="expression" dxfId="436" priority="20">
      <formula>$F59="Fail"</formula>
    </cfRule>
  </conditionalFormatting>
  <conditionalFormatting sqref="L73:L82">
    <cfRule type="expression" dxfId="435" priority="19">
      <formula>$F73="Fail"</formula>
    </cfRule>
  </conditionalFormatting>
  <conditionalFormatting sqref="L71:L72">
    <cfRule type="expression" dxfId="434" priority="18">
      <formula>$F71="Fail"</formula>
    </cfRule>
  </conditionalFormatting>
  <conditionalFormatting sqref="L85:L90">
    <cfRule type="expression" dxfId="433" priority="17">
      <formula>$F85="Fail"</formula>
    </cfRule>
  </conditionalFormatting>
  <conditionalFormatting sqref="L83:L84">
    <cfRule type="expression" dxfId="432" priority="16">
      <formula>$F83="Fail"</formula>
    </cfRule>
  </conditionalFormatting>
  <conditionalFormatting sqref="F5:F10">
    <cfRule type="expression" dxfId="431" priority="15">
      <formula>$F5="Fail"</formula>
    </cfRule>
  </conditionalFormatting>
  <conditionalFormatting sqref="F16">
    <cfRule type="expression" dxfId="430" priority="14">
      <formula>$F16="Fail"</formula>
    </cfRule>
  </conditionalFormatting>
  <conditionalFormatting sqref="F20">
    <cfRule type="expression" dxfId="429" priority="13">
      <formula>$F20="Fail"</formula>
    </cfRule>
  </conditionalFormatting>
  <conditionalFormatting sqref="F22:F27">
    <cfRule type="expression" dxfId="428" priority="12">
      <formula>$F22="Fail"</formula>
    </cfRule>
  </conditionalFormatting>
  <conditionalFormatting sqref="F29">
    <cfRule type="expression" dxfId="427" priority="11">
      <formula>$F29="Fail"</formula>
    </cfRule>
  </conditionalFormatting>
  <conditionalFormatting sqref="F31">
    <cfRule type="expression" dxfId="426" priority="10">
      <formula>$F31="Fail"</formula>
    </cfRule>
  </conditionalFormatting>
  <conditionalFormatting sqref="F33">
    <cfRule type="expression" dxfId="425" priority="9">
      <formula>$F33="Fail"</formula>
    </cfRule>
  </conditionalFormatting>
  <conditionalFormatting sqref="F35:F37">
    <cfRule type="expression" dxfId="424" priority="8">
      <formula>$F35="Fail"</formula>
    </cfRule>
  </conditionalFormatting>
  <conditionalFormatting sqref="F40:F45">
    <cfRule type="expression" dxfId="423" priority="7">
      <formula>$F40="Fail"</formula>
    </cfRule>
  </conditionalFormatting>
  <conditionalFormatting sqref="F47:F56">
    <cfRule type="expression" dxfId="422" priority="6">
      <formula>$F47="Fail"</formula>
    </cfRule>
  </conditionalFormatting>
  <conditionalFormatting sqref="F60:F63">
    <cfRule type="expression" dxfId="421" priority="5">
      <formula>$F60="Fail"</formula>
    </cfRule>
  </conditionalFormatting>
  <conditionalFormatting sqref="F66:F71">
    <cfRule type="expression" dxfId="420" priority="4">
      <formula>$F66="Fail"</formula>
    </cfRule>
  </conditionalFormatting>
  <conditionalFormatting sqref="F74:F79">
    <cfRule type="expression" dxfId="419" priority="3">
      <formula>$F74="Fail"</formula>
    </cfRule>
  </conditionalFormatting>
  <conditionalFormatting sqref="F82:F85">
    <cfRule type="expression" dxfId="418" priority="2">
      <formula>$F82="Fail"</formula>
    </cfRule>
  </conditionalFormatting>
  <conditionalFormatting sqref="F18">
    <cfRule type="expression" dxfId="9" priority="1">
      <formula>$F18="Fail"</formula>
    </cfRule>
  </conditionalFormatting>
  <dataValidations count="1">
    <dataValidation type="list" allowBlank="1" showInputMessage="1" showErrorMessage="1" sqref="F3:F90">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2]!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3" id="{CF2C99D9-9425-49AE-B215-1EEC99036F14}">
            <xm:f>'C:\Users\E939818\Documents\_Project Documents\SVN TEST  team\_Sutuwa\Testing\Release 1\Stats\[SEB_InvestAdmin_Investment.xlsm]External'!#REF!="Fail"</xm:f>
            <x14:dxf>
              <font>
                <color rgb="FFFF0000"/>
              </font>
              <fill>
                <patternFill>
                  <bgColor theme="9" tint="0.59996337778862885"/>
                </patternFill>
              </fill>
            </x14:dxf>
          </x14:cfRule>
          <xm:sqref>B39:D45</xm:sqref>
        </x14:conditionalFormatting>
        <x14:conditionalFormatting xmlns:xm="http://schemas.microsoft.com/office/excel/2006/main">
          <x14:cfRule type="expression" priority="62" id="{6B654948-F5C4-4164-AF6A-F3845B290AF1}">
            <xm:f>'C:\Users\E939818\Documents\_Project Documents\SVN TEST  team\_Sutuwa\Testing\Release 1\Stats\[SEB_InvestAdmin_Investment.xlsm]External'!#REF!="Fail"</xm:f>
            <x14:dxf>
              <font>
                <color rgb="FFFF0000"/>
              </font>
              <fill>
                <patternFill>
                  <bgColor theme="9" tint="0.59996337778862885"/>
                </patternFill>
              </fill>
            </x14:dxf>
          </x14:cfRule>
          <xm:sqref>D46</xm:sqref>
        </x14:conditionalFormatting>
        <x14:conditionalFormatting xmlns:xm="http://schemas.microsoft.com/office/excel/2006/main">
          <x14:cfRule type="expression" priority="37" id="{433DFAF5-E2B3-4AF6-AEBA-5FE35F639A28}">
            <xm:f>'C:\Users\E939818\Documents\_Project Documents\SVN TEST  team\_Sutuwa\Testing\Release 1\Stats\[SEB_InvestAdmin_Investment.xlsm]External'!#REF!="Fail"</xm:f>
            <x14:dxf>
              <font>
                <color rgb="FFFF0000"/>
              </font>
              <fill>
                <patternFill>
                  <bgColor theme="9" tint="0.59996337778862885"/>
                </patternFill>
              </fill>
            </x14:dxf>
          </x14:cfRule>
          <xm:sqref>D73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138"/>
  <sheetViews>
    <sheetView topLeftCell="C1" zoomScaleNormal="100" workbookViewId="0">
      <pane ySplit="1" topLeftCell="A128" activePane="bottomLeft" state="frozen"/>
      <selection pane="bottomLeft" activeCell="A3" sqref="A3:D3"/>
    </sheetView>
  </sheetViews>
  <sheetFormatPr defaultRowHeight="15" outlineLevelRow="1" x14ac:dyDescent="0.25"/>
  <cols>
    <col min="1" max="1" width="11.28515625" style="3" bestFit="1" customWidth="1"/>
    <col min="2" max="2" width="56.7109375" style="1" customWidth="1"/>
    <col min="3" max="3" width="50.7109375" style="1" customWidth="1"/>
    <col min="4" max="4" width="48.1406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711</v>
      </c>
      <c r="C2" s="183"/>
      <c r="D2" s="102" t="s">
        <v>709</v>
      </c>
      <c r="E2" s="99"/>
      <c r="F2" s="98"/>
      <c r="G2" s="99"/>
      <c r="H2" s="99"/>
      <c r="I2" s="99"/>
      <c r="J2" s="99"/>
      <c r="K2" s="99"/>
      <c r="L2" s="99"/>
    </row>
    <row r="3" spans="1:12" s="100" customFormat="1" ht="30" customHeight="1" x14ac:dyDescent="0.25">
      <c r="A3" s="169" t="s">
        <v>1045</v>
      </c>
      <c r="B3" s="170" t="s">
        <v>1046</v>
      </c>
      <c r="C3" s="171"/>
      <c r="D3" s="172"/>
      <c r="E3" s="99"/>
      <c r="F3" s="98"/>
      <c r="G3" s="99"/>
      <c r="H3" s="99"/>
      <c r="I3" s="99"/>
      <c r="J3" s="99"/>
      <c r="K3" s="99"/>
      <c r="L3" s="99"/>
    </row>
    <row r="4" spans="1:12" s="19" customFormat="1" x14ac:dyDescent="0.25">
      <c r="A4" s="15">
        <v>2</v>
      </c>
      <c r="B4" s="16" t="s">
        <v>651</v>
      </c>
      <c r="C4" s="17"/>
      <c r="D4" s="16"/>
      <c r="E4" s="16"/>
      <c r="F4" s="18"/>
      <c r="G4" s="18"/>
      <c r="H4" s="18"/>
      <c r="I4" s="18"/>
      <c r="J4" s="18"/>
      <c r="K4" s="18"/>
      <c r="L4" s="16"/>
    </row>
    <row r="5" spans="1:12" ht="51" x14ac:dyDescent="0.25">
      <c r="A5" s="4">
        <f t="shared" ref="A5:A87" si="0">A4+0.0001</f>
        <v>2.0001000000000002</v>
      </c>
      <c r="B5" s="5" t="s">
        <v>688</v>
      </c>
      <c r="C5" s="8"/>
      <c r="D5" s="6" t="s">
        <v>689</v>
      </c>
      <c r="E5" s="5"/>
      <c r="F5" s="7" t="s">
        <v>5</v>
      </c>
      <c r="G5" s="7">
        <f t="shared" ref="G5:K29" si="1">IF($F5=G$1,1,0)</f>
        <v>1</v>
      </c>
      <c r="H5" s="7">
        <f t="shared" si="1"/>
        <v>0</v>
      </c>
      <c r="I5" s="7">
        <f t="shared" si="1"/>
        <v>0</v>
      </c>
      <c r="J5" s="7">
        <f t="shared" si="1"/>
        <v>0</v>
      </c>
      <c r="K5" s="7">
        <f t="shared" si="1"/>
        <v>0</v>
      </c>
      <c r="L5" s="6"/>
    </row>
    <row r="6" spans="1:12" ht="25.5" x14ac:dyDescent="0.25">
      <c r="A6" s="4">
        <f t="shared" si="0"/>
        <v>2.0002000000000004</v>
      </c>
      <c r="B6" s="63" t="s">
        <v>593</v>
      </c>
      <c r="C6" s="8" t="s">
        <v>594</v>
      </c>
      <c r="D6" s="6"/>
      <c r="E6" s="5"/>
      <c r="F6" s="7" t="s">
        <v>5</v>
      </c>
      <c r="G6" s="7">
        <f t="shared" si="1"/>
        <v>1</v>
      </c>
      <c r="H6" s="7">
        <f t="shared" si="1"/>
        <v>0</v>
      </c>
      <c r="I6" s="7">
        <f t="shared" si="1"/>
        <v>0</v>
      </c>
      <c r="J6" s="7">
        <f t="shared" si="1"/>
        <v>0</v>
      </c>
      <c r="K6" s="7">
        <f t="shared" si="1"/>
        <v>0</v>
      </c>
      <c r="L6" s="6"/>
    </row>
    <row r="7" spans="1:12" ht="25.5" x14ac:dyDescent="0.25">
      <c r="A7" s="4">
        <f t="shared" si="0"/>
        <v>2.0003000000000006</v>
      </c>
      <c r="B7" s="63" t="s">
        <v>595</v>
      </c>
      <c r="C7" s="8" t="s">
        <v>596</v>
      </c>
      <c r="D7" s="6"/>
      <c r="E7" s="5"/>
      <c r="F7" s="7" t="s">
        <v>5</v>
      </c>
      <c r="G7" s="7">
        <f t="shared" si="1"/>
        <v>1</v>
      </c>
      <c r="H7" s="7">
        <f t="shared" si="1"/>
        <v>0</v>
      </c>
      <c r="I7" s="7">
        <f t="shared" si="1"/>
        <v>0</v>
      </c>
      <c r="J7" s="7">
        <f t="shared" si="1"/>
        <v>0</v>
      </c>
      <c r="K7" s="7">
        <f t="shared" si="1"/>
        <v>0</v>
      </c>
      <c r="L7" s="6"/>
    </row>
    <row r="8" spans="1:12" x14ac:dyDescent="0.25">
      <c r="A8" s="4">
        <f t="shared" si="0"/>
        <v>2.0004000000000008</v>
      </c>
      <c r="B8" s="5"/>
      <c r="C8" s="8" t="s">
        <v>597</v>
      </c>
      <c r="D8" s="6"/>
      <c r="E8" s="5"/>
      <c r="F8" s="7" t="s">
        <v>5</v>
      </c>
      <c r="G8" s="7">
        <f t="shared" si="1"/>
        <v>1</v>
      </c>
      <c r="H8" s="7">
        <f t="shared" si="1"/>
        <v>0</v>
      </c>
      <c r="I8" s="7">
        <f t="shared" si="1"/>
        <v>0</v>
      </c>
      <c r="J8" s="7">
        <f t="shared" si="1"/>
        <v>0</v>
      </c>
      <c r="K8" s="7">
        <f t="shared" si="1"/>
        <v>0</v>
      </c>
      <c r="L8" s="6"/>
    </row>
    <row r="9" spans="1:12" ht="25.5" x14ac:dyDescent="0.25">
      <c r="A9" s="4">
        <f t="shared" si="0"/>
        <v>2.0005000000000011</v>
      </c>
      <c r="B9" s="5"/>
      <c r="C9" s="8" t="s">
        <v>690</v>
      </c>
      <c r="D9" s="20" t="s">
        <v>691</v>
      </c>
      <c r="E9" s="5"/>
      <c r="F9" s="7" t="s">
        <v>5</v>
      </c>
      <c r="G9" s="7">
        <f t="shared" si="1"/>
        <v>1</v>
      </c>
      <c r="H9" s="7">
        <f t="shared" si="1"/>
        <v>0</v>
      </c>
      <c r="I9" s="7">
        <f t="shared" si="1"/>
        <v>0</v>
      </c>
      <c r="J9" s="7">
        <f t="shared" si="1"/>
        <v>0</v>
      </c>
      <c r="K9" s="7">
        <f t="shared" si="1"/>
        <v>0</v>
      </c>
      <c r="L9" s="6"/>
    </row>
    <row r="10" spans="1:12" x14ac:dyDescent="0.25">
      <c r="A10" s="4">
        <f t="shared" si="0"/>
        <v>2.0006000000000013</v>
      </c>
      <c r="B10" s="5" t="s">
        <v>672</v>
      </c>
      <c r="C10" s="94" t="s">
        <v>715</v>
      </c>
      <c r="D10" s="6"/>
      <c r="E10" s="6"/>
      <c r="F10" s="7" t="s">
        <v>5</v>
      </c>
      <c r="G10" s="7">
        <f t="shared" si="1"/>
        <v>1</v>
      </c>
      <c r="H10" s="7">
        <f t="shared" si="1"/>
        <v>0</v>
      </c>
      <c r="I10" s="7">
        <f t="shared" si="1"/>
        <v>0</v>
      </c>
      <c r="J10" s="7">
        <f t="shared" si="1"/>
        <v>0</v>
      </c>
      <c r="K10" s="7">
        <f t="shared" si="1"/>
        <v>0</v>
      </c>
      <c r="L10" s="6"/>
    </row>
    <row r="11" spans="1:12" x14ac:dyDescent="0.25">
      <c r="A11" s="4">
        <f t="shared" si="0"/>
        <v>2.0007000000000015</v>
      </c>
      <c r="B11" s="5"/>
      <c r="C11" s="22"/>
      <c r="D11" s="6"/>
      <c r="E11" s="6"/>
      <c r="F11" s="7"/>
      <c r="G11" s="7"/>
      <c r="H11" s="7"/>
      <c r="I11" s="7"/>
      <c r="J11" s="7"/>
      <c r="K11" s="7"/>
      <c r="L11" s="6"/>
    </row>
    <row r="12" spans="1:12" x14ac:dyDescent="0.25">
      <c r="A12" s="4">
        <f t="shared" si="0"/>
        <v>2.0008000000000017</v>
      </c>
      <c r="B12" s="105" t="s">
        <v>700</v>
      </c>
      <c r="C12" s="17" t="s">
        <v>707</v>
      </c>
      <c r="D12" s="16"/>
      <c r="E12" s="6"/>
      <c r="F12" s="7"/>
      <c r="G12" s="7"/>
      <c r="H12" s="7"/>
      <c r="I12" s="7"/>
      <c r="J12" s="7"/>
      <c r="K12" s="7"/>
      <c r="L12" s="6"/>
    </row>
    <row r="13" spans="1:12" ht="25.5" x14ac:dyDescent="0.25">
      <c r="A13" s="4">
        <f t="shared" si="0"/>
        <v>2.0009000000000019</v>
      </c>
      <c r="B13" s="63" t="s">
        <v>701</v>
      </c>
      <c r="C13" s="22" t="s">
        <v>702</v>
      </c>
      <c r="D13" s="6"/>
      <c r="E13" s="6"/>
      <c r="F13" s="7" t="s">
        <v>5</v>
      </c>
      <c r="G13" s="7">
        <f t="shared" si="1"/>
        <v>1</v>
      </c>
      <c r="H13" s="7">
        <f t="shared" si="1"/>
        <v>0</v>
      </c>
      <c r="I13" s="7">
        <f t="shared" si="1"/>
        <v>0</v>
      </c>
      <c r="J13" s="7">
        <f t="shared" si="1"/>
        <v>0</v>
      </c>
      <c r="K13" s="7"/>
      <c r="L13" s="6"/>
    </row>
    <row r="14" spans="1:12" x14ac:dyDescent="0.25">
      <c r="A14" s="4">
        <f t="shared" si="0"/>
        <v>2.0010000000000021</v>
      </c>
      <c r="B14" s="5"/>
      <c r="C14" s="22"/>
      <c r="D14" s="6"/>
      <c r="E14" s="6"/>
      <c r="F14" s="7" t="s">
        <v>5</v>
      </c>
      <c r="G14" s="7"/>
      <c r="H14" s="7"/>
      <c r="I14" s="7"/>
      <c r="J14" s="7"/>
      <c r="K14" s="7"/>
      <c r="L14" s="6"/>
    </row>
    <row r="15" spans="1:12" ht="25.5" x14ac:dyDescent="0.25">
      <c r="A15" s="4">
        <f t="shared" si="0"/>
        <v>2.0011000000000023</v>
      </c>
      <c r="B15" s="5" t="s">
        <v>703</v>
      </c>
      <c r="C15" s="22" t="s">
        <v>704</v>
      </c>
      <c r="D15" s="6"/>
      <c r="E15" s="6"/>
      <c r="F15" s="7" t="s">
        <v>5</v>
      </c>
      <c r="G15" s="7">
        <f t="shared" si="1"/>
        <v>1</v>
      </c>
      <c r="H15" s="7">
        <f t="shared" si="1"/>
        <v>0</v>
      </c>
      <c r="I15" s="7">
        <f t="shared" si="1"/>
        <v>0</v>
      </c>
      <c r="J15" s="7">
        <f t="shared" si="1"/>
        <v>0</v>
      </c>
      <c r="K15" s="7"/>
      <c r="L15" s="6"/>
    </row>
    <row r="16" spans="1:12" x14ac:dyDescent="0.25">
      <c r="A16" s="4">
        <f t="shared" si="0"/>
        <v>2.0012000000000025</v>
      </c>
      <c r="B16" s="5"/>
      <c r="C16" s="22" t="s">
        <v>705</v>
      </c>
      <c r="D16" s="6" t="s">
        <v>940</v>
      </c>
      <c r="E16" s="6"/>
      <c r="F16" s="7" t="s">
        <v>5</v>
      </c>
      <c r="G16" s="7">
        <f t="shared" si="1"/>
        <v>1</v>
      </c>
      <c r="H16" s="7">
        <f t="shared" si="1"/>
        <v>0</v>
      </c>
      <c r="I16" s="7">
        <f t="shared" si="1"/>
        <v>0</v>
      </c>
      <c r="J16" s="7">
        <f t="shared" si="1"/>
        <v>0</v>
      </c>
      <c r="K16" s="7"/>
      <c r="L16" s="6"/>
    </row>
    <row r="17" spans="1:12" x14ac:dyDescent="0.25">
      <c r="A17" s="4">
        <f t="shared" si="0"/>
        <v>2.0013000000000027</v>
      </c>
      <c r="B17" s="5"/>
      <c r="C17" s="22"/>
      <c r="D17" s="6"/>
      <c r="E17" s="6"/>
      <c r="F17" s="7" t="s">
        <v>5</v>
      </c>
      <c r="G17" s="7"/>
      <c r="H17" s="7"/>
      <c r="I17" s="7"/>
      <c r="J17" s="7"/>
      <c r="K17" s="7"/>
      <c r="L17" s="6"/>
    </row>
    <row r="18" spans="1:12" x14ac:dyDescent="0.25">
      <c r="A18" s="4">
        <f t="shared" si="0"/>
        <v>2.001400000000003</v>
      </c>
      <c r="B18" s="5" t="s">
        <v>482</v>
      </c>
      <c r="C18" s="22" t="s">
        <v>706</v>
      </c>
      <c r="D18" s="6"/>
      <c r="E18" s="6"/>
      <c r="F18" s="7" t="s">
        <v>5</v>
      </c>
      <c r="G18" s="7">
        <f t="shared" si="1"/>
        <v>1</v>
      </c>
      <c r="H18" s="7">
        <f t="shared" si="1"/>
        <v>0</v>
      </c>
      <c r="I18" s="7">
        <f t="shared" si="1"/>
        <v>0</v>
      </c>
      <c r="J18" s="7">
        <f t="shared" si="1"/>
        <v>0</v>
      </c>
      <c r="K18" s="7">
        <f t="shared" si="1"/>
        <v>0</v>
      </c>
      <c r="L18" s="6"/>
    </row>
    <row r="19" spans="1:12" x14ac:dyDescent="0.25">
      <c r="A19" s="4">
        <f t="shared" si="0"/>
        <v>2.0015000000000032</v>
      </c>
      <c r="B19" s="5"/>
      <c r="C19" s="22"/>
      <c r="D19" s="6"/>
      <c r="E19" s="6"/>
      <c r="F19" s="7"/>
      <c r="G19" s="7"/>
      <c r="H19" s="7"/>
      <c r="I19" s="7"/>
      <c r="J19" s="7"/>
      <c r="K19" s="7"/>
      <c r="L19" s="6"/>
    </row>
    <row r="20" spans="1:12" x14ac:dyDescent="0.25">
      <c r="A20" s="4">
        <f t="shared" si="0"/>
        <v>2.0016000000000034</v>
      </c>
      <c r="B20" s="105" t="s">
        <v>495</v>
      </c>
      <c r="C20" s="17"/>
      <c r="D20" s="16"/>
      <c r="E20" s="6"/>
      <c r="F20" s="7"/>
      <c r="G20" s="7"/>
      <c r="H20" s="7"/>
      <c r="I20" s="7"/>
      <c r="J20" s="7"/>
      <c r="K20" s="7"/>
      <c r="L20" s="6"/>
    </row>
    <row r="21" spans="1:12" ht="25.5" x14ac:dyDescent="0.25">
      <c r="A21" s="4">
        <f t="shared" si="0"/>
        <v>2.0017000000000036</v>
      </c>
      <c r="B21" s="63" t="s">
        <v>656</v>
      </c>
      <c r="C21" s="107" t="s">
        <v>659</v>
      </c>
      <c r="D21" s="6"/>
      <c r="E21" s="6"/>
      <c r="F21" s="7" t="s">
        <v>5</v>
      </c>
      <c r="G21" s="7">
        <f t="shared" si="1"/>
        <v>1</v>
      </c>
      <c r="H21" s="7">
        <f t="shared" si="1"/>
        <v>0</v>
      </c>
      <c r="I21" s="7">
        <f t="shared" si="1"/>
        <v>0</v>
      </c>
      <c r="J21" s="7">
        <f t="shared" si="1"/>
        <v>0</v>
      </c>
      <c r="K21" s="7">
        <f t="shared" si="1"/>
        <v>0</v>
      </c>
      <c r="L21" s="6"/>
    </row>
    <row r="22" spans="1:12" x14ac:dyDescent="0.25">
      <c r="A22" s="4">
        <f t="shared" si="0"/>
        <v>2.0018000000000038</v>
      </c>
      <c r="B22" s="5"/>
      <c r="C22" s="22"/>
      <c r="D22" s="6"/>
      <c r="E22" s="6"/>
      <c r="F22" s="7"/>
      <c r="G22" s="7"/>
      <c r="H22" s="7"/>
      <c r="I22" s="7"/>
      <c r="J22" s="7"/>
      <c r="K22" s="7"/>
      <c r="L22" s="6"/>
    </row>
    <row r="23" spans="1:12" x14ac:dyDescent="0.25">
      <c r="A23" s="4">
        <f t="shared" si="0"/>
        <v>2.001900000000004</v>
      </c>
      <c r="B23" s="5" t="s">
        <v>660</v>
      </c>
      <c r="C23" s="22" t="s">
        <v>661</v>
      </c>
      <c r="D23" s="6"/>
      <c r="E23" s="6"/>
      <c r="F23" s="7" t="s">
        <v>5</v>
      </c>
      <c r="G23" s="7">
        <f t="shared" si="1"/>
        <v>1</v>
      </c>
      <c r="H23" s="7">
        <f t="shared" si="1"/>
        <v>0</v>
      </c>
      <c r="I23" s="7">
        <f t="shared" si="1"/>
        <v>0</v>
      </c>
      <c r="J23" s="7">
        <f t="shared" si="1"/>
        <v>0</v>
      </c>
      <c r="K23" s="7">
        <f t="shared" si="1"/>
        <v>0</v>
      </c>
      <c r="L23" s="6"/>
    </row>
    <row r="24" spans="1:12" x14ac:dyDescent="0.25">
      <c r="A24" s="4">
        <f t="shared" si="0"/>
        <v>2.0020000000000042</v>
      </c>
      <c r="B24" s="5"/>
      <c r="C24" s="23"/>
      <c r="D24" s="6"/>
      <c r="E24" s="6"/>
      <c r="F24" s="7"/>
      <c r="G24" s="7"/>
      <c r="H24" s="7"/>
      <c r="I24" s="7"/>
      <c r="J24" s="7"/>
      <c r="K24" s="7"/>
      <c r="L24" s="6"/>
    </row>
    <row r="25" spans="1:12" x14ac:dyDescent="0.25">
      <c r="A25" s="4">
        <f t="shared" si="0"/>
        <v>2.0021000000000044</v>
      </c>
      <c r="B25" s="48" t="s">
        <v>662</v>
      </c>
      <c r="C25" s="23" t="s">
        <v>663</v>
      </c>
      <c r="D25" s="6"/>
      <c r="E25" s="6"/>
      <c r="F25" s="7" t="s">
        <v>5</v>
      </c>
      <c r="G25" s="7">
        <f t="shared" si="1"/>
        <v>1</v>
      </c>
      <c r="H25" s="7">
        <f t="shared" si="1"/>
        <v>0</v>
      </c>
      <c r="I25" s="7">
        <f t="shared" si="1"/>
        <v>0</v>
      </c>
      <c r="J25" s="7">
        <f t="shared" si="1"/>
        <v>0</v>
      </c>
      <c r="K25" s="7">
        <f t="shared" si="1"/>
        <v>0</v>
      </c>
      <c r="L25" s="6"/>
    </row>
    <row r="26" spans="1:12" x14ac:dyDescent="0.25">
      <c r="A26" s="4">
        <f t="shared" si="0"/>
        <v>2.0022000000000046</v>
      </c>
      <c r="B26" s="5"/>
      <c r="C26" s="23"/>
      <c r="D26" s="6"/>
      <c r="E26" s="6"/>
      <c r="F26" s="7"/>
      <c r="G26" s="7"/>
      <c r="H26" s="7"/>
      <c r="I26" s="7"/>
      <c r="J26" s="7"/>
      <c r="K26" s="7"/>
      <c r="L26" s="6"/>
    </row>
    <row r="27" spans="1:12" ht="25.5" x14ac:dyDescent="0.25">
      <c r="A27" s="4">
        <f t="shared" si="0"/>
        <v>2.0023000000000049</v>
      </c>
      <c r="B27" s="8" t="s">
        <v>664</v>
      </c>
      <c r="C27" s="22" t="s">
        <v>452</v>
      </c>
      <c r="D27" s="6"/>
      <c r="E27" s="6"/>
      <c r="F27" s="7" t="s">
        <v>5</v>
      </c>
      <c r="G27" s="7">
        <f t="shared" si="1"/>
        <v>1</v>
      </c>
      <c r="H27" s="7">
        <f t="shared" si="1"/>
        <v>0</v>
      </c>
      <c r="I27" s="7">
        <f t="shared" si="1"/>
        <v>0</v>
      </c>
      <c r="J27" s="7">
        <f t="shared" si="1"/>
        <v>0</v>
      </c>
      <c r="K27" s="7">
        <f t="shared" si="1"/>
        <v>0</v>
      </c>
      <c r="L27" s="6"/>
    </row>
    <row r="28" spans="1:12" x14ac:dyDescent="0.25">
      <c r="A28" s="4">
        <f t="shared" si="0"/>
        <v>2.0024000000000051</v>
      </c>
      <c r="B28" s="108"/>
      <c r="C28" s="104" t="s">
        <v>1006</v>
      </c>
      <c r="D28" s="6"/>
      <c r="E28" s="6"/>
      <c r="F28" s="7" t="s">
        <v>5</v>
      </c>
      <c r="G28" s="7">
        <f t="shared" si="1"/>
        <v>1</v>
      </c>
      <c r="H28" s="7">
        <f t="shared" si="1"/>
        <v>0</v>
      </c>
      <c r="I28" s="7">
        <f t="shared" si="1"/>
        <v>0</v>
      </c>
      <c r="J28" s="7">
        <f t="shared" si="1"/>
        <v>0</v>
      </c>
      <c r="K28" s="7">
        <f t="shared" si="1"/>
        <v>0</v>
      </c>
      <c r="L28" s="6"/>
    </row>
    <row r="29" spans="1:12" ht="25.5" x14ac:dyDescent="0.25">
      <c r="A29" s="4">
        <f t="shared" si="0"/>
        <v>2.0025000000000053</v>
      </c>
      <c r="B29" s="5" t="s">
        <v>665</v>
      </c>
      <c r="C29" s="23" t="s">
        <v>1007</v>
      </c>
      <c r="D29" s="6"/>
      <c r="E29" s="6"/>
      <c r="F29" s="7" t="s">
        <v>5</v>
      </c>
      <c r="G29" s="7">
        <f t="shared" si="1"/>
        <v>1</v>
      </c>
      <c r="H29" s="7">
        <f t="shared" si="1"/>
        <v>0</v>
      </c>
      <c r="I29" s="7">
        <f t="shared" si="1"/>
        <v>0</v>
      </c>
      <c r="J29" s="7">
        <f t="shared" si="1"/>
        <v>0</v>
      </c>
      <c r="K29" s="7">
        <f t="shared" si="1"/>
        <v>0</v>
      </c>
      <c r="L29" s="6"/>
    </row>
    <row r="30" spans="1:12" x14ac:dyDescent="0.25">
      <c r="A30" s="4">
        <f t="shared" si="0"/>
        <v>2.0026000000000055</v>
      </c>
      <c r="B30" s="5" t="s">
        <v>674</v>
      </c>
      <c r="C30" s="23" t="s">
        <v>675</v>
      </c>
      <c r="D30" s="6"/>
      <c r="E30" s="6"/>
      <c r="F30" s="7" t="s">
        <v>5</v>
      </c>
      <c r="G30" s="7">
        <f t="shared" ref="G30:K42" si="2">IF($F30=G$1,1,0)</f>
        <v>1</v>
      </c>
      <c r="H30" s="7">
        <f t="shared" si="2"/>
        <v>0</v>
      </c>
      <c r="I30" s="7">
        <f t="shared" si="2"/>
        <v>0</v>
      </c>
      <c r="J30" s="7">
        <f t="shared" si="2"/>
        <v>0</v>
      </c>
      <c r="K30" s="7">
        <f t="shared" si="2"/>
        <v>0</v>
      </c>
      <c r="L30" s="6"/>
    </row>
    <row r="31" spans="1:12" x14ac:dyDescent="0.25">
      <c r="A31" s="4">
        <f t="shared" si="0"/>
        <v>2.0027000000000057</v>
      </c>
      <c r="B31" s="5" t="s">
        <v>676</v>
      </c>
      <c r="C31" s="22" t="s">
        <v>677</v>
      </c>
      <c r="D31" s="6" t="s">
        <v>993</v>
      </c>
      <c r="E31" s="6"/>
      <c r="F31" s="7" t="s">
        <v>5</v>
      </c>
      <c r="G31" s="7">
        <f t="shared" si="2"/>
        <v>1</v>
      </c>
      <c r="H31" s="7">
        <f t="shared" si="2"/>
        <v>0</v>
      </c>
      <c r="I31" s="7">
        <f t="shared" si="2"/>
        <v>0</v>
      </c>
      <c r="J31" s="7">
        <f t="shared" si="2"/>
        <v>0</v>
      </c>
      <c r="K31" s="7">
        <f t="shared" si="2"/>
        <v>0</v>
      </c>
      <c r="L31" s="6"/>
    </row>
    <row r="32" spans="1:12" x14ac:dyDescent="0.25">
      <c r="A32" s="4">
        <f t="shared" si="0"/>
        <v>2.0028000000000059</v>
      </c>
      <c r="B32" s="5" t="s">
        <v>678</v>
      </c>
      <c r="C32" s="22" t="s">
        <v>679</v>
      </c>
      <c r="D32" s="6"/>
      <c r="E32" s="6"/>
      <c r="F32" s="7" t="s">
        <v>5</v>
      </c>
      <c r="G32" s="7">
        <f t="shared" si="2"/>
        <v>1</v>
      </c>
      <c r="H32" s="7">
        <f t="shared" si="2"/>
        <v>0</v>
      </c>
      <c r="I32" s="7">
        <f t="shared" si="2"/>
        <v>0</v>
      </c>
      <c r="J32" s="7">
        <f t="shared" si="2"/>
        <v>0</v>
      </c>
      <c r="K32" s="7">
        <f t="shared" si="2"/>
        <v>0</v>
      </c>
      <c r="L32" s="6"/>
    </row>
    <row r="33" spans="1:12" x14ac:dyDescent="0.25">
      <c r="A33" s="4">
        <f t="shared" si="0"/>
        <v>2.0029000000000061</v>
      </c>
      <c r="B33" s="5" t="s">
        <v>539</v>
      </c>
      <c r="C33" s="158" t="s">
        <v>941</v>
      </c>
      <c r="D33" s="6"/>
      <c r="E33" s="6"/>
      <c r="F33" s="7" t="s">
        <v>5</v>
      </c>
      <c r="G33" s="7">
        <f t="shared" si="2"/>
        <v>1</v>
      </c>
      <c r="H33" s="7">
        <f t="shared" si="2"/>
        <v>0</v>
      </c>
      <c r="I33" s="7">
        <f t="shared" si="2"/>
        <v>0</v>
      </c>
      <c r="J33" s="7">
        <f t="shared" si="2"/>
        <v>0</v>
      </c>
      <c r="K33" s="7">
        <f t="shared" si="2"/>
        <v>0</v>
      </c>
      <c r="L33" s="6"/>
    </row>
    <row r="34" spans="1:12" x14ac:dyDescent="0.25">
      <c r="A34" s="4">
        <f t="shared" si="0"/>
        <v>2.0030000000000063</v>
      </c>
      <c r="B34" s="177" t="s">
        <v>1047</v>
      </c>
      <c r="C34" s="178" t="s">
        <v>625</v>
      </c>
      <c r="D34" s="179"/>
      <c r="E34" s="6"/>
      <c r="F34" s="7"/>
      <c r="G34" s="7"/>
      <c r="H34" s="7"/>
      <c r="I34" s="7"/>
      <c r="J34" s="7"/>
      <c r="K34" s="7"/>
      <c r="L34" s="6"/>
    </row>
    <row r="35" spans="1:12" s="100" customFormat="1" x14ac:dyDescent="0.25">
      <c r="A35" s="4">
        <f t="shared" si="0"/>
        <v>2.0031000000000065</v>
      </c>
      <c r="B35" s="180" t="s">
        <v>1048</v>
      </c>
      <c r="C35" s="176" t="s">
        <v>1049</v>
      </c>
      <c r="D35" s="175"/>
      <c r="E35" s="112"/>
      <c r="F35" s="7" t="s">
        <v>5</v>
      </c>
      <c r="G35" s="7">
        <f t="shared" si="2"/>
        <v>1</v>
      </c>
      <c r="H35" s="7">
        <f t="shared" si="2"/>
        <v>0</v>
      </c>
      <c r="I35" s="7">
        <f t="shared" si="2"/>
        <v>0</v>
      </c>
      <c r="J35" s="7">
        <f t="shared" si="2"/>
        <v>0</v>
      </c>
      <c r="K35" s="7">
        <f t="shared" si="2"/>
        <v>0</v>
      </c>
      <c r="L35" s="112"/>
    </row>
    <row r="36" spans="1:12" x14ac:dyDescent="0.25">
      <c r="A36" s="4">
        <f t="shared" si="0"/>
        <v>2.0032000000000068</v>
      </c>
      <c r="B36" s="180" t="s">
        <v>1050</v>
      </c>
      <c r="C36" s="176" t="s">
        <v>1051</v>
      </c>
      <c r="D36" s="175"/>
      <c r="E36" s="6"/>
      <c r="F36" s="7" t="s">
        <v>5</v>
      </c>
      <c r="G36" s="7">
        <f t="shared" si="2"/>
        <v>1</v>
      </c>
      <c r="H36" s="7">
        <f t="shared" si="2"/>
        <v>0</v>
      </c>
      <c r="I36" s="7">
        <f t="shared" si="2"/>
        <v>0</v>
      </c>
      <c r="J36" s="7">
        <f t="shared" si="2"/>
        <v>0</v>
      </c>
      <c r="K36" s="7">
        <f t="shared" si="2"/>
        <v>0</v>
      </c>
      <c r="L36" s="6"/>
    </row>
    <row r="37" spans="1:12" x14ac:dyDescent="0.25">
      <c r="A37" s="4">
        <f t="shared" si="0"/>
        <v>2.003300000000007</v>
      </c>
      <c r="B37" s="180" t="s">
        <v>1052</v>
      </c>
      <c r="C37" s="176" t="s">
        <v>1053</v>
      </c>
      <c r="D37" s="175"/>
      <c r="E37" s="6"/>
      <c r="F37" s="7" t="s">
        <v>5</v>
      </c>
      <c r="G37" s="7">
        <f t="shared" si="2"/>
        <v>1</v>
      </c>
      <c r="H37" s="7">
        <f t="shared" si="2"/>
        <v>0</v>
      </c>
      <c r="I37" s="7">
        <f t="shared" si="2"/>
        <v>0</v>
      </c>
      <c r="J37" s="7">
        <f t="shared" si="2"/>
        <v>0</v>
      </c>
      <c r="K37" s="7">
        <f t="shared" si="2"/>
        <v>0</v>
      </c>
      <c r="L37" s="6"/>
    </row>
    <row r="38" spans="1:12" x14ac:dyDescent="0.25">
      <c r="A38" s="4">
        <f t="shared" si="0"/>
        <v>2.0034000000000072</v>
      </c>
      <c r="B38" s="180"/>
      <c r="C38" s="176" t="s">
        <v>1056</v>
      </c>
      <c r="D38" s="175"/>
      <c r="E38" s="6"/>
      <c r="F38" s="7" t="s">
        <v>5</v>
      </c>
      <c r="G38" s="7">
        <f t="shared" si="2"/>
        <v>1</v>
      </c>
      <c r="H38" s="7">
        <f t="shared" si="2"/>
        <v>0</v>
      </c>
      <c r="I38" s="7">
        <f t="shared" si="2"/>
        <v>0</v>
      </c>
      <c r="J38" s="7">
        <f t="shared" si="2"/>
        <v>0</v>
      </c>
      <c r="K38" s="7"/>
      <c r="L38" s="6"/>
    </row>
    <row r="39" spans="1:12" x14ac:dyDescent="0.25">
      <c r="A39" s="4">
        <f t="shared" si="0"/>
        <v>2.0035000000000074</v>
      </c>
      <c r="B39" s="180" t="s">
        <v>1054</v>
      </c>
      <c r="C39" s="176" t="s">
        <v>1057</v>
      </c>
      <c r="D39" s="175"/>
      <c r="E39" s="6"/>
      <c r="F39" s="7" t="s">
        <v>5</v>
      </c>
      <c r="G39" s="7">
        <f t="shared" si="2"/>
        <v>1</v>
      </c>
      <c r="H39" s="7">
        <f t="shared" si="2"/>
        <v>0</v>
      </c>
      <c r="I39" s="7">
        <f t="shared" si="2"/>
        <v>0</v>
      </c>
      <c r="J39" s="7">
        <f t="shared" si="2"/>
        <v>0</v>
      </c>
      <c r="K39" s="7">
        <f t="shared" si="2"/>
        <v>0</v>
      </c>
      <c r="L39" s="6"/>
    </row>
    <row r="40" spans="1:12" x14ac:dyDescent="0.25">
      <c r="A40" s="4">
        <f t="shared" si="0"/>
        <v>2.0036000000000076</v>
      </c>
      <c r="B40" s="173" t="s">
        <v>1055</v>
      </c>
      <c r="C40" s="174" t="s">
        <v>1058</v>
      </c>
      <c r="D40" s="175"/>
      <c r="E40" s="6"/>
      <c r="F40" s="7" t="s">
        <v>5</v>
      </c>
      <c r="G40" s="7">
        <f t="shared" si="2"/>
        <v>1</v>
      </c>
      <c r="H40" s="7">
        <f t="shared" si="2"/>
        <v>0</v>
      </c>
      <c r="I40" s="7">
        <f t="shared" si="2"/>
        <v>0</v>
      </c>
      <c r="J40" s="7">
        <f t="shared" si="2"/>
        <v>0</v>
      </c>
      <c r="K40" s="7">
        <f t="shared" si="2"/>
        <v>0</v>
      </c>
      <c r="L40" s="6"/>
    </row>
    <row r="41" spans="1:12" s="100" customFormat="1" x14ac:dyDescent="0.25">
      <c r="A41" s="4">
        <f t="shared" si="0"/>
        <v>2.0037000000000078</v>
      </c>
      <c r="B41" s="110" t="s">
        <v>668</v>
      </c>
      <c r="C41" s="111" t="s">
        <v>669</v>
      </c>
      <c r="D41" s="16"/>
      <c r="E41" s="112"/>
      <c r="F41" s="165"/>
      <c r="G41" s="165"/>
      <c r="H41" s="165"/>
      <c r="I41" s="165"/>
      <c r="J41" s="165"/>
      <c r="K41" s="165"/>
      <c r="L41" s="112"/>
    </row>
    <row r="42" spans="1:12" ht="38.25" x14ac:dyDescent="0.25">
      <c r="A42" s="4">
        <f t="shared" si="0"/>
        <v>2.003800000000008</v>
      </c>
      <c r="B42" s="66" t="s">
        <v>394</v>
      </c>
      <c r="C42" s="22" t="s">
        <v>646</v>
      </c>
      <c r="D42" s="6"/>
      <c r="E42" s="6"/>
      <c r="F42" s="7" t="s">
        <v>5</v>
      </c>
      <c r="G42" s="7">
        <f t="shared" si="2"/>
        <v>1</v>
      </c>
      <c r="H42" s="7">
        <f t="shared" si="2"/>
        <v>0</v>
      </c>
      <c r="I42" s="7">
        <f t="shared" si="2"/>
        <v>0</v>
      </c>
      <c r="J42" s="7">
        <f t="shared" si="2"/>
        <v>0</v>
      </c>
      <c r="K42" s="7">
        <f t="shared" si="2"/>
        <v>0</v>
      </c>
      <c r="L42" s="6"/>
    </row>
    <row r="43" spans="1:12" x14ac:dyDescent="0.25">
      <c r="A43" s="4">
        <f t="shared" si="0"/>
        <v>2.0039000000000082</v>
      </c>
      <c r="B43" s="5"/>
      <c r="C43" s="23"/>
      <c r="D43" s="6"/>
      <c r="E43" s="6"/>
      <c r="F43" s="7"/>
      <c r="G43" s="7"/>
      <c r="H43" s="7"/>
      <c r="I43" s="7"/>
      <c r="J43" s="7"/>
      <c r="K43" s="7"/>
      <c r="L43" s="6"/>
    </row>
    <row r="44" spans="1:12" ht="51" x14ac:dyDescent="0.25">
      <c r="A44" s="4">
        <f t="shared" si="0"/>
        <v>2.0040000000000084</v>
      </c>
      <c r="B44" s="66" t="s">
        <v>671</v>
      </c>
      <c r="C44" s="22" t="s">
        <v>923</v>
      </c>
      <c r="D44" s="6"/>
      <c r="E44" s="6"/>
      <c r="F44" s="7" t="s">
        <v>5</v>
      </c>
      <c r="G44" s="7">
        <f t="shared" ref="G44:K56" si="3">IF($F44=G$1,1,0)</f>
        <v>1</v>
      </c>
      <c r="H44" s="7">
        <f t="shared" si="3"/>
        <v>0</v>
      </c>
      <c r="I44" s="7">
        <f t="shared" si="3"/>
        <v>0</v>
      </c>
      <c r="J44" s="7">
        <f t="shared" si="3"/>
        <v>0</v>
      </c>
      <c r="K44" s="7">
        <f t="shared" si="3"/>
        <v>0</v>
      </c>
      <c r="L44" s="6"/>
    </row>
    <row r="45" spans="1:12" x14ac:dyDescent="0.25">
      <c r="A45" s="4">
        <f t="shared" si="0"/>
        <v>2.0041000000000087</v>
      </c>
      <c r="B45" s="5"/>
      <c r="C45" s="23" t="s">
        <v>924</v>
      </c>
      <c r="D45" s="6"/>
      <c r="E45" s="6"/>
      <c r="F45" s="7" t="s">
        <v>5</v>
      </c>
      <c r="G45" s="7"/>
      <c r="H45" s="7"/>
      <c r="I45" s="7"/>
      <c r="J45" s="7"/>
      <c r="K45" s="7">
        <f t="shared" si="3"/>
        <v>0</v>
      </c>
      <c r="L45" s="6"/>
    </row>
    <row r="46" spans="1:12" outlineLevel="1" x14ac:dyDescent="0.25">
      <c r="A46" s="4">
        <f t="shared" si="0"/>
        <v>2.0042000000000089</v>
      </c>
      <c r="B46" s="67" t="s">
        <v>400</v>
      </c>
      <c r="C46" s="22" t="s">
        <v>464</v>
      </c>
      <c r="D46" s="6" t="s">
        <v>942</v>
      </c>
      <c r="E46" s="5"/>
      <c r="F46" s="7" t="s">
        <v>5</v>
      </c>
      <c r="G46" s="7">
        <f t="shared" ref="G46:K51" si="4">IF($F46=G$1,1,0)</f>
        <v>1</v>
      </c>
      <c r="H46" s="7">
        <f t="shared" si="4"/>
        <v>0</v>
      </c>
      <c r="I46" s="7">
        <f t="shared" si="4"/>
        <v>0</v>
      </c>
      <c r="J46" s="7">
        <f t="shared" si="4"/>
        <v>0</v>
      </c>
      <c r="K46" s="7">
        <f t="shared" si="4"/>
        <v>0</v>
      </c>
      <c r="L46" s="6"/>
    </row>
    <row r="47" spans="1:12" outlineLevel="1" x14ac:dyDescent="0.25">
      <c r="A47" s="4">
        <f t="shared" si="0"/>
        <v>2.0043000000000091</v>
      </c>
      <c r="B47" s="67" t="s">
        <v>401</v>
      </c>
      <c r="C47" s="22" t="s">
        <v>926</v>
      </c>
      <c r="D47" s="6"/>
      <c r="E47" s="5"/>
      <c r="F47" s="7" t="s">
        <v>5</v>
      </c>
      <c r="G47" s="7">
        <f t="shared" si="4"/>
        <v>1</v>
      </c>
      <c r="H47" s="7">
        <f t="shared" si="4"/>
        <v>0</v>
      </c>
      <c r="I47" s="7">
        <f t="shared" si="4"/>
        <v>0</v>
      </c>
      <c r="J47" s="7">
        <f t="shared" si="4"/>
        <v>0</v>
      </c>
      <c r="K47" s="7">
        <f t="shared" si="4"/>
        <v>0</v>
      </c>
      <c r="L47" s="6"/>
    </row>
    <row r="48" spans="1:12" ht="25.5" outlineLevel="1" x14ac:dyDescent="0.25">
      <c r="A48" s="4">
        <f t="shared" si="0"/>
        <v>2.0044000000000093</v>
      </c>
      <c r="B48" s="63" t="s">
        <v>403</v>
      </c>
      <c r="C48" s="22" t="s">
        <v>927</v>
      </c>
      <c r="D48" s="6"/>
      <c r="E48" s="5"/>
      <c r="F48" s="7" t="s">
        <v>5</v>
      </c>
      <c r="G48" s="7">
        <f t="shared" si="4"/>
        <v>1</v>
      </c>
      <c r="H48" s="7">
        <f t="shared" si="4"/>
        <v>0</v>
      </c>
      <c r="I48" s="7">
        <f t="shared" si="4"/>
        <v>0</v>
      </c>
      <c r="J48" s="7">
        <f t="shared" si="4"/>
        <v>0</v>
      </c>
      <c r="K48" s="7">
        <f t="shared" si="4"/>
        <v>0</v>
      </c>
      <c r="L48" s="6"/>
    </row>
    <row r="49" spans="1:12" ht="76.5" outlineLevel="1" x14ac:dyDescent="0.25">
      <c r="A49" s="4">
        <f t="shared" si="0"/>
        <v>2.0045000000000095</v>
      </c>
      <c r="B49" s="5" t="s">
        <v>404</v>
      </c>
      <c r="C49" s="22" t="s">
        <v>420</v>
      </c>
      <c r="D49" s="6"/>
      <c r="E49" s="5"/>
      <c r="F49" s="7" t="s">
        <v>5</v>
      </c>
      <c r="G49" s="7">
        <f t="shared" si="4"/>
        <v>1</v>
      </c>
      <c r="H49" s="7">
        <f t="shared" si="4"/>
        <v>0</v>
      </c>
      <c r="I49" s="7">
        <f t="shared" si="4"/>
        <v>0</v>
      </c>
      <c r="J49" s="7">
        <f t="shared" si="4"/>
        <v>0</v>
      </c>
      <c r="K49" s="7">
        <f t="shared" si="4"/>
        <v>0</v>
      </c>
      <c r="L49" s="6"/>
    </row>
    <row r="50" spans="1:12" ht="38.25" outlineLevel="1" x14ac:dyDescent="0.25">
      <c r="A50" s="4">
        <f t="shared" si="0"/>
        <v>2.0046000000000097</v>
      </c>
      <c r="B50" s="5" t="s">
        <v>415</v>
      </c>
      <c r="C50" s="22" t="s">
        <v>929</v>
      </c>
      <c r="D50" s="7"/>
      <c r="E50" s="5"/>
      <c r="F50" s="7" t="s">
        <v>5</v>
      </c>
      <c r="G50" s="7">
        <f t="shared" si="4"/>
        <v>1</v>
      </c>
      <c r="H50" s="7">
        <f t="shared" si="4"/>
        <v>0</v>
      </c>
      <c r="I50" s="7">
        <f t="shared" si="4"/>
        <v>0</v>
      </c>
      <c r="J50" s="7">
        <f t="shared" si="4"/>
        <v>0</v>
      </c>
      <c r="K50" s="7">
        <f t="shared" si="4"/>
        <v>0</v>
      </c>
      <c r="L50" s="6"/>
    </row>
    <row r="51" spans="1:12" ht="38.25" outlineLevel="1" x14ac:dyDescent="0.25">
      <c r="A51" s="4">
        <f t="shared" si="0"/>
        <v>2.0047000000000099</v>
      </c>
      <c r="B51" s="26" t="s">
        <v>928</v>
      </c>
      <c r="C51" s="22" t="s">
        <v>930</v>
      </c>
      <c r="D51" s="156" t="s">
        <v>943</v>
      </c>
      <c r="E51" s="5"/>
      <c r="F51" s="7" t="s">
        <v>7</v>
      </c>
      <c r="G51" s="7">
        <f t="shared" si="4"/>
        <v>0</v>
      </c>
      <c r="H51" s="7">
        <f t="shared" si="4"/>
        <v>0</v>
      </c>
      <c r="I51" s="7">
        <f t="shared" si="4"/>
        <v>0</v>
      </c>
      <c r="J51" s="7">
        <f t="shared" si="4"/>
        <v>1</v>
      </c>
      <c r="K51" s="7">
        <f t="shared" si="4"/>
        <v>0</v>
      </c>
      <c r="L51" s="6"/>
    </row>
    <row r="52" spans="1:12" x14ac:dyDescent="0.25">
      <c r="A52" s="4">
        <f t="shared" si="0"/>
        <v>2.0048000000000101</v>
      </c>
      <c r="B52" s="5" t="s">
        <v>489</v>
      </c>
      <c r="C52" s="22" t="s">
        <v>490</v>
      </c>
      <c r="D52" s="6"/>
      <c r="E52" s="6"/>
      <c r="F52" s="7" t="s">
        <v>5</v>
      </c>
      <c r="G52" s="7">
        <f t="shared" si="3"/>
        <v>1</v>
      </c>
      <c r="H52" s="7">
        <f t="shared" si="3"/>
        <v>0</v>
      </c>
      <c r="I52" s="7">
        <f t="shared" si="3"/>
        <v>0</v>
      </c>
      <c r="J52" s="7">
        <f t="shared" si="3"/>
        <v>0</v>
      </c>
      <c r="K52" s="7">
        <f t="shared" si="3"/>
        <v>0</v>
      </c>
      <c r="L52" s="6"/>
    </row>
    <row r="53" spans="1:12" ht="25.5" x14ac:dyDescent="0.25">
      <c r="A53" s="4">
        <f t="shared" si="0"/>
        <v>2.0049000000000103</v>
      </c>
      <c r="B53" s="5" t="s">
        <v>933</v>
      </c>
      <c r="C53" s="23" t="s">
        <v>934</v>
      </c>
      <c r="D53" s="155" t="s">
        <v>944</v>
      </c>
      <c r="E53" s="6"/>
      <c r="F53" s="7" t="s">
        <v>5</v>
      </c>
      <c r="G53" s="7">
        <f t="shared" si="3"/>
        <v>1</v>
      </c>
      <c r="H53" s="7">
        <f t="shared" si="3"/>
        <v>0</v>
      </c>
      <c r="I53" s="7">
        <f t="shared" si="3"/>
        <v>0</v>
      </c>
      <c r="J53" s="7">
        <f t="shared" si="3"/>
        <v>0</v>
      </c>
      <c r="K53" s="7">
        <f t="shared" si="3"/>
        <v>0</v>
      </c>
      <c r="L53" s="6"/>
    </row>
    <row r="54" spans="1:12" x14ac:dyDescent="0.25">
      <c r="A54" s="4">
        <f t="shared" si="0"/>
        <v>2.0050000000000106</v>
      </c>
      <c r="B54" s="5" t="s">
        <v>553</v>
      </c>
      <c r="C54" s="22" t="s">
        <v>492</v>
      </c>
      <c r="D54" s="6" t="s">
        <v>858</v>
      </c>
      <c r="E54" s="6"/>
      <c r="F54" s="7" t="s">
        <v>5</v>
      </c>
      <c r="G54" s="7">
        <f t="shared" si="3"/>
        <v>1</v>
      </c>
      <c r="H54" s="7">
        <f t="shared" si="3"/>
        <v>0</v>
      </c>
      <c r="I54" s="7">
        <f t="shared" si="3"/>
        <v>0</v>
      </c>
      <c r="J54" s="7">
        <f t="shared" si="3"/>
        <v>0</v>
      </c>
      <c r="K54" s="7">
        <f t="shared" si="3"/>
        <v>0</v>
      </c>
      <c r="L54" s="6"/>
    </row>
    <row r="55" spans="1:12" x14ac:dyDescent="0.25">
      <c r="A55" s="4">
        <f t="shared" si="0"/>
        <v>2.0051000000000108</v>
      </c>
      <c r="B55" s="5"/>
      <c r="C55" s="22" t="s">
        <v>493</v>
      </c>
      <c r="D55" s="6" t="s">
        <v>945</v>
      </c>
      <c r="E55" s="6"/>
      <c r="F55" s="7" t="s">
        <v>5</v>
      </c>
      <c r="G55" s="7">
        <f t="shared" si="3"/>
        <v>1</v>
      </c>
      <c r="H55" s="7">
        <f t="shared" si="3"/>
        <v>0</v>
      </c>
      <c r="I55" s="7">
        <f t="shared" si="3"/>
        <v>0</v>
      </c>
      <c r="J55" s="7">
        <f t="shared" si="3"/>
        <v>0</v>
      </c>
      <c r="K55" s="7">
        <f t="shared" si="3"/>
        <v>0</v>
      </c>
      <c r="L55" s="6"/>
    </row>
    <row r="56" spans="1:12" ht="25.5" x14ac:dyDescent="0.25">
      <c r="A56" s="4">
        <f t="shared" si="0"/>
        <v>2.005200000000011</v>
      </c>
      <c r="B56" s="5" t="s">
        <v>482</v>
      </c>
      <c r="C56" s="94" t="s">
        <v>680</v>
      </c>
      <c r="D56" s="6"/>
      <c r="E56" s="6"/>
      <c r="F56" s="7" t="s">
        <v>5</v>
      </c>
      <c r="G56" s="7">
        <f t="shared" si="3"/>
        <v>1</v>
      </c>
      <c r="H56" s="7">
        <f t="shared" si="3"/>
        <v>0</v>
      </c>
      <c r="I56" s="7">
        <f t="shared" si="3"/>
        <v>0</v>
      </c>
      <c r="J56" s="7">
        <f t="shared" si="3"/>
        <v>0</v>
      </c>
      <c r="K56" s="7">
        <f t="shared" si="3"/>
        <v>0</v>
      </c>
      <c r="L56" s="6"/>
    </row>
    <row r="57" spans="1:12" x14ac:dyDescent="0.25">
      <c r="A57" s="4">
        <f t="shared" si="0"/>
        <v>2.0053000000000112</v>
      </c>
      <c r="B57" s="5"/>
      <c r="C57" s="94"/>
      <c r="D57" s="6"/>
      <c r="E57" s="6"/>
      <c r="F57" s="7"/>
      <c r="G57" s="7"/>
      <c r="H57" s="7"/>
      <c r="I57" s="7"/>
      <c r="J57" s="7"/>
      <c r="K57" s="7"/>
      <c r="L57" s="6"/>
    </row>
    <row r="58" spans="1:12" x14ac:dyDescent="0.25">
      <c r="A58" s="4">
        <f t="shared" si="0"/>
        <v>2.0054000000000114</v>
      </c>
      <c r="B58" s="16" t="s">
        <v>946</v>
      </c>
      <c r="C58" s="17"/>
      <c r="D58" s="16"/>
      <c r="E58" s="6"/>
      <c r="F58" s="7"/>
      <c r="G58" s="7"/>
      <c r="H58" s="7"/>
      <c r="I58" s="7"/>
      <c r="J58" s="7"/>
      <c r="K58" s="7"/>
      <c r="L58" s="6"/>
    </row>
    <row r="59" spans="1:12" ht="25.5" x14ac:dyDescent="0.25">
      <c r="A59" s="4">
        <f t="shared" si="0"/>
        <v>2.0055000000000116</v>
      </c>
      <c r="B59" s="5" t="s">
        <v>947</v>
      </c>
      <c r="C59" s="5" t="s">
        <v>877</v>
      </c>
      <c r="D59" s="157" t="s">
        <v>694</v>
      </c>
      <c r="E59" s="6"/>
      <c r="F59" s="7" t="s">
        <v>5</v>
      </c>
      <c r="G59" s="7">
        <f t="shared" ref="G59:K65" si="5">IF($F59=G$1,1,0)</f>
        <v>1</v>
      </c>
      <c r="H59" s="7">
        <f t="shared" si="5"/>
        <v>0</v>
      </c>
      <c r="I59" s="7">
        <f t="shared" si="5"/>
        <v>0</v>
      </c>
      <c r="J59" s="7">
        <f t="shared" si="5"/>
        <v>0</v>
      </c>
      <c r="K59" s="7"/>
      <c r="L59" s="6"/>
    </row>
    <row r="60" spans="1:12" ht="76.5" x14ac:dyDescent="0.25">
      <c r="A60" s="4">
        <f t="shared" si="0"/>
        <v>2.0056000000000118</v>
      </c>
      <c r="B60" s="5" t="s">
        <v>599</v>
      </c>
      <c r="C60" s="5" t="s">
        <v>937</v>
      </c>
      <c r="D60" s="6" t="s">
        <v>982</v>
      </c>
      <c r="E60" s="6"/>
      <c r="F60" s="7" t="s">
        <v>5</v>
      </c>
      <c r="G60" s="7">
        <f t="shared" si="5"/>
        <v>1</v>
      </c>
      <c r="H60" s="7">
        <f t="shared" si="5"/>
        <v>0</v>
      </c>
      <c r="I60" s="7">
        <f t="shared" si="5"/>
        <v>0</v>
      </c>
      <c r="J60" s="7">
        <f t="shared" si="5"/>
        <v>0</v>
      </c>
      <c r="K60" s="7"/>
      <c r="L60" s="6"/>
    </row>
    <row r="61" spans="1:12" x14ac:dyDescent="0.25">
      <c r="A61" s="4">
        <f t="shared" si="0"/>
        <v>2.005700000000012</v>
      </c>
      <c r="B61" s="5" t="s">
        <v>482</v>
      </c>
      <c r="C61" s="5" t="s">
        <v>600</v>
      </c>
      <c r="D61" s="6"/>
      <c r="E61" s="6"/>
      <c r="F61" s="7" t="s">
        <v>5</v>
      </c>
      <c r="G61" s="7">
        <f t="shared" si="5"/>
        <v>1</v>
      </c>
      <c r="H61" s="7">
        <f t="shared" si="5"/>
        <v>0</v>
      </c>
      <c r="I61" s="7">
        <f t="shared" si="5"/>
        <v>0</v>
      </c>
      <c r="J61" s="7">
        <f t="shared" si="5"/>
        <v>0</v>
      </c>
      <c r="K61" s="7"/>
      <c r="L61" s="6"/>
    </row>
    <row r="62" spans="1:12" ht="25.5" x14ac:dyDescent="0.25">
      <c r="A62" s="4">
        <f t="shared" si="0"/>
        <v>2.0058000000000122</v>
      </c>
      <c r="B62" s="5" t="s">
        <v>948</v>
      </c>
      <c r="C62" s="5" t="s">
        <v>949</v>
      </c>
      <c r="D62" s="6"/>
      <c r="E62" s="6"/>
      <c r="F62" s="7" t="s">
        <v>5</v>
      </c>
      <c r="G62" s="7">
        <f t="shared" si="5"/>
        <v>1</v>
      </c>
      <c r="H62" s="7">
        <f t="shared" si="5"/>
        <v>0</v>
      </c>
      <c r="I62" s="7">
        <f t="shared" si="5"/>
        <v>0</v>
      </c>
      <c r="J62" s="7">
        <f t="shared" si="5"/>
        <v>0</v>
      </c>
      <c r="K62" s="7"/>
      <c r="L62" s="6"/>
    </row>
    <row r="63" spans="1:12" x14ac:dyDescent="0.25">
      <c r="A63" s="4">
        <f t="shared" si="0"/>
        <v>2.0059000000000125</v>
      </c>
      <c r="B63" s="5" t="s">
        <v>599</v>
      </c>
      <c r="C63" s="5" t="s">
        <v>697</v>
      </c>
      <c r="D63" s="6"/>
      <c r="E63" s="6"/>
      <c r="F63" s="7" t="s">
        <v>5</v>
      </c>
      <c r="G63" s="7">
        <f t="shared" si="5"/>
        <v>1</v>
      </c>
      <c r="H63" s="7">
        <f t="shared" si="5"/>
        <v>0</v>
      </c>
      <c r="I63" s="7">
        <f t="shared" si="5"/>
        <v>0</v>
      </c>
      <c r="J63" s="7">
        <f t="shared" si="5"/>
        <v>0</v>
      </c>
      <c r="K63" s="7"/>
      <c r="L63" s="6"/>
    </row>
    <row r="64" spans="1:12" x14ac:dyDescent="0.25">
      <c r="A64" s="4">
        <f t="shared" si="0"/>
        <v>2.0060000000000127</v>
      </c>
      <c r="B64" s="5" t="s">
        <v>482</v>
      </c>
      <c r="C64" s="5" t="s">
        <v>600</v>
      </c>
      <c r="D64" s="6"/>
      <c r="E64" s="6"/>
      <c r="F64" s="7" t="s">
        <v>5</v>
      </c>
      <c r="G64" s="7">
        <f t="shared" si="5"/>
        <v>1</v>
      </c>
      <c r="H64" s="7">
        <f t="shared" si="5"/>
        <v>0</v>
      </c>
      <c r="I64" s="7">
        <f t="shared" si="5"/>
        <v>0</v>
      </c>
      <c r="J64" s="7">
        <f t="shared" si="5"/>
        <v>0</v>
      </c>
      <c r="K64" s="7"/>
      <c r="L64" s="6"/>
    </row>
    <row r="65" spans="1:12" x14ac:dyDescent="0.25">
      <c r="A65" s="4">
        <f t="shared" si="0"/>
        <v>2.0061000000000129</v>
      </c>
      <c r="B65" s="16" t="s">
        <v>938</v>
      </c>
      <c r="C65" s="16"/>
      <c r="D65" s="16"/>
      <c r="E65" s="6"/>
      <c r="F65" s="7"/>
      <c r="G65" s="7"/>
      <c r="H65" s="7"/>
      <c r="I65" s="7"/>
      <c r="J65" s="7"/>
      <c r="K65" s="7">
        <f t="shared" si="5"/>
        <v>0</v>
      </c>
      <c r="L65" s="6"/>
    </row>
    <row r="66" spans="1:12" x14ac:dyDescent="0.25">
      <c r="A66" s="4">
        <f t="shared" si="0"/>
        <v>2.0062000000000131</v>
      </c>
      <c r="B66" s="96" t="s">
        <v>908</v>
      </c>
      <c r="C66" s="5" t="s">
        <v>898</v>
      </c>
      <c r="D66" s="6"/>
      <c r="E66" s="6"/>
      <c r="F66" s="7" t="s">
        <v>5</v>
      </c>
      <c r="G66" s="7">
        <f t="shared" ref="G66:K76" si="6">IF($F66=G$1,1,0)</f>
        <v>1</v>
      </c>
      <c r="H66" s="7">
        <f t="shared" si="6"/>
        <v>0</v>
      </c>
      <c r="I66" s="7">
        <f t="shared" si="6"/>
        <v>0</v>
      </c>
      <c r="J66" s="7">
        <f t="shared" si="6"/>
        <v>0</v>
      </c>
      <c r="K66" s="7">
        <f t="shared" si="6"/>
        <v>0</v>
      </c>
      <c r="L66" s="6"/>
    </row>
    <row r="67" spans="1:12" x14ac:dyDescent="0.25">
      <c r="A67" s="4">
        <f t="shared" si="0"/>
        <v>2.0063000000000133</v>
      </c>
      <c r="B67" s="6"/>
      <c r="C67" s="5" t="s">
        <v>557</v>
      </c>
      <c r="D67" s="6" t="s">
        <v>951</v>
      </c>
      <c r="E67" s="6"/>
      <c r="F67" s="7" t="s">
        <v>5</v>
      </c>
      <c r="G67" s="7">
        <f t="shared" si="6"/>
        <v>1</v>
      </c>
      <c r="H67" s="7">
        <f t="shared" si="6"/>
        <v>0</v>
      </c>
      <c r="I67" s="7">
        <f t="shared" si="6"/>
        <v>0</v>
      </c>
      <c r="J67" s="7">
        <f t="shared" si="6"/>
        <v>0</v>
      </c>
      <c r="K67" s="7">
        <f t="shared" si="6"/>
        <v>0</v>
      </c>
      <c r="L67" s="6"/>
    </row>
    <row r="68" spans="1:12" x14ac:dyDescent="0.25">
      <c r="A68" s="4">
        <f t="shared" si="0"/>
        <v>2.0064000000000135</v>
      </c>
      <c r="B68" s="6"/>
      <c r="C68" s="5" t="s">
        <v>574</v>
      </c>
      <c r="D68" s="6"/>
      <c r="E68" s="6"/>
      <c r="F68" s="7" t="s">
        <v>5</v>
      </c>
      <c r="G68" s="7">
        <f t="shared" si="6"/>
        <v>1</v>
      </c>
      <c r="H68" s="7">
        <f t="shared" si="6"/>
        <v>0</v>
      </c>
      <c r="I68" s="7">
        <f t="shared" si="6"/>
        <v>0</v>
      </c>
      <c r="J68" s="7">
        <f t="shared" si="6"/>
        <v>0</v>
      </c>
      <c r="K68" s="7">
        <f t="shared" si="6"/>
        <v>0</v>
      </c>
      <c r="L68" s="6"/>
    </row>
    <row r="69" spans="1:12" x14ac:dyDescent="0.25">
      <c r="A69" s="4">
        <f t="shared" si="0"/>
        <v>2.0065000000000137</v>
      </c>
      <c r="B69" s="6"/>
      <c r="C69" s="5" t="s">
        <v>575</v>
      </c>
      <c r="D69" s="6"/>
      <c r="E69" s="6"/>
      <c r="F69" s="7" t="s">
        <v>5</v>
      </c>
      <c r="G69" s="7">
        <f t="shared" si="6"/>
        <v>1</v>
      </c>
      <c r="H69" s="7">
        <f t="shared" si="6"/>
        <v>0</v>
      </c>
      <c r="I69" s="7">
        <f t="shared" si="6"/>
        <v>0</v>
      </c>
      <c r="J69" s="7">
        <f t="shared" si="6"/>
        <v>0</v>
      </c>
      <c r="K69" s="7">
        <f t="shared" si="6"/>
        <v>0</v>
      </c>
      <c r="L69" s="6"/>
    </row>
    <row r="70" spans="1:12" x14ac:dyDescent="0.25">
      <c r="A70" s="4">
        <f t="shared" si="0"/>
        <v>2.0066000000000139</v>
      </c>
      <c r="B70" s="6"/>
      <c r="C70" s="63" t="s">
        <v>953</v>
      </c>
      <c r="D70" s="6"/>
      <c r="E70" s="6"/>
      <c r="F70" s="7" t="s">
        <v>5</v>
      </c>
      <c r="G70" s="7">
        <f t="shared" si="6"/>
        <v>1</v>
      </c>
      <c r="H70" s="7">
        <f t="shared" si="6"/>
        <v>0</v>
      </c>
      <c r="I70" s="7">
        <f t="shared" si="6"/>
        <v>0</v>
      </c>
      <c r="J70" s="7">
        <f t="shared" si="6"/>
        <v>0</v>
      </c>
      <c r="K70" s="7">
        <f t="shared" si="6"/>
        <v>0</v>
      </c>
      <c r="L70" s="6"/>
    </row>
    <row r="71" spans="1:12" x14ac:dyDescent="0.25">
      <c r="A71" s="4">
        <f t="shared" si="0"/>
        <v>2.0067000000000141</v>
      </c>
      <c r="B71" s="6"/>
      <c r="C71" s="63" t="s">
        <v>805</v>
      </c>
      <c r="D71" s="6"/>
      <c r="E71" s="6"/>
      <c r="F71" s="7" t="s">
        <v>5</v>
      </c>
      <c r="G71" s="7">
        <f t="shared" si="6"/>
        <v>1</v>
      </c>
      <c r="H71" s="7">
        <f t="shared" si="6"/>
        <v>0</v>
      </c>
      <c r="I71" s="7">
        <f t="shared" si="6"/>
        <v>0</v>
      </c>
      <c r="J71" s="7">
        <f t="shared" si="6"/>
        <v>0</v>
      </c>
      <c r="K71" s="7">
        <f t="shared" si="6"/>
        <v>0</v>
      </c>
      <c r="L71" s="6"/>
    </row>
    <row r="72" spans="1:12" x14ac:dyDescent="0.25">
      <c r="A72" s="4">
        <f t="shared" si="0"/>
        <v>2.0068000000000144</v>
      </c>
      <c r="B72" s="6"/>
      <c r="C72" s="63" t="s">
        <v>790</v>
      </c>
      <c r="D72" s="6"/>
      <c r="E72" s="6"/>
      <c r="F72" s="7" t="s">
        <v>5</v>
      </c>
      <c r="G72" s="7">
        <f t="shared" si="6"/>
        <v>1</v>
      </c>
      <c r="H72" s="7">
        <f t="shared" si="6"/>
        <v>0</v>
      </c>
      <c r="I72" s="7">
        <f t="shared" si="6"/>
        <v>0</v>
      </c>
      <c r="J72" s="7">
        <f t="shared" si="6"/>
        <v>0</v>
      </c>
      <c r="K72" s="7">
        <f t="shared" si="6"/>
        <v>0</v>
      </c>
      <c r="L72" s="6"/>
    </row>
    <row r="73" spans="1:12" x14ac:dyDescent="0.25">
      <c r="A73" s="4">
        <f t="shared" si="0"/>
        <v>2.0069000000000146</v>
      </c>
      <c r="B73" s="6"/>
      <c r="C73" s="63" t="s">
        <v>952</v>
      </c>
      <c r="D73" s="6"/>
      <c r="E73" s="6"/>
      <c r="F73" s="7" t="s">
        <v>5</v>
      </c>
      <c r="G73" s="7">
        <f t="shared" si="6"/>
        <v>1</v>
      </c>
      <c r="H73" s="7">
        <f t="shared" si="6"/>
        <v>0</v>
      </c>
      <c r="I73" s="7">
        <f t="shared" si="6"/>
        <v>0</v>
      </c>
      <c r="J73" s="7">
        <f t="shared" si="6"/>
        <v>0</v>
      </c>
      <c r="K73" s="7">
        <f t="shared" si="6"/>
        <v>0</v>
      </c>
      <c r="L73" s="6"/>
    </row>
    <row r="74" spans="1:12" x14ac:dyDescent="0.25">
      <c r="A74" s="4">
        <f t="shared" si="0"/>
        <v>2.0070000000000148</v>
      </c>
      <c r="B74" s="6"/>
      <c r="C74" s="5" t="s">
        <v>577</v>
      </c>
      <c r="D74" s="6"/>
      <c r="E74" s="6"/>
      <c r="F74" s="7" t="s">
        <v>5</v>
      </c>
      <c r="G74" s="7">
        <f t="shared" si="6"/>
        <v>1</v>
      </c>
      <c r="H74" s="7">
        <f t="shared" si="6"/>
        <v>0</v>
      </c>
      <c r="I74" s="7">
        <f t="shared" si="6"/>
        <v>0</v>
      </c>
      <c r="J74" s="7">
        <f t="shared" si="6"/>
        <v>0</v>
      </c>
      <c r="K74" s="7">
        <f t="shared" si="6"/>
        <v>0</v>
      </c>
      <c r="L74" s="6"/>
    </row>
    <row r="75" spans="1:12" x14ac:dyDescent="0.25">
      <c r="A75" s="4">
        <f t="shared" si="0"/>
        <v>2.007100000000015</v>
      </c>
      <c r="B75" s="6"/>
      <c r="C75" s="5" t="s">
        <v>578</v>
      </c>
      <c r="D75" s="6"/>
      <c r="E75" s="6"/>
      <c r="F75" s="7" t="s">
        <v>5</v>
      </c>
      <c r="G75" s="7">
        <f t="shared" si="6"/>
        <v>1</v>
      </c>
      <c r="H75" s="7">
        <f t="shared" si="6"/>
        <v>0</v>
      </c>
      <c r="I75" s="7">
        <f t="shared" si="6"/>
        <v>0</v>
      </c>
      <c r="J75" s="7">
        <f t="shared" si="6"/>
        <v>0</v>
      </c>
      <c r="K75" s="7">
        <f t="shared" si="6"/>
        <v>0</v>
      </c>
      <c r="L75" s="6"/>
    </row>
    <row r="76" spans="1:12" x14ac:dyDescent="0.25">
      <c r="A76" s="4">
        <f t="shared" si="0"/>
        <v>2.0072000000000152</v>
      </c>
      <c r="B76" s="6"/>
      <c r="C76" s="5" t="s">
        <v>579</v>
      </c>
      <c r="D76" s="6"/>
      <c r="E76" s="6"/>
      <c r="F76" s="7" t="s">
        <v>5</v>
      </c>
      <c r="G76" s="7">
        <f t="shared" si="6"/>
        <v>1</v>
      </c>
      <c r="H76" s="7">
        <f t="shared" si="6"/>
        <v>0</v>
      </c>
      <c r="I76" s="7">
        <f t="shared" si="6"/>
        <v>0</v>
      </c>
      <c r="J76" s="7">
        <f t="shared" si="6"/>
        <v>0</v>
      </c>
      <c r="K76" s="7">
        <f t="shared" si="6"/>
        <v>0</v>
      </c>
      <c r="L76" s="6"/>
    </row>
    <row r="77" spans="1:12" x14ac:dyDescent="0.25">
      <c r="A77" s="4">
        <f t="shared" si="0"/>
        <v>2.0073000000000154</v>
      </c>
      <c r="B77" s="5"/>
      <c r="C77" s="5"/>
      <c r="D77" s="7"/>
      <c r="E77" s="7"/>
      <c r="F77" s="7"/>
      <c r="G77" s="7"/>
      <c r="H77" s="7"/>
      <c r="I77" s="7"/>
      <c r="J77" s="7"/>
      <c r="K77" s="7"/>
    </row>
    <row r="78" spans="1:12" ht="25.5" x14ac:dyDescent="0.25">
      <c r="A78" s="4">
        <f t="shared" si="0"/>
        <v>2.0074000000000156</v>
      </c>
      <c r="B78" s="96" t="s">
        <v>939</v>
      </c>
      <c r="C78" s="63" t="s">
        <v>765</v>
      </c>
      <c r="D78" s="7"/>
      <c r="E78" s="7"/>
      <c r="F78" s="7" t="s">
        <v>5</v>
      </c>
      <c r="G78" s="7">
        <f t="shared" ref="G78:K84" si="7">IF($F78=G$1,1,0)</f>
        <v>1</v>
      </c>
      <c r="H78" s="7">
        <f t="shared" si="7"/>
        <v>0</v>
      </c>
      <c r="I78" s="7">
        <f t="shared" si="7"/>
        <v>0</v>
      </c>
      <c r="J78" s="7">
        <f t="shared" si="7"/>
        <v>0</v>
      </c>
      <c r="K78" s="7">
        <f t="shared" si="7"/>
        <v>0</v>
      </c>
    </row>
    <row r="79" spans="1:12" x14ac:dyDescent="0.25">
      <c r="A79" s="4">
        <f t="shared" si="0"/>
        <v>2.0075000000000158</v>
      </c>
      <c r="B79" s="96"/>
      <c r="C79" s="63" t="s">
        <v>961</v>
      </c>
      <c r="D79" s="7"/>
      <c r="E79" s="7"/>
      <c r="F79" s="7" t="s">
        <v>5</v>
      </c>
      <c r="G79" s="7"/>
      <c r="H79" s="7"/>
      <c r="I79" s="7"/>
      <c r="J79" s="7"/>
      <c r="K79" s="7"/>
    </row>
    <row r="80" spans="1:12" x14ac:dyDescent="0.25">
      <c r="A80" s="4">
        <f t="shared" si="0"/>
        <v>2.007600000000016</v>
      </c>
      <c r="B80" s="6"/>
      <c r="C80" s="5" t="s">
        <v>821</v>
      </c>
      <c r="D80" s="7"/>
      <c r="E80" s="7"/>
      <c r="F80" s="7" t="s">
        <v>5</v>
      </c>
      <c r="G80" s="7">
        <f t="shared" si="7"/>
        <v>1</v>
      </c>
      <c r="H80" s="7">
        <f t="shared" si="7"/>
        <v>0</v>
      </c>
      <c r="I80" s="7">
        <f t="shared" si="7"/>
        <v>0</v>
      </c>
      <c r="J80" s="7">
        <f t="shared" si="7"/>
        <v>0</v>
      </c>
      <c r="K80" s="7">
        <f t="shared" si="7"/>
        <v>0</v>
      </c>
    </row>
    <row r="81" spans="1:11" x14ac:dyDescent="0.25">
      <c r="A81" s="4">
        <f t="shared" si="0"/>
        <v>2.0077000000000162</v>
      </c>
      <c r="B81" s="6"/>
      <c r="C81" s="5" t="s">
        <v>585</v>
      </c>
      <c r="D81" s="7"/>
      <c r="E81" s="7"/>
      <c r="F81" s="7" t="s">
        <v>5</v>
      </c>
      <c r="G81" s="7">
        <f t="shared" si="7"/>
        <v>1</v>
      </c>
      <c r="H81" s="7">
        <f t="shared" si="7"/>
        <v>0</v>
      </c>
      <c r="I81" s="7">
        <f t="shared" si="7"/>
        <v>0</v>
      </c>
      <c r="J81" s="7">
        <f t="shared" si="7"/>
        <v>0</v>
      </c>
      <c r="K81" s="7">
        <f t="shared" si="7"/>
        <v>0</v>
      </c>
    </row>
    <row r="82" spans="1:11" x14ac:dyDescent="0.25">
      <c r="A82" s="4">
        <f t="shared" si="0"/>
        <v>2.0078000000000165</v>
      </c>
      <c r="B82" s="6"/>
      <c r="C82" s="5" t="s">
        <v>562</v>
      </c>
      <c r="D82" s="7"/>
      <c r="E82" s="7"/>
      <c r="F82" s="7" t="s">
        <v>5</v>
      </c>
      <c r="G82" s="7">
        <f t="shared" si="7"/>
        <v>1</v>
      </c>
      <c r="H82" s="7">
        <f t="shared" si="7"/>
        <v>0</v>
      </c>
      <c r="I82" s="7">
        <f t="shared" si="7"/>
        <v>0</v>
      </c>
      <c r="J82" s="7">
        <f t="shared" si="7"/>
        <v>0</v>
      </c>
      <c r="K82" s="7">
        <f t="shared" si="7"/>
        <v>0</v>
      </c>
    </row>
    <row r="83" spans="1:11" ht="25.5" x14ac:dyDescent="0.25">
      <c r="A83" s="4">
        <f t="shared" si="0"/>
        <v>2.0079000000000167</v>
      </c>
      <c r="B83" s="6"/>
      <c r="C83" s="5" t="s">
        <v>788</v>
      </c>
      <c r="D83" s="7" t="s">
        <v>984</v>
      </c>
      <c r="E83" s="7"/>
      <c r="F83" s="7" t="s">
        <v>5</v>
      </c>
      <c r="G83" s="7">
        <f t="shared" si="7"/>
        <v>1</v>
      </c>
      <c r="H83" s="7">
        <f t="shared" si="7"/>
        <v>0</v>
      </c>
      <c r="I83" s="7">
        <f t="shared" si="7"/>
        <v>0</v>
      </c>
      <c r="J83" s="7">
        <f t="shared" si="7"/>
        <v>0</v>
      </c>
      <c r="K83" s="7">
        <f t="shared" si="7"/>
        <v>0</v>
      </c>
    </row>
    <row r="84" spans="1:11" x14ac:dyDescent="0.25">
      <c r="A84" s="4">
        <f t="shared" si="0"/>
        <v>2.0080000000000169</v>
      </c>
      <c r="B84" s="6"/>
      <c r="C84" s="5" t="s">
        <v>886</v>
      </c>
      <c r="D84" s="7" t="s">
        <v>955</v>
      </c>
      <c r="E84" s="7"/>
      <c r="F84" s="7" t="s">
        <v>5</v>
      </c>
      <c r="G84" s="7">
        <f t="shared" si="7"/>
        <v>1</v>
      </c>
      <c r="H84" s="7">
        <f t="shared" si="7"/>
        <v>0</v>
      </c>
      <c r="I84" s="7">
        <f t="shared" si="7"/>
        <v>0</v>
      </c>
      <c r="J84" s="7">
        <f t="shared" si="7"/>
        <v>0</v>
      </c>
      <c r="K84" s="7">
        <f t="shared" si="7"/>
        <v>0</v>
      </c>
    </row>
    <row r="85" spans="1:11" x14ac:dyDescent="0.25">
      <c r="A85" s="4">
        <f t="shared" si="0"/>
        <v>2.0081000000000171</v>
      </c>
      <c r="B85" s="6"/>
      <c r="C85" s="5" t="s">
        <v>866</v>
      </c>
      <c r="D85" s="7" t="s">
        <v>956</v>
      </c>
      <c r="E85" s="7"/>
      <c r="F85" s="7" t="s">
        <v>5</v>
      </c>
      <c r="G85" s="7">
        <f t="shared" ref="G85:K91" si="8">IF($F85=G$1,1,0)</f>
        <v>1</v>
      </c>
      <c r="H85" s="7">
        <f t="shared" si="8"/>
        <v>0</v>
      </c>
      <c r="I85" s="7">
        <f t="shared" si="8"/>
        <v>0</v>
      </c>
      <c r="J85" s="7">
        <f t="shared" si="8"/>
        <v>0</v>
      </c>
      <c r="K85" s="7">
        <f t="shared" si="8"/>
        <v>0</v>
      </c>
    </row>
    <row r="86" spans="1:11" x14ac:dyDescent="0.25">
      <c r="A86" s="4">
        <f t="shared" si="0"/>
        <v>2.0082000000000173</v>
      </c>
      <c r="B86" s="6"/>
      <c r="C86" s="5" t="s">
        <v>588</v>
      </c>
      <c r="D86" s="7" t="s">
        <v>957</v>
      </c>
      <c r="E86" s="7"/>
      <c r="F86" s="7" t="s">
        <v>5</v>
      </c>
      <c r="G86" s="7">
        <f t="shared" si="8"/>
        <v>1</v>
      </c>
      <c r="H86" s="7">
        <f t="shared" si="8"/>
        <v>0</v>
      </c>
      <c r="I86" s="7">
        <f t="shared" si="8"/>
        <v>0</v>
      </c>
      <c r="J86" s="7">
        <f t="shared" si="8"/>
        <v>0</v>
      </c>
      <c r="K86" s="7">
        <f t="shared" si="8"/>
        <v>0</v>
      </c>
    </row>
    <row r="87" spans="1:11" ht="25.5" x14ac:dyDescent="0.25">
      <c r="A87" s="4">
        <f t="shared" si="0"/>
        <v>2.0083000000000175</v>
      </c>
      <c r="B87" s="6"/>
      <c r="C87" s="5" t="s">
        <v>958</v>
      </c>
      <c r="D87" s="7"/>
      <c r="E87" s="7"/>
      <c r="F87" s="7" t="s">
        <v>5</v>
      </c>
      <c r="G87" s="7">
        <f t="shared" si="8"/>
        <v>1</v>
      </c>
      <c r="H87" s="7">
        <f t="shared" si="8"/>
        <v>0</v>
      </c>
      <c r="I87" s="7">
        <f t="shared" si="8"/>
        <v>0</v>
      </c>
      <c r="J87" s="7">
        <f t="shared" si="8"/>
        <v>0</v>
      </c>
      <c r="K87" s="7">
        <f t="shared" si="8"/>
        <v>0</v>
      </c>
    </row>
    <row r="88" spans="1:11" x14ac:dyDescent="0.25">
      <c r="A88" s="4">
        <f t="shared" ref="A88:A135" si="9">A87+0.0001</f>
        <v>2.0084000000000177</v>
      </c>
      <c r="B88" s="6"/>
      <c r="C88" s="5" t="s">
        <v>912</v>
      </c>
      <c r="D88" s="7"/>
      <c r="E88" s="7"/>
      <c r="F88" s="7" t="s">
        <v>5</v>
      </c>
      <c r="G88" s="7">
        <f t="shared" si="8"/>
        <v>1</v>
      </c>
      <c r="H88" s="7">
        <f t="shared" si="8"/>
        <v>0</v>
      </c>
      <c r="I88" s="7">
        <f t="shared" si="8"/>
        <v>0</v>
      </c>
      <c r="J88" s="7">
        <f t="shared" si="8"/>
        <v>0</v>
      </c>
      <c r="K88" s="7">
        <f t="shared" si="8"/>
        <v>0</v>
      </c>
    </row>
    <row r="89" spans="1:11" x14ac:dyDescent="0.25">
      <c r="A89" s="4">
        <f t="shared" si="9"/>
        <v>2.0085000000000179</v>
      </c>
      <c r="B89" s="6"/>
      <c r="C89" s="5" t="s">
        <v>987</v>
      </c>
      <c r="D89" s="7"/>
      <c r="E89" s="7"/>
      <c r="F89" s="7" t="s">
        <v>5</v>
      </c>
      <c r="G89" s="7">
        <f t="shared" si="8"/>
        <v>1</v>
      </c>
      <c r="H89" s="7">
        <f t="shared" si="8"/>
        <v>0</v>
      </c>
      <c r="I89" s="7">
        <f t="shared" si="8"/>
        <v>0</v>
      </c>
      <c r="J89" s="7">
        <f t="shared" si="8"/>
        <v>0</v>
      </c>
      <c r="K89" s="7">
        <f t="shared" si="8"/>
        <v>0</v>
      </c>
    </row>
    <row r="90" spans="1:11" ht="25.5" x14ac:dyDescent="0.25">
      <c r="A90" s="4">
        <f t="shared" si="9"/>
        <v>2.0086000000000181</v>
      </c>
      <c r="B90" s="5"/>
      <c r="C90" s="5" t="s">
        <v>586</v>
      </c>
      <c r="D90" s="7" t="s">
        <v>959</v>
      </c>
      <c r="E90" s="7"/>
      <c r="F90" s="7" t="s">
        <v>5</v>
      </c>
      <c r="G90" s="7">
        <f t="shared" si="8"/>
        <v>1</v>
      </c>
      <c r="H90" s="7">
        <f t="shared" si="8"/>
        <v>0</v>
      </c>
      <c r="I90" s="7">
        <f t="shared" si="8"/>
        <v>0</v>
      </c>
      <c r="J90" s="7">
        <f t="shared" si="8"/>
        <v>0</v>
      </c>
      <c r="K90" s="7">
        <f t="shared" si="8"/>
        <v>0</v>
      </c>
    </row>
    <row r="91" spans="1:11" x14ac:dyDescent="0.25">
      <c r="A91" s="4">
        <f t="shared" si="9"/>
        <v>2.0087000000000184</v>
      </c>
      <c r="B91" s="5"/>
      <c r="C91" s="22" t="s">
        <v>904</v>
      </c>
      <c r="D91" s="7" t="s">
        <v>960</v>
      </c>
      <c r="E91" s="7"/>
      <c r="F91" s="7" t="s">
        <v>5</v>
      </c>
      <c r="G91" s="7">
        <f t="shared" si="8"/>
        <v>1</v>
      </c>
      <c r="H91" s="7">
        <f t="shared" si="8"/>
        <v>0</v>
      </c>
      <c r="I91" s="7">
        <f t="shared" si="8"/>
        <v>0</v>
      </c>
      <c r="J91" s="7">
        <f t="shared" si="8"/>
        <v>0</v>
      </c>
      <c r="K91" s="7">
        <f t="shared" si="8"/>
        <v>0</v>
      </c>
    </row>
    <row r="92" spans="1:11" x14ac:dyDescent="0.25">
      <c r="A92" s="4">
        <f t="shared" si="9"/>
        <v>2.0088000000000186</v>
      </c>
      <c r="B92" s="96"/>
      <c r="C92" s="63" t="s">
        <v>962</v>
      </c>
      <c r="D92" s="7"/>
      <c r="E92" s="7"/>
      <c r="F92" s="7" t="s">
        <v>5</v>
      </c>
      <c r="G92" s="7"/>
      <c r="H92" s="7"/>
      <c r="I92" s="7"/>
      <c r="J92" s="7"/>
      <c r="K92" s="7"/>
    </row>
    <row r="93" spans="1:11" x14ac:dyDescent="0.25">
      <c r="A93" s="4">
        <f t="shared" si="9"/>
        <v>2.0089000000000188</v>
      </c>
      <c r="B93" s="6"/>
      <c r="C93" s="5" t="s">
        <v>821</v>
      </c>
      <c r="D93" s="7"/>
      <c r="E93" s="7"/>
      <c r="F93" s="7" t="s">
        <v>5</v>
      </c>
      <c r="G93" s="7">
        <f t="shared" ref="G93:K104" si="10">IF($F93=G$1,1,0)</f>
        <v>1</v>
      </c>
      <c r="H93" s="7">
        <f t="shared" si="10"/>
        <v>0</v>
      </c>
      <c r="I93" s="7">
        <f t="shared" si="10"/>
        <v>0</v>
      </c>
      <c r="J93" s="7">
        <f t="shared" si="10"/>
        <v>0</v>
      </c>
      <c r="K93" s="7">
        <f t="shared" si="10"/>
        <v>0</v>
      </c>
    </row>
    <row r="94" spans="1:11" x14ac:dyDescent="0.25">
      <c r="A94" s="4">
        <f t="shared" si="9"/>
        <v>2.009000000000019</v>
      </c>
      <c r="B94" s="6"/>
      <c r="C94" s="5" t="s">
        <v>585</v>
      </c>
      <c r="D94" s="7"/>
      <c r="E94" s="7"/>
      <c r="F94" s="7" t="s">
        <v>5</v>
      </c>
      <c r="G94" s="7">
        <f t="shared" si="10"/>
        <v>1</v>
      </c>
      <c r="H94" s="7">
        <f t="shared" si="10"/>
        <v>0</v>
      </c>
      <c r="I94" s="7">
        <f t="shared" si="10"/>
        <v>0</v>
      </c>
      <c r="J94" s="7">
        <f t="shared" si="10"/>
        <v>0</v>
      </c>
      <c r="K94" s="7">
        <f t="shared" si="10"/>
        <v>0</v>
      </c>
    </row>
    <row r="95" spans="1:11" x14ac:dyDescent="0.25">
      <c r="A95" s="4">
        <f t="shared" si="9"/>
        <v>2.0091000000000192</v>
      </c>
      <c r="B95" s="6"/>
      <c r="C95" s="5" t="s">
        <v>562</v>
      </c>
      <c r="D95" s="7"/>
      <c r="E95" s="7"/>
      <c r="F95" s="7" t="s">
        <v>5</v>
      </c>
      <c r="G95" s="7">
        <f t="shared" si="10"/>
        <v>1</v>
      </c>
      <c r="H95" s="7">
        <f t="shared" si="10"/>
        <v>0</v>
      </c>
      <c r="I95" s="7">
        <f t="shared" si="10"/>
        <v>0</v>
      </c>
      <c r="J95" s="7">
        <f t="shared" si="10"/>
        <v>0</v>
      </c>
      <c r="K95" s="7">
        <f t="shared" si="10"/>
        <v>0</v>
      </c>
    </row>
    <row r="96" spans="1:11" x14ac:dyDescent="0.25">
      <c r="A96" s="4">
        <f t="shared" si="9"/>
        <v>2.0092000000000194</v>
      </c>
      <c r="B96" s="6"/>
      <c r="C96" s="5" t="s">
        <v>964</v>
      </c>
      <c r="D96" s="7" t="s">
        <v>954</v>
      </c>
      <c r="E96" s="7"/>
      <c r="F96" s="7" t="s">
        <v>5</v>
      </c>
      <c r="G96" s="7">
        <f t="shared" si="10"/>
        <v>1</v>
      </c>
      <c r="H96" s="7">
        <f t="shared" si="10"/>
        <v>0</v>
      </c>
      <c r="I96" s="7">
        <f t="shared" si="10"/>
        <v>0</v>
      </c>
      <c r="J96" s="7">
        <f t="shared" si="10"/>
        <v>0</v>
      </c>
      <c r="K96" s="7">
        <f t="shared" si="10"/>
        <v>0</v>
      </c>
    </row>
    <row r="97" spans="1:11" x14ac:dyDescent="0.25">
      <c r="A97" s="4">
        <f t="shared" si="9"/>
        <v>2.0093000000000196</v>
      </c>
      <c r="B97" s="6"/>
      <c r="C97" s="5" t="s">
        <v>963</v>
      </c>
      <c r="D97" s="117">
        <v>182.24</v>
      </c>
      <c r="E97" s="7"/>
      <c r="F97" s="7" t="s">
        <v>5</v>
      </c>
      <c r="G97" s="7">
        <f t="shared" si="10"/>
        <v>1</v>
      </c>
      <c r="H97" s="7">
        <f t="shared" si="10"/>
        <v>0</v>
      </c>
      <c r="I97" s="7">
        <f t="shared" si="10"/>
        <v>0</v>
      </c>
      <c r="J97" s="7">
        <f t="shared" si="10"/>
        <v>0</v>
      </c>
      <c r="K97" s="7">
        <f t="shared" si="10"/>
        <v>0</v>
      </c>
    </row>
    <row r="98" spans="1:11" ht="30" x14ac:dyDescent="0.25">
      <c r="A98" s="4">
        <f t="shared" si="9"/>
        <v>2.0094000000000198</v>
      </c>
      <c r="B98" s="6"/>
      <c r="C98" s="5" t="s">
        <v>965</v>
      </c>
      <c r="D98" s="125" t="s">
        <v>966</v>
      </c>
      <c r="E98" s="7"/>
      <c r="F98" s="7" t="s">
        <v>5</v>
      </c>
      <c r="G98" s="7">
        <f t="shared" si="10"/>
        <v>1</v>
      </c>
      <c r="H98" s="7">
        <f t="shared" si="10"/>
        <v>0</v>
      </c>
      <c r="I98" s="7">
        <f t="shared" si="10"/>
        <v>0</v>
      </c>
      <c r="J98" s="7">
        <f t="shared" si="10"/>
        <v>0</v>
      </c>
      <c r="K98" s="7">
        <f t="shared" si="10"/>
        <v>0</v>
      </c>
    </row>
    <row r="99" spans="1:11" x14ac:dyDescent="0.25">
      <c r="A99" s="4">
        <f t="shared" si="9"/>
        <v>2.00950000000002</v>
      </c>
      <c r="B99" s="6"/>
      <c r="C99" s="5" t="s">
        <v>967</v>
      </c>
      <c r="D99" s="7"/>
      <c r="E99" s="7"/>
      <c r="F99" s="7" t="s">
        <v>5</v>
      </c>
      <c r="G99" s="7">
        <f t="shared" si="10"/>
        <v>1</v>
      </c>
      <c r="H99" s="7">
        <f t="shared" si="10"/>
        <v>0</v>
      </c>
      <c r="I99" s="7">
        <f t="shared" si="10"/>
        <v>0</v>
      </c>
      <c r="J99" s="7">
        <f t="shared" si="10"/>
        <v>0</v>
      </c>
      <c r="K99" s="7">
        <f t="shared" si="10"/>
        <v>0</v>
      </c>
    </row>
    <row r="100" spans="1:11" x14ac:dyDescent="0.25">
      <c r="A100" s="4">
        <f t="shared" si="9"/>
        <v>2.0096000000000203</v>
      </c>
      <c r="B100" s="6"/>
      <c r="C100" s="5" t="s">
        <v>968</v>
      </c>
      <c r="D100" s="7"/>
      <c r="E100" s="7"/>
      <c r="F100" s="7" t="s">
        <v>5</v>
      </c>
      <c r="G100" s="7">
        <f t="shared" si="10"/>
        <v>1</v>
      </c>
      <c r="H100" s="7">
        <f t="shared" si="10"/>
        <v>0</v>
      </c>
      <c r="I100" s="7">
        <f t="shared" si="10"/>
        <v>0</v>
      </c>
      <c r="J100" s="7">
        <f t="shared" si="10"/>
        <v>0</v>
      </c>
      <c r="K100" s="7">
        <f t="shared" si="10"/>
        <v>0</v>
      </c>
    </row>
    <row r="101" spans="1:11" x14ac:dyDescent="0.25">
      <c r="A101" s="4">
        <f t="shared" si="9"/>
        <v>2.0097000000000205</v>
      </c>
      <c r="B101" s="6"/>
      <c r="C101" s="5" t="s">
        <v>969</v>
      </c>
      <c r="D101" s="7"/>
      <c r="E101" s="7"/>
      <c r="F101" s="7" t="s">
        <v>5</v>
      </c>
      <c r="G101" s="7">
        <f t="shared" si="10"/>
        <v>1</v>
      </c>
      <c r="H101" s="7">
        <f t="shared" si="10"/>
        <v>0</v>
      </c>
      <c r="I101" s="7">
        <f t="shared" si="10"/>
        <v>0</v>
      </c>
      <c r="J101" s="7">
        <f t="shared" si="10"/>
        <v>0</v>
      </c>
      <c r="K101" s="7">
        <f t="shared" si="10"/>
        <v>0</v>
      </c>
    </row>
    <row r="102" spans="1:11" x14ac:dyDescent="0.25">
      <c r="A102" s="4">
        <f t="shared" si="9"/>
        <v>2.0098000000000207</v>
      </c>
      <c r="B102" s="6"/>
      <c r="C102" s="5" t="s">
        <v>970</v>
      </c>
      <c r="D102" s="7"/>
      <c r="E102" s="7"/>
      <c r="F102" s="7" t="s">
        <v>5</v>
      </c>
      <c r="G102" s="7">
        <f t="shared" si="10"/>
        <v>1</v>
      </c>
      <c r="H102" s="7">
        <f t="shared" si="10"/>
        <v>0</v>
      </c>
      <c r="I102" s="7">
        <f t="shared" si="10"/>
        <v>0</v>
      </c>
      <c r="J102" s="7">
        <f t="shared" si="10"/>
        <v>0</v>
      </c>
      <c r="K102" s="7">
        <f t="shared" si="10"/>
        <v>0</v>
      </c>
    </row>
    <row r="103" spans="1:11" x14ac:dyDescent="0.25">
      <c r="A103" s="4">
        <f t="shared" si="9"/>
        <v>2.0099000000000209</v>
      </c>
      <c r="B103" s="5"/>
      <c r="C103" s="5" t="s">
        <v>971</v>
      </c>
      <c r="D103" s="7"/>
      <c r="E103" s="7"/>
      <c r="F103" s="7" t="s">
        <v>5</v>
      </c>
      <c r="G103" s="7">
        <f t="shared" si="10"/>
        <v>1</v>
      </c>
      <c r="H103" s="7">
        <f t="shared" si="10"/>
        <v>0</v>
      </c>
      <c r="I103" s="7">
        <f t="shared" si="10"/>
        <v>0</v>
      </c>
      <c r="J103" s="7">
        <f t="shared" si="10"/>
        <v>0</v>
      </c>
      <c r="K103" s="7">
        <f t="shared" si="10"/>
        <v>0</v>
      </c>
    </row>
    <row r="104" spans="1:11" x14ac:dyDescent="0.25">
      <c r="A104" s="4">
        <f t="shared" si="9"/>
        <v>2.0100000000000211</v>
      </c>
      <c r="B104" s="5"/>
      <c r="C104" s="22" t="s">
        <v>972</v>
      </c>
      <c r="D104" s="7"/>
      <c r="E104" s="7"/>
      <c r="F104" s="7" t="s">
        <v>5</v>
      </c>
      <c r="G104" s="7">
        <f t="shared" si="10"/>
        <v>1</v>
      </c>
      <c r="H104" s="7">
        <f t="shared" si="10"/>
        <v>0</v>
      </c>
      <c r="I104" s="7">
        <f t="shared" si="10"/>
        <v>0</v>
      </c>
      <c r="J104" s="7">
        <f t="shared" si="10"/>
        <v>0</v>
      </c>
      <c r="K104" s="7">
        <f t="shared" si="10"/>
        <v>0</v>
      </c>
    </row>
    <row r="105" spans="1:11" x14ac:dyDescent="0.25">
      <c r="A105" s="4">
        <f t="shared" si="9"/>
        <v>2.0101000000000213</v>
      </c>
      <c r="B105" s="96"/>
      <c r="C105" s="63" t="s">
        <v>973</v>
      </c>
      <c r="D105" s="7"/>
      <c r="E105" s="7"/>
      <c r="F105" s="7" t="s">
        <v>5</v>
      </c>
      <c r="G105" s="7"/>
      <c r="H105" s="7"/>
      <c r="I105" s="7"/>
      <c r="J105" s="7"/>
      <c r="K105" s="7"/>
    </row>
    <row r="106" spans="1:11" x14ac:dyDescent="0.25">
      <c r="A106" s="4">
        <f t="shared" si="9"/>
        <v>2.0102000000000215</v>
      </c>
      <c r="B106" s="6"/>
      <c r="C106" s="5" t="s">
        <v>821</v>
      </c>
      <c r="D106" s="7"/>
      <c r="E106" s="7"/>
      <c r="F106" s="7" t="s">
        <v>5</v>
      </c>
      <c r="G106" s="7">
        <f t="shared" ref="G106:K120" si="11">IF($F106=G$1,1,0)</f>
        <v>1</v>
      </c>
      <c r="H106" s="7">
        <f t="shared" si="11"/>
        <v>0</v>
      </c>
      <c r="I106" s="7">
        <f t="shared" si="11"/>
        <v>0</v>
      </c>
      <c r="J106" s="7">
        <f t="shared" si="11"/>
        <v>0</v>
      </c>
      <c r="K106" s="7">
        <f t="shared" si="11"/>
        <v>0</v>
      </c>
    </row>
    <row r="107" spans="1:11" x14ac:dyDescent="0.25">
      <c r="A107" s="4">
        <f t="shared" si="9"/>
        <v>2.0103000000000217</v>
      </c>
      <c r="B107" s="6"/>
      <c r="C107" s="5" t="s">
        <v>585</v>
      </c>
      <c r="D107" s="7"/>
      <c r="E107" s="7"/>
      <c r="F107" s="7" t="s">
        <v>5</v>
      </c>
      <c r="G107" s="7">
        <f t="shared" si="11"/>
        <v>1</v>
      </c>
      <c r="H107" s="7">
        <f t="shared" si="11"/>
        <v>0</v>
      </c>
      <c r="I107" s="7">
        <f t="shared" si="11"/>
        <v>0</v>
      </c>
      <c r="J107" s="7">
        <f t="shared" si="11"/>
        <v>0</v>
      </c>
      <c r="K107" s="7">
        <f t="shared" si="11"/>
        <v>0</v>
      </c>
    </row>
    <row r="108" spans="1:11" x14ac:dyDescent="0.25">
      <c r="A108" s="4">
        <f t="shared" si="9"/>
        <v>2.0104000000000219</v>
      </c>
      <c r="B108" s="6"/>
      <c r="C108" s="5" t="s">
        <v>562</v>
      </c>
      <c r="D108" s="7"/>
      <c r="E108" s="7"/>
      <c r="F108" s="7" t="s">
        <v>5</v>
      </c>
      <c r="G108" s="7">
        <f t="shared" si="11"/>
        <v>1</v>
      </c>
      <c r="H108" s="7">
        <f t="shared" si="11"/>
        <v>0</v>
      </c>
      <c r="I108" s="7">
        <f t="shared" si="11"/>
        <v>0</v>
      </c>
      <c r="J108" s="7">
        <f t="shared" si="11"/>
        <v>0</v>
      </c>
      <c r="K108" s="7">
        <f t="shared" si="11"/>
        <v>0</v>
      </c>
    </row>
    <row r="109" spans="1:11" x14ac:dyDescent="0.25">
      <c r="A109" s="4">
        <f t="shared" si="9"/>
        <v>2.0105000000000222</v>
      </c>
      <c r="B109" s="6"/>
      <c r="C109" s="5" t="s">
        <v>974</v>
      </c>
      <c r="D109" s="7" t="s">
        <v>954</v>
      </c>
      <c r="E109" s="7"/>
      <c r="F109" s="7" t="s">
        <v>5</v>
      </c>
      <c r="G109" s="7">
        <f t="shared" si="11"/>
        <v>1</v>
      </c>
      <c r="H109" s="7">
        <f t="shared" si="11"/>
        <v>0</v>
      </c>
      <c r="I109" s="7">
        <f t="shared" si="11"/>
        <v>0</v>
      </c>
      <c r="J109" s="7">
        <f t="shared" si="11"/>
        <v>0</v>
      </c>
      <c r="K109" s="7">
        <f t="shared" si="11"/>
        <v>0</v>
      </c>
    </row>
    <row r="110" spans="1:11" x14ac:dyDescent="0.25">
      <c r="A110" s="4">
        <f t="shared" si="9"/>
        <v>2.0106000000000224</v>
      </c>
      <c r="B110" s="6"/>
      <c r="C110" s="5" t="s">
        <v>886</v>
      </c>
      <c r="D110" s="7" t="s">
        <v>887</v>
      </c>
      <c r="E110" s="7"/>
      <c r="F110" s="7" t="s">
        <v>5</v>
      </c>
      <c r="G110" s="7">
        <f t="shared" si="11"/>
        <v>1</v>
      </c>
      <c r="H110" s="7">
        <f t="shared" si="11"/>
        <v>0</v>
      </c>
      <c r="I110" s="7">
        <f t="shared" si="11"/>
        <v>0</v>
      </c>
      <c r="J110" s="7">
        <f t="shared" si="11"/>
        <v>0</v>
      </c>
      <c r="K110" s="7">
        <f t="shared" si="11"/>
        <v>0</v>
      </c>
    </row>
    <row r="111" spans="1:11" x14ac:dyDescent="0.25">
      <c r="A111" s="4">
        <f t="shared" si="9"/>
        <v>2.0107000000000226</v>
      </c>
      <c r="B111" s="6"/>
      <c r="C111" s="5" t="s">
        <v>866</v>
      </c>
      <c r="D111" s="7" t="s">
        <v>975</v>
      </c>
      <c r="E111" s="7"/>
      <c r="F111" s="7" t="s">
        <v>5</v>
      </c>
      <c r="G111" s="7">
        <f t="shared" si="11"/>
        <v>1</v>
      </c>
      <c r="H111" s="7">
        <f t="shared" si="11"/>
        <v>0</v>
      </c>
      <c r="I111" s="7">
        <f t="shared" si="11"/>
        <v>0</v>
      </c>
      <c r="J111" s="7">
        <f t="shared" si="11"/>
        <v>0</v>
      </c>
      <c r="K111" s="7">
        <f t="shared" si="11"/>
        <v>0</v>
      </c>
    </row>
    <row r="112" spans="1:11" x14ac:dyDescent="0.25">
      <c r="A112" s="4">
        <f t="shared" si="9"/>
        <v>2.0108000000000228</v>
      </c>
      <c r="B112" s="6"/>
      <c r="C112" s="5" t="s">
        <v>588</v>
      </c>
      <c r="D112" s="7" t="s">
        <v>957</v>
      </c>
      <c r="E112" s="7"/>
      <c r="F112" s="7" t="s">
        <v>5</v>
      </c>
      <c r="G112" s="7">
        <f t="shared" si="11"/>
        <v>1</v>
      </c>
      <c r="H112" s="7">
        <f t="shared" si="11"/>
        <v>0</v>
      </c>
      <c r="I112" s="7">
        <f t="shared" si="11"/>
        <v>0</v>
      </c>
      <c r="J112" s="7">
        <f t="shared" si="11"/>
        <v>0</v>
      </c>
      <c r="K112" s="7">
        <f t="shared" si="11"/>
        <v>0</v>
      </c>
    </row>
    <row r="113" spans="1:11" ht="30" x14ac:dyDescent="0.25">
      <c r="A113" s="4">
        <f t="shared" si="9"/>
        <v>2.010900000000023</v>
      </c>
      <c r="B113" s="6"/>
      <c r="C113" s="5" t="s">
        <v>976</v>
      </c>
      <c r="D113" s="125" t="s">
        <v>966</v>
      </c>
      <c r="E113" s="7"/>
      <c r="F113" s="7" t="s">
        <v>5</v>
      </c>
      <c r="G113" s="7">
        <f t="shared" si="11"/>
        <v>1</v>
      </c>
      <c r="H113" s="7">
        <f t="shared" si="11"/>
        <v>0</v>
      </c>
      <c r="I113" s="7">
        <f t="shared" si="11"/>
        <v>0</v>
      </c>
      <c r="J113" s="7">
        <f t="shared" si="11"/>
        <v>0</v>
      </c>
      <c r="K113" s="7">
        <f t="shared" si="11"/>
        <v>0</v>
      </c>
    </row>
    <row r="114" spans="1:11" x14ac:dyDescent="0.25">
      <c r="A114" s="4">
        <f t="shared" si="9"/>
        <v>2.0110000000000232</v>
      </c>
      <c r="B114" s="6"/>
      <c r="C114" s="5" t="s">
        <v>912</v>
      </c>
      <c r="D114" s="7"/>
      <c r="E114" s="7"/>
      <c r="F114" s="7" t="s">
        <v>5</v>
      </c>
      <c r="G114" s="7">
        <f t="shared" si="11"/>
        <v>1</v>
      </c>
      <c r="H114" s="7">
        <f t="shared" si="11"/>
        <v>0</v>
      </c>
      <c r="I114" s="7">
        <f t="shared" si="11"/>
        <v>0</v>
      </c>
      <c r="J114" s="7">
        <f t="shared" si="11"/>
        <v>0</v>
      </c>
      <c r="K114" s="7">
        <f t="shared" si="11"/>
        <v>0</v>
      </c>
    </row>
    <row r="115" spans="1:11" x14ac:dyDescent="0.25">
      <c r="A115" s="4">
        <f t="shared" si="9"/>
        <v>2.0111000000000234</v>
      </c>
      <c r="B115" s="5"/>
      <c r="C115" s="22" t="s">
        <v>904</v>
      </c>
      <c r="D115" s="7"/>
      <c r="E115" s="7"/>
      <c r="F115" s="7" t="s">
        <v>5</v>
      </c>
      <c r="G115" s="7">
        <f t="shared" si="11"/>
        <v>1</v>
      </c>
      <c r="H115" s="7">
        <f t="shared" si="11"/>
        <v>0</v>
      </c>
      <c r="I115" s="7">
        <f t="shared" si="11"/>
        <v>0</v>
      </c>
      <c r="J115" s="7">
        <f t="shared" si="11"/>
        <v>0</v>
      </c>
      <c r="K115" s="7">
        <f t="shared" si="11"/>
        <v>0</v>
      </c>
    </row>
    <row r="116" spans="1:11" x14ac:dyDescent="0.25">
      <c r="A116" s="4">
        <f t="shared" si="9"/>
        <v>2.0112000000000236</v>
      </c>
      <c r="B116" s="96"/>
      <c r="C116" s="63" t="s">
        <v>977</v>
      </c>
      <c r="D116" s="7"/>
      <c r="E116" s="7"/>
      <c r="F116" s="7" t="s">
        <v>5</v>
      </c>
      <c r="G116" s="7"/>
      <c r="H116" s="7"/>
      <c r="I116" s="7"/>
      <c r="J116" s="7"/>
      <c r="K116" s="7"/>
    </row>
    <row r="117" spans="1:11" x14ac:dyDescent="0.25">
      <c r="A117" s="4">
        <f t="shared" si="9"/>
        <v>2.0113000000000238</v>
      </c>
      <c r="B117" s="6"/>
      <c r="C117" s="5" t="s">
        <v>821</v>
      </c>
      <c r="D117" s="7"/>
      <c r="E117" s="7"/>
      <c r="F117" s="7" t="s">
        <v>5</v>
      </c>
      <c r="G117" s="7">
        <f t="shared" si="11"/>
        <v>1</v>
      </c>
      <c r="H117" s="7">
        <f t="shared" si="11"/>
        <v>0</v>
      </c>
      <c r="I117" s="7">
        <f t="shared" si="11"/>
        <v>0</v>
      </c>
      <c r="J117" s="7">
        <f t="shared" si="11"/>
        <v>0</v>
      </c>
      <c r="K117" s="7">
        <f t="shared" si="11"/>
        <v>0</v>
      </c>
    </row>
    <row r="118" spans="1:11" x14ac:dyDescent="0.25">
      <c r="A118" s="4">
        <f t="shared" si="9"/>
        <v>2.0114000000000241</v>
      </c>
      <c r="B118" s="6"/>
      <c r="C118" s="5" t="s">
        <v>585</v>
      </c>
      <c r="D118" s="7"/>
      <c r="E118" s="7"/>
      <c r="F118" s="7" t="s">
        <v>5</v>
      </c>
      <c r="G118" s="7">
        <f t="shared" si="11"/>
        <v>1</v>
      </c>
      <c r="H118" s="7">
        <f t="shared" si="11"/>
        <v>0</v>
      </c>
      <c r="I118" s="7">
        <f t="shared" si="11"/>
        <v>0</v>
      </c>
      <c r="J118" s="7">
        <f t="shared" si="11"/>
        <v>0</v>
      </c>
      <c r="K118" s="7">
        <f t="shared" si="11"/>
        <v>0</v>
      </c>
    </row>
    <row r="119" spans="1:11" x14ac:dyDescent="0.25">
      <c r="A119" s="4">
        <f t="shared" si="9"/>
        <v>2.0115000000000243</v>
      </c>
      <c r="B119" s="6"/>
      <c r="C119" s="5" t="s">
        <v>562</v>
      </c>
      <c r="D119" s="7"/>
      <c r="E119" s="7"/>
      <c r="F119" s="7" t="s">
        <v>5</v>
      </c>
      <c r="G119" s="7">
        <f t="shared" si="11"/>
        <v>1</v>
      </c>
      <c r="H119" s="7">
        <f t="shared" si="11"/>
        <v>0</v>
      </c>
      <c r="I119" s="7">
        <f t="shared" si="11"/>
        <v>0</v>
      </c>
      <c r="J119" s="7">
        <f t="shared" si="11"/>
        <v>0</v>
      </c>
      <c r="K119" s="7">
        <f t="shared" si="11"/>
        <v>0</v>
      </c>
    </row>
    <row r="120" spans="1:11" x14ac:dyDescent="0.25">
      <c r="A120" s="4">
        <f t="shared" si="9"/>
        <v>2.0116000000000245</v>
      </c>
      <c r="B120" s="6"/>
      <c r="C120" s="5" t="s">
        <v>974</v>
      </c>
      <c r="D120" s="7" t="s">
        <v>954</v>
      </c>
      <c r="E120" s="7"/>
      <c r="F120" s="7" t="s">
        <v>5</v>
      </c>
      <c r="G120" s="7">
        <f t="shared" si="11"/>
        <v>1</v>
      </c>
      <c r="H120" s="7">
        <f t="shared" si="11"/>
        <v>0</v>
      </c>
      <c r="I120" s="7">
        <f t="shared" si="11"/>
        <v>0</v>
      </c>
      <c r="J120" s="7">
        <f t="shared" si="11"/>
        <v>0</v>
      </c>
      <c r="K120" s="7">
        <f t="shared" si="11"/>
        <v>0</v>
      </c>
    </row>
    <row r="121" spans="1:11" x14ac:dyDescent="0.25">
      <c r="A121" s="4">
        <f t="shared" si="9"/>
        <v>2.0117000000000247</v>
      </c>
      <c r="B121" s="6"/>
      <c r="C121" s="5" t="s">
        <v>886</v>
      </c>
      <c r="D121" s="7" t="s">
        <v>887</v>
      </c>
      <c r="E121" s="7"/>
      <c r="F121" s="7" t="s">
        <v>5</v>
      </c>
      <c r="G121" s="7">
        <f t="shared" ref="G121:K126" si="12">IF($F121=G$1,1,0)</f>
        <v>1</v>
      </c>
      <c r="H121" s="7">
        <f t="shared" si="12"/>
        <v>0</v>
      </c>
      <c r="I121" s="7">
        <f t="shared" si="12"/>
        <v>0</v>
      </c>
      <c r="J121" s="7">
        <f t="shared" si="12"/>
        <v>0</v>
      </c>
      <c r="K121" s="7">
        <f t="shared" si="12"/>
        <v>0</v>
      </c>
    </row>
    <row r="122" spans="1:11" x14ac:dyDescent="0.25">
      <c r="A122" s="4">
        <f t="shared" si="9"/>
        <v>2.0118000000000249</v>
      </c>
      <c r="B122" s="6"/>
      <c r="C122" s="5" t="s">
        <v>866</v>
      </c>
      <c r="D122" s="7" t="s">
        <v>978</v>
      </c>
      <c r="E122" s="7"/>
      <c r="F122" s="7" t="s">
        <v>5</v>
      </c>
      <c r="G122" s="7">
        <f t="shared" si="12"/>
        <v>1</v>
      </c>
      <c r="H122" s="7">
        <f t="shared" si="12"/>
        <v>0</v>
      </c>
      <c r="I122" s="7">
        <f t="shared" si="12"/>
        <v>0</v>
      </c>
      <c r="J122" s="7">
        <f t="shared" si="12"/>
        <v>0</v>
      </c>
      <c r="K122" s="7">
        <f t="shared" si="12"/>
        <v>0</v>
      </c>
    </row>
    <row r="123" spans="1:11" x14ac:dyDescent="0.25">
      <c r="A123" s="4">
        <f t="shared" si="9"/>
        <v>2.0119000000000251</v>
      </c>
      <c r="B123" s="6"/>
      <c r="C123" s="5" t="s">
        <v>588</v>
      </c>
      <c r="D123" s="7" t="s">
        <v>957</v>
      </c>
      <c r="E123" s="7"/>
      <c r="F123" s="7" t="s">
        <v>5</v>
      </c>
      <c r="G123" s="7">
        <f t="shared" si="12"/>
        <v>1</v>
      </c>
      <c r="H123" s="7">
        <f t="shared" si="12"/>
        <v>0</v>
      </c>
      <c r="I123" s="7">
        <f t="shared" si="12"/>
        <v>0</v>
      </c>
      <c r="J123" s="7">
        <f t="shared" si="12"/>
        <v>0</v>
      </c>
      <c r="K123" s="7">
        <f t="shared" si="12"/>
        <v>0</v>
      </c>
    </row>
    <row r="124" spans="1:11" ht="30" x14ac:dyDescent="0.25">
      <c r="A124" s="4">
        <f t="shared" si="9"/>
        <v>2.0120000000000253</v>
      </c>
      <c r="B124" s="6"/>
      <c r="C124" s="5" t="s">
        <v>976</v>
      </c>
      <c r="D124" s="125" t="s">
        <v>966</v>
      </c>
      <c r="E124" s="7"/>
      <c r="F124" s="7" t="s">
        <v>5</v>
      </c>
      <c r="G124" s="7">
        <f t="shared" si="12"/>
        <v>1</v>
      </c>
      <c r="H124" s="7">
        <f t="shared" si="12"/>
        <v>0</v>
      </c>
      <c r="I124" s="7">
        <f t="shared" si="12"/>
        <v>0</v>
      </c>
      <c r="J124" s="7">
        <f t="shared" si="12"/>
        <v>0</v>
      </c>
      <c r="K124" s="7">
        <f t="shared" si="12"/>
        <v>0</v>
      </c>
    </row>
    <row r="125" spans="1:11" x14ac:dyDescent="0.25">
      <c r="A125" s="4">
        <f t="shared" si="9"/>
        <v>2.0121000000000255</v>
      </c>
      <c r="B125" s="6"/>
      <c r="C125" s="5" t="s">
        <v>912</v>
      </c>
      <c r="D125" s="7"/>
      <c r="E125" s="7"/>
      <c r="F125" s="7" t="s">
        <v>5</v>
      </c>
      <c r="G125" s="7">
        <f t="shared" si="12"/>
        <v>1</v>
      </c>
      <c r="H125" s="7">
        <f t="shared" si="12"/>
        <v>0</v>
      </c>
      <c r="I125" s="7">
        <f t="shared" si="12"/>
        <v>0</v>
      </c>
      <c r="J125" s="7">
        <f t="shared" si="12"/>
        <v>0</v>
      </c>
      <c r="K125" s="7">
        <f t="shared" si="12"/>
        <v>0</v>
      </c>
    </row>
    <row r="126" spans="1:11" x14ac:dyDescent="0.25">
      <c r="A126" s="4">
        <f t="shared" si="9"/>
        <v>2.0122000000000257</v>
      </c>
      <c r="B126" s="5"/>
      <c r="C126" s="22" t="s">
        <v>904</v>
      </c>
      <c r="D126" s="7"/>
      <c r="E126" s="7"/>
      <c r="F126" s="7" t="s">
        <v>5</v>
      </c>
      <c r="G126" s="7">
        <f t="shared" si="12"/>
        <v>1</v>
      </c>
      <c r="H126" s="7">
        <f t="shared" si="12"/>
        <v>0</v>
      </c>
      <c r="I126" s="7">
        <f t="shared" si="12"/>
        <v>0</v>
      </c>
      <c r="J126" s="7">
        <f t="shared" si="12"/>
        <v>0</v>
      </c>
      <c r="K126" s="7">
        <f t="shared" si="12"/>
        <v>0</v>
      </c>
    </row>
    <row r="127" spans="1:11" x14ac:dyDescent="0.25">
      <c r="A127" s="4">
        <f t="shared" si="9"/>
        <v>2.012300000000026</v>
      </c>
      <c r="B127" s="16" t="s">
        <v>581</v>
      </c>
      <c r="C127" s="16"/>
      <c r="D127" s="16"/>
      <c r="E127" s="7"/>
      <c r="F127" s="7"/>
      <c r="G127" s="7"/>
      <c r="H127" s="7"/>
      <c r="I127" s="7"/>
      <c r="J127" s="7"/>
      <c r="K127" s="7"/>
    </row>
    <row r="128" spans="1:11" ht="25.5" x14ac:dyDescent="0.25">
      <c r="A128" s="4">
        <f t="shared" si="9"/>
        <v>2.0124000000000262</v>
      </c>
      <c r="B128" s="6" t="s">
        <v>572</v>
      </c>
      <c r="C128" s="5" t="s">
        <v>569</v>
      </c>
      <c r="D128" s="115" t="s">
        <v>883</v>
      </c>
      <c r="E128" s="7"/>
      <c r="F128" s="7" t="s">
        <v>5</v>
      </c>
      <c r="G128" s="7">
        <f t="shared" ref="G128:K131" si="13">IF($F128=G$1,1,0)</f>
        <v>1</v>
      </c>
      <c r="H128" s="7">
        <f t="shared" si="13"/>
        <v>0</v>
      </c>
      <c r="I128" s="7">
        <f t="shared" si="13"/>
        <v>0</v>
      </c>
      <c r="J128" s="7">
        <f t="shared" si="13"/>
        <v>0</v>
      </c>
      <c r="K128" s="7">
        <f t="shared" si="13"/>
        <v>0</v>
      </c>
    </row>
    <row r="129" spans="1:11" x14ac:dyDescent="0.25">
      <c r="A129" s="4">
        <f t="shared" si="9"/>
        <v>2.0125000000000264</v>
      </c>
      <c r="B129" s="6"/>
      <c r="C129" s="5" t="s">
        <v>582</v>
      </c>
      <c r="D129" s="7"/>
      <c r="E129" s="7"/>
      <c r="F129" s="7" t="s">
        <v>5</v>
      </c>
      <c r="G129" s="7">
        <f t="shared" si="13"/>
        <v>1</v>
      </c>
      <c r="H129" s="7">
        <f t="shared" si="13"/>
        <v>0</v>
      </c>
      <c r="I129" s="7">
        <f t="shared" si="13"/>
        <v>0</v>
      </c>
      <c r="J129" s="7">
        <f t="shared" si="13"/>
        <v>0</v>
      </c>
      <c r="K129" s="7">
        <f t="shared" si="13"/>
        <v>0</v>
      </c>
    </row>
    <row r="130" spans="1:11" x14ac:dyDescent="0.25">
      <c r="A130" s="4">
        <f t="shared" si="9"/>
        <v>2.0126000000000266</v>
      </c>
      <c r="B130" s="6"/>
      <c r="C130" s="5" t="s">
        <v>583</v>
      </c>
      <c r="D130" s="7"/>
      <c r="E130" s="7"/>
      <c r="F130" s="7" t="s">
        <v>5</v>
      </c>
      <c r="G130" s="7">
        <f t="shared" si="13"/>
        <v>1</v>
      </c>
      <c r="H130" s="7">
        <f t="shared" si="13"/>
        <v>0</v>
      </c>
      <c r="I130" s="7">
        <f t="shared" si="13"/>
        <v>0</v>
      </c>
      <c r="J130" s="7">
        <f t="shared" si="13"/>
        <v>0</v>
      </c>
      <c r="K130" s="7">
        <f t="shared" si="13"/>
        <v>0</v>
      </c>
    </row>
    <row r="131" spans="1:11" x14ac:dyDescent="0.25">
      <c r="A131" s="4">
        <f t="shared" si="9"/>
        <v>2.0127000000000268</v>
      </c>
      <c r="B131" s="6"/>
      <c r="C131" s="5" t="s">
        <v>834</v>
      </c>
      <c r="D131" s="7"/>
      <c r="E131" s="7"/>
      <c r="F131" s="7" t="s">
        <v>5</v>
      </c>
      <c r="G131" s="7">
        <f t="shared" si="13"/>
        <v>1</v>
      </c>
      <c r="H131" s="7">
        <f t="shared" si="13"/>
        <v>0</v>
      </c>
      <c r="I131" s="7">
        <f t="shared" si="13"/>
        <v>0</v>
      </c>
      <c r="J131" s="7">
        <f t="shared" si="13"/>
        <v>0</v>
      </c>
      <c r="K131" s="7">
        <f t="shared" si="13"/>
        <v>0</v>
      </c>
    </row>
    <row r="132" spans="1:11" x14ac:dyDescent="0.25">
      <c r="A132" s="4">
        <f t="shared" si="9"/>
        <v>2.012800000000027</v>
      </c>
      <c r="B132" s="6"/>
      <c r="C132" s="5"/>
      <c r="D132" s="7"/>
      <c r="E132" s="7"/>
      <c r="F132" s="7"/>
      <c r="G132" s="7"/>
      <c r="H132" s="7"/>
      <c r="I132" s="7"/>
      <c r="J132" s="7"/>
      <c r="K132" s="7"/>
    </row>
    <row r="133" spans="1:11" x14ac:dyDescent="0.25">
      <c r="A133" s="4">
        <f t="shared" si="9"/>
        <v>2.0129000000000272</v>
      </c>
      <c r="B133" s="6"/>
      <c r="C133" s="5"/>
      <c r="D133" s="7"/>
      <c r="E133" s="7"/>
      <c r="F133" s="7"/>
      <c r="G133" s="7"/>
      <c r="H133" s="7"/>
      <c r="I133" s="7"/>
      <c r="J133" s="7"/>
      <c r="K133" s="7"/>
    </row>
    <row r="134" spans="1:11" x14ac:dyDescent="0.25">
      <c r="A134" s="4">
        <f t="shared" si="9"/>
        <v>2.0130000000000274</v>
      </c>
      <c r="B134" s="16" t="s">
        <v>647</v>
      </c>
      <c r="C134" s="17" t="s">
        <v>683</v>
      </c>
      <c r="D134" s="16"/>
      <c r="E134" s="7"/>
      <c r="F134" s="7"/>
      <c r="G134" s="7"/>
      <c r="H134" s="7"/>
      <c r="I134" s="7"/>
      <c r="J134" s="7"/>
      <c r="K134" s="7"/>
    </row>
    <row r="135" spans="1:11" ht="38.25" x14ac:dyDescent="0.25">
      <c r="A135" s="4">
        <f t="shared" si="9"/>
        <v>2.0131000000000276</v>
      </c>
      <c r="B135" s="103" t="s">
        <v>837</v>
      </c>
      <c r="C135" s="104" t="s">
        <v>708</v>
      </c>
      <c r="D135" s="6" t="s">
        <v>649</v>
      </c>
      <c r="E135" s="7"/>
      <c r="F135" s="7" t="s">
        <v>8</v>
      </c>
      <c r="G135" s="7">
        <f t="shared" ref="G135:K135" si="14">IF($F135=G$1,1,0)</f>
        <v>0</v>
      </c>
      <c r="H135" s="7">
        <f t="shared" si="14"/>
        <v>0</v>
      </c>
      <c r="I135" s="7">
        <f t="shared" si="14"/>
        <v>0</v>
      </c>
      <c r="J135" s="7">
        <f t="shared" si="14"/>
        <v>0</v>
      </c>
      <c r="K135" s="7">
        <f t="shared" si="14"/>
        <v>1</v>
      </c>
    </row>
    <row r="136" spans="1:11" x14ac:dyDescent="0.25">
      <c r="A136" s="4"/>
      <c r="B136" s="6"/>
      <c r="C136" s="5"/>
      <c r="D136" s="7"/>
      <c r="E136" s="7"/>
      <c r="F136" s="7"/>
      <c r="G136" s="7"/>
      <c r="H136" s="7"/>
      <c r="I136" s="7"/>
      <c r="J136" s="7"/>
      <c r="K136" s="7"/>
    </row>
    <row r="137" spans="1:11" ht="15.75" thickBot="1" x14ac:dyDescent="0.3">
      <c r="G137" s="95">
        <f>SUM(G5:G136)</f>
        <v>104</v>
      </c>
      <c r="H137" s="95">
        <f>SUM(H82:H136)</f>
        <v>0</v>
      </c>
      <c r="I137" s="95">
        <f>SUM(I82:I136)</f>
        <v>0</v>
      </c>
      <c r="J137" s="95">
        <f>SUM(J82:J136)</f>
        <v>0</v>
      </c>
      <c r="K137" s="95">
        <f>SUM(K82:K136)</f>
        <v>1</v>
      </c>
    </row>
    <row r="138" spans="1:11" ht="15.75" thickTop="1" x14ac:dyDescent="0.25"/>
  </sheetData>
  <mergeCells count="1">
    <mergeCell ref="B2:C2"/>
  </mergeCells>
  <conditionalFormatting sqref="D29:E34 B34:C34 A136:C136 G29:K34 F77:K77 F127:K127 G128:K131 G57:L58 B57:C57 D77:E81 L77:L81 B77:C77 B84:C91 G78:K90 B121:C126 G116:K125 B110:C115 G105:K114 F132:K136 E41:F41 L28:L41 G41:K43 B40 C35:D40 E40 A5:A135">
    <cfRule type="expression" dxfId="414" priority="219">
      <formula>$F5="Fail"</formula>
    </cfRule>
  </conditionalFormatting>
  <conditionalFormatting sqref="A4:K4 D43:F43 D9:E10 D5:E6 D42:E42">
    <cfRule type="expression" dxfId="413" priority="218">
      <formula>$F4="Fail"</formula>
    </cfRule>
  </conditionalFormatting>
  <conditionalFormatting sqref="D57:F57 E58:F58">
    <cfRule type="expression" dxfId="412" priority="217">
      <formula>$F57="Fail"</formula>
    </cfRule>
  </conditionalFormatting>
  <conditionalFormatting sqref="D28:E28 E35:E39">
    <cfRule type="expression" dxfId="411" priority="216">
      <formula>$F28="Fail"</formula>
    </cfRule>
  </conditionalFormatting>
  <conditionalFormatting sqref="E20:K20 D11:E11 D21:E21 D13:E19 E12">
    <cfRule type="expression" dxfId="410" priority="215">
      <formula>$F11="Fail"</formula>
    </cfRule>
  </conditionalFormatting>
  <conditionalFormatting sqref="D22:E27">
    <cfRule type="expression" dxfId="409" priority="214">
      <formula>$F22="Fail"</formula>
    </cfRule>
  </conditionalFormatting>
  <conditionalFormatting sqref="D8:E8">
    <cfRule type="expression" dxfId="408" priority="213">
      <formula>$F8="Fail"</formula>
    </cfRule>
  </conditionalFormatting>
  <conditionalFormatting sqref="D7:E7">
    <cfRule type="expression" dxfId="407" priority="212">
      <formula>$F7="Fail"</formula>
    </cfRule>
  </conditionalFormatting>
  <conditionalFormatting sqref="F5">
    <cfRule type="expression" dxfId="406" priority="211">
      <formula>$F5="Fail"</formula>
    </cfRule>
  </conditionalFormatting>
  <conditionalFormatting sqref="L42:L43 L9:L10 L4:L6">
    <cfRule type="expression" dxfId="405" priority="210">
      <formula>$F4="Fail"</formula>
    </cfRule>
  </conditionalFormatting>
  <conditionalFormatting sqref="L11:L21">
    <cfRule type="expression" dxfId="404" priority="207">
      <formula>$F11="Fail"</formula>
    </cfRule>
  </conditionalFormatting>
  <conditionalFormatting sqref="L22:L27">
    <cfRule type="expression" dxfId="403" priority="206">
      <formula>$F22="Fail"</formula>
    </cfRule>
  </conditionalFormatting>
  <conditionalFormatting sqref="L8">
    <cfRule type="expression" dxfId="402" priority="205">
      <formula>$F8="Fail"</formula>
    </cfRule>
  </conditionalFormatting>
  <conditionalFormatting sqref="L7">
    <cfRule type="expression" dxfId="401" priority="204">
      <formula>$F7="Fail"</formula>
    </cfRule>
  </conditionalFormatting>
  <conditionalFormatting sqref="B43:C43 B20:C20 B22:C30 B31">
    <cfRule type="expression" dxfId="400" priority="203">
      <formula>$F20="Fail"</formula>
    </cfRule>
  </conditionalFormatting>
  <conditionalFormatting sqref="B10:C11 B14:C18 C13">
    <cfRule type="expression" dxfId="399" priority="202">
      <formula>$F10="Fail"</formula>
    </cfRule>
  </conditionalFormatting>
  <conditionalFormatting sqref="B19:C19">
    <cfRule type="expression" dxfId="398" priority="201">
      <formula>$F19="Fail"</formula>
    </cfRule>
  </conditionalFormatting>
  <conditionalFormatting sqref="B19:C19">
    <cfRule type="expression" dxfId="397" priority="200">
      <formula>$F19="Fail"</formula>
    </cfRule>
  </conditionalFormatting>
  <conditionalFormatting sqref="G5:K19">
    <cfRule type="expression" dxfId="396" priority="199">
      <formula>$F5="Fail"</formula>
    </cfRule>
  </conditionalFormatting>
  <conditionalFormatting sqref="G21:K27">
    <cfRule type="expression" dxfId="395" priority="198">
      <formula>$F21="Fail"</formula>
    </cfRule>
  </conditionalFormatting>
  <conditionalFormatting sqref="G137:K137">
    <cfRule type="expression" dxfId="394" priority="196">
      <formula>$F137="Fail"</formula>
    </cfRule>
  </conditionalFormatting>
  <conditionalFormatting sqref="B132:C133">
    <cfRule type="expression" dxfId="393" priority="194">
      <formula>$F132="Fail"</formula>
    </cfRule>
  </conditionalFormatting>
  <conditionalFormatting sqref="C132:C133">
    <cfRule type="expression" dxfId="392" priority="193">
      <formula>$F132="Fail"</formula>
    </cfRule>
  </conditionalFormatting>
  <conditionalFormatting sqref="C91">
    <cfRule type="expression" dxfId="391" priority="192">
      <formula>$F91="Fail"</formula>
    </cfRule>
  </conditionalFormatting>
  <conditionalFormatting sqref="C136">
    <cfRule type="expression" dxfId="390" priority="189">
      <formula>$F136="Fail"</formula>
    </cfRule>
  </conditionalFormatting>
  <conditionalFormatting sqref="F11:F12">
    <cfRule type="expression" dxfId="389" priority="188">
      <formula>$F11="Fail"</formula>
    </cfRule>
  </conditionalFormatting>
  <conditionalFormatting sqref="C21">
    <cfRule type="expression" dxfId="388" priority="185">
      <formula>$F21="Fail"</formula>
    </cfRule>
  </conditionalFormatting>
  <conditionalFormatting sqref="B9:C9">
    <cfRule type="expression" dxfId="387" priority="187">
      <formula>$F9="Fail"</formula>
    </cfRule>
  </conditionalFormatting>
  <conditionalFormatting sqref="B21">
    <cfRule type="expression" dxfId="386" priority="186">
      <formula>$F21="Fail"</formula>
    </cfRule>
  </conditionalFormatting>
  <conditionalFormatting sqref="C31">
    <cfRule type="expression" dxfId="385" priority="184">
      <formula>$F31="Fail"</formula>
    </cfRule>
  </conditionalFormatting>
  <conditionalFormatting sqref="B33:C33">
    <cfRule type="expression" dxfId="384" priority="183">
      <formula>$F33="Fail"</formula>
    </cfRule>
  </conditionalFormatting>
  <conditionalFormatting sqref="B42:C42">
    <cfRule type="expression" dxfId="383" priority="180">
      <formula>$F42="Fail"</formula>
    </cfRule>
  </conditionalFormatting>
  <conditionalFormatting sqref="B91:C91">
    <cfRule type="expression" dxfId="382" priority="177">
      <formula>$F91="Fail"</formula>
    </cfRule>
  </conditionalFormatting>
  <conditionalFormatting sqref="B90:C90">
    <cfRule type="expression" dxfId="381" priority="173">
      <formula>$F90="Fail"</formula>
    </cfRule>
  </conditionalFormatting>
  <conditionalFormatting sqref="C128:C131">
    <cfRule type="expression" dxfId="380" priority="166">
      <formula>$F128="Fail"</formula>
    </cfRule>
  </conditionalFormatting>
  <conditionalFormatting sqref="B127">
    <cfRule type="expression" dxfId="379" priority="165">
      <formula>$F127="Fail"</formula>
    </cfRule>
  </conditionalFormatting>
  <conditionalFormatting sqref="C127">
    <cfRule type="expression" dxfId="378" priority="164">
      <formula>$F127="Fail"</formula>
    </cfRule>
  </conditionalFormatting>
  <conditionalFormatting sqref="C128:C131">
    <cfRule type="expression" dxfId="377" priority="167">
      <formula>$F128="Fail"</formula>
    </cfRule>
  </conditionalFormatting>
  <conditionalFormatting sqref="B128:C131">
    <cfRule type="expression" dxfId="376" priority="168">
      <formula>$F128="Fail"</formula>
    </cfRule>
  </conditionalFormatting>
  <conditionalFormatting sqref="C131">
    <cfRule type="expression" dxfId="375" priority="163">
      <formula>$F131="Fail"</formula>
    </cfRule>
  </conditionalFormatting>
  <conditionalFormatting sqref="B134:D134 B135:C135">
    <cfRule type="expression" dxfId="374" priority="162">
      <formula>$F134="Fail"</formula>
    </cfRule>
  </conditionalFormatting>
  <conditionalFormatting sqref="D135">
    <cfRule type="expression" dxfId="373" priority="161">
      <formula>$F135="Fail"</formula>
    </cfRule>
  </conditionalFormatting>
  <conditionalFormatting sqref="D20">
    <cfRule type="expression" dxfId="372" priority="160">
      <formula>$F20="Fail"</formula>
    </cfRule>
  </conditionalFormatting>
  <conditionalFormatting sqref="D127">
    <cfRule type="expression" dxfId="371" priority="158">
      <formula>$F127="Fail"</formula>
    </cfRule>
  </conditionalFormatting>
  <conditionalFormatting sqref="B32">
    <cfRule type="expression" dxfId="370" priority="157">
      <formula>$F32="Fail"</formula>
    </cfRule>
  </conditionalFormatting>
  <conditionalFormatting sqref="C32">
    <cfRule type="expression" dxfId="369" priority="156">
      <formula>$F32="Fail"</formula>
    </cfRule>
  </conditionalFormatting>
  <conditionalFormatting sqref="B33">
    <cfRule type="expression" dxfId="368" priority="155">
      <formula>$F33="Fail"</formula>
    </cfRule>
  </conditionalFormatting>
  <conditionalFormatting sqref="C33">
    <cfRule type="expression" dxfId="367" priority="154">
      <formula>$F33="Fail"</formula>
    </cfRule>
  </conditionalFormatting>
  <conditionalFormatting sqref="C5">
    <cfRule type="expression" dxfId="366" priority="152">
      <formula>$F5="Fail"</formula>
    </cfRule>
  </conditionalFormatting>
  <conditionalFormatting sqref="B5">
    <cfRule type="expression" dxfId="365" priority="151">
      <formula>$F5="Fail"</formula>
    </cfRule>
  </conditionalFormatting>
  <conditionalFormatting sqref="B6:C8">
    <cfRule type="expression" dxfId="364" priority="150">
      <formula>$F6="Fail"</formula>
    </cfRule>
  </conditionalFormatting>
  <conditionalFormatting sqref="B12:C12">
    <cfRule type="expression" dxfId="363" priority="147">
      <formula>$F12="Fail"</formula>
    </cfRule>
  </conditionalFormatting>
  <conditionalFormatting sqref="D12">
    <cfRule type="expression" dxfId="362" priority="146">
      <formula>$F12="Fail"</formula>
    </cfRule>
  </conditionalFormatting>
  <conditionalFormatting sqref="B13">
    <cfRule type="expression" dxfId="361" priority="145">
      <formula>$F13="Fail"</formula>
    </cfRule>
  </conditionalFormatting>
  <conditionalFormatting sqref="F22 F24 F26">
    <cfRule type="expression" dxfId="360" priority="144">
      <formula>$F22="Fail"</formula>
    </cfRule>
  </conditionalFormatting>
  <conditionalFormatting sqref="B80:B83">
    <cfRule type="expression" dxfId="359" priority="124">
      <formula>$F80="Fail"</formula>
    </cfRule>
  </conditionalFormatting>
  <conditionalFormatting sqref="C81:C83">
    <cfRule type="expression" dxfId="358" priority="123">
      <formula>$F81="Fail"</formula>
    </cfRule>
  </conditionalFormatting>
  <conditionalFormatting sqref="C81:C83">
    <cfRule type="expression" dxfId="357" priority="122">
      <formula>$F81="Fail"</formula>
    </cfRule>
  </conditionalFormatting>
  <conditionalFormatting sqref="C78:C79">
    <cfRule type="expression" dxfId="356" priority="121">
      <formula>$F78="Fail"</formula>
    </cfRule>
  </conditionalFormatting>
  <conditionalFormatting sqref="C78:C79">
    <cfRule type="expression" dxfId="355" priority="120">
      <formula>$F78="Fail"</formula>
    </cfRule>
  </conditionalFormatting>
  <conditionalFormatting sqref="C78:C79">
    <cfRule type="expression" dxfId="354" priority="119">
      <formula>$F78="Fail"</formula>
    </cfRule>
  </conditionalFormatting>
  <conditionalFormatting sqref="B78:B79">
    <cfRule type="expression" dxfId="353" priority="118">
      <formula>$F78="Fail"</formula>
    </cfRule>
  </conditionalFormatting>
  <conditionalFormatting sqref="C80">
    <cfRule type="expression" dxfId="352" priority="117">
      <formula>$F80="Fail"</formula>
    </cfRule>
  </conditionalFormatting>
  <conditionalFormatting sqref="C80">
    <cfRule type="expression" dxfId="351" priority="116">
      <formula>$F80="Fail"</formula>
    </cfRule>
  </conditionalFormatting>
  <conditionalFormatting sqref="C80">
    <cfRule type="expression" dxfId="350" priority="115">
      <formula>$F80="Fail"</formula>
    </cfRule>
  </conditionalFormatting>
  <conditionalFormatting sqref="G91:K91">
    <cfRule type="expression" dxfId="349" priority="83">
      <formula>$F91="Fail"</formula>
    </cfRule>
  </conditionalFormatting>
  <conditionalFormatting sqref="D92:E94 L92:L94 B97:C104 G92:K103">
    <cfRule type="expression" dxfId="348" priority="80">
      <formula>$F92="Fail"</formula>
    </cfRule>
  </conditionalFormatting>
  <conditionalFormatting sqref="C104">
    <cfRule type="expression" dxfId="347" priority="79">
      <formula>$F104="Fail"</formula>
    </cfRule>
  </conditionalFormatting>
  <conditionalFormatting sqref="B104:C104">
    <cfRule type="expression" dxfId="346" priority="78">
      <formula>$F104="Fail"</formula>
    </cfRule>
  </conditionalFormatting>
  <conditionalFormatting sqref="B103:C103">
    <cfRule type="expression" dxfId="345" priority="77">
      <formula>$F103="Fail"</formula>
    </cfRule>
  </conditionalFormatting>
  <conditionalFormatting sqref="B93:B96">
    <cfRule type="expression" dxfId="344" priority="76">
      <formula>$F93="Fail"</formula>
    </cfRule>
  </conditionalFormatting>
  <conditionalFormatting sqref="C94:C96">
    <cfRule type="expression" dxfId="343" priority="75">
      <formula>$F94="Fail"</formula>
    </cfRule>
  </conditionalFormatting>
  <conditionalFormatting sqref="C94:C96">
    <cfRule type="expression" dxfId="342" priority="74">
      <formula>$F94="Fail"</formula>
    </cfRule>
  </conditionalFormatting>
  <conditionalFormatting sqref="C92">
    <cfRule type="expression" dxfId="341" priority="73">
      <formula>$F92="Fail"</formula>
    </cfRule>
  </conditionalFormatting>
  <conditionalFormatting sqref="C92">
    <cfRule type="expression" dxfId="340" priority="72">
      <formula>$F92="Fail"</formula>
    </cfRule>
  </conditionalFormatting>
  <conditionalFormatting sqref="C92">
    <cfRule type="expression" dxfId="339" priority="71">
      <formula>$F92="Fail"</formula>
    </cfRule>
  </conditionalFormatting>
  <conditionalFormatting sqref="B92">
    <cfRule type="expression" dxfId="338" priority="70">
      <formula>$F92="Fail"</formula>
    </cfRule>
  </conditionalFormatting>
  <conditionalFormatting sqref="C93">
    <cfRule type="expression" dxfId="337" priority="69">
      <formula>$F93="Fail"</formula>
    </cfRule>
  </conditionalFormatting>
  <conditionalFormatting sqref="C93">
    <cfRule type="expression" dxfId="336" priority="68">
      <formula>$F93="Fail"</formula>
    </cfRule>
  </conditionalFormatting>
  <conditionalFormatting sqref="C93">
    <cfRule type="expression" dxfId="335" priority="67">
      <formula>$F93="Fail"</formula>
    </cfRule>
  </conditionalFormatting>
  <conditionalFormatting sqref="G104:K104">
    <cfRule type="expression" dxfId="334" priority="64">
      <formula>$F104="Fail"</formula>
    </cfRule>
  </conditionalFormatting>
  <conditionalFormatting sqref="D105:E107 L105:L107">
    <cfRule type="expression" dxfId="333" priority="61">
      <formula>$F105="Fail"</formula>
    </cfRule>
  </conditionalFormatting>
  <conditionalFormatting sqref="C115">
    <cfRule type="expression" dxfId="332" priority="60">
      <formula>$F115="Fail"</formula>
    </cfRule>
  </conditionalFormatting>
  <conditionalFormatting sqref="B115:C115">
    <cfRule type="expression" dxfId="331" priority="59">
      <formula>$F115="Fail"</formula>
    </cfRule>
  </conditionalFormatting>
  <conditionalFormatting sqref="B106:B109">
    <cfRule type="expression" dxfId="330" priority="57">
      <formula>$F106="Fail"</formula>
    </cfRule>
  </conditionalFormatting>
  <conditionalFormatting sqref="C107:C109">
    <cfRule type="expression" dxfId="329" priority="56">
      <formula>$F107="Fail"</formula>
    </cfRule>
  </conditionalFormatting>
  <conditionalFormatting sqref="C107:C109">
    <cfRule type="expression" dxfId="328" priority="55">
      <formula>$F107="Fail"</formula>
    </cfRule>
  </conditionalFormatting>
  <conditionalFormatting sqref="C105">
    <cfRule type="expression" dxfId="327" priority="54">
      <formula>$F105="Fail"</formula>
    </cfRule>
  </conditionalFormatting>
  <conditionalFormatting sqref="C105">
    <cfRule type="expression" dxfId="326" priority="53">
      <formula>$F105="Fail"</formula>
    </cfRule>
  </conditionalFormatting>
  <conditionalFormatting sqref="C105">
    <cfRule type="expression" dxfId="325" priority="52">
      <formula>$F105="Fail"</formula>
    </cfRule>
  </conditionalFormatting>
  <conditionalFormatting sqref="B105">
    <cfRule type="expression" dxfId="324" priority="51">
      <formula>$F105="Fail"</formula>
    </cfRule>
  </conditionalFormatting>
  <conditionalFormatting sqref="C106">
    <cfRule type="expression" dxfId="323" priority="50">
      <formula>$F106="Fail"</formula>
    </cfRule>
  </conditionalFormatting>
  <conditionalFormatting sqref="C106">
    <cfRule type="expression" dxfId="322" priority="49">
      <formula>$F106="Fail"</formula>
    </cfRule>
  </conditionalFormatting>
  <conditionalFormatting sqref="C106">
    <cfRule type="expression" dxfId="321" priority="48">
      <formula>$F106="Fail"</formula>
    </cfRule>
  </conditionalFormatting>
  <conditionalFormatting sqref="G115:K115">
    <cfRule type="expression" dxfId="320" priority="45">
      <formula>$F115="Fail"</formula>
    </cfRule>
  </conditionalFormatting>
  <conditionalFormatting sqref="D116:E118 L116:L118">
    <cfRule type="expression" dxfId="319" priority="41">
      <formula>$F116="Fail"</formula>
    </cfRule>
  </conditionalFormatting>
  <conditionalFormatting sqref="C126">
    <cfRule type="expression" dxfId="318" priority="40">
      <formula>$F126="Fail"</formula>
    </cfRule>
  </conditionalFormatting>
  <conditionalFormatting sqref="B126:C126">
    <cfRule type="expression" dxfId="317" priority="39">
      <formula>$F126="Fail"</formula>
    </cfRule>
  </conditionalFormatting>
  <conditionalFormatting sqref="B117:B120">
    <cfRule type="expression" dxfId="316" priority="38">
      <formula>$F117="Fail"</formula>
    </cfRule>
  </conditionalFormatting>
  <conditionalFormatting sqref="C118:C120">
    <cfRule type="expression" dxfId="315" priority="37">
      <formula>$F118="Fail"</formula>
    </cfRule>
  </conditionalFormatting>
  <conditionalFormatting sqref="C118:C120">
    <cfRule type="expression" dxfId="314" priority="36">
      <formula>$F118="Fail"</formula>
    </cfRule>
  </conditionalFormatting>
  <conditionalFormatting sqref="C116">
    <cfRule type="expression" dxfId="313" priority="35">
      <formula>$F116="Fail"</formula>
    </cfRule>
  </conditionalFormatting>
  <conditionalFormatting sqref="C116">
    <cfRule type="expression" dxfId="312" priority="34">
      <formula>$F116="Fail"</formula>
    </cfRule>
  </conditionalFormatting>
  <conditionalFormatting sqref="C116">
    <cfRule type="expression" dxfId="311" priority="33">
      <formula>$F116="Fail"</formula>
    </cfRule>
  </conditionalFormatting>
  <conditionalFormatting sqref="B116">
    <cfRule type="expression" dxfId="310" priority="32">
      <formula>$F116="Fail"</formula>
    </cfRule>
  </conditionalFormatting>
  <conditionalFormatting sqref="C117">
    <cfRule type="expression" dxfId="309" priority="31">
      <formula>$F117="Fail"</formula>
    </cfRule>
  </conditionalFormatting>
  <conditionalFormatting sqref="C117">
    <cfRule type="expression" dxfId="308" priority="30">
      <formula>$F117="Fail"</formula>
    </cfRule>
  </conditionalFormatting>
  <conditionalFormatting sqref="C117">
    <cfRule type="expression" dxfId="307" priority="29">
      <formula>$F117="Fail"</formula>
    </cfRule>
  </conditionalFormatting>
  <conditionalFormatting sqref="G126:K126">
    <cfRule type="expression" dxfId="306" priority="27">
      <formula>$F126="Fail"</formula>
    </cfRule>
  </conditionalFormatting>
  <conditionalFormatting sqref="D128">
    <cfRule type="expression" dxfId="305" priority="25">
      <formula>$F128="Fail"</formula>
    </cfRule>
  </conditionalFormatting>
  <conditionalFormatting sqref="G28:K28">
    <cfRule type="expression" dxfId="304" priority="23">
      <formula>$F28="Fail"</formula>
    </cfRule>
  </conditionalFormatting>
  <conditionalFormatting sqref="F23">
    <cfRule type="expression" dxfId="303" priority="18">
      <formula>$F23="Fail"</formula>
    </cfRule>
  </conditionalFormatting>
  <conditionalFormatting sqref="F6:F10">
    <cfRule type="expression" dxfId="302" priority="21">
      <formula>$F6="Fail"</formula>
    </cfRule>
  </conditionalFormatting>
  <conditionalFormatting sqref="F13:F19">
    <cfRule type="expression" dxfId="301" priority="20">
      <formula>$F13="Fail"</formula>
    </cfRule>
  </conditionalFormatting>
  <conditionalFormatting sqref="F21">
    <cfRule type="expression" dxfId="300" priority="19">
      <formula>$F21="Fail"</formula>
    </cfRule>
  </conditionalFormatting>
  <conditionalFormatting sqref="F25">
    <cfRule type="expression" dxfId="299" priority="17">
      <formula>$F25="Fail"</formula>
    </cfRule>
  </conditionalFormatting>
  <conditionalFormatting sqref="F27:F34">
    <cfRule type="expression" dxfId="298" priority="16">
      <formula>$F27="Fail"</formula>
    </cfRule>
  </conditionalFormatting>
  <conditionalFormatting sqref="F42">
    <cfRule type="expression" dxfId="297" priority="15">
      <formula>$F42="Fail"</formula>
    </cfRule>
  </conditionalFormatting>
  <conditionalFormatting sqref="F44:F48">
    <cfRule type="expression" dxfId="296" priority="14">
      <formula>$F44="Fail"</formula>
    </cfRule>
  </conditionalFormatting>
  <conditionalFormatting sqref="F49:F50">
    <cfRule type="expression" dxfId="295" priority="13">
      <formula>$F49="Fail"</formula>
    </cfRule>
  </conditionalFormatting>
  <conditionalFormatting sqref="F35:F39">
    <cfRule type="expression" dxfId="294" priority="8">
      <formula>$F35="Fail"</formula>
    </cfRule>
  </conditionalFormatting>
  <conditionalFormatting sqref="C41">
    <cfRule type="expression" dxfId="293" priority="12">
      <formula>$F41="Fail"</formula>
    </cfRule>
  </conditionalFormatting>
  <conditionalFormatting sqref="B41">
    <cfRule type="expression" dxfId="292" priority="11">
      <formula>$F41="Fail"</formula>
    </cfRule>
  </conditionalFormatting>
  <conditionalFormatting sqref="D41">
    <cfRule type="expression" dxfId="291" priority="10">
      <formula>$F41="Fail"</formula>
    </cfRule>
  </conditionalFormatting>
  <conditionalFormatting sqref="G35:K39">
    <cfRule type="expression" dxfId="290" priority="9">
      <formula>$F35="Fail"</formula>
    </cfRule>
  </conditionalFormatting>
  <conditionalFormatting sqref="G40:K40">
    <cfRule type="expression" dxfId="289" priority="7">
      <formula>$F40="Fail"</formula>
    </cfRule>
  </conditionalFormatting>
  <conditionalFormatting sqref="F40">
    <cfRule type="expression" dxfId="288" priority="6">
      <formula>$F40="Fail"</formula>
    </cfRule>
  </conditionalFormatting>
  <conditionalFormatting sqref="F52:F56">
    <cfRule type="expression" dxfId="287" priority="5">
      <formula>$F52="Fail"</formula>
    </cfRule>
  </conditionalFormatting>
  <conditionalFormatting sqref="F59:F64">
    <cfRule type="expression" dxfId="286" priority="4">
      <formula>$F59="Fail"</formula>
    </cfRule>
  </conditionalFormatting>
  <conditionalFormatting sqref="F66:F76">
    <cfRule type="expression" dxfId="285" priority="3">
      <formula>$F66="Fail"</formula>
    </cfRule>
  </conditionalFormatting>
  <conditionalFormatting sqref="F78:F126">
    <cfRule type="expression" dxfId="284" priority="2">
      <formula>$F78="Fail"</formula>
    </cfRule>
  </conditionalFormatting>
  <conditionalFormatting sqref="F128:F131">
    <cfRule type="expression" dxfId="283" priority="1">
      <formula>$F128="Fail"</formula>
    </cfRule>
  </conditionalFormatting>
  <dataValidations count="1">
    <dataValidation type="list" allowBlank="1" showInputMessage="1" showErrorMessage="1" sqref="F4:F136">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2]!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9" id="{B51E438F-8F40-456E-8EDC-275373C04EF5}">
            <xm:f>'C:\Users\E939818\Documents\_Project Documents\SVN TEST  team\_Sutuwa\Testing\Release 1\Stats\[SEB_InvestAdmin_Investment.xlsm]External'!#REF!="Fail"</xm:f>
            <x14:dxf>
              <font>
                <color rgb="FFFF0000"/>
              </font>
              <fill>
                <patternFill>
                  <bgColor theme="9" tint="0.59996337778862885"/>
                </patternFill>
              </fill>
            </x14:dxf>
          </x14:cfRule>
          <xm:sqref>B58:D58</xm:sqref>
        </x14:conditionalFormatting>
        <x14:conditionalFormatting xmlns:xm="http://schemas.microsoft.com/office/excel/2006/main">
          <x14:cfRule type="expression" priority="97" id="{18508C2C-C654-4FEF-AB8F-1B763B980C1A}">
            <xm:f>'Test Case'!$F39="Fail"</xm:f>
            <x14:dxf>
              <font>
                <color rgb="FFFF0000"/>
              </font>
              <fill>
                <patternFill>
                  <bgColor theme="9" tint="0.59996337778862885"/>
                </patternFill>
              </fill>
            </x14:dxf>
          </x14:cfRule>
          <xm:sqref>B46:E49 G46:L49</xm:sqref>
        </x14:conditionalFormatting>
        <x14:conditionalFormatting xmlns:xm="http://schemas.microsoft.com/office/excel/2006/main">
          <x14:cfRule type="expression" priority="109" id="{79E2071A-9EC0-49A8-A4C9-4A8798580F14}">
            <xm:f>'Test Case'!$F49="Fail"</xm:f>
            <x14:dxf>
              <font>
                <color rgb="FFFF0000"/>
              </font>
              <fill>
                <patternFill>
                  <bgColor theme="9" tint="0.59996337778862885"/>
                </patternFill>
              </fill>
            </x14:dxf>
          </x14:cfRule>
          <xm:sqref>B50:C51 E51:L51 E50 G50:L50</xm:sqref>
        </x14:conditionalFormatting>
        <x14:conditionalFormatting xmlns:xm="http://schemas.microsoft.com/office/excel/2006/main">
          <x14:cfRule type="expression" priority="86" id="{C67653DA-BE80-4156-98BC-6DE6D9557747}">
            <xm:f>'C:\Users\E939818\Documents\_Project Documents\SVN TEST  team\_Sutuwa\Testing\Release 1\Stats\[SEB_InvestAdmin_Investment.xlsm]External'!#REF!="Fail"</xm:f>
            <x14:dxf>
              <font>
                <color rgb="FFFF0000"/>
              </font>
              <fill>
                <patternFill>
                  <bgColor theme="9" tint="0.59996337778862885"/>
                </patternFill>
              </fill>
            </x14:dxf>
          </x14:cfRule>
          <xm:sqref>B59:D59 B61:D64 B60:C60</xm:sqref>
        </x14:conditionalFormatting>
        <x14:conditionalFormatting xmlns:xm="http://schemas.microsoft.com/office/excel/2006/main">
          <x14:cfRule type="expression" priority="85" id="{0979C870-84A7-468F-8B8D-074625A55C14}">
            <xm:f>'C:\Users\E939818\Documents\_Project Documents\SVN TEST  team\_Sutuwa\Testing\Release 1\Stats\[SEB_InvestAdmin_Investment.xlsm]External'!#REF!="Fail"</xm:f>
            <x14:dxf>
              <font>
                <color rgb="FFFF0000"/>
              </font>
              <fill>
                <patternFill>
                  <bgColor theme="9" tint="0.59996337778862885"/>
                </patternFill>
              </fill>
            </x14:dxf>
          </x14:cfRule>
          <xm:sqref>D65</xm:sqref>
        </x14:conditionalFormatting>
        <x14:conditionalFormatting xmlns:xm="http://schemas.microsoft.com/office/excel/2006/main">
          <x14:cfRule type="expression" priority="24" id="{7928BAF5-B70E-4ADB-9452-04E9E99C6392}">
            <xm:f>'C:\Users\E939818\Documents\_Project Documents\SVN TEST  team\_Sutuwa\Testing\Release 1\Stats\[SEB_InvestAdmin_Investment.xlsm]External'!#REF!="Fail"</xm:f>
            <x14:dxf>
              <font>
                <color rgb="FFFF0000"/>
              </font>
              <fill>
                <patternFill>
                  <bgColor theme="9" tint="0.59996337778862885"/>
                </patternFill>
              </fill>
            </x14:dxf>
          </x14:cfRule>
          <xm:sqref>D60</xm:sqref>
        </x14:conditionalFormatting>
        <x14:conditionalFormatting xmlns:xm="http://schemas.microsoft.com/office/excel/2006/main">
          <x14:cfRule type="expression" priority="1031" id="{643A8A7A-34B1-45D9-93ED-3ED31C8C8DF3}">
            <xm:f>'External - MV Adjustment'!$F58="Fail"</xm:f>
            <x14:dxf>
              <font>
                <color rgb="FFFF0000"/>
              </font>
              <fill>
                <patternFill>
                  <bgColor theme="9" tint="0.59996337778862885"/>
                </patternFill>
              </fill>
            </x14:dxf>
          </x14:cfRule>
          <xm:sqref>B65:C65 E65:L65 E59:E64 G59:L64</xm:sqref>
        </x14:conditionalFormatting>
        <x14:conditionalFormatting xmlns:xm="http://schemas.microsoft.com/office/excel/2006/main">
          <x14:cfRule type="expression" priority="1037" id="{643A8A7A-34B1-45D9-93ED-3ED31C8C8DF3}">
            <xm:f>'External - MV Adjustment'!#REF!="Fail"</xm:f>
            <x14:dxf>
              <font>
                <color rgb="FFFF0000"/>
              </font>
              <fill>
                <patternFill>
                  <bgColor theme="9" tint="0.59996337778862885"/>
                </patternFill>
              </fill>
            </x14:dxf>
          </x14:cfRule>
          <xm:sqref>B66:E73 G66:L73</xm:sqref>
        </x14:conditionalFormatting>
        <x14:conditionalFormatting xmlns:xm="http://schemas.microsoft.com/office/excel/2006/main">
          <x14:cfRule type="expression" priority="1043" id="{643A8A7A-34B1-45D9-93ED-3ED31C8C8DF3}">
            <xm:f>'External - MV Adjustment'!#REF!="Fail"</xm:f>
            <x14:dxf>
              <font>
                <color rgb="FFFF0000"/>
              </font>
              <fill>
                <patternFill>
                  <bgColor theme="9" tint="0.59996337778862885"/>
                </patternFill>
              </fill>
            </x14:dxf>
          </x14:cfRule>
          <xm:sqref>B74:E76 G74:L76</xm:sqref>
        </x14:conditionalFormatting>
        <x14:conditionalFormatting xmlns:xm="http://schemas.microsoft.com/office/excel/2006/main">
          <x14:cfRule type="expression" priority="1187" id="{643A8A7A-34B1-45D9-93ED-3ED31C8C8DF3}">
            <xm:f>'External - MV Adjustment'!$F44="Fail"</xm:f>
            <x14:dxf>
              <font>
                <color rgb="FFFF0000"/>
              </font>
              <fill>
                <patternFill>
                  <bgColor theme="9" tint="0.59996337778862885"/>
                </patternFill>
              </fill>
            </x14:dxf>
          </x14:cfRule>
          <xm:sqref>G52:L55 B44:E45 B52:E55 G44:L45</xm:sqref>
        </x14:conditionalFormatting>
        <x14:conditionalFormatting xmlns:xm="http://schemas.microsoft.com/office/excel/2006/main">
          <x14:cfRule type="expression" priority="1188" id="{643A8A7A-34B1-45D9-93ED-3ED31C8C8DF3}">
            <xm:f>'External - MV Adjustment'!#REF!="Fail"</xm:f>
            <x14:dxf>
              <font>
                <color rgb="FFFF0000"/>
              </font>
              <fill>
                <patternFill>
                  <bgColor theme="9" tint="0.59996337778862885"/>
                </patternFill>
              </fill>
            </x14:dxf>
          </x14:cfRule>
          <xm:sqref>G56:L56 B56:E56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L140"/>
  <sheetViews>
    <sheetView topLeftCell="C1" zoomScaleNormal="100" workbookViewId="0">
      <pane ySplit="1" topLeftCell="A119" activePane="bottomLeft" state="frozen"/>
      <selection pane="bottomLeft" activeCell="C7" sqref="C7"/>
    </sheetView>
  </sheetViews>
  <sheetFormatPr defaultRowHeight="15" outlineLevelRow="1" x14ac:dyDescent="0.25"/>
  <cols>
    <col min="1" max="1" width="11.28515625" style="3" bestFit="1" customWidth="1"/>
    <col min="2" max="2" width="56.7109375" style="1" customWidth="1"/>
    <col min="3" max="3" width="50.7109375" style="1" customWidth="1"/>
    <col min="4" max="4" width="48.140625" style="1"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 t="s">
        <v>4</v>
      </c>
      <c r="E1" s="11" t="s">
        <v>3</v>
      </c>
      <c r="F1" s="10" t="s">
        <v>0</v>
      </c>
      <c r="G1" s="11" t="s">
        <v>5</v>
      </c>
      <c r="H1" s="11" t="s">
        <v>6</v>
      </c>
      <c r="I1" s="11"/>
      <c r="J1" s="11" t="s">
        <v>7</v>
      </c>
      <c r="K1" s="11" t="s">
        <v>8</v>
      </c>
      <c r="L1" s="11" t="s">
        <v>12</v>
      </c>
    </row>
    <row r="2" spans="1:12" s="100" customFormat="1" ht="30" customHeight="1" x14ac:dyDescent="0.25">
      <c r="A2" s="101"/>
      <c r="B2" s="182" t="s">
        <v>712</v>
      </c>
      <c r="C2" s="183"/>
      <c r="D2" s="102" t="s">
        <v>709</v>
      </c>
      <c r="E2" s="99"/>
      <c r="F2" s="98"/>
      <c r="G2" s="99"/>
      <c r="H2" s="99"/>
      <c r="I2" s="99"/>
      <c r="J2" s="99"/>
      <c r="K2" s="99"/>
      <c r="L2" s="99"/>
    </row>
    <row r="3" spans="1:12" s="100" customFormat="1" ht="30" customHeight="1" x14ac:dyDescent="0.25">
      <c r="A3" s="169" t="s">
        <v>1045</v>
      </c>
      <c r="B3" s="170" t="s">
        <v>1046</v>
      </c>
      <c r="C3" s="171"/>
      <c r="D3" s="172"/>
      <c r="E3" s="99"/>
      <c r="F3" s="98"/>
      <c r="G3" s="99"/>
      <c r="H3" s="99"/>
      <c r="I3" s="99"/>
      <c r="J3" s="99"/>
      <c r="K3" s="99"/>
      <c r="L3" s="99"/>
    </row>
    <row r="4" spans="1:12" s="19" customFormat="1" x14ac:dyDescent="0.25">
      <c r="A4" s="15">
        <v>2</v>
      </c>
      <c r="B4" s="16" t="s">
        <v>651</v>
      </c>
      <c r="C4" s="17"/>
      <c r="D4" s="16"/>
      <c r="E4" s="16"/>
      <c r="F4" s="18"/>
      <c r="G4" s="18"/>
      <c r="H4" s="18"/>
      <c r="I4" s="18"/>
      <c r="J4" s="18"/>
      <c r="K4" s="18"/>
      <c r="L4" s="16"/>
    </row>
    <row r="5" spans="1:12" ht="51" x14ac:dyDescent="0.25">
      <c r="A5" s="4">
        <f t="shared" ref="A5:A88" si="0">A4+0.0001</f>
        <v>2.0001000000000002</v>
      </c>
      <c r="B5" s="5" t="s">
        <v>916</v>
      </c>
      <c r="C5" s="8"/>
      <c r="D5" s="6" t="s">
        <v>689</v>
      </c>
      <c r="E5" s="5"/>
      <c r="F5" s="7" t="s">
        <v>5</v>
      </c>
      <c r="G5" s="7">
        <f t="shared" ref="G5:K29" si="1">IF($F5=G$1,1,0)</f>
        <v>1</v>
      </c>
      <c r="H5" s="7">
        <f t="shared" si="1"/>
        <v>0</v>
      </c>
      <c r="I5" s="7">
        <f t="shared" si="1"/>
        <v>0</v>
      </c>
      <c r="J5" s="7">
        <f t="shared" si="1"/>
        <v>0</v>
      </c>
      <c r="K5" s="7">
        <f t="shared" si="1"/>
        <v>0</v>
      </c>
      <c r="L5" s="6"/>
    </row>
    <row r="6" spans="1:12" ht="25.5" x14ac:dyDescent="0.25">
      <c r="A6" s="4">
        <f t="shared" si="0"/>
        <v>2.0002000000000004</v>
      </c>
      <c r="B6" s="63" t="s">
        <v>593</v>
      </c>
      <c r="C6" s="8" t="s">
        <v>594</v>
      </c>
      <c r="D6" s="6"/>
      <c r="E6" s="5"/>
      <c r="F6" s="7" t="s">
        <v>5</v>
      </c>
      <c r="G6" s="7">
        <f t="shared" si="1"/>
        <v>1</v>
      </c>
      <c r="H6" s="7">
        <f t="shared" si="1"/>
        <v>0</v>
      </c>
      <c r="I6" s="7">
        <f t="shared" si="1"/>
        <v>0</v>
      </c>
      <c r="J6" s="7">
        <f t="shared" si="1"/>
        <v>0</v>
      </c>
      <c r="K6" s="7">
        <f t="shared" si="1"/>
        <v>0</v>
      </c>
      <c r="L6" s="6"/>
    </row>
    <row r="7" spans="1:12" ht="25.5" x14ac:dyDescent="0.25">
      <c r="A7" s="4">
        <f t="shared" si="0"/>
        <v>2.0003000000000006</v>
      </c>
      <c r="B7" s="63" t="s">
        <v>595</v>
      </c>
      <c r="C7" s="8" t="s">
        <v>596</v>
      </c>
      <c r="D7" s="6"/>
      <c r="E7" s="5"/>
      <c r="F7" s="7" t="s">
        <v>5</v>
      </c>
      <c r="G7" s="7">
        <f t="shared" si="1"/>
        <v>1</v>
      </c>
      <c r="H7" s="7">
        <f t="shared" si="1"/>
        <v>0</v>
      </c>
      <c r="I7" s="7">
        <f t="shared" si="1"/>
        <v>0</v>
      </c>
      <c r="J7" s="7">
        <f t="shared" si="1"/>
        <v>0</v>
      </c>
      <c r="K7" s="7">
        <f t="shared" si="1"/>
        <v>0</v>
      </c>
      <c r="L7" s="6"/>
    </row>
    <row r="8" spans="1:12" ht="25.5" x14ac:dyDescent="0.25">
      <c r="A8" s="4">
        <f t="shared" si="0"/>
        <v>2.0004000000000008</v>
      </c>
      <c r="B8" s="5"/>
      <c r="C8" s="8" t="s">
        <v>713</v>
      </c>
      <c r="D8" s="6"/>
      <c r="E8" s="5"/>
      <c r="F8" s="7" t="s">
        <v>5</v>
      </c>
      <c r="G8" s="7">
        <f t="shared" si="1"/>
        <v>1</v>
      </c>
      <c r="H8" s="7">
        <f t="shared" si="1"/>
        <v>0</v>
      </c>
      <c r="I8" s="7">
        <f t="shared" si="1"/>
        <v>0</v>
      </c>
      <c r="J8" s="7">
        <f t="shared" si="1"/>
        <v>0</v>
      </c>
      <c r="K8" s="7">
        <f t="shared" si="1"/>
        <v>0</v>
      </c>
      <c r="L8" s="6"/>
    </row>
    <row r="9" spans="1:12" ht="25.5" x14ac:dyDescent="0.25">
      <c r="A9" s="4">
        <f t="shared" si="0"/>
        <v>2.0005000000000011</v>
      </c>
      <c r="B9" s="5"/>
      <c r="C9" s="8" t="s">
        <v>690</v>
      </c>
      <c r="D9" s="20" t="s">
        <v>691</v>
      </c>
      <c r="E9" s="5"/>
      <c r="F9" s="7" t="s">
        <v>5</v>
      </c>
      <c r="G9" s="7">
        <f t="shared" si="1"/>
        <v>1</v>
      </c>
      <c r="H9" s="7">
        <f t="shared" si="1"/>
        <v>0</v>
      </c>
      <c r="I9" s="7">
        <f t="shared" si="1"/>
        <v>0</v>
      </c>
      <c r="J9" s="7">
        <f t="shared" si="1"/>
        <v>0</v>
      </c>
      <c r="K9" s="7">
        <f t="shared" si="1"/>
        <v>0</v>
      </c>
      <c r="L9" s="6"/>
    </row>
    <row r="10" spans="1:12" x14ac:dyDescent="0.25">
      <c r="A10" s="4">
        <f t="shared" si="0"/>
        <v>2.0006000000000013</v>
      </c>
      <c r="B10" s="5" t="s">
        <v>672</v>
      </c>
      <c r="C10" s="94" t="s">
        <v>714</v>
      </c>
      <c r="D10" s="6"/>
      <c r="E10" s="6"/>
      <c r="F10" s="7" t="s">
        <v>5</v>
      </c>
      <c r="G10" s="7">
        <f t="shared" si="1"/>
        <v>1</v>
      </c>
      <c r="H10" s="7">
        <f t="shared" si="1"/>
        <v>0</v>
      </c>
      <c r="I10" s="7">
        <f t="shared" si="1"/>
        <v>0</v>
      </c>
      <c r="J10" s="7">
        <f t="shared" si="1"/>
        <v>0</v>
      </c>
      <c r="K10" s="7">
        <f t="shared" si="1"/>
        <v>0</v>
      </c>
      <c r="L10" s="6"/>
    </row>
    <row r="11" spans="1:12" x14ac:dyDescent="0.25">
      <c r="A11" s="4">
        <f t="shared" si="0"/>
        <v>2.0007000000000015</v>
      </c>
      <c r="B11" s="5"/>
      <c r="C11" s="22"/>
      <c r="D11" s="6"/>
      <c r="E11" s="6"/>
      <c r="F11" s="7"/>
      <c r="G11" s="7"/>
      <c r="H11" s="7"/>
      <c r="I11" s="7"/>
      <c r="J11" s="7"/>
      <c r="K11" s="7"/>
      <c r="L11" s="6"/>
    </row>
    <row r="12" spans="1:12" x14ac:dyDescent="0.25">
      <c r="A12" s="4">
        <f t="shared" si="0"/>
        <v>2.0008000000000017</v>
      </c>
      <c r="B12" s="105" t="s">
        <v>700</v>
      </c>
      <c r="C12" s="17" t="s">
        <v>707</v>
      </c>
      <c r="D12" s="16"/>
      <c r="E12" s="6"/>
      <c r="F12" s="7"/>
      <c r="G12" s="7"/>
      <c r="H12" s="7"/>
      <c r="I12" s="7"/>
      <c r="J12" s="7"/>
      <c r="K12" s="7"/>
      <c r="L12" s="6"/>
    </row>
    <row r="13" spans="1:12" ht="25.5" x14ac:dyDescent="0.25">
      <c r="A13" s="4">
        <f t="shared" si="0"/>
        <v>2.0009000000000019</v>
      </c>
      <c r="B13" s="63" t="s">
        <v>917</v>
      </c>
      <c r="C13" s="22" t="s">
        <v>702</v>
      </c>
      <c r="D13" s="6"/>
      <c r="E13" s="6"/>
      <c r="F13" s="7" t="s">
        <v>5</v>
      </c>
      <c r="G13" s="7">
        <f t="shared" si="1"/>
        <v>1</v>
      </c>
      <c r="H13" s="7">
        <f t="shared" si="1"/>
        <v>0</v>
      </c>
      <c r="I13" s="7">
        <f t="shared" si="1"/>
        <v>0</v>
      </c>
      <c r="J13" s="7">
        <f t="shared" si="1"/>
        <v>0</v>
      </c>
      <c r="K13" s="7"/>
      <c r="L13" s="6"/>
    </row>
    <row r="14" spans="1:12" x14ac:dyDescent="0.25">
      <c r="A14" s="4">
        <f t="shared" si="0"/>
        <v>2.0010000000000021</v>
      </c>
      <c r="B14" s="5"/>
      <c r="C14" s="22"/>
      <c r="D14" s="6"/>
      <c r="E14" s="6"/>
      <c r="F14" s="7" t="s">
        <v>5</v>
      </c>
      <c r="G14" s="7"/>
      <c r="H14" s="7"/>
      <c r="I14" s="7"/>
      <c r="J14" s="7"/>
      <c r="K14" s="7"/>
      <c r="L14" s="6"/>
    </row>
    <row r="15" spans="1:12" ht="25.5" x14ac:dyDescent="0.25">
      <c r="A15" s="4">
        <f t="shared" si="0"/>
        <v>2.0011000000000023</v>
      </c>
      <c r="B15" s="5" t="s">
        <v>703</v>
      </c>
      <c r="C15" s="22" t="s">
        <v>704</v>
      </c>
      <c r="D15" s="6" t="s">
        <v>918</v>
      </c>
      <c r="E15" s="6"/>
      <c r="F15" s="7" t="s">
        <v>5</v>
      </c>
      <c r="G15" s="7">
        <f t="shared" si="1"/>
        <v>1</v>
      </c>
      <c r="H15" s="7">
        <f t="shared" si="1"/>
        <v>0</v>
      </c>
      <c r="I15" s="7">
        <f t="shared" si="1"/>
        <v>0</v>
      </c>
      <c r="J15" s="7">
        <f t="shared" si="1"/>
        <v>0</v>
      </c>
      <c r="K15" s="7"/>
      <c r="L15" s="6"/>
    </row>
    <row r="16" spans="1:12" ht="25.5" x14ac:dyDescent="0.25">
      <c r="A16" s="4">
        <f t="shared" si="0"/>
        <v>2.0012000000000025</v>
      </c>
      <c r="B16" s="5"/>
      <c r="C16" s="22" t="s">
        <v>705</v>
      </c>
      <c r="D16" s="155" t="s">
        <v>922</v>
      </c>
      <c r="E16" s="6"/>
      <c r="F16" s="7" t="s">
        <v>5</v>
      </c>
      <c r="G16" s="7">
        <f t="shared" si="1"/>
        <v>1</v>
      </c>
      <c r="H16" s="7">
        <f t="shared" si="1"/>
        <v>0</v>
      </c>
      <c r="I16" s="7">
        <f t="shared" si="1"/>
        <v>0</v>
      </c>
      <c r="J16" s="7">
        <f t="shared" si="1"/>
        <v>0</v>
      </c>
      <c r="K16" s="7"/>
      <c r="L16" s="6"/>
    </row>
    <row r="17" spans="1:12" x14ac:dyDescent="0.25">
      <c r="A17" s="4">
        <f t="shared" si="0"/>
        <v>2.0013000000000027</v>
      </c>
      <c r="B17" s="5"/>
      <c r="C17" s="22"/>
      <c r="D17" s="6"/>
      <c r="E17" s="6"/>
      <c r="F17" s="7"/>
      <c r="G17" s="7"/>
      <c r="H17" s="7"/>
      <c r="I17" s="7"/>
      <c r="J17" s="7"/>
      <c r="K17" s="7"/>
      <c r="L17" s="6"/>
    </row>
    <row r="18" spans="1:12" x14ac:dyDescent="0.25">
      <c r="A18" s="4">
        <f t="shared" si="0"/>
        <v>2.001400000000003</v>
      </c>
      <c r="B18" s="5" t="s">
        <v>482</v>
      </c>
      <c r="C18" s="22" t="s">
        <v>706</v>
      </c>
      <c r="D18" s="6" t="s">
        <v>921</v>
      </c>
      <c r="E18" s="6"/>
      <c r="F18" s="7" t="s">
        <v>5</v>
      </c>
      <c r="G18" s="7">
        <f t="shared" si="1"/>
        <v>1</v>
      </c>
      <c r="H18" s="7">
        <f t="shared" si="1"/>
        <v>0</v>
      </c>
      <c r="I18" s="7">
        <f t="shared" si="1"/>
        <v>0</v>
      </c>
      <c r="J18" s="7">
        <f t="shared" si="1"/>
        <v>0</v>
      </c>
      <c r="K18" s="7">
        <f t="shared" si="1"/>
        <v>0</v>
      </c>
      <c r="L18" s="6"/>
    </row>
    <row r="19" spans="1:12" x14ac:dyDescent="0.25">
      <c r="A19" s="4">
        <f t="shared" si="0"/>
        <v>2.0015000000000032</v>
      </c>
      <c r="B19" s="5"/>
      <c r="C19" s="22"/>
      <c r="D19" s="6"/>
      <c r="E19" s="6"/>
      <c r="F19" s="7"/>
      <c r="G19" s="7"/>
      <c r="H19" s="7"/>
      <c r="I19" s="7"/>
      <c r="J19" s="7"/>
      <c r="K19" s="7"/>
      <c r="L19" s="6"/>
    </row>
    <row r="20" spans="1:12" x14ac:dyDescent="0.25">
      <c r="A20" s="4">
        <f t="shared" si="0"/>
        <v>2.0016000000000034</v>
      </c>
      <c r="B20" s="105" t="s">
        <v>1005</v>
      </c>
      <c r="C20" s="17"/>
      <c r="D20" s="16"/>
      <c r="E20" s="6"/>
      <c r="F20" s="7"/>
      <c r="G20" s="7"/>
      <c r="H20" s="7"/>
      <c r="I20" s="7"/>
      <c r="J20" s="7"/>
      <c r="K20" s="7"/>
      <c r="L20" s="6"/>
    </row>
    <row r="21" spans="1:12" ht="25.5" x14ac:dyDescent="0.25">
      <c r="A21" s="4">
        <f t="shared" si="0"/>
        <v>2.0017000000000036</v>
      </c>
      <c r="B21" s="63" t="s">
        <v>919</v>
      </c>
      <c r="C21" s="107" t="s">
        <v>659</v>
      </c>
      <c r="D21" s="6"/>
      <c r="E21" s="6"/>
      <c r="F21" s="7" t="s">
        <v>5</v>
      </c>
      <c r="G21" s="7">
        <f t="shared" si="1"/>
        <v>1</v>
      </c>
      <c r="H21" s="7">
        <f t="shared" si="1"/>
        <v>0</v>
      </c>
      <c r="I21" s="7">
        <f t="shared" si="1"/>
        <v>0</v>
      </c>
      <c r="J21" s="7">
        <f t="shared" si="1"/>
        <v>0</v>
      </c>
      <c r="K21" s="7">
        <f t="shared" si="1"/>
        <v>0</v>
      </c>
      <c r="L21" s="6"/>
    </row>
    <row r="22" spans="1:12" x14ac:dyDescent="0.25">
      <c r="A22" s="4">
        <f t="shared" si="0"/>
        <v>2.0018000000000038</v>
      </c>
      <c r="B22" s="5"/>
      <c r="C22" s="22"/>
      <c r="D22" s="6"/>
      <c r="E22" s="6"/>
      <c r="F22" s="7"/>
      <c r="G22" s="7"/>
      <c r="H22" s="7"/>
      <c r="I22" s="7"/>
      <c r="J22" s="7"/>
      <c r="K22" s="7"/>
      <c r="L22" s="6"/>
    </row>
    <row r="23" spans="1:12" x14ac:dyDescent="0.25">
      <c r="A23" s="4">
        <f t="shared" si="0"/>
        <v>2.001900000000004</v>
      </c>
      <c r="B23" s="5" t="s">
        <v>660</v>
      </c>
      <c r="C23" s="22" t="s">
        <v>661</v>
      </c>
      <c r="D23" s="6"/>
      <c r="E23" s="6"/>
      <c r="F23" s="7" t="s">
        <v>5</v>
      </c>
      <c r="G23" s="7">
        <f t="shared" si="1"/>
        <v>1</v>
      </c>
      <c r="H23" s="7">
        <f t="shared" si="1"/>
        <v>0</v>
      </c>
      <c r="I23" s="7">
        <f t="shared" si="1"/>
        <v>0</v>
      </c>
      <c r="J23" s="7">
        <f t="shared" si="1"/>
        <v>0</v>
      </c>
      <c r="K23" s="7">
        <f t="shared" si="1"/>
        <v>0</v>
      </c>
      <c r="L23" s="6"/>
    </row>
    <row r="24" spans="1:12" x14ac:dyDescent="0.25">
      <c r="A24" s="4">
        <f t="shared" si="0"/>
        <v>2.0020000000000042</v>
      </c>
      <c r="B24" s="5"/>
      <c r="C24" s="23"/>
      <c r="D24" s="6"/>
      <c r="E24" s="6"/>
      <c r="F24" s="7"/>
      <c r="G24" s="7"/>
      <c r="H24" s="7"/>
      <c r="I24" s="7"/>
      <c r="J24" s="7"/>
      <c r="K24" s="7"/>
      <c r="L24" s="6"/>
    </row>
    <row r="25" spans="1:12" x14ac:dyDescent="0.25">
      <c r="A25" s="4">
        <f t="shared" si="0"/>
        <v>2.0021000000000044</v>
      </c>
      <c r="B25" s="48" t="s">
        <v>662</v>
      </c>
      <c r="C25" s="23" t="s">
        <v>663</v>
      </c>
      <c r="D25" s="6"/>
      <c r="E25" s="6"/>
      <c r="F25" s="7" t="s">
        <v>5</v>
      </c>
      <c r="G25" s="7">
        <f t="shared" si="1"/>
        <v>1</v>
      </c>
      <c r="H25" s="7">
        <f t="shared" si="1"/>
        <v>0</v>
      </c>
      <c r="I25" s="7">
        <f t="shared" si="1"/>
        <v>0</v>
      </c>
      <c r="J25" s="7">
        <f t="shared" si="1"/>
        <v>0</v>
      </c>
      <c r="K25" s="7">
        <f t="shared" si="1"/>
        <v>0</v>
      </c>
      <c r="L25" s="6"/>
    </row>
    <row r="26" spans="1:12" x14ac:dyDescent="0.25">
      <c r="A26" s="4">
        <f t="shared" si="0"/>
        <v>2.0022000000000046</v>
      </c>
      <c r="B26" s="5"/>
      <c r="C26" s="23"/>
      <c r="D26" s="6"/>
      <c r="E26" s="6"/>
      <c r="F26" s="7"/>
      <c r="G26" s="7"/>
      <c r="H26" s="7"/>
      <c r="I26" s="7"/>
      <c r="J26" s="7"/>
      <c r="K26" s="7"/>
      <c r="L26" s="6"/>
    </row>
    <row r="27" spans="1:12" ht="25.5" x14ac:dyDescent="0.25">
      <c r="A27" s="4">
        <f t="shared" si="0"/>
        <v>2.0023000000000049</v>
      </c>
      <c r="B27" s="8" t="s">
        <v>664</v>
      </c>
      <c r="C27" s="22" t="s">
        <v>452</v>
      </c>
      <c r="D27" s="6"/>
      <c r="E27" s="6"/>
      <c r="F27" s="7" t="s">
        <v>5</v>
      </c>
      <c r="G27" s="7">
        <f t="shared" si="1"/>
        <v>1</v>
      </c>
      <c r="H27" s="7">
        <f t="shared" si="1"/>
        <v>0</v>
      </c>
      <c r="I27" s="7">
        <f t="shared" si="1"/>
        <v>0</v>
      </c>
      <c r="J27" s="7">
        <f t="shared" si="1"/>
        <v>0</v>
      </c>
      <c r="K27" s="7">
        <f t="shared" si="1"/>
        <v>0</v>
      </c>
      <c r="L27" s="6"/>
    </row>
    <row r="28" spans="1:12" x14ac:dyDescent="0.25">
      <c r="A28" s="4">
        <f t="shared" si="0"/>
        <v>2.0024000000000051</v>
      </c>
      <c r="B28" s="108"/>
      <c r="C28" s="104" t="s">
        <v>1006</v>
      </c>
      <c r="D28" s="6"/>
      <c r="E28" s="6"/>
      <c r="F28" s="7" t="s">
        <v>5</v>
      </c>
      <c r="G28" s="7">
        <f t="shared" si="1"/>
        <v>1</v>
      </c>
      <c r="H28" s="7">
        <f t="shared" si="1"/>
        <v>0</v>
      </c>
      <c r="I28" s="7">
        <f t="shared" si="1"/>
        <v>0</v>
      </c>
      <c r="J28" s="7">
        <f t="shared" si="1"/>
        <v>0</v>
      </c>
      <c r="K28" s="7">
        <f t="shared" si="1"/>
        <v>0</v>
      </c>
      <c r="L28" s="6"/>
    </row>
    <row r="29" spans="1:12" ht="25.5" x14ac:dyDescent="0.25">
      <c r="A29" s="4">
        <f t="shared" si="0"/>
        <v>2.0025000000000053</v>
      </c>
      <c r="B29" s="5" t="s">
        <v>665</v>
      </c>
      <c r="C29" s="23" t="s">
        <v>1007</v>
      </c>
      <c r="D29" s="6"/>
      <c r="E29" s="6"/>
      <c r="F29" s="7" t="s">
        <v>5</v>
      </c>
      <c r="G29" s="7">
        <f t="shared" si="1"/>
        <v>1</v>
      </c>
      <c r="H29" s="7">
        <f t="shared" si="1"/>
        <v>0</v>
      </c>
      <c r="I29" s="7">
        <f t="shared" si="1"/>
        <v>0</v>
      </c>
      <c r="J29" s="7">
        <f t="shared" si="1"/>
        <v>0</v>
      </c>
      <c r="K29" s="7">
        <f t="shared" si="1"/>
        <v>0</v>
      </c>
      <c r="L29" s="6"/>
    </row>
    <row r="30" spans="1:12" x14ac:dyDescent="0.25">
      <c r="A30" s="4">
        <f t="shared" si="0"/>
        <v>2.0026000000000055</v>
      </c>
      <c r="B30" s="5" t="s">
        <v>674</v>
      </c>
      <c r="C30" s="23" t="s">
        <v>675</v>
      </c>
      <c r="D30" s="6"/>
      <c r="E30" s="6"/>
      <c r="F30" s="7" t="s">
        <v>5</v>
      </c>
      <c r="G30" s="7">
        <f t="shared" ref="G30:K64" si="2">IF($F30=G$1,1,0)</f>
        <v>1</v>
      </c>
      <c r="H30" s="7">
        <f t="shared" si="2"/>
        <v>0</v>
      </c>
      <c r="I30" s="7">
        <f t="shared" si="2"/>
        <v>0</v>
      </c>
      <c r="J30" s="7">
        <f t="shared" si="2"/>
        <v>0</v>
      </c>
      <c r="K30" s="7">
        <f t="shared" si="2"/>
        <v>0</v>
      </c>
      <c r="L30" s="6"/>
    </row>
    <row r="31" spans="1:12" x14ac:dyDescent="0.25">
      <c r="A31" s="4">
        <f t="shared" si="0"/>
        <v>2.0027000000000057</v>
      </c>
      <c r="B31" s="5" t="s">
        <v>676</v>
      </c>
      <c r="C31" s="22" t="s">
        <v>677</v>
      </c>
      <c r="D31" s="6" t="s">
        <v>992</v>
      </c>
      <c r="E31" s="6"/>
      <c r="F31" s="7" t="s">
        <v>5</v>
      </c>
      <c r="G31" s="7">
        <f t="shared" si="2"/>
        <v>1</v>
      </c>
      <c r="H31" s="7">
        <f t="shared" si="2"/>
        <v>0</v>
      </c>
      <c r="I31" s="7">
        <f t="shared" si="2"/>
        <v>0</v>
      </c>
      <c r="J31" s="7">
        <f t="shared" si="2"/>
        <v>0</v>
      </c>
      <c r="K31" s="7">
        <f t="shared" si="2"/>
        <v>0</v>
      </c>
      <c r="L31" s="6"/>
    </row>
    <row r="32" spans="1:12" x14ac:dyDescent="0.25">
      <c r="A32" s="4">
        <f t="shared" si="0"/>
        <v>2.0028000000000059</v>
      </c>
      <c r="B32" s="5" t="s">
        <v>678</v>
      </c>
      <c r="C32" s="22" t="s">
        <v>679</v>
      </c>
      <c r="D32" s="6"/>
      <c r="E32" s="6"/>
      <c r="F32" s="7" t="s">
        <v>5</v>
      </c>
      <c r="G32" s="7">
        <f t="shared" si="2"/>
        <v>1</v>
      </c>
      <c r="H32" s="7">
        <f t="shared" si="2"/>
        <v>0</v>
      </c>
      <c r="I32" s="7">
        <f t="shared" si="2"/>
        <v>0</v>
      </c>
      <c r="J32" s="7">
        <f t="shared" si="2"/>
        <v>0</v>
      </c>
      <c r="K32" s="7">
        <f t="shared" si="2"/>
        <v>0</v>
      </c>
      <c r="L32" s="6"/>
    </row>
    <row r="33" spans="1:12" x14ac:dyDescent="0.25">
      <c r="A33" s="4">
        <f t="shared" si="0"/>
        <v>2.0029000000000061</v>
      </c>
      <c r="B33" s="5" t="s">
        <v>539</v>
      </c>
      <c r="C33" s="158" t="s">
        <v>941</v>
      </c>
      <c r="D33" s="6"/>
      <c r="E33" s="6"/>
      <c r="F33" s="7" t="s">
        <v>5</v>
      </c>
      <c r="G33" s="7">
        <f t="shared" si="2"/>
        <v>1</v>
      </c>
      <c r="H33" s="7">
        <f t="shared" si="2"/>
        <v>0</v>
      </c>
      <c r="I33" s="7">
        <f t="shared" si="2"/>
        <v>0</v>
      </c>
      <c r="J33" s="7">
        <f t="shared" si="2"/>
        <v>0</v>
      </c>
      <c r="K33" s="7">
        <f t="shared" si="2"/>
        <v>0</v>
      </c>
      <c r="L33" s="6"/>
    </row>
    <row r="34" spans="1:12" x14ac:dyDescent="0.25">
      <c r="A34" s="4">
        <f t="shared" si="0"/>
        <v>2.0030000000000063</v>
      </c>
      <c r="B34" s="177" t="s">
        <v>1047</v>
      </c>
      <c r="C34" s="178" t="s">
        <v>625</v>
      </c>
      <c r="D34" s="179"/>
      <c r="E34" s="6"/>
      <c r="F34" s="7"/>
      <c r="G34" s="7"/>
      <c r="H34" s="7"/>
      <c r="I34" s="7"/>
      <c r="J34" s="7"/>
      <c r="K34" s="7"/>
      <c r="L34" s="6"/>
    </row>
    <row r="35" spans="1:12" x14ac:dyDescent="0.25">
      <c r="A35" s="4">
        <f t="shared" si="0"/>
        <v>2.0031000000000065</v>
      </c>
      <c r="B35" s="180" t="s">
        <v>1048</v>
      </c>
      <c r="C35" s="176" t="s">
        <v>1049</v>
      </c>
      <c r="D35" s="175"/>
      <c r="E35" s="6"/>
      <c r="F35" s="7" t="s">
        <v>5</v>
      </c>
      <c r="G35" s="7">
        <f t="shared" si="2"/>
        <v>1</v>
      </c>
      <c r="H35" s="7">
        <f t="shared" si="2"/>
        <v>0</v>
      </c>
      <c r="I35" s="7">
        <f t="shared" si="2"/>
        <v>0</v>
      </c>
      <c r="J35" s="7">
        <f t="shared" si="2"/>
        <v>0</v>
      </c>
      <c r="K35" s="7">
        <f t="shared" si="2"/>
        <v>0</v>
      </c>
      <c r="L35" s="6"/>
    </row>
    <row r="36" spans="1:12" x14ac:dyDescent="0.25">
      <c r="A36" s="4">
        <f t="shared" si="0"/>
        <v>2.0032000000000068</v>
      </c>
      <c r="B36" s="180" t="s">
        <v>1050</v>
      </c>
      <c r="C36" s="176" t="s">
        <v>1051</v>
      </c>
      <c r="D36" s="175"/>
      <c r="E36" s="6"/>
      <c r="F36" s="7" t="s">
        <v>5</v>
      </c>
      <c r="G36" s="7">
        <f t="shared" si="2"/>
        <v>1</v>
      </c>
      <c r="H36" s="7">
        <f t="shared" si="2"/>
        <v>0</v>
      </c>
      <c r="I36" s="7">
        <f t="shared" si="2"/>
        <v>0</v>
      </c>
      <c r="J36" s="7">
        <f t="shared" si="2"/>
        <v>0</v>
      </c>
      <c r="K36" s="7">
        <f t="shared" si="2"/>
        <v>0</v>
      </c>
      <c r="L36" s="6"/>
    </row>
    <row r="37" spans="1:12" x14ac:dyDescent="0.25">
      <c r="A37" s="4">
        <f t="shared" si="0"/>
        <v>2.003300000000007</v>
      </c>
      <c r="B37" s="180" t="s">
        <v>1052</v>
      </c>
      <c r="C37" s="176" t="s">
        <v>1053</v>
      </c>
      <c r="D37" s="175"/>
      <c r="E37" s="6"/>
      <c r="F37" s="7" t="s">
        <v>5</v>
      </c>
      <c r="G37" s="7">
        <f t="shared" si="2"/>
        <v>1</v>
      </c>
      <c r="H37" s="7">
        <f t="shared" si="2"/>
        <v>0</v>
      </c>
      <c r="I37" s="7">
        <f t="shared" si="2"/>
        <v>0</v>
      </c>
      <c r="J37" s="7">
        <f t="shared" si="2"/>
        <v>0</v>
      </c>
      <c r="K37" s="7">
        <f t="shared" si="2"/>
        <v>0</v>
      </c>
      <c r="L37" s="6"/>
    </row>
    <row r="38" spans="1:12" x14ac:dyDescent="0.25">
      <c r="A38" s="4">
        <f t="shared" si="0"/>
        <v>2.0034000000000072</v>
      </c>
      <c r="B38" s="180"/>
      <c r="C38" s="176" t="s">
        <v>1056</v>
      </c>
      <c r="D38" s="175"/>
      <c r="E38" s="6"/>
      <c r="F38" s="7" t="s">
        <v>5</v>
      </c>
      <c r="G38" s="7">
        <f t="shared" si="2"/>
        <v>1</v>
      </c>
      <c r="H38" s="7">
        <f t="shared" si="2"/>
        <v>0</v>
      </c>
      <c r="I38" s="7">
        <f t="shared" si="2"/>
        <v>0</v>
      </c>
      <c r="J38" s="7">
        <f t="shared" si="2"/>
        <v>0</v>
      </c>
      <c r="K38" s="7">
        <f t="shared" si="2"/>
        <v>0</v>
      </c>
      <c r="L38" s="6"/>
    </row>
    <row r="39" spans="1:12" x14ac:dyDescent="0.25">
      <c r="A39" s="4">
        <f t="shared" si="0"/>
        <v>2.0035000000000074</v>
      </c>
      <c r="B39" s="180" t="s">
        <v>1054</v>
      </c>
      <c r="C39" s="176" t="s">
        <v>1057</v>
      </c>
      <c r="D39" s="175"/>
      <c r="E39" s="6"/>
      <c r="F39" s="7" t="s">
        <v>5</v>
      </c>
      <c r="G39" s="7">
        <f t="shared" si="2"/>
        <v>1</v>
      </c>
      <c r="H39" s="7">
        <f t="shared" si="2"/>
        <v>0</v>
      </c>
      <c r="I39" s="7">
        <f t="shared" si="2"/>
        <v>0</v>
      </c>
      <c r="J39" s="7">
        <f t="shared" si="2"/>
        <v>0</v>
      </c>
      <c r="K39" s="7">
        <f t="shared" si="2"/>
        <v>0</v>
      </c>
      <c r="L39" s="6"/>
    </row>
    <row r="40" spans="1:12" x14ac:dyDescent="0.25">
      <c r="A40" s="4">
        <f t="shared" si="0"/>
        <v>2.0036000000000076</v>
      </c>
      <c r="B40" s="173" t="s">
        <v>1055</v>
      </c>
      <c r="C40" s="174" t="s">
        <v>1058</v>
      </c>
      <c r="D40" s="175"/>
      <c r="E40" s="6"/>
      <c r="F40" s="7" t="s">
        <v>5</v>
      </c>
      <c r="G40" s="7">
        <f t="shared" si="2"/>
        <v>1</v>
      </c>
      <c r="H40" s="7">
        <f t="shared" si="2"/>
        <v>0</v>
      </c>
      <c r="I40" s="7">
        <f t="shared" si="2"/>
        <v>0</v>
      </c>
      <c r="J40" s="7">
        <f t="shared" si="2"/>
        <v>0</v>
      </c>
      <c r="K40" s="7">
        <f t="shared" si="2"/>
        <v>0</v>
      </c>
      <c r="L40" s="6"/>
    </row>
    <row r="41" spans="1:12" x14ac:dyDescent="0.25">
      <c r="A41" s="4">
        <f t="shared" si="0"/>
        <v>2.0037000000000078</v>
      </c>
      <c r="B41" s="110" t="s">
        <v>668</v>
      </c>
      <c r="C41" s="111" t="s">
        <v>669</v>
      </c>
      <c r="D41" s="16"/>
      <c r="E41" s="6"/>
      <c r="F41" s="7"/>
      <c r="G41" s="7"/>
      <c r="H41" s="7"/>
      <c r="I41" s="7"/>
      <c r="J41" s="7"/>
      <c r="K41" s="7">
        <f t="shared" si="2"/>
        <v>0</v>
      </c>
      <c r="L41" s="6"/>
    </row>
    <row r="42" spans="1:12" ht="38.25" x14ac:dyDescent="0.25">
      <c r="A42" s="4">
        <f t="shared" si="0"/>
        <v>2.003800000000008</v>
      </c>
      <c r="B42" s="66" t="s">
        <v>394</v>
      </c>
      <c r="C42" s="22" t="s">
        <v>646</v>
      </c>
      <c r="D42" s="6"/>
      <c r="E42" s="6"/>
      <c r="F42" s="7" t="s">
        <v>5</v>
      </c>
      <c r="G42" s="7">
        <f t="shared" si="2"/>
        <v>1</v>
      </c>
      <c r="H42" s="7">
        <f t="shared" si="2"/>
        <v>0</v>
      </c>
      <c r="I42" s="7">
        <f t="shared" si="2"/>
        <v>0</v>
      </c>
      <c r="J42" s="7">
        <f t="shared" si="2"/>
        <v>0</v>
      </c>
      <c r="K42" s="7">
        <f t="shared" si="2"/>
        <v>0</v>
      </c>
      <c r="L42" s="6"/>
    </row>
    <row r="43" spans="1:12" x14ac:dyDescent="0.25">
      <c r="A43" s="4">
        <f t="shared" si="0"/>
        <v>2.0039000000000082</v>
      </c>
      <c r="B43" s="5"/>
      <c r="C43" s="23"/>
      <c r="D43" s="6"/>
      <c r="E43" s="6"/>
      <c r="F43" s="7"/>
      <c r="G43" s="7"/>
      <c r="H43" s="7"/>
      <c r="I43" s="7"/>
      <c r="J43" s="7"/>
      <c r="K43" s="7">
        <f t="shared" si="2"/>
        <v>0</v>
      </c>
      <c r="L43" s="6"/>
    </row>
    <row r="44" spans="1:12" ht="51" x14ac:dyDescent="0.25">
      <c r="A44" s="4">
        <f t="shared" si="0"/>
        <v>2.0040000000000084</v>
      </c>
      <c r="B44" s="66" t="s">
        <v>671</v>
      </c>
      <c r="C44" s="22" t="s">
        <v>923</v>
      </c>
      <c r="D44" s="6"/>
      <c r="E44" s="6"/>
      <c r="F44" s="7" t="s">
        <v>5</v>
      </c>
      <c r="G44" s="7">
        <f t="shared" si="2"/>
        <v>1</v>
      </c>
      <c r="H44" s="7">
        <f t="shared" si="2"/>
        <v>0</v>
      </c>
      <c r="I44" s="7">
        <f t="shared" si="2"/>
        <v>0</v>
      </c>
      <c r="J44" s="7">
        <f t="shared" si="2"/>
        <v>0</v>
      </c>
      <c r="K44" s="7">
        <f t="shared" si="2"/>
        <v>0</v>
      </c>
      <c r="L44" s="6"/>
    </row>
    <row r="45" spans="1:12" x14ac:dyDescent="0.25">
      <c r="A45" s="4">
        <f t="shared" si="0"/>
        <v>2.0041000000000087</v>
      </c>
      <c r="B45" s="5"/>
      <c r="C45" s="23" t="s">
        <v>924</v>
      </c>
      <c r="D45" s="6"/>
      <c r="E45" s="6"/>
      <c r="F45" s="7" t="s">
        <v>5</v>
      </c>
      <c r="G45" s="7"/>
      <c r="H45" s="7"/>
      <c r="I45" s="7"/>
      <c r="J45" s="7"/>
      <c r="K45" s="7">
        <f t="shared" si="2"/>
        <v>0</v>
      </c>
      <c r="L45" s="6"/>
    </row>
    <row r="46" spans="1:12" outlineLevel="1" x14ac:dyDescent="0.25">
      <c r="A46" s="4">
        <f t="shared" si="0"/>
        <v>2.0042000000000089</v>
      </c>
      <c r="B46" s="67" t="s">
        <v>400</v>
      </c>
      <c r="C46" s="22" t="s">
        <v>464</v>
      </c>
      <c r="D46" s="6" t="s">
        <v>925</v>
      </c>
      <c r="E46" s="5"/>
      <c r="F46" s="7" t="s">
        <v>5</v>
      </c>
      <c r="G46" s="7">
        <f t="shared" ref="G46:K51" si="3">IF($F46=G$1,1,0)</f>
        <v>1</v>
      </c>
      <c r="H46" s="7">
        <f t="shared" si="3"/>
        <v>0</v>
      </c>
      <c r="I46" s="7">
        <f t="shared" si="3"/>
        <v>0</v>
      </c>
      <c r="J46" s="7">
        <f t="shared" si="3"/>
        <v>0</v>
      </c>
      <c r="K46" s="7">
        <f t="shared" si="3"/>
        <v>0</v>
      </c>
      <c r="L46" s="6"/>
    </row>
    <row r="47" spans="1:12" outlineLevel="1" x14ac:dyDescent="0.25">
      <c r="A47" s="4">
        <f t="shared" si="0"/>
        <v>2.0043000000000091</v>
      </c>
      <c r="B47" s="67" t="s">
        <v>401</v>
      </c>
      <c r="C47" s="22" t="s">
        <v>926</v>
      </c>
      <c r="D47" s="6"/>
      <c r="E47" s="5"/>
      <c r="F47" s="7" t="s">
        <v>5</v>
      </c>
      <c r="G47" s="7">
        <f t="shared" si="3"/>
        <v>1</v>
      </c>
      <c r="H47" s="7">
        <f t="shared" si="3"/>
        <v>0</v>
      </c>
      <c r="I47" s="7">
        <f t="shared" si="3"/>
        <v>0</v>
      </c>
      <c r="J47" s="7">
        <f t="shared" si="3"/>
        <v>0</v>
      </c>
      <c r="K47" s="7">
        <f t="shared" si="3"/>
        <v>0</v>
      </c>
      <c r="L47" s="6"/>
    </row>
    <row r="48" spans="1:12" ht="25.5" outlineLevel="1" x14ac:dyDescent="0.25">
      <c r="A48" s="4">
        <f t="shared" si="0"/>
        <v>2.0044000000000093</v>
      </c>
      <c r="B48" s="63" t="s">
        <v>403</v>
      </c>
      <c r="C48" s="22" t="s">
        <v>927</v>
      </c>
      <c r="D48" s="6"/>
      <c r="E48" s="5"/>
      <c r="F48" s="7" t="s">
        <v>5</v>
      </c>
      <c r="G48" s="7">
        <f t="shared" si="3"/>
        <v>1</v>
      </c>
      <c r="H48" s="7">
        <f t="shared" si="3"/>
        <v>0</v>
      </c>
      <c r="I48" s="7">
        <f t="shared" si="3"/>
        <v>0</v>
      </c>
      <c r="J48" s="7">
        <f t="shared" si="3"/>
        <v>0</v>
      </c>
      <c r="K48" s="7">
        <f t="shared" si="3"/>
        <v>0</v>
      </c>
      <c r="L48" s="6"/>
    </row>
    <row r="49" spans="1:12" ht="76.5" outlineLevel="1" x14ac:dyDescent="0.25">
      <c r="A49" s="4">
        <f t="shared" si="0"/>
        <v>2.0045000000000095</v>
      </c>
      <c r="B49" s="5" t="s">
        <v>404</v>
      </c>
      <c r="C49" s="22" t="s">
        <v>420</v>
      </c>
      <c r="D49" s="6"/>
      <c r="E49" s="5"/>
      <c r="F49" s="7" t="s">
        <v>5</v>
      </c>
      <c r="G49" s="7">
        <f t="shared" si="3"/>
        <v>1</v>
      </c>
      <c r="H49" s="7">
        <f t="shared" si="3"/>
        <v>0</v>
      </c>
      <c r="I49" s="7">
        <f t="shared" si="3"/>
        <v>0</v>
      </c>
      <c r="J49" s="7">
        <f t="shared" si="3"/>
        <v>0</v>
      </c>
      <c r="K49" s="7">
        <f t="shared" si="3"/>
        <v>0</v>
      </c>
      <c r="L49" s="6"/>
    </row>
    <row r="50" spans="1:12" ht="38.25" outlineLevel="1" x14ac:dyDescent="0.25">
      <c r="A50" s="4">
        <f t="shared" si="0"/>
        <v>2.0046000000000097</v>
      </c>
      <c r="B50" s="5" t="s">
        <v>415</v>
      </c>
      <c r="C50" s="22" t="s">
        <v>929</v>
      </c>
      <c r="E50" s="5"/>
      <c r="F50" s="7" t="s">
        <v>5</v>
      </c>
      <c r="G50" s="7">
        <f t="shared" si="3"/>
        <v>1</v>
      </c>
      <c r="H50" s="7">
        <f t="shared" si="3"/>
        <v>0</v>
      </c>
      <c r="I50" s="7">
        <f t="shared" si="3"/>
        <v>0</v>
      </c>
      <c r="J50" s="7">
        <f t="shared" si="3"/>
        <v>0</v>
      </c>
      <c r="K50" s="7">
        <f t="shared" si="3"/>
        <v>0</v>
      </c>
      <c r="L50" s="6"/>
    </row>
    <row r="51" spans="1:12" ht="38.25" outlineLevel="1" x14ac:dyDescent="0.25">
      <c r="A51" s="4">
        <f t="shared" si="0"/>
        <v>2.0047000000000099</v>
      </c>
      <c r="B51" s="26" t="s">
        <v>928</v>
      </c>
      <c r="C51" s="22" t="s">
        <v>930</v>
      </c>
      <c r="D51" s="156" t="s">
        <v>931</v>
      </c>
      <c r="E51" s="5"/>
      <c r="F51" s="7" t="s">
        <v>7</v>
      </c>
      <c r="G51" s="7">
        <f t="shared" si="3"/>
        <v>0</v>
      </c>
      <c r="H51" s="7">
        <f t="shared" si="3"/>
        <v>0</v>
      </c>
      <c r="I51" s="7">
        <f t="shared" si="3"/>
        <v>0</v>
      </c>
      <c r="J51" s="7">
        <f t="shared" si="3"/>
        <v>1</v>
      </c>
      <c r="K51" s="7">
        <f t="shared" si="3"/>
        <v>0</v>
      </c>
      <c r="L51" s="6"/>
    </row>
    <row r="52" spans="1:12" x14ac:dyDescent="0.25">
      <c r="A52" s="4">
        <f t="shared" si="0"/>
        <v>2.0048000000000101</v>
      </c>
      <c r="B52" s="5" t="s">
        <v>489</v>
      </c>
      <c r="C52" s="22" t="s">
        <v>490</v>
      </c>
      <c r="D52" s="6"/>
      <c r="E52" s="6"/>
      <c r="F52" s="7" t="s">
        <v>5</v>
      </c>
      <c r="G52" s="7">
        <f t="shared" si="2"/>
        <v>1</v>
      </c>
      <c r="H52" s="7">
        <f t="shared" si="2"/>
        <v>0</v>
      </c>
      <c r="I52" s="7">
        <f t="shared" si="2"/>
        <v>0</v>
      </c>
      <c r="J52" s="7">
        <f t="shared" si="2"/>
        <v>0</v>
      </c>
      <c r="K52" s="7">
        <f t="shared" si="2"/>
        <v>0</v>
      </c>
      <c r="L52" s="6"/>
    </row>
    <row r="53" spans="1:12" x14ac:dyDescent="0.25">
      <c r="A53" s="4">
        <f t="shared" si="0"/>
        <v>2.0049000000000103</v>
      </c>
      <c r="B53" s="5" t="s">
        <v>933</v>
      </c>
      <c r="C53" s="23" t="s">
        <v>934</v>
      </c>
      <c r="D53" s="6"/>
      <c r="E53" s="6"/>
      <c r="F53" s="7" t="s">
        <v>5</v>
      </c>
      <c r="G53" s="7">
        <f t="shared" si="2"/>
        <v>1</v>
      </c>
      <c r="H53" s="7">
        <f t="shared" si="2"/>
        <v>0</v>
      </c>
      <c r="I53" s="7">
        <f t="shared" si="2"/>
        <v>0</v>
      </c>
      <c r="J53" s="7">
        <f t="shared" si="2"/>
        <v>0</v>
      </c>
      <c r="K53" s="7">
        <f t="shared" si="2"/>
        <v>0</v>
      </c>
      <c r="L53" s="6"/>
    </row>
    <row r="54" spans="1:12" x14ac:dyDescent="0.25">
      <c r="A54" s="4">
        <f t="shared" si="0"/>
        <v>2.0050000000000106</v>
      </c>
      <c r="B54" s="5" t="s">
        <v>553</v>
      </c>
      <c r="C54" s="22" t="s">
        <v>492</v>
      </c>
      <c r="D54" s="6" t="s">
        <v>858</v>
      </c>
      <c r="E54" s="6"/>
      <c r="F54" s="7" t="s">
        <v>5</v>
      </c>
      <c r="G54" s="7">
        <f t="shared" si="2"/>
        <v>1</v>
      </c>
      <c r="H54" s="7">
        <f t="shared" si="2"/>
        <v>0</v>
      </c>
      <c r="I54" s="7">
        <f t="shared" si="2"/>
        <v>0</v>
      </c>
      <c r="J54" s="7">
        <f t="shared" si="2"/>
        <v>0</v>
      </c>
      <c r="K54" s="7">
        <f t="shared" si="2"/>
        <v>0</v>
      </c>
      <c r="L54" s="6"/>
    </row>
    <row r="55" spans="1:12" x14ac:dyDescent="0.25">
      <c r="A55" s="4">
        <f t="shared" si="0"/>
        <v>2.0051000000000108</v>
      </c>
      <c r="B55" s="5"/>
      <c r="C55" s="22" t="s">
        <v>493</v>
      </c>
      <c r="D55" s="6" t="s">
        <v>932</v>
      </c>
      <c r="E55" s="6"/>
      <c r="F55" s="7" t="s">
        <v>5</v>
      </c>
      <c r="G55" s="7">
        <f t="shared" si="2"/>
        <v>1</v>
      </c>
      <c r="H55" s="7">
        <f t="shared" si="2"/>
        <v>0</v>
      </c>
      <c r="I55" s="7">
        <f t="shared" si="2"/>
        <v>0</v>
      </c>
      <c r="J55" s="7">
        <f t="shared" si="2"/>
        <v>0</v>
      </c>
      <c r="K55" s="7">
        <f t="shared" si="2"/>
        <v>0</v>
      </c>
      <c r="L55" s="6"/>
    </row>
    <row r="56" spans="1:12" ht="45" x14ac:dyDescent="0.25">
      <c r="A56" s="4">
        <f t="shared" si="0"/>
        <v>2.005200000000011</v>
      </c>
      <c r="B56" s="5" t="s">
        <v>491</v>
      </c>
      <c r="C56" s="181" t="s">
        <v>751</v>
      </c>
      <c r="D56" s="6"/>
      <c r="E56" s="6"/>
      <c r="F56" s="7" t="s">
        <v>5</v>
      </c>
      <c r="G56" s="7">
        <f t="shared" si="2"/>
        <v>1</v>
      </c>
      <c r="H56" s="7">
        <f t="shared" si="2"/>
        <v>0</v>
      </c>
      <c r="I56" s="7">
        <f t="shared" si="2"/>
        <v>0</v>
      </c>
      <c r="J56" s="7">
        <f t="shared" si="2"/>
        <v>0</v>
      </c>
      <c r="K56" s="7">
        <f t="shared" si="2"/>
        <v>0</v>
      </c>
      <c r="L56" s="6"/>
    </row>
    <row r="57" spans="1:12" x14ac:dyDescent="0.25">
      <c r="A57" s="4">
        <f t="shared" si="0"/>
        <v>2.0053000000000112</v>
      </c>
      <c r="B57" s="16" t="s">
        <v>935</v>
      </c>
      <c r="C57" s="17"/>
      <c r="D57" s="16"/>
      <c r="E57" s="6"/>
      <c r="F57" s="7"/>
      <c r="G57" s="7"/>
      <c r="H57" s="7"/>
      <c r="I57" s="7"/>
      <c r="J57" s="7"/>
      <c r="K57" s="7"/>
      <c r="L57" s="6"/>
    </row>
    <row r="58" spans="1:12" ht="25.5" x14ac:dyDescent="0.25">
      <c r="A58" s="4">
        <f t="shared" si="0"/>
        <v>2.0054000000000114</v>
      </c>
      <c r="B58" s="5" t="s">
        <v>936</v>
      </c>
      <c r="C58" s="5" t="s">
        <v>877</v>
      </c>
      <c r="D58" s="157" t="s">
        <v>983</v>
      </c>
      <c r="E58" s="6"/>
      <c r="F58" s="7" t="s">
        <v>5</v>
      </c>
      <c r="G58" s="7">
        <f t="shared" si="2"/>
        <v>1</v>
      </c>
      <c r="H58" s="7">
        <f t="shared" si="2"/>
        <v>0</v>
      </c>
      <c r="I58" s="7">
        <f t="shared" si="2"/>
        <v>0</v>
      </c>
      <c r="J58" s="7">
        <f t="shared" si="2"/>
        <v>0</v>
      </c>
      <c r="K58" s="7"/>
      <c r="L58" s="6"/>
    </row>
    <row r="59" spans="1:12" ht="76.5" x14ac:dyDescent="0.25">
      <c r="A59" s="4">
        <f t="shared" si="0"/>
        <v>2.0055000000000116</v>
      </c>
      <c r="B59" s="5" t="s">
        <v>599</v>
      </c>
      <c r="C59" s="5" t="s">
        <v>937</v>
      </c>
      <c r="D59" s="6" t="s">
        <v>982</v>
      </c>
      <c r="E59" s="6"/>
      <c r="F59" s="7" t="s">
        <v>5</v>
      </c>
      <c r="G59" s="7">
        <f t="shared" si="2"/>
        <v>1</v>
      </c>
      <c r="H59" s="7">
        <f t="shared" si="2"/>
        <v>0</v>
      </c>
      <c r="I59" s="7">
        <f t="shared" si="2"/>
        <v>0</v>
      </c>
      <c r="J59" s="7">
        <f t="shared" si="2"/>
        <v>0</v>
      </c>
      <c r="K59" s="7"/>
      <c r="L59" s="6"/>
    </row>
    <row r="60" spans="1:12" x14ac:dyDescent="0.25">
      <c r="A60" s="4">
        <f t="shared" si="0"/>
        <v>2.0056000000000118</v>
      </c>
      <c r="B60" s="5" t="s">
        <v>482</v>
      </c>
      <c r="C60" s="5" t="s">
        <v>600</v>
      </c>
      <c r="D60" s="6"/>
      <c r="E60" s="6"/>
      <c r="F60" s="7" t="s">
        <v>5</v>
      </c>
      <c r="G60" s="7">
        <f t="shared" si="2"/>
        <v>1</v>
      </c>
      <c r="H60" s="7">
        <f t="shared" si="2"/>
        <v>0</v>
      </c>
      <c r="I60" s="7">
        <f t="shared" si="2"/>
        <v>0</v>
      </c>
      <c r="J60" s="7">
        <f t="shared" si="2"/>
        <v>0</v>
      </c>
      <c r="K60" s="7"/>
      <c r="L60" s="6"/>
    </row>
    <row r="61" spans="1:12" ht="25.5" x14ac:dyDescent="0.25">
      <c r="A61" s="4">
        <f t="shared" si="0"/>
        <v>2.005700000000012</v>
      </c>
      <c r="B61" s="5" t="s">
        <v>696</v>
      </c>
      <c r="C61" s="5" t="s">
        <v>598</v>
      </c>
      <c r="D61" s="6"/>
      <c r="E61" s="6"/>
      <c r="F61" s="7" t="s">
        <v>5</v>
      </c>
      <c r="G61" s="7">
        <f t="shared" si="2"/>
        <v>1</v>
      </c>
      <c r="H61" s="7">
        <f t="shared" si="2"/>
        <v>0</v>
      </c>
      <c r="I61" s="7">
        <f t="shared" si="2"/>
        <v>0</v>
      </c>
      <c r="J61" s="7">
        <f t="shared" si="2"/>
        <v>0</v>
      </c>
      <c r="K61" s="7"/>
      <c r="L61" s="6"/>
    </row>
    <row r="62" spans="1:12" x14ac:dyDescent="0.25">
      <c r="A62" s="4">
        <f t="shared" si="0"/>
        <v>2.0058000000000122</v>
      </c>
      <c r="B62" s="5" t="s">
        <v>599</v>
      </c>
      <c r="C62" s="5" t="s">
        <v>697</v>
      </c>
      <c r="D62" s="6"/>
      <c r="E62" s="6"/>
      <c r="F62" s="7" t="s">
        <v>5</v>
      </c>
      <c r="G62" s="7">
        <f t="shared" si="2"/>
        <v>1</v>
      </c>
      <c r="H62" s="7">
        <f t="shared" si="2"/>
        <v>0</v>
      </c>
      <c r="I62" s="7">
        <f t="shared" si="2"/>
        <v>0</v>
      </c>
      <c r="J62" s="7">
        <f t="shared" si="2"/>
        <v>0</v>
      </c>
      <c r="K62" s="7"/>
      <c r="L62" s="6"/>
    </row>
    <row r="63" spans="1:12" x14ac:dyDescent="0.25">
      <c r="A63" s="4">
        <f t="shared" si="0"/>
        <v>2.0059000000000125</v>
      </c>
      <c r="B63" s="5" t="s">
        <v>482</v>
      </c>
      <c r="C63" s="5" t="s">
        <v>600</v>
      </c>
      <c r="D63" s="6"/>
      <c r="E63" s="6"/>
      <c r="F63" s="7" t="s">
        <v>5</v>
      </c>
      <c r="G63" s="7">
        <f t="shared" si="2"/>
        <v>1</v>
      </c>
      <c r="H63" s="7">
        <f t="shared" si="2"/>
        <v>0</v>
      </c>
      <c r="I63" s="7">
        <f t="shared" si="2"/>
        <v>0</v>
      </c>
      <c r="J63" s="7">
        <f t="shared" si="2"/>
        <v>0</v>
      </c>
      <c r="K63" s="7"/>
      <c r="L63" s="6"/>
    </row>
    <row r="64" spans="1:12" x14ac:dyDescent="0.25">
      <c r="A64" s="4">
        <f t="shared" si="0"/>
        <v>2.0060000000000127</v>
      </c>
      <c r="B64" s="16" t="s">
        <v>938</v>
      </c>
      <c r="C64" s="16"/>
      <c r="D64" s="16"/>
      <c r="E64" s="6"/>
      <c r="F64" s="7"/>
      <c r="G64" s="7"/>
      <c r="H64" s="7"/>
      <c r="I64" s="7"/>
      <c r="J64" s="7"/>
      <c r="K64" s="7">
        <f t="shared" si="2"/>
        <v>0</v>
      </c>
      <c r="L64" s="6"/>
    </row>
    <row r="65" spans="1:12" x14ac:dyDescent="0.25">
      <c r="A65" s="4">
        <f t="shared" si="0"/>
        <v>2.0061000000000129</v>
      </c>
      <c r="B65" s="96" t="s">
        <v>908</v>
      </c>
      <c r="C65" s="5" t="s">
        <v>898</v>
      </c>
      <c r="D65" s="6"/>
      <c r="E65" s="6"/>
      <c r="F65" s="7" t="s">
        <v>5</v>
      </c>
      <c r="G65" s="7">
        <f t="shared" ref="G65:K75" si="4">IF($F65=G$1,1,0)</f>
        <v>1</v>
      </c>
      <c r="H65" s="7">
        <f t="shared" si="4"/>
        <v>0</v>
      </c>
      <c r="I65" s="7">
        <f t="shared" si="4"/>
        <v>0</v>
      </c>
      <c r="J65" s="7">
        <f t="shared" si="4"/>
        <v>0</v>
      </c>
      <c r="K65" s="7">
        <f t="shared" si="4"/>
        <v>0</v>
      </c>
      <c r="L65" s="6"/>
    </row>
    <row r="66" spans="1:12" x14ac:dyDescent="0.25">
      <c r="A66" s="4">
        <f t="shared" si="0"/>
        <v>2.0062000000000131</v>
      </c>
      <c r="B66" s="6"/>
      <c r="C66" s="5" t="s">
        <v>557</v>
      </c>
      <c r="D66" s="6" t="s">
        <v>951</v>
      </c>
      <c r="E66" s="6"/>
      <c r="F66" s="7" t="s">
        <v>5</v>
      </c>
      <c r="G66" s="7">
        <f t="shared" si="4"/>
        <v>1</v>
      </c>
      <c r="H66" s="7">
        <f t="shared" si="4"/>
        <v>0</v>
      </c>
      <c r="I66" s="7">
        <f t="shared" si="4"/>
        <v>0</v>
      </c>
      <c r="J66" s="7">
        <f t="shared" si="4"/>
        <v>0</v>
      </c>
      <c r="K66" s="7">
        <f t="shared" si="4"/>
        <v>0</v>
      </c>
      <c r="L66" s="6"/>
    </row>
    <row r="67" spans="1:12" x14ac:dyDescent="0.25">
      <c r="A67" s="4">
        <f t="shared" si="0"/>
        <v>2.0063000000000133</v>
      </c>
      <c r="B67" s="6"/>
      <c r="C67" s="5" t="s">
        <v>574</v>
      </c>
      <c r="D67" s="6"/>
      <c r="E67" s="6"/>
      <c r="F67" s="7" t="s">
        <v>5</v>
      </c>
      <c r="G67" s="7">
        <f t="shared" si="4"/>
        <v>1</v>
      </c>
      <c r="H67" s="7">
        <f t="shared" si="4"/>
        <v>0</v>
      </c>
      <c r="I67" s="7">
        <f t="shared" si="4"/>
        <v>0</v>
      </c>
      <c r="J67" s="7">
        <f t="shared" si="4"/>
        <v>0</v>
      </c>
      <c r="K67" s="7">
        <f t="shared" si="4"/>
        <v>0</v>
      </c>
      <c r="L67" s="6"/>
    </row>
    <row r="68" spans="1:12" x14ac:dyDescent="0.25">
      <c r="A68" s="4">
        <f t="shared" si="0"/>
        <v>2.0064000000000135</v>
      </c>
      <c r="B68" s="6"/>
      <c r="C68" s="5" t="s">
        <v>575</v>
      </c>
      <c r="D68" s="6"/>
      <c r="E68" s="6"/>
      <c r="F68" s="7" t="s">
        <v>5</v>
      </c>
      <c r="G68" s="7">
        <f t="shared" si="4"/>
        <v>1</v>
      </c>
      <c r="H68" s="7">
        <f t="shared" si="4"/>
        <v>0</v>
      </c>
      <c r="I68" s="7">
        <f t="shared" si="4"/>
        <v>0</v>
      </c>
      <c r="J68" s="7">
        <f t="shared" si="4"/>
        <v>0</v>
      </c>
      <c r="K68" s="7">
        <f t="shared" si="4"/>
        <v>0</v>
      </c>
      <c r="L68" s="6"/>
    </row>
    <row r="69" spans="1:12" x14ac:dyDescent="0.25">
      <c r="A69" s="4">
        <f t="shared" si="0"/>
        <v>2.0065000000000137</v>
      </c>
      <c r="B69" s="6"/>
      <c r="C69" s="63" t="s">
        <v>953</v>
      </c>
      <c r="D69" s="6"/>
      <c r="E69" s="6"/>
      <c r="F69" s="7" t="s">
        <v>5</v>
      </c>
      <c r="G69" s="7">
        <f t="shared" si="4"/>
        <v>1</v>
      </c>
      <c r="H69" s="7">
        <f t="shared" si="4"/>
        <v>0</v>
      </c>
      <c r="I69" s="7">
        <f t="shared" si="4"/>
        <v>0</v>
      </c>
      <c r="J69" s="7">
        <f t="shared" si="4"/>
        <v>0</v>
      </c>
      <c r="K69" s="7">
        <f t="shared" si="4"/>
        <v>0</v>
      </c>
      <c r="L69" s="6"/>
    </row>
    <row r="70" spans="1:12" x14ac:dyDescent="0.25">
      <c r="A70" s="4">
        <f t="shared" si="0"/>
        <v>2.0066000000000139</v>
      </c>
      <c r="B70" s="6"/>
      <c r="C70" s="63" t="s">
        <v>805</v>
      </c>
      <c r="D70" s="6"/>
      <c r="E70" s="6"/>
      <c r="F70" s="7" t="s">
        <v>5</v>
      </c>
      <c r="G70" s="7">
        <f t="shared" si="4"/>
        <v>1</v>
      </c>
      <c r="H70" s="7">
        <f t="shared" si="4"/>
        <v>0</v>
      </c>
      <c r="I70" s="7">
        <f t="shared" si="4"/>
        <v>0</v>
      </c>
      <c r="J70" s="7">
        <f t="shared" si="4"/>
        <v>0</v>
      </c>
      <c r="K70" s="7">
        <f t="shared" si="4"/>
        <v>0</v>
      </c>
      <c r="L70" s="6"/>
    </row>
    <row r="71" spans="1:12" x14ac:dyDescent="0.25">
      <c r="A71" s="4">
        <f t="shared" si="0"/>
        <v>2.0067000000000141</v>
      </c>
      <c r="B71" s="6"/>
      <c r="C71" s="63" t="s">
        <v>790</v>
      </c>
      <c r="D71" s="6"/>
      <c r="E71" s="6"/>
      <c r="F71" s="7" t="s">
        <v>5</v>
      </c>
      <c r="G71" s="7">
        <f t="shared" si="4"/>
        <v>1</v>
      </c>
      <c r="H71" s="7">
        <f t="shared" si="4"/>
        <v>0</v>
      </c>
      <c r="I71" s="7">
        <f t="shared" si="4"/>
        <v>0</v>
      </c>
      <c r="J71" s="7">
        <f t="shared" si="4"/>
        <v>0</v>
      </c>
      <c r="K71" s="7">
        <f t="shared" si="4"/>
        <v>0</v>
      </c>
      <c r="L71" s="6"/>
    </row>
    <row r="72" spans="1:12" x14ac:dyDescent="0.25">
      <c r="A72" s="4">
        <f t="shared" si="0"/>
        <v>2.0068000000000144</v>
      </c>
      <c r="B72" s="6"/>
      <c r="C72" s="63" t="s">
        <v>952</v>
      </c>
      <c r="D72" s="6"/>
      <c r="E72" s="6"/>
      <c r="F72" s="7" t="s">
        <v>5</v>
      </c>
      <c r="G72" s="7">
        <f t="shared" si="4"/>
        <v>1</v>
      </c>
      <c r="H72" s="7">
        <f t="shared" si="4"/>
        <v>0</v>
      </c>
      <c r="I72" s="7">
        <f t="shared" si="4"/>
        <v>0</v>
      </c>
      <c r="J72" s="7">
        <f t="shared" si="4"/>
        <v>0</v>
      </c>
      <c r="K72" s="7">
        <f t="shared" si="4"/>
        <v>0</v>
      </c>
      <c r="L72" s="6"/>
    </row>
    <row r="73" spans="1:12" x14ac:dyDescent="0.25">
      <c r="A73" s="4">
        <f t="shared" si="0"/>
        <v>2.0069000000000146</v>
      </c>
      <c r="B73" s="6"/>
      <c r="C73" s="5" t="s">
        <v>577</v>
      </c>
      <c r="D73" s="6"/>
      <c r="E73" s="6"/>
      <c r="F73" s="7" t="s">
        <v>5</v>
      </c>
      <c r="G73" s="7">
        <f t="shared" si="4"/>
        <v>1</v>
      </c>
      <c r="H73" s="7">
        <f t="shared" si="4"/>
        <v>0</v>
      </c>
      <c r="I73" s="7">
        <f t="shared" si="4"/>
        <v>0</v>
      </c>
      <c r="J73" s="7">
        <f t="shared" si="4"/>
        <v>0</v>
      </c>
      <c r="K73" s="7">
        <f t="shared" si="4"/>
        <v>0</v>
      </c>
      <c r="L73" s="6"/>
    </row>
    <row r="74" spans="1:12" x14ac:dyDescent="0.25">
      <c r="A74" s="4">
        <f t="shared" si="0"/>
        <v>2.0070000000000148</v>
      </c>
      <c r="B74" s="6"/>
      <c r="C74" s="5" t="s">
        <v>578</v>
      </c>
      <c r="D74" s="6"/>
      <c r="E74" s="6"/>
      <c r="F74" s="7" t="s">
        <v>5</v>
      </c>
      <c r="G74" s="7">
        <f t="shared" si="4"/>
        <v>1</v>
      </c>
      <c r="H74" s="7">
        <f t="shared" si="4"/>
        <v>0</v>
      </c>
      <c r="I74" s="7">
        <f t="shared" si="4"/>
        <v>0</v>
      </c>
      <c r="J74" s="7">
        <f t="shared" si="4"/>
        <v>0</v>
      </c>
      <c r="K74" s="7">
        <f t="shared" si="4"/>
        <v>0</v>
      </c>
      <c r="L74" s="6"/>
    </row>
    <row r="75" spans="1:12" x14ac:dyDescent="0.25">
      <c r="A75" s="4">
        <f t="shared" si="0"/>
        <v>2.007100000000015</v>
      </c>
      <c r="B75" s="6"/>
      <c r="C75" s="5" t="s">
        <v>579</v>
      </c>
      <c r="D75" s="6"/>
      <c r="E75" s="6"/>
      <c r="F75" s="7" t="s">
        <v>5</v>
      </c>
      <c r="G75" s="7">
        <f t="shared" si="4"/>
        <v>1</v>
      </c>
      <c r="H75" s="7">
        <f t="shared" si="4"/>
        <v>0</v>
      </c>
      <c r="I75" s="7">
        <f t="shared" si="4"/>
        <v>0</v>
      </c>
      <c r="J75" s="7">
        <f t="shared" si="4"/>
        <v>0</v>
      </c>
      <c r="K75" s="7">
        <f t="shared" si="4"/>
        <v>0</v>
      </c>
      <c r="L75" s="6"/>
    </row>
    <row r="76" spans="1:12" x14ac:dyDescent="0.25">
      <c r="A76" s="4">
        <f t="shared" si="0"/>
        <v>2.0072000000000152</v>
      </c>
      <c r="B76" s="5"/>
      <c r="C76" s="5"/>
      <c r="D76" s="7"/>
      <c r="E76" s="7"/>
      <c r="F76" s="7"/>
      <c r="G76" s="7"/>
      <c r="H76" s="7"/>
      <c r="I76" s="7"/>
      <c r="J76" s="7"/>
      <c r="K76" s="7"/>
    </row>
    <row r="77" spans="1:12" ht="25.5" x14ac:dyDescent="0.25">
      <c r="A77" s="4">
        <f t="shared" si="0"/>
        <v>2.0073000000000154</v>
      </c>
      <c r="B77" s="96" t="s">
        <v>939</v>
      </c>
      <c r="C77" s="63" t="s">
        <v>765</v>
      </c>
      <c r="D77" s="7"/>
      <c r="E77" s="7"/>
      <c r="F77" s="7" t="s">
        <v>5</v>
      </c>
      <c r="G77" s="7">
        <f t="shared" ref="G77:K90" si="5">IF($F77=G$1,1,0)</f>
        <v>1</v>
      </c>
      <c r="H77" s="7">
        <f t="shared" si="5"/>
        <v>0</v>
      </c>
      <c r="I77" s="7">
        <f t="shared" si="5"/>
        <v>0</v>
      </c>
      <c r="J77" s="7">
        <f t="shared" si="5"/>
        <v>0</v>
      </c>
      <c r="K77" s="7">
        <f t="shared" si="5"/>
        <v>0</v>
      </c>
    </row>
    <row r="78" spans="1:12" x14ac:dyDescent="0.25">
      <c r="A78" s="4">
        <f t="shared" si="0"/>
        <v>2.0074000000000156</v>
      </c>
      <c r="B78" s="96"/>
      <c r="C78" s="63" t="s">
        <v>961</v>
      </c>
      <c r="D78" s="7"/>
      <c r="E78" s="7"/>
      <c r="F78" s="7" t="s">
        <v>5</v>
      </c>
      <c r="G78" s="7"/>
      <c r="H78" s="7"/>
      <c r="I78" s="7"/>
      <c r="J78" s="7"/>
      <c r="K78" s="7"/>
    </row>
    <row r="79" spans="1:12" x14ac:dyDescent="0.25">
      <c r="A79" s="4">
        <f t="shared" si="0"/>
        <v>2.0075000000000158</v>
      </c>
      <c r="B79" s="6"/>
      <c r="C79" s="5" t="s">
        <v>821</v>
      </c>
      <c r="D79" s="7"/>
      <c r="E79" s="7"/>
      <c r="F79" s="7" t="s">
        <v>5</v>
      </c>
      <c r="G79" s="7">
        <f t="shared" si="5"/>
        <v>1</v>
      </c>
      <c r="H79" s="7">
        <f t="shared" si="5"/>
        <v>0</v>
      </c>
      <c r="I79" s="7">
        <f t="shared" si="5"/>
        <v>0</v>
      </c>
      <c r="J79" s="7">
        <f t="shared" si="5"/>
        <v>0</v>
      </c>
      <c r="K79" s="7">
        <f t="shared" si="5"/>
        <v>0</v>
      </c>
    </row>
    <row r="80" spans="1:12" x14ac:dyDescent="0.25">
      <c r="A80" s="4">
        <f t="shared" si="0"/>
        <v>2.007600000000016</v>
      </c>
      <c r="B80" s="6"/>
      <c r="C80" s="5" t="s">
        <v>585</v>
      </c>
      <c r="D80" s="7"/>
      <c r="E80" s="7"/>
      <c r="F80" s="7" t="s">
        <v>5</v>
      </c>
      <c r="G80" s="7">
        <f t="shared" si="5"/>
        <v>1</v>
      </c>
      <c r="H80" s="7">
        <f t="shared" si="5"/>
        <v>0</v>
      </c>
      <c r="I80" s="7">
        <f t="shared" si="5"/>
        <v>0</v>
      </c>
      <c r="J80" s="7">
        <f t="shared" si="5"/>
        <v>0</v>
      </c>
      <c r="K80" s="7">
        <f t="shared" si="5"/>
        <v>0</v>
      </c>
    </row>
    <row r="81" spans="1:11" x14ac:dyDescent="0.25">
      <c r="A81" s="4">
        <f t="shared" si="0"/>
        <v>2.0077000000000162</v>
      </c>
      <c r="B81" s="6"/>
      <c r="C81" s="5" t="s">
        <v>562</v>
      </c>
      <c r="D81" s="7"/>
      <c r="E81" s="7"/>
      <c r="F81" s="7" t="s">
        <v>5</v>
      </c>
      <c r="G81" s="7">
        <f t="shared" si="5"/>
        <v>1</v>
      </c>
      <c r="H81" s="7">
        <f t="shared" si="5"/>
        <v>0</v>
      </c>
      <c r="I81" s="7">
        <f t="shared" si="5"/>
        <v>0</v>
      </c>
      <c r="J81" s="7">
        <f t="shared" si="5"/>
        <v>0</v>
      </c>
      <c r="K81" s="7">
        <f t="shared" si="5"/>
        <v>0</v>
      </c>
    </row>
    <row r="82" spans="1:11" ht="25.5" x14ac:dyDescent="0.25">
      <c r="A82" s="4">
        <f t="shared" si="0"/>
        <v>2.0078000000000165</v>
      </c>
      <c r="B82" s="6"/>
      <c r="C82" s="5" t="s">
        <v>788</v>
      </c>
      <c r="D82" s="7" t="s">
        <v>984</v>
      </c>
      <c r="E82" s="7"/>
      <c r="F82" s="7" t="s">
        <v>5</v>
      </c>
      <c r="G82" s="7">
        <f t="shared" si="5"/>
        <v>1</v>
      </c>
      <c r="H82" s="7">
        <f t="shared" si="5"/>
        <v>0</v>
      </c>
      <c r="I82" s="7">
        <f t="shared" si="5"/>
        <v>0</v>
      </c>
      <c r="J82" s="7">
        <f t="shared" si="5"/>
        <v>0</v>
      </c>
      <c r="K82" s="7">
        <f t="shared" si="5"/>
        <v>0</v>
      </c>
    </row>
    <row r="83" spans="1:11" x14ac:dyDescent="0.25">
      <c r="A83" s="4">
        <f t="shared" si="0"/>
        <v>2.0079000000000167</v>
      </c>
      <c r="B83" s="6"/>
      <c r="C83" s="5" t="s">
        <v>886</v>
      </c>
      <c r="D83" s="7" t="s">
        <v>955</v>
      </c>
      <c r="E83" s="7"/>
      <c r="F83" s="7" t="s">
        <v>5</v>
      </c>
      <c r="G83" s="7">
        <f t="shared" si="5"/>
        <v>1</v>
      </c>
      <c r="H83" s="7">
        <f t="shared" si="5"/>
        <v>0</v>
      </c>
      <c r="I83" s="7">
        <f t="shared" si="5"/>
        <v>0</v>
      </c>
      <c r="J83" s="7">
        <f t="shared" si="5"/>
        <v>0</v>
      </c>
      <c r="K83" s="7">
        <f t="shared" si="5"/>
        <v>0</v>
      </c>
    </row>
    <row r="84" spans="1:11" ht="30" x14ac:dyDescent="0.25">
      <c r="A84" s="4">
        <f t="shared" si="0"/>
        <v>2.0080000000000169</v>
      </c>
      <c r="B84" s="6"/>
      <c r="C84" s="5" t="s">
        <v>866</v>
      </c>
      <c r="D84" s="7" t="s">
        <v>985</v>
      </c>
      <c r="E84" s="7"/>
      <c r="F84" s="7" t="s">
        <v>5</v>
      </c>
      <c r="G84" s="7">
        <f t="shared" si="5"/>
        <v>1</v>
      </c>
      <c r="H84" s="7">
        <f t="shared" si="5"/>
        <v>0</v>
      </c>
      <c r="I84" s="7">
        <f t="shared" si="5"/>
        <v>0</v>
      </c>
      <c r="J84" s="7">
        <f t="shared" si="5"/>
        <v>0</v>
      </c>
      <c r="K84" s="7">
        <f t="shared" si="5"/>
        <v>0</v>
      </c>
    </row>
    <row r="85" spans="1:11" x14ac:dyDescent="0.25">
      <c r="A85" s="4">
        <f t="shared" si="0"/>
        <v>2.0081000000000171</v>
      </c>
      <c r="B85" s="6"/>
      <c r="C85" s="5" t="s">
        <v>588</v>
      </c>
      <c r="D85" s="7" t="s">
        <v>986</v>
      </c>
      <c r="E85" s="7"/>
      <c r="F85" s="7" t="s">
        <v>5</v>
      </c>
      <c r="G85" s="7">
        <f t="shared" si="5"/>
        <v>1</v>
      </c>
      <c r="H85" s="7">
        <f t="shared" si="5"/>
        <v>0</v>
      </c>
      <c r="I85" s="7">
        <f t="shared" si="5"/>
        <v>0</v>
      </c>
      <c r="J85" s="7">
        <f t="shared" si="5"/>
        <v>0</v>
      </c>
      <c r="K85" s="7">
        <f t="shared" si="5"/>
        <v>0</v>
      </c>
    </row>
    <row r="86" spans="1:11" ht="25.5" x14ac:dyDescent="0.25">
      <c r="A86" s="4">
        <f t="shared" si="0"/>
        <v>2.0082000000000173</v>
      </c>
      <c r="B86" s="6"/>
      <c r="C86" s="5" t="s">
        <v>958</v>
      </c>
      <c r="D86" s="7"/>
      <c r="E86" s="7"/>
      <c r="F86" s="7" t="s">
        <v>5</v>
      </c>
      <c r="G86" s="7">
        <f t="shared" si="5"/>
        <v>1</v>
      </c>
      <c r="H86" s="7">
        <f t="shared" si="5"/>
        <v>0</v>
      </c>
      <c r="I86" s="7">
        <f t="shared" si="5"/>
        <v>0</v>
      </c>
      <c r="J86" s="7">
        <f t="shared" si="5"/>
        <v>0</v>
      </c>
      <c r="K86" s="7">
        <f t="shared" si="5"/>
        <v>0</v>
      </c>
    </row>
    <row r="87" spans="1:11" x14ac:dyDescent="0.25">
      <c r="A87" s="4">
        <f t="shared" si="0"/>
        <v>2.0083000000000175</v>
      </c>
      <c r="B87" s="6"/>
      <c r="C87" s="5" t="s">
        <v>912</v>
      </c>
      <c r="D87" s="7"/>
      <c r="E87" s="7"/>
      <c r="F87" s="7" t="s">
        <v>5</v>
      </c>
      <c r="G87" s="7">
        <f t="shared" si="5"/>
        <v>1</v>
      </c>
      <c r="H87" s="7">
        <f t="shared" si="5"/>
        <v>0</v>
      </c>
      <c r="I87" s="7">
        <f t="shared" si="5"/>
        <v>0</v>
      </c>
      <c r="J87" s="7">
        <f t="shared" si="5"/>
        <v>0</v>
      </c>
      <c r="K87" s="7">
        <f t="shared" si="5"/>
        <v>0</v>
      </c>
    </row>
    <row r="88" spans="1:11" x14ac:dyDescent="0.25">
      <c r="A88" s="4">
        <f t="shared" si="0"/>
        <v>2.0084000000000177</v>
      </c>
      <c r="B88" s="6"/>
      <c r="C88" s="5" t="s">
        <v>988</v>
      </c>
      <c r="D88" s="7"/>
      <c r="E88" s="7"/>
      <c r="F88" s="7" t="s">
        <v>5</v>
      </c>
      <c r="G88" s="7">
        <f t="shared" si="5"/>
        <v>1</v>
      </c>
      <c r="H88" s="7">
        <f t="shared" si="5"/>
        <v>0</v>
      </c>
      <c r="I88" s="7">
        <f t="shared" si="5"/>
        <v>0</v>
      </c>
      <c r="J88" s="7">
        <f t="shared" si="5"/>
        <v>0</v>
      </c>
      <c r="K88" s="7">
        <f t="shared" si="5"/>
        <v>0</v>
      </c>
    </row>
    <row r="89" spans="1:11" ht="25.5" x14ac:dyDescent="0.25">
      <c r="A89" s="4">
        <f t="shared" ref="A89:A132" si="6">A88+0.0001</f>
        <v>2.0085000000000179</v>
      </c>
      <c r="B89" s="5"/>
      <c r="C89" s="5" t="s">
        <v>586</v>
      </c>
      <c r="D89" s="7" t="s">
        <v>989</v>
      </c>
      <c r="E89" s="7"/>
      <c r="F89" s="7" t="s">
        <v>5</v>
      </c>
      <c r="G89" s="7">
        <f t="shared" si="5"/>
        <v>1</v>
      </c>
      <c r="H89" s="7">
        <f t="shared" si="5"/>
        <v>0</v>
      </c>
      <c r="I89" s="7">
        <f t="shared" si="5"/>
        <v>0</v>
      </c>
      <c r="J89" s="7">
        <f t="shared" si="5"/>
        <v>0</v>
      </c>
      <c r="K89" s="7">
        <f t="shared" si="5"/>
        <v>0</v>
      </c>
    </row>
    <row r="90" spans="1:11" x14ac:dyDescent="0.25">
      <c r="A90" s="4">
        <f t="shared" si="6"/>
        <v>2.0086000000000181</v>
      </c>
      <c r="B90" s="5"/>
      <c r="C90" s="22" t="s">
        <v>904</v>
      </c>
      <c r="D90" s="7" t="s">
        <v>990</v>
      </c>
      <c r="E90" s="7"/>
      <c r="F90" s="7" t="s">
        <v>5</v>
      </c>
      <c r="G90" s="7">
        <f t="shared" si="5"/>
        <v>1</v>
      </c>
      <c r="H90" s="7">
        <f t="shared" si="5"/>
        <v>0</v>
      </c>
      <c r="I90" s="7">
        <f t="shared" si="5"/>
        <v>0</v>
      </c>
      <c r="J90" s="7">
        <f t="shared" si="5"/>
        <v>0</v>
      </c>
      <c r="K90" s="7">
        <f t="shared" si="5"/>
        <v>0</v>
      </c>
    </row>
    <row r="91" spans="1:11" x14ac:dyDescent="0.25">
      <c r="A91" s="4">
        <f t="shared" si="6"/>
        <v>2.0087000000000184</v>
      </c>
      <c r="B91" s="96"/>
      <c r="C91" s="63" t="s">
        <v>962</v>
      </c>
      <c r="D91" s="7"/>
      <c r="E91" s="7"/>
      <c r="F91" s="7" t="s">
        <v>5</v>
      </c>
      <c r="G91" s="7"/>
      <c r="H91" s="7"/>
      <c r="I91" s="7"/>
      <c r="J91" s="7"/>
      <c r="K91" s="7"/>
    </row>
    <row r="92" spans="1:11" x14ac:dyDescent="0.25">
      <c r="A92" s="4">
        <f t="shared" si="6"/>
        <v>2.0088000000000186</v>
      </c>
      <c r="B92" s="6"/>
      <c r="C92" s="5" t="s">
        <v>821</v>
      </c>
      <c r="D92" s="7"/>
      <c r="E92" s="7"/>
      <c r="F92" s="7" t="s">
        <v>5</v>
      </c>
      <c r="G92" s="7">
        <f t="shared" ref="G92:K103" si="7">IF($F92=G$1,1,0)</f>
        <v>1</v>
      </c>
      <c r="H92" s="7">
        <f t="shared" si="7"/>
        <v>0</v>
      </c>
      <c r="I92" s="7">
        <f t="shared" si="7"/>
        <v>0</v>
      </c>
      <c r="J92" s="7">
        <f t="shared" si="7"/>
        <v>0</v>
      </c>
      <c r="K92" s="7">
        <f t="shared" si="7"/>
        <v>0</v>
      </c>
    </row>
    <row r="93" spans="1:11" x14ac:dyDescent="0.25">
      <c r="A93" s="4">
        <f t="shared" si="6"/>
        <v>2.0089000000000188</v>
      </c>
      <c r="B93" s="6"/>
      <c r="C93" s="5" t="s">
        <v>585</v>
      </c>
      <c r="D93" s="7"/>
      <c r="E93" s="7"/>
      <c r="F93" s="7" t="s">
        <v>5</v>
      </c>
      <c r="G93" s="7">
        <f t="shared" si="7"/>
        <v>1</v>
      </c>
      <c r="H93" s="7">
        <f t="shared" si="7"/>
        <v>0</v>
      </c>
      <c r="I93" s="7">
        <f t="shared" si="7"/>
        <v>0</v>
      </c>
      <c r="J93" s="7">
        <f t="shared" si="7"/>
        <v>0</v>
      </c>
      <c r="K93" s="7">
        <f t="shared" si="7"/>
        <v>0</v>
      </c>
    </row>
    <row r="94" spans="1:11" x14ac:dyDescent="0.25">
      <c r="A94" s="4">
        <f t="shared" si="6"/>
        <v>2.009000000000019</v>
      </c>
      <c r="B94" s="6"/>
      <c r="C94" s="5" t="s">
        <v>562</v>
      </c>
      <c r="D94" s="7"/>
      <c r="E94" s="7"/>
      <c r="F94" s="7" t="s">
        <v>5</v>
      </c>
      <c r="G94" s="7">
        <f t="shared" si="7"/>
        <v>1</v>
      </c>
      <c r="H94" s="7">
        <f t="shared" si="7"/>
        <v>0</v>
      </c>
      <c r="I94" s="7">
        <f t="shared" si="7"/>
        <v>0</v>
      </c>
      <c r="J94" s="7">
        <f t="shared" si="7"/>
        <v>0</v>
      </c>
      <c r="K94" s="7">
        <f t="shared" si="7"/>
        <v>0</v>
      </c>
    </row>
    <row r="95" spans="1:11" x14ac:dyDescent="0.25">
      <c r="A95" s="4">
        <f t="shared" si="6"/>
        <v>2.0091000000000192</v>
      </c>
      <c r="B95" s="6"/>
      <c r="C95" s="5" t="s">
        <v>964</v>
      </c>
      <c r="D95" s="7" t="s">
        <v>954</v>
      </c>
      <c r="E95" s="7"/>
      <c r="F95" s="7" t="s">
        <v>5</v>
      </c>
      <c r="G95" s="7">
        <f t="shared" si="7"/>
        <v>1</v>
      </c>
      <c r="H95" s="7">
        <f t="shared" si="7"/>
        <v>0</v>
      </c>
      <c r="I95" s="7">
        <f t="shared" si="7"/>
        <v>0</v>
      </c>
      <c r="J95" s="7">
        <f t="shared" si="7"/>
        <v>0</v>
      </c>
      <c r="K95" s="7">
        <f t="shared" si="7"/>
        <v>0</v>
      </c>
    </row>
    <row r="96" spans="1:11" x14ac:dyDescent="0.25">
      <c r="A96" s="4">
        <f t="shared" si="6"/>
        <v>2.0092000000000194</v>
      </c>
      <c r="B96" s="6"/>
      <c r="C96" s="5" t="s">
        <v>963</v>
      </c>
      <c r="D96" s="117">
        <v>44.19</v>
      </c>
      <c r="E96" s="7"/>
      <c r="F96" s="7" t="s">
        <v>5</v>
      </c>
      <c r="G96" s="7">
        <f t="shared" si="7"/>
        <v>1</v>
      </c>
      <c r="H96" s="7">
        <f t="shared" si="7"/>
        <v>0</v>
      </c>
      <c r="I96" s="7">
        <f t="shared" si="7"/>
        <v>0</v>
      </c>
      <c r="J96" s="7">
        <f t="shared" si="7"/>
        <v>0</v>
      </c>
      <c r="K96" s="7">
        <f t="shared" si="7"/>
        <v>0</v>
      </c>
    </row>
    <row r="97" spans="1:11" ht="30" x14ac:dyDescent="0.25">
      <c r="A97" s="4">
        <f t="shared" si="6"/>
        <v>2.0093000000000196</v>
      </c>
      <c r="B97" s="6"/>
      <c r="C97" s="5" t="s">
        <v>965</v>
      </c>
      <c r="D97" s="125" t="s">
        <v>966</v>
      </c>
      <c r="E97" s="7"/>
      <c r="F97" s="7" t="s">
        <v>5</v>
      </c>
      <c r="G97" s="7">
        <f t="shared" si="7"/>
        <v>1</v>
      </c>
      <c r="H97" s="7">
        <f t="shared" si="7"/>
        <v>0</v>
      </c>
      <c r="I97" s="7">
        <f t="shared" si="7"/>
        <v>0</v>
      </c>
      <c r="J97" s="7">
        <f t="shared" si="7"/>
        <v>0</v>
      </c>
      <c r="K97" s="7">
        <f t="shared" si="7"/>
        <v>0</v>
      </c>
    </row>
    <row r="98" spans="1:11" x14ac:dyDescent="0.25">
      <c r="A98" s="4">
        <f t="shared" si="6"/>
        <v>2.0094000000000198</v>
      </c>
      <c r="B98" s="6"/>
      <c r="C98" s="5" t="s">
        <v>967</v>
      </c>
      <c r="D98" s="7"/>
      <c r="E98" s="7"/>
      <c r="F98" s="7" t="s">
        <v>5</v>
      </c>
      <c r="G98" s="7">
        <f t="shared" si="7"/>
        <v>1</v>
      </c>
      <c r="H98" s="7">
        <f t="shared" si="7"/>
        <v>0</v>
      </c>
      <c r="I98" s="7">
        <f t="shared" si="7"/>
        <v>0</v>
      </c>
      <c r="J98" s="7">
        <f t="shared" si="7"/>
        <v>0</v>
      </c>
      <c r="K98" s="7">
        <f t="shared" si="7"/>
        <v>0</v>
      </c>
    </row>
    <row r="99" spans="1:11" x14ac:dyDescent="0.25">
      <c r="A99" s="4">
        <f t="shared" si="6"/>
        <v>2.00950000000002</v>
      </c>
      <c r="B99" s="6"/>
      <c r="C99" s="5" t="s">
        <v>968</v>
      </c>
      <c r="D99" s="7"/>
      <c r="E99" s="7"/>
      <c r="F99" s="7" t="s">
        <v>5</v>
      </c>
      <c r="G99" s="7">
        <f t="shared" si="7"/>
        <v>1</v>
      </c>
      <c r="H99" s="7">
        <f t="shared" si="7"/>
        <v>0</v>
      </c>
      <c r="I99" s="7">
        <f t="shared" si="7"/>
        <v>0</v>
      </c>
      <c r="J99" s="7">
        <f t="shared" si="7"/>
        <v>0</v>
      </c>
      <c r="K99" s="7">
        <f t="shared" si="7"/>
        <v>0</v>
      </c>
    </row>
    <row r="100" spans="1:11" x14ac:dyDescent="0.25">
      <c r="A100" s="4">
        <f t="shared" si="6"/>
        <v>2.0096000000000203</v>
      </c>
      <c r="B100" s="6"/>
      <c r="C100" s="5" t="s">
        <v>969</v>
      </c>
      <c r="D100" s="7"/>
      <c r="E100" s="7"/>
      <c r="F100" s="7" t="s">
        <v>5</v>
      </c>
      <c r="G100" s="7">
        <f t="shared" si="7"/>
        <v>1</v>
      </c>
      <c r="H100" s="7">
        <f t="shared" si="7"/>
        <v>0</v>
      </c>
      <c r="I100" s="7">
        <f t="shared" si="7"/>
        <v>0</v>
      </c>
      <c r="J100" s="7">
        <f t="shared" si="7"/>
        <v>0</v>
      </c>
      <c r="K100" s="7">
        <f t="shared" si="7"/>
        <v>0</v>
      </c>
    </row>
    <row r="101" spans="1:11" x14ac:dyDescent="0.25">
      <c r="A101" s="4">
        <f t="shared" si="6"/>
        <v>2.0097000000000205</v>
      </c>
      <c r="B101" s="6"/>
      <c r="C101" s="5" t="s">
        <v>970</v>
      </c>
      <c r="D101" s="7"/>
      <c r="E101" s="7"/>
      <c r="F101" s="7" t="s">
        <v>5</v>
      </c>
      <c r="G101" s="7">
        <f t="shared" si="7"/>
        <v>1</v>
      </c>
      <c r="H101" s="7">
        <f t="shared" si="7"/>
        <v>0</v>
      </c>
      <c r="I101" s="7">
        <f t="shared" si="7"/>
        <v>0</v>
      </c>
      <c r="J101" s="7">
        <f t="shared" si="7"/>
        <v>0</v>
      </c>
      <c r="K101" s="7">
        <f t="shared" si="7"/>
        <v>0</v>
      </c>
    </row>
    <row r="102" spans="1:11" x14ac:dyDescent="0.25">
      <c r="A102" s="4">
        <f t="shared" si="6"/>
        <v>2.0098000000000207</v>
      </c>
      <c r="B102" s="5"/>
      <c r="C102" s="5" t="s">
        <v>971</v>
      </c>
      <c r="D102" s="7"/>
      <c r="E102" s="7"/>
      <c r="F102" s="7" t="s">
        <v>5</v>
      </c>
      <c r="G102" s="7">
        <f t="shared" si="7"/>
        <v>1</v>
      </c>
      <c r="H102" s="7">
        <f t="shared" si="7"/>
        <v>0</v>
      </c>
      <c r="I102" s="7">
        <f t="shared" si="7"/>
        <v>0</v>
      </c>
      <c r="J102" s="7">
        <f t="shared" si="7"/>
        <v>0</v>
      </c>
      <c r="K102" s="7">
        <f t="shared" si="7"/>
        <v>0</v>
      </c>
    </row>
    <row r="103" spans="1:11" x14ac:dyDescent="0.25">
      <c r="A103" s="4">
        <f t="shared" si="6"/>
        <v>2.0099000000000209</v>
      </c>
      <c r="B103" s="5"/>
      <c r="C103" s="22" t="s">
        <v>991</v>
      </c>
      <c r="D103" s="7"/>
      <c r="E103" s="7"/>
      <c r="F103" s="7" t="s">
        <v>5</v>
      </c>
      <c r="G103" s="7">
        <f t="shared" si="7"/>
        <v>1</v>
      </c>
      <c r="H103" s="7">
        <f t="shared" si="7"/>
        <v>0</v>
      </c>
      <c r="I103" s="7">
        <f t="shared" si="7"/>
        <v>0</v>
      </c>
      <c r="J103" s="7">
        <f t="shared" si="7"/>
        <v>0</v>
      </c>
      <c r="K103" s="7">
        <f t="shared" si="7"/>
        <v>0</v>
      </c>
    </row>
    <row r="104" spans="1:11" x14ac:dyDescent="0.25">
      <c r="A104" s="4">
        <f t="shared" si="6"/>
        <v>2.0100000000000211</v>
      </c>
      <c r="B104" s="96"/>
      <c r="C104" s="63" t="s">
        <v>973</v>
      </c>
      <c r="D104" s="7"/>
      <c r="E104" s="7"/>
      <c r="F104" s="7" t="s">
        <v>5</v>
      </c>
      <c r="G104" s="7"/>
      <c r="H104" s="7"/>
      <c r="I104" s="7"/>
      <c r="J104" s="7"/>
      <c r="K104" s="7"/>
    </row>
    <row r="105" spans="1:11" x14ac:dyDescent="0.25">
      <c r="A105" s="4">
        <f t="shared" si="6"/>
        <v>2.0101000000000213</v>
      </c>
      <c r="B105" s="6"/>
      <c r="C105" s="5" t="s">
        <v>821</v>
      </c>
      <c r="D105" s="7"/>
      <c r="E105" s="7"/>
      <c r="F105" s="7" t="s">
        <v>5</v>
      </c>
      <c r="G105" s="7">
        <f t="shared" ref="G105:K120" si="8">IF($F105=G$1,1,0)</f>
        <v>1</v>
      </c>
      <c r="H105" s="7">
        <f t="shared" si="8"/>
        <v>0</v>
      </c>
      <c r="I105" s="7">
        <f t="shared" si="8"/>
        <v>0</v>
      </c>
      <c r="J105" s="7">
        <f t="shared" si="8"/>
        <v>0</v>
      </c>
      <c r="K105" s="7">
        <f t="shared" si="8"/>
        <v>0</v>
      </c>
    </row>
    <row r="106" spans="1:11" x14ac:dyDescent="0.25">
      <c r="A106" s="4">
        <f t="shared" si="6"/>
        <v>2.0102000000000215</v>
      </c>
      <c r="B106" s="6"/>
      <c r="C106" s="5" t="s">
        <v>585</v>
      </c>
      <c r="D106" s="7"/>
      <c r="E106" s="7"/>
      <c r="F106" s="7" t="s">
        <v>5</v>
      </c>
      <c r="G106" s="7">
        <f t="shared" si="8"/>
        <v>1</v>
      </c>
      <c r="H106" s="7">
        <f t="shared" si="8"/>
        <v>0</v>
      </c>
      <c r="I106" s="7">
        <f t="shared" si="8"/>
        <v>0</v>
      </c>
      <c r="J106" s="7">
        <f t="shared" si="8"/>
        <v>0</v>
      </c>
      <c r="K106" s="7">
        <f t="shared" si="8"/>
        <v>0</v>
      </c>
    </row>
    <row r="107" spans="1:11" x14ac:dyDescent="0.25">
      <c r="A107" s="4">
        <f t="shared" si="6"/>
        <v>2.0103000000000217</v>
      </c>
      <c r="B107" s="6"/>
      <c r="C107" s="5" t="s">
        <v>562</v>
      </c>
      <c r="D107" s="7"/>
      <c r="E107" s="7"/>
      <c r="F107" s="7" t="s">
        <v>5</v>
      </c>
      <c r="G107" s="7">
        <f t="shared" si="8"/>
        <v>1</v>
      </c>
      <c r="H107" s="7">
        <f t="shared" si="8"/>
        <v>0</v>
      </c>
      <c r="I107" s="7">
        <f t="shared" si="8"/>
        <v>0</v>
      </c>
      <c r="J107" s="7">
        <f t="shared" si="8"/>
        <v>0</v>
      </c>
      <c r="K107" s="7">
        <f t="shared" si="8"/>
        <v>0</v>
      </c>
    </row>
    <row r="108" spans="1:11" x14ac:dyDescent="0.25">
      <c r="A108" s="4">
        <f t="shared" si="6"/>
        <v>2.0104000000000219</v>
      </c>
      <c r="B108" s="6"/>
      <c r="C108" s="5" t="s">
        <v>994</v>
      </c>
      <c r="D108" s="7" t="s">
        <v>954</v>
      </c>
      <c r="E108" s="7"/>
      <c r="F108" s="7" t="s">
        <v>5</v>
      </c>
      <c r="G108" s="7">
        <f t="shared" si="8"/>
        <v>1</v>
      </c>
      <c r="H108" s="7">
        <f t="shared" si="8"/>
        <v>0</v>
      </c>
      <c r="I108" s="7">
        <f t="shared" si="8"/>
        <v>0</v>
      </c>
      <c r="J108" s="7">
        <f t="shared" si="8"/>
        <v>0</v>
      </c>
      <c r="K108" s="7">
        <f t="shared" si="8"/>
        <v>0</v>
      </c>
    </row>
    <row r="109" spans="1:11" x14ac:dyDescent="0.25">
      <c r="A109" s="4">
        <f t="shared" si="6"/>
        <v>2.0105000000000222</v>
      </c>
      <c r="B109" s="6"/>
      <c r="C109" s="5" t="s">
        <v>886</v>
      </c>
      <c r="D109" s="7" t="s">
        <v>887</v>
      </c>
      <c r="E109" s="7"/>
      <c r="F109" s="7" t="s">
        <v>5</v>
      </c>
      <c r="G109" s="7">
        <f t="shared" si="8"/>
        <v>1</v>
      </c>
      <c r="H109" s="7">
        <f t="shared" si="8"/>
        <v>0</v>
      </c>
      <c r="I109" s="7">
        <f t="shared" si="8"/>
        <v>0</v>
      </c>
      <c r="J109" s="7">
        <f t="shared" si="8"/>
        <v>0</v>
      </c>
      <c r="K109" s="7">
        <f t="shared" si="8"/>
        <v>0</v>
      </c>
    </row>
    <row r="110" spans="1:11" x14ac:dyDescent="0.25">
      <c r="A110" s="4">
        <f t="shared" si="6"/>
        <v>2.0106000000000224</v>
      </c>
      <c r="B110" s="6"/>
      <c r="C110" s="5" t="s">
        <v>866</v>
      </c>
      <c r="D110" s="7" t="s">
        <v>978</v>
      </c>
      <c r="E110" s="7"/>
      <c r="F110" s="7" t="s">
        <v>5</v>
      </c>
      <c r="G110" s="7">
        <f t="shared" si="8"/>
        <v>1</v>
      </c>
      <c r="H110" s="7">
        <f t="shared" si="8"/>
        <v>0</v>
      </c>
      <c r="I110" s="7">
        <f t="shared" si="8"/>
        <v>0</v>
      </c>
      <c r="J110" s="7">
        <f t="shared" si="8"/>
        <v>0</v>
      </c>
      <c r="K110" s="7">
        <f t="shared" si="8"/>
        <v>0</v>
      </c>
    </row>
    <row r="111" spans="1:11" x14ac:dyDescent="0.25">
      <c r="A111" s="4">
        <f t="shared" si="6"/>
        <v>2.0107000000000226</v>
      </c>
      <c r="B111" s="6"/>
      <c r="C111" s="5" t="s">
        <v>588</v>
      </c>
      <c r="D111" s="7" t="s">
        <v>986</v>
      </c>
      <c r="E111" s="7"/>
      <c r="F111" s="7" t="s">
        <v>5</v>
      </c>
      <c r="G111" s="7">
        <f t="shared" si="8"/>
        <v>1</v>
      </c>
      <c r="H111" s="7">
        <f t="shared" si="8"/>
        <v>0</v>
      </c>
      <c r="I111" s="7">
        <f t="shared" si="8"/>
        <v>0</v>
      </c>
      <c r="J111" s="7">
        <f t="shared" si="8"/>
        <v>0</v>
      </c>
      <c r="K111" s="7">
        <f t="shared" si="8"/>
        <v>0</v>
      </c>
    </row>
    <row r="112" spans="1:11" ht="30" x14ac:dyDescent="0.25">
      <c r="A112" s="4">
        <f t="shared" si="6"/>
        <v>2.0108000000000228</v>
      </c>
      <c r="B112" s="6"/>
      <c r="C112" s="5" t="s">
        <v>976</v>
      </c>
      <c r="D112" s="125" t="s">
        <v>966</v>
      </c>
      <c r="E112" s="7"/>
      <c r="F112" s="7" t="s">
        <v>5</v>
      </c>
      <c r="G112" s="7">
        <f t="shared" si="8"/>
        <v>1</v>
      </c>
      <c r="H112" s="7">
        <f t="shared" si="8"/>
        <v>0</v>
      </c>
      <c r="I112" s="7">
        <f t="shared" si="8"/>
        <v>0</v>
      </c>
      <c r="J112" s="7">
        <f t="shared" si="8"/>
        <v>0</v>
      </c>
      <c r="K112" s="7">
        <f t="shared" si="8"/>
        <v>0</v>
      </c>
    </row>
    <row r="113" spans="1:11" x14ac:dyDescent="0.25">
      <c r="A113" s="4">
        <f t="shared" si="6"/>
        <v>2.010900000000023</v>
      </c>
      <c r="B113" s="6"/>
      <c r="C113" s="5" t="s">
        <v>912</v>
      </c>
      <c r="D113" s="7"/>
      <c r="E113" s="7"/>
      <c r="F113" s="7" t="s">
        <v>5</v>
      </c>
      <c r="G113" s="7">
        <f t="shared" si="8"/>
        <v>1</v>
      </c>
      <c r="H113" s="7">
        <f t="shared" si="8"/>
        <v>0</v>
      </c>
      <c r="I113" s="7">
        <f t="shared" si="8"/>
        <v>0</v>
      </c>
      <c r="J113" s="7">
        <f t="shared" si="8"/>
        <v>0</v>
      </c>
      <c r="K113" s="7">
        <f t="shared" si="8"/>
        <v>0</v>
      </c>
    </row>
    <row r="114" spans="1:11" x14ac:dyDescent="0.25">
      <c r="A114" s="4">
        <f t="shared" si="6"/>
        <v>2.0110000000000232</v>
      </c>
      <c r="B114" s="5"/>
      <c r="C114" s="22" t="s">
        <v>904</v>
      </c>
      <c r="D114" s="7" t="s">
        <v>461</v>
      </c>
      <c r="E114" s="7"/>
      <c r="F114" s="7" t="s">
        <v>5</v>
      </c>
      <c r="G114" s="7">
        <f t="shared" si="8"/>
        <v>1</v>
      </c>
      <c r="H114" s="7">
        <f t="shared" si="8"/>
        <v>0</v>
      </c>
      <c r="I114" s="7">
        <f t="shared" si="8"/>
        <v>0</v>
      </c>
      <c r="J114" s="7">
        <f t="shared" si="8"/>
        <v>0</v>
      </c>
      <c r="K114" s="7">
        <f t="shared" si="8"/>
        <v>0</v>
      </c>
    </row>
    <row r="115" spans="1:11" x14ac:dyDescent="0.25">
      <c r="A115" s="4">
        <f t="shared" si="6"/>
        <v>2.0111000000000234</v>
      </c>
      <c r="B115" s="96"/>
      <c r="C115" s="63" t="s">
        <v>977</v>
      </c>
      <c r="D115" s="7"/>
      <c r="E115" s="7"/>
      <c r="F115" s="7" t="s">
        <v>5</v>
      </c>
      <c r="G115" s="7"/>
      <c r="H115" s="7"/>
      <c r="I115" s="7"/>
      <c r="J115" s="7"/>
      <c r="K115" s="7"/>
    </row>
    <row r="116" spans="1:11" x14ac:dyDescent="0.25">
      <c r="A116" s="4">
        <f t="shared" si="6"/>
        <v>2.0112000000000236</v>
      </c>
      <c r="B116" s="6"/>
      <c r="C116" s="5" t="s">
        <v>821</v>
      </c>
      <c r="D116" s="7"/>
      <c r="E116" s="7"/>
      <c r="F116" s="7" t="s">
        <v>5</v>
      </c>
      <c r="G116" s="7">
        <f t="shared" si="8"/>
        <v>1</v>
      </c>
      <c r="H116" s="7">
        <f t="shared" si="8"/>
        <v>0</v>
      </c>
      <c r="I116" s="7">
        <f t="shared" si="8"/>
        <v>0</v>
      </c>
      <c r="J116" s="7">
        <f t="shared" si="8"/>
        <v>0</v>
      </c>
      <c r="K116" s="7">
        <f t="shared" si="8"/>
        <v>0</v>
      </c>
    </row>
    <row r="117" spans="1:11" x14ac:dyDescent="0.25">
      <c r="A117" s="4">
        <f t="shared" si="6"/>
        <v>2.0113000000000238</v>
      </c>
      <c r="B117" s="6"/>
      <c r="C117" s="5" t="s">
        <v>585</v>
      </c>
      <c r="D117" s="7"/>
      <c r="E117" s="7"/>
      <c r="F117" s="7" t="s">
        <v>5</v>
      </c>
      <c r="G117" s="7">
        <f t="shared" si="8"/>
        <v>1</v>
      </c>
      <c r="H117" s="7">
        <f t="shared" si="8"/>
        <v>0</v>
      </c>
      <c r="I117" s="7">
        <f t="shared" si="8"/>
        <v>0</v>
      </c>
      <c r="J117" s="7">
        <f t="shared" si="8"/>
        <v>0</v>
      </c>
      <c r="K117" s="7">
        <f t="shared" si="8"/>
        <v>0</v>
      </c>
    </row>
    <row r="118" spans="1:11" x14ac:dyDescent="0.25">
      <c r="A118" s="4">
        <f t="shared" si="6"/>
        <v>2.0114000000000241</v>
      </c>
      <c r="B118" s="6"/>
      <c r="C118" s="5" t="s">
        <v>562</v>
      </c>
      <c r="D118" s="7"/>
      <c r="E118" s="7"/>
      <c r="F118" s="7" t="s">
        <v>5</v>
      </c>
      <c r="G118" s="7">
        <f t="shared" si="8"/>
        <v>1</v>
      </c>
      <c r="H118" s="7">
        <f t="shared" si="8"/>
        <v>0</v>
      </c>
      <c r="I118" s="7">
        <f t="shared" si="8"/>
        <v>0</v>
      </c>
      <c r="J118" s="7">
        <f t="shared" si="8"/>
        <v>0</v>
      </c>
      <c r="K118" s="7">
        <f t="shared" si="8"/>
        <v>0</v>
      </c>
    </row>
    <row r="119" spans="1:11" x14ac:dyDescent="0.25">
      <c r="A119" s="4">
        <f t="shared" si="6"/>
        <v>2.0115000000000243</v>
      </c>
      <c r="B119" s="6"/>
      <c r="C119" s="5" t="s">
        <v>974</v>
      </c>
      <c r="D119" s="7" t="s">
        <v>954</v>
      </c>
      <c r="E119" s="7"/>
      <c r="F119" s="7" t="s">
        <v>5</v>
      </c>
      <c r="G119" s="7">
        <f t="shared" si="8"/>
        <v>1</v>
      </c>
      <c r="H119" s="7">
        <f t="shared" si="8"/>
        <v>0</v>
      </c>
      <c r="I119" s="7">
        <f t="shared" si="8"/>
        <v>0</v>
      </c>
      <c r="J119" s="7">
        <f t="shared" si="8"/>
        <v>0</v>
      </c>
      <c r="K119" s="7">
        <f t="shared" si="8"/>
        <v>0</v>
      </c>
    </row>
    <row r="120" spans="1:11" x14ac:dyDescent="0.25">
      <c r="A120" s="4">
        <f t="shared" si="6"/>
        <v>2.0116000000000245</v>
      </c>
      <c r="B120" s="6"/>
      <c r="C120" s="5" t="s">
        <v>886</v>
      </c>
      <c r="D120" s="7" t="s">
        <v>887</v>
      </c>
      <c r="E120" s="7"/>
      <c r="F120" s="7" t="s">
        <v>5</v>
      </c>
      <c r="G120" s="7">
        <f t="shared" si="8"/>
        <v>1</v>
      </c>
      <c r="H120" s="7">
        <f t="shared" si="8"/>
        <v>0</v>
      </c>
      <c r="I120" s="7">
        <f t="shared" si="8"/>
        <v>0</v>
      </c>
      <c r="J120" s="7">
        <f t="shared" si="8"/>
        <v>0</v>
      </c>
      <c r="K120" s="7">
        <f t="shared" si="8"/>
        <v>0</v>
      </c>
    </row>
    <row r="121" spans="1:11" x14ac:dyDescent="0.25">
      <c r="A121" s="4">
        <f t="shared" si="6"/>
        <v>2.0117000000000247</v>
      </c>
      <c r="B121" s="6"/>
      <c r="C121" s="5" t="s">
        <v>866</v>
      </c>
      <c r="D121" s="7" t="s">
        <v>978</v>
      </c>
      <c r="E121" s="7"/>
      <c r="F121" s="7" t="s">
        <v>5</v>
      </c>
      <c r="G121" s="7">
        <f t="shared" ref="G121:K125" si="9">IF($F121=G$1,1,0)</f>
        <v>1</v>
      </c>
      <c r="H121" s="7">
        <f t="shared" si="9"/>
        <v>0</v>
      </c>
      <c r="I121" s="7">
        <f t="shared" si="9"/>
        <v>0</v>
      </c>
      <c r="J121" s="7">
        <f t="shared" si="9"/>
        <v>0</v>
      </c>
      <c r="K121" s="7">
        <f t="shared" si="9"/>
        <v>0</v>
      </c>
    </row>
    <row r="122" spans="1:11" x14ac:dyDescent="0.25">
      <c r="A122" s="4">
        <f t="shared" si="6"/>
        <v>2.0118000000000249</v>
      </c>
      <c r="B122" s="6"/>
      <c r="C122" s="5" t="s">
        <v>588</v>
      </c>
      <c r="D122" s="7" t="s">
        <v>986</v>
      </c>
      <c r="E122" s="7"/>
      <c r="F122" s="7" t="s">
        <v>5</v>
      </c>
      <c r="G122" s="7">
        <f t="shared" si="9"/>
        <v>1</v>
      </c>
      <c r="H122" s="7">
        <f t="shared" si="9"/>
        <v>0</v>
      </c>
      <c r="I122" s="7">
        <f t="shared" si="9"/>
        <v>0</v>
      </c>
      <c r="J122" s="7">
        <f t="shared" si="9"/>
        <v>0</v>
      </c>
      <c r="K122" s="7">
        <f t="shared" si="9"/>
        <v>0</v>
      </c>
    </row>
    <row r="123" spans="1:11" ht="30" x14ac:dyDescent="0.25">
      <c r="A123" s="4">
        <f t="shared" si="6"/>
        <v>2.0119000000000251</v>
      </c>
      <c r="B123" s="6"/>
      <c r="C123" s="5" t="s">
        <v>976</v>
      </c>
      <c r="D123" s="125" t="s">
        <v>966</v>
      </c>
      <c r="E123" s="7"/>
      <c r="F123" s="7" t="s">
        <v>5</v>
      </c>
      <c r="G123" s="7">
        <f t="shared" si="9"/>
        <v>1</v>
      </c>
      <c r="H123" s="7">
        <f t="shared" si="9"/>
        <v>0</v>
      </c>
      <c r="I123" s="7">
        <f t="shared" si="9"/>
        <v>0</v>
      </c>
      <c r="J123" s="7">
        <f t="shared" si="9"/>
        <v>0</v>
      </c>
      <c r="K123" s="7">
        <f t="shared" si="9"/>
        <v>0</v>
      </c>
    </row>
    <row r="124" spans="1:11" x14ac:dyDescent="0.25">
      <c r="A124" s="4">
        <f t="shared" si="6"/>
        <v>2.0120000000000253</v>
      </c>
      <c r="B124" s="6"/>
      <c r="C124" s="5" t="s">
        <v>912</v>
      </c>
      <c r="D124" s="7"/>
      <c r="E124" s="7"/>
      <c r="F124" s="7" t="s">
        <v>5</v>
      </c>
      <c r="G124" s="7">
        <f t="shared" si="9"/>
        <v>1</v>
      </c>
      <c r="H124" s="7">
        <f t="shared" si="9"/>
        <v>0</v>
      </c>
      <c r="I124" s="7">
        <f t="shared" si="9"/>
        <v>0</v>
      </c>
      <c r="J124" s="7">
        <f t="shared" si="9"/>
        <v>0</v>
      </c>
      <c r="K124" s="7">
        <f t="shared" si="9"/>
        <v>0</v>
      </c>
    </row>
    <row r="125" spans="1:11" x14ac:dyDescent="0.25">
      <c r="A125" s="4">
        <f t="shared" si="6"/>
        <v>2.0121000000000255</v>
      </c>
      <c r="B125" s="5"/>
      <c r="C125" s="22" t="s">
        <v>904</v>
      </c>
      <c r="D125" s="7"/>
      <c r="E125" s="7"/>
      <c r="F125" s="7" t="s">
        <v>5</v>
      </c>
      <c r="G125" s="7">
        <f t="shared" si="9"/>
        <v>1</v>
      </c>
      <c r="H125" s="7">
        <f t="shared" si="9"/>
        <v>0</v>
      </c>
      <c r="I125" s="7">
        <f t="shared" si="9"/>
        <v>0</v>
      </c>
      <c r="J125" s="7">
        <f t="shared" si="9"/>
        <v>0</v>
      </c>
      <c r="K125" s="7">
        <f t="shared" si="9"/>
        <v>0</v>
      </c>
    </row>
    <row r="126" spans="1:11" x14ac:dyDescent="0.25">
      <c r="A126" s="4">
        <f t="shared" si="6"/>
        <v>2.0122000000000257</v>
      </c>
      <c r="B126" s="16" t="s">
        <v>581</v>
      </c>
      <c r="C126" s="16"/>
      <c r="D126" s="16"/>
      <c r="E126" s="7"/>
      <c r="F126" s="7"/>
      <c r="G126" s="7"/>
      <c r="H126" s="7"/>
      <c r="I126" s="7"/>
      <c r="J126" s="7"/>
      <c r="K126" s="7"/>
    </row>
    <row r="127" spans="1:11" x14ac:dyDescent="0.25">
      <c r="A127" s="4">
        <f t="shared" si="6"/>
        <v>2.012300000000026</v>
      </c>
      <c r="B127" s="6" t="s">
        <v>572</v>
      </c>
      <c r="C127" s="5" t="s">
        <v>569</v>
      </c>
      <c r="D127" s="7"/>
      <c r="E127" s="7"/>
      <c r="F127" s="7" t="s">
        <v>5</v>
      </c>
      <c r="G127" s="7">
        <f t="shared" ref="G127:K132" si="10">IF($F127=G$1,1,0)</f>
        <v>1</v>
      </c>
      <c r="H127" s="7">
        <f t="shared" si="10"/>
        <v>0</v>
      </c>
      <c r="I127" s="7">
        <f t="shared" si="10"/>
        <v>0</v>
      </c>
      <c r="J127" s="7">
        <f t="shared" si="10"/>
        <v>0</v>
      </c>
      <c r="K127" s="7"/>
    </row>
    <row r="128" spans="1:11" x14ac:dyDescent="0.25">
      <c r="A128" s="4">
        <f t="shared" si="6"/>
        <v>2.0124000000000262</v>
      </c>
      <c r="B128" s="6"/>
      <c r="C128" s="5" t="s">
        <v>582</v>
      </c>
      <c r="D128" s="7"/>
      <c r="E128" s="7"/>
      <c r="F128" s="7" t="s">
        <v>5</v>
      </c>
      <c r="G128" s="7">
        <f t="shared" si="10"/>
        <v>1</v>
      </c>
      <c r="H128" s="7">
        <f t="shared" si="10"/>
        <v>0</v>
      </c>
      <c r="I128" s="7">
        <f t="shared" si="10"/>
        <v>0</v>
      </c>
      <c r="J128" s="7">
        <f t="shared" si="10"/>
        <v>0</v>
      </c>
      <c r="K128" s="7"/>
    </row>
    <row r="129" spans="1:11" x14ac:dyDescent="0.25">
      <c r="A129" s="4">
        <f t="shared" si="6"/>
        <v>2.0125000000000264</v>
      </c>
      <c r="B129" s="6"/>
      <c r="C129" s="5" t="s">
        <v>583</v>
      </c>
      <c r="D129" s="7"/>
      <c r="E129" s="7"/>
      <c r="F129" s="7" t="s">
        <v>5</v>
      </c>
      <c r="G129" s="7">
        <f t="shared" si="10"/>
        <v>1</v>
      </c>
      <c r="H129" s="7">
        <f t="shared" si="10"/>
        <v>0</v>
      </c>
      <c r="I129" s="7">
        <f t="shared" si="10"/>
        <v>0</v>
      </c>
      <c r="J129" s="7">
        <f t="shared" si="10"/>
        <v>0</v>
      </c>
      <c r="K129" s="7"/>
    </row>
    <row r="130" spans="1:11" x14ac:dyDescent="0.25">
      <c r="A130" s="4">
        <f t="shared" si="6"/>
        <v>2.0126000000000266</v>
      </c>
      <c r="B130" s="6"/>
      <c r="C130" s="5" t="s">
        <v>981</v>
      </c>
      <c r="D130" s="7"/>
      <c r="E130" s="7"/>
      <c r="F130" s="7" t="s">
        <v>5</v>
      </c>
      <c r="G130" s="7">
        <f t="shared" si="10"/>
        <v>1</v>
      </c>
      <c r="H130" s="7">
        <f t="shared" si="10"/>
        <v>0</v>
      </c>
      <c r="I130" s="7">
        <f t="shared" si="10"/>
        <v>0</v>
      </c>
      <c r="J130" s="7">
        <f t="shared" si="10"/>
        <v>0</v>
      </c>
      <c r="K130" s="7"/>
    </row>
    <row r="131" spans="1:11" x14ac:dyDescent="0.25">
      <c r="A131" s="4">
        <f t="shared" si="6"/>
        <v>2.0127000000000268</v>
      </c>
      <c r="B131" s="16" t="s">
        <v>647</v>
      </c>
      <c r="C131" s="17" t="s">
        <v>683</v>
      </c>
      <c r="D131" s="16"/>
      <c r="E131" s="7"/>
      <c r="F131" s="7"/>
      <c r="G131" s="7"/>
      <c r="H131" s="7"/>
      <c r="I131" s="7"/>
      <c r="J131" s="7"/>
      <c r="K131" s="7"/>
    </row>
    <row r="132" spans="1:11" ht="38.25" x14ac:dyDescent="0.25">
      <c r="A132" s="4">
        <f t="shared" si="6"/>
        <v>2.012800000000027</v>
      </c>
      <c r="B132" s="103" t="s">
        <v>710</v>
      </c>
      <c r="C132" s="104" t="s">
        <v>708</v>
      </c>
      <c r="D132" s="6" t="s">
        <v>649</v>
      </c>
      <c r="E132" s="7"/>
      <c r="F132" s="7" t="s">
        <v>8</v>
      </c>
      <c r="G132" s="7">
        <f t="shared" si="10"/>
        <v>0</v>
      </c>
      <c r="H132" s="7">
        <f t="shared" si="10"/>
        <v>0</v>
      </c>
      <c r="I132" s="7">
        <f t="shared" si="10"/>
        <v>0</v>
      </c>
      <c r="J132" s="7">
        <f t="shared" si="10"/>
        <v>0</v>
      </c>
      <c r="K132" s="7">
        <f t="shared" si="10"/>
        <v>1</v>
      </c>
    </row>
    <row r="133" spans="1:11" x14ac:dyDescent="0.25">
      <c r="A133" s="4"/>
      <c r="B133" s="6"/>
      <c r="C133" s="5"/>
      <c r="D133" s="7"/>
      <c r="E133" s="7"/>
      <c r="F133" s="7"/>
      <c r="G133" s="7"/>
      <c r="H133" s="7"/>
      <c r="I133" s="7"/>
      <c r="J133" s="7"/>
      <c r="K133" s="7"/>
    </row>
    <row r="134" spans="1:11" ht="15.75" thickBot="1" x14ac:dyDescent="0.3">
      <c r="C134" s="159">
        <v>9880251.0099999998</v>
      </c>
      <c r="D134" s="1" t="s">
        <v>995</v>
      </c>
      <c r="G134" s="95">
        <f>SUM(G5:G133)</f>
        <v>104</v>
      </c>
      <c r="H134" s="95">
        <f>SUM(H126:H133)</f>
        <v>0</v>
      </c>
      <c r="I134" s="95">
        <f>SUM(I126:I133)</f>
        <v>0</v>
      </c>
      <c r="J134" s="95">
        <f>SUM(J126:J133)</f>
        <v>0</v>
      </c>
      <c r="K134" s="95">
        <f>SUM(K126:K133)</f>
        <v>1</v>
      </c>
    </row>
    <row r="135" spans="1:11" ht="15.75" thickTop="1" x14ac:dyDescent="0.25">
      <c r="C135" s="1">
        <v>9875293.5600000005</v>
      </c>
      <c r="D135" s="1" t="s">
        <v>996</v>
      </c>
    </row>
    <row r="136" spans="1:11" x14ac:dyDescent="0.25">
      <c r="C136" s="1">
        <f>+C134-C135</f>
        <v>4957.4499999992549</v>
      </c>
      <c r="D136" s="1" t="s">
        <v>997</v>
      </c>
    </row>
    <row r="137" spans="1:11" x14ac:dyDescent="0.25">
      <c r="C137" s="1">
        <v>44.19</v>
      </c>
      <c r="D137" s="1" t="s">
        <v>998</v>
      </c>
    </row>
    <row r="138" spans="1:11" x14ac:dyDescent="0.25">
      <c r="C138" s="1">
        <f>+C136+C137</f>
        <v>5001.6399999992545</v>
      </c>
    </row>
    <row r="139" spans="1:11" x14ac:dyDescent="0.25">
      <c r="C139" s="1">
        <v>1.64</v>
      </c>
      <c r="D139" s="1" t="s">
        <v>999</v>
      </c>
    </row>
    <row r="140" spans="1:11" x14ac:dyDescent="0.25">
      <c r="C140" s="1">
        <f>+C138-C139</f>
        <v>4999.9999999992542</v>
      </c>
    </row>
  </sheetData>
  <mergeCells count="1">
    <mergeCell ref="B2:C2"/>
  </mergeCells>
  <conditionalFormatting sqref="D29:E33 A133:C133 F64:K64 F133:K133 F132:J132 E34:E40 L28:L40 L55:L64 B56 D55:E55 G52:K57 G29:K40 F27:F40 F126:K131 A5:A132">
    <cfRule type="expression" dxfId="271" priority="189">
      <formula>$F5="Fail"</formula>
    </cfRule>
  </conditionalFormatting>
  <conditionalFormatting sqref="A4:K4 D43:F43 D9:E10 D5:E6 D44:E45 D52:E54 D42:E42">
    <cfRule type="expression" dxfId="270" priority="188">
      <formula>$F4="Fail"</formula>
    </cfRule>
  </conditionalFormatting>
  <conditionalFormatting sqref="D56:E56 K63 E57:F57 E58:E64">
    <cfRule type="expression" dxfId="269" priority="187">
      <formula>$F56="Fail"</formula>
    </cfRule>
  </conditionalFormatting>
  <conditionalFormatting sqref="D28:E28 E41:F41">
    <cfRule type="expression" dxfId="268" priority="186">
      <formula>$F28="Fail"</formula>
    </cfRule>
  </conditionalFormatting>
  <conditionalFormatting sqref="E20:K20 D11:E11 D21:E21 D13:E19 E12">
    <cfRule type="expression" dxfId="267" priority="185">
      <formula>$F11="Fail"</formula>
    </cfRule>
  </conditionalFormatting>
  <conditionalFormatting sqref="D22:E27">
    <cfRule type="expression" dxfId="266" priority="184">
      <formula>$F22="Fail"</formula>
    </cfRule>
  </conditionalFormatting>
  <conditionalFormatting sqref="D8:E8">
    <cfRule type="expression" dxfId="265" priority="183">
      <formula>$F8="Fail"</formula>
    </cfRule>
  </conditionalFormatting>
  <conditionalFormatting sqref="D7:E7">
    <cfRule type="expression" dxfId="264" priority="182">
      <formula>$F7="Fail"</formula>
    </cfRule>
  </conditionalFormatting>
  <conditionalFormatting sqref="F5">
    <cfRule type="expression" dxfId="263" priority="181">
      <formula>$F5="Fail"</formula>
    </cfRule>
  </conditionalFormatting>
  <conditionalFormatting sqref="L9:L10 L4:L6 L42:L45 L52:L54">
    <cfRule type="expression" dxfId="262" priority="180">
      <formula>$F4="Fail"</formula>
    </cfRule>
  </conditionalFormatting>
  <conditionalFormatting sqref="L41">
    <cfRule type="expression" dxfId="261" priority="178">
      <formula>$F41="Fail"</formula>
    </cfRule>
  </conditionalFormatting>
  <conditionalFormatting sqref="L11:L21">
    <cfRule type="expression" dxfId="260" priority="177">
      <formula>$F11="Fail"</formula>
    </cfRule>
  </conditionalFormatting>
  <conditionalFormatting sqref="L22:L27">
    <cfRule type="expression" dxfId="259" priority="176">
      <formula>$F22="Fail"</formula>
    </cfRule>
  </conditionalFormatting>
  <conditionalFormatting sqref="L8">
    <cfRule type="expression" dxfId="258" priority="175">
      <formula>$F8="Fail"</formula>
    </cfRule>
  </conditionalFormatting>
  <conditionalFormatting sqref="L7">
    <cfRule type="expression" dxfId="257" priority="174">
      <formula>$F7="Fail"</formula>
    </cfRule>
  </conditionalFormatting>
  <conditionalFormatting sqref="B64:C64 B43:C43 B20:C20 B22:C26 B31 B45:C45 B53:C55 B30:C30 B27:B29">
    <cfRule type="expression" dxfId="256" priority="173">
      <formula>$F20="Fail"</formula>
    </cfRule>
  </conditionalFormatting>
  <conditionalFormatting sqref="B10:C11 B14:C18 C13">
    <cfRule type="expression" dxfId="255" priority="172">
      <formula>$F10="Fail"</formula>
    </cfRule>
  </conditionalFormatting>
  <conditionalFormatting sqref="B19:C19">
    <cfRule type="expression" dxfId="254" priority="171">
      <formula>$F19="Fail"</formula>
    </cfRule>
  </conditionalFormatting>
  <conditionalFormatting sqref="B19:C19">
    <cfRule type="expression" dxfId="253" priority="170">
      <formula>$F19="Fail"</formula>
    </cfRule>
  </conditionalFormatting>
  <conditionalFormatting sqref="G5:K17 G19:K19">
    <cfRule type="expression" dxfId="252" priority="169">
      <formula>$F5="Fail"</formula>
    </cfRule>
  </conditionalFormatting>
  <conditionalFormatting sqref="G21:K27">
    <cfRule type="expression" dxfId="251" priority="168">
      <formula>$F21="Fail"</formula>
    </cfRule>
  </conditionalFormatting>
  <conditionalFormatting sqref="K58:K62 G41:K45">
    <cfRule type="expression" dxfId="250" priority="167">
      <formula>$F41="Fail"</formula>
    </cfRule>
  </conditionalFormatting>
  <conditionalFormatting sqref="G134:K134">
    <cfRule type="expression" dxfId="249" priority="166">
      <formula>$F134="Fail"</formula>
    </cfRule>
  </conditionalFormatting>
  <conditionalFormatting sqref="C133">
    <cfRule type="expression" dxfId="248" priority="159">
      <formula>$F133="Fail"</formula>
    </cfRule>
  </conditionalFormatting>
  <conditionalFormatting sqref="F11:F12 F19 F17">
    <cfRule type="expression" dxfId="247" priority="158">
      <formula>$F11="Fail"</formula>
    </cfRule>
  </conditionalFormatting>
  <conditionalFormatting sqref="C21">
    <cfRule type="expression" dxfId="246" priority="155">
      <formula>$F21="Fail"</formula>
    </cfRule>
  </conditionalFormatting>
  <conditionalFormatting sqref="B9:C9">
    <cfRule type="expression" dxfId="245" priority="157">
      <formula>$F9="Fail"</formula>
    </cfRule>
  </conditionalFormatting>
  <conditionalFormatting sqref="B21">
    <cfRule type="expression" dxfId="244" priority="156">
      <formula>$F21="Fail"</formula>
    </cfRule>
  </conditionalFormatting>
  <conditionalFormatting sqref="C31">
    <cfRule type="expression" dxfId="243" priority="154">
      <formula>$F31="Fail"</formula>
    </cfRule>
  </conditionalFormatting>
  <conditionalFormatting sqref="B42:C42">
    <cfRule type="expression" dxfId="242" priority="150">
      <formula>$F42="Fail"</formula>
    </cfRule>
  </conditionalFormatting>
  <conditionalFormatting sqref="C41">
    <cfRule type="expression" dxfId="241" priority="152">
      <formula>$F41="Fail"</formula>
    </cfRule>
  </conditionalFormatting>
  <conditionalFormatting sqref="B41">
    <cfRule type="expression" dxfId="240" priority="151">
      <formula>$F41="Fail"</formula>
    </cfRule>
  </conditionalFormatting>
  <conditionalFormatting sqref="B44:C44">
    <cfRule type="expression" dxfId="239" priority="149">
      <formula>$F44="Fail"</formula>
    </cfRule>
  </conditionalFormatting>
  <conditionalFormatting sqref="B52:C52">
    <cfRule type="expression" dxfId="238" priority="148">
      <formula>$F52="Fail"</formula>
    </cfRule>
  </conditionalFormatting>
  <conditionalFormatting sqref="B64">
    <cfRule type="expression" dxfId="237" priority="140">
      <formula>$F64="Fail"</formula>
    </cfRule>
  </conditionalFormatting>
  <conditionalFormatting sqref="C64">
    <cfRule type="expression" dxfId="236" priority="139">
      <formula>$F64="Fail"</formula>
    </cfRule>
  </conditionalFormatting>
  <conditionalFormatting sqref="C127:C130">
    <cfRule type="expression" dxfId="235" priority="136">
      <formula>$F127="Fail"</formula>
    </cfRule>
  </conditionalFormatting>
  <conditionalFormatting sqref="B126">
    <cfRule type="expression" dxfId="234" priority="135">
      <formula>$F126="Fail"</formula>
    </cfRule>
  </conditionalFormatting>
  <conditionalFormatting sqref="C126">
    <cfRule type="expression" dxfId="233" priority="134">
      <formula>$F126="Fail"</formula>
    </cfRule>
  </conditionalFormatting>
  <conditionalFormatting sqref="C127:C130">
    <cfRule type="expression" dxfId="232" priority="137">
      <formula>$F127="Fail"</formula>
    </cfRule>
  </conditionalFormatting>
  <conditionalFormatting sqref="B127:C130">
    <cfRule type="expression" dxfId="231" priority="138">
      <formula>$F127="Fail"</formula>
    </cfRule>
  </conditionalFormatting>
  <conditionalFormatting sqref="C130">
    <cfRule type="expression" dxfId="230" priority="133">
      <formula>$F130="Fail"</formula>
    </cfRule>
  </conditionalFormatting>
  <conditionalFormatting sqref="B131:D131 B132:C132">
    <cfRule type="expression" dxfId="229" priority="132">
      <formula>$F131="Fail"</formula>
    </cfRule>
  </conditionalFormatting>
  <conditionalFormatting sqref="D132">
    <cfRule type="expression" dxfId="228" priority="131">
      <formula>$F132="Fail"</formula>
    </cfRule>
  </conditionalFormatting>
  <conditionalFormatting sqref="D20">
    <cfRule type="expression" dxfId="227" priority="130">
      <formula>$F20="Fail"</formula>
    </cfRule>
  </conditionalFormatting>
  <conditionalFormatting sqref="D41">
    <cfRule type="expression" dxfId="226" priority="129">
      <formula>$F41="Fail"</formula>
    </cfRule>
  </conditionalFormatting>
  <conditionalFormatting sqref="D126">
    <cfRule type="expression" dxfId="225" priority="128">
      <formula>$F126="Fail"</formula>
    </cfRule>
  </conditionalFormatting>
  <conditionalFormatting sqref="B32">
    <cfRule type="expression" dxfId="224" priority="127">
      <formula>$F32="Fail"</formula>
    </cfRule>
  </conditionalFormatting>
  <conditionalFormatting sqref="C32">
    <cfRule type="expression" dxfId="223" priority="126">
      <formula>$F32="Fail"</formula>
    </cfRule>
  </conditionalFormatting>
  <conditionalFormatting sqref="C5">
    <cfRule type="expression" dxfId="222" priority="122">
      <formula>$F5="Fail"</formula>
    </cfRule>
  </conditionalFormatting>
  <conditionalFormatting sqref="B5">
    <cfRule type="expression" dxfId="221" priority="121">
      <formula>$F5="Fail"</formula>
    </cfRule>
  </conditionalFormatting>
  <conditionalFormatting sqref="B6:C8">
    <cfRule type="expression" dxfId="220" priority="120">
      <formula>$F6="Fail"</formula>
    </cfRule>
  </conditionalFormatting>
  <conditionalFormatting sqref="B12:C12">
    <cfRule type="expression" dxfId="219" priority="117">
      <formula>$F12="Fail"</formula>
    </cfRule>
  </conditionalFormatting>
  <conditionalFormatting sqref="D12">
    <cfRule type="expression" dxfId="218" priority="116">
      <formula>$F12="Fail"</formula>
    </cfRule>
  </conditionalFormatting>
  <conditionalFormatting sqref="B13">
    <cfRule type="expression" dxfId="217" priority="115">
      <formula>$F13="Fail"</formula>
    </cfRule>
  </conditionalFormatting>
  <conditionalFormatting sqref="F22 F24 F26">
    <cfRule type="expression" dxfId="216" priority="114">
      <formula>$F22="Fail"</formula>
    </cfRule>
  </conditionalFormatting>
  <conditionalFormatting sqref="G58:J63">
    <cfRule type="expression" dxfId="215" priority="112">
      <formula>$F58="Fail"</formula>
    </cfRule>
  </conditionalFormatting>
  <conditionalFormatting sqref="G18:K18">
    <cfRule type="expression" dxfId="214" priority="110">
      <formula>$F18="Fail"</formula>
    </cfRule>
  </conditionalFormatting>
  <conditionalFormatting sqref="C33">
    <cfRule type="expression" dxfId="213" priority="95">
      <formula>$F33="Fail"</formula>
    </cfRule>
  </conditionalFormatting>
  <conditionalFormatting sqref="C33">
    <cfRule type="expression" dxfId="212" priority="94">
      <formula>$F33="Fail"</formula>
    </cfRule>
  </conditionalFormatting>
  <conditionalFormatting sqref="B33">
    <cfRule type="expression" dxfId="211" priority="93">
      <formula>$F33="Fail"</formula>
    </cfRule>
  </conditionalFormatting>
  <conditionalFormatting sqref="B33">
    <cfRule type="expression" dxfId="210" priority="92">
      <formula>$F33="Fail"</formula>
    </cfRule>
  </conditionalFormatting>
  <conditionalFormatting sqref="B65:E72 G65:L72">
    <cfRule type="expression" dxfId="209" priority="1145">
      <formula>#REF!="Fail"</formula>
    </cfRule>
  </conditionalFormatting>
  <conditionalFormatting sqref="B73:E75 G73:L75">
    <cfRule type="expression" dxfId="208" priority="1146">
      <formula>#REF!="Fail"</formula>
    </cfRule>
  </conditionalFormatting>
  <conditionalFormatting sqref="C27:C29">
    <cfRule type="expression" dxfId="207" priority="19">
      <formula>$F27="Fail"</formula>
    </cfRule>
  </conditionalFormatting>
  <conditionalFormatting sqref="G28:K28">
    <cfRule type="expression" dxfId="206" priority="18">
      <formula>$F28="Fail"</formula>
    </cfRule>
  </conditionalFormatting>
  <conditionalFormatting sqref="F6:F10">
    <cfRule type="expression" dxfId="205" priority="16">
      <formula>$F6="Fail"</formula>
    </cfRule>
  </conditionalFormatting>
  <conditionalFormatting sqref="F13:F16">
    <cfRule type="expression" dxfId="204" priority="15">
      <formula>$F13="Fail"</formula>
    </cfRule>
  </conditionalFormatting>
  <conditionalFormatting sqref="F18">
    <cfRule type="expression" dxfId="203" priority="14">
      <formula>$F18="Fail"</formula>
    </cfRule>
  </conditionalFormatting>
  <conditionalFormatting sqref="F21">
    <cfRule type="expression" dxfId="202" priority="13">
      <formula>$F21="Fail"</formula>
    </cfRule>
  </conditionalFormatting>
  <conditionalFormatting sqref="F23">
    <cfRule type="expression" dxfId="201" priority="12">
      <formula>$F23="Fail"</formula>
    </cfRule>
  </conditionalFormatting>
  <conditionalFormatting sqref="F25">
    <cfRule type="expression" dxfId="200" priority="11">
      <formula>$F25="Fail"</formula>
    </cfRule>
  </conditionalFormatting>
  <conditionalFormatting sqref="B34:D34 B40 C35:D40">
    <cfRule type="expression" dxfId="199" priority="9">
      <formula>$F34="Fail"</formula>
    </cfRule>
  </conditionalFormatting>
  <conditionalFormatting sqref="F42">
    <cfRule type="expression" dxfId="198" priority="8">
      <formula>$F42="Fail"</formula>
    </cfRule>
  </conditionalFormatting>
  <conditionalFormatting sqref="F44">
    <cfRule type="expression" dxfId="197" priority="7">
      <formula>$F44="Fail"</formula>
    </cfRule>
  </conditionalFormatting>
  <conditionalFormatting sqref="F45:F50">
    <cfRule type="expression" dxfId="196" priority="6">
      <formula>$F45="Fail"</formula>
    </cfRule>
  </conditionalFormatting>
  <conditionalFormatting sqref="F52:F56">
    <cfRule type="expression" dxfId="195" priority="5">
      <formula>$F52="Fail"</formula>
    </cfRule>
  </conditionalFormatting>
  <conditionalFormatting sqref="F58:F63">
    <cfRule type="expression" dxfId="194" priority="4">
      <formula>$F58="Fail"</formula>
    </cfRule>
  </conditionalFormatting>
  <conditionalFormatting sqref="F65:F75">
    <cfRule type="expression" dxfId="193" priority="3">
      <formula>$F65="Fail"</formula>
    </cfRule>
  </conditionalFormatting>
  <conditionalFormatting sqref="F77:F125">
    <cfRule type="expression" dxfId="192" priority="2">
      <formula>$F77="Fail"</formula>
    </cfRule>
  </conditionalFormatting>
  <dataValidations count="1">
    <dataValidation type="list" allowBlank="1" showInputMessage="1" showErrorMessage="1" sqref="F4:F133">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2]!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9" id="{18649BFF-E2CD-4349-9A52-7D6433E4FFB6}">
            <xm:f>'C:\Users\E939818\Documents\_Project Documents\SVN TEST  team\_Sutuwa\Testing\Release 1\Stats\[SEB_InvestAdmin_Investment.xlsm]External'!#REF!="Fail"</xm:f>
            <x14:dxf>
              <font>
                <color rgb="FFFF0000"/>
              </font>
              <fill>
                <patternFill>
                  <bgColor theme="9" tint="0.59996337778862885"/>
                </patternFill>
              </fill>
            </x14:dxf>
          </x14:cfRule>
          <xm:sqref>B57:D58 B60:D63 B59:C59</xm:sqref>
        </x14:conditionalFormatting>
        <x14:conditionalFormatting xmlns:xm="http://schemas.microsoft.com/office/excel/2006/main">
          <x14:cfRule type="expression" priority="118" id="{C4B8AE71-D585-4B1A-BC28-DF39AD586247}">
            <xm:f>'C:\Users\E939818\Documents\_Project Documents\SVN TEST  team\_Sutuwa\Testing\Release 1\Stats\[SEB_InvestAdmin_Investment.xlsm]External'!#REF!="Fail"</xm:f>
            <x14:dxf>
              <font>
                <color rgb="FFFF0000"/>
              </font>
              <fill>
                <patternFill>
                  <bgColor theme="9" tint="0.59996337778862885"/>
                </patternFill>
              </fill>
            </x14:dxf>
          </x14:cfRule>
          <xm:sqref>D64</xm:sqref>
        </x14:conditionalFormatting>
        <x14:conditionalFormatting xmlns:xm="http://schemas.microsoft.com/office/excel/2006/main">
          <x14:cfRule type="expression" priority="100" id="{C3AC1796-8C94-4385-942E-19555A94704D}">
            <xm:f>'Test Case'!$F39="Fail"</xm:f>
            <x14:dxf>
              <font>
                <color rgb="FFFF0000"/>
              </font>
              <fill>
                <patternFill>
                  <bgColor theme="9" tint="0.59996337778862885"/>
                </patternFill>
              </fill>
            </x14:dxf>
          </x14:cfRule>
          <xm:sqref>B46:E49 G46:L49</xm:sqref>
        </x14:conditionalFormatting>
        <x14:conditionalFormatting xmlns:xm="http://schemas.microsoft.com/office/excel/2006/main">
          <x14:cfRule type="expression" priority="1033" id="{DEA97B59-5619-4FCA-9DDE-043EA1F7D8E3}">
            <xm:f>'Test Case'!$F49="Fail"</xm:f>
            <x14:dxf>
              <font>
                <color rgb="FFFF0000"/>
              </font>
              <fill>
                <patternFill>
                  <bgColor theme="9" tint="0.59996337778862885"/>
                </patternFill>
              </fill>
            </x14:dxf>
          </x14:cfRule>
          <xm:sqref>B50:C51 E51:L51 E50 G50:L50</xm:sqref>
        </x14:conditionalFormatting>
        <x14:conditionalFormatting xmlns:xm="http://schemas.microsoft.com/office/excel/2006/main">
          <x14:cfRule type="expression" priority="91" id="{EE673B50-2416-4902-9AA1-16C541128219}">
            <xm:f>'C:\Users\E939818\Documents\_Project Documents\SVN TEST  team\_Sutuwa\Testing\Release 1\Stats\[SEB_InvestAdmin_Investment.xlsm]External'!#REF!="Fail"</xm:f>
            <x14:dxf>
              <font>
                <color rgb="FFFF0000"/>
              </font>
              <fill>
                <patternFill>
                  <bgColor theme="9" tint="0.59996337778862885"/>
                </patternFill>
              </fill>
            </x14:dxf>
          </x14:cfRule>
          <xm:sqref>D59</xm:sqref>
        </x14:conditionalFormatting>
        <x14:conditionalFormatting xmlns:xm="http://schemas.microsoft.com/office/excel/2006/main">
          <x14:cfRule type="expression" priority="89" id="{467ED8F8-0ABB-440D-9EDF-969B0074AD04}">
            <xm:f>'Internal - MV Adjustment'!$F135="Fail"</xm:f>
            <x14:dxf>
              <font>
                <color rgb="FFFF0000"/>
              </font>
              <fill>
                <patternFill>
                  <bgColor theme="9" tint="0.59996337778862885"/>
                </patternFill>
              </fill>
            </x14:dxf>
          </x14:cfRule>
          <xm:sqref>K132</xm:sqref>
        </x14:conditionalFormatting>
        <x14:conditionalFormatting xmlns:xm="http://schemas.microsoft.com/office/excel/2006/main">
          <x14:cfRule type="expression" priority="1236" id="{467ED8F8-0ABB-440D-9EDF-969B0074AD04}">
            <xm:f>'Internal - MV Adjustment'!$F77="Fail"</xm:f>
            <x14:dxf>
              <font>
                <color rgb="FFFF0000"/>
              </font>
              <fill>
                <patternFill>
                  <bgColor theme="9" tint="0.59996337778862885"/>
                </patternFill>
              </fill>
            </x14:dxf>
          </x14:cfRule>
          <xm:sqref>D76:E80 L76:L80 B76:C90 D91:E93 L91:L93 B96:C103 B91:B95 C90:C95 D104:E106 L104:L106 B109:C114 B104:B108 C103:C108 F76:K76 D115:E117 L115:L117 B120:C125 B115:B119 C114:C119 G77:K125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L109"/>
  <sheetViews>
    <sheetView topLeftCell="C1" zoomScaleNormal="100" workbookViewId="0">
      <pane ySplit="1" topLeftCell="A95" activePane="bottomLeft" state="frozen"/>
      <selection pane="bottomLeft" activeCell="F98" sqref="F98:F101"/>
    </sheetView>
  </sheetViews>
  <sheetFormatPr defaultRowHeight="15" x14ac:dyDescent="0.25"/>
  <cols>
    <col min="1" max="1" width="13.7109375" style="3" bestFit="1" customWidth="1"/>
    <col min="2" max="2" width="56.7109375" style="1" customWidth="1"/>
    <col min="3" max="3" width="50.7109375" style="1" customWidth="1"/>
    <col min="4" max="4" width="48.140625" style="118"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3" t="s">
        <v>4</v>
      </c>
      <c r="E1" s="11" t="s">
        <v>3</v>
      </c>
      <c r="F1" s="10" t="s">
        <v>0</v>
      </c>
      <c r="G1" s="11" t="s">
        <v>5</v>
      </c>
      <c r="H1" s="11" t="s">
        <v>6</v>
      </c>
      <c r="I1" s="11"/>
      <c r="J1" s="11" t="s">
        <v>7</v>
      </c>
      <c r="K1" s="11" t="s">
        <v>8</v>
      </c>
      <c r="L1" s="11" t="s">
        <v>12</v>
      </c>
    </row>
    <row r="2" spans="1:12" s="100" customFormat="1" ht="30" customHeight="1" x14ac:dyDescent="0.25">
      <c r="A2" s="101"/>
      <c r="B2" s="182" t="s">
        <v>740</v>
      </c>
      <c r="C2" s="183"/>
      <c r="D2" s="114" t="s">
        <v>739</v>
      </c>
      <c r="E2" s="99"/>
      <c r="F2" s="98"/>
      <c r="G2" s="99"/>
      <c r="H2" s="99"/>
      <c r="I2" s="99"/>
      <c r="J2" s="99"/>
      <c r="K2" s="99"/>
      <c r="L2" s="99"/>
    </row>
    <row r="3" spans="1:12" s="19" customFormat="1" x14ac:dyDescent="0.25">
      <c r="A3" s="15">
        <v>2</v>
      </c>
      <c r="B3" s="16" t="s">
        <v>721</v>
      </c>
      <c r="C3" s="17"/>
      <c r="D3" s="17"/>
      <c r="E3" s="16"/>
      <c r="F3" s="18"/>
      <c r="G3" s="18"/>
      <c r="H3" s="18"/>
      <c r="I3" s="18"/>
      <c r="J3" s="18"/>
      <c r="K3" s="18"/>
      <c r="L3" s="16"/>
    </row>
    <row r="4" spans="1:12" x14ac:dyDescent="0.25">
      <c r="A4" s="4">
        <f t="shared" ref="A4:A54" si="0">A3+0.0001</f>
        <v>2.0001000000000002</v>
      </c>
      <c r="B4" s="63" t="s">
        <v>722</v>
      </c>
      <c r="C4" s="22" t="s">
        <v>723</v>
      </c>
      <c r="D4" s="154" t="s">
        <v>835</v>
      </c>
      <c r="E4" s="5"/>
      <c r="F4" s="7" t="s">
        <v>5</v>
      </c>
      <c r="G4" s="7">
        <f t="shared" ref="G4:K30" si="1">IF($F4=G$1,1,0)</f>
        <v>1</v>
      </c>
      <c r="H4" s="7">
        <f t="shared" si="1"/>
        <v>0</v>
      </c>
      <c r="I4" s="7">
        <f t="shared" si="1"/>
        <v>0</v>
      </c>
      <c r="J4" s="7">
        <f t="shared" si="1"/>
        <v>0</v>
      </c>
      <c r="K4" s="7">
        <f t="shared" si="1"/>
        <v>0</v>
      </c>
      <c r="L4" s="6"/>
    </row>
    <row r="5" spans="1:12" x14ac:dyDescent="0.25">
      <c r="A5" s="4">
        <f t="shared" si="0"/>
        <v>2.0002000000000004</v>
      </c>
      <c r="B5" s="105" t="s">
        <v>495</v>
      </c>
      <c r="C5" s="17"/>
      <c r="D5" s="17"/>
      <c r="E5" s="6"/>
      <c r="F5" s="7"/>
      <c r="G5" s="7"/>
      <c r="H5" s="7"/>
      <c r="I5" s="7"/>
      <c r="J5" s="7"/>
      <c r="K5" s="7"/>
      <c r="L5" s="6"/>
    </row>
    <row r="6" spans="1:12" ht="25.5" x14ac:dyDescent="0.25">
      <c r="A6" s="4">
        <f t="shared" si="0"/>
        <v>2.0003000000000006</v>
      </c>
      <c r="B6" s="63" t="s">
        <v>656</v>
      </c>
      <c r="C6" s="107" t="s">
        <v>659</v>
      </c>
      <c r="D6" s="115"/>
      <c r="E6" s="6"/>
      <c r="F6" s="7" t="s">
        <v>5</v>
      </c>
      <c r="G6" s="7">
        <f t="shared" si="1"/>
        <v>1</v>
      </c>
      <c r="H6" s="7">
        <f t="shared" si="1"/>
        <v>0</v>
      </c>
      <c r="I6" s="7">
        <f t="shared" si="1"/>
        <v>0</v>
      </c>
      <c r="J6" s="7">
        <f t="shared" si="1"/>
        <v>0</v>
      </c>
      <c r="K6" s="7">
        <f t="shared" si="1"/>
        <v>0</v>
      </c>
      <c r="L6" s="6"/>
    </row>
    <row r="7" spans="1:12" x14ac:dyDescent="0.25">
      <c r="A7" s="4">
        <f t="shared" si="0"/>
        <v>2.0004000000000008</v>
      </c>
      <c r="B7" s="5"/>
      <c r="C7" s="22"/>
      <c r="D7" s="115"/>
      <c r="E7" s="6"/>
      <c r="F7" s="7"/>
      <c r="G7" s="7"/>
      <c r="H7" s="7"/>
      <c r="I7" s="7"/>
      <c r="J7" s="7"/>
      <c r="K7" s="7"/>
      <c r="L7" s="6"/>
    </row>
    <row r="8" spans="1:12" x14ac:dyDescent="0.25">
      <c r="A8" s="4">
        <f t="shared" si="0"/>
        <v>2.0005000000000011</v>
      </c>
      <c r="B8" s="5" t="s">
        <v>660</v>
      </c>
      <c r="C8" s="22" t="s">
        <v>661</v>
      </c>
      <c r="D8" s="115"/>
      <c r="E8" s="6"/>
      <c r="F8" s="7" t="s">
        <v>5</v>
      </c>
      <c r="G8" s="7">
        <f t="shared" si="1"/>
        <v>1</v>
      </c>
      <c r="H8" s="7">
        <f t="shared" si="1"/>
        <v>0</v>
      </c>
      <c r="I8" s="7">
        <f t="shared" si="1"/>
        <v>0</v>
      </c>
      <c r="J8" s="7">
        <f t="shared" si="1"/>
        <v>0</v>
      </c>
      <c r="K8" s="7">
        <f t="shared" si="1"/>
        <v>0</v>
      </c>
      <c r="L8" s="6"/>
    </row>
    <row r="9" spans="1:12" x14ac:dyDescent="0.25">
      <c r="A9" s="4">
        <f t="shared" si="0"/>
        <v>2.0006000000000013</v>
      </c>
      <c r="B9" s="5"/>
      <c r="C9" s="23"/>
      <c r="D9" s="115"/>
      <c r="E9" s="6"/>
      <c r="F9" s="7"/>
      <c r="G9" s="7"/>
      <c r="H9" s="7"/>
      <c r="I9" s="7"/>
      <c r="J9" s="7"/>
      <c r="K9" s="7"/>
      <c r="L9" s="6"/>
    </row>
    <row r="10" spans="1:12" x14ac:dyDescent="0.25">
      <c r="A10" s="4">
        <f t="shared" si="0"/>
        <v>2.0007000000000015</v>
      </c>
      <c r="B10" s="48" t="s">
        <v>662</v>
      </c>
      <c r="C10" s="23" t="s">
        <v>663</v>
      </c>
      <c r="D10" s="115"/>
      <c r="E10" s="6"/>
      <c r="F10" s="7" t="s">
        <v>5</v>
      </c>
      <c r="G10" s="7">
        <f t="shared" si="1"/>
        <v>1</v>
      </c>
      <c r="H10" s="7">
        <f t="shared" si="1"/>
        <v>0</v>
      </c>
      <c r="I10" s="7">
        <f t="shared" si="1"/>
        <v>0</v>
      </c>
      <c r="J10" s="7">
        <f t="shared" si="1"/>
        <v>0</v>
      </c>
      <c r="K10" s="7">
        <f t="shared" si="1"/>
        <v>0</v>
      </c>
      <c r="L10" s="6"/>
    </row>
    <row r="11" spans="1:12" x14ac:dyDescent="0.25">
      <c r="A11" s="4">
        <f t="shared" si="0"/>
        <v>2.0008000000000017</v>
      </c>
      <c r="B11" s="5"/>
      <c r="C11" s="23"/>
      <c r="D11" s="115"/>
      <c r="E11" s="6"/>
      <c r="F11" s="7"/>
      <c r="G11" s="7"/>
      <c r="H11" s="7"/>
      <c r="I11" s="7"/>
      <c r="J11" s="7"/>
      <c r="K11" s="7"/>
      <c r="L11" s="6"/>
    </row>
    <row r="12" spans="1:12" ht="25.5" x14ac:dyDescent="0.25">
      <c r="A12" s="4">
        <f t="shared" si="0"/>
        <v>2.0009000000000019</v>
      </c>
      <c r="B12" s="8" t="s">
        <v>664</v>
      </c>
      <c r="C12" s="22" t="s">
        <v>452</v>
      </c>
      <c r="D12" s="115"/>
      <c r="E12" s="6"/>
      <c r="F12" s="7" t="s">
        <v>5</v>
      </c>
      <c r="G12" s="7">
        <f t="shared" si="1"/>
        <v>1</v>
      </c>
      <c r="H12" s="7">
        <f t="shared" si="1"/>
        <v>0</v>
      </c>
      <c r="I12" s="7">
        <f t="shared" si="1"/>
        <v>0</v>
      </c>
      <c r="J12" s="7">
        <f t="shared" si="1"/>
        <v>0</v>
      </c>
      <c r="K12" s="7">
        <f t="shared" si="1"/>
        <v>0</v>
      </c>
      <c r="L12" s="6"/>
    </row>
    <row r="13" spans="1:12" ht="25.5" x14ac:dyDescent="0.25">
      <c r="A13" s="4">
        <f t="shared" si="0"/>
        <v>2.0010000000000021</v>
      </c>
      <c r="B13" s="108"/>
      <c r="C13" s="22" t="s">
        <v>892</v>
      </c>
      <c r="D13" s="115"/>
      <c r="E13" s="6"/>
      <c r="F13" s="7" t="s">
        <v>5</v>
      </c>
      <c r="G13" s="7"/>
      <c r="H13" s="7"/>
      <c r="I13" s="7"/>
      <c r="J13" s="7"/>
      <c r="K13" s="7"/>
      <c r="L13" s="6"/>
    </row>
    <row r="14" spans="1:12" x14ac:dyDescent="0.25">
      <c r="A14" s="4">
        <f t="shared" si="0"/>
        <v>2.0011000000000023</v>
      </c>
      <c r="B14" s="5" t="s">
        <v>665</v>
      </c>
      <c r="C14" s="23" t="s">
        <v>663</v>
      </c>
      <c r="D14" s="115"/>
      <c r="E14" s="6"/>
      <c r="F14" s="7" t="s">
        <v>5</v>
      </c>
      <c r="G14" s="7">
        <f t="shared" si="1"/>
        <v>1</v>
      </c>
      <c r="H14" s="7">
        <f t="shared" si="1"/>
        <v>0</v>
      </c>
      <c r="I14" s="7">
        <f t="shared" si="1"/>
        <v>0</v>
      </c>
      <c r="J14" s="7">
        <f t="shared" si="1"/>
        <v>0</v>
      </c>
      <c r="K14" s="7">
        <f t="shared" si="1"/>
        <v>0</v>
      </c>
      <c r="L14" s="6"/>
    </row>
    <row r="15" spans="1:12" x14ac:dyDescent="0.25">
      <c r="A15" s="4">
        <f t="shared" si="0"/>
        <v>2.0012000000000025</v>
      </c>
      <c r="B15" s="5" t="s">
        <v>674</v>
      </c>
      <c r="C15" s="23" t="s">
        <v>675</v>
      </c>
      <c r="D15" s="115"/>
      <c r="E15" s="6"/>
      <c r="F15" s="7" t="s">
        <v>5</v>
      </c>
      <c r="G15" s="7">
        <f t="shared" si="1"/>
        <v>1</v>
      </c>
      <c r="H15" s="7">
        <f t="shared" si="1"/>
        <v>0</v>
      </c>
      <c r="I15" s="7">
        <f t="shared" si="1"/>
        <v>0</v>
      </c>
      <c r="J15" s="7">
        <f t="shared" si="1"/>
        <v>0</v>
      </c>
      <c r="K15" s="7">
        <f t="shared" si="1"/>
        <v>0</v>
      </c>
      <c r="L15" s="6"/>
    </row>
    <row r="16" spans="1:12" x14ac:dyDescent="0.25">
      <c r="A16" s="4">
        <f t="shared" si="0"/>
        <v>2.0013000000000027</v>
      </c>
      <c r="B16" s="5" t="s">
        <v>676</v>
      </c>
      <c r="C16" s="22" t="s">
        <v>677</v>
      </c>
      <c r="E16" s="6"/>
      <c r="F16" s="7" t="s">
        <v>5</v>
      </c>
      <c r="G16" s="7">
        <f t="shared" si="1"/>
        <v>1</v>
      </c>
      <c r="H16" s="7">
        <f t="shared" si="1"/>
        <v>0</v>
      </c>
      <c r="I16" s="7">
        <f t="shared" si="1"/>
        <v>0</v>
      </c>
      <c r="J16" s="7">
        <f t="shared" si="1"/>
        <v>0</v>
      </c>
      <c r="K16" s="7">
        <f t="shared" si="1"/>
        <v>0</v>
      </c>
      <c r="L16" s="6"/>
    </row>
    <row r="17" spans="1:12" x14ac:dyDescent="0.25">
      <c r="A17" s="4">
        <f t="shared" si="0"/>
        <v>2.001400000000003</v>
      </c>
      <c r="B17" s="5" t="s">
        <v>678</v>
      </c>
      <c r="C17" s="22" t="s">
        <v>679</v>
      </c>
      <c r="D17" s="151">
        <v>50000</v>
      </c>
      <c r="E17" s="6"/>
      <c r="F17" s="7" t="s">
        <v>5</v>
      </c>
      <c r="G17" s="7">
        <f t="shared" si="1"/>
        <v>1</v>
      </c>
      <c r="H17" s="7">
        <f t="shared" si="1"/>
        <v>0</v>
      </c>
      <c r="I17" s="7">
        <f t="shared" si="1"/>
        <v>0</v>
      </c>
      <c r="J17" s="7">
        <f t="shared" si="1"/>
        <v>0</v>
      </c>
      <c r="K17" s="7">
        <f t="shared" si="1"/>
        <v>0</v>
      </c>
      <c r="L17" s="6"/>
    </row>
    <row r="18" spans="1:12" x14ac:dyDescent="0.25">
      <c r="A18" s="4">
        <f t="shared" si="0"/>
        <v>2.0015000000000032</v>
      </c>
      <c r="B18" s="5" t="s">
        <v>666</v>
      </c>
      <c r="C18" s="94" t="s">
        <v>724</v>
      </c>
      <c r="D18" s="115"/>
      <c r="E18" s="6"/>
      <c r="F18" s="7" t="s">
        <v>5</v>
      </c>
      <c r="G18" s="7">
        <f t="shared" si="1"/>
        <v>1</v>
      </c>
      <c r="H18" s="7">
        <f t="shared" si="1"/>
        <v>0</v>
      </c>
      <c r="I18" s="7">
        <f t="shared" si="1"/>
        <v>0</v>
      </c>
      <c r="J18" s="7">
        <f t="shared" si="1"/>
        <v>0</v>
      </c>
      <c r="K18" s="7">
        <f t="shared" si="1"/>
        <v>0</v>
      </c>
      <c r="L18" s="6"/>
    </row>
    <row r="19" spans="1:12" x14ac:dyDescent="0.25">
      <c r="A19" s="4"/>
      <c r="B19" s="63"/>
      <c r="C19" s="94"/>
      <c r="D19" s="115"/>
      <c r="E19" s="6"/>
      <c r="F19" s="7"/>
      <c r="G19" s="7"/>
      <c r="H19" s="7"/>
      <c r="I19" s="7"/>
      <c r="J19" s="7"/>
      <c r="K19" s="7"/>
      <c r="L19" s="6"/>
    </row>
    <row r="20" spans="1:12" x14ac:dyDescent="0.25">
      <c r="A20" s="4">
        <f t="shared" si="0"/>
        <v>1E-4</v>
      </c>
      <c r="B20" s="110" t="s">
        <v>668</v>
      </c>
      <c r="C20" s="111" t="s">
        <v>741</v>
      </c>
      <c r="D20" s="17"/>
      <c r="E20" s="6"/>
      <c r="F20" s="7"/>
      <c r="G20" s="7"/>
      <c r="H20" s="7"/>
      <c r="I20" s="7"/>
      <c r="J20" s="7"/>
      <c r="K20" s="7"/>
      <c r="L20" s="6"/>
    </row>
    <row r="21" spans="1:12" x14ac:dyDescent="0.25">
      <c r="A21" s="4">
        <f t="shared" si="0"/>
        <v>2.0000000000000001E-4</v>
      </c>
      <c r="B21" s="66" t="s">
        <v>894</v>
      </c>
      <c r="C21" s="22" t="s">
        <v>893</v>
      </c>
      <c r="D21" s="115"/>
      <c r="E21" s="6"/>
      <c r="F21" s="7" t="s">
        <v>5</v>
      </c>
      <c r="G21" s="7">
        <f t="shared" ref="G21:K22" si="2">IF($F21=G$1,1,0)</f>
        <v>1</v>
      </c>
      <c r="H21" s="7">
        <f t="shared" si="2"/>
        <v>0</v>
      </c>
      <c r="I21" s="7">
        <f t="shared" si="2"/>
        <v>0</v>
      </c>
      <c r="J21" s="7">
        <f t="shared" si="2"/>
        <v>0</v>
      </c>
      <c r="K21" s="7">
        <f t="shared" si="2"/>
        <v>0</v>
      </c>
      <c r="L21" s="6"/>
    </row>
    <row r="22" spans="1:12" x14ac:dyDescent="0.25">
      <c r="A22" s="4">
        <f t="shared" si="0"/>
        <v>3.0000000000000003E-4</v>
      </c>
      <c r="B22" s="5" t="s">
        <v>726</v>
      </c>
      <c r="C22" s="23" t="s">
        <v>727</v>
      </c>
      <c r="D22" s="115"/>
      <c r="E22" s="6"/>
      <c r="F22" s="7" t="s">
        <v>5</v>
      </c>
      <c r="G22" s="7">
        <f t="shared" si="2"/>
        <v>1</v>
      </c>
      <c r="H22" s="7">
        <f t="shared" si="2"/>
        <v>0</v>
      </c>
      <c r="I22" s="7">
        <f t="shared" si="2"/>
        <v>0</v>
      </c>
      <c r="J22" s="7">
        <f t="shared" si="2"/>
        <v>0</v>
      </c>
      <c r="K22" s="7">
        <f t="shared" si="2"/>
        <v>0</v>
      </c>
      <c r="L22" s="6"/>
    </row>
    <row r="23" spans="1:12" ht="38.25" x14ac:dyDescent="0.25">
      <c r="A23" s="4">
        <f t="shared" si="0"/>
        <v>4.0000000000000002E-4</v>
      </c>
      <c r="B23" s="66" t="s">
        <v>725</v>
      </c>
      <c r="C23" s="22" t="s">
        <v>728</v>
      </c>
      <c r="D23" s="115"/>
      <c r="E23" s="6"/>
      <c r="F23" s="7" t="s">
        <v>5</v>
      </c>
      <c r="G23" s="7">
        <f t="shared" si="1"/>
        <v>1</v>
      </c>
      <c r="H23" s="7">
        <f t="shared" si="1"/>
        <v>0</v>
      </c>
      <c r="I23" s="7">
        <f t="shared" si="1"/>
        <v>0</v>
      </c>
      <c r="J23" s="7">
        <f t="shared" si="1"/>
        <v>0</v>
      </c>
      <c r="K23" s="7">
        <f t="shared" si="1"/>
        <v>0</v>
      </c>
      <c r="L23" s="6"/>
    </row>
    <row r="24" spans="1:12" x14ac:dyDescent="0.25">
      <c r="A24" s="4">
        <f t="shared" si="0"/>
        <v>5.0000000000000001E-4</v>
      </c>
      <c r="B24" s="5" t="s">
        <v>729</v>
      </c>
      <c r="C24" s="23" t="s">
        <v>730</v>
      </c>
      <c r="D24" s="115"/>
      <c r="E24" s="6"/>
      <c r="F24" s="7" t="s">
        <v>5</v>
      </c>
      <c r="G24" s="7">
        <f t="shared" si="1"/>
        <v>1</v>
      </c>
      <c r="H24" s="7">
        <f t="shared" si="1"/>
        <v>0</v>
      </c>
      <c r="I24" s="7">
        <f t="shared" si="1"/>
        <v>0</v>
      </c>
      <c r="J24" s="7">
        <f t="shared" si="1"/>
        <v>0</v>
      </c>
      <c r="K24" s="7">
        <f t="shared" si="1"/>
        <v>0</v>
      </c>
      <c r="L24" s="6"/>
    </row>
    <row r="25" spans="1:12" x14ac:dyDescent="0.25">
      <c r="A25" s="4"/>
      <c r="B25" s="5" t="s">
        <v>731</v>
      </c>
      <c r="C25" s="23" t="s">
        <v>747</v>
      </c>
      <c r="D25" s="115"/>
      <c r="E25" s="6"/>
      <c r="F25" s="7" t="s">
        <v>5</v>
      </c>
      <c r="G25" s="7">
        <f t="shared" si="1"/>
        <v>1</v>
      </c>
      <c r="H25" s="7">
        <f t="shared" si="1"/>
        <v>0</v>
      </c>
      <c r="I25" s="7">
        <f t="shared" si="1"/>
        <v>0</v>
      </c>
      <c r="J25" s="7">
        <f t="shared" si="1"/>
        <v>0</v>
      </c>
      <c r="K25" s="7">
        <f t="shared" si="1"/>
        <v>0</v>
      </c>
      <c r="L25" s="6"/>
    </row>
    <row r="26" spans="1:12" x14ac:dyDescent="0.25">
      <c r="A26" s="4">
        <f>A24+0.0001</f>
        <v>6.0000000000000006E-4</v>
      </c>
      <c r="B26" s="5" t="s">
        <v>489</v>
      </c>
      <c r="C26" s="22" t="s">
        <v>490</v>
      </c>
      <c r="D26" s="115"/>
      <c r="E26" s="6"/>
      <c r="F26" s="7" t="s">
        <v>5</v>
      </c>
      <c r="G26" s="7">
        <f t="shared" si="1"/>
        <v>1</v>
      </c>
      <c r="H26" s="7">
        <f t="shared" si="1"/>
        <v>0</v>
      </c>
      <c r="I26" s="7">
        <f t="shared" si="1"/>
        <v>0</v>
      </c>
      <c r="J26" s="7">
        <f t="shared" si="1"/>
        <v>0</v>
      </c>
      <c r="K26" s="7">
        <f t="shared" si="1"/>
        <v>0</v>
      </c>
      <c r="L26" s="6"/>
    </row>
    <row r="27" spans="1:12" x14ac:dyDescent="0.25">
      <c r="A27" s="4">
        <f t="shared" si="0"/>
        <v>7.000000000000001E-4</v>
      </c>
      <c r="B27" s="5" t="s">
        <v>491</v>
      </c>
      <c r="C27" s="23" t="s">
        <v>750</v>
      </c>
      <c r="D27" s="115"/>
      <c r="E27" s="6"/>
      <c r="F27" s="7" t="s">
        <v>5</v>
      </c>
      <c r="G27" s="7">
        <f t="shared" si="1"/>
        <v>1</v>
      </c>
      <c r="H27" s="7">
        <f t="shared" si="1"/>
        <v>0</v>
      </c>
      <c r="I27" s="7">
        <f t="shared" si="1"/>
        <v>0</v>
      </c>
      <c r="J27" s="7">
        <f t="shared" si="1"/>
        <v>0</v>
      </c>
      <c r="K27" s="7">
        <f t="shared" si="1"/>
        <v>0</v>
      </c>
      <c r="L27" s="6"/>
    </row>
    <row r="28" spans="1:12" x14ac:dyDescent="0.25">
      <c r="A28" s="4">
        <f t="shared" si="0"/>
        <v>8.0000000000000015E-4</v>
      </c>
      <c r="B28" s="5" t="s">
        <v>553</v>
      </c>
      <c r="C28" s="22" t="s">
        <v>492</v>
      </c>
      <c r="D28" s="115" t="s">
        <v>896</v>
      </c>
      <c r="E28" s="6"/>
      <c r="F28" s="7" t="s">
        <v>5</v>
      </c>
      <c r="G28" s="7">
        <f t="shared" si="1"/>
        <v>1</v>
      </c>
      <c r="H28" s="7">
        <f t="shared" si="1"/>
        <v>0</v>
      </c>
      <c r="I28" s="7">
        <f t="shared" si="1"/>
        <v>0</v>
      </c>
      <c r="J28" s="7">
        <f t="shared" si="1"/>
        <v>0</v>
      </c>
      <c r="K28" s="7">
        <f t="shared" si="1"/>
        <v>0</v>
      </c>
      <c r="L28" s="6"/>
    </row>
    <row r="29" spans="1:12" x14ac:dyDescent="0.25">
      <c r="A29" s="4">
        <f t="shared" si="0"/>
        <v>9.0000000000000019E-4</v>
      </c>
      <c r="B29" s="5"/>
      <c r="C29" s="22" t="s">
        <v>493</v>
      </c>
      <c r="D29" s="115" t="s">
        <v>897</v>
      </c>
      <c r="E29" s="6"/>
      <c r="F29" s="7" t="s">
        <v>5</v>
      </c>
      <c r="G29" s="7"/>
      <c r="H29" s="7"/>
      <c r="I29" s="7"/>
      <c r="J29" s="7"/>
      <c r="K29" s="7"/>
      <c r="L29" s="6"/>
    </row>
    <row r="30" spans="1:12" ht="25.5" x14ac:dyDescent="0.25">
      <c r="A30" s="4">
        <f t="shared" si="0"/>
        <v>1.0000000000000002E-3</v>
      </c>
      <c r="B30" s="5" t="s">
        <v>482</v>
      </c>
      <c r="C30" s="94" t="s">
        <v>732</v>
      </c>
      <c r="D30" s="115"/>
      <c r="E30" s="6"/>
      <c r="F30" s="7" t="s">
        <v>5</v>
      </c>
      <c r="G30" s="7">
        <f t="shared" si="1"/>
        <v>1</v>
      </c>
      <c r="H30" s="7">
        <f t="shared" si="1"/>
        <v>0</v>
      </c>
      <c r="I30" s="7">
        <f t="shared" si="1"/>
        <v>0</v>
      </c>
      <c r="J30" s="7">
        <f t="shared" si="1"/>
        <v>0</v>
      </c>
      <c r="K30" s="7">
        <f t="shared" si="1"/>
        <v>0</v>
      </c>
      <c r="L30" s="6"/>
    </row>
    <row r="31" spans="1:12" x14ac:dyDescent="0.25">
      <c r="A31" s="4">
        <f t="shared" si="0"/>
        <v>1.1000000000000003E-3</v>
      </c>
      <c r="B31" s="16" t="s">
        <v>905</v>
      </c>
      <c r="C31" s="16"/>
      <c r="D31" s="17"/>
      <c r="E31" s="7"/>
      <c r="F31" s="7"/>
      <c r="G31" s="7"/>
      <c r="H31" s="7"/>
      <c r="I31" s="7"/>
      <c r="J31" s="7"/>
      <c r="K31" s="7"/>
    </row>
    <row r="32" spans="1:12" x14ac:dyDescent="0.25">
      <c r="A32" s="4">
        <f t="shared" si="0"/>
        <v>1.2000000000000003E-3</v>
      </c>
      <c r="B32" s="96" t="s">
        <v>908</v>
      </c>
      <c r="C32" s="5" t="s">
        <v>898</v>
      </c>
      <c r="D32" s="115"/>
      <c r="E32" s="7"/>
      <c r="F32" s="7" t="s">
        <v>5</v>
      </c>
      <c r="G32" s="7">
        <f t="shared" ref="G32:K53" si="3">IF($F32=G$1,1,0)</f>
        <v>1</v>
      </c>
      <c r="H32" s="7">
        <f t="shared" si="3"/>
        <v>0</v>
      </c>
      <c r="I32" s="7">
        <f t="shared" si="3"/>
        <v>0</v>
      </c>
      <c r="J32" s="7">
        <f t="shared" si="3"/>
        <v>0</v>
      </c>
      <c r="K32" s="7">
        <f t="shared" si="3"/>
        <v>0</v>
      </c>
    </row>
    <row r="33" spans="1:11" x14ac:dyDescent="0.25">
      <c r="A33" s="4">
        <f t="shared" si="0"/>
        <v>1.3000000000000004E-3</v>
      </c>
      <c r="B33" s="6"/>
      <c r="C33" s="5" t="s">
        <v>557</v>
      </c>
      <c r="D33" s="115" t="s">
        <v>461</v>
      </c>
      <c r="E33" s="7"/>
      <c r="F33" s="7" t="s">
        <v>5</v>
      </c>
      <c r="G33" s="7">
        <f t="shared" si="3"/>
        <v>1</v>
      </c>
      <c r="H33" s="7">
        <f t="shared" si="3"/>
        <v>0</v>
      </c>
      <c r="I33" s="7">
        <f t="shared" si="3"/>
        <v>0</v>
      </c>
      <c r="J33" s="7">
        <f t="shared" si="3"/>
        <v>0</v>
      </c>
      <c r="K33" s="7">
        <f t="shared" si="3"/>
        <v>0</v>
      </c>
    </row>
    <row r="34" spans="1:11" x14ac:dyDescent="0.25">
      <c r="A34" s="4">
        <f t="shared" si="0"/>
        <v>1.4000000000000004E-3</v>
      </c>
      <c r="B34" s="6"/>
      <c r="C34" s="5" t="s">
        <v>558</v>
      </c>
      <c r="D34" s="115"/>
      <c r="E34" s="7"/>
      <c r="F34" s="7" t="s">
        <v>5</v>
      </c>
      <c r="G34" s="7">
        <f t="shared" si="3"/>
        <v>1</v>
      </c>
      <c r="H34" s="7">
        <f t="shared" si="3"/>
        <v>0</v>
      </c>
      <c r="I34" s="7">
        <f t="shared" si="3"/>
        <v>0</v>
      </c>
      <c r="J34" s="7">
        <f t="shared" si="3"/>
        <v>0</v>
      </c>
      <c r="K34" s="7">
        <f t="shared" si="3"/>
        <v>0</v>
      </c>
    </row>
    <row r="35" spans="1:11" x14ac:dyDescent="0.25">
      <c r="A35" s="4">
        <f t="shared" si="0"/>
        <v>1.5000000000000005E-3</v>
      </c>
      <c r="B35" s="6"/>
      <c r="C35" s="5" t="s">
        <v>559</v>
      </c>
      <c r="D35" s="115"/>
      <c r="E35" s="7"/>
      <c r="F35" s="7" t="s">
        <v>5</v>
      </c>
      <c r="G35" s="7">
        <f t="shared" si="3"/>
        <v>1</v>
      </c>
      <c r="H35" s="7">
        <f t="shared" si="3"/>
        <v>0</v>
      </c>
      <c r="I35" s="7">
        <f t="shared" si="3"/>
        <v>0</v>
      </c>
      <c r="J35" s="7">
        <f t="shared" si="3"/>
        <v>0</v>
      </c>
      <c r="K35" s="7">
        <f t="shared" si="3"/>
        <v>0</v>
      </c>
    </row>
    <row r="36" spans="1:11" x14ac:dyDescent="0.25">
      <c r="A36" s="4">
        <f t="shared" si="0"/>
        <v>1.6000000000000005E-3</v>
      </c>
      <c r="B36" s="6"/>
      <c r="C36" s="5" t="s">
        <v>899</v>
      </c>
      <c r="D36" s="115"/>
      <c r="E36" s="7"/>
      <c r="F36" s="7" t="s">
        <v>5</v>
      </c>
      <c r="G36" s="7">
        <f t="shared" si="3"/>
        <v>1</v>
      </c>
      <c r="H36" s="7">
        <f t="shared" si="3"/>
        <v>0</v>
      </c>
      <c r="I36" s="7">
        <f t="shared" si="3"/>
        <v>0</v>
      </c>
      <c r="J36" s="7">
        <f t="shared" si="3"/>
        <v>0</v>
      </c>
      <c r="K36" s="7">
        <f t="shared" si="3"/>
        <v>0</v>
      </c>
    </row>
    <row r="37" spans="1:11" ht="25.5" x14ac:dyDescent="0.25">
      <c r="A37" s="4">
        <f t="shared" si="0"/>
        <v>1.7000000000000006E-3</v>
      </c>
      <c r="B37" s="6"/>
      <c r="C37" s="5" t="s">
        <v>733</v>
      </c>
      <c r="D37" s="115" t="s">
        <v>900</v>
      </c>
      <c r="E37" s="7"/>
      <c r="F37" s="7" t="s">
        <v>5</v>
      </c>
      <c r="G37" s="7">
        <f t="shared" si="3"/>
        <v>1</v>
      </c>
      <c r="H37" s="7">
        <f t="shared" si="3"/>
        <v>0</v>
      </c>
      <c r="I37" s="7">
        <f t="shared" si="3"/>
        <v>0</v>
      </c>
      <c r="J37" s="7">
        <f t="shared" si="3"/>
        <v>0</v>
      </c>
      <c r="K37" s="7">
        <f t="shared" si="3"/>
        <v>0</v>
      </c>
    </row>
    <row r="38" spans="1:11" x14ac:dyDescent="0.25">
      <c r="A38" s="4">
        <f t="shared" si="0"/>
        <v>1.8000000000000006E-3</v>
      </c>
      <c r="B38" s="6"/>
      <c r="C38" s="5" t="s">
        <v>565</v>
      </c>
      <c r="D38" s="152">
        <v>0</v>
      </c>
      <c r="E38" s="7"/>
      <c r="F38" s="7" t="s">
        <v>5</v>
      </c>
      <c r="G38" s="7">
        <f t="shared" si="3"/>
        <v>1</v>
      </c>
      <c r="H38" s="7">
        <f t="shared" si="3"/>
        <v>0</v>
      </c>
      <c r="I38" s="7">
        <f t="shared" si="3"/>
        <v>0</v>
      </c>
      <c r="J38" s="7">
        <f t="shared" si="3"/>
        <v>0</v>
      </c>
      <c r="K38" s="7">
        <f t="shared" si="3"/>
        <v>0</v>
      </c>
    </row>
    <row r="39" spans="1:11" x14ac:dyDescent="0.25">
      <c r="A39" s="4">
        <f t="shared" si="0"/>
        <v>1.9000000000000006E-3</v>
      </c>
      <c r="B39" s="6"/>
      <c r="C39" s="5" t="s">
        <v>566</v>
      </c>
      <c r="D39" s="115"/>
      <c r="E39" s="7"/>
      <c r="F39" s="7" t="s">
        <v>5</v>
      </c>
      <c r="G39" s="7">
        <f t="shared" si="3"/>
        <v>1</v>
      </c>
      <c r="H39" s="7">
        <f t="shared" si="3"/>
        <v>0</v>
      </c>
      <c r="I39" s="7">
        <f t="shared" si="3"/>
        <v>0</v>
      </c>
      <c r="J39" s="7">
        <f t="shared" si="3"/>
        <v>0</v>
      </c>
      <c r="K39" s="7">
        <f t="shared" si="3"/>
        <v>0</v>
      </c>
    </row>
    <row r="40" spans="1:11" x14ac:dyDescent="0.25">
      <c r="A40" s="4">
        <f t="shared" si="0"/>
        <v>2.0000000000000005E-3</v>
      </c>
      <c r="B40" s="6"/>
      <c r="C40" s="5"/>
      <c r="D40" s="115"/>
      <c r="E40" s="7"/>
      <c r="F40" s="7"/>
      <c r="G40" s="7"/>
      <c r="H40" s="7"/>
      <c r="I40" s="7"/>
      <c r="J40" s="7"/>
      <c r="K40" s="7"/>
    </row>
    <row r="41" spans="1:11" x14ac:dyDescent="0.25">
      <c r="A41" s="4"/>
      <c r="B41" s="5"/>
      <c r="C41" s="5"/>
      <c r="D41" s="115"/>
      <c r="E41" s="7"/>
      <c r="F41" s="7"/>
      <c r="G41" s="7"/>
      <c r="H41" s="7"/>
      <c r="I41" s="7"/>
      <c r="J41" s="7"/>
      <c r="K41" s="7"/>
    </row>
    <row r="42" spans="1:11" x14ac:dyDescent="0.25">
      <c r="A42" s="4">
        <f t="shared" si="0"/>
        <v>1E-4</v>
      </c>
      <c r="B42" s="5"/>
      <c r="C42" s="5"/>
      <c r="D42" s="115"/>
      <c r="E42" s="7"/>
      <c r="F42" s="7"/>
      <c r="G42" s="7"/>
      <c r="H42" s="7"/>
      <c r="I42" s="7"/>
      <c r="J42" s="7"/>
      <c r="K42" s="7"/>
    </row>
    <row r="43" spans="1:11" ht="25.5" x14ac:dyDescent="0.25">
      <c r="A43" s="4">
        <f t="shared" si="0"/>
        <v>2.0000000000000001E-4</v>
      </c>
      <c r="B43" s="96" t="s">
        <v>560</v>
      </c>
      <c r="C43" s="63" t="s">
        <v>901</v>
      </c>
      <c r="D43" s="115"/>
      <c r="E43" s="7"/>
      <c r="F43" s="7" t="s">
        <v>5</v>
      </c>
      <c r="G43" s="7">
        <f>IF($F43=G$1,1,0)</f>
        <v>1</v>
      </c>
      <c r="H43" s="7">
        <f>IF($F43=H$1,1,0)</f>
        <v>0</v>
      </c>
      <c r="I43" s="7">
        <f>IF($F43=I$1,1,0)</f>
        <v>0</v>
      </c>
      <c r="J43" s="7">
        <f>IF($F43=J$1,1,0)</f>
        <v>0</v>
      </c>
      <c r="K43" s="7"/>
    </row>
    <row r="44" spans="1:11" ht="25.5" x14ac:dyDescent="0.25">
      <c r="A44" s="4">
        <f t="shared" si="0"/>
        <v>3.0000000000000003E-4</v>
      </c>
      <c r="B44" s="6"/>
      <c r="C44" s="5" t="s">
        <v>752</v>
      </c>
      <c r="D44" s="152" t="s">
        <v>907</v>
      </c>
      <c r="E44" s="7"/>
      <c r="F44" s="7" t="s">
        <v>5</v>
      </c>
      <c r="G44" s="7">
        <f t="shared" si="3"/>
        <v>1</v>
      </c>
      <c r="H44" s="7">
        <f t="shared" si="3"/>
        <v>0</v>
      </c>
      <c r="I44" s="7">
        <f t="shared" si="3"/>
        <v>0</v>
      </c>
      <c r="J44" s="7">
        <f t="shared" si="3"/>
        <v>0</v>
      </c>
      <c r="K44" s="7">
        <f t="shared" si="3"/>
        <v>0</v>
      </c>
    </row>
    <row r="45" spans="1:11" x14ac:dyDescent="0.25">
      <c r="A45" s="4">
        <f t="shared" si="0"/>
        <v>4.0000000000000002E-4</v>
      </c>
      <c r="B45" s="6"/>
      <c r="C45" s="5" t="s">
        <v>585</v>
      </c>
      <c r="D45" s="115"/>
      <c r="E45" s="7"/>
      <c r="F45" s="7" t="s">
        <v>5</v>
      </c>
      <c r="G45" s="7">
        <f t="shared" si="3"/>
        <v>1</v>
      </c>
      <c r="H45" s="7">
        <f t="shared" si="3"/>
        <v>0</v>
      </c>
      <c r="I45" s="7">
        <f t="shared" si="3"/>
        <v>0</v>
      </c>
      <c r="J45" s="7">
        <f t="shared" si="3"/>
        <v>0</v>
      </c>
      <c r="K45" s="7">
        <f t="shared" si="3"/>
        <v>0</v>
      </c>
    </row>
    <row r="46" spans="1:11" x14ac:dyDescent="0.25">
      <c r="A46" s="4">
        <f t="shared" si="0"/>
        <v>5.0000000000000001E-4</v>
      </c>
      <c r="B46" s="6"/>
      <c r="C46" s="5" t="s">
        <v>562</v>
      </c>
      <c r="D46" s="115"/>
      <c r="E46" s="7"/>
      <c r="F46" s="7" t="s">
        <v>5</v>
      </c>
      <c r="G46" s="7">
        <f t="shared" si="3"/>
        <v>1</v>
      </c>
      <c r="H46" s="7">
        <f t="shared" si="3"/>
        <v>0</v>
      </c>
      <c r="I46" s="7">
        <f t="shared" si="3"/>
        <v>0</v>
      </c>
      <c r="J46" s="7">
        <f t="shared" si="3"/>
        <v>0</v>
      </c>
      <c r="K46" s="7">
        <f t="shared" si="3"/>
        <v>0</v>
      </c>
    </row>
    <row r="47" spans="1:11" x14ac:dyDescent="0.25">
      <c r="A47" s="4">
        <f t="shared" si="0"/>
        <v>6.0000000000000006E-4</v>
      </c>
      <c r="B47" s="6"/>
      <c r="C47" s="5"/>
      <c r="D47" s="115"/>
      <c r="E47" s="7"/>
      <c r="F47" s="7"/>
      <c r="G47" s="7">
        <f t="shared" si="3"/>
        <v>0</v>
      </c>
      <c r="H47" s="7">
        <f t="shared" si="3"/>
        <v>0</v>
      </c>
      <c r="I47" s="7"/>
      <c r="J47" s="7">
        <f t="shared" si="3"/>
        <v>0</v>
      </c>
      <c r="K47" s="7">
        <f t="shared" si="3"/>
        <v>0</v>
      </c>
    </row>
    <row r="48" spans="1:11" x14ac:dyDescent="0.25">
      <c r="A48" s="4">
        <f t="shared" si="0"/>
        <v>7.000000000000001E-4</v>
      </c>
      <c r="B48" s="6"/>
      <c r="C48" s="5" t="s">
        <v>591</v>
      </c>
      <c r="D48" s="115" t="s">
        <v>865</v>
      </c>
      <c r="E48" s="7"/>
      <c r="F48" s="7" t="s">
        <v>5</v>
      </c>
      <c r="G48" s="7">
        <f t="shared" si="3"/>
        <v>1</v>
      </c>
      <c r="H48" s="7">
        <f t="shared" si="3"/>
        <v>0</v>
      </c>
      <c r="I48" s="7">
        <f t="shared" si="3"/>
        <v>0</v>
      </c>
      <c r="J48" s="7">
        <f t="shared" si="3"/>
        <v>0</v>
      </c>
      <c r="K48" s="7">
        <f t="shared" si="3"/>
        <v>0</v>
      </c>
    </row>
    <row r="49" spans="1:11" ht="16.5" customHeight="1" x14ac:dyDescent="0.25">
      <c r="A49" s="4">
        <f t="shared" si="0"/>
        <v>8.0000000000000015E-4</v>
      </c>
      <c r="B49" s="6"/>
      <c r="C49" s="5" t="s">
        <v>886</v>
      </c>
      <c r="D49" s="115" t="s">
        <v>887</v>
      </c>
      <c r="E49" s="7"/>
      <c r="F49" s="7" t="s">
        <v>5</v>
      </c>
      <c r="G49" s="7">
        <f t="shared" si="3"/>
        <v>1</v>
      </c>
      <c r="H49" s="7">
        <f t="shared" si="3"/>
        <v>0</v>
      </c>
      <c r="I49" s="7">
        <f t="shared" si="3"/>
        <v>0</v>
      </c>
      <c r="J49" s="7">
        <f t="shared" si="3"/>
        <v>0</v>
      </c>
      <c r="K49" s="7">
        <f t="shared" si="3"/>
        <v>0</v>
      </c>
    </row>
    <row r="50" spans="1:11" x14ac:dyDescent="0.25">
      <c r="A50" s="4">
        <f t="shared" si="0"/>
        <v>9.0000000000000019E-4</v>
      </c>
      <c r="B50" s="6"/>
      <c r="C50" s="5" t="s">
        <v>866</v>
      </c>
      <c r="D50" s="115" t="s">
        <v>902</v>
      </c>
      <c r="E50" s="7"/>
      <c r="F50" s="7" t="s">
        <v>7</v>
      </c>
      <c r="G50" s="7">
        <f t="shared" si="3"/>
        <v>0</v>
      </c>
      <c r="H50" s="7">
        <f t="shared" si="3"/>
        <v>0</v>
      </c>
      <c r="I50" s="7">
        <f t="shared" si="3"/>
        <v>0</v>
      </c>
      <c r="J50" s="7">
        <f t="shared" si="3"/>
        <v>1</v>
      </c>
      <c r="K50" s="7">
        <f t="shared" si="3"/>
        <v>0</v>
      </c>
    </row>
    <row r="51" spans="1:11" x14ac:dyDescent="0.25">
      <c r="A51" s="4">
        <f t="shared" si="0"/>
        <v>1.0000000000000002E-3</v>
      </c>
      <c r="B51" s="6"/>
      <c r="C51" s="5" t="s">
        <v>588</v>
      </c>
      <c r="D51" s="115" t="s">
        <v>461</v>
      </c>
      <c r="E51" s="7"/>
      <c r="F51" s="7" t="s">
        <v>5</v>
      </c>
      <c r="G51" s="7">
        <f t="shared" si="3"/>
        <v>1</v>
      </c>
      <c r="H51" s="7">
        <f t="shared" si="3"/>
        <v>0</v>
      </c>
      <c r="I51" s="7">
        <f t="shared" si="3"/>
        <v>0</v>
      </c>
      <c r="J51" s="7">
        <f t="shared" si="3"/>
        <v>0</v>
      </c>
      <c r="K51" s="7">
        <f t="shared" si="3"/>
        <v>0</v>
      </c>
    </row>
    <row r="52" spans="1:11" ht="25.5" x14ac:dyDescent="0.25">
      <c r="A52" s="4">
        <f t="shared" si="0"/>
        <v>1.1000000000000003E-3</v>
      </c>
      <c r="B52" s="6"/>
      <c r="C52" s="5" t="s">
        <v>903</v>
      </c>
      <c r="D52" s="115"/>
      <c r="E52" s="7"/>
      <c r="F52" s="7" t="s">
        <v>5</v>
      </c>
      <c r="G52" s="7">
        <f t="shared" si="3"/>
        <v>1</v>
      </c>
      <c r="H52" s="7">
        <f t="shared" si="3"/>
        <v>0</v>
      </c>
      <c r="I52" s="7">
        <f t="shared" si="3"/>
        <v>0</v>
      </c>
      <c r="J52" s="7">
        <f t="shared" si="3"/>
        <v>0</v>
      </c>
      <c r="K52" s="7">
        <f t="shared" si="3"/>
        <v>0</v>
      </c>
    </row>
    <row r="53" spans="1:11" ht="25.5" x14ac:dyDescent="0.25">
      <c r="A53" s="4">
        <f t="shared" si="0"/>
        <v>1.2000000000000003E-3</v>
      </c>
      <c r="B53" s="5"/>
      <c r="C53" s="5" t="s">
        <v>586</v>
      </c>
      <c r="D53" s="119"/>
      <c r="E53" s="7"/>
      <c r="F53" s="7" t="s">
        <v>7</v>
      </c>
      <c r="G53" s="7">
        <f t="shared" si="3"/>
        <v>0</v>
      </c>
      <c r="H53" s="7">
        <f t="shared" si="3"/>
        <v>0</v>
      </c>
      <c r="I53" s="7">
        <f t="shared" si="3"/>
        <v>0</v>
      </c>
      <c r="J53" s="7">
        <f t="shared" si="3"/>
        <v>1</v>
      </c>
      <c r="K53" s="7">
        <f t="shared" si="3"/>
        <v>0</v>
      </c>
    </row>
    <row r="54" spans="1:11" x14ac:dyDescent="0.25">
      <c r="A54" s="4">
        <f t="shared" si="0"/>
        <v>1.3000000000000004E-3</v>
      </c>
      <c r="B54" s="5"/>
      <c r="C54" s="23" t="s">
        <v>904</v>
      </c>
      <c r="D54" s="115" t="s">
        <v>461</v>
      </c>
      <c r="E54" s="7"/>
      <c r="F54" s="7"/>
      <c r="G54" s="7"/>
      <c r="H54" s="7"/>
      <c r="I54" s="7"/>
      <c r="J54" s="7"/>
      <c r="K54" s="7"/>
    </row>
    <row r="55" spans="1:11" x14ac:dyDescent="0.25">
      <c r="A55" s="4" t="e">
        <f>#REF!+0.0001</f>
        <v>#REF!</v>
      </c>
      <c r="B55" s="16" t="s">
        <v>870</v>
      </c>
      <c r="C55" s="16"/>
      <c r="D55" s="17"/>
      <c r="E55" s="7"/>
      <c r="F55" s="7"/>
      <c r="G55" s="7"/>
      <c r="H55" s="7"/>
      <c r="I55" s="7"/>
      <c r="J55" s="7"/>
      <c r="K55" s="7"/>
    </row>
    <row r="56" spans="1:11" x14ac:dyDescent="0.25">
      <c r="A56" s="4" t="e">
        <f t="shared" ref="A56:A107" si="4">A55+0.0001</f>
        <v>#REF!</v>
      </c>
      <c r="B56" s="6" t="s">
        <v>572</v>
      </c>
      <c r="C56" s="5" t="s">
        <v>569</v>
      </c>
      <c r="D56" s="117"/>
      <c r="E56" s="7"/>
      <c r="F56" s="7" t="s">
        <v>5</v>
      </c>
      <c r="G56" s="7">
        <f t="shared" ref="G56:K59" si="5">IF($F56=G$1,1,0)</f>
        <v>1</v>
      </c>
      <c r="H56" s="7">
        <f t="shared" si="5"/>
        <v>0</v>
      </c>
      <c r="I56" s="7">
        <f t="shared" si="5"/>
        <v>0</v>
      </c>
      <c r="J56" s="7">
        <f t="shared" si="5"/>
        <v>0</v>
      </c>
      <c r="K56" s="7">
        <f t="shared" si="5"/>
        <v>0</v>
      </c>
    </row>
    <row r="57" spans="1:11" x14ac:dyDescent="0.25">
      <c r="A57" s="4" t="e">
        <f t="shared" si="4"/>
        <v>#REF!</v>
      </c>
      <c r="B57" s="6"/>
      <c r="C57" s="5" t="s">
        <v>570</v>
      </c>
      <c r="D57" s="117"/>
      <c r="E57" s="7"/>
      <c r="F57" s="7" t="s">
        <v>5</v>
      </c>
      <c r="G57" s="7">
        <f t="shared" si="5"/>
        <v>1</v>
      </c>
      <c r="H57" s="7">
        <f t="shared" si="5"/>
        <v>0</v>
      </c>
      <c r="I57" s="7">
        <f t="shared" si="5"/>
        <v>0</v>
      </c>
      <c r="J57" s="7">
        <f t="shared" si="5"/>
        <v>0</v>
      </c>
      <c r="K57" s="7">
        <f t="shared" si="5"/>
        <v>0</v>
      </c>
    </row>
    <row r="58" spans="1:11" x14ac:dyDescent="0.25">
      <c r="A58" s="4" t="e">
        <f t="shared" si="4"/>
        <v>#REF!</v>
      </c>
      <c r="B58" s="6"/>
      <c r="C58" s="5" t="s">
        <v>571</v>
      </c>
      <c r="D58" s="117"/>
      <c r="E58" s="7"/>
      <c r="F58" s="7" t="s">
        <v>5</v>
      </c>
      <c r="G58" s="7">
        <f t="shared" si="5"/>
        <v>1</v>
      </c>
      <c r="H58" s="7">
        <f t="shared" si="5"/>
        <v>0</v>
      </c>
      <c r="I58" s="7">
        <f t="shared" si="5"/>
        <v>0</v>
      </c>
      <c r="J58" s="7">
        <f t="shared" si="5"/>
        <v>0</v>
      </c>
      <c r="K58" s="7">
        <f t="shared" si="5"/>
        <v>0</v>
      </c>
    </row>
    <row r="59" spans="1:11" ht="25.5" x14ac:dyDescent="0.25">
      <c r="A59" s="4" t="e">
        <f t="shared" si="4"/>
        <v>#REF!</v>
      </c>
      <c r="B59" s="6"/>
      <c r="C59" s="5" t="s">
        <v>573</v>
      </c>
      <c r="D59" s="117"/>
      <c r="E59" s="7"/>
      <c r="F59" s="7" t="s">
        <v>5</v>
      </c>
      <c r="G59" s="7">
        <f t="shared" si="5"/>
        <v>1</v>
      </c>
      <c r="H59" s="7">
        <f t="shared" si="5"/>
        <v>0</v>
      </c>
      <c r="I59" s="7">
        <f t="shared" si="5"/>
        <v>0</v>
      </c>
      <c r="J59" s="7">
        <f t="shared" si="5"/>
        <v>0</v>
      </c>
      <c r="K59" s="7">
        <f t="shared" si="5"/>
        <v>0</v>
      </c>
    </row>
    <row r="60" spans="1:11" x14ac:dyDescent="0.25">
      <c r="A60" s="4" t="e">
        <f t="shared" si="4"/>
        <v>#REF!</v>
      </c>
      <c r="B60" s="6"/>
      <c r="C60" s="23"/>
      <c r="D60" s="117"/>
      <c r="E60" s="7"/>
      <c r="F60" s="7"/>
      <c r="G60" s="7"/>
      <c r="H60" s="7"/>
      <c r="I60" s="7"/>
      <c r="J60" s="7"/>
      <c r="K60" s="7"/>
    </row>
    <row r="61" spans="1:11" x14ac:dyDescent="0.25">
      <c r="A61" s="4" t="e">
        <f t="shared" si="4"/>
        <v>#REF!</v>
      </c>
      <c r="B61" s="6"/>
      <c r="C61" s="23"/>
      <c r="D61" s="117"/>
      <c r="E61" s="7"/>
      <c r="F61" s="7"/>
      <c r="G61" s="7"/>
      <c r="H61" s="7"/>
      <c r="I61" s="7"/>
      <c r="J61" s="7"/>
      <c r="K61" s="7"/>
    </row>
    <row r="62" spans="1:11" x14ac:dyDescent="0.25">
      <c r="A62" s="4" t="e">
        <f t="shared" si="4"/>
        <v>#REF!</v>
      </c>
      <c r="B62" s="16" t="s">
        <v>735</v>
      </c>
      <c r="C62" s="17"/>
      <c r="D62" s="16"/>
      <c r="E62" s="7"/>
      <c r="F62" s="7"/>
      <c r="G62" s="7"/>
      <c r="H62" s="7"/>
      <c r="I62" s="7"/>
      <c r="J62" s="7"/>
      <c r="K62" s="7"/>
    </row>
    <row r="63" spans="1:11" x14ac:dyDescent="0.25">
      <c r="A63" s="4" t="e">
        <f t="shared" si="4"/>
        <v>#REF!</v>
      </c>
      <c r="B63" s="5" t="s">
        <v>872</v>
      </c>
      <c r="C63" s="5" t="s">
        <v>877</v>
      </c>
      <c r="D63" s="153" t="s">
        <v>694</v>
      </c>
      <c r="E63" s="7"/>
      <c r="F63" s="7" t="s">
        <v>5</v>
      </c>
      <c r="G63" s="7">
        <f t="shared" ref="G63:K68" si="6">IF($F63=G$1,1,0)</f>
        <v>1</v>
      </c>
      <c r="H63" s="7">
        <f t="shared" si="6"/>
        <v>0</v>
      </c>
      <c r="I63" s="7">
        <f t="shared" si="6"/>
        <v>0</v>
      </c>
      <c r="J63" s="7">
        <f t="shared" si="6"/>
        <v>0</v>
      </c>
      <c r="K63" s="7">
        <f t="shared" si="6"/>
        <v>0</v>
      </c>
    </row>
    <row r="64" spans="1:11" ht="76.5" x14ac:dyDescent="0.25">
      <c r="A64" s="4" t="e">
        <f t="shared" si="4"/>
        <v>#REF!</v>
      </c>
      <c r="B64" s="5" t="s">
        <v>876</v>
      </c>
      <c r="C64" s="5" t="s">
        <v>873</v>
      </c>
      <c r="D64" s="6" t="s">
        <v>982</v>
      </c>
      <c r="E64" s="7"/>
      <c r="F64" s="7" t="s">
        <v>5</v>
      </c>
      <c r="G64" s="7">
        <f t="shared" si="6"/>
        <v>1</v>
      </c>
      <c r="H64" s="7">
        <f t="shared" si="6"/>
        <v>0</v>
      </c>
      <c r="I64" s="7">
        <f t="shared" si="6"/>
        <v>0</v>
      </c>
      <c r="J64" s="7">
        <f t="shared" si="6"/>
        <v>0</v>
      </c>
      <c r="K64" s="7">
        <f t="shared" si="6"/>
        <v>0</v>
      </c>
    </row>
    <row r="65" spans="1:11" ht="25.5" x14ac:dyDescent="0.25">
      <c r="A65" s="4" t="e">
        <f t="shared" si="4"/>
        <v>#REF!</v>
      </c>
      <c r="B65" s="5" t="s">
        <v>482</v>
      </c>
      <c r="C65" s="5" t="s">
        <v>874</v>
      </c>
      <c r="D65" s="6"/>
      <c r="E65" s="7"/>
      <c r="F65" s="7" t="s">
        <v>5</v>
      </c>
      <c r="G65" s="7">
        <f t="shared" si="6"/>
        <v>1</v>
      </c>
      <c r="H65" s="7">
        <f t="shared" si="6"/>
        <v>0</v>
      </c>
      <c r="I65" s="7">
        <f t="shared" si="6"/>
        <v>0</v>
      </c>
      <c r="J65" s="7">
        <f t="shared" si="6"/>
        <v>0</v>
      </c>
      <c r="K65" s="7">
        <f t="shared" si="6"/>
        <v>0</v>
      </c>
    </row>
    <row r="66" spans="1:11" ht="25.5" x14ac:dyDescent="0.25">
      <c r="A66" s="4" t="e">
        <f t="shared" si="4"/>
        <v>#REF!</v>
      </c>
      <c r="B66" s="5" t="s">
        <v>875</v>
      </c>
      <c r="C66" s="5" t="s">
        <v>878</v>
      </c>
      <c r="D66" s="6"/>
      <c r="E66" s="7"/>
      <c r="F66" s="7" t="s">
        <v>5</v>
      </c>
      <c r="G66" s="7">
        <f t="shared" si="6"/>
        <v>1</v>
      </c>
      <c r="H66" s="7">
        <f t="shared" si="6"/>
        <v>0</v>
      </c>
      <c r="I66" s="7">
        <f t="shared" si="6"/>
        <v>0</v>
      </c>
      <c r="J66" s="7">
        <f t="shared" si="6"/>
        <v>0</v>
      </c>
      <c r="K66" s="7">
        <f t="shared" si="6"/>
        <v>0</v>
      </c>
    </row>
    <row r="67" spans="1:11" ht="25.5" x14ac:dyDescent="0.25">
      <c r="A67" s="4" t="e">
        <f t="shared" si="4"/>
        <v>#REF!</v>
      </c>
      <c r="B67" s="5" t="s">
        <v>879</v>
      </c>
      <c r="C67" s="5" t="s">
        <v>880</v>
      </c>
      <c r="D67" s="6"/>
      <c r="E67" s="7"/>
      <c r="F67" s="7" t="s">
        <v>5</v>
      </c>
      <c r="G67" s="7">
        <f t="shared" si="6"/>
        <v>1</v>
      </c>
      <c r="H67" s="7">
        <f t="shared" si="6"/>
        <v>0</v>
      </c>
      <c r="I67" s="7">
        <f t="shared" si="6"/>
        <v>0</v>
      </c>
      <c r="J67" s="7">
        <f t="shared" si="6"/>
        <v>0</v>
      </c>
      <c r="K67" s="7">
        <f t="shared" si="6"/>
        <v>0</v>
      </c>
    </row>
    <row r="68" spans="1:11" ht="25.5" x14ac:dyDescent="0.25">
      <c r="A68" s="4" t="e">
        <f t="shared" si="4"/>
        <v>#REF!</v>
      </c>
      <c r="B68" s="5" t="s">
        <v>482</v>
      </c>
      <c r="C68" s="5" t="s">
        <v>881</v>
      </c>
      <c r="D68" s="6"/>
      <c r="E68" s="7"/>
      <c r="F68" s="7" t="s">
        <v>5</v>
      </c>
      <c r="G68" s="7">
        <f t="shared" si="6"/>
        <v>1</v>
      </c>
      <c r="H68" s="7">
        <f t="shared" si="6"/>
        <v>0</v>
      </c>
      <c r="I68" s="7">
        <f t="shared" si="6"/>
        <v>0</v>
      </c>
      <c r="J68" s="7">
        <f t="shared" si="6"/>
        <v>0</v>
      </c>
      <c r="K68" s="7">
        <f t="shared" si="6"/>
        <v>0</v>
      </c>
    </row>
    <row r="69" spans="1:11" x14ac:dyDescent="0.25">
      <c r="A69" s="4" t="e">
        <f t="shared" si="4"/>
        <v>#REF!</v>
      </c>
      <c r="B69" s="5"/>
      <c r="C69" s="22"/>
      <c r="D69" s="117"/>
      <c r="E69" s="7"/>
      <c r="F69" s="7"/>
      <c r="G69" s="7"/>
      <c r="H69" s="7"/>
      <c r="I69" s="7"/>
      <c r="J69" s="7"/>
      <c r="K69" s="7"/>
    </row>
    <row r="70" spans="1:11" x14ac:dyDescent="0.25">
      <c r="A70" s="4" t="e">
        <f t="shared" si="4"/>
        <v>#REF!</v>
      </c>
      <c r="B70" s="5"/>
      <c r="C70" s="22"/>
      <c r="D70" s="117"/>
      <c r="E70" s="7"/>
      <c r="F70" s="7"/>
      <c r="G70" s="7"/>
      <c r="H70" s="7"/>
      <c r="I70" s="7"/>
      <c r="J70" s="7"/>
      <c r="K70" s="7"/>
    </row>
    <row r="71" spans="1:11" x14ac:dyDescent="0.25">
      <c r="A71" s="4" t="e">
        <f t="shared" si="4"/>
        <v>#REF!</v>
      </c>
      <c r="B71" s="16" t="s">
        <v>882</v>
      </c>
      <c r="C71" s="16"/>
      <c r="D71" s="17"/>
      <c r="E71" s="7"/>
      <c r="F71" s="7"/>
      <c r="G71" s="7"/>
      <c r="H71" s="7"/>
      <c r="I71" s="7"/>
      <c r="J71" s="7"/>
      <c r="K71" s="7"/>
    </row>
    <row r="72" spans="1:11" ht="25.5" x14ac:dyDescent="0.25">
      <c r="A72" s="4" t="e">
        <f t="shared" si="4"/>
        <v>#REF!</v>
      </c>
      <c r="B72" s="6" t="s">
        <v>572</v>
      </c>
      <c r="C72" s="5" t="s">
        <v>569</v>
      </c>
      <c r="D72" s="115" t="s">
        <v>883</v>
      </c>
      <c r="E72" s="7"/>
      <c r="F72" s="7" t="s">
        <v>5</v>
      </c>
      <c r="G72" s="7">
        <f t="shared" ref="G72:K75" si="7">IF($F72=G$1,1,0)</f>
        <v>1</v>
      </c>
      <c r="H72" s="7">
        <f t="shared" si="7"/>
        <v>0</v>
      </c>
      <c r="I72" s="7">
        <f t="shared" si="7"/>
        <v>0</v>
      </c>
      <c r="J72" s="7">
        <f t="shared" si="7"/>
        <v>0</v>
      </c>
      <c r="K72" s="7">
        <f t="shared" si="7"/>
        <v>0</v>
      </c>
    </row>
    <row r="73" spans="1:11" ht="30" x14ac:dyDescent="0.25">
      <c r="A73" s="4" t="e">
        <f t="shared" si="4"/>
        <v>#REF!</v>
      </c>
      <c r="B73" s="6"/>
      <c r="C73" s="5" t="s">
        <v>570</v>
      </c>
      <c r="D73" s="117" t="s">
        <v>915</v>
      </c>
      <c r="E73" s="7"/>
      <c r="F73" s="7" t="s">
        <v>5</v>
      </c>
      <c r="G73" s="7">
        <f t="shared" si="7"/>
        <v>1</v>
      </c>
      <c r="H73" s="7">
        <f t="shared" si="7"/>
        <v>0</v>
      </c>
      <c r="I73" s="7">
        <f t="shared" si="7"/>
        <v>0</v>
      </c>
      <c r="J73" s="7">
        <f t="shared" si="7"/>
        <v>0</v>
      </c>
      <c r="K73" s="7">
        <f t="shared" si="7"/>
        <v>0</v>
      </c>
    </row>
    <row r="74" spans="1:11" ht="30" x14ac:dyDescent="0.25">
      <c r="A74" s="4" t="e">
        <f t="shared" si="4"/>
        <v>#REF!</v>
      </c>
      <c r="B74" s="6"/>
      <c r="C74" s="5" t="s">
        <v>571</v>
      </c>
      <c r="D74" s="117" t="s">
        <v>915</v>
      </c>
      <c r="E74" s="7"/>
      <c r="F74" s="7" t="s">
        <v>5</v>
      </c>
      <c r="G74" s="7">
        <f t="shared" si="7"/>
        <v>1</v>
      </c>
      <c r="H74" s="7">
        <f t="shared" si="7"/>
        <v>0</v>
      </c>
      <c r="I74" s="7">
        <f t="shared" si="7"/>
        <v>0</v>
      </c>
      <c r="J74" s="7">
        <f t="shared" si="7"/>
        <v>0</v>
      </c>
      <c r="K74" s="7">
        <f t="shared" si="7"/>
        <v>0</v>
      </c>
    </row>
    <row r="75" spans="1:11" ht="30" x14ac:dyDescent="0.25">
      <c r="A75" s="4" t="e">
        <f t="shared" si="4"/>
        <v>#REF!</v>
      </c>
      <c r="B75" s="6"/>
      <c r="C75" s="5" t="s">
        <v>573</v>
      </c>
      <c r="D75" s="117" t="s">
        <v>915</v>
      </c>
      <c r="E75" s="7"/>
      <c r="F75" s="7" t="s">
        <v>5</v>
      </c>
      <c r="G75" s="7">
        <f t="shared" si="7"/>
        <v>1</v>
      </c>
      <c r="H75" s="7">
        <f t="shared" si="7"/>
        <v>0</v>
      </c>
      <c r="I75" s="7">
        <f t="shared" si="7"/>
        <v>0</v>
      </c>
      <c r="J75" s="7">
        <f t="shared" si="7"/>
        <v>0</v>
      </c>
      <c r="K75" s="7">
        <f t="shared" si="7"/>
        <v>0</v>
      </c>
    </row>
    <row r="76" spans="1:11" x14ac:dyDescent="0.25">
      <c r="A76" s="4" t="e">
        <f t="shared" si="4"/>
        <v>#REF!</v>
      </c>
      <c r="B76" s="6"/>
      <c r="C76" s="23"/>
      <c r="D76" s="117"/>
      <c r="E76" s="7"/>
      <c r="F76" s="7"/>
      <c r="G76" s="7"/>
      <c r="H76" s="7"/>
      <c r="I76" s="7"/>
      <c r="J76" s="7"/>
      <c r="K76" s="7"/>
    </row>
    <row r="77" spans="1:11" x14ac:dyDescent="0.25">
      <c r="A77" s="4" t="e">
        <f t="shared" si="4"/>
        <v>#REF!</v>
      </c>
      <c r="B77" s="6"/>
      <c r="C77" s="23"/>
      <c r="D77" s="117"/>
      <c r="E77" s="7"/>
      <c r="F77" s="7"/>
      <c r="G77" s="7"/>
      <c r="H77" s="7"/>
      <c r="I77" s="7"/>
      <c r="J77" s="7"/>
      <c r="K77" s="7"/>
    </row>
    <row r="78" spans="1:11" x14ac:dyDescent="0.25">
      <c r="A78" s="4" t="e">
        <f t="shared" si="4"/>
        <v>#REF!</v>
      </c>
      <c r="B78" s="16" t="s">
        <v>909</v>
      </c>
      <c r="C78" s="16"/>
      <c r="D78" s="17"/>
      <c r="E78" s="7"/>
      <c r="F78" s="7"/>
      <c r="G78" s="7"/>
      <c r="H78" s="7"/>
      <c r="I78" s="7"/>
      <c r="J78" s="7"/>
      <c r="K78" s="7"/>
    </row>
    <row r="79" spans="1:11" x14ac:dyDescent="0.25">
      <c r="A79" s="4" t="e">
        <f t="shared" si="4"/>
        <v>#REF!</v>
      </c>
      <c r="B79" s="96" t="s">
        <v>555</v>
      </c>
      <c r="C79" s="5" t="s">
        <v>556</v>
      </c>
      <c r="D79" s="117"/>
      <c r="E79" s="7"/>
      <c r="F79" s="7" t="s">
        <v>5</v>
      </c>
      <c r="G79" s="7">
        <f t="shared" ref="G79:K86" si="8">IF($F79=G$1,1,0)</f>
        <v>1</v>
      </c>
      <c r="H79" s="7">
        <f t="shared" si="8"/>
        <v>0</v>
      </c>
      <c r="I79" s="7">
        <f t="shared" si="8"/>
        <v>0</v>
      </c>
      <c r="J79" s="7">
        <f t="shared" si="8"/>
        <v>0</v>
      </c>
      <c r="K79" s="7">
        <f t="shared" si="8"/>
        <v>0</v>
      </c>
    </row>
    <row r="80" spans="1:11" x14ac:dyDescent="0.25">
      <c r="A80" s="4" t="e">
        <f t="shared" si="4"/>
        <v>#REF!</v>
      </c>
      <c r="B80" s="6"/>
      <c r="C80" s="5" t="s">
        <v>557</v>
      </c>
      <c r="D80" s="117" t="s">
        <v>461</v>
      </c>
      <c r="E80" s="7"/>
      <c r="F80" s="7" t="s">
        <v>5</v>
      </c>
      <c r="G80" s="7">
        <f t="shared" si="8"/>
        <v>1</v>
      </c>
      <c r="H80" s="7">
        <f t="shared" si="8"/>
        <v>0</v>
      </c>
      <c r="I80" s="7">
        <f t="shared" si="8"/>
        <v>0</v>
      </c>
      <c r="J80" s="7">
        <f t="shared" si="8"/>
        <v>0</v>
      </c>
      <c r="K80" s="7">
        <f t="shared" si="8"/>
        <v>0</v>
      </c>
    </row>
    <row r="81" spans="1:11" x14ac:dyDescent="0.25">
      <c r="A81" s="4" t="e">
        <f t="shared" si="4"/>
        <v>#REF!</v>
      </c>
      <c r="B81" s="6"/>
      <c r="C81" s="5" t="s">
        <v>574</v>
      </c>
      <c r="D81" s="117"/>
      <c r="E81" s="7"/>
      <c r="F81" s="7" t="s">
        <v>5</v>
      </c>
      <c r="G81" s="7">
        <f t="shared" si="8"/>
        <v>1</v>
      </c>
      <c r="H81" s="7">
        <f t="shared" si="8"/>
        <v>0</v>
      </c>
      <c r="I81" s="7">
        <f t="shared" si="8"/>
        <v>0</v>
      </c>
      <c r="J81" s="7">
        <f t="shared" si="8"/>
        <v>0</v>
      </c>
      <c r="K81" s="7">
        <f t="shared" si="8"/>
        <v>0</v>
      </c>
    </row>
    <row r="82" spans="1:11" x14ac:dyDescent="0.25">
      <c r="A82" s="4" t="e">
        <f t="shared" si="4"/>
        <v>#REF!</v>
      </c>
      <c r="B82" s="6"/>
      <c r="C82" s="5" t="s">
        <v>575</v>
      </c>
      <c r="D82" s="117"/>
      <c r="E82" s="7"/>
      <c r="F82" s="7" t="s">
        <v>5</v>
      </c>
      <c r="G82" s="7">
        <f t="shared" si="8"/>
        <v>1</v>
      </c>
      <c r="H82" s="7">
        <f t="shared" si="8"/>
        <v>0</v>
      </c>
      <c r="I82" s="7">
        <f t="shared" si="8"/>
        <v>0</v>
      </c>
      <c r="J82" s="7">
        <f t="shared" si="8"/>
        <v>0</v>
      </c>
      <c r="K82" s="7">
        <f t="shared" si="8"/>
        <v>0</v>
      </c>
    </row>
    <row r="83" spans="1:11" x14ac:dyDescent="0.25">
      <c r="A83" s="4" t="e">
        <f t="shared" si="4"/>
        <v>#REF!</v>
      </c>
      <c r="B83" s="6"/>
      <c r="C83" s="5" t="s">
        <v>910</v>
      </c>
      <c r="D83" s="117"/>
      <c r="E83" s="7"/>
      <c r="F83" s="7" t="s">
        <v>5</v>
      </c>
      <c r="G83" s="7">
        <f t="shared" si="8"/>
        <v>1</v>
      </c>
      <c r="H83" s="7">
        <f t="shared" si="8"/>
        <v>0</v>
      </c>
      <c r="I83" s="7">
        <f t="shared" si="8"/>
        <v>0</v>
      </c>
      <c r="J83" s="7">
        <f t="shared" si="8"/>
        <v>0</v>
      </c>
      <c r="K83" s="7">
        <f t="shared" si="8"/>
        <v>0</v>
      </c>
    </row>
    <row r="84" spans="1:11" x14ac:dyDescent="0.25">
      <c r="A84" s="4" t="e">
        <f t="shared" si="4"/>
        <v>#REF!</v>
      </c>
      <c r="B84" s="6"/>
      <c r="C84" s="5" t="s">
        <v>577</v>
      </c>
      <c r="D84" s="117"/>
      <c r="E84" s="7"/>
      <c r="F84" s="7" t="s">
        <v>5</v>
      </c>
      <c r="G84" s="7">
        <f t="shared" si="8"/>
        <v>1</v>
      </c>
      <c r="H84" s="7">
        <f t="shared" si="8"/>
        <v>0</v>
      </c>
      <c r="I84" s="7">
        <f t="shared" si="8"/>
        <v>0</v>
      </c>
      <c r="J84" s="7">
        <f t="shared" si="8"/>
        <v>0</v>
      </c>
      <c r="K84" s="7">
        <f t="shared" si="8"/>
        <v>0</v>
      </c>
    </row>
    <row r="85" spans="1:11" x14ac:dyDescent="0.25">
      <c r="A85" s="4" t="e">
        <f t="shared" si="4"/>
        <v>#REF!</v>
      </c>
      <c r="B85" s="6"/>
      <c r="C85" s="5" t="s">
        <v>578</v>
      </c>
      <c r="D85" s="117"/>
      <c r="E85" s="7"/>
      <c r="F85" s="7" t="s">
        <v>5</v>
      </c>
      <c r="G85" s="7">
        <f t="shared" si="8"/>
        <v>1</v>
      </c>
      <c r="H85" s="7">
        <f t="shared" si="8"/>
        <v>0</v>
      </c>
      <c r="I85" s="7">
        <f t="shared" si="8"/>
        <v>0</v>
      </c>
      <c r="J85" s="7">
        <f t="shared" si="8"/>
        <v>0</v>
      </c>
      <c r="K85" s="7">
        <f t="shared" si="8"/>
        <v>0</v>
      </c>
    </row>
    <row r="86" spans="1:11" x14ac:dyDescent="0.25">
      <c r="A86" s="4" t="e">
        <f t="shared" si="4"/>
        <v>#REF!</v>
      </c>
      <c r="B86" s="6"/>
      <c r="C86" s="5" t="s">
        <v>579</v>
      </c>
      <c r="D86" s="117"/>
      <c r="E86" s="7"/>
      <c r="F86" s="7" t="s">
        <v>5</v>
      </c>
      <c r="G86" s="7">
        <f t="shared" si="8"/>
        <v>1</v>
      </c>
      <c r="H86" s="7">
        <f t="shared" si="8"/>
        <v>0</v>
      </c>
      <c r="I86" s="7">
        <f t="shared" si="8"/>
        <v>0</v>
      </c>
      <c r="J86" s="7">
        <f t="shared" si="8"/>
        <v>0</v>
      </c>
      <c r="K86" s="7">
        <f t="shared" si="8"/>
        <v>0</v>
      </c>
    </row>
    <row r="87" spans="1:11" x14ac:dyDescent="0.25">
      <c r="A87" s="4" t="e">
        <f t="shared" si="4"/>
        <v>#REF!</v>
      </c>
      <c r="B87" s="6"/>
      <c r="C87" s="5"/>
      <c r="D87" s="117"/>
      <c r="E87" s="7"/>
      <c r="F87" s="7"/>
      <c r="G87" s="7"/>
      <c r="H87" s="7"/>
      <c r="I87" s="7"/>
      <c r="J87" s="7"/>
      <c r="K87" s="7"/>
    </row>
    <row r="88" spans="1:11" x14ac:dyDescent="0.25">
      <c r="A88" s="4" t="e">
        <f t="shared" si="4"/>
        <v>#REF!</v>
      </c>
      <c r="B88" s="5"/>
      <c r="C88" s="5"/>
      <c r="D88" s="117"/>
      <c r="E88" s="7"/>
      <c r="F88" s="7"/>
      <c r="G88" s="7"/>
      <c r="H88" s="7"/>
      <c r="I88" s="7"/>
      <c r="J88" s="7"/>
      <c r="K88" s="7"/>
    </row>
    <row r="89" spans="1:11" x14ac:dyDescent="0.25">
      <c r="A89" s="4" t="e">
        <f t="shared" si="4"/>
        <v>#REF!</v>
      </c>
      <c r="B89" s="5"/>
      <c r="C89" s="5"/>
      <c r="D89" s="117"/>
      <c r="E89" s="7"/>
      <c r="F89" s="7"/>
      <c r="G89" s="7"/>
      <c r="H89" s="7"/>
      <c r="I89" s="7"/>
      <c r="J89" s="7"/>
      <c r="K89" s="7"/>
    </row>
    <row r="90" spans="1:11" x14ac:dyDescent="0.25">
      <c r="A90" s="4" t="e">
        <f t="shared" si="4"/>
        <v>#REF!</v>
      </c>
      <c r="B90" s="96" t="s">
        <v>560</v>
      </c>
      <c r="C90" s="63" t="s">
        <v>884</v>
      </c>
      <c r="D90" s="117"/>
      <c r="E90" s="7"/>
      <c r="F90" s="7" t="s">
        <v>5</v>
      </c>
      <c r="G90" s="7">
        <f t="shared" ref="G90:K93" si="9">IF($F90=G$1,1,0)</f>
        <v>1</v>
      </c>
      <c r="H90" s="7">
        <f t="shared" si="9"/>
        <v>0</v>
      </c>
      <c r="I90" s="7">
        <f t="shared" si="9"/>
        <v>0</v>
      </c>
      <c r="J90" s="7">
        <f t="shared" si="9"/>
        <v>0</v>
      </c>
      <c r="K90" s="7">
        <f t="shared" si="9"/>
        <v>0</v>
      </c>
    </row>
    <row r="91" spans="1:11" x14ac:dyDescent="0.25">
      <c r="A91" s="4" t="e">
        <f t="shared" si="4"/>
        <v>#REF!</v>
      </c>
      <c r="B91" s="6"/>
      <c r="C91" s="5" t="s">
        <v>584</v>
      </c>
      <c r="D91" s="117"/>
      <c r="E91" s="7"/>
      <c r="F91" s="7" t="s">
        <v>5</v>
      </c>
      <c r="G91" s="7">
        <f t="shared" si="9"/>
        <v>1</v>
      </c>
      <c r="H91" s="7">
        <f t="shared" si="9"/>
        <v>0</v>
      </c>
      <c r="I91" s="7">
        <f t="shared" si="9"/>
        <v>0</v>
      </c>
      <c r="J91" s="7">
        <f t="shared" si="9"/>
        <v>0</v>
      </c>
      <c r="K91" s="7">
        <f t="shared" si="9"/>
        <v>0</v>
      </c>
    </row>
    <row r="92" spans="1:11" x14ac:dyDescent="0.25">
      <c r="A92" s="4" t="e">
        <f t="shared" si="4"/>
        <v>#REF!</v>
      </c>
      <c r="B92" s="6"/>
      <c r="C92" s="5" t="s">
        <v>585</v>
      </c>
      <c r="D92" s="117"/>
      <c r="E92" s="7"/>
      <c r="F92" s="7" t="s">
        <v>5</v>
      </c>
      <c r="G92" s="7">
        <f t="shared" si="9"/>
        <v>1</v>
      </c>
      <c r="H92" s="7">
        <f t="shared" si="9"/>
        <v>0</v>
      </c>
      <c r="I92" s="7">
        <f t="shared" si="9"/>
        <v>0</v>
      </c>
      <c r="J92" s="7">
        <f t="shared" si="9"/>
        <v>0</v>
      </c>
      <c r="K92" s="7">
        <f t="shared" si="9"/>
        <v>0</v>
      </c>
    </row>
    <row r="93" spans="1:11" x14ac:dyDescent="0.25">
      <c r="A93" s="4" t="e">
        <f t="shared" si="4"/>
        <v>#REF!</v>
      </c>
      <c r="B93" s="6"/>
      <c r="C93" s="5" t="s">
        <v>562</v>
      </c>
      <c r="D93" s="117"/>
      <c r="E93" s="7"/>
      <c r="F93" s="7" t="s">
        <v>5</v>
      </c>
      <c r="G93" s="7">
        <f t="shared" si="9"/>
        <v>1</v>
      </c>
      <c r="H93" s="7">
        <f t="shared" si="9"/>
        <v>0</v>
      </c>
      <c r="I93" s="7">
        <f t="shared" si="9"/>
        <v>0</v>
      </c>
      <c r="J93" s="7">
        <f t="shared" si="9"/>
        <v>0</v>
      </c>
      <c r="K93" s="7">
        <f t="shared" si="9"/>
        <v>0</v>
      </c>
    </row>
    <row r="94" spans="1:11" x14ac:dyDescent="0.25">
      <c r="A94" s="4" t="e">
        <f t="shared" si="4"/>
        <v>#REF!</v>
      </c>
      <c r="B94" s="6"/>
      <c r="C94" s="5"/>
      <c r="D94" s="117"/>
      <c r="E94" s="7"/>
      <c r="F94" s="7"/>
      <c r="G94" s="7"/>
      <c r="H94" s="7"/>
      <c r="I94" s="7"/>
      <c r="J94" s="7"/>
      <c r="K94" s="7"/>
    </row>
    <row r="95" spans="1:11" x14ac:dyDescent="0.25">
      <c r="A95" s="4" t="e">
        <f t="shared" si="4"/>
        <v>#REF!</v>
      </c>
      <c r="B95" s="6"/>
      <c r="C95" s="5" t="s">
        <v>591</v>
      </c>
      <c r="D95" s="117" t="s">
        <v>885</v>
      </c>
      <c r="E95" s="7"/>
      <c r="F95" s="7" t="s">
        <v>5</v>
      </c>
      <c r="G95" s="7"/>
      <c r="H95" s="7"/>
      <c r="I95" s="7"/>
      <c r="J95" s="7"/>
      <c r="K95" s="7"/>
    </row>
    <row r="96" spans="1:11" x14ac:dyDescent="0.25">
      <c r="A96" s="4" t="e">
        <f t="shared" si="4"/>
        <v>#REF!</v>
      </c>
      <c r="B96" s="6"/>
      <c r="C96" s="5" t="s">
        <v>886</v>
      </c>
      <c r="D96" s="117" t="s">
        <v>887</v>
      </c>
      <c r="E96" s="7"/>
      <c r="F96" s="7" t="s">
        <v>5</v>
      </c>
      <c r="G96" s="7">
        <f t="shared" ref="G96:K102" si="10">IF($F96=G$1,1,0)</f>
        <v>1</v>
      </c>
      <c r="H96" s="7">
        <f t="shared" si="10"/>
        <v>0</v>
      </c>
      <c r="I96" s="7">
        <f t="shared" si="10"/>
        <v>0</v>
      </c>
      <c r="J96" s="7">
        <f t="shared" si="10"/>
        <v>0</v>
      </c>
      <c r="K96" s="7">
        <f t="shared" si="10"/>
        <v>0</v>
      </c>
    </row>
    <row r="97" spans="1:11" ht="30" x14ac:dyDescent="0.25">
      <c r="A97" s="4" t="e">
        <f t="shared" si="4"/>
        <v>#REF!</v>
      </c>
      <c r="B97" s="6"/>
      <c r="C97" s="5" t="s">
        <v>866</v>
      </c>
      <c r="D97" s="117" t="s">
        <v>888</v>
      </c>
      <c r="E97" s="7"/>
      <c r="F97" s="7" t="s">
        <v>7</v>
      </c>
      <c r="G97" s="7">
        <f t="shared" si="10"/>
        <v>0</v>
      </c>
      <c r="H97" s="7">
        <f t="shared" si="10"/>
        <v>0</v>
      </c>
      <c r="I97" s="7">
        <f t="shared" si="10"/>
        <v>0</v>
      </c>
      <c r="J97" s="7">
        <f t="shared" si="10"/>
        <v>1</v>
      </c>
      <c r="K97" s="7">
        <f t="shared" si="10"/>
        <v>0</v>
      </c>
    </row>
    <row r="98" spans="1:11" x14ac:dyDescent="0.25">
      <c r="A98" s="4" t="e">
        <f t="shared" si="4"/>
        <v>#REF!</v>
      </c>
      <c r="B98" s="6"/>
      <c r="C98" s="5" t="s">
        <v>588</v>
      </c>
      <c r="D98" s="117" t="s">
        <v>911</v>
      </c>
      <c r="E98" s="7"/>
      <c r="F98" s="7" t="s">
        <v>5</v>
      </c>
      <c r="G98" s="7">
        <f t="shared" si="10"/>
        <v>1</v>
      </c>
      <c r="H98" s="7">
        <f t="shared" si="10"/>
        <v>0</v>
      </c>
      <c r="I98" s="7">
        <f t="shared" si="10"/>
        <v>0</v>
      </c>
      <c r="J98" s="7">
        <f t="shared" si="10"/>
        <v>0</v>
      </c>
      <c r="K98" s="7">
        <f t="shared" si="10"/>
        <v>0</v>
      </c>
    </row>
    <row r="99" spans="1:11" ht="25.5" x14ac:dyDescent="0.25">
      <c r="A99" s="4" t="e">
        <f>A98+0.0001</f>
        <v>#REF!</v>
      </c>
      <c r="B99" s="6"/>
      <c r="C99" s="5" t="s">
        <v>891</v>
      </c>
      <c r="D99" s="117"/>
      <c r="E99" s="7"/>
      <c r="F99" s="7" t="s">
        <v>5</v>
      </c>
      <c r="G99" s="7">
        <f t="shared" si="10"/>
        <v>1</v>
      </c>
      <c r="H99" s="7">
        <f t="shared" si="10"/>
        <v>0</v>
      </c>
      <c r="I99" s="7">
        <f t="shared" si="10"/>
        <v>0</v>
      </c>
      <c r="J99" s="7">
        <f t="shared" si="10"/>
        <v>0</v>
      </c>
      <c r="K99" s="7">
        <f t="shared" si="10"/>
        <v>0</v>
      </c>
    </row>
    <row r="100" spans="1:11" x14ac:dyDescent="0.25">
      <c r="A100" s="4"/>
      <c r="B100" s="6"/>
      <c r="C100" s="5" t="s">
        <v>912</v>
      </c>
      <c r="D100" s="117"/>
      <c r="E100" s="7"/>
      <c r="F100" s="7" t="s">
        <v>5</v>
      </c>
      <c r="G100" s="7">
        <f t="shared" si="10"/>
        <v>1</v>
      </c>
      <c r="H100" s="7">
        <f t="shared" si="10"/>
        <v>0</v>
      </c>
      <c r="I100" s="7">
        <f t="shared" si="10"/>
        <v>0</v>
      </c>
      <c r="J100" s="7">
        <f t="shared" si="10"/>
        <v>0</v>
      </c>
      <c r="K100" s="7">
        <f t="shared" si="10"/>
        <v>0</v>
      </c>
    </row>
    <row r="101" spans="1:11" x14ac:dyDescent="0.25">
      <c r="A101" s="4"/>
      <c r="B101" s="6"/>
      <c r="C101" s="5" t="s">
        <v>904</v>
      </c>
      <c r="D101" s="117" t="s">
        <v>461</v>
      </c>
      <c r="E101" s="7"/>
      <c r="F101" s="7" t="s">
        <v>5</v>
      </c>
      <c r="G101" s="7">
        <f t="shared" si="10"/>
        <v>1</v>
      </c>
      <c r="H101" s="7">
        <f t="shared" si="10"/>
        <v>0</v>
      </c>
      <c r="I101" s="7">
        <f t="shared" si="10"/>
        <v>0</v>
      </c>
      <c r="J101" s="7">
        <f t="shared" si="10"/>
        <v>0</v>
      </c>
      <c r="K101" s="7">
        <f t="shared" si="10"/>
        <v>0</v>
      </c>
    </row>
    <row r="102" spans="1:11" ht="25.5" x14ac:dyDescent="0.25">
      <c r="A102" s="4" t="e">
        <f>A99+0.0001</f>
        <v>#REF!</v>
      </c>
      <c r="B102" s="5"/>
      <c r="C102" s="5" t="s">
        <v>586</v>
      </c>
      <c r="D102" s="150" t="s">
        <v>890</v>
      </c>
      <c r="E102" s="7"/>
      <c r="F102" s="7" t="s">
        <v>7</v>
      </c>
      <c r="G102" s="7">
        <f t="shared" si="10"/>
        <v>0</v>
      </c>
      <c r="H102" s="7">
        <f t="shared" si="10"/>
        <v>0</v>
      </c>
      <c r="I102" s="7">
        <f t="shared" si="10"/>
        <v>0</v>
      </c>
      <c r="J102" s="7">
        <f t="shared" si="10"/>
        <v>1</v>
      </c>
      <c r="K102" s="7">
        <f t="shared" si="10"/>
        <v>0</v>
      </c>
    </row>
    <row r="103" spans="1:11" x14ac:dyDescent="0.25">
      <c r="A103" s="4" t="e">
        <f>A102+0.0001</f>
        <v>#REF!</v>
      </c>
      <c r="B103" s="5"/>
      <c r="C103" s="22"/>
      <c r="D103" s="117"/>
      <c r="E103" s="7"/>
      <c r="F103" s="7"/>
      <c r="G103" s="7"/>
      <c r="H103" s="7"/>
      <c r="I103" s="7"/>
      <c r="J103" s="7"/>
      <c r="K103" s="7"/>
    </row>
    <row r="104" spans="1:11" x14ac:dyDescent="0.25">
      <c r="A104" s="4">
        <v>66666644</v>
      </c>
      <c r="B104" s="16" t="s">
        <v>647</v>
      </c>
      <c r="C104" s="17" t="s">
        <v>648</v>
      </c>
      <c r="D104" s="17"/>
      <c r="E104" s="7"/>
      <c r="F104" s="7"/>
      <c r="G104" s="7"/>
      <c r="H104" s="7"/>
      <c r="I104" s="7"/>
      <c r="J104" s="7"/>
      <c r="K104" s="7"/>
    </row>
    <row r="105" spans="1:11" ht="51" x14ac:dyDescent="0.25">
      <c r="A105" s="4">
        <f t="shared" si="4"/>
        <v>66666644.000100002</v>
      </c>
      <c r="B105" s="103" t="s">
        <v>742</v>
      </c>
      <c r="C105" s="104" t="s">
        <v>738</v>
      </c>
      <c r="D105" s="115" t="s">
        <v>754</v>
      </c>
      <c r="E105" s="7"/>
      <c r="F105" s="7" t="s">
        <v>8</v>
      </c>
      <c r="G105" s="7">
        <f>IF($F105=G$1,1,0)</f>
        <v>0</v>
      </c>
      <c r="H105" s="7">
        <f>IF($F105=H$1,1,0)</f>
        <v>0</v>
      </c>
      <c r="I105" s="7">
        <f>IF($F105=I$1,1,0)</f>
        <v>0</v>
      </c>
      <c r="J105" s="7">
        <f>IF($F105=J$1,1,0)</f>
        <v>0</v>
      </c>
      <c r="K105" s="7">
        <f>IF($F105=K$1,1,0)</f>
        <v>1</v>
      </c>
    </row>
    <row r="106" spans="1:11" x14ac:dyDescent="0.25">
      <c r="A106" s="4">
        <f t="shared" si="4"/>
        <v>66666644.000200003</v>
      </c>
      <c r="B106" s="6"/>
      <c r="C106" s="5"/>
      <c r="D106" s="117"/>
      <c r="E106" s="7"/>
      <c r="F106" s="7"/>
      <c r="G106" s="7"/>
      <c r="H106" s="7"/>
      <c r="I106" s="7"/>
      <c r="J106" s="7"/>
      <c r="K106" s="7"/>
    </row>
    <row r="107" spans="1:11" x14ac:dyDescent="0.25">
      <c r="A107" s="4">
        <f t="shared" si="4"/>
        <v>66666644.000300005</v>
      </c>
      <c r="B107" s="6"/>
      <c r="C107" s="5"/>
      <c r="D107" s="117"/>
      <c r="E107" s="7"/>
      <c r="F107" s="7"/>
      <c r="G107" s="7"/>
      <c r="H107" s="7"/>
      <c r="I107" s="7"/>
      <c r="J107" s="7"/>
      <c r="K107" s="7"/>
    </row>
    <row r="108" spans="1:11" ht="15.75" thickBot="1" x14ac:dyDescent="0.3">
      <c r="G108" s="95">
        <f>SUM(G31:G107)</f>
        <v>47</v>
      </c>
      <c r="H108" s="95">
        <f>SUM(H31:H107)</f>
        <v>0</v>
      </c>
      <c r="I108" s="95">
        <f>SUM(I31:I107)</f>
        <v>0</v>
      </c>
      <c r="J108" s="95">
        <f>SUM(J31:J107)</f>
        <v>4</v>
      </c>
      <c r="K108" s="95">
        <f>SUM(K31:K107)</f>
        <v>1</v>
      </c>
    </row>
    <row r="109" spans="1:11" ht="15.75" thickTop="1" x14ac:dyDescent="0.25"/>
  </sheetData>
  <mergeCells count="1">
    <mergeCell ref="B2:C2"/>
  </mergeCells>
  <conditionalFormatting sqref="E30 G30:K30 L29:L30 B106:C107 G4:K4 F5:K5 L3:L21 A4:E4 F31:K31 A5:A61 F9:K9 G8:K8 F11:K11 G10:K10 F19:K19 G12:K18 F40:K42 G32:K39 F54:K55 G43:K53 F60:K61 G56:K59 D14:D15 F104:K107 A104:A107 F7:K7 G6:K6">
    <cfRule type="expression" dxfId="184" priority="157">
      <formula>$F3="Fail"</formula>
    </cfRule>
  </conditionalFormatting>
  <conditionalFormatting sqref="A3:K3">
    <cfRule type="expression" dxfId="183" priority="156">
      <formula>$F3="Fail"</formula>
    </cfRule>
  </conditionalFormatting>
  <conditionalFormatting sqref="E29 G29:K29">
    <cfRule type="expression" dxfId="182" priority="155">
      <formula>$F29="Fail"</formula>
    </cfRule>
  </conditionalFormatting>
  <conditionalFormatting sqref="E20:K20 E5:E19">
    <cfRule type="expression" dxfId="181" priority="154">
      <formula>$F5="Fail"</formula>
    </cfRule>
  </conditionalFormatting>
  <conditionalFormatting sqref="E23:E28">
    <cfRule type="expression" dxfId="180" priority="153">
      <formula>$F23="Fail"</formula>
    </cfRule>
  </conditionalFormatting>
  <conditionalFormatting sqref="F4">
    <cfRule type="expression" dxfId="179" priority="150">
      <formula>$F4="Fail"</formula>
    </cfRule>
  </conditionalFormatting>
  <conditionalFormatting sqref="L22:L28">
    <cfRule type="expression" dxfId="178" priority="148">
      <formula>$F22="Fail"</formula>
    </cfRule>
  </conditionalFormatting>
  <conditionalFormatting sqref="G23:K28">
    <cfRule type="expression" dxfId="177" priority="137">
      <formula>$F23="Fail"</formula>
    </cfRule>
  </conditionalFormatting>
  <conditionalFormatting sqref="G108:K108">
    <cfRule type="expression" dxfId="176" priority="136">
      <formula>$F108="Fail"</formula>
    </cfRule>
  </conditionalFormatting>
  <conditionalFormatting sqref="B41:C42">
    <cfRule type="expression" dxfId="175" priority="133">
      <formula>$F41="Fail"</formula>
    </cfRule>
  </conditionalFormatting>
  <conditionalFormatting sqref="B54:C54 D43:D52 B43:B53">
    <cfRule type="expression" dxfId="174" priority="132">
      <formula>$F43="Fail"</formula>
    </cfRule>
  </conditionalFormatting>
  <conditionalFormatting sqref="D32:D37 D39:D42">
    <cfRule type="expression" dxfId="173" priority="135">
      <formula>$F32="Fail"</formula>
    </cfRule>
  </conditionalFormatting>
  <conditionalFormatting sqref="B32:C42">
    <cfRule type="expression" dxfId="172" priority="134">
      <formula>$F32="Fail"</formula>
    </cfRule>
  </conditionalFormatting>
  <conditionalFormatting sqref="B54:D54 B53">
    <cfRule type="expression" dxfId="171" priority="131">
      <formula>$F53="Fail"</formula>
    </cfRule>
  </conditionalFormatting>
  <conditionalFormatting sqref="C39">
    <cfRule type="expression" dxfId="170" priority="130">
      <formula>$F39="Fail"</formula>
    </cfRule>
  </conditionalFormatting>
  <conditionalFormatting sqref="C56:C61">
    <cfRule type="expression" dxfId="169" priority="114">
      <formula>$F56="Fail"</formula>
    </cfRule>
  </conditionalFormatting>
  <conditionalFormatting sqref="B55">
    <cfRule type="expression" dxfId="168" priority="113">
      <formula>$F55="Fail"</formula>
    </cfRule>
  </conditionalFormatting>
  <conditionalFormatting sqref="C55">
    <cfRule type="expression" dxfId="167" priority="112">
      <formula>$F55="Fail"</formula>
    </cfRule>
  </conditionalFormatting>
  <conditionalFormatting sqref="C59:C61">
    <cfRule type="expression" dxfId="166" priority="111">
      <formula>$F59="Fail"</formula>
    </cfRule>
  </conditionalFormatting>
  <conditionalFormatting sqref="C56:C61">
    <cfRule type="expression" dxfId="165" priority="115">
      <formula>$F56="Fail"</formula>
    </cfRule>
  </conditionalFormatting>
  <conditionalFormatting sqref="B56:C61">
    <cfRule type="expression" dxfId="164" priority="116">
      <formula>$F56="Fail"</formula>
    </cfRule>
  </conditionalFormatting>
  <conditionalFormatting sqref="C43:C52">
    <cfRule type="expression" dxfId="163" priority="92">
      <formula>$F43="Fail"</formula>
    </cfRule>
  </conditionalFormatting>
  <conditionalFormatting sqref="C107">
    <cfRule type="expression" dxfId="162" priority="97">
      <formula>$F107="Fail"</formula>
    </cfRule>
  </conditionalFormatting>
  <conditionalFormatting sqref="B31">
    <cfRule type="expression" dxfId="161" priority="96">
      <formula>$F31="Fail"</formula>
    </cfRule>
  </conditionalFormatting>
  <conditionalFormatting sqref="C31">
    <cfRule type="expression" dxfId="160" priority="95">
      <formula>$F31="Fail"</formula>
    </cfRule>
  </conditionalFormatting>
  <conditionalFormatting sqref="C43:C53">
    <cfRule type="expression" dxfId="159" priority="94">
      <formula>$F43="Fail"</formula>
    </cfRule>
  </conditionalFormatting>
  <conditionalFormatting sqref="C53">
    <cfRule type="expression" dxfId="158" priority="93">
      <formula>$F53="Fail"</formula>
    </cfRule>
  </conditionalFormatting>
  <conditionalFormatting sqref="B104:D104 B105:C105">
    <cfRule type="expression" dxfId="157" priority="90">
      <formula>$F104="Fail"</formula>
    </cfRule>
  </conditionalFormatting>
  <conditionalFormatting sqref="D105">
    <cfRule type="expression" dxfId="156" priority="89">
      <formula>$F105="Fail"</formula>
    </cfRule>
  </conditionalFormatting>
  <conditionalFormatting sqref="D55">
    <cfRule type="expression" dxfId="155" priority="86">
      <formula>$F55="Fail"</formula>
    </cfRule>
  </conditionalFormatting>
  <conditionalFormatting sqref="C30">
    <cfRule type="expression" dxfId="154" priority="71">
      <formula>$F30="Fail"</formula>
    </cfRule>
  </conditionalFormatting>
  <conditionalFormatting sqref="D31">
    <cfRule type="expression" dxfId="153" priority="84">
      <formula>$F31="Fail"</formula>
    </cfRule>
  </conditionalFormatting>
  <conditionalFormatting sqref="B18:C18">
    <cfRule type="expression" dxfId="152" priority="62">
      <formula>$F18="Fail"</formula>
    </cfRule>
  </conditionalFormatting>
  <conditionalFormatting sqref="D23:D28">
    <cfRule type="expression" dxfId="151" priority="80">
      <formula>$F23="Fail"</formula>
    </cfRule>
  </conditionalFormatting>
  <conditionalFormatting sqref="D29:D30">
    <cfRule type="expression" dxfId="150" priority="79">
      <formula>$F29="Fail"</formula>
    </cfRule>
  </conditionalFormatting>
  <conditionalFormatting sqref="B22 B24:C25 B27:C29 B30">
    <cfRule type="expression" dxfId="149" priority="78">
      <formula>$F22="Fail"</formula>
    </cfRule>
  </conditionalFormatting>
  <conditionalFormatting sqref="C20">
    <cfRule type="expression" dxfId="148" priority="77">
      <formula>$F20="Fail"</formula>
    </cfRule>
  </conditionalFormatting>
  <conditionalFormatting sqref="B20">
    <cfRule type="expression" dxfId="147" priority="76">
      <formula>$F20="Fail"</formula>
    </cfRule>
  </conditionalFormatting>
  <conditionalFormatting sqref="B21">
    <cfRule type="expression" dxfId="146" priority="75">
      <formula>$F21="Fail"</formula>
    </cfRule>
  </conditionalFormatting>
  <conditionalFormatting sqref="B23:C23">
    <cfRule type="expression" dxfId="145" priority="74">
      <formula>$F23="Fail"</formula>
    </cfRule>
  </conditionalFormatting>
  <conditionalFormatting sqref="B26:C26">
    <cfRule type="expression" dxfId="144" priority="73">
      <formula>$F26="Fail"</formula>
    </cfRule>
  </conditionalFormatting>
  <conditionalFormatting sqref="D20">
    <cfRule type="expression" dxfId="143" priority="72">
      <formula>$F20="Fail"</formula>
    </cfRule>
  </conditionalFormatting>
  <conditionalFormatting sqref="D6">
    <cfRule type="expression" dxfId="142" priority="68">
      <formula>$F6="Fail"</formula>
    </cfRule>
  </conditionalFormatting>
  <conditionalFormatting sqref="B5:C5 B16 B7:C15">
    <cfRule type="expression" dxfId="141" priority="66">
      <formula>$F5="Fail"</formula>
    </cfRule>
  </conditionalFormatting>
  <conditionalFormatting sqref="C16">
    <cfRule type="expression" dxfId="140" priority="63">
      <formula>$F16="Fail"</formula>
    </cfRule>
  </conditionalFormatting>
  <conditionalFormatting sqref="C17">
    <cfRule type="expression" dxfId="139" priority="59">
      <formula>$F17="Fail"</formula>
    </cfRule>
  </conditionalFormatting>
  <conditionalFormatting sqref="B19:C19 D18:D19">
    <cfRule type="expression" dxfId="138" priority="70">
      <formula>$F18="Fail"</formula>
    </cfRule>
  </conditionalFormatting>
  <conditionalFormatting sqref="D13">
    <cfRule type="expression" dxfId="137" priority="69">
      <formula>$F13="Fail"</formula>
    </cfRule>
  </conditionalFormatting>
  <conditionalFormatting sqref="D7:D12">
    <cfRule type="expression" dxfId="136" priority="67">
      <formula>$F7="Fail"</formula>
    </cfRule>
  </conditionalFormatting>
  <conditionalFormatting sqref="B6">
    <cfRule type="expression" dxfId="135" priority="65">
      <formula>$F6="Fail"</formula>
    </cfRule>
  </conditionalFormatting>
  <conditionalFormatting sqref="C6">
    <cfRule type="expression" dxfId="134" priority="64">
      <formula>$F6="Fail"</formula>
    </cfRule>
  </conditionalFormatting>
  <conditionalFormatting sqref="D5">
    <cfRule type="expression" dxfId="133" priority="61">
      <formula>$F5="Fail"</formula>
    </cfRule>
  </conditionalFormatting>
  <conditionalFormatting sqref="B17">
    <cfRule type="expression" dxfId="132" priority="60">
      <formula>$F17="Fail"</formula>
    </cfRule>
  </conditionalFormatting>
  <conditionalFormatting sqref="B18">
    <cfRule type="expression" dxfId="131" priority="58">
      <formula>$F18="Fail"</formula>
    </cfRule>
  </conditionalFormatting>
  <conditionalFormatting sqref="C18">
    <cfRule type="expression" dxfId="130" priority="57">
      <formula>$F18="Fail"</formula>
    </cfRule>
  </conditionalFormatting>
  <conditionalFormatting sqref="E22">
    <cfRule type="expression" dxfId="129" priority="42">
      <formula>$F22="Fail"</formula>
    </cfRule>
  </conditionalFormatting>
  <conditionalFormatting sqref="F47 F50 F53">
    <cfRule type="expression" dxfId="128" priority="45">
      <formula>$F47="Fail"</formula>
    </cfRule>
  </conditionalFormatting>
  <conditionalFormatting sqref="D17">
    <cfRule type="expression" dxfId="127" priority="945">
      <formula>$F16="Fail"</formula>
    </cfRule>
  </conditionalFormatting>
  <conditionalFormatting sqref="E21">
    <cfRule type="expression" dxfId="126" priority="43">
      <formula>$F21="Fail"</formula>
    </cfRule>
  </conditionalFormatting>
  <conditionalFormatting sqref="G21:K22">
    <cfRule type="expression" dxfId="125" priority="41">
      <formula>$F21="Fail"</formula>
    </cfRule>
  </conditionalFormatting>
  <conditionalFormatting sqref="D21:D22">
    <cfRule type="expression" dxfId="124" priority="40">
      <formula>$F21="Fail"</formula>
    </cfRule>
  </conditionalFormatting>
  <conditionalFormatting sqref="C22">
    <cfRule type="expression" dxfId="123" priority="39">
      <formula>$F22="Fail"</formula>
    </cfRule>
  </conditionalFormatting>
  <conditionalFormatting sqref="C21">
    <cfRule type="expression" dxfId="122" priority="38">
      <formula>$F21="Fail"</formula>
    </cfRule>
  </conditionalFormatting>
  <conditionalFormatting sqref="D38">
    <cfRule type="expression" dxfId="121" priority="37">
      <formula>$F38="Fail"</formula>
    </cfRule>
  </conditionalFormatting>
  <conditionalFormatting sqref="F6">
    <cfRule type="expression" dxfId="120" priority="16">
      <formula>$F6="Fail"</formula>
    </cfRule>
  </conditionalFormatting>
  <conditionalFormatting sqref="F8">
    <cfRule type="expression" dxfId="119" priority="15">
      <formula>$F8="Fail"</formula>
    </cfRule>
  </conditionalFormatting>
  <conditionalFormatting sqref="F10">
    <cfRule type="expression" dxfId="118" priority="14">
      <formula>$F10="Fail"</formula>
    </cfRule>
  </conditionalFormatting>
  <conditionalFormatting sqref="F12:F18">
    <cfRule type="expression" dxfId="117" priority="13">
      <formula>$F12="Fail"</formula>
    </cfRule>
  </conditionalFormatting>
  <conditionalFormatting sqref="F21:F30">
    <cfRule type="expression" dxfId="116" priority="12">
      <formula>$F21="Fail"</formula>
    </cfRule>
  </conditionalFormatting>
  <conditionalFormatting sqref="F32:F39">
    <cfRule type="expression" dxfId="115" priority="11">
      <formula>$F32="Fail"</formula>
    </cfRule>
  </conditionalFormatting>
  <conditionalFormatting sqref="F43:F46">
    <cfRule type="expression" dxfId="114" priority="10">
      <formula>$F43="Fail"</formula>
    </cfRule>
  </conditionalFormatting>
  <conditionalFormatting sqref="F48:F49">
    <cfRule type="expression" dxfId="113" priority="9">
      <formula>$F48="Fail"</formula>
    </cfRule>
  </conditionalFormatting>
  <conditionalFormatting sqref="F51:F52">
    <cfRule type="expression" dxfId="112" priority="8">
      <formula>$F51="Fail"</formula>
    </cfRule>
  </conditionalFormatting>
  <conditionalFormatting sqref="F56:F59">
    <cfRule type="expression" dxfId="111" priority="7">
      <formula>$F56="Fail"</formula>
    </cfRule>
  </conditionalFormatting>
  <conditionalFormatting sqref="F63:F68">
    <cfRule type="expression" dxfId="110" priority="6">
      <formula>$F63="Fail"</formula>
    </cfRule>
  </conditionalFormatting>
  <conditionalFormatting sqref="F72:F75">
    <cfRule type="expression" dxfId="109" priority="5">
      <formula>$F72="Fail"</formula>
    </cfRule>
  </conditionalFormatting>
  <conditionalFormatting sqref="F79:F86">
    <cfRule type="expression" dxfId="108" priority="4">
      <formula>$F79="Fail"</formula>
    </cfRule>
  </conditionalFormatting>
  <conditionalFormatting sqref="F90:F93">
    <cfRule type="expression" dxfId="107" priority="3">
      <formula>$F90="Fail"</formula>
    </cfRule>
  </conditionalFormatting>
  <conditionalFormatting sqref="F95:F96">
    <cfRule type="expression" dxfId="106" priority="2">
      <formula>$F95="Fail"</formula>
    </cfRule>
  </conditionalFormatting>
  <conditionalFormatting sqref="F98:F101">
    <cfRule type="expression" dxfId="105" priority="1">
      <formula>$F98="Fail"</formula>
    </cfRule>
  </conditionalFormatting>
  <dataValidations count="1">
    <dataValidation type="list" allowBlank="1" showInputMessage="1" showErrorMessage="1" sqref="F3:F107">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AED2FF0E-F0EB-4027-A567-08FBC8583194}">
            <xm:f>'External Repurchase - Normal'!$F62="Fail"</xm:f>
            <x14:dxf>
              <font>
                <color rgb="FFFF0000"/>
              </font>
              <fill>
                <patternFill>
                  <bgColor theme="9" tint="0.59996337778862885"/>
                </patternFill>
              </fill>
            </x14:dxf>
          </x14:cfRule>
          <xm:sqref>A62:A101 B69:C77 B79:C101 B78:D78 D71:D72 F62:K62 F69:K71 G63:K68 F76:K78 G72:K75 F87:K89 G79:K86 F94:K94 G90:K93 F97:K97 G95:K96 G98:K101</xm:sqref>
        </x14:conditionalFormatting>
        <x14:conditionalFormatting xmlns:xm="http://schemas.microsoft.com/office/excel/2006/main">
          <x14:cfRule type="expression" priority="35" id="{9F809B40-917D-4A08-B0D0-58BC59EDB680}">
            <xm:f>'External Repurchase - Normal'!$F100="Fail"</xm:f>
            <x14:dxf>
              <font>
                <color rgb="FFFF0000"/>
              </font>
              <fill>
                <patternFill>
                  <bgColor theme="9" tint="0.59996337778862885"/>
                </patternFill>
              </fill>
            </x14:dxf>
          </x14:cfRule>
          <xm:sqref>F102:K103 A102:C103</xm:sqref>
        </x14:conditionalFormatting>
        <x14:conditionalFormatting xmlns:xm="http://schemas.microsoft.com/office/excel/2006/main">
          <x14:cfRule type="expression" priority="18" id="{38C543EB-E7CE-4F40-AEAA-764DFB2B77B9}">
            <xm:f>'C:\Users\E939818\Documents\_Project Documents\SVN TEST  team\_Sutuwa\Testing\Release 1\Stats\[SEB_InvestAdmin_Investment.xlsm]External'!#REF!="Fail"</xm:f>
            <x14:dxf>
              <font>
                <color rgb="FFFF0000"/>
              </font>
              <fill>
                <patternFill>
                  <bgColor theme="9" tint="0.59996337778862885"/>
                </patternFill>
              </fill>
            </x14:dxf>
          </x14:cfRule>
          <xm:sqref>B62:D68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L108"/>
  <sheetViews>
    <sheetView topLeftCell="C1" zoomScaleNormal="100" workbookViewId="0">
      <pane ySplit="1" topLeftCell="A39" activePane="bottomLeft" state="frozen"/>
      <selection pane="bottomLeft" activeCell="F50" sqref="F50:K50"/>
    </sheetView>
  </sheetViews>
  <sheetFormatPr defaultRowHeight="15" x14ac:dyDescent="0.25"/>
  <cols>
    <col min="1" max="1" width="11.28515625" style="3" bestFit="1" customWidth="1"/>
    <col min="2" max="2" width="56.7109375" style="1" customWidth="1"/>
    <col min="3" max="3" width="50.7109375" style="1" customWidth="1"/>
    <col min="4" max="4" width="48.140625" style="118" customWidth="1"/>
    <col min="5" max="5" width="7.85546875" style="1" customWidth="1"/>
    <col min="6" max="6" width="7" style="1" customWidth="1"/>
    <col min="7" max="10" width="9.140625" style="1"/>
    <col min="11" max="11" width="16.5703125" style="1" customWidth="1"/>
    <col min="12" max="12" width="39" style="1" customWidth="1"/>
    <col min="13" max="16384" width="9.140625" style="1"/>
  </cols>
  <sheetData>
    <row r="1" spans="1:12" ht="30" customHeight="1" x14ac:dyDescent="0.25">
      <c r="A1" s="9" t="s">
        <v>1</v>
      </c>
      <c r="B1" s="10" t="s">
        <v>11</v>
      </c>
      <c r="C1" s="10" t="s">
        <v>2</v>
      </c>
      <c r="D1" s="113" t="s">
        <v>4</v>
      </c>
      <c r="E1" s="11" t="s">
        <v>3</v>
      </c>
      <c r="F1" s="10" t="s">
        <v>0</v>
      </c>
      <c r="G1" s="11" t="s">
        <v>5</v>
      </c>
      <c r="H1" s="11" t="s">
        <v>6</v>
      </c>
      <c r="I1" s="11"/>
      <c r="J1" s="11" t="s">
        <v>7</v>
      </c>
      <c r="K1" s="11" t="s">
        <v>8</v>
      </c>
      <c r="L1" s="11" t="s">
        <v>12</v>
      </c>
    </row>
    <row r="2" spans="1:12" s="100" customFormat="1" ht="30" customHeight="1" x14ac:dyDescent="0.25">
      <c r="A2" s="101"/>
      <c r="B2" s="182" t="s">
        <v>753</v>
      </c>
      <c r="C2" s="183"/>
      <c r="D2" s="114" t="s">
        <v>756</v>
      </c>
      <c r="E2" s="99"/>
      <c r="F2" s="98"/>
      <c r="G2" s="99"/>
      <c r="H2" s="99"/>
      <c r="I2" s="99"/>
      <c r="J2" s="99"/>
      <c r="K2" s="99"/>
      <c r="L2" s="99"/>
    </row>
    <row r="3" spans="1:12" s="19" customFormat="1" x14ac:dyDescent="0.25">
      <c r="A3" s="15">
        <v>2</v>
      </c>
      <c r="B3" s="16" t="s">
        <v>721</v>
      </c>
      <c r="C3" s="17"/>
      <c r="D3" s="17"/>
      <c r="E3" s="16"/>
      <c r="F3" s="18"/>
      <c r="G3" s="18"/>
      <c r="H3" s="18"/>
      <c r="I3" s="18"/>
      <c r="J3" s="18"/>
      <c r="K3" s="18"/>
      <c r="L3" s="16"/>
    </row>
    <row r="4" spans="1:12" x14ac:dyDescent="0.25">
      <c r="A4" s="4">
        <f>A3+0.0001</f>
        <v>2.0001000000000002</v>
      </c>
      <c r="B4" s="63" t="s">
        <v>744</v>
      </c>
      <c r="C4" s="22" t="s">
        <v>723</v>
      </c>
      <c r="D4" s="115"/>
      <c r="E4" s="5"/>
      <c r="F4" s="7" t="s">
        <v>5</v>
      </c>
      <c r="G4" s="7">
        <f t="shared" ref="G4:K33" si="0">IF($F4=G$1,1,0)</f>
        <v>1</v>
      </c>
      <c r="H4" s="7">
        <f t="shared" si="0"/>
        <v>0</v>
      </c>
      <c r="I4" s="7">
        <f t="shared" si="0"/>
        <v>0</v>
      </c>
      <c r="J4" s="7">
        <f t="shared" si="0"/>
        <v>0</v>
      </c>
      <c r="K4" s="7">
        <f t="shared" si="0"/>
        <v>0</v>
      </c>
      <c r="L4" s="6"/>
    </row>
    <row r="5" spans="1:12" x14ac:dyDescent="0.25">
      <c r="A5" s="4">
        <f t="shared" ref="A5:A67" si="1">A4+0.0001</f>
        <v>2.0002000000000004</v>
      </c>
      <c r="B5" s="64" t="s">
        <v>745</v>
      </c>
      <c r="C5" s="22" t="s">
        <v>746</v>
      </c>
      <c r="D5" s="115"/>
      <c r="E5" s="5"/>
      <c r="F5" s="7" t="s">
        <v>5</v>
      </c>
      <c r="G5" s="7">
        <f t="shared" si="0"/>
        <v>1</v>
      </c>
      <c r="H5" s="7">
        <f t="shared" si="0"/>
        <v>0</v>
      </c>
      <c r="I5" s="7">
        <f t="shared" si="0"/>
        <v>0</v>
      </c>
      <c r="J5" s="7">
        <f t="shared" si="0"/>
        <v>0</v>
      </c>
      <c r="K5" s="7">
        <f t="shared" si="0"/>
        <v>0</v>
      </c>
      <c r="L5" s="6"/>
    </row>
    <row r="6" spans="1:12" x14ac:dyDescent="0.25">
      <c r="A6" s="4">
        <f t="shared" si="1"/>
        <v>2.0003000000000006</v>
      </c>
      <c r="B6" s="105" t="s">
        <v>495</v>
      </c>
      <c r="C6" s="17"/>
      <c r="D6" s="17"/>
      <c r="E6" s="6"/>
      <c r="F6" s="7"/>
      <c r="G6" s="7"/>
      <c r="H6" s="7"/>
      <c r="I6" s="7"/>
      <c r="J6" s="7"/>
      <c r="K6" s="7"/>
      <c r="L6" s="6"/>
    </row>
    <row r="7" spans="1:12" ht="25.5" x14ac:dyDescent="0.25">
      <c r="A7" s="4">
        <f t="shared" si="1"/>
        <v>2.0004000000000008</v>
      </c>
      <c r="B7" s="63" t="s">
        <v>656</v>
      </c>
      <c r="C7" s="107" t="s">
        <v>659</v>
      </c>
      <c r="D7" s="115"/>
      <c r="E7" s="6"/>
      <c r="F7" s="7" t="s">
        <v>5</v>
      </c>
      <c r="G7" s="7">
        <f t="shared" si="0"/>
        <v>1</v>
      </c>
      <c r="H7" s="7">
        <f t="shared" si="0"/>
        <v>0</v>
      </c>
      <c r="I7" s="7">
        <f t="shared" si="0"/>
        <v>0</v>
      </c>
      <c r="J7" s="7">
        <f t="shared" si="0"/>
        <v>0</v>
      </c>
      <c r="K7" s="7">
        <f t="shared" si="0"/>
        <v>0</v>
      </c>
      <c r="L7" s="6"/>
    </row>
    <row r="8" spans="1:12" x14ac:dyDescent="0.25">
      <c r="A8" s="4">
        <f t="shared" si="1"/>
        <v>2.0005000000000011</v>
      </c>
      <c r="B8" s="5"/>
      <c r="C8" s="22"/>
      <c r="D8" s="115"/>
      <c r="E8" s="6"/>
      <c r="F8" s="7"/>
      <c r="G8" s="7"/>
      <c r="H8" s="7"/>
      <c r="I8" s="7"/>
      <c r="J8" s="7"/>
      <c r="K8" s="7"/>
      <c r="L8" s="6"/>
    </row>
    <row r="9" spans="1:12" x14ac:dyDescent="0.25">
      <c r="A9" s="4">
        <f t="shared" si="1"/>
        <v>2.0006000000000013</v>
      </c>
      <c r="B9" s="5" t="s">
        <v>660</v>
      </c>
      <c r="C9" s="22" t="s">
        <v>661</v>
      </c>
      <c r="D9" s="115"/>
      <c r="E9" s="6"/>
      <c r="F9" s="7" t="s">
        <v>5</v>
      </c>
      <c r="G9" s="7">
        <f t="shared" si="0"/>
        <v>1</v>
      </c>
      <c r="H9" s="7">
        <f t="shared" si="0"/>
        <v>0</v>
      </c>
      <c r="I9" s="7">
        <f t="shared" si="0"/>
        <v>0</v>
      </c>
      <c r="J9" s="7">
        <f t="shared" si="0"/>
        <v>0</v>
      </c>
      <c r="K9" s="7">
        <f t="shared" si="0"/>
        <v>0</v>
      </c>
      <c r="L9" s="6"/>
    </row>
    <row r="10" spans="1:12" x14ac:dyDescent="0.25">
      <c r="A10" s="4">
        <f t="shared" si="1"/>
        <v>2.0007000000000015</v>
      </c>
      <c r="B10" s="5"/>
      <c r="C10" s="23"/>
      <c r="D10" s="115"/>
      <c r="E10" s="6"/>
      <c r="F10" s="7"/>
      <c r="G10" s="7"/>
      <c r="H10" s="7"/>
      <c r="I10" s="7"/>
      <c r="J10" s="7"/>
      <c r="K10" s="7"/>
      <c r="L10" s="6"/>
    </row>
    <row r="11" spans="1:12" ht="38.25" x14ac:dyDescent="0.25">
      <c r="A11" s="4">
        <f t="shared" si="1"/>
        <v>2.0008000000000017</v>
      </c>
      <c r="B11" s="48" t="s">
        <v>662</v>
      </c>
      <c r="C11" s="23" t="s">
        <v>848</v>
      </c>
      <c r="D11" s="115"/>
      <c r="E11" s="6"/>
      <c r="F11" s="7" t="s">
        <v>5</v>
      </c>
      <c r="G11" s="7">
        <f t="shared" si="0"/>
        <v>1</v>
      </c>
      <c r="H11" s="7">
        <f t="shared" si="0"/>
        <v>0</v>
      </c>
      <c r="I11" s="7">
        <f t="shared" si="0"/>
        <v>0</v>
      </c>
      <c r="J11" s="7">
        <f t="shared" si="0"/>
        <v>0</v>
      </c>
      <c r="K11" s="7">
        <f t="shared" si="0"/>
        <v>0</v>
      </c>
      <c r="L11" s="6"/>
    </row>
    <row r="12" spans="1:12" x14ac:dyDescent="0.25">
      <c r="A12" s="4">
        <f t="shared" si="1"/>
        <v>2.0009000000000019</v>
      </c>
      <c r="B12" s="5"/>
      <c r="C12" s="23"/>
      <c r="D12" s="115"/>
      <c r="E12" s="6"/>
      <c r="F12" s="7"/>
      <c r="G12" s="7"/>
      <c r="H12" s="7"/>
      <c r="I12" s="7"/>
      <c r="J12" s="7"/>
      <c r="K12" s="7"/>
      <c r="L12" s="6"/>
    </row>
    <row r="13" spans="1:12" ht="25.5" x14ac:dyDescent="0.25">
      <c r="A13" s="4">
        <f t="shared" si="1"/>
        <v>2.0010000000000021</v>
      </c>
      <c r="B13" s="8" t="s">
        <v>664</v>
      </c>
      <c r="C13" s="22" t="s">
        <v>849</v>
      </c>
      <c r="D13" s="115"/>
      <c r="E13" s="6"/>
      <c r="F13" s="7" t="s">
        <v>5</v>
      </c>
      <c r="G13" s="7">
        <f t="shared" si="0"/>
        <v>1</v>
      </c>
      <c r="H13" s="7">
        <f t="shared" si="0"/>
        <v>0</v>
      </c>
      <c r="I13" s="7">
        <f t="shared" si="0"/>
        <v>0</v>
      </c>
      <c r="J13" s="7">
        <f t="shared" si="0"/>
        <v>0</v>
      </c>
      <c r="K13" s="7">
        <f t="shared" si="0"/>
        <v>0</v>
      </c>
      <c r="L13" s="6"/>
    </row>
    <row r="14" spans="1:12" x14ac:dyDescent="0.25">
      <c r="A14" s="4">
        <f t="shared" si="1"/>
        <v>2.0011000000000023</v>
      </c>
      <c r="B14" s="108"/>
      <c r="C14" s="104" t="s">
        <v>850</v>
      </c>
      <c r="D14" s="115"/>
      <c r="E14" s="6"/>
      <c r="F14" s="7" t="s">
        <v>5</v>
      </c>
      <c r="G14" s="7">
        <f t="shared" si="0"/>
        <v>1</v>
      </c>
      <c r="H14" s="7">
        <f t="shared" si="0"/>
        <v>0</v>
      </c>
      <c r="I14" s="7">
        <f t="shared" si="0"/>
        <v>0</v>
      </c>
      <c r="J14" s="7">
        <f t="shared" si="0"/>
        <v>0</v>
      </c>
      <c r="K14" s="7">
        <f t="shared" si="0"/>
        <v>0</v>
      </c>
      <c r="L14" s="6"/>
    </row>
    <row r="15" spans="1:12" ht="25.5" x14ac:dyDescent="0.25">
      <c r="A15" s="4">
        <f t="shared" si="1"/>
        <v>2.0012000000000025</v>
      </c>
      <c r="B15" s="5" t="s">
        <v>665</v>
      </c>
      <c r="C15" s="23" t="s">
        <v>663</v>
      </c>
      <c r="D15" s="148" t="s">
        <v>852</v>
      </c>
      <c r="E15" s="6"/>
      <c r="F15" s="7" t="s">
        <v>5</v>
      </c>
      <c r="G15" s="7">
        <f t="shared" si="0"/>
        <v>1</v>
      </c>
      <c r="H15" s="7">
        <f t="shared" si="0"/>
        <v>0</v>
      </c>
      <c r="I15" s="7">
        <f t="shared" si="0"/>
        <v>0</v>
      </c>
      <c r="J15" s="7">
        <f t="shared" si="0"/>
        <v>0</v>
      </c>
      <c r="K15" s="7">
        <f t="shared" si="0"/>
        <v>0</v>
      </c>
      <c r="L15" s="6"/>
    </row>
    <row r="16" spans="1:12" x14ac:dyDescent="0.25">
      <c r="A16" s="4">
        <f t="shared" si="1"/>
        <v>2.0013000000000027</v>
      </c>
      <c r="B16" s="5" t="s">
        <v>674</v>
      </c>
      <c r="C16" s="23" t="s">
        <v>675</v>
      </c>
      <c r="D16" s="115"/>
      <c r="E16" s="6"/>
      <c r="F16" s="7" t="s">
        <v>5</v>
      </c>
      <c r="G16" s="7">
        <f t="shared" si="0"/>
        <v>1</v>
      </c>
      <c r="H16" s="7">
        <f t="shared" si="0"/>
        <v>0</v>
      </c>
      <c r="I16" s="7">
        <f t="shared" si="0"/>
        <v>0</v>
      </c>
      <c r="J16" s="7">
        <f t="shared" si="0"/>
        <v>0</v>
      </c>
      <c r="K16" s="7">
        <f t="shared" si="0"/>
        <v>0</v>
      </c>
      <c r="L16" s="6"/>
    </row>
    <row r="17" spans="1:12" x14ac:dyDescent="0.25">
      <c r="A17" s="4">
        <f t="shared" si="1"/>
        <v>2.001400000000003</v>
      </c>
      <c r="B17" s="5" t="s">
        <v>676</v>
      </c>
      <c r="C17" s="22" t="s">
        <v>677</v>
      </c>
      <c r="D17" s="115" t="s">
        <v>720</v>
      </c>
      <c r="E17" s="6"/>
      <c r="F17" s="7" t="s">
        <v>5</v>
      </c>
      <c r="G17" s="7">
        <f t="shared" si="0"/>
        <v>1</v>
      </c>
      <c r="H17" s="7">
        <f t="shared" si="0"/>
        <v>0</v>
      </c>
      <c r="I17" s="7">
        <f t="shared" si="0"/>
        <v>0</v>
      </c>
      <c r="J17" s="7">
        <f t="shared" si="0"/>
        <v>0</v>
      </c>
      <c r="K17" s="7">
        <f t="shared" si="0"/>
        <v>0</v>
      </c>
      <c r="L17" s="6"/>
    </row>
    <row r="18" spans="1:12" x14ac:dyDescent="0.25">
      <c r="A18" s="4">
        <f t="shared" si="1"/>
        <v>2.0015000000000032</v>
      </c>
      <c r="B18" s="5" t="s">
        <v>678</v>
      </c>
      <c r="C18" s="22" t="s">
        <v>679</v>
      </c>
      <c r="D18" s="115"/>
      <c r="E18" s="6"/>
      <c r="F18" s="7" t="s">
        <v>5</v>
      </c>
      <c r="G18" s="7">
        <f t="shared" si="0"/>
        <v>1</v>
      </c>
      <c r="H18" s="7">
        <f t="shared" si="0"/>
        <v>0</v>
      </c>
      <c r="I18" s="7">
        <f t="shared" si="0"/>
        <v>0</v>
      </c>
      <c r="J18" s="7">
        <f t="shared" si="0"/>
        <v>0</v>
      </c>
      <c r="K18" s="7">
        <f t="shared" si="0"/>
        <v>0</v>
      </c>
      <c r="L18" s="6"/>
    </row>
    <row r="19" spans="1:12" ht="25.5" x14ac:dyDescent="0.25">
      <c r="A19" s="4">
        <f t="shared" si="1"/>
        <v>2.0016000000000034</v>
      </c>
      <c r="B19" s="5" t="s">
        <v>666</v>
      </c>
      <c r="C19" s="94" t="s">
        <v>851</v>
      </c>
      <c r="D19" s="147"/>
      <c r="E19" s="6"/>
      <c r="F19" s="7" t="s">
        <v>5</v>
      </c>
      <c r="G19" s="7">
        <f t="shared" si="0"/>
        <v>1</v>
      </c>
      <c r="H19" s="7">
        <f t="shared" si="0"/>
        <v>0</v>
      </c>
      <c r="I19" s="7">
        <f t="shared" si="0"/>
        <v>0</v>
      </c>
      <c r="J19" s="7">
        <f t="shared" si="0"/>
        <v>0</v>
      </c>
      <c r="K19" s="7">
        <f t="shared" si="0"/>
        <v>0</v>
      </c>
      <c r="L19" s="6"/>
    </row>
    <row r="20" spans="1:12" x14ac:dyDescent="0.25">
      <c r="A20" s="4">
        <f t="shared" si="1"/>
        <v>2.0017000000000036</v>
      </c>
      <c r="B20" s="63"/>
      <c r="C20" s="94"/>
      <c r="D20" s="115"/>
      <c r="E20" s="6"/>
      <c r="F20" s="7"/>
      <c r="G20" s="7"/>
      <c r="H20" s="7"/>
      <c r="I20" s="7"/>
      <c r="J20" s="7"/>
      <c r="K20" s="7"/>
      <c r="L20" s="6"/>
    </row>
    <row r="21" spans="1:12" x14ac:dyDescent="0.25">
      <c r="A21" s="4">
        <f t="shared" si="1"/>
        <v>2.0018000000000038</v>
      </c>
      <c r="B21" s="110" t="s">
        <v>668</v>
      </c>
      <c r="C21" s="111" t="s">
        <v>741</v>
      </c>
      <c r="D21" s="17"/>
      <c r="E21" s="6"/>
      <c r="F21" s="7"/>
      <c r="G21" s="7"/>
      <c r="H21" s="7"/>
      <c r="I21" s="7"/>
      <c r="J21" s="7"/>
      <c r="K21" s="7"/>
      <c r="L21" s="6"/>
    </row>
    <row r="22" spans="1:12" x14ac:dyDescent="0.25">
      <c r="A22" s="4">
        <f t="shared" si="1"/>
        <v>2.001900000000004</v>
      </c>
      <c r="B22" s="66" t="s">
        <v>895</v>
      </c>
      <c r="C22" s="22" t="s">
        <v>893</v>
      </c>
      <c r="D22" s="115"/>
      <c r="E22" s="6"/>
      <c r="F22" s="7" t="s">
        <v>5</v>
      </c>
      <c r="G22" s="7">
        <f t="shared" si="0"/>
        <v>1</v>
      </c>
      <c r="H22" s="7">
        <f t="shared" si="0"/>
        <v>0</v>
      </c>
      <c r="I22" s="7">
        <f t="shared" si="0"/>
        <v>0</v>
      </c>
      <c r="J22" s="7">
        <f t="shared" si="0"/>
        <v>0</v>
      </c>
      <c r="K22" s="7">
        <f t="shared" si="0"/>
        <v>0</v>
      </c>
      <c r="L22" s="6"/>
    </row>
    <row r="23" spans="1:12" x14ac:dyDescent="0.25">
      <c r="A23" s="4">
        <f t="shared" si="1"/>
        <v>2.0020000000000042</v>
      </c>
      <c r="B23" s="5" t="s">
        <v>726</v>
      </c>
      <c r="C23" s="23" t="s">
        <v>727</v>
      </c>
      <c r="D23" s="115"/>
      <c r="E23" s="6"/>
      <c r="F23" s="7" t="s">
        <v>5</v>
      </c>
      <c r="G23" s="7">
        <f t="shared" si="0"/>
        <v>1</v>
      </c>
      <c r="H23" s="7">
        <f t="shared" si="0"/>
        <v>0</v>
      </c>
      <c r="I23" s="7">
        <f t="shared" si="0"/>
        <v>0</v>
      </c>
      <c r="J23" s="7">
        <f t="shared" si="0"/>
        <v>0</v>
      </c>
      <c r="K23" s="7">
        <f t="shared" si="0"/>
        <v>0</v>
      </c>
      <c r="L23" s="6"/>
    </row>
    <row r="24" spans="1:12" ht="38.25" x14ac:dyDescent="0.25">
      <c r="A24" s="4">
        <f t="shared" si="1"/>
        <v>2.0021000000000044</v>
      </c>
      <c r="B24" s="66" t="s">
        <v>854</v>
      </c>
      <c r="C24" s="22" t="s">
        <v>728</v>
      </c>
      <c r="D24" s="115" t="s">
        <v>863</v>
      </c>
      <c r="E24" s="6"/>
      <c r="F24" s="7" t="s">
        <v>5</v>
      </c>
      <c r="G24" s="7">
        <f t="shared" si="0"/>
        <v>1</v>
      </c>
      <c r="H24" s="7">
        <f t="shared" si="0"/>
        <v>0</v>
      </c>
      <c r="I24" s="7">
        <f t="shared" si="0"/>
        <v>0</v>
      </c>
      <c r="J24" s="7">
        <f t="shared" si="0"/>
        <v>0</v>
      </c>
      <c r="K24" s="7">
        <f t="shared" si="0"/>
        <v>0</v>
      </c>
      <c r="L24" s="6"/>
    </row>
    <row r="25" spans="1:12" x14ac:dyDescent="0.25">
      <c r="A25" s="4">
        <f t="shared" si="1"/>
        <v>2.0022000000000046</v>
      </c>
      <c r="B25" s="66"/>
      <c r="C25" s="22"/>
      <c r="D25" s="115"/>
      <c r="E25" s="6"/>
      <c r="F25" s="7" t="s">
        <v>5</v>
      </c>
      <c r="G25" s="7"/>
      <c r="H25" s="7"/>
      <c r="I25" s="7"/>
      <c r="J25" s="7"/>
      <c r="K25" s="7"/>
      <c r="L25" s="6"/>
    </row>
    <row r="26" spans="1:12" x14ac:dyDescent="0.25">
      <c r="A26" s="4">
        <f t="shared" si="1"/>
        <v>2.0023000000000049</v>
      </c>
      <c r="B26" s="5" t="s">
        <v>729</v>
      </c>
      <c r="C26" s="23" t="s">
        <v>730</v>
      </c>
      <c r="D26" s="115"/>
      <c r="E26" s="6"/>
      <c r="F26" s="7" t="s">
        <v>5</v>
      </c>
      <c r="G26" s="7">
        <f t="shared" si="0"/>
        <v>1</v>
      </c>
      <c r="H26" s="7">
        <f t="shared" si="0"/>
        <v>0</v>
      </c>
      <c r="I26" s="7">
        <f t="shared" si="0"/>
        <v>0</v>
      </c>
      <c r="J26" s="7">
        <f t="shared" si="0"/>
        <v>0</v>
      </c>
      <c r="K26" s="7">
        <f t="shared" si="0"/>
        <v>0</v>
      </c>
      <c r="L26" s="6"/>
    </row>
    <row r="27" spans="1:12" ht="25.5" x14ac:dyDescent="0.25">
      <c r="A27" s="4">
        <f t="shared" si="1"/>
        <v>2.0024000000000051</v>
      </c>
      <c r="B27" s="5" t="s">
        <v>748</v>
      </c>
      <c r="C27" s="121" t="s">
        <v>749</v>
      </c>
      <c r="D27" s="149" t="s">
        <v>855</v>
      </c>
      <c r="E27" s="6"/>
      <c r="F27" s="7" t="s">
        <v>7</v>
      </c>
      <c r="G27" s="7">
        <f t="shared" si="0"/>
        <v>0</v>
      </c>
      <c r="H27" s="7">
        <f t="shared" si="0"/>
        <v>0</v>
      </c>
      <c r="I27" s="7">
        <f t="shared" si="0"/>
        <v>0</v>
      </c>
      <c r="J27" s="7">
        <f t="shared" si="0"/>
        <v>1</v>
      </c>
      <c r="K27" s="7">
        <f t="shared" si="0"/>
        <v>0</v>
      </c>
      <c r="L27" s="6"/>
    </row>
    <row r="28" spans="1:12" x14ac:dyDescent="0.25">
      <c r="A28" s="4">
        <f t="shared" si="1"/>
        <v>2.0025000000000053</v>
      </c>
      <c r="B28" s="5" t="s">
        <v>731</v>
      </c>
      <c r="C28" s="23" t="s">
        <v>747</v>
      </c>
      <c r="D28" s="115"/>
      <c r="E28" s="6"/>
      <c r="F28" s="7" t="s">
        <v>5</v>
      </c>
      <c r="G28" s="7">
        <f t="shared" si="0"/>
        <v>1</v>
      </c>
      <c r="H28" s="7">
        <f t="shared" si="0"/>
        <v>0</v>
      </c>
      <c r="I28" s="7">
        <f t="shared" si="0"/>
        <v>0</v>
      </c>
      <c r="J28" s="7">
        <f t="shared" si="0"/>
        <v>0</v>
      </c>
      <c r="K28" s="7">
        <f t="shared" si="0"/>
        <v>0</v>
      </c>
      <c r="L28" s="6"/>
    </row>
    <row r="29" spans="1:12" x14ac:dyDescent="0.25">
      <c r="A29" s="4">
        <f t="shared" si="1"/>
        <v>2.0026000000000055</v>
      </c>
      <c r="B29" s="5" t="s">
        <v>489</v>
      </c>
      <c r="C29" s="22" t="s">
        <v>490</v>
      </c>
      <c r="D29" s="115"/>
      <c r="E29" s="6"/>
      <c r="F29" s="7" t="s">
        <v>5</v>
      </c>
      <c r="G29" s="7">
        <f t="shared" si="0"/>
        <v>1</v>
      </c>
      <c r="H29" s="7">
        <f t="shared" si="0"/>
        <v>0</v>
      </c>
      <c r="I29" s="7">
        <f t="shared" si="0"/>
        <v>0</v>
      </c>
      <c r="J29" s="7">
        <f t="shared" si="0"/>
        <v>0</v>
      </c>
      <c r="K29" s="7">
        <f t="shared" si="0"/>
        <v>0</v>
      </c>
      <c r="L29" s="6"/>
    </row>
    <row r="30" spans="1:12" ht="38.25" x14ac:dyDescent="0.25">
      <c r="A30" s="4">
        <f t="shared" si="1"/>
        <v>2.0027000000000057</v>
      </c>
      <c r="B30" s="5" t="s">
        <v>491</v>
      </c>
      <c r="C30" s="23" t="s">
        <v>750</v>
      </c>
      <c r="D30" s="148" t="s">
        <v>856</v>
      </c>
      <c r="E30" s="6"/>
      <c r="F30" s="7" t="s">
        <v>5</v>
      </c>
      <c r="G30" s="7">
        <f t="shared" si="0"/>
        <v>1</v>
      </c>
      <c r="H30" s="7">
        <f t="shared" si="0"/>
        <v>0</v>
      </c>
      <c r="I30" s="7">
        <f t="shared" si="0"/>
        <v>0</v>
      </c>
      <c r="J30" s="7">
        <f t="shared" si="0"/>
        <v>0</v>
      </c>
      <c r="K30" s="7">
        <f t="shared" si="0"/>
        <v>0</v>
      </c>
      <c r="L30" s="6"/>
    </row>
    <row r="31" spans="1:12" x14ac:dyDescent="0.25">
      <c r="A31" s="4">
        <f t="shared" si="1"/>
        <v>2.0028000000000059</v>
      </c>
      <c r="B31" s="5" t="s">
        <v>553</v>
      </c>
      <c r="C31" s="22" t="s">
        <v>492</v>
      </c>
      <c r="D31" s="115" t="s">
        <v>858</v>
      </c>
      <c r="E31" s="6"/>
      <c r="F31" s="7" t="s">
        <v>5</v>
      </c>
      <c r="G31" s="7">
        <f t="shared" si="0"/>
        <v>1</v>
      </c>
      <c r="H31" s="7">
        <f t="shared" si="0"/>
        <v>0</v>
      </c>
      <c r="I31" s="7">
        <f t="shared" si="0"/>
        <v>0</v>
      </c>
      <c r="J31" s="7">
        <f t="shared" si="0"/>
        <v>0</v>
      </c>
      <c r="K31" s="7">
        <f t="shared" si="0"/>
        <v>0</v>
      </c>
      <c r="L31" s="6"/>
    </row>
    <row r="32" spans="1:12" x14ac:dyDescent="0.25">
      <c r="A32" s="4">
        <f t="shared" si="1"/>
        <v>2.0029000000000061</v>
      </c>
      <c r="B32" s="5"/>
      <c r="C32" s="22" t="s">
        <v>493</v>
      </c>
      <c r="D32" s="148" t="s">
        <v>857</v>
      </c>
      <c r="E32" s="6"/>
      <c r="F32" s="7" t="s">
        <v>5</v>
      </c>
      <c r="G32" s="7"/>
      <c r="H32" s="7"/>
      <c r="I32" s="7"/>
      <c r="J32" s="7"/>
      <c r="K32" s="7"/>
      <c r="L32" s="6"/>
    </row>
    <row r="33" spans="1:12" ht="25.5" x14ac:dyDescent="0.25">
      <c r="A33" s="4">
        <f t="shared" si="1"/>
        <v>2.0030000000000063</v>
      </c>
      <c r="B33" s="5" t="s">
        <v>482</v>
      </c>
      <c r="C33" s="94" t="s">
        <v>751</v>
      </c>
      <c r="D33" s="115"/>
      <c r="E33" s="6"/>
      <c r="F33" s="7" t="s">
        <v>5</v>
      </c>
      <c r="G33" s="7">
        <f t="shared" si="0"/>
        <v>1</v>
      </c>
      <c r="H33" s="7">
        <f t="shared" si="0"/>
        <v>0</v>
      </c>
      <c r="I33" s="7">
        <f t="shared" si="0"/>
        <v>0</v>
      </c>
      <c r="J33" s="7">
        <f t="shared" si="0"/>
        <v>0</v>
      </c>
      <c r="K33" s="7">
        <f t="shared" si="0"/>
        <v>0</v>
      </c>
      <c r="L33" s="6"/>
    </row>
    <row r="34" spans="1:12" x14ac:dyDescent="0.25">
      <c r="A34" s="4">
        <f t="shared" si="1"/>
        <v>2.0031000000000065</v>
      </c>
      <c r="B34" s="16" t="s">
        <v>580</v>
      </c>
      <c r="C34" s="16"/>
      <c r="D34" s="17"/>
      <c r="E34" s="7"/>
      <c r="F34" s="7"/>
      <c r="G34" s="7"/>
      <c r="H34" s="7"/>
      <c r="I34" s="7"/>
      <c r="J34" s="7"/>
      <c r="K34" s="7"/>
    </row>
    <row r="35" spans="1:12" x14ac:dyDescent="0.25">
      <c r="A35" s="4">
        <f t="shared" si="1"/>
        <v>2.0032000000000068</v>
      </c>
      <c r="B35" s="96" t="s">
        <v>555</v>
      </c>
      <c r="C35" s="5" t="s">
        <v>859</v>
      </c>
      <c r="D35" s="115"/>
      <c r="E35" s="7"/>
      <c r="F35" s="7" t="s">
        <v>5</v>
      </c>
      <c r="G35" s="7">
        <f t="shared" ref="G35:K56" si="2">IF($F35=G$1,1,0)</f>
        <v>1</v>
      </c>
      <c r="H35" s="7">
        <f t="shared" si="2"/>
        <v>0</v>
      </c>
      <c r="I35" s="7">
        <f t="shared" si="2"/>
        <v>0</v>
      </c>
      <c r="J35" s="7">
        <f t="shared" si="2"/>
        <v>0</v>
      </c>
      <c r="K35" s="7">
        <f t="shared" si="2"/>
        <v>0</v>
      </c>
    </row>
    <row r="36" spans="1:12" x14ac:dyDescent="0.25">
      <c r="A36" s="4">
        <f t="shared" si="1"/>
        <v>2.003300000000007</v>
      </c>
      <c r="B36" s="6"/>
      <c r="C36" s="5" t="s">
        <v>557</v>
      </c>
      <c r="D36" s="115" t="s">
        <v>461</v>
      </c>
      <c r="E36" s="7"/>
      <c r="F36" s="7" t="s">
        <v>5</v>
      </c>
      <c r="G36" s="7">
        <f t="shared" si="2"/>
        <v>1</v>
      </c>
      <c r="H36" s="7">
        <f t="shared" si="2"/>
        <v>0</v>
      </c>
      <c r="I36" s="7">
        <f t="shared" si="2"/>
        <v>0</v>
      </c>
      <c r="J36" s="7">
        <f t="shared" si="2"/>
        <v>0</v>
      </c>
      <c r="K36" s="7">
        <f t="shared" si="2"/>
        <v>0</v>
      </c>
    </row>
    <row r="37" spans="1:12" x14ac:dyDescent="0.25">
      <c r="A37" s="4">
        <f t="shared" si="1"/>
        <v>2.0034000000000072</v>
      </c>
      <c r="B37" s="6"/>
      <c r="C37" s="5" t="s">
        <v>860</v>
      </c>
      <c r="D37" s="115"/>
      <c r="E37" s="7"/>
      <c r="F37" s="7" t="s">
        <v>5</v>
      </c>
      <c r="G37" s="7">
        <f t="shared" si="2"/>
        <v>1</v>
      </c>
      <c r="H37" s="7">
        <f t="shared" si="2"/>
        <v>0</v>
      </c>
      <c r="I37" s="7">
        <f t="shared" si="2"/>
        <v>0</v>
      </c>
      <c r="J37" s="7">
        <f t="shared" si="2"/>
        <v>0</v>
      </c>
      <c r="K37" s="7">
        <f t="shared" si="2"/>
        <v>0</v>
      </c>
    </row>
    <row r="38" spans="1:12" x14ac:dyDescent="0.25">
      <c r="A38" s="4">
        <f t="shared" si="1"/>
        <v>2.0035000000000074</v>
      </c>
      <c r="B38" s="6"/>
      <c r="C38" s="5" t="s">
        <v>559</v>
      </c>
      <c r="D38" s="115"/>
      <c r="E38" s="7"/>
      <c r="F38" s="7" t="s">
        <v>5</v>
      </c>
      <c r="G38" s="7">
        <f t="shared" si="2"/>
        <v>1</v>
      </c>
      <c r="H38" s="7">
        <f t="shared" si="2"/>
        <v>0</v>
      </c>
      <c r="I38" s="7">
        <f t="shared" si="2"/>
        <v>0</v>
      </c>
      <c r="J38" s="7">
        <f t="shared" si="2"/>
        <v>0</v>
      </c>
      <c r="K38" s="7">
        <f t="shared" si="2"/>
        <v>0</v>
      </c>
    </row>
    <row r="39" spans="1:12" x14ac:dyDescent="0.25">
      <c r="A39" s="4">
        <f t="shared" si="1"/>
        <v>2.0036000000000076</v>
      </c>
      <c r="B39" s="6"/>
      <c r="C39" s="5" t="s">
        <v>836</v>
      </c>
      <c r="D39" s="115"/>
      <c r="E39" s="7"/>
      <c r="F39" s="7" t="s">
        <v>5</v>
      </c>
      <c r="G39" s="7">
        <f t="shared" si="2"/>
        <v>1</v>
      </c>
      <c r="H39" s="7">
        <f t="shared" si="2"/>
        <v>0</v>
      </c>
      <c r="I39" s="7">
        <f t="shared" si="2"/>
        <v>0</v>
      </c>
      <c r="J39" s="7">
        <f t="shared" si="2"/>
        <v>0</v>
      </c>
      <c r="K39" s="7">
        <f t="shared" si="2"/>
        <v>0</v>
      </c>
    </row>
    <row r="40" spans="1:12" ht="25.5" x14ac:dyDescent="0.25">
      <c r="A40" s="4">
        <f t="shared" si="1"/>
        <v>2.0037000000000078</v>
      </c>
      <c r="B40" s="6"/>
      <c r="C40" s="5" t="s">
        <v>733</v>
      </c>
      <c r="D40" s="115" t="s">
        <v>861</v>
      </c>
      <c r="E40" s="7"/>
      <c r="F40" s="7" t="s">
        <v>5</v>
      </c>
      <c r="G40" s="7">
        <f t="shared" si="2"/>
        <v>1</v>
      </c>
      <c r="H40" s="7">
        <f t="shared" si="2"/>
        <v>0</v>
      </c>
      <c r="I40" s="7">
        <f t="shared" si="2"/>
        <v>0</v>
      </c>
      <c r="J40" s="7">
        <f t="shared" si="2"/>
        <v>0</v>
      </c>
      <c r="K40" s="7">
        <f t="shared" si="2"/>
        <v>0</v>
      </c>
    </row>
    <row r="41" spans="1:12" x14ac:dyDescent="0.25">
      <c r="A41" s="4">
        <f t="shared" si="1"/>
        <v>2.003800000000008</v>
      </c>
      <c r="B41" s="6"/>
      <c r="C41" s="5" t="s">
        <v>862</v>
      </c>
      <c r="D41" s="115"/>
      <c r="E41" s="7"/>
      <c r="F41" s="7" t="s">
        <v>5</v>
      </c>
      <c r="G41" s="7">
        <f t="shared" si="2"/>
        <v>1</v>
      </c>
      <c r="H41" s="7">
        <f t="shared" si="2"/>
        <v>0</v>
      </c>
      <c r="I41" s="7">
        <f t="shared" si="2"/>
        <v>0</v>
      </c>
      <c r="J41" s="7">
        <f t="shared" si="2"/>
        <v>0</v>
      </c>
      <c r="K41" s="7">
        <f t="shared" si="2"/>
        <v>0</v>
      </c>
    </row>
    <row r="42" spans="1:12" x14ac:dyDescent="0.25">
      <c r="A42" s="4">
        <f t="shared" si="1"/>
        <v>2.0039000000000082</v>
      </c>
      <c r="B42" s="6"/>
      <c r="C42" s="5" t="s">
        <v>566</v>
      </c>
      <c r="D42" s="115" t="s">
        <v>853</v>
      </c>
      <c r="E42" s="7"/>
      <c r="F42" s="7" t="s">
        <v>5</v>
      </c>
      <c r="G42" s="7">
        <f t="shared" si="2"/>
        <v>1</v>
      </c>
      <c r="H42" s="7">
        <f t="shared" si="2"/>
        <v>0</v>
      </c>
      <c r="I42" s="7">
        <f t="shared" si="2"/>
        <v>0</v>
      </c>
      <c r="J42" s="7">
        <f t="shared" si="2"/>
        <v>0</v>
      </c>
      <c r="K42" s="7">
        <f t="shared" si="2"/>
        <v>0</v>
      </c>
    </row>
    <row r="43" spans="1:12" x14ac:dyDescent="0.25">
      <c r="A43" s="4">
        <f t="shared" si="1"/>
        <v>2.0040000000000084</v>
      </c>
      <c r="B43" s="6"/>
      <c r="C43" s="5"/>
      <c r="D43" s="115"/>
      <c r="E43" s="7"/>
      <c r="F43" s="7"/>
      <c r="G43" s="7"/>
      <c r="H43" s="7"/>
      <c r="I43" s="7"/>
      <c r="J43" s="7"/>
      <c r="K43" s="7"/>
    </row>
    <row r="44" spans="1:12" x14ac:dyDescent="0.25">
      <c r="A44" s="4">
        <f t="shared" si="1"/>
        <v>2.0041000000000087</v>
      </c>
      <c r="B44" s="5"/>
      <c r="C44" s="5"/>
      <c r="D44" s="115"/>
      <c r="E44" s="7"/>
      <c r="F44" s="7"/>
      <c r="G44" s="7"/>
      <c r="H44" s="7"/>
      <c r="I44" s="7"/>
      <c r="J44" s="7"/>
      <c r="K44" s="7"/>
    </row>
    <row r="45" spans="1:12" x14ac:dyDescent="0.25">
      <c r="A45" s="4">
        <f t="shared" si="1"/>
        <v>2.0042000000000089</v>
      </c>
      <c r="B45" s="5"/>
      <c r="C45" s="5"/>
      <c r="D45" s="115"/>
      <c r="E45" s="7"/>
      <c r="F45" s="7"/>
      <c r="G45" s="7"/>
      <c r="H45" s="7"/>
      <c r="I45" s="7"/>
      <c r="J45" s="7"/>
      <c r="K45" s="7"/>
    </row>
    <row r="46" spans="1:12" x14ac:dyDescent="0.25">
      <c r="A46" s="4">
        <f t="shared" si="1"/>
        <v>2.0043000000000091</v>
      </c>
      <c r="B46" s="96" t="s">
        <v>560</v>
      </c>
      <c r="C46" s="63" t="s">
        <v>561</v>
      </c>
      <c r="D46" s="115"/>
      <c r="E46" s="7"/>
      <c r="F46" s="7" t="s">
        <v>5</v>
      </c>
      <c r="G46" s="7">
        <f>IF($F46=G$1,1,0)</f>
        <v>1</v>
      </c>
      <c r="H46" s="7">
        <f>IF($F46=H$1,1,0)</f>
        <v>0</v>
      </c>
      <c r="I46" s="7">
        <f>IF($F46=I$1,1,0)</f>
        <v>0</v>
      </c>
      <c r="J46" s="7">
        <f>IF($F46=J$1,1,0)</f>
        <v>0</v>
      </c>
      <c r="K46" s="7"/>
    </row>
    <row r="47" spans="1:12" ht="25.5" x14ac:dyDescent="0.25">
      <c r="A47" s="4">
        <f t="shared" si="1"/>
        <v>2.0044000000000093</v>
      </c>
      <c r="B47" s="6"/>
      <c r="C47" s="5" t="s">
        <v>752</v>
      </c>
      <c r="D47" s="115" t="s">
        <v>906</v>
      </c>
      <c r="E47" s="7"/>
      <c r="F47" s="7" t="s">
        <v>5</v>
      </c>
      <c r="G47" s="7">
        <f t="shared" si="2"/>
        <v>1</v>
      </c>
      <c r="H47" s="7">
        <f t="shared" si="2"/>
        <v>0</v>
      </c>
      <c r="I47" s="7">
        <f t="shared" si="2"/>
        <v>0</v>
      </c>
      <c r="J47" s="7">
        <f t="shared" si="2"/>
        <v>0</v>
      </c>
      <c r="K47" s="7">
        <f t="shared" si="2"/>
        <v>0</v>
      </c>
    </row>
    <row r="48" spans="1:12" x14ac:dyDescent="0.25">
      <c r="A48" s="4">
        <f t="shared" si="1"/>
        <v>2.0045000000000095</v>
      </c>
      <c r="B48" s="6"/>
      <c r="C48" s="5" t="s">
        <v>585</v>
      </c>
      <c r="D48" s="115"/>
      <c r="E48" s="7"/>
      <c r="F48" s="7" t="s">
        <v>5</v>
      </c>
      <c r="G48" s="7">
        <f t="shared" si="2"/>
        <v>1</v>
      </c>
      <c r="H48" s="7">
        <f t="shared" si="2"/>
        <v>0</v>
      </c>
      <c r="I48" s="7">
        <f t="shared" si="2"/>
        <v>0</v>
      </c>
      <c r="J48" s="7">
        <f t="shared" si="2"/>
        <v>0</v>
      </c>
      <c r="K48" s="7">
        <f t="shared" si="2"/>
        <v>0</v>
      </c>
    </row>
    <row r="49" spans="1:11" x14ac:dyDescent="0.25">
      <c r="A49" s="4">
        <f t="shared" si="1"/>
        <v>2.0046000000000097</v>
      </c>
      <c r="B49" s="6"/>
      <c r="C49" s="5" t="s">
        <v>562</v>
      </c>
      <c r="D49" s="115"/>
      <c r="E49" s="7"/>
      <c r="F49" s="7" t="s">
        <v>5</v>
      </c>
      <c r="G49" s="7">
        <f t="shared" si="2"/>
        <v>1</v>
      </c>
      <c r="H49" s="7">
        <f t="shared" si="2"/>
        <v>0</v>
      </c>
      <c r="I49" s="7">
        <f t="shared" si="2"/>
        <v>0</v>
      </c>
      <c r="J49" s="7">
        <f t="shared" si="2"/>
        <v>0</v>
      </c>
      <c r="K49" s="7">
        <f t="shared" si="2"/>
        <v>0</v>
      </c>
    </row>
    <row r="50" spans="1:11" x14ac:dyDescent="0.25">
      <c r="A50" s="4">
        <f t="shared" si="1"/>
        <v>2.0047000000000099</v>
      </c>
      <c r="B50" s="6"/>
      <c r="C50" s="5"/>
      <c r="D50" s="115"/>
      <c r="E50" s="7"/>
      <c r="F50" s="7"/>
      <c r="G50" s="7"/>
      <c r="H50" s="7"/>
      <c r="I50" s="7"/>
      <c r="J50" s="7"/>
      <c r="K50" s="7"/>
    </row>
    <row r="51" spans="1:11" x14ac:dyDescent="0.25">
      <c r="A51" s="4">
        <f t="shared" si="1"/>
        <v>2.0048000000000101</v>
      </c>
      <c r="B51" s="6"/>
      <c r="C51" s="5" t="s">
        <v>591</v>
      </c>
      <c r="D51" s="115" t="s">
        <v>865</v>
      </c>
      <c r="E51" s="7"/>
      <c r="F51" s="7" t="s">
        <v>5</v>
      </c>
      <c r="G51" s="7">
        <f t="shared" si="2"/>
        <v>1</v>
      </c>
      <c r="H51" s="7">
        <f t="shared" si="2"/>
        <v>0</v>
      </c>
      <c r="I51" s="7">
        <f t="shared" si="2"/>
        <v>0</v>
      </c>
      <c r="J51" s="7">
        <f t="shared" si="2"/>
        <v>0</v>
      </c>
      <c r="K51" s="7">
        <f t="shared" si="2"/>
        <v>0</v>
      </c>
    </row>
    <row r="52" spans="1:11" ht="16.5" customHeight="1" x14ac:dyDescent="0.25">
      <c r="A52" s="4">
        <f t="shared" si="1"/>
        <v>2.0049000000000103</v>
      </c>
      <c r="B52" s="6"/>
      <c r="C52" s="5" t="s">
        <v>590</v>
      </c>
      <c r="D52" s="115" t="s">
        <v>867</v>
      </c>
      <c r="E52" s="7"/>
      <c r="F52" s="7" t="s">
        <v>5</v>
      </c>
      <c r="G52" s="7">
        <f t="shared" si="2"/>
        <v>1</v>
      </c>
      <c r="H52" s="7">
        <f t="shared" si="2"/>
        <v>0</v>
      </c>
      <c r="I52" s="7">
        <f t="shared" si="2"/>
        <v>0</v>
      </c>
      <c r="J52" s="7">
        <f t="shared" si="2"/>
        <v>0</v>
      </c>
      <c r="K52" s="7">
        <f t="shared" si="2"/>
        <v>0</v>
      </c>
    </row>
    <row r="53" spans="1:11" x14ac:dyDescent="0.25">
      <c r="A53" s="4">
        <f t="shared" si="1"/>
        <v>2.0050000000000106</v>
      </c>
      <c r="B53" s="6"/>
      <c r="C53" s="120" t="s">
        <v>866</v>
      </c>
      <c r="D53" s="115" t="s">
        <v>868</v>
      </c>
      <c r="E53" s="7"/>
      <c r="F53" s="7" t="s">
        <v>5</v>
      </c>
      <c r="G53" s="7">
        <f t="shared" si="2"/>
        <v>1</v>
      </c>
      <c r="H53" s="7">
        <f t="shared" si="2"/>
        <v>0</v>
      </c>
      <c r="I53" s="7">
        <f t="shared" si="2"/>
        <v>0</v>
      </c>
      <c r="J53" s="7">
        <f t="shared" si="2"/>
        <v>0</v>
      </c>
      <c r="K53" s="7">
        <f t="shared" si="2"/>
        <v>0</v>
      </c>
    </row>
    <row r="54" spans="1:11" x14ac:dyDescent="0.25">
      <c r="A54" s="4">
        <f t="shared" si="1"/>
        <v>2.0051000000000108</v>
      </c>
      <c r="B54" s="6"/>
      <c r="C54" s="5" t="s">
        <v>588</v>
      </c>
      <c r="D54" s="115" t="s">
        <v>461</v>
      </c>
      <c r="E54" s="7"/>
      <c r="F54" s="7" t="s">
        <v>5</v>
      </c>
      <c r="G54" s="7">
        <f t="shared" si="2"/>
        <v>1</v>
      </c>
      <c r="H54" s="7">
        <f t="shared" si="2"/>
        <v>0</v>
      </c>
      <c r="I54" s="7">
        <f t="shared" si="2"/>
        <v>0</v>
      </c>
      <c r="J54" s="7">
        <f t="shared" si="2"/>
        <v>0</v>
      </c>
      <c r="K54" s="7">
        <f t="shared" si="2"/>
        <v>0</v>
      </c>
    </row>
    <row r="55" spans="1:11" x14ac:dyDescent="0.25">
      <c r="A55" s="4">
        <f t="shared" si="1"/>
        <v>2.005200000000011</v>
      </c>
      <c r="B55" s="6"/>
      <c r="C55" s="5" t="s">
        <v>864</v>
      </c>
      <c r="D55" s="115" t="s">
        <v>869</v>
      </c>
      <c r="E55" s="7"/>
      <c r="F55" s="7" t="s">
        <v>5</v>
      </c>
      <c r="G55" s="7">
        <f t="shared" si="2"/>
        <v>1</v>
      </c>
      <c r="H55" s="7">
        <f t="shared" si="2"/>
        <v>0</v>
      </c>
      <c r="I55" s="7">
        <f t="shared" si="2"/>
        <v>0</v>
      </c>
      <c r="J55" s="7">
        <f t="shared" si="2"/>
        <v>0</v>
      </c>
      <c r="K55" s="7">
        <f t="shared" si="2"/>
        <v>0</v>
      </c>
    </row>
    <row r="56" spans="1:11" ht="25.5" x14ac:dyDescent="0.25">
      <c r="A56" s="4">
        <f t="shared" si="1"/>
        <v>2.0053000000000112</v>
      </c>
      <c r="B56" s="5"/>
      <c r="C56" s="5" t="s">
        <v>586</v>
      </c>
      <c r="D56" s="119" t="s">
        <v>869</v>
      </c>
      <c r="E56" s="7"/>
      <c r="F56" s="7" t="s">
        <v>5</v>
      </c>
      <c r="G56" s="7">
        <f t="shared" si="2"/>
        <v>1</v>
      </c>
      <c r="H56" s="7">
        <f t="shared" si="2"/>
        <v>0</v>
      </c>
      <c r="I56" s="7">
        <f t="shared" si="2"/>
        <v>0</v>
      </c>
      <c r="J56" s="7">
        <f t="shared" si="2"/>
        <v>0</v>
      </c>
      <c r="K56" s="7">
        <f t="shared" si="2"/>
        <v>0</v>
      </c>
    </row>
    <row r="57" spans="1:11" x14ac:dyDescent="0.25">
      <c r="A57" s="4">
        <f t="shared" si="1"/>
        <v>2.0054000000000114</v>
      </c>
      <c r="B57" s="5"/>
      <c r="C57" s="23"/>
      <c r="D57" s="115"/>
      <c r="E57" s="7"/>
      <c r="F57" s="7"/>
      <c r="G57" s="7"/>
      <c r="H57" s="7"/>
      <c r="I57" s="7"/>
      <c r="J57" s="7"/>
      <c r="K57" s="7"/>
    </row>
    <row r="58" spans="1:11" x14ac:dyDescent="0.25">
      <c r="A58" s="4">
        <f t="shared" si="1"/>
        <v>2.0055000000000116</v>
      </c>
      <c r="B58" s="16" t="s">
        <v>870</v>
      </c>
      <c r="C58" s="16"/>
      <c r="D58" s="17"/>
      <c r="E58" s="7"/>
      <c r="F58" s="7"/>
      <c r="G58" s="7"/>
      <c r="H58" s="7"/>
      <c r="I58" s="7"/>
      <c r="J58" s="7"/>
      <c r="K58" s="7"/>
    </row>
    <row r="59" spans="1:11" ht="25.5" x14ac:dyDescent="0.25">
      <c r="A59" s="4">
        <f t="shared" si="1"/>
        <v>2.0056000000000118</v>
      </c>
      <c r="B59" s="6" t="s">
        <v>572</v>
      </c>
      <c r="C59" s="5" t="s">
        <v>569</v>
      </c>
      <c r="D59" s="115" t="s">
        <v>871</v>
      </c>
      <c r="E59" s="7"/>
      <c r="F59" s="7" t="s">
        <v>5</v>
      </c>
      <c r="G59" s="7">
        <f t="shared" ref="G59:K62" si="3">IF($F59=G$1,1,0)</f>
        <v>1</v>
      </c>
      <c r="H59" s="7">
        <f t="shared" si="3"/>
        <v>0</v>
      </c>
      <c r="I59" s="7">
        <f t="shared" si="3"/>
        <v>0</v>
      </c>
      <c r="J59" s="7">
        <f t="shared" si="3"/>
        <v>0</v>
      </c>
      <c r="K59" s="7">
        <f t="shared" si="3"/>
        <v>0</v>
      </c>
    </row>
    <row r="60" spans="1:11" x14ac:dyDescent="0.25">
      <c r="A60" s="4">
        <f t="shared" si="1"/>
        <v>2.005700000000012</v>
      </c>
      <c r="B60" s="6"/>
      <c r="C60" s="5" t="s">
        <v>570</v>
      </c>
      <c r="D60" s="115"/>
      <c r="E60" s="7"/>
      <c r="F60" s="7" t="s">
        <v>5</v>
      </c>
      <c r="G60" s="7">
        <f t="shared" si="3"/>
        <v>1</v>
      </c>
      <c r="H60" s="7">
        <f t="shared" si="3"/>
        <v>0</v>
      </c>
      <c r="I60" s="7">
        <f t="shared" si="3"/>
        <v>0</v>
      </c>
      <c r="J60" s="7">
        <f t="shared" si="3"/>
        <v>0</v>
      </c>
      <c r="K60" s="7">
        <f t="shared" si="3"/>
        <v>0</v>
      </c>
    </row>
    <row r="61" spans="1:11" x14ac:dyDescent="0.25">
      <c r="A61" s="4">
        <f t="shared" si="1"/>
        <v>2.0058000000000122</v>
      </c>
      <c r="B61" s="6"/>
      <c r="C61" s="5" t="s">
        <v>571</v>
      </c>
      <c r="D61" s="115"/>
      <c r="E61" s="7"/>
      <c r="F61" s="7" t="s">
        <v>5</v>
      </c>
      <c r="G61" s="7">
        <f t="shared" si="3"/>
        <v>1</v>
      </c>
      <c r="H61" s="7">
        <f t="shared" si="3"/>
        <v>0</v>
      </c>
      <c r="I61" s="7">
        <f t="shared" si="3"/>
        <v>0</v>
      </c>
      <c r="J61" s="7">
        <f t="shared" si="3"/>
        <v>0</v>
      </c>
      <c r="K61" s="7">
        <f t="shared" si="3"/>
        <v>0</v>
      </c>
    </row>
    <row r="62" spans="1:11" x14ac:dyDescent="0.25">
      <c r="A62" s="4">
        <f t="shared" si="1"/>
        <v>2.0059000000000125</v>
      </c>
      <c r="B62" s="6"/>
      <c r="C62" s="5" t="s">
        <v>734</v>
      </c>
      <c r="D62" s="115"/>
      <c r="E62" s="7"/>
      <c r="F62" s="7" t="s">
        <v>5</v>
      </c>
      <c r="G62" s="7">
        <f t="shared" si="3"/>
        <v>1</v>
      </c>
      <c r="H62" s="7">
        <f t="shared" si="3"/>
        <v>0</v>
      </c>
      <c r="I62" s="7">
        <f t="shared" si="3"/>
        <v>0</v>
      </c>
      <c r="J62" s="7">
        <f t="shared" si="3"/>
        <v>0</v>
      </c>
      <c r="K62" s="7">
        <f t="shared" si="3"/>
        <v>0</v>
      </c>
    </row>
    <row r="63" spans="1:11" x14ac:dyDescent="0.25">
      <c r="A63" s="4">
        <f t="shared" si="1"/>
        <v>2.0060000000000127</v>
      </c>
      <c r="B63" s="16" t="s">
        <v>735</v>
      </c>
      <c r="C63" s="17"/>
      <c r="D63" s="16"/>
      <c r="E63" s="7"/>
      <c r="F63" s="7"/>
      <c r="G63" s="7"/>
      <c r="H63" s="7"/>
      <c r="I63" s="7"/>
      <c r="J63" s="7"/>
      <c r="K63" s="7"/>
    </row>
    <row r="64" spans="1:11" x14ac:dyDescent="0.25">
      <c r="A64" s="4">
        <f t="shared" si="1"/>
        <v>2.0061000000000129</v>
      </c>
      <c r="B64" s="5" t="s">
        <v>872</v>
      </c>
      <c r="C64" s="5" t="s">
        <v>877</v>
      </c>
      <c r="D64" s="153" t="s">
        <v>694</v>
      </c>
      <c r="E64" s="7"/>
      <c r="F64" s="7" t="s">
        <v>5</v>
      </c>
      <c r="G64" s="7">
        <f t="shared" ref="G64:K69" si="4">IF($F64=G$1,1,0)</f>
        <v>1</v>
      </c>
      <c r="H64" s="7">
        <f t="shared" si="4"/>
        <v>0</v>
      </c>
      <c r="I64" s="7">
        <f t="shared" si="4"/>
        <v>0</v>
      </c>
      <c r="J64" s="7">
        <f t="shared" si="4"/>
        <v>0</v>
      </c>
      <c r="K64" s="7">
        <f t="shared" si="4"/>
        <v>0</v>
      </c>
    </row>
    <row r="65" spans="1:11" ht="76.5" x14ac:dyDescent="0.25">
      <c r="A65" s="4">
        <f t="shared" si="1"/>
        <v>2.0062000000000131</v>
      </c>
      <c r="B65" s="5" t="s">
        <v>876</v>
      </c>
      <c r="C65" s="5" t="s">
        <v>873</v>
      </c>
      <c r="D65" s="6" t="s">
        <v>920</v>
      </c>
      <c r="E65" s="7"/>
      <c r="F65" s="7" t="s">
        <v>5</v>
      </c>
      <c r="G65" s="7">
        <f t="shared" si="4"/>
        <v>1</v>
      </c>
      <c r="H65" s="7">
        <f t="shared" si="4"/>
        <v>0</v>
      </c>
      <c r="I65" s="7">
        <f t="shared" si="4"/>
        <v>0</v>
      </c>
      <c r="J65" s="7">
        <f t="shared" si="4"/>
        <v>0</v>
      </c>
      <c r="K65" s="7">
        <f t="shared" si="4"/>
        <v>0</v>
      </c>
    </row>
    <row r="66" spans="1:11" ht="25.5" x14ac:dyDescent="0.25">
      <c r="A66" s="4">
        <f t="shared" si="1"/>
        <v>2.0063000000000133</v>
      </c>
      <c r="B66" s="5" t="s">
        <v>482</v>
      </c>
      <c r="C66" s="5" t="s">
        <v>874</v>
      </c>
      <c r="D66" s="6"/>
      <c r="E66" s="7"/>
      <c r="F66" s="7" t="s">
        <v>5</v>
      </c>
      <c r="G66" s="7">
        <f t="shared" si="4"/>
        <v>1</v>
      </c>
      <c r="H66" s="7">
        <f t="shared" si="4"/>
        <v>0</v>
      </c>
      <c r="I66" s="7">
        <f t="shared" si="4"/>
        <v>0</v>
      </c>
      <c r="J66" s="7">
        <f t="shared" si="4"/>
        <v>0</v>
      </c>
      <c r="K66" s="7">
        <f t="shared" si="4"/>
        <v>0</v>
      </c>
    </row>
    <row r="67" spans="1:11" ht="25.5" x14ac:dyDescent="0.25">
      <c r="A67" s="4">
        <f t="shared" si="1"/>
        <v>2.0064000000000135</v>
      </c>
      <c r="B67" s="5" t="s">
        <v>875</v>
      </c>
      <c r="C67" s="5" t="s">
        <v>878</v>
      </c>
      <c r="D67" s="6"/>
      <c r="E67" s="7"/>
      <c r="F67" s="7" t="s">
        <v>5</v>
      </c>
      <c r="G67" s="7">
        <f t="shared" si="4"/>
        <v>1</v>
      </c>
      <c r="H67" s="7">
        <f t="shared" si="4"/>
        <v>0</v>
      </c>
      <c r="I67" s="7">
        <f t="shared" si="4"/>
        <v>0</v>
      </c>
      <c r="J67" s="7">
        <f t="shared" si="4"/>
        <v>0</v>
      </c>
      <c r="K67" s="7">
        <f t="shared" si="4"/>
        <v>0</v>
      </c>
    </row>
    <row r="68" spans="1:11" ht="25.5" x14ac:dyDescent="0.25">
      <c r="A68" s="4">
        <f t="shared" ref="A68:A106" si="5">A67+0.0001</f>
        <v>2.0065000000000137</v>
      </c>
      <c r="B68" s="5" t="s">
        <v>879</v>
      </c>
      <c r="C68" s="5" t="s">
        <v>880</v>
      </c>
      <c r="D68" s="6"/>
      <c r="E68" s="7"/>
      <c r="F68" s="7" t="s">
        <v>5</v>
      </c>
      <c r="G68" s="7">
        <f t="shared" si="4"/>
        <v>1</v>
      </c>
      <c r="H68" s="7">
        <f t="shared" si="4"/>
        <v>0</v>
      </c>
      <c r="I68" s="7">
        <f t="shared" si="4"/>
        <v>0</v>
      </c>
      <c r="J68" s="7">
        <f t="shared" si="4"/>
        <v>0</v>
      </c>
      <c r="K68" s="7">
        <f t="shared" si="4"/>
        <v>0</v>
      </c>
    </row>
    <row r="69" spans="1:11" ht="25.5" x14ac:dyDescent="0.25">
      <c r="A69" s="4">
        <f t="shared" si="5"/>
        <v>2.0066000000000139</v>
      </c>
      <c r="B69" s="5" t="s">
        <v>482</v>
      </c>
      <c r="C69" s="5" t="s">
        <v>881</v>
      </c>
      <c r="D69" s="6"/>
      <c r="E69" s="7"/>
      <c r="F69" s="7" t="s">
        <v>5</v>
      </c>
      <c r="G69" s="7">
        <f t="shared" si="4"/>
        <v>1</v>
      </c>
      <c r="H69" s="7">
        <f t="shared" si="4"/>
        <v>0</v>
      </c>
      <c r="I69" s="7">
        <f t="shared" si="4"/>
        <v>0</v>
      </c>
      <c r="J69" s="7">
        <f t="shared" si="4"/>
        <v>0</v>
      </c>
      <c r="K69" s="7">
        <f t="shared" si="4"/>
        <v>0</v>
      </c>
    </row>
    <row r="70" spans="1:11" x14ac:dyDescent="0.25">
      <c r="A70" s="4">
        <f t="shared" si="5"/>
        <v>2.0067000000000141</v>
      </c>
      <c r="B70" s="5"/>
      <c r="C70" s="22"/>
      <c r="D70" s="117"/>
      <c r="E70" s="7"/>
      <c r="F70" s="7"/>
      <c r="G70" s="7"/>
      <c r="H70" s="7"/>
      <c r="I70" s="7"/>
      <c r="J70" s="7"/>
      <c r="K70" s="7"/>
    </row>
    <row r="71" spans="1:11" x14ac:dyDescent="0.25">
      <c r="A71" s="4">
        <f t="shared" si="5"/>
        <v>2.0068000000000144</v>
      </c>
      <c r="B71" s="5"/>
      <c r="C71" s="22"/>
      <c r="D71" s="117"/>
      <c r="E71" s="7"/>
      <c r="F71" s="7"/>
      <c r="G71" s="7"/>
      <c r="H71" s="7"/>
      <c r="I71" s="7"/>
      <c r="J71" s="7"/>
      <c r="K71" s="7"/>
    </row>
    <row r="72" spans="1:11" x14ac:dyDescent="0.25">
      <c r="A72" s="4">
        <f t="shared" si="5"/>
        <v>2.0069000000000146</v>
      </c>
      <c r="B72" s="16" t="s">
        <v>882</v>
      </c>
      <c r="C72" s="16"/>
      <c r="D72" s="17"/>
      <c r="E72" s="7"/>
      <c r="F72" s="7"/>
      <c r="G72" s="7"/>
      <c r="H72" s="7"/>
      <c r="I72" s="7"/>
      <c r="J72" s="7"/>
      <c r="K72" s="7"/>
    </row>
    <row r="73" spans="1:11" ht="25.5" x14ac:dyDescent="0.25">
      <c r="A73" s="4">
        <f t="shared" si="5"/>
        <v>2.0070000000000148</v>
      </c>
      <c r="B73" s="6" t="s">
        <v>572</v>
      </c>
      <c r="C73" s="5" t="s">
        <v>569</v>
      </c>
      <c r="D73" s="115" t="s">
        <v>883</v>
      </c>
      <c r="E73" s="7"/>
      <c r="F73" s="7" t="s">
        <v>5</v>
      </c>
      <c r="G73" s="7">
        <f t="shared" ref="G73:K76" si="6">IF($F73=G$1,1,0)</f>
        <v>1</v>
      </c>
      <c r="H73" s="7">
        <f t="shared" si="6"/>
        <v>0</v>
      </c>
      <c r="I73" s="7">
        <f t="shared" si="6"/>
        <v>0</v>
      </c>
      <c r="J73" s="7">
        <f t="shared" si="6"/>
        <v>0</v>
      </c>
      <c r="K73" s="7">
        <f t="shared" si="6"/>
        <v>0</v>
      </c>
    </row>
    <row r="74" spans="1:11" ht="30" x14ac:dyDescent="0.25">
      <c r="A74" s="4">
        <f t="shared" si="5"/>
        <v>2.007100000000015</v>
      </c>
      <c r="B74" s="6"/>
      <c r="C74" s="5" t="s">
        <v>570</v>
      </c>
      <c r="D74" s="117" t="s">
        <v>913</v>
      </c>
      <c r="E74" s="7"/>
      <c r="F74" s="7" t="s">
        <v>5</v>
      </c>
      <c r="G74" s="7">
        <f t="shared" si="6"/>
        <v>1</v>
      </c>
      <c r="H74" s="7">
        <f t="shared" si="6"/>
        <v>0</v>
      </c>
      <c r="I74" s="7">
        <f t="shared" si="6"/>
        <v>0</v>
      </c>
      <c r="J74" s="7">
        <f t="shared" si="6"/>
        <v>0</v>
      </c>
      <c r="K74" s="7">
        <f t="shared" si="6"/>
        <v>0</v>
      </c>
    </row>
    <row r="75" spans="1:11" ht="30" x14ac:dyDescent="0.25">
      <c r="A75" s="4">
        <f t="shared" si="5"/>
        <v>2.0072000000000152</v>
      </c>
      <c r="B75" s="6"/>
      <c r="C75" s="5" t="s">
        <v>571</v>
      </c>
      <c r="D75" s="117" t="s">
        <v>914</v>
      </c>
      <c r="E75" s="7"/>
      <c r="F75" s="7" t="s">
        <v>5</v>
      </c>
      <c r="G75" s="7">
        <f t="shared" si="6"/>
        <v>1</v>
      </c>
      <c r="H75" s="7">
        <f t="shared" si="6"/>
        <v>0</v>
      </c>
      <c r="I75" s="7">
        <f t="shared" si="6"/>
        <v>0</v>
      </c>
      <c r="J75" s="7">
        <f t="shared" si="6"/>
        <v>0</v>
      </c>
      <c r="K75" s="7">
        <f t="shared" si="6"/>
        <v>0</v>
      </c>
    </row>
    <row r="76" spans="1:11" ht="30" x14ac:dyDescent="0.25">
      <c r="A76" s="4">
        <f t="shared" si="5"/>
        <v>2.0073000000000154</v>
      </c>
      <c r="B76" s="6"/>
      <c r="C76" s="5" t="s">
        <v>573</v>
      </c>
      <c r="D76" s="117" t="s">
        <v>914</v>
      </c>
      <c r="E76" s="7"/>
      <c r="F76" s="7" t="s">
        <v>5</v>
      </c>
      <c r="G76" s="7">
        <f t="shared" si="6"/>
        <v>1</v>
      </c>
      <c r="H76" s="7">
        <f t="shared" si="6"/>
        <v>0</v>
      </c>
      <c r="I76" s="7">
        <f t="shared" si="6"/>
        <v>0</v>
      </c>
      <c r="J76" s="7">
        <f t="shared" si="6"/>
        <v>0</v>
      </c>
      <c r="K76" s="7">
        <f t="shared" si="6"/>
        <v>0</v>
      </c>
    </row>
    <row r="77" spans="1:11" x14ac:dyDescent="0.25">
      <c r="A77" s="4">
        <f t="shared" si="5"/>
        <v>2.0074000000000156</v>
      </c>
      <c r="B77" s="6"/>
      <c r="C77" s="23"/>
      <c r="D77" s="117"/>
      <c r="E77" s="7"/>
      <c r="F77" s="7"/>
      <c r="G77" s="7"/>
      <c r="H77" s="7"/>
      <c r="I77" s="7"/>
      <c r="J77" s="7"/>
      <c r="K77" s="7"/>
    </row>
    <row r="78" spans="1:11" x14ac:dyDescent="0.25">
      <c r="A78" s="4">
        <f t="shared" si="5"/>
        <v>2.0075000000000158</v>
      </c>
      <c r="B78" s="6"/>
      <c r="C78" s="23"/>
      <c r="D78" s="117"/>
      <c r="E78" s="7"/>
      <c r="F78" s="7"/>
      <c r="G78" s="7"/>
      <c r="H78" s="7"/>
      <c r="I78" s="7"/>
      <c r="J78" s="7"/>
      <c r="K78" s="7"/>
    </row>
    <row r="79" spans="1:11" x14ac:dyDescent="0.25">
      <c r="A79" s="4">
        <f t="shared" si="5"/>
        <v>2.007600000000016</v>
      </c>
      <c r="B79" s="16" t="s">
        <v>909</v>
      </c>
      <c r="C79" s="16"/>
      <c r="D79" s="17"/>
      <c r="E79" s="7"/>
      <c r="F79" s="7"/>
      <c r="G79" s="7"/>
      <c r="H79" s="7"/>
      <c r="I79" s="7"/>
      <c r="J79" s="7"/>
      <c r="K79" s="7"/>
    </row>
    <row r="80" spans="1:11" x14ac:dyDescent="0.25">
      <c r="A80" s="4">
        <f t="shared" si="5"/>
        <v>2.0077000000000162</v>
      </c>
      <c r="B80" s="96" t="s">
        <v>555</v>
      </c>
      <c r="C80" s="5" t="s">
        <v>556</v>
      </c>
      <c r="D80" s="117"/>
      <c r="E80" s="7"/>
      <c r="F80" s="7" t="s">
        <v>5</v>
      </c>
      <c r="G80" s="7">
        <f t="shared" ref="G80:K87" si="7">IF($F80=G$1,1,0)</f>
        <v>1</v>
      </c>
      <c r="H80" s="7">
        <f t="shared" si="7"/>
        <v>0</v>
      </c>
      <c r="I80" s="7">
        <f t="shared" si="7"/>
        <v>0</v>
      </c>
      <c r="J80" s="7">
        <f t="shared" si="7"/>
        <v>0</v>
      </c>
      <c r="K80" s="7">
        <f t="shared" si="7"/>
        <v>0</v>
      </c>
    </row>
    <row r="81" spans="1:11" x14ac:dyDescent="0.25">
      <c r="A81" s="4">
        <f t="shared" si="5"/>
        <v>2.0078000000000165</v>
      </c>
      <c r="B81" s="6"/>
      <c r="C81" s="5" t="s">
        <v>557</v>
      </c>
      <c r="D81" s="117" t="s">
        <v>461</v>
      </c>
      <c r="E81" s="7"/>
      <c r="F81" s="7" t="s">
        <v>5</v>
      </c>
      <c r="G81" s="7">
        <f t="shared" si="7"/>
        <v>1</v>
      </c>
      <c r="H81" s="7">
        <f t="shared" si="7"/>
        <v>0</v>
      </c>
      <c r="I81" s="7">
        <f t="shared" si="7"/>
        <v>0</v>
      </c>
      <c r="J81" s="7">
        <f t="shared" si="7"/>
        <v>0</v>
      </c>
      <c r="K81" s="7">
        <f t="shared" si="7"/>
        <v>0</v>
      </c>
    </row>
    <row r="82" spans="1:11" x14ac:dyDescent="0.25">
      <c r="A82" s="4">
        <f t="shared" si="5"/>
        <v>2.0079000000000167</v>
      </c>
      <c r="B82" s="6"/>
      <c r="C82" s="5" t="s">
        <v>574</v>
      </c>
      <c r="D82" s="117"/>
      <c r="E82" s="7"/>
      <c r="F82" s="7" t="s">
        <v>5</v>
      </c>
      <c r="G82" s="7">
        <f t="shared" si="7"/>
        <v>1</v>
      </c>
      <c r="H82" s="7">
        <f t="shared" si="7"/>
        <v>0</v>
      </c>
      <c r="I82" s="7">
        <f t="shared" si="7"/>
        <v>0</v>
      </c>
      <c r="J82" s="7">
        <f t="shared" si="7"/>
        <v>0</v>
      </c>
      <c r="K82" s="7">
        <f t="shared" si="7"/>
        <v>0</v>
      </c>
    </row>
    <row r="83" spans="1:11" x14ac:dyDescent="0.25">
      <c r="A83" s="4">
        <f t="shared" si="5"/>
        <v>2.0080000000000169</v>
      </c>
      <c r="B83" s="6"/>
      <c r="C83" s="5" t="s">
        <v>575</v>
      </c>
      <c r="D83" s="117"/>
      <c r="E83" s="7"/>
      <c r="F83" s="7" t="s">
        <v>5</v>
      </c>
      <c r="G83" s="7">
        <f t="shared" si="7"/>
        <v>1</v>
      </c>
      <c r="H83" s="7">
        <f t="shared" si="7"/>
        <v>0</v>
      </c>
      <c r="I83" s="7">
        <f t="shared" si="7"/>
        <v>0</v>
      </c>
      <c r="J83" s="7">
        <f t="shared" si="7"/>
        <v>0</v>
      </c>
      <c r="K83" s="7">
        <f t="shared" si="7"/>
        <v>0</v>
      </c>
    </row>
    <row r="84" spans="1:11" x14ac:dyDescent="0.25">
      <c r="A84" s="4">
        <f t="shared" si="5"/>
        <v>2.0081000000000171</v>
      </c>
      <c r="B84" s="6"/>
      <c r="C84" s="5" t="s">
        <v>576</v>
      </c>
      <c r="D84" s="117"/>
      <c r="E84" s="7"/>
      <c r="F84" s="7" t="s">
        <v>5</v>
      </c>
      <c r="G84" s="7">
        <f t="shared" si="7"/>
        <v>1</v>
      </c>
      <c r="H84" s="7">
        <f t="shared" si="7"/>
        <v>0</v>
      </c>
      <c r="I84" s="7">
        <f t="shared" si="7"/>
        <v>0</v>
      </c>
      <c r="J84" s="7">
        <f t="shared" si="7"/>
        <v>0</v>
      </c>
      <c r="K84" s="7">
        <f t="shared" si="7"/>
        <v>0</v>
      </c>
    </row>
    <row r="85" spans="1:11" x14ac:dyDescent="0.25">
      <c r="A85" s="4">
        <f t="shared" si="5"/>
        <v>2.0082000000000173</v>
      </c>
      <c r="B85" s="6"/>
      <c r="C85" s="5" t="s">
        <v>577</v>
      </c>
      <c r="D85" s="117"/>
      <c r="E85" s="7"/>
      <c r="F85" s="7" t="s">
        <v>5</v>
      </c>
      <c r="G85" s="7">
        <f t="shared" si="7"/>
        <v>1</v>
      </c>
      <c r="H85" s="7">
        <f t="shared" si="7"/>
        <v>0</v>
      </c>
      <c r="I85" s="7">
        <f t="shared" si="7"/>
        <v>0</v>
      </c>
      <c r="J85" s="7">
        <f t="shared" si="7"/>
        <v>0</v>
      </c>
      <c r="K85" s="7">
        <f t="shared" si="7"/>
        <v>0</v>
      </c>
    </row>
    <row r="86" spans="1:11" x14ac:dyDescent="0.25">
      <c r="A86" s="4">
        <f t="shared" si="5"/>
        <v>2.0083000000000175</v>
      </c>
      <c r="B86" s="6"/>
      <c r="C86" s="5" t="s">
        <v>578</v>
      </c>
      <c r="D86" s="117"/>
      <c r="E86" s="7"/>
      <c r="F86" s="7" t="s">
        <v>5</v>
      </c>
      <c r="G86" s="7">
        <f t="shared" si="7"/>
        <v>1</v>
      </c>
      <c r="H86" s="7">
        <f t="shared" si="7"/>
        <v>0</v>
      </c>
      <c r="I86" s="7">
        <f t="shared" si="7"/>
        <v>0</v>
      </c>
      <c r="J86" s="7">
        <f t="shared" si="7"/>
        <v>0</v>
      </c>
      <c r="K86" s="7">
        <f t="shared" si="7"/>
        <v>0</v>
      </c>
    </row>
    <row r="87" spans="1:11" x14ac:dyDescent="0.25">
      <c r="A87" s="4">
        <f t="shared" si="5"/>
        <v>2.0084000000000177</v>
      </c>
      <c r="B87" s="6"/>
      <c r="C87" s="5" t="s">
        <v>579</v>
      </c>
      <c r="D87" s="117"/>
      <c r="E87" s="7"/>
      <c r="F87" s="7" t="s">
        <v>5</v>
      </c>
      <c r="G87" s="7">
        <f t="shared" si="7"/>
        <v>1</v>
      </c>
      <c r="H87" s="7">
        <f t="shared" si="7"/>
        <v>0</v>
      </c>
      <c r="I87" s="7">
        <f t="shared" si="7"/>
        <v>0</v>
      </c>
      <c r="J87" s="7">
        <f t="shared" si="7"/>
        <v>0</v>
      </c>
      <c r="K87" s="7">
        <f t="shared" si="7"/>
        <v>0</v>
      </c>
    </row>
    <row r="88" spans="1:11" x14ac:dyDescent="0.25">
      <c r="A88" s="4">
        <f t="shared" si="5"/>
        <v>2.0085000000000179</v>
      </c>
      <c r="B88" s="6"/>
      <c r="C88" s="5"/>
      <c r="D88" s="117"/>
      <c r="E88" s="7"/>
      <c r="F88" s="7"/>
      <c r="G88" s="7"/>
      <c r="H88" s="7"/>
      <c r="I88" s="7"/>
      <c r="J88" s="7"/>
      <c r="K88" s="7"/>
    </row>
    <row r="89" spans="1:11" x14ac:dyDescent="0.25">
      <c r="A89" s="4">
        <f t="shared" si="5"/>
        <v>2.0086000000000181</v>
      </c>
      <c r="B89" s="5"/>
      <c r="C89" s="5"/>
      <c r="D89" s="117"/>
      <c r="E89" s="7"/>
      <c r="F89" s="7"/>
      <c r="G89" s="7"/>
      <c r="H89" s="7"/>
      <c r="I89" s="7"/>
      <c r="J89" s="7"/>
      <c r="K89" s="7"/>
    </row>
    <row r="90" spans="1:11" x14ac:dyDescent="0.25">
      <c r="A90" s="4">
        <f t="shared" si="5"/>
        <v>2.0087000000000184</v>
      </c>
      <c r="B90" s="5"/>
      <c r="C90" s="5"/>
      <c r="D90" s="117"/>
      <c r="E90" s="7"/>
      <c r="F90" s="7"/>
      <c r="G90" s="7"/>
      <c r="H90" s="7"/>
      <c r="I90" s="7"/>
      <c r="J90" s="7"/>
      <c r="K90" s="7"/>
    </row>
    <row r="91" spans="1:11" x14ac:dyDescent="0.25">
      <c r="A91" s="4">
        <f t="shared" si="5"/>
        <v>2.0088000000000186</v>
      </c>
      <c r="B91" s="96" t="s">
        <v>560</v>
      </c>
      <c r="C91" s="63" t="s">
        <v>884</v>
      </c>
      <c r="D91" s="117"/>
      <c r="E91" s="7"/>
      <c r="F91" s="7" t="s">
        <v>5</v>
      </c>
      <c r="G91" s="7">
        <f t="shared" ref="G91:K94" si="8">IF($F91=G$1,1,0)</f>
        <v>1</v>
      </c>
      <c r="H91" s="7">
        <f t="shared" si="8"/>
        <v>0</v>
      </c>
      <c r="I91" s="7">
        <f t="shared" si="8"/>
        <v>0</v>
      </c>
      <c r="J91" s="7">
        <f t="shared" si="8"/>
        <v>0</v>
      </c>
      <c r="K91" s="7">
        <f t="shared" si="8"/>
        <v>0</v>
      </c>
    </row>
    <row r="92" spans="1:11" x14ac:dyDescent="0.25">
      <c r="A92" s="4">
        <f t="shared" si="5"/>
        <v>2.0089000000000188</v>
      </c>
      <c r="B92" s="6"/>
      <c r="C92" s="5" t="s">
        <v>584</v>
      </c>
      <c r="D92" s="117"/>
      <c r="E92" s="7"/>
      <c r="F92" s="7" t="s">
        <v>5</v>
      </c>
      <c r="G92" s="7">
        <f t="shared" si="8"/>
        <v>1</v>
      </c>
      <c r="H92" s="7">
        <f t="shared" si="8"/>
        <v>0</v>
      </c>
      <c r="I92" s="7">
        <f t="shared" si="8"/>
        <v>0</v>
      </c>
      <c r="J92" s="7">
        <f t="shared" si="8"/>
        <v>0</v>
      </c>
      <c r="K92" s="7">
        <f t="shared" si="8"/>
        <v>0</v>
      </c>
    </row>
    <row r="93" spans="1:11" x14ac:dyDescent="0.25">
      <c r="A93" s="4">
        <f t="shared" si="5"/>
        <v>2.009000000000019</v>
      </c>
      <c r="B93" s="6"/>
      <c r="C93" s="5" t="s">
        <v>585</v>
      </c>
      <c r="D93" s="117"/>
      <c r="E93" s="7"/>
      <c r="F93" s="7" t="s">
        <v>5</v>
      </c>
      <c r="G93" s="7">
        <f t="shared" si="8"/>
        <v>1</v>
      </c>
      <c r="H93" s="7">
        <f t="shared" si="8"/>
        <v>0</v>
      </c>
      <c r="I93" s="7">
        <f t="shared" si="8"/>
        <v>0</v>
      </c>
      <c r="J93" s="7">
        <f t="shared" si="8"/>
        <v>0</v>
      </c>
      <c r="K93" s="7">
        <f t="shared" si="8"/>
        <v>0</v>
      </c>
    </row>
    <row r="94" spans="1:11" x14ac:dyDescent="0.25">
      <c r="A94" s="4">
        <f t="shared" si="5"/>
        <v>2.0091000000000192</v>
      </c>
      <c r="B94" s="6"/>
      <c r="C94" s="5" t="s">
        <v>562</v>
      </c>
      <c r="D94" s="117"/>
      <c r="E94" s="7"/>
      <c r="F94" s="7" t="s">
        <v>5</v>
      </c>
      <c r="G94" s="7">
        <f t="shared" si="8"/>
        <v>1</v>
      </c>
      <c r="H94" s="7">
        <f t="shared" si="8"/>
        <v>0</v>
      </c>
      <c r="I94" s="7">
        <f t="shared" si="8"/>
        <v>0</v>
      </c>
      <c r="J94" s="7">
        <f t="shared" si="8"/>
        <v>0</v>
      </c>
      <c r="K94" s="7">
        <f t="shared" si="8"/>
        <v>0</v>
      </c>
    </row>
    <row r="95" spans="1:11" x14ac:dyDescent="0.25">
      <c r="A95" s="4">
        <f t="shared" si="5"/>
        <v>2.0092000000000194</v>
      </c>
      <c r="B95" s="6"/>
      <c r="C95" s="5"/>
      <c r="D95" s="117"/>
      <c r="E95" s="7"/>
      <c r="F95" s="7"/>
      <c r="G95" s="7"/>
      <c r="H95" s="7"/>
      <c r="I95" s="7"/>
      <c r="J95" s="7"/>
      <c r="K95" s="7"/>
    </row>
    <row r="96" spans="1:11" x14ac:dyDescent="0.25">
      <c r="A96" s="4">
        <f t="shared" si="5"/>
        <v>2.0093000000000196</v>
      </c>
      <c r="B96" s="6"/>
      <c r="C96" s="5" t="s">
        <v>591</v>
      </c>
      <c r="D96" s="117" t="s">
        <v>885</v>
      </c>
      <c r="E96" s="7"/>
      <c r="F96" s="7" t="s">
        <v>5</v>
      </c>
      <c r="G96" s="7"/>
      <c r="H96" s="7"/>
      <c r="I96" s="7"/>
      <c r="J96" s="7"/>
      <c r="K96" s="7"/>
    </row>
    <row r="97" spans="1:11" x14ac:dyDescent="0.25">
      <c r="A97" s="4">
        <f t="shared" si="5"/>
        <v>2.0094000000000198</v>
      </c>
      <c r="B97" s="6"/>
      <c r="C97" s="5" t="s">
        <v>886</v>
      </c>
      <c r="D97" s="117" t="s">
        <v>887</v>
      </c>
      <c r="E97" s="7"/>
      <c r="F97" s="7" t="s">
        <v>5</v>
      </c>
      <c r="G97" s="7">
        <f t="shared" ref="G97:K101" si="9">IF($F97=G$1,1,0)</f>
        <v>1</v>
      </c>
      <c r="H97" s="7">
        <f t="shared" si="9"/>
        <v>0</v>
      </c>
      <c r="I97" s="7">
        <f t="shared" si="9"/>
        <v>0</v>
      </c>
      <c r="J97" s="7">
        <f t="shared" si="9"/>
        <v>0</v>
      </c>
      <c r="K97" s="7">
        <f t="shared" si="9"/>
        <v>0</v>
      </c>
    </row>
    <row r="98" spans="1:11" ht="30" x14ac:dyDescent="0.25">
      <c r="A98" s="4">
        <f t="shared" si="5"/>
        <v>2.00950000000002</v>
      </c>
      <c r="B98" s="6"/>
      <c r="C98" s="5" t="s">
        <v>866</v>
      </c>
      <c r="D98" s="117" t="s">
        <v>888</v>
      </c>
      <c r="E98" s="7"/>
      <c r="F98" s="7" t="s">
        <v>5</v>
      </c>
      <c r="G98" s="7">
        <f t="shared" si="9"/>
        <v>1</v>
      </c>
      <c r="H98" s="7">
        <f t="shared" si="9"/>
        <v>0</v>
      </c>
      <c r="I98" s="7">
        <f t="shared" si="9"/>
        <v>0</v>
      </c>
      <c r="J98" s="7">
        <f t="shared" si="9"/>
        <v>0</v>
      </c>
      <c r="K98" s="7">
        <f t="shared" si="9"/>
        <v>0</v>
      </c>
    </row>
    <row r="99" spans="1:11" x14ac:dyDescent="0.25">
      <c r="A99" s="4">
        <f t="shared" si="5"/>
        <v>2.0096000000000203</v>
      </c>
      <c r="B99" s="6"/>
      <c r="C99" s="5" t="s">
        <v>588</v>
      </c>
      <c r="D99" s="117" t="s">
        <v>889</v>
      </c>
      <c r="E99" s="7"/>
      <c r="F99" s="7" t="s">
        <v>5</v>
      </c>
      <c r="G99" s="7">
        <f t="shared" si="9"/>
        <v>1</v>
      </c>
      <c r="H99" s="7">
        <f t="shared" si="9"/>
        <v>0</v>
      </c>
      <c r="I99" s="7">
        <f t="shared" si="9"/>
        <v>0</v>
      </c>
      <c r="J99" s="7">
        <f t="shared" si="9"/>
        <v>0</v>
      </c>
      <c r="K99" s="7">
        <f t="shared" si="9"/>
        <v>0</v>
      </c>
    </row>
    <row r="100" spans="1:11" ht="25.5" x14ac:dyDescent="0.25">
      <c r="A100" s="4">
        <f>A99+0.0001</f>
        <v>2.0097000000000205</v>
      </c>
      <c r="B100" s="6"/>
      <c r="C100" s="5" t="s">
        <v>891</v>
      </c>
      <c r="D100" s="117"/>
      <c r="E100" s="7"/>
      <c r="F100" s="7" t="s">
        <v>5</v>
      </c>
      <c r="G100" s="7">
        <f t="shared" si="9"/>
        <v>1</v>
      </c>
      <c r="H100" s="7">
        <f t="shared" si="9"/>
        <v>0</v>
      </c>
      <c r="I100" s="7">
        <f t="shared" si="9"/>
        <v>0</v>
      </c>
      <c r="J100" s="7">
        <f t="shared" si="9"/>
        <v>0</v>
      </c>
      <c r="K100" s="7">
        <f t="shared" si="9"/>
        <v>0</v>
      </c>
    </row>
    <row r="101" spans="1:11" ht="25.5" x14ac:dyDescent="0.25">
      <c r="A101" s="4">
        <f t="shared" si="5"/>
        <v>2.0098000000000207</v>
      </c>
      <c r="B101" s="5"/>
      <c r="C101" s="5" t="s">
        <v>586</v>
      </c>
      <c r="D101" s="150" t="s">
        <v>890</v>
      </c>
      <c r="E101" s="7"/>
      <c r="F101" s="7" t="s">
        <v>7</v>
      </c>
      <c r="G101" s="7">
        <f t="shared" si="9"/>
        <v>0</v>
      </c>
      <c r="H101" s="7">
        <f t="shared" si="9"/>
        <v>0</v>
      </c>
      <c r="I101" s="7">
        <f t="shared" si="9"/>
        <v>0</v>
      </c>
      <c r="J101" s="7">
        <f t="shared" si="9"/>
        <v>1</v>
      </c>
      <c r="K101" s="7">
        <f t="shared" si="9"/>
        <v>0</v>
      </c>
    </row>
    <row r="102" spans="1:11" x14ac:dyDescent="0.25">
      <c r="A102" s="4">
        <f t="shared" si="5"/>
        <v>2.0099000000000209</v>
      </c>
      <c r="B102" s="5"/>
      <c r="C102" s="22"/>
      <c r="D102" s="117"/>
      <c r="E102" s="7"/>
      <c r="F102" s="7"/>
      <c r="G102" s="7"/>
      <c r="H102" s="7"/>
      <c r="I102" s="7"/>
      <c r="J102" s="7"/>
      <c r="K102" s="7"/>
    </row>
    <row r="103" spans="1:11" x14ac:dyDescent="0.25">
      <c r="A103" s="4">
        <f t="shared" si="5"/>
        <v>2.0100000000000211</v>
      </c>
      <c r="B103" s="16" t="s">
        <v>647</v>
      </c>
      <c r="C103" s="17" t="s">
        <v>648</v>
      </c>
      <c r="D103" s="17"/>
      <c r="E103" s="7"/>
      <c r="F103" s="7"/>
      <c r="G103" s="7"/>
      <c r="H103" s="7"/>
      <c r="I103" s="7"/>
      <c r="J103" s="7"/>
      <c r="K103" s="7"/>
    </row>
    <row r="104" spans="1:11" ht="63.75" x14ac:dyDescent="0.25">
      <c r="A104" s="4">
        <f t="shared" si="5"/>
        <v>2.0101000000000213</v>
      </c>
      <c r="B104" s="103" t="s">
        <v>742</v>
      </c>
      <c r="C104" s="104" t="s">
        <v>755</v>
      </c>
      <c r="D104" s="115" t="s">
        <v>743</v>
      </c>
      <c r="E104" s="7"/>
      <c r="F104" s="7" t="s">
        <v>8</v>
      </c>
      <c r="G104" s="7">
        <f>IF($F104=G$1,1,0)</f>
        <v>0</v>
      </c>
      <c r="H104" s="7">
        <f>IF($F104=H$1,1,0)</f>
        <v>0</v>
      </c>
      <c r="I104" s="7">
        <f>IF($F104=I$1,1,0)</f>
        <v>0</v>
      </c>
      <c r="J104" s="7">
        <f>IF($F104=J$1,1,0)</f>
        <v>0</v>
      </c>
      <c r="K104" s="7">
        <f>IF($F104=K$1,1,0)</f>
        <v>1</v>
      </c>
    </row>
    <row r="105" spans="1:11" x14ac:dyDescent="0.25">
      <c r="A105" s="4">
        <f t="shared" si="5"/>
        <v>2.0102000000000215</v>
      </c>
      <c r="B105" s="6"/>
      <c r="C105" s="5"/>
      <c r="D105" s="117"/>
      <c r="E105" s="7"/>
      <c r="F105" s="7"/>
      <c r="G105" s="7"/>
      <c r="H105" s="7"/>
      <c r="I105" s="7"/>
      <c r="J105" s="7"/>
      <c r="K105" s="7"/>
    </row>
    <row r="106" spans="1:11" x14ac:dyDescent="0.25">
      <c r="A106" s="4">
        <f t="shared" si="5"/>
        <v>2.0103000000000217</v>
      </c>
      <c r="B106" s="6"/>
      <c r="C106" s="5"/>
      <c r="D106" s="117"/>
      <c r="E106" s="7"/>
      <c r="F106" s="7"/>
      <c r="G106" s="7"/>
      <c r="H106" s="7"/>
      <c r="I106" s="7"/>
      <c r="J106" s="7"/>
      <c r="K106" s="7"/>
    </row>
    <row r="107" spans="1:11" ht="15.75" thickBot="1" x14ac:dyDescent="0.3">
      <c r="G107" s="95">
        <f>SUM(G3:G106)</f>
        <v>69</v>
      </c>
      <c r="H107" s="95">
        <f>SUM(H3:H106)</f>
        <v>0</v>
      </c>
      <c r="I107" s="95">
        <f>SUM(I3:I106)</f>
        <v>0</v>
      </c>
      <c r="J107" s="95">
        <f>SUM(J3:J106)</f>
        <v>2</v>
      </c>
      <c r="K107" s="95">
        <f>SUM(K3:K106)</f>
        <v>1</v>
      </c>
    </row>
    <row r="108" spans="1:11" ht="15.75" thickTop="1" x14ac:dyDescent="0.25"/>
  </sheetData>
  <mergeCells count="1">
    <mergeCell ref="B2:C2"/>
  </mergeCells>
  <conditionalFormatting sqref="E33 G33:K33 L32:L33 B105:C106 F6:K6 L3:L13 A4:E5 F34:K34 A5:A106 G4:K5 L15:L22 F20:K20 F8:K8 G7:K7 F10:K10 G9:K9 F12:K12 G11:K11 G13:K13 G15:K19 F43:K45 G35:K42 F50:K50 G46:K49 F57:K58 G51:K56 F63:K63 G59:K62 F70:K72 G64:K69 F77:K79 G73:K76 F88:K90 G80:K87 F95:K95 G91:K94 F101:K106 G96:K100">
    <cfRule type="expression" dxfId="101" priority="97">
      <formula>$F3="Fail"</formula>
    </cfRule>
  </conditionalFormatting>
  <conditionalFormatting sqref="A3:K3">
    <cfRule type="expression" dxfId="100" priority="96">
      <formula>$F3="Fail"</formula>
    </cfRule>
  </conditionalFormatting>
  <conditionalFormatting sqref="E32 G32:K32">
    <cfRule type="expression" dxfId="99" priority="95">
      <formula>$F32="Fail"</formula>
    </cfRule>
  </conditionalFormatting>
  <conditionalFormatting sqref="E21:K21 E22 E6:E20">
    <cfRule type="expression" dxfId="98" priority="94">
      <formula>$F6="Fail"</formula>
    </cfRule>
  </conditionalFormatting>
  <conditionalFormatting sqref="E23:E31">
    <cfRule type="expression" dxfId="97" priority="93">
      <formula>$F23="Fail"</formula>
    </cfRule>
  </conditionalFormatting>
  <conditionalFormatting sqref="F4:F5">
    <cfRule type="expression" dxfId="96" priority="92">
      <formula>$F4="Fail"</formula>
    </cfRule>
  </conditionalFormatting>
  <conditionalFormatting sqref="L23:L31">
    <cfRule type="expression" dxfId="95" priority="91">
      <formula>$F23="Fail"</formula>
    </cfRule>
  </conditionalFormatting>
  <conditionalFormatting sqref="B70:C71 B102:C102">
    <cfRule type="expression" dxfId="94" priority="90">
      <formula>$F70="Fail"</formula>
    </cfRule>
  </conditionalFormatting>
  <conditionalFormatting sqref="G22:K31">
    <cfRule type="expression" dxfId="93" priority="89">
      <formula>$F22="Fail"</formula>
    </cfRule>
  </conditionalFormatting>
  <conditionalFormatting sqref="G107:K107">
    <cfRule type="expression" dxfId="92" priority="88">
      <formula>$F107="Fail"</formula>
    </cfRule>
  </conditionalFormatting>
  <conditionalFormatting sqref="B44:C45">
    <cfRule type="expression" dxfId="91" priority="85">
      <formula>$F44="Fail"</formula>
    </cfRule>
  </conditionalFormatting>
  <conditionalFormatting sqref="B57:C57 D46:D55 B46:B56">
    <cfRule type="expression" dxfId="90" priority="84">
      <formula>$F46="Fail"</formula>
    </cfRule>
  </conditionalFormatting>
  <conditionalFormatting sqref="B59:C62">
    <cfRule type="expression" dxfId="89" priority="78">
      <formula>$F59="Fail"</formula>
    </cfRule>
  </conditionalFormatting>
  <conditionalFormatting sqref="D35:D45">
    <cfRule type="expression" dxfId="88" priority="87">
      <formula>$F35="Fail"</formula>
    </cfRule>
  </conditionalFormatting>
  <conditionalFormatting sqref="B35:C45">
    <cfRule type="expression" dxfId="87" priority="86">
      <formula>$F35="Fail"</formula>
    </cfRule>
  </conditionalFormatting>
  <conditionalFormatting sqref="B57:D57 D59:D62 B56">
    <cfRule type="expression" dxfId="86" priority="83">
      <formula>$F56="Fail"</formula>
    </cfRule>
  </conditionalFormatting>
  <conditionalFormatting sqref="C42">
    <cfRule type="expression" dxfId="85" priority="82">
      <formula>$F42="Fail"</formula>
    </cfRule>
  </conditionalFormatting>
  <conditionalFormatting sqref="C59:C62">
    <cfRule type="expression" dxfId="84" priority="76">
      <formula>$F59="Fail"</formula>
    </cfRule>
  </conditionalFormatting>
  <conditionalFormatting sqref="B58">
    <cfRule type="expression" dxfId="83" priority="75">
      <formula>$F58="Fail"</formula>
    </cfRule>
  </conditionalFormatting>
  <conditionalFormatting sqref="C58">
    <cfRule type="expression" dxfId="82" priority="74">
      <formula>$F58="Fail"</formula>
    </cfRule>
  </conditionalFormatting>
  <conditionalFormatting sqref="C62">
    <cfRule type="expression" dxfId="81" priority="73">
      <formula>$F62="Fail"</formula>
    </cfRule>
  </conditionalFormatting>
  <conditionalFormatting sqref="C59:C62">
    <cfRule type="expression" dxfId="80" priority="77">
      <formula>$F59="Fail"</formula>
    </cfRule>
  </conditionalFormatting>
  <conditionalFormatting sqref="C73:C78">
    <cfRule type="expression" dxfId="79" priority="70">
      <formula>$F73="Fail"</formula>
    </cfRule>
  </conditionalFormatting>
  <conditionalFormatting sqref="B72">
    <cfRule type="expression" dxfId="78" priority="69">
      <formula>$F72="Fail"</formula>
    </cfRule>
  </conditionalFormatting>
  <conditionalFormatting sqref="C72">
    <cfRule type="expression" dxfId="77" priority="68">
      <formula>$F72="Fail"</formula>
    </cfRule>
  </conditionalFormatting>
  <conditionalFormatting sqref="C76:C78">
    <cfRule type="expression" dxfId="76" priority="67">
      <formula>$F76="Fail"</formula>
    </cfRule>
  </conditionalFormatting>
  <conditionalFormatting sqref="C73:C78">
    <cfRule type="expression" dxfId="75" priority="71">
      <formula>$F73="Fail"</formula>
    </cfRule>
  </conditionalFormatting>
  <conditionalFormatting sqref="B73:C78">
    <cfRule type="expression" dxfId="74" priority="72">
      <formula>$F73="Fail"</formula>
    </cfRule>
  </conditionalFormatting>
  <conditionalFormatting sqref="C46:C55">
    <cfRule type="expression" dxfId="73" priority="53">
      <formula>$F46="Fail"</formula>
    </cfRule>
  </conditionalFormatting>
  <conditionalFormatting sqref="B91:C101">
    <cfRule type="expression" dxfId="72" priority="64">
      <formula>$F91="Fail"</formula>
    </cfRule>
  </conditionalFormatting>
  <conditionalFormatting sqref="B80:C90">
    <cfRule type="expression" dxfId="71" priority="66">
      <formula>$F80="Fail"</formula>
    </cfRule>
  </conditionalFormatting>
  <conditionalFormatting sqref="B89:C90">
    <cfRule type="expression" dxfId="70" priority="65">
      <formula>$F89="Fail"</formula>
    </cfRule>
  </conditionalFormatting>
  <conditionalFormatting sqref="B101:C101">
    <cfRule type="expression" dxfId="69" priority="63">
      <formula>$F101="Fail"</formula>
    </cfRule>
  </conditionalFormatting>
  <conditionalFormatting sqref="C91:C100">
    <cfRule type="expression" dxfId="68" priority="62">
      <formula>$F91="Fail"</formula>
    </cfRule>
  </conditionalFormatting>
  <conditionalFormatting sqref="C87">
    <cfRule type="expression" dxfId="67" priority="61">
      <formula>$F87="Fail"</formula>
    </cfRule>
  </conditionalFormatting>
  <conditionalFormatting sqref="B79">
    <cfRule type="expression" dxfId="66" priority="60">
      <formula>$F79="Fail"</formula>
    </cfRule>
  </conditionalFormatting>
  <conditionalFormatting sqref="C79">
    <cfRule type="expression" dxfId="65" priority="59">
      <formula>$F79="Fail"</formula>
    </cfRule>
  </conditionalFormatting>
  <conditionalFormatting sqref="C106">
    <cfRule type="expression" dxfId="64" priority="58">
      <formula>$F106="Fail"</formula>
    </cfRule>
  </conditionalFormatting>
  <conditionalFormatting sqref="B34">
    <cfRule type="expression" dxfId="63" priority="57">
      <formula>$F34="Fail"</formula>
    </cfRule>
  </conditionalFormatting>
  <conditionalFormatting sqref="C34">
    <cfRule type="expression" dxfId="62" priority="56">
      <formula>$F34="Fail"</formula>
    </cfRule>
  </conditionalFormatting>
  <conditionalFormatting sqref="C46:C56">
    <cfRule type="expression" dxfId="61" priority="55">
      <formula>$F46="Fail"</formula>
    </cfRule>
  </conditionalFormatting>
  <conditionalFormatting sqref="C56">
    <cfRule type="expression" dxfId="60" priority="54">
      <formula>$F56="Fail"</formula>
    </cfRule>
  </conditionalFormatting>
  <conditionalFormatting sqref="B103:D103 B104:C104">
    <cfRule type="expression" dxfId="59" priority="52">
      <formula>$F103="Fail"</formula>
    </cfRule>
  </conditionalFormatting>
  <conditionalFormatting sqref="D104">
    <cfRule type="expression" dxfId="58" priority="51">
      <formula>$F104="Fail"</formula>
    </cfRule>
  </conditionalFormatting>
  <conditionalFormatting sqref="D79">
    <cfRule type="expression" dxfId="57" priority="50">
      <formula>$F79="Fail"</formula>
    </cfRule>
  </conditionalFormatting>
  <conditionalFormatting sqref="D72">
    <cfRule type="expression" dxfId="56" priority="49">
      <formula>$F72="Fail"</formula>
    </cfRule>
  </conditionalFormatting>
  <conditionalFormatting sqref="C33">
    <cfRule type="expression" dxfId="55" priority="36">
      <formula>$F33="Fail"</formula>
    </cfRule>
  </conditionalFormatting>
  <conditionalFormatting sqref="D58">
    <cfRule type="expression" dxfId="54" priority="48">
      <formula>$F58="Fail"</formula>
    </cfRule>
  </conditionalFormatting>
  <conditionalFormatting sqref="D34">
    <cfRule type="expression" dxfId="53" priority="47">
      <formula>$F34="Fail"</formula>
    </cfRule>
  </conditionalFormatting>
  <conditionalFormatting sqref="B19:C19">
    <cfRule type="expression" dxfId="52" priority="27">
      <formula>$F19="Fail"</formula>
    </cfRule>
  </conditionalFormatting>
  <conditionalFormatting sqref="D22:D31">
    <cfRule type="expression" dxfId="51" priority="45">
      <formula>$F22="Fail"</formula>
    </cfRule>
  </conditionalFormatting>
  <conditionalFormatting sqref="D32:D33">
    <cfRule type="expression" dxfId="50" priority="44">
      <formula>$F32="Fail"</formula>
    </cfRule>
  </conditionalFormatting>
  <conditionalFormatting sqref="B23:C23 B26:C28 B30:C32 B33">
    <cfRule type="expression" dxfId="49" priority="43">
      <formula>$F23="Fail"</formula>
    </cfRule>
  </conditionalFormatting>
  <conditionalFormatting sqref="C21">
    <cfRule type="expression" dxfId="48" priority="42">
      <formula>$F21="Fail"</formula>
    </cfRule>
  </conditionalFormatting>
  <conditionalFormatting sqref="B21">
    <cfRule type="expression" dxfId="47" priority="41">
      <formula>$F21="Fail"</formula>
    </cfRule>
  </conditionalFormatting>
  <conditionalFormatting sqref="B22:C22">
    <cfRule type="expression" dxfId="46" priority="40">
      <formula>$F22="Fail"</formula>
    </cfRule>
  </conditionalFormatting>
  <conditionalFormatting sqref="B24:C25">
    <cfRule type="expression" dxfId="45" priority="39">
      <formula>$F24="Fail"</formula>
    </cfRule>
  </conditionalFormatting>
  <conditionalFormatting sqref="B29:C29">
    <cfRule type="expression" dxfId="44" priority="38">
      <formula>$F29="Fail"</formula>
    </cfRule>
  </conditionalFormatting>
  <conditionalFormatting sqref="D21">
    <cfRule type="expression" dxfId="43" priority="37">
      <formula>$F21="Fail"</formula>
    </cfRule>
  </conditionalFormatting>
  <conditionalFormatting sqref="D7">
    <cfRule type="expression" dxfId="42" priority="33">
      <formula>$F7="Fail"</formula>
    </cfRule>
  </conditionalFormatting>
  <conditionalFormatting sqref="B6:C6 B8:C16 B17">
    <cfRule type="expression" dxfId="41" priority="31">
      <formula>$F6="Fail"</formula>
    </cfRule>
  </conditionalFormatting>
  <conditionalFormatting sqref="C17">
    <cfRule type="expression" dxfId="40" priority="28">
      <formula>$F17="Fail"</formula>
    </cfRule>
  </conditionalFormatting>
  <conditionalFormatting sqref="C18">
    <cfRule type="expression" dxfId="39" priority="24">
      <formula>$F18="Fail"</formula>
    </cfRule>
  </conditionalFormatting>
  <conditionalFormatting sqref="D15:D20 B20:C20">
    <cfRule type="expression" dxfId="38" priority="35">
      <formula>$F15="Fail"</formula>
    </cfRule>
  </conditionalFormatting>
  <conditionalFormatting sqref="D14">
    <cfRule type="expression" dxfId="37" priority="34">
      <formula>$F14="Fail"</formula>
    </cfRule>
  </conditionalFormatting>
  <conditionalFormatting sqref="D8:D13">
    <cfRule type="expression" dxfId="36" priority="32">
      <formula>$F8="Fail"</formula>
    </cfRule>
  </conditionalFormatting>
  <conditionalFormatting sqref="B7">
    <cfRule type="expression" dxfId="35" priority="30">
      <formula>$F7="Fail"</formula>
    </cfRule>
  </conditionalFormatting>
  <conditionalFormatting sqref="C7">
    <cfRule type="expression" dxfId="34" priority="29">
      <formula>$F7="Fail"</formula>
    </cfRule>
  </conditionalFormatting>
  <conditionalFormatting sqref="D6">
    <cfRule type="expression" dxfId="33" priority="26">
      <formula>$F6="Fail"</formula>
    </cfRule>
  </conditionalFormatting>
  <conditionalFormatting sqref="B18">
    <cfRule type="expression" dxfId="32" priority="25">
      <formula>$F18="Fail"</formula>
    </cfRule>
  </conditionalFormatting>
  <conditionalFormatting sqref="B19">
    <cfRule type="expression" dxfId="31" priority="23">
      <formula>$F19="Fail"</formula>
    </cfRule>
  </conditionalFormatting>
  <conditionalFormatting sqref="C19">
    <cfRule type="expression" dxfId="30" priority="22">
      <formula>$F19="Fail"</formula>
    </cfRule>
  </conditionalFormatting>
  <conditionalFormatting sqref="F27">
    <cfRule type="expression" dxfId="29" priority="21">
      <formula>$F27="Fail"</formula>
    </cfRule>
  </conditionalFormatting>
  <conditionalFormatting sqref="G14:L14">
    <cfRule type="expression" dxfId="28" priority="19">
      <formula>$F14="Fail"</formula>
    </cfRule>
  </conditionalFormatting>
  <conditionalFormatting sqref="D73">
    <cfRule type="expression" dxfId="27" priority="18">
      <formula>$F73="Fail"</formula>
    </cfRule>
  </conditionalFormatting>
  <conditionalFormatting sqref="F7">
    <cfRule type="expression" dxfId="26" priority="15">
      <formula>$F7="Fail"</formula>
    </cfRule>
  </conditionalFormatting>
  <conditionalFormatting sqref="F9">
    <cfRule type="expression" dxfId="25" priority="14">
      <formula>$F9="Fail"</formula>
    </cfRule>
  </conditionalFormatting>
  <conditionalFormatting sqref="F11">
    <cfRule type="expression" dxfId="24" priority="13">
      <formula>$F11="Fail"</formula>
    </cfRule>
  </conditionalFormatting>
  <conditionalFormatting sqref="F13:F19">
    <cfRule type="expression" dxfId="23" priority="12">
      <formula>$F13="Fail"</formula>
    </cfRule>
  </conditionalFormatting>
  <conditionalFormatting sqref="F22:F26">
    <cfRule type="expression" dxfId="22" priority="11">
      <formula>$F22="Fail"</formula>
    </cfRule>
  </conditionalFormatting>
  <conditionalFormatting sqref="F28:F33">
    <cfRule type="expression" dxfId="21" priority="10">
      <formula>$F28="Fail"</formula>
    </cfRule>
  </conditionalFormatting>
  <conditionalFormatting sqref="F35:F42">
    <cfRule type="expression" dxfId="20" priority="9">
      <formula>$F35="Fail"</formula>
    </cfRule>
  </conditionalFormatting>
  <conditionalFormatting sqref="F46:F49">
    <cfRule type="expression" dxfId="19" priority="8">
      <formula>$F46="Fail"</formula>
    </cfRule>
  </conditionalFormatting>
  <conditionalFormatting sqref="F51:F56">
    <cfRule type="expression" dxfId="18" priority="7">
      <formula>$F51="Fail"</formula>
    </cfRule>
  </conditionalFormatting>
  <conditionalFormatting sqref="F59:F62">
    <cfRule type="expression" dxfId="17" priority="6">
      <formula>$F59="Fail"</formula>
    </cfRule>
  </conditionalFormatting>
  <conditionalFormatting sqref="F64:F69">
    <cfRule type="expression" dxfId="16" priority="5">
      <formula>$F64="Fail"</formula>
    </cfRule>
  </conditionalFormatting>
  <conditionalFormatting sqref="F73:F76">
    <cfRule type="expression" dxfId="15" priority="4">
      <formula>$F73="Fail"</formula>
    </cfRule>
  </conditionalFormatting>
  <conditionalFormatting sqref="F80:F87">
    <cfRule type="expression" dxfId="14" priority="3">
      <formula>$F80="Fail"</formula>
    </cfRule>
  </conditionalFormatting>
  <conditionalFormatting sqref="F91:F94">
    <cfRule type="expression" dxfId="13" priority="2">
      <formula>$F91="Fail"</formula>
    </cfRule>
  </conditionalFormatting>
  <conditionalFormatting sqref="F96:F100">
    <cfRule type="expression" dxfId="12" priority="1">
      <formula>$F96="Fail"</formula>
    </cfRule>
  </conditionalFormatting>
  <dataValidations count="1">
    <dataValidation type="list" allowBlank="1" showInputMessage="1" showErrorMessage="1" sqref="F3:F106">
      <formula1>$G$1:$K$1</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5_Click">
                <anchor moveWithCells="1">
                  <from>
                    <xdr:col>0</xdr:col>
                    <xdr:colOff>57150</xdr:colOff>
                    <xdr:row>0</xdr:row>
                    <xdr:rowOff>28575</xdr:rowOff>
                  </from>
                  <to>
                    <xdr:col>0</xdr:col>
                    <xdr:colOff>685800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0" id="{0F08C234-7CA9-45BE-B2D6-FE5E434E0423}">
            <xm:f>'C:\Users\E939818\Documents\_Project Documents\SVN TEST  team\_Sutuwa\Testing\Release 1\Stats\[SEB_InvestAdmin_Investment.xlsm]External'!#REF!="Fail"</xm:f>
            <x14:dxf>
              <font>
                <color rgb="FFFF0000"/>
              </font>
              <fill>
                <patternFill>
                  <bgColor theme="9" tint="0.59996337778862885"/>
                </patternFill>
              </fill>
            </x14:dxf>
          </x14:cfRule>
          <xm:sqref>B63:D64 B66:D69 B65:C65</xm:sqref>
        </x14:conditionalFormatting>
        <x14:conditionalFormatting xmlns:xm="http://schemas.microsoft.com/office/excel/2006/main">
          <x14:cfRule type="expression" priority="16" id="{827D91CC-42F7-4847-8A7D-B1B3D59891F9}">
            <xm:f>'C:\Users\E939818\Documents\_Project Documents\SVN TEST  team\_Sutuwa\Testing\Release 1\Stats\[SEB_InvestAdmin_Investment.xlsm]External'!#REF!="Fail"</xm:f>
            <x14:dxf>
              <font>
                <color rgb="FFFF0000"/>
              </font>
              <fill>
                <patternFill>
                  <bgColor theme="9" tint="0.59996337778862885"/>
                </patternFill>
              </fill>
            </x14:dxf>
          </x14:cfRule>
          <xm:sqref>D65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Summary</vt:lpstr>
      <vt:lpstr>Test Case</vt:lpstr>
      <vt:lpstr>Internal - Ben Payment </vt:lpstr>
      <vt:lpstr>Internal - Termination</vt:lpstr>
      <vt:lpstr>Termination Under Funded</vt:lpstr>
      <vt:lpstr>External - Terminations</vt:lpstr>
      <vt:lpstr>External - Benefit Payment</vt:lpstr>
      <vt:lpstr>Internal - Benefit Payment CBA</vt:lpstr>
      <vt:lpstr>Internal - MV Adjustment</vt:lpstr>
      <vt:lpstr>External - MV Adjustment</vt:lpstr>
      <vt:lpstr>Internal Repurchase - Normal</vt:lpstr>
      <vt:lpstr>External Repurchase - Normal</vt:lpstr>
      <vt:lpstr>Sheet1</vt:lpstr>
    </vt:vector>
  </TitlesOfParts>
  <Company>Sanlam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Jannie Basson (SEB)</dc:creator>
  <cp:lastModifiedBy>Riefat Dollie (SEB)</cp:lastModifiedBy>
  <cp:lastPrinted>2014-10-30T10:59:50Z</cp:lastPrinted>
  <dcterms:created xsi:type="dcterms:W3CDTF">2014-07-31T09:50:05Z</dcterms:created>
  <dcterms:modified xsi:type="dcterms:W3CDTF">2014-12-08T08:02:46Z</dcterms:modified>
</cp:coreProperties>
</file>