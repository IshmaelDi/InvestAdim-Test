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068" windowWidth="20376" windowHeight="7080"/>
  </bookViews>
  <sheets>
    <sheet name="Summary" sheetId="3" r:id="rId1"/>
    <sheet name="Chart1" sheetId="20" r:id="rId2"/>
    <sheet name="Repurchase Reversal - SCHE 5" sheetId="18" r:id="rId3"/>
    <sheet name="Repurchase Reversal - SCHE 6" sheetId="19" r:id="rId4"/>
  </sheets>
  <externalReferences>
    <externalReference r:id="rId5"/>
    <externalReference r:id="rId6"/>
  </externalReferences>
  <definedNames>
    <definedName name="_Ref176072345" localSheetId="3">'Repurchase Reversal - SCHE 6'!$B$84</definedName>
  </definedNames>
  <calcPr calcId="145621"/>
</workbook>
</file>

<file path=xl/calcChain.xml><?xml version="1.0" encoding="utf-8"?>
<calcChain xmlns="http://schemas.openxmlformats.org/spreadsheetml/2006/main">
  <c r="A76" i="18" l="1"/>
  <c r="A77" i="18" s="1"/>
  <c r="A78" i="18" s="1"/>
  <c r="A79" i="18" s="1"/>
  <c r="A80" i="18" s="1"/>
  <c r="A81" i="18" s="1"/>
  <c r="G69" i="18"/>
  <c r="H69" i="18"/>
  <c r="I69" i="18"/>
  <c r="J69" i="18"/>
  <c r="K69" i="18"/>
  <c r="K50" i="18" l="1"/>
  <c r="J50" i="18"/>
  <c r="I50" i="18"/>
  <c r="H50" i="18"/>
  <c r="G50" i="18"/>
  <c r="K49" i="18"/>
  <c r="J49" i="18"/>
  <c r="I49" i="18"/>
  <c r="H49" i="18"/>
  <c r="G49" i="18"/>
  <c r="K48" i="18"/>
  <c r="J48" i="18"/>
  <c r="I48" i="18"/>
  <c r="H48" i="18"/>
  <c r="G48" i="18"/>
  <c r="K47" i="18"/>
  <c r="J47" i="18"/>
  <c r="I47" i="18"/>
  <c r="H47" i="18"/>
  <c r="G47" i="18"/>
  <c r="K46" i="18"/>
  <c r="J46" i="18"/>
  <c r="I46" i="18"/>
  <c r="H46" i="18"/>
  <c r="G46" i="18"/>
  <c r="K45" i="18"/>
  <c r="J45" i="18"/>
  <c r="I45" i="18"/>
  <c r="H45" i="18"/>
  <c r="G45" i="18"/>
  <c r="K84" i="19"/>
  <c r="J84" i="19"/>
  <c r="I84" i="19"/>
  <c r="H84" i="19"/>
  <c r="G84" i="19"/>
  <c r="K83" i="19"/>
  <c r="J83" i="19"/>
  <c r="I83" i="19"/>
  <c r="H83" i="19"/>
  <c r="G83" i="19"/>
  <c r="K80" i="19"/>
  <c r="J80" i="19"/>
  <c r="I80" i="19"/>
  <c r="H80" i="19"/>
  <c r="G80" i="19"/>
  <c r="K79" i="19"/>
  <c r="J79" i="19"/>
  <c r="I79" i="19"/>
  <c r="H79" i="19"/>
  <c r="G79" i="19"/>
  <c r="K78" i="19"/>
  <c r="J78" i="19"/>
  <c r="I78" i="19"/>
  <c r="H78" i="19"/>
  <c r="G78" i="19"/>
  <c r="K77" i="19"/>
  <c r="J77" i="19"/>
  <c r="I77" i="19"/>
  <c r="H77" i="19"/>
  <c r="G77" i="19"/>
  <c r="K74" i="19"/>
  <c r="J74" i="19"/>
  <c r="I74" i="19"/>
  <c r="H74" i="19"/>
  <c r="G74" i="19"/>
  <c r="K73" i="19"/>
  <c r="J73" i="19"/>
  <c r="I73" i="19"/>
  <c r="H73" i="19"/>
  <c r="G73" i="19"/>
  <c r="K72" i="19"/>
  <c r="J72" i="19"/>
  <c r="I72" i="19"/>
  <c r="H72" i="19"/>
  <c r="G72" i="19"/>
  <c r="K71" i="19"/>
  <c r="J71" i="19"/>
  <c r="I71" i="19"/>
  <c r="H71" i="19"/>
  <c r="G71" i="19"/>
  <c r="K70" i="19"/>
  <c r="J70" i="19"/>
  <c r="I70" i="19"/>
  <c r="H70" i="19"/>
  <c r="G70" i="19"/>
  <c r="K69" i="19"/>
  <c r="J69" i="19"/>
  <c r="I69" i="19"/>
  <c r="H69" i="19"/>
  <c r="G69" i="19"/>
  <c r="K67" i="19"/>
  <c r="J67" i="19"/>
  <c r="I67" i="19"/>
  <c r="H67" i="19"/>
  <c r="G67" i="19"/>
  <c r="K66" i="19"/>
  <c r="J66" i="19"/>
  <c r="I66" i="19"/>
  <c r="H66" i="19"/>
  <c r="G66" i="19"/>
  <c r="K65" i="19"/>
  <c r="J65" i="19"/>
  <c r="I65" i="19"/>
  <c r="H65" i="19"/>
  <c r="G65" i="19"/>
  <c r="K64" i="19"/>
  <c r="J64" i="19"/>
  <c r="I64" i="19"/>
  <c r="H64" i="19"/>
  <c r="G64" i="19"/>
  <c r="K62" i="19"/>
  <c r="J62" i="19"/>
  <c r="I62" i="19"/>
  <c r="H62" i="19"/>
  <c r="G62" i="19"/>
  <c r="K61" i="19"/>
  <c r="J61" i="19"/>
  <c r="I61" i="19"/>
  <c r="H61" i="19"/>
  <c r="G61" i="19"/>
  <c r="K60" i="19"/>
  <c r="J60" i="19"/>
  <c r="I60" i="19"/>
  <c r="H60" i="19"/>
  <c r="G60" i="19"/>
  <c r="K59" i="19"/>
  <c r="J59" i="19"/>
  <c r="I59" i="19"/>
  <c r="H59" i="19"/>
  <c r="G59" i="19"/>
  <c r="K58" i="19"/>
  <c r="J58" i="19"/>
  <c r="I58" i="19"/>
  <c r="H58" i="19"/>
  <c r="G58" i="19"/>
  <c r="K57" i="19"/>
  <c r="J57" i="19"/>
  <c r="I57" i="19"/>
  <c r="H57" i="19"/>
  <c r="G57" i="19"/>
  <c r="K56" i="19"/>
  <c r="J56" i="19"/>
  <c r="I56" i="19"/>
  <c r="H56" i="19"/>
  <c r="G56" i="19"/>
  <c r="K55" i="19"/>
  <c r="J55" i="19"/>
  <c r="I55" i="19"/>
  <c r="H55" i="19"/>
  <c r="G55" i="19"/>
  <c r="K54" i="19"/>
  <c r="J54" i="19"/>
  <c r="I54" i="19"/>
  <c r="H54" i="19"/>
  <c r="G54" i="19"/>
  <c r="K53" i="19"/>
  <c r="J53" i="19"/>
  <c r="I53" i="19"/>
  <c r="H53" i="19"/>
  <c r="G53" i="19"/>
  <c r="K50" i="19"/>
  <c r="J50" i="19"/>
  <c r="I50" i="19"/>
  <c r="H50" i="19"/>
  <c r="G50" i="19"/>
  <c r="K49" i="19"/>
  <c r="J49" i="19"/>
  <c r="I49" i="19"/>
  <c r="H49" i="19"/>
  <c r="G49" i="19"/>
  <c r="K48" i="19"/>
  <c r="J48" i="19"/>
  <c r="I48" i="19"/>
  <c r="H48" i="19"/>
  <c r="G48" i="19"/>
  <c r="K47" i="19"/>
  <c r="J47" i="19"/>
  <c r="I47" i="19"/>
  <c r="H47" i="19"/>
  <c r="G47" i="19"/>
  <c r="K46" i="19"/>
  <c r="J46" i="19"/>
  <c r="I46" i="19"/>
  <c r="H46" i="19"/>
  <c r="G46" i="19"/>
  <c r="K45" i="19"/>
  <c r="J45" i="19"/>
  <c r="I45" i="19"/>
  <c r="H45" i="19"/>
  <c r="G45" i="19"/>
  <c r="J85" i="18" l="1"/>
  <c r="I85" i="18"/>
  <c r="H85" i="18"/>
  <c r="G85" i="18"/>
  <c r="A6" i="19" l="1"/>
  <c r="A7" i="19"/>
  <c r="A8" i="19"/>
  <c r="A9" i="19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K42" i="19"/>
  <c r="J42" i="19"/>
  <c r="I42" i="19"/>
  <c r="H42" i="19"/>
  <c r="G42" i="19"/>
  <c r="K41" i="19"/>
  <c r="J41" i="19"/>
  <c r="I41" i="19"/>
  <c r="H41" i="19"/>
  <c r="G41" i="19"/>
  <c r="K39" i="19"/>
  <c r="J39" i="19"/>
  <c r="I39" i="19"/>
  <c r="H39" i="19"/>
  <c r="G39" i="19"/>
  <c r="K38" i="19"/>
  <c r="J38" i="19"/>
  <c r="I38" i="19"/>
  <c r="H38" i="19"/>
  <c r="G38" i="19"/>
  <c r="K37" i="19"/>
  <c r="J37" i="19"/>
  <c r="I37" i="19"/>
  <c r="H37" i="19"/>
  <c r="G37" i="19"/>
  <c r="K36" i="19"/>
  <c r="J36" i="19"/>
  <c r="I36" i="19"/>
  <c r="H36" i="19"/>
  <c r="G36" i="19"/>
  <c r="K35" i="19"/>
  <c r="J35" i="19"/>
  <c r="I35" i="19"/>
  <c r="H35" i="19"/>
  <c r="G35" i="19"/>
  <c r="K34" i="19"/>
  <c r="J34" i="19"/>
  <c r="I34" i="19"/>
  <c r="H34" i="19"/>
  <c r="G34" i="19"/>
  <c r="K33" i="19"/>
  <c r="J33" i="19"/>
  <c r="I33" i="19"/>
  <c r="H33" i="19"/>
  <c r="G33" i="19"/>
  <c r="K32" i="19"/>
  <c r="J32" i="19"/>
  <c r="I32" i="19"/>
  <c r="H32" i="19"/>
  <c r="G32" i="19"/>
  <c r="K30" i="19"/>
  <c r="J30" i="19"/>
  <c r="I30" i="19"/>
  <c r="H30" i="19"/>
  <c r="G30" i="19"/>
  <c r="K29" i="19"/>
  <c r="J29" i="19"/>
  <c r="I29" i="19"/>
  <c r="H29" i="19"/>
  <c r="G29" i="19"/>
  <c r="K28" i="19"/>
  <c r="K27" i="19"/>
  <c r="J27" i="19"/>
  <c r="I27" i="19"/>
  <c r="H27" i="19"/>
  <c r="G27" i="19"/>
  <c r="K24" i="19"/>
  <c r="J24" i="19"/>
  <c r="I24" i="19"/>
  <c r="H24" i="19"/>
  <c r="G24" i="19"/>
  <c r="K23" i="19"/>
  <c r="J23" i="19"/>
  <c r="I23" i="19"/>
  <c r="H23" i="19"/>
  <c r="G23" i="19"/>
  <c r="K22" i="19"/>
  <c r="J22" i="19"/>
  <c r="I22" i="19"/>
  <c r="H22" i="19"/>
  <c r="G22" i="19"/>
  <c r="K21" i="19"/>
  <c r="J21" i="19"/>
  <c r="I21" i="19"/>
  <c r="H21" i="19"/>
  <c r="G21" i="19"/>
  <c r="K20" i="19"/>
  <c r="J20" i="19"/>
  <c r="I20" i="19"/>
  <c r="H20" i="19"/>
  <c r="G20" i="19"/>
  <c r="K19" i="19"/>
  <c r="J19" i="19"/>
  <c r="I19" i="19"/>
  <c r="H19" i="19"/>
  <c r="G19" i="19"/>
  <c r="K17" i="19"/>
  <c r="J17" i="19"/>
  <c r="I17" i="19"/>
  <c r="H17" i="19"/>
  <c r="G17" i="19"/>
  <c r="K15" i="19"/>
  <c r="J15" i="19"/>
  <c r="I15" i="19"/>
  <c r="H15" i="19"/>
  <c r="G15" i="19"/>
  <c r="K13" i="19"/>
  <c r="J13" i="19"/>
  <c r="I13" i="19"/>
  <c r="H13" i="19"/>
  <c r="G13" i="19"/>
  <c r="K11" i="19"/>
  <c r="J11" i="19"/>
  <c r="I11" i="19"/>
  <c r="H11" i="19"/>
  <c r="G11" i="19"/>
  <c r="K9" i="19"/>
  <c r="J9" i="19"/>
  <c r="I9" i="19"/>
  <c r="H9" i="19"/>
  <c r="G9" i="19"/>
  <c r="K7" i="19"/>
  <c r="J7" i="19"/>
  <c r="I7" i="19"/>
  <c r="H7" i="19"/>
  <c r="G7" i="19"/>
  <c r="K6" i="19"/>
  <c r="J6" i="19"/>
  <c r="I6" i="19"/>
  <c r="H6" i="19"/>
  <c r="G6" i="19"/>
  <c r="K5" i="19"/>
  <c r="J5" i="19"/>
  <c r="I5" i="19"/>
  <c r="H5" i="19"/>
  <c r="G5" i="19"/>
  <c r="A5" i="19"/>
  <c r="K4" i="19"/>
  <c r="J4" i="19"/>
  <c r="I4" i="19"/>
  <c r="H4" i="19"/>
  <c r="G4" i="19"/>
  <c r="A4" i="19"/>
  <c r="K84" i="18"/>
  <c r="J84" i="18"/>
  <c r="I84" i="18"/>
  <c r="H84" i="18"/>
  <c r="G84" i="18"/>
  <c r="K80" i="18"/>
  <c r="J80" i="18"/>
  <c r="I80" i="18"/>
  <c r="H80" i="18"/>
  <c r="G80" i="18"/>
  <c r="K79" i="18"/>
  <c r="J79" i="18"/>
  <c r="I79" i="18"/>
  <c r="H79" i="18"/>
  <c r="G79" i="18"/>
  <c r="K78" i="18"/>
  <c r="J78" i="18"/>
  <c r="I78" i="18"/>
  <c r="H78" i="18"/>
  <c r="G78" i="18"/>
  <c r="K77" i="18"/>
  <c r="J77" i="18"/>
  <c r="I77" i="18"/>
  <c r="H77" i="18"/>
  <c r="G77" i="18"/>
  <c r="K74" i="18"/>
  <c r="J74" i="18"/>
  <c r="I74" i="18"/>
  <c r="H74" i="18"/>
  <c r="G74" i="18"/>
  <c r="K73" i="18"/>
  <c r="J73" i="18"/>
  <c r="I73" i="18"/>
  <c r="H73" i="18"/>
  <c r="G73" i="18"/>
  <c r="K72" i="18"/>
  <c r="J72" i="18"/>
  <c r="I72" i="18"/>
  <c r="H72" i="18"/>
  <c r="G72" i="18"/>
  <c r="K71" i="18"/>
  <c r="J71" i="18"/>
  <c r="I71" i="18"/>
  <c r="H71" i="18"/>
  <c r="G71" i="18"/>
  <c r="K70" i="18"/>
  <c r="J70" i="18"/>
  <c r="I70" i="18"/>
  <c r="H70" i="18"/>
  <c r="G70" i="18"/>
  <c r="K67" i="18"/>
  <c r="J67" i="18"/>
  <c r="I67" i="18"/>
  <c r="H67" i="18"/>
  <c r="G67" i="18"/>
  <c r="K66" i="18"/>
  <c r="J66" i="18"/>
  <c r="I66" i="18"/>
  <c r="H66" i="18"/>
  <c r="G66" i="18"/>
  <c r="K65" i="18"/>
  <c r="J65" i="18"/>
  <c r="I65" i="18"/>
  <c r="H65" i="18"/>
  <c r="G65" i="18"/>
  <c r="K64" i="18"/>
  <c r="J64" i="18"/>
  <c r="I64" i="18"/>
  <c r="H64" i="18"/>
  <c r="G64" i="18"/>
  <c r="K62" i="18"/>
  <c r="J62" i="18"/>
  <c r="I62" i="18"/>
  <c r="H62" i="18"/>
  <c r="G62" i="18"/>
  <c r="K61" i="18"/>
  <c r="J61" i="18"/>
  <c r="I61" i="18"/>
  <c r="H61" i="18"/>
  <c r="G61" i="18"/>
  <c r="K60" i="18"/>
  <c r="J60" i="18"/>
  <c r="I60" i="18"/>
  <c r="H60" i="18"/>
  <c r="G60" i="18"/>
  <c r="K59" i="18"/>
  <c r="J59" i="18"/>
  <c r="I59" i="18"/>
  <c r="H59" i="18"/>
  <c r="G59" i="18"/>
  <c r="K58" i="18"/>
  <c r="J58" i="18"/>
  <c r="I58" i="18"/>
  <c r="H58" i="18"/>
  <c r="G58" i="18"/>
  <c r="K57" i="18"/>
  <c r="J57" i="18"/>
  <c r="I57" i="18"/>
  <c r="H57" i="18"/>
  <c r="G57" i="18"/>
  <c r="K56" i="18"/>
  <c r="J56" i="18"/>
  <c r="I56" i="18"/>
  <c r="H56" i="18"/>
  <c r="G56" i="18"/>
  <c r="K55" i="18"/>
  <c r="J55" i="18"/>
  <c r="I55" i="18"/>
  <c r="H55" i="18"/>
  <c r="G55" i="18"/>
  <c r="K54" i="18"/>
  <c r="J54" i="18"/>
  <c r="I54" i="18"/>
  <c r="H54" i="18"/>
  <c r="G54" i="18"/>
  <c r="K53" i="18"/>
  <c r="J53" i="18"/>
  <c r="I53" i="18"/>
  <c r="H53" i="18"/>
  <c r="G53" i="18"/>
  <c r="K42" i="18"/>
  <c r="J42" i="18"/>
  <c r="I42" i="18"/>
  <c r="H42" i="18"/>
  <c r="G42" i="18"/>
  <c r="K41" i="18"/>
  <c r="J41" i="18"/>
  <c r="I41" i="18"/>
  <c r="H41" i="18"/>
  <c r="G41" i="18"/>
  <c r="K39" i="18"/>
  <c r="J39" i="18"/>
  <c r="I39" i="18"/>
  <c r="H39" i="18"/>
  <c r="G39" i="18"/>
  <c r="K38" i="18"/>
  <c r="J38" i="18"/>
  <c r="I38" i="18"/>
  <c r="H38" i="18"/>
  <c r="G38" i="18"/>
  <c r="K37" i="18"/>
  <c r="J37" i="18"/>
  <c r="I37" i="18"/>
  <c r="H37" i="18"/>
  <c r="G37" i="18"/>
  <c r="K36" i="18"/>
  <c r="J36" i="18"/>
  <c r="I36" i="18"/>
  <c r="H36" i="18"/>
  <c r="G36" i="18"/>
  <c r="K35" i="18"/>
  <c r="J35" i="18"/>
  <c r="I35" i="18"/>
  <c r="H35" i="18"/>
  <c r="G35" i="18"/>
  <c r="K34" i="18"/>
  <c r="J34" i="18"/>
  <c r="I34" i="18"/>
  <c r="H34" i="18"/>
  <c r="G34" i="18"/>
  <c r="K33" i="18"/>
  <c r="J33" i="18"/>
  <c r="I33" i="18"/>
  <c r="H33" i="18"/>
  <c r="G33" i="18"/>
  <c r="K32" i="18"/>
  <c r="J32" i="18"/>
  <c r="I32" i="18"/>
  <c r="H32" i="18"/>
  <c r="G32" i="18"/>
  <c r="K30" i="18"/>
  <c r="J30" i="18"/>
  <c r="I30" i="18"/>
  <c r="H30" i="18"/>
  <c r="G30" i="18"/>
  <c r="K29" i="18"/>
  <c r="J29" i="18"/>
  <c r="I29" i="18"/>
  <c r="H29" i="18"/>
  <c r="G29" i="18"/>
  <c r="K28" i="18"/>
  <c r="K27" i="18"/>
  <c r="J27" i="18"/>
  <c r="I27" i="18"/>
  <c r="H27" i="18"/>
  <c r="G27" i="18"/>
  <c r="K24" i="18"/>
  <c r="J24" i="18"/>
  <c r="I24" i="18"/>
  <c r="H24" i="18"/>
  <c r="G24" i="18"/>
  <c r="K23" i="18"/>
  <c r="J23" i="18"/>
  <c r="I23" i="18"/>
  <c r="H23" i="18"/>
  <c r="G23" i="18"/>
  <c r="K22" i="18"/>
  <c r="J22" i="18"/>
  <c r="I22" i="18"/>
  <c r="H22" i="18"/>
  <c r="G22" i="18"/>
  <c r="K21" i="18"/>
  <c r="J21" i="18"/>
  <c r="I21" i="18"/>
  <c r="H21" i="18"/>
  <c r="G21" i="18"/>
  <c r="K20" i="18"/>
  <c r="J20" i="18"/>
  <c r="I20" i="18"/>
  <c r="H20" i="18"/>
  <c r="G20" i="18"/>
  <c r="K19" i="18"/>
  <c r="J19" i="18"/>
  <c r="I19" i="18"/>
  <c r="H19" i="18"/>
  <c r="G19" i="18"/>
  <c r="K17" i="18"/>
  <c r="J17" i="18"/>
  <c r="I17" i="18"/>
  <c r="H17" i="18"/>
  <c r="G17" i="18"/>
  <c r="K15" i="18"/>
  <c r="J15" i="18"/>
  <c r="I15" i="18"/>
  <c r="H15" i="18"/>
  <c r="G15" i="18"/>
  <c r="K13" i="18"/>
  <c r="J13" i="18"/>
  <c r="I13" i="18"/>
  <c r="H13" i="18"/>
  <c r="G13" i="18"/>
  <c r="K11" i="18"/>
  <c r="J11" i="18"/>
  <c r="I11" i="18"/>
  <c r="H11" i="18"/>
  <c r="G11" i="18"/>
  <c r="K9" i="18"/>
  <c r="J9" i="18"/>
  <c r="I9" i="18"/>
  <c r="H9" i="18"/>
  <c r="G9" i="18"/>
  <c r="K7" i="18"/>
  <c r="J7" i="18"/>
  <c r="I7" i="18"/>
  <c r="H7" i="18"/>
  <c r="G7" i="18"/>
  <c r="K6" i="18"/>
  <c r="J6" i="18"/>
  <c r="I6" i="18"/>
  <c r="H6" i="18"/>
  <c r="G6" i="18"/>
  <c r="K5" i="18"/>
  <c r="J5" i="18"/>
  <c r="I5" i="18"/>
  <c r="H5" i="18"/>
  <c r="G5" i="18"/>
  <c r="K4" i="18"/>
  <c r="J4" i="18"/>
  <c r="I4" i="18"/>
  <c r="H4" i="18"/>
  <c r="G4" i="18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A38" i="18" s="1"/>
  <c r="A39" i="18" s="1"/>
  <c r="A40" i="18" s="1"/>
  <c r="A41" i="18" s="1"/>
  <c r="A42" i="18" s="1"/>
  <c r="A43" i="18" s="1"/>
  <c r="A44" i="18" s="1"/>
  <c r="A45" i="18" s="1"/>
  <c r="A46" i="18" s="1"/>
  <c r="A47" i="18" s="1"/>
  <c r="A48" i="18" s="1"/>
  <c r="A49" i="18" s="1"/>
  <c r="A50" i="18" s="1"/>
  <c r="A51" i="18" s="1"/>
  <c r="A52" i="18" s="1"/>
  <c r="A53" i="18" s="1"/>
  <c r="A54" i="18" s="1"/>
  <c r="A55" i="18" s="1"/>
  <c r="A56" i="18" s="1"/>
  <c r="A57" i="18" s="1"/>
  <c r="A58" i="18" s="1"/>
  <c r="A59" i="18" s="1"/>
  <c r="A60" i="18" s="1"/>
  <c r="A61" i="18" s="1"/>
  <c r="A62" i="18" s="1"/>
  <c r="A63" i="18" s="1"/>
  <c r="A64" i="18" s="1"/>
  <c r="A65" i="18" s="1"/>
  <c r="A66" i="18" s="1"/>
  <c r="A67" i="18" s="1"/>
  <c r="A68" i="18" s="1"/>
  <c r="A69" i="18" s="1"/>
  <c r="A70" i="18" s="1"/>
  <c r="A71" i="18" s="1"/>
  <c r="A72" i="18" s="1"/>
  <c r="A73" i="18" s="1"/>
  <c r="A74" i="18" s="1"/>
  <c r="A75" i="18" s="1"/>
  <c r="J86" i="19" l="1"/>
  <c r="F4" i="3" s="1"/>
  <c r="G86" i="19"/>
  <c r="C4" i="3" s="1"/>
  <c r="K86" i="19"/>
  <c r="G4" i="3" s="1"/>
  <c r="H86" i="19"/>
  <c r="D4" i="3" s="1"/>
  <c r="I86" i="19"/>
  <c r="E4" i="3" s="1"/>
  <c r="I86" i="18"/>
  <c r="E3" i="3" s="1"/>
  <c r="J86" i="18"/>
  <c r="F3" i="3" s="1"/>
  <c r="A82" i="18"/>
  <c r="A83" i="18" s="1"/>
  <c r="A84" i="18" s="1"/>
  <c r="G86" i="18"/>
  <c r="C3" i="3" s="1"/>
  <c r="K86" i="18"/>
  <c r="G3" i="3" s="1"/>
  <c r="H86" i="18"/>
  <c r="D3" i="3" s="1"/>
  <c r="H4" i="3" l="1"/>
  <c r="H3" i="3"/>
</calcChain>
</file>

<file path=xl/sharedStrings.xml><?xml version="1.0" encoding="utf-8"?>
<sst xmlns="http://schemas.openxmlformats.org/spreadsheetml/2006/main" count="253" uniqueCount="131">
  <si>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</si>
  <si>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</si>
  <si>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</si>
  <si>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</si>
  <si>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</si>
  <si>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</si>
  <si>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</si>
  <si>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</si>
  <si>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</si>
  <si>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To be Tested</t>
  </si>
  <si>
    <t>TOTAL</t>
  </si>
  <si>
    <t>Input data / Action / Field Name</t>
  </si>
  <si>
    <t>Data Dictionary</t>
  </si>
  <si>
    <t>Radio button: 
Normal Repurchase - Default</t>
  </si>
  <si>
    <t>Click Submit</t>
  </si>
  <si>
    <t>Click Continue Process button</t>
  </si>
  <si>
    <t>Payment instruction should change to Green</t>
  </si>
  <si>
    <t>Click Next</t>
  </si>
  <si>
    <t>Repurchase Type, Batch (default) OR Online</t>
  </si>
  <si>
    <t>Print Letter, Yes, No (default)</t>
  </si>
  <si>
    <t>Repurchase Information Tab | Normal Repurchase</t>
  </si>
  <si>
    <t>The following fields should be available &gt; Leave Defaults</t>
  </si>
  <si>
    <r>
      <t xml:space="preserve">Verify Tranasction History &gt; </t>
    </r>
    <r>
      <rPr>
        <sz val="10"/>
        <color theme="1"/>
        <rFont val="Arial"/>
        <family val="2"/>
      </rPr>
      <t>Click Transaction History Button</t>
    </r>
  </si>
  <si>
    <t xml:space="preserve">Tranasction History displayed </t>
  </si>
  <si>
    <t>Series:</t>
  </si>
  <si>
    <t>Click the item entry for the new Transaction</t>
  </si>
  <si>
    <t>Price Date: Same as System Date that was captured</t>
  </si>
  <si>
    <t>Tranasction:UNPRICED REPURCHASE (201)</t>
  </si>
  <si>
    <t>Verification -  Client Total Value</t>
  </si>
  <si>
    <t xml:space="preserve">Portfolio &gt; Investment Value and Unit reflects the Amount </t>
  </si>
  <si>
    <r>
      <rPr>
        <b/>
        <sz val="10"/>
        <color theme="1"/>
        <rFont val="Arial"/>
        <family val="2"/>
      </rPr>
      <t>Unit:</t>
    </r>
    <r>
      <rPr>
        <sz val="10"/>
        <color theme="1"/>
        <rFont val="Arial"/>
        <family val="2"/>
      </rPr>
      <t xml:space="preserve"> Displays the Amount </t>
    </r>
  </si>
  <si>
    <r>
      <rPr>
        <b/>
        <sz val="10"/>
        <color theme="1"/>
        <rFont val="Arial"/>
        <family val="2"/>
      </rPr>
      <t>Value:</t>
    </r>
    <r>
      <rPr>
        <sz val="10"/>
        <color theme="1"/>
        <rFont val="Arial"/>
        <family val="2"/>
      </rPr>
      <t xml:space="preserve"> Displays the Amount </t>
    </r>
  </si>
  <si>
    <t>For the above selected Portfolio &gt; Check totals are correct</t>
  </si>
  <si>
    <r>
      <rPr>
        <b/>
        <sz val="10"/>
        <color theme="1"/>
        <rFont val="Arial"/>
        <family val="2"/>
      </rPr>
      <t>Total Value</t>
    </r>
    <r>
      <rPr>
        <sz val="10"/>
        <color theme="1"/>
        <rFont val="Arial"/>
        <family val="2"/>
      </rPr>
      <t xml:space="preserve"> : Displays the Total value - Repurchase Amount (as per the updated transaction history)  </t>
    </r>
  </si>
  <si>
    <t>Process date: Date Processed</t>
  </si>
  <si>
    <t>Price Date: Date transaction was captured</t>
  </si>
  <si>
    <t>Gross Amount: Amount Repurchased</t>
  </si>
  <si>
    <t>Units: Repurchase value in units</t>
  </si>
  <si>
    <t>Balance: New Unit balance for Selected Portfolio</t>
  </si>
  <si>
    <t>Verification -  Transaction History</t>
  </si>
  <si>
    <t>Price: Displays the new Amount</t>
  </si>
  <si>
    <t>Clerk:  Name of clerk who captured the Repurchase</t>
  </si>
  <si>
    <t>Deposit Reference#: Deposit Number captured on Bank Info screen</t>
  </si>
  <si>
    <t>Auth By: The person who Authed the transaction</t>
  </si>
  <si>
    <t>Payee Details: Client Details</t>
  </si>
  <si>
    <t>Bak Details: Bank details that were selected</t>
  </si>
  <si>
    <t>Intruction: Type of deposit</t>
  </si>
  <si>
    <t>Reference: Reference Number asigned to transaction</t>
  </si>
  <si>
    <t>Navigation Path - Client Maintenance &gt; Alter &gt; Alter Primary Product</t>
  </si>
  <si>
    <t>Alter Invest Code Details screen is loaded</t>
  </si>
  <si>
    <t xml:space="preserve">Primary Product Name </t>
  </si>
  <si>
    <t>Drop down list displays all primary Products associated with the Client</t>
  </si>
  <si>
    <t xml:space="preserve">Select  the transactions that were processed for the Porfolios </t>
  </si>
  <si>
    <t>Transactions Processed Succesfully</t>
  </si>
  <si>
    <t>Verification -  Accounting</t>
  </si>
  <si>
    <t xml:space="preserve"> Accounting Files - </t>
  </si>
  <si>
    <t>Refer to the Output file generated on the Walker System when Batch is completed</t>
  </si>
  <si>
    <t>Repurchases &gt; Payment Type Benefit Payment</t>
  </si>
  <si>
    <t>Navigation Path - Unit Transactions &gt; Repurhases &gt; Normal Repurchases</t>
  </si>
  <si>
    <t>Repurchase Info Tab Displayed</t>
  </si>
  <si>
    <t>Click Next &gt;</t>
  </si>
  <si>
    <t>Personal Details Tab displayed</t>
  </si>
  <si>
    <t>Click  &gt; No Change/Proceed Button</t>
  </si>
  <si>
    <t>Repurchase Details Tab is displayed</t>
  </si>
  <si>
    <t>Leave Default &gt; Selection</t>
  </si>
  <si>
    <t>Click Next Button</t>
  </si>
  <si>
    <t>Enter Price Date</t>
  </si>
  <si>
    <t>Ensure Date = Current Date</t>
  </si>
  <si>
    <t>Select Quantity Type for Portfolio</t>
  </si>
  <si>
    <t>Quantity Type Selection - Amount</t>
  </si>
  <si>
    <t xml:space="preserve">Enter Amount </t>
  </si>
  <si>
    <t>Quantity Column - Amount Specified</t>
  </si>
  <si>
    <t>SEB RFA Not necessary to be Authorized</t>
  </si>
  <si>
    <t>Tick Authorise box</t>
  </si>
  <si>
    <t>Tick Apply box</t>
  </si>
  <si>
    <t>Disinvestments Internal &amp; External</t>
  </si>
  <si>
    <t>Select Portfolio: STABLE BONUS</t>
  </si>
  <si>
    <t>Select Payment &gt; Payment In Suspense</t>
  </si>
  <si>
    <t>Radio button with Payment in Suspense Selected</t>
  </si>
  <si>
    <t>Enter Note</t>
  </si>
  <si>
    <t>Test entered into Note Input</t>
  </si>
  <si>
    <t xml:space="preserve">Click Submit </t>
  </si>
  <si>
    <t xml:space="preserve"> Authorise and  Apply</t>
  </si>
  <si>
    <t>If no prices are available then create a Prices Manally</t>
  </si>
  <si>
    <t>Instruction Status = Other</t>
  </si>
  <si>
    <t xml:space="preserve">Select the Bank </t>
  </si>
  <si>
    <t>Bank Selected</t>
  </si>
  <si>
    <t>Conclusion Tab Displayed</t>
  </si>
  <si>
    <t>Repurchase successfully created. The transaction must still be authorised. Note(s) added successfully.</t>
  </si>
  <si>
    <t>This is just to verify that the correct client has the correct Primary Product Value</t>
  </si>
  <si>
    <t>Details for Disinvestment Investment Displayed</t>
  </si>
  <si>
    <t xml:space="preserve">Dropdown Selection 
   Payment Type - Payment to Sanlam Group
  </t>
  </si>
  <si>
    <t>Repeat Verification of Client Total</t>
  </si>
  <si>
    <t>Repeat Verification of Transaction History</t>
  </si>
  <si>
    <t xml:space="preserve">Client Totals checked </t>
  </si>
  <si>
    <t xml:space="preserve">Transaction History checked </t>
  </si>
  <si>
    <t>Repurchase Details | Payment Instruction Suspense</t>
  </si>
  <si>
    <t>Select Instruction Drop Down &gt; Select Instruction</t>
  </si>
  <si>
    <t>Payment Type - Sanlam Group (SEB SEED CAPITAL)</t>
  </si>
  <si>
    <t>Select Payment Type Drop Down &gt; Select  Payment Type</t>
  </si>
  <si>
    <t>Bonus (970/84)</t>
  </si>
  <si>
    <t>Payment Type - Sanlam Group (SEB PROVIDER PENSIONS)</t>
  </si>
  <si>
    <t xml:space="preserve">Dropdown Selection 
   Instruction - SEB  PROVIDER PENSION
  </t>
  </si>
  <si>
    <t>SB Investment Fee (201/86)</t>
  </si>
  <si>
    <t>Repuechase Reversal for Reschedule 5 Accounting</t>
  </si>
  <si>
    <t>Lookup an Internal Client where Primary Product Code =(27)</t>
  </si>
  <si>
    <t>Ensure that the Primary Product Name = (27)</t>
  </si>
  <si>
    <t>Refer to Accounting Posts to Walker - SCI Project Provider Pensions</t>
  </si>
  <si>
    <r>
      <t xml:space="preserve"> Accouting Output must be verified :</t>
    </r>
    <r>
      <rPr>
        <b/>
        <sz val="10"/>
        <rFont val="Arial"/>
        <family val="2"/>
      </rPr>
      <t xml:space="preserve"> GN041, MG018, GP005, GP003
,  GH000,  JE002</t>
    </r>
  </si>
  <si>
    <t>Repuechase Reversal for Reschedule 6 Accounting</t>
  </si>
  <si>
    <t>Lookup an Internal Client where Primary Product Code = (29)</t>
  </si>
  <si>
    <t>Ensure that the Primary Product Name = (29)</t>
  </si>
  <si>
    <t>Dropdown Selection 
   Instruction - SEB  SEED CAPITAL</t>
  </si>
  <si>
    <t>TEST SEED CAPITAL PENSION FUND - GROUP RISK RESERV</t>
  </si>
  <si>
    <t>Repurchase Reversal - SCHE 5</t>
  </si>
  <si>
    <t>Repurchase Reversal - SCHE 6</t>
  </si>
  <si>
    <r>
      <t xml:space="preserve"> Accouting Output must be verified :</t>
    </r>
    <r>
      <rPr>
        <b/>
        <sz val="10"/>
        <rFont val="Arial"/>
        <family val="2"/>
      </rPr>
      <t xml:space="preserve"> Dr GN041
Cr GI034,Dr GP005,Cr GP003,Dr  GH000,Cr  JE002</t>
    </r>
  </si>
  <si>
    <t>Refer to Accounting Posts to Walker - SCI 8.1.2 Conversion Option</t>
  </si>
  <si>
    <t>Refer to Accounting Posts to Walker - SCI12. Ad Hoc Switches for Non-Coris Funds</t>
  </si>
  <si>
    <r>
      <t xml:space="preserve"> Accouting Output must be verified :</t>
    </r>
    <r>
      <rPr>
        <b/>
        <sz val="10"/>
        <rFont val="Arial"/>
        <family val="2"/>
      </rPr>
      <t xml:space="preserve"> 12.1 Disinvestment Switch Out - Dr GF903,Cr GF902,Dr GP003, Cr GP005,Dr JE003, Cr GH000</t>
    </r>
  </si>
  <si>
    <r>
      <t xml:space="preserve"> Accouting Output must be verified :</t>
    </r>
    <r>
      <rPr>
        <b/>
        <sz val="10"/>
        <rFont val="Arial"/>
        <family val="2"/>
      </rPr>
      <t xml:space="preserve"> Dr GN041,
Cr GI034,Dr GP005,Cr GP003,Dr  GH000,Cr  JE002</t>
    </r>
  </si>
  <si>
    <t>Test Provider Pension Scheme Series B</t>
  </si>
  <si>
    <t>Click on payment instruction</t>
  </si>
  <si>
    <t>Radio button: 
Normal Repurchase - Default   One Destination(Default)</t>
  </si>
  <si>
    <t>Navigate - Administrator &gt; Authorize Transactions .Repurchases</t>
  </si>
  <si>
    <t>Repurchases Screen Is loaded</t>
  </si>
  <si>
    <t>Navigate - Unit Tranactions &gt; Repurchase &gt; Apply/Delete Unprocessed</t>
  </si>
  <si>
    <t>Navigate - Administrator &gt; Authorize Transactions . Repurchases</t>
  </si>
  <si>
    <t>Navigate - Unit Tranactions &gt;Repurchases&gt; Apply/Delete Unprocessed</t>
  </si>
  <si>
    <r>
      <t xml:space="preserve">Verify Transction History &gt; </t>
    </r>
    <r>
      <rPr>
        <sz val="10"/>
        <color theme="1"/>
        <rFont val="Arial"/>
        <family val="2"/>
      </rPr>
      <t>Click Transaction History Button</t>
    </r>
  </si>
  <si>
    <t>Bank Details: Bank details that were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</si>
</sst>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1" xfId="0" applyNumberFormat="1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0" fillId="0" borderId="1" xfId="0" applyBorder="1" applyAlignment="1">
      <alignment wrapText="1"/>
    </xf>
    <xf numFmtId="0" fontId="1" fillId="3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4" fontId="5" fillId="5" borderId="1" xfId="0" applyNumberFormat="1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wrapText="1"/>
    </xf>
    <xf numFmtId="0" fontId="3" fillId="0" borderId="0" xfId="0" applyFont="1" applyAlignment="1">
      <alignment wrapText="1"/>
    </xf>
    <xf numFmtId="0" fontId="1" fillId="3" borderId="3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vertical="center" wrapText="1"/>
    </xf>
    <xf numFmtId="0" fontId="1" fillId="3" borderId="3" xfId="0" quotePrefix="1" applyFont="1" applyFill="1" applyBorder="1" applyAlignment="1">
      <alignment vertical="center" wrapText="1"/>
    </xf>
    <xf numFmtId="0" fontId="1" fillId="3" borderId="7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left" vertical="center" wrapText="1" indent="1"/>
    </xf>
    <xf numFmtId="0" fontId="6" fillId="3" borderId="5" xfId="0" applyFont="1" applyFill="1" applyBorder="1" applyAlignment="1">
      <alignment vertical="center" wrapText="1"/>
    </xf>
    <xf numFmtId="0" fontId="6" fillId="3" borderId="3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2" fillId="0" borderId="1" xfId="0" applyFont="1" applyFill="1" applyBorder="1" applyAlignment="1">
      <alignment horizontal="center" wrapText="1"/>
    </xf>
    <xf numFmtId="0" fontId="0" fillId="0" borderId="0" xfId="0" applyFill="1" applyAlignment="1">
      <alignment wrapText="1"/>
    </xf>
    <xf numFmtId="164" fontId="2" fillId="6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5" fillId="5" borderId="4" xfId="0" applyFont="1" applyFill="1" applyBorder="1" applyAlignment="1">
      <alignment horizontal="left" vertical="center" indent="1"/>
    </xf>
    <xf numFmtId="0" fontId="7" fillId="0" borderId="1" xfId="0" applyFont="1" applyFill="1" applyBorder="1" applyAlignment="1">
      <alignment horizontal="left" vertical="center" indent="1"/>
    </xf>
    <xf numFmtId="0" fontId="5" fillId="0" borderId="4" xfId="0" applyFon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 indent="2"/>
    </xf>
    <xf numFmtId="0" fontId="8" fillId="5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wrapText="1"/>
    </xf>
    <xf numFmtId="0" fontId="2" fillId="6" borderId="1" xfId="0" applyFont="1" applyFill="1" applyBorder="1" applyAlignment="1">
      <alignment horizontal="left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quotePrefix="1" applyFont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1" fillId="7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left" vertical="center" wrapText="1" indent="1"/>
    </xf>
    <xf numFmtId="0" fontId="6" fillId="0" borderId="3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wrapText="1"/>
    </xf>
    <xf numFmtId="0" fontId="6" fillId="8" borderId="1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vertical="center" wrapText="1"/>
    </xf>
    <xf numFmtId="0" fontId="10" fillId="0" borderId="0" xfId="0" applyFont="1"/>
    <xf numFmtId="164" fontId="1" fillId="3" borderId="4" xfId="0" applyNumberFormat="1" applyFont="1" applyFill="1" applyBorder="1" applyAlignment="1">
      <alignment vertical="center" wrapText="1"/>
    </xf>
    <xf numFmtId="0" fontId="7" fillId="0" borderId="4" xfId="0" applyFont="1" applyFill="1" applyBorder="1" applyAlignment="1">
      <alignment vertical="center" wrapText="1"/>
    </xf>
    <xf numFmtId="0" fontId="7" fillId="0" borderId="4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wrapText="1"/>
    </xf>
    <xf numFmtId="0" fontId="0" fillId="0" borderId="3" xfId="0" applyBorder="1" applyAlignment="1">
      <alignment wrapText="1"/>
    </xf>
    <xf numFmtId="0" fontId="2" fillId="6" borderId="2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</cellXfs>
  <cellStyles count="1">
    <cellStyle name="Normal" xfId="0" builtinId="0"/>
  </cellStyles>
  <dxfs count="189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'Repurchase Reversal - SCHE 5'!$A$76:$A$81</c:f>
              <c:numCache>
                <c:formatCode>0.0000</c:formatCode>
                <c:ptCount val="6"/>
                <c:pt idx="0">
                  <c:v>2.0073000000000154</c:v>
                </c:pt>
                <c:pt idx="1">
                  <c:v>2.0074000000000156</c:v>
                </c:pt>
                <c:pt idx="2">
                  <c:v>2.0075000000000158</c:v>
                </c:pt>
                <c:pt idx="3">
                  <c:v>2.007600000000016</c:v>
                </c:pt>
                <c:pt idx="4">
                  <c:v>2.0077000000000162</c:v>
                </c:pt>
                <c:pt idx="5">
                  <c:v>2.0078000000000165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966784"/>
        <c:axId val="78968320"/>
      </c:barChart>
      <c:catAx>
        <c:axId val="78966784"/>
        <c:scaling>
          <c:orientation val="minMax"/>
        </c:scaling>
        <c:delete val="0"/>
        <c:axPos val="b"/>
        <c:majorTickMark val="out"/>
        <c:minorTickMark val="none"/>
        <c:tickLblPos val="nextTo"/>
        <c:crossAx val="78968320"/>
        <c:crosses val="autoZero"/>
        <c:auto val="1"/>
        <c:lblAlgn val="ctr"/>
        <c:lblOffset val="100"/>
        <c:noMultiLvlLbl val="0"/>
      </c:catAx>
      <c:valAx>
        <c:axId val="7896832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7896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0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579120</xdr:colOff>
          <xdr:row>5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7620</xdr:rowOff>
        </xdr:from>
        <xdr:to>
          <xdr:col>0</xdr:col>
          <xdr:colOff>579120</xdr:colOff>
          <xdr:row>2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579120</xdr:colOff>
          <xdr:row>4</xdr:row>
          <xdr:rowOff>160020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579120</xdr:colOff>
          <xdr:row>4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0</xdr:rowOff>
        </xdr:from>
        <xdr:to>
          <xdr:col>0</xdr:col>
          <xdr:colOff>579120</xdr:colOff>
          <xdr:row>4</xdr:row>
          <xdr:rowOff>160020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245" cy="629199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0</xdr:col>
          <xdr:colOff>685800</xdr:colOff>
          <xdr:row>0</xdr:row>
          <xdr:rowOff>182880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939818/Documents/_Project%20Documents/SVN%20TEST%20%20team/_Sutuwa/Testing/Release%201/Stats/SEB_InvestAdmin_Investme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EB_InvestAdmin_Reversa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ternal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Internal - Repurchase Reversal"/>
      <sheetName val="External - Repurchase Reversal"/>
      <sheetName val="Internal Repurchase - Normal"/>
      <sheetName val="Repurchase Reversal - SCHE 5"/>
      <sheetName val="Repurchase Reversal - SCHE 6"/>
      <sheetName val="Investment Reversal"/>
      <sheetName val="Switch Reversal - Multiple"/>
      <sheetName val="SEB_InvestAdmin_Reversals"/>
    </sheetNames>
    <definedNames>
      <definedName name="Button5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4"/>
  <sheetViews>
    <sheetView tabSelected="1" zoomScaleNormal="100" workbookViewId="0">
      <selection activeCell="H3" sqref="H3"/>
    </sheetView>
  </sheetViews>
  <sheetFormatPr defaultColWidth="9.109375" defaultRowHeight="14.4" x14ac:dyDescent="0.3"/>
  <cols>
    <col min="1" max="1" width="9.109375" style="2"/>
    <col min="2" max="2" width="50.88671875" style="2" customWidth="1"/>
    <col min="3" max="8" width="15" style="2" customWidth="1"/>
    <col min="9" max="16384" width="9.109375" style="2"/>
  </cols>
  <sheetData>
    <row r="2" spans="2:8" x14ac:dyDescent="0.25">
      <c r="B2" s="12" t="s">
        <v>75</v>
      </c>
      <c r="C2" s="12" t="s">
        <v>5</v>
      </c>
      <c r="D2" s="12" t="s">
        <v>6</v>
      </c>
      <c r="E2" s="12" t="s">
        <v>9</v>
      </c>
      <c r="F2" s="12" t="s">
        <v>7</v>
      </c>
      <c r="G2" s="12" t="s">
        <v>8</v>
      </c>
      <c r="H2" s="12" t="s">
        <v>10</v>
      </c>
    </row>
    <row r="3" spans="2:8" x14ac:dyDescent="0.25">
      <c r="B3" s="12" t="s">
        <v>114</v>
      </c>
      <c r="C3" s="13">
        <f>'Repurchase Reversal - SCHE 5'!G86</f>
        <v>0</v>
      </c>
      <c r="D3" s="13">
        <f>'Repurchase Reversal - SCHE 5'!H86</f>
        <v>0</v>
      </c>
      <c r="E3" s="13">
        <f>'Repurchase Reversal - SCHE 5'!I86</f>
        <v>57</v>
      </c>
      <c r="F3" s="14">
        <f>'Repurchase Reversal - SCHE 5'!J86</f>
        <v>3</v>
      </c>
      <c r="G3" s="14">
        <f>'Repurchase Reversal - SCHE 5'!K86</f>
        <v>0</v>
      </c>
      <c r="H3" s="13">
        <f t="shared" ref="H3:H4" si="0">SUM(C3:E3)</f>
        <v>57</v>
      </c>
    </row>
    <row r="4" spans="2:8" x14ac:dyDescent="0.25">
      <c r="B4" s="12" t="s">
        <v>115</v>
      </c>
      <c r="C4" s="13">
        <f>'Repurchase Reversal - SCHE 6'!G86</f>
        <v>0</v>
      </c>
      <c r="D4" s="13">
        <f>'Repurchase Reversal - SCHE 6'!H86</f>
        <v>0</v>
      </c>
      <c r="E4" s="13">
        <f>'Repurchase Reversal - SCHE 6'!I86</f>
        <v>55</v>
      </c>
      <c r="F4" s="14">
        <f>'Repurchase Reversal - SCHE 6'!J86</f>
        <v>5</v>
      </c>
      <c r="G4" s="14">
        <f>'Repurchase Reversal - SCHE 6'!K86</f>
        <v>0</v>
      </c>
      <c r="H4" s="13">
        <f t="shared" si="0"/>
        <v>55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579120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7620</xdr:rowOff>
                  </from>
                  <to>
                    <xdr:col>0</xdr:col>
                    <xdr:colOff>579120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utton1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579120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utton4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579120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Button3_Click">
                <anchor mov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0</xdr:col>
                    <xdr:colOff>579120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M87"/>
  <sheetViews>
    <sheetView topLeftCell="D1" zoomScaleNormal="100" workbookViewId="0">
      <pane ySplit="1" topLeftCell="A2" activePane="bottomLeft" state="frozen"/>
      <selection pane="bottomLeft" activeCell="F4" sqref="F4:F13"/>
    </sheetView>
  </sheetViews>
  <sheetFormatPr defaultColWidth="9.109375" defaultRowHeight="14.4" x14ac:dyDescent="0.3"/>
  <cols>
    <col min="1" max="1" width="11.33203125" style="3" bestFit="1" customWidth="1"/>
    <col min="2" max="2" width="56.6640625" style="1" customWidth="1"/>
    <col min="3" max="3" width="58.5546875" style="1" customWidth="1"/>
    <col min="4" max="4" width="48.109375" style="46" customWidth="1"/>
    <col min="5" max="5" width="7.88671875" style="1" customWidth="1"/>
    <col min="6" max="6" width="7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41" t="s">
        <v>4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31" customFormat="1" ht="30" customHeight="1" x14ac:dyDescent="0.25">
      <c r="A2" s="32"/>
      <c r="B2" s="62" t="s">
        <v>104</v>
      </c>
      <c r="C2" s="63"/>
      <c r="D2" s="42"/>
      <c r="E2" s="42"/>
      <c r="F2" s="42"/>
      <c r="G2" s="42"/>
      <c r="H2" s="42"/>
      <c r="I2" s="42"/>
      <c r="J2" s="42"/>
      <c r="K2" s="30"/>
      <c r="L2" s="30"/>
    </row>
    <row r="3" spans="1:12" s="19" customFormat="1" ht="15" x14ac:dyDescent="0.25">
      <c r="A3" s="15">
        <v>2</v>
      </c>
      <c r="B3" s="16" t="s">
        <v>57</v>
      </c>
      <c r="C3" s="17"/>
      <c r="D3" s="17"/>
      <c r="E3" s="16"/>
      <c r="F3" s="18"/>
      <c r="G3" s="18"/>
      <c r="H3" s="18"/>
      <c r="I3" s="18"/>
      <c r="J3" s="18"/>
      <c r="K3" s="18"/>
      <c r="L3" s="16"/>
    </row>
    <row r="4" spans="1:12" x14ac:dyDescent="0.3">
      <c r="A4" s="4">
        <f t="shared" ref="A4:A67" si="0">A3+0.0001</f>
        <v>2.0001000000000002</v>
      </c>
      <c r="B4" s="5" t="s">
        <v>105</v>
      </c>
      <c r="C4" s="8" t="s">
        <v>121</v>
      </c>
      <c r="D4" s="43"/>
      <c r="E4" s="5"/>
      <c r="F4" s="7"/>
      <c r="G4" s="7">
        <f t="shared" ref="G4:K30" si="1">IF($F4=G$1,1,0)</f>
        <v>0</v>
      </c>
      <c r="H4" s="7">
        <f t="shared" si="1"/>
        <v>0</v>
      </c>
      <c r="I4" s="7">
        <f t="shared" si="1"/>
        <v>1</v>
      </c>
      <c r="J4" s="7">
        <f t="shared" si="1"/>
        <v>0</v>
      </c>
      <c r="K4" s="7">
        <f t="shared" si="1"/>
        <v>0</v>
      </c>
      <c r="L4" s="6"/>
    </row>
    <row r="5" spans="1:12" ht="26.4" x14ac:dyDescent="0.3">
      <c r="A5" s="4">
        <f t="shared" si="0"/>
        <v>2.0002000000000004</v>
      </c>
      <c r="B5" s="24" t="s">
        <v>48</v>
      </c>
      <c r="C5" s="8" t="s">
        <v>49</v>
      </c>
      <c r="D5" s="43"/>
      <c r="E5" s="5"/>
      <c r="F5" s="7"/>
      <c r="G5" s="7">
        <f t="shared" si="1"/>
        <v>0</v>
      </c>
      <c r="H5" s="7">
        <f t="shared" si="1"/>
        <v>0</v>
      </c>
      <c r="I5" s="7">
        <f t="shared" si="1"/>
        <v>1</v>
      </c>
      <c r="J5" s="7">
        <f t="shared" si="1"/>
        <v>0</v>
      </c>
      <c r="K5" s="7">
        <f t="shared" si="1"/>
        <v>0</v>
      </c>
      <c r="L5" s="6"/>
    </row>
    <row r="6" spans="1:12" ht="26.4" x14ac:dyDescent="0.3">
      <c r="A6" s="4">
        <f t="shared" si="0"/>
        <v>2.0003000000000006</v>
      </c>
      <c r="B6" s="24" t="s">
        <v>50</v>
      </c>
      <c r="C6" s="8" t="s">
        <v>51</v>
      </c>
      <c r="D6" s="43" t="s">
        <v>89</v>
      </c>
      <c r="E6" s="5"/>
      <c r="F6" s="7"/>
      <c r="G6" s="7">
        <f t="shared" si="1"/>
        <v>0</v>
      </c>
      <c r="H6" s="7">
        <f t="shared" si="1"/>
        <v>0</v>
      </c>
      <c r="I6" s="7">
        <f t="shared" si="1"/>
        <v>1</v>
      </c>
      <c r="J6" s="7">
        <f t="shared" si="1"/>
        <v>0</v>
      </c>
      <c r="K6" s="7">
        <f t="shared" si="1"/>
        <v>0</v>
      </c>
      <c r="L6" s="6"/>
    </row>
    <row r="7" spans="1:12" x14ac:dyDescent="0.3">
      <c r="A7" s="4">
        <f t="shared" si="0"/>
        <v>2.0004000000000008</v>
      </c>
      <c r="B7" s="5"/>
      <c r="C7" s="8" t="s">
        <v>106</v>
      </c>
      <c r="D7" s="43"/>
      <c r="E7" s="5"/>
      <c r="F7" s="7"/>
      <c r="G7" s="7">
        <f t="shared" si="1"/>
        <v>0</v>
      </c>
      <c r="H7" s="7">
        <f t="shared" si="1"/>
        <v>0</v>
      </c>
      <c r="I7" s="7">
        <f t="shared" si="1"/>
        <v>1</v>
      </c>
      <c r="J7" s="7">
        <f t="shared" si="1"/>
        <v>0</v>
      </c>
      <c r="K7" s="7">
        <f t="shared" si="1"/>
        <v>0</v>
      </c>
      <c r="L7" s="6"/>
    </row>
    <row r="8" spans="1:12" x14ac:dyDescent="0.3">
      <c r="A8" s="4">
        <f t="shared" si="0"/>
        <v>2.0005000000000011</v>
      </c>
      <c r="B8" s="23"/>
      <c r="C8" s="21"/>
      <c r="D8" s="44"/>
      <c r="E8" s="5"/>
      <c r="F8" s="7"/>
      <c r="G8" s="7"/>
      <c r="H8" s="7"/>
      <c r="I8" s="7"/>
      <c r="J8" s="7"/>
      <c r="K8" s="7"/>
      <c r="L8" s="6"/>
    </row>
    <row r="9" spans="1:12" x14ac:dyDescent="0.3">
      <c r="A9" s="4">
        <f t="shared" si="0"/>
        <v>2.0006000000000013</v>
      </c>
      <c r="B9" s="26"/>
      <c r="C9" s="27" t="s">
        <v>76</v>
      </c>
      <c r="D9" s="43"/>
      <c r="E9" s="6"/>
      <c r="F9" s="7"/>
      <c r="G9" s="7">
        <f t="shared" si="1"/>
        <v>0</v>
      </c>
      <c r="H9" s="7">
        <f t="shared" si="1"/>
        <v>0</v>
      </c>
      <c r="I9" s="7">
        <f t="shared" si="1"/>
        <v>1</v>
      </c>
      <c r="J9" s="7">
        <f t="shared" si="1"/>
        <v>0</v>
      </c>
      <c r="K9" s="7">
        <f t="shared" si="1"/>
        <v>0</v>
      </c>
      <c r="L9" s="6"/>
    </row>
    <row r="10" spans="1:12" x14ac:dyDescent="0.3">
      <c r="A10" s="4">
        <f t="shared" si="0"/>
        <v>2.0007000000000015</v>
      </c>
      <c r="B10" s="35" t="s">
        <v>20</v>
      </c>
      <c r="C10" s="17"/>
      <c r="D10" s="17"/>
      <c r="E10" s="6"/>
      <c r="F10" s="7"/>
      <c r="G10" s="7"/>
      <c r="H10" s="7"/>
      <c r="I10" s="7"/>
      <c r="J10" s="7"/>
      <c r="K10" s="7"/>
      <c r="L10" s="6"/>
    </row>
    <row r="11" spans="1:12" ht="26.4" x14ac:dyDescent="0.3">
      <c r="A11" s="4">
        <f t="shared" si="0"/>
        <v>2.0008000000000017</v>
      </c>
      <c r="B11" s="24" t="s">
        <v>58</v>
      </c>
      <c r="C11" s="36" t="s">
        <v>59</v>
      </c>
      <c r="D11" s="43"/>
      <c r="E11" s="6"/>
      <c r="F11" s="7"/>
      <c r="G11" s="7">
        <f t="shared" si="1"/>
        <v>0</v>
      </c>
      <c r="H11" s="7">
        <f t="shared" si="1"/>
        <v>0</v>
      </c>
      <c r="I11" s="7">
        <f t="shared" si="1"/>
        <v>1</v>
      </c>
      <c r="J11" s="7">
        <f t="shared" si="1"/>
        <v>0</v>
      </c>
      <c r="K11" s="7">
        <f t="shared" si="1"/>
        <v>0</v>
      </c>
      <c r="L11" s="6"/>
    </row>
    <row r="12" spans="1:12" x14ac:dyDescent="0.3">
      <c r="A12" s="4">
        <f t="shared" si="0"/>
        <v>2.0009000000000019</v>
      </c>
      <c r="B12" s="5"/>
      <c r="C12" s="20"/>
      <c r="D12" s="43"/>
      <c r="E12" s="6"/>
      <c r="F12" s="7"/>
      <c r="G12" s="7"/>
      <c r="H12" s="7"/>
      <c r="I12" s="7"/>
      <c r="J12" s="7"/>
      <c r="K12" s="7"/>
      <c r="L12" s="6"/>
    </row>
    <row r="13" spans="1:12" x14ac:dyDescent="0.3">
      <c r="A13" s="4">
        <f t="shared" si="0"/>
        <v>2.0010000000000021</v>
      </c>
      <c r="B13" s="5" t="s">
        <v>60</v>
      </c>
      <c r="C13" s="20" t="s">
        <v>61</v>
      </c>
      <c r="D13" s="43"/>
      <c r="E13" s="6"/>
      <c r="F13" s="7"/>
      <c r="G13" s="7">
        <f t="shared" si="1"/>
        <v>0</v>
      </c>
      <c r="H13" s="7">
        <f t="shared" si="1"/>
        <v>0</v>
      </c>
      <c r="I13" s="7">
        <f t="shared" si="1"/>
        <v>1</v>
      </c>
      <c r="J13" s="7">
        <f t="shared" si="1"/>
        <v>0</v>
      </c>
      <c r="K13" s="7">
        <f t="shared" si="1"/>
        <v>0</v>
      </c>
      <c r="L13" s="6"/>
    </row>
    <row r="14" spans="1:12" ht="15" x14ac:dyDescent="0.25">
      <c r="A14" s="4">
        <f t="shared" si="0"/>
        <v>2.0011000000000023</v>
      </c>
      <c r="B14" s="5"/>
      <c r="C14" s="21"/>
      <c r="D14" s="43"/>
      <c r="E14" s="6"/>
      <c r="F14" s="7"/>
      <c r="G14" s="7"/>
      <c r="H14" s="7"/>
      <c r="I14" s="7"/>
      <c r="J14" s="7"/>
      <c r="K14" s="7"/>
      <c r="L14" s="6"/>
    </row>
    <row r="15" spans="1:12" x14ac:dyDescent="0.3">
      <c r="A15" s="4">
        <f t="shared" si="0"/>
        <v>2.0012000000000025</v>
      </c>
      <c r="B15" s="22" t="s">
        <v>62</v>
      </c>
      <c r="C15" s="21" t="s">
        <v>63</v>
      </c>
      <c r="D15" s="43"/>
      <c r="E15" s="6"/>
      <c r="F15" s="7"/>
      <c r="G15" s="7">
        <f t="shared" si="1"/>
        <v>0</v>
      </c>
      <c r="H15" s="7">
        <f t="shared" si="1"/>
        <v>0</v>
      </c>
      <c r="I15" s="7">
        <f t="shared" si="1"/>
        <v>1</v>
      </c>
      <c r="J15" s="7">
        <f t="shared" si="1"/>
        <v>0</v>
      </c>
      <c r="K15" s="7">
        <f t="shared" si="1"/>
        <v>0</v>
      </c>
      <c r="L15" s="6"/>
    </row>
    <row r="16" spans="1:12" x14ac:dyDescent="0.3">
      <c r="A16" s="4">
        <f t="shared" si="0"/>
        <v>2.0013000000000027</v>
      </c>
      <c r="B16" s="5"/>
      <c r="C16" s="21"/>
      <c r="D16" s="43"/>
      <c r="E16" s="6"/>
      <c r="F16" s="7"/>
      <c r="G16" s="7"/>
      <c r="H16" s="7"/>
      <c r="I16" s="7"/>
      <c r="J16" s="7"/>
      <c r="K16" s="7"/>
      <c r="L16" s="6"/>
    </row>
    <row r="17" spans="1:12" ht="26.4" x14ac:dyDescent="0.3">
      <c r="A17" s="4">
        <f t="shared" si="0"/>
        <v>2.001400000000003</v>
      </c>
      <c r="B17" s="8" t="s">
        <v>64</v>
      </c>
      <c r="C17" s="20" t="s">
        <v>123</v>
      </c>
      <c r="D17" s="43"/>
      <c r="E17" s="6"/>
      <c r="F17" s="7"/>
      <c r="G17" s="7">
        <f t="shared" si="1"/>
        <v>0</v>
      </c>
      <c r="H17" s="7">
        <f t="shared" si="1"/>
        <v>0</v>
      </c>
      <c r="I17" s="7">
        <f t="shared" si="1"/>
        <v>1</v>
      </c>
      <c r="J17" s="7">
        <f t="shared" si="1"/>
        <v>0</v>
      </c>
      <c r="K17" s="7">
        <f t="shared" si="1"/>
        <v>0</v>
      </c>
      <c r="L17" s="6"/>
    </row>
    <row r="18" spans="1:12" x14ac:dyDescent="0.3">
      <c r="A18" s="4">
        <f t="shared" si="0"/>
        <v>2.0015000000000032</v>
      </c>
      <c r="B18" s="37"/>
      <c r="C18" s="38"/>
      <c r="D18" s="43"/>
      <c r="E18" s="6"/>
      <c r="F18" s="7"/>
      <c r="G18" s="7"/>
      <c r="H18" s="7"/>
      <c r="I18" s="7"/>
      <c r="J18" s="7"/>
      <c r="K18" s="7"/>
      <c r="L18" s="6"/>
    </row>
    <row r="19" spans="1:12" x14ac:dyDescent="0.3">
      <c r="A19" s="4">
        <f t="shared" si="0"/>
        <v>2.0016000000000034</v>
      </c>
      <c r="B19" s="5" t="s">
        <v>65</v>
      </c>
      <c r="C19" s="21" t="s">
        <v>63</v>
      </c>
      <c r="D19" s="43"/>
      <c r="E19" s="6"/>
      <c r="F19" s="7"/>
      <c r="G19" s="7">
        <f t="shared" si="1"/>
        <v>0</v>
      </c>
      <c r="H19" s="7">
        <f t="shared" si="1"/>
        <v>0</v>
      </c>
      <c r="I19" s="7">
        <f t="shared" si="1"/>
        <v>1</v>
      </c>
      <c r="J19" s="7">
        <f t="shared" si="1"/>
        <v>0</v>
      </c>
      <c r="K19" s="7">
        <f t="shared" si="1"/>
        <v>0</v>
      </c>
      <c r="L19" s="6"/>
    </row>
    <row r="20" spans="1:12" x14ac:dyDescent="0.3">
      <c r="A20" s="4">
        <f t="shared" si="0"/>
        <v>2.0017000000000036</v>
      </c>
      <c r="B20" s="5" t="s">
        <v>66</v>
      </c>
      <c r="C20" s="21" t="s">
        <v>67</v>
      </c>
      <c r="D20" s="43"/>
      <c r="E20" s="6"/>
      <c r="F20" s="7"/>
      <c r="G20" s="7">
        <f t="shared" si="1"/>
        <v>0</v>
      </c>
      <c r="H20" s="7">
        <f t="shared" si="1"/>
        <v>0</v>
      </c>
      <c r="I20" s="7">
        <f t="shared" si="1"/>
        <v>1</v>
      </c>
      <c r="J20" s="7">
        <f t="shared" si="1"/>
        <v>0</v>
      </c>
      <c r="K20" s="7">
        <f t="shared" si="1"/>
        <v>0</v>
      </c>
      <c r="L20" s="6"/>
    </row>
    <row r="21" spans="1:12" x14ac:dyDescent="0.3">
      <c r="A21" s="4">
        <f t="shared" si="0"/>
        <v>2.0018000000000038</v>
      </c>
      <c r="B21" s="5" t="s">
        <v>68</v>
      </c>
      <c r="C21" s="20" t="s">
        <v>69</v>
      </c>
      <c r="D21" s="43"/>
      <c r="E21" s="6"/>
      <c r="F21" s="7"/>
      <c r="G21" s="7">
        <f t="shared" si="1"/>
        <v>0</v>
      </c>
      <c r="H21" s="7">
        <f t="shared" si="1"/>
        <v>0</v>
      </c>
      <c r="I21" s="7">
        <f t="shared" si="1"/>
        <v>1</v>
      </c>
      <c r="J21" s="7">
        <f t="shared" si="1"/>
        <v>0</v>
      </c>
      <c r="K21" s="7">
        <f t="shared" si="1"/>
        <v>0</v>
      </c>
      <c r="L21" s="6"/>
    </row>
    <row r="22" spans="1:12" x14ac:dyDescent="0.3">
      <c r="A22" s="4">
        <f t="shared" si="0"/>
        <v>2.001900000000004</v>
      </c>
      <c r="B22" s="5" t="s">
        <v>70</v>
      </c>
      <c r="C22" s="20" t="s">
        <v>71</v>
      </c>
      <c r="E22" s="6"/>
      <c r="F22" s="7"/>
      <c r="G22" s="7">
        <f t="shared" si="1"/>
        <v>0</v>
      </c>
      <c r="H22" s="7">
        <f t="shared" si="1"/>
        <v>0</v>
      </c>
      <c r="I22" s="7">
        <f t="shared" si="1"/>
        <v>1</v>
      </c>
      <c r="J22" s="7">
        <f t="shared" si="1"/>
        <v>0</v>
      </c>
      <c r="K22" s="7">
        <f t="shared" si="1"/>
        <v>0</v>
      </c>
      <c r="L22" s="6"/>
    </row>
    <row r="23" spans="1:12" x14ac:dyDescent="0.3">
      <c r="A23" s="4">
        <f t="shared" si="0"/>
        <v>2.0020000000000042</v>
      </c>
      <c r="B23" s="5"/>
      <c r="C23" s="43" t="s">
        <v>122</v>
      </c>
      <c r="D23" s="43"/>
      <c r="E23" s="6"/>
      <c r="F23" s="7"/>
      <c r="G23" s="7">
        <f t="shared" si="1"/>
        <v>0</v>
      </c>
      <c r="H23" s="7">
        <f t="shared" si="1"/>
        <v>0</v>
      </c>
      <c r="I23" s="7">
        <f t="shared" si="1"/>
        <v>1</v>
      </c>
      <c r="J23" s="7">
        <f t="shared" si="1"/>
        <v>0</v>
      </c>
      <c r="K23" s="7">
        <f t="shared" si="1"/>
        <v>0</v>
      </c>
      <c r="L23" s="6"/>
    </row>
    <row r="24" spans="1:12" ht="15" x14ac:dyDescent="0.25">
      <c r="A24" s="4">
        <f t="shared" si="0"/>
        <v>2.0021000000000044</v>
      </c>
      <c r="B24" s="24"/>
      <c r="C24" s="27"/>
      <c r="D24" s="43"/>
      <c r="E24" s="6"/>
      <c r="F24" s="7" t="s">
        <v>7</v>
      </c>
      <c r="G24" s="7">
        <f t="shared" si="1"/>
        <v>0</v>
      </c>
      <c r="H24" s="7">
        <f t="shared" si="1"/>
        <v>0</v>
      </c>
      <c r="I24" s="7">
        <f t="shared" si="1"/>
        <v>0</v>
      </c>
      <c r="J24" s="7">
        <f t="shared" si="1"/>
        <v>1</v>
      </c>
      <c r="K24" s="7">
        <f t="shared" si="1"/>
        <v>0</v>
      </c>
      <c r="L24" s="6"/>
    </row>
    <row r="25" spans="1:12" ht="15" x14ac:dyDescent="0.25">
      <c r="A25" s="4">
        <f t="shared" si="0"/>
        <v>2.0022000000000046</v>
      </c>
      <c r="B25" s="49"/>
      <c r="C25" s="48"/>
      <c r="D25" s="52"/>
      <c r="E25" s="6"/>
      <c r="F25" s="7"/>
      <c r="G25" s="7"/>
      <c r="H25" s="7"/>
      <c r="I25" s="7"/>
      <c r="J25" s="7"/>
      <c r="K25" s="7"/>
      <c r="L25" s="6"/>
    </row>
    <row r="26" spans="1:12" ht="15" x14ac:dyDescent="0.25">
      <c r="A26" s="4">
        <f t="shared" si="0"/>
        <v>2.0023000000000049</v>
      </c>
      <c r="B26" s="39" t="s">
        <v>96</v>
      </c>
      <c r="C26" s="40" t="s">
        <v>101</v>
      </c>
      <c r="D26" s="17"/>
      <c r="E26" s="6"/>
      <c r="F26" s="7"/>
      <c r="G26" s="7"/>
      <c r="H26" s="7"/>
      <c r="I26" s="7"/>
      <c r="J26" s="7"/>
      <c r="K26" s="7"/>
      <c r="L26" s="6"/>
    </row>
    <row r="27" spans="1:12" x14ac:dyDescent="0.3">
      <c r="A27" s="4">
        <f t="shared" si="0"/>
        <v>2.0024000000000051</v>
      </c>
      <c r="B27" s="25" t="s">
        <v>77</v>
      </c>
      <c r="C27" s="20" t="s">
        <v>78</v>
      </c>
      <c r="D27" s="43"/>
      <c r="E27" s="6"/>
      <c r="F27" s="7"/>
      <c r="G27" s="7">
        <f t="shared" si="1"/>
        <v>0</v>
      </c>
      <c r="H27" s="7">
        <f t="shared" si="1"/>
        <v>0</v>
      </c>
      <c r="I27" s="7">
        <f t="shared" si="1"/>
        <v>1</v>
      </c>
      <c r="J27" s="7">
        <f t="shared" si="1"/>
        <v>0</v>
      </c>
      <c r="K27" s="7">
        <f t="shared" si="1"/>
        <v>0</v>
      </c>
      <c r="L27" s="6"/>
    </row>
    <row r="28" spans="1:12" x14ac:dyDescent="0.3">
      <c r="A28" s="4">
        <f t="shared" si="0"/>
        <v>2.0025000000000053</v>
      </c>
      <c r="B28" s="5"/>
      <c r="C28" s="21"/>
      <c r="D28" s="43"/>
      <c r="E28" s="6"/>
      <c r="F28" s="7"/>
      <c r="G28" s="7"/>
      <c r="H28" s="7"/>
      <c r="I28" s="7"/>
      <c r="J28" s="7"/>
      <c r="K28" s="7">
        <f t="shared" si="1"/>
        <v>0</v>
      </c>
      <c r="L28" s="6"/>
    </row>
    <row r="29" spans="1:12" ht="39.6" x14ac:dyDescent="0.3">
      <c r="A29" s="4">
        <f t="shared" si="0"/>
        <v>2.0026000000000055</v>
      </c>
      <c r="B29" s="50" t="s">
        <v>99</v>
      </c>
      <c r="C29" s="51" t="s">
        <v>91</v>
      </c>
      <c r="D29" s="43"/>
      <c r="E29" s="6"/>
      <c r="F29" s="7"/>
      <c r="G29" s="7">
        <f t="shared" si="1"/>
        <v>0</v>
      </c>
      <c r="H29" s="7">
        <f t="shared" si="1"/>
        <v>0</v>
      </c>
      <c r="I29" s="7">
        <f t="shared" si="1"/>
        <v>1</v>
      </c>
      <c r="J29" s="7">
        <f t="shared" si="1"/>
        <v>0</v>
      </c>
      <c r="K29" s="7">
        <f t="shared" si="1"/>
        <v>0</v>
      </c>
      <c r="L29" s="6"/>
    </row>
    <row r="30" spans="1:12" ht="39.6" x14ac:dyDescent="0.3">
      <c r="A30" s="4">
        <f t="shared" si="0"/>
        <v>2.0027000000000057</v>
      </c>
      <c r="B30" s="50" t="s">
        <v>97</v>
      </c>
      <c r="C30" s="51" t="s">
        <v>102</v>
      </c>
      <c r="D30" s="43"/>
      <c r="E30" s="6"/>
      <c r="F30" s="7"/>
      <c r="G30" s="7">
        <f t="shared" si="1"/>
        <v>0</v>
      </c>
      <c r="H30" s="7">
        <f t="shared" si="1"/>
        <v>0</v>
      </c>
      <c r="I30" s="7">
        <f t="shared" si="1"/>
        <v>1</v>
      </c>
      <c r="J30" s="7">
        <f t="shared" si="1"/>
        <v>0</v>
      </c>
      <c r="K30" s="7">
        <f t="shared" si="1"/>
        <v>0</v>
      </c>
      <c r="L30" s="6"/>
    </row>
    <row r="31" spans="1:12" x14ac:dyDescent="0.3">
      <c r="A31" s="4">
        <f t="shared" si="0"/>
        <v>2.0028000000000059</v>
      </c>
      <c r="B31" s="25"/>
      <c r="C31" s="20"/>
      <c r="D31" s="43"/>
      <c r="E31" s="6"/>
      <c r="F31" s="7"/>
      <c r="G31" s="7"/>
      <c r="H31" s="7"/>
      <c r="I31" s="7"/>
      <c r="J31" s="7"/>
      <c r="K31" s="7"/>
      <c r="L31" s="6"/>
    </row>
    <row r="32" spans="1:12" x14ac:dyDescent="0.3">
      <c r="A32" s="4">
        <f t="shared" si="0"/>
        <v>2.0029000000000061</v>
      </c>
      <c r="B32" s="5" t="s">
        <v>79</v>
      </c>
      <c r="C32" s="21" t="s">
        <v>80</v>
      </c>
      <c r="D32" s="43"/>
      <c r="E32" s="6"/>
      <c r="F32" s="7"/>
      <c r="G32" s="7">
        <f t="shared" ref="G32:K39" si="2">IF($F32=G$1,1,0)</f>
        <v>0</v>
      </c>
      <c r="H32" s="7">
        <f t="shared" si="2"/>
        <v>0</v>
      </c>
      <c r="I32" s="7">
        <f t="shared" si="2"/>
        <v>1</v>
      </c>
      <c r="J32" s="7">
        <f t="shared" si="2"/>
        <v>0</v>
      </c>
      <c r="K32" s="7">
        <f t="shared" si="2"/>
        <v>0</v>
      </c>
      <c r="L32" s="6"/>
    </row>
    <row r="33" spans="1:12" ht="15" x14ac:dyDescent="0.25">
      <c r="A33" s="4">
        <f t="shared" si="0"/>
        <v>2.0030000000000063</v>
      </c>
      <c r="B33" s="5" t="s">
        <v>85</v>
      </c>
      <c r="C33" s="21" t="s">
        <v>86</v>
      </c>
      <c r="D33" s="43"/>
      <c r="E33" s="6"/>
      <c r="F33" s="7" t="s">
        <v>7</v>
      </c>
      <c r="G33" s="7">
        <f t="shared" si="2"/>
        <v>0</v>
      </c>
      <c r="H33" s="7">
        <f t="shared" si="2"/>
        <v>0</v>
      </c>
      <c r="I33" s="7">
        <f t="shared" si="2"/>
        <v>0</v>
      </c>
      <c r="J33" s="7">
        <f t="shared" si="2"/>
        <v>1</v>
      </c>
      <c r="K33" s="7">
        <f t="shared" si="2"/>
        <v>0</v>
      </c>
      <c r="L33" s="6"/>
    </row>
    <row r="34" spans="1:12" ht="15" x14ac:dyDescent="0.25">
      <c r="A34" s="4">
        <f t="shared" si="0"/>
        <v>2.0031000000000065</v>
      </c>
      <c r="B34" s="5" t="s">
        <v>81</v>
      </c>
      <c r="C34" s="21" t="s">
        <v>84</v>
      </c>
      <c r="D34" s="43"/>
      <c r="E34" s="6"/>
      <c r="F34" s="7" t="s">
        <v>7</v>
      </c>
      <c r="G34" s="7">
        <f t="shared" si="2"/>
        <v>0</v>
      </c>
      <c r="H34" s="7">
        <f t="shared" si="2"/>
        <v>0</v>
      </c>
      <c r="I34" s="7">
        <f t="shared" si="2"/>
        <v>0</v>
      </c>
      <c r="J34" s="7">
        <f t="shared" si="2"/>
        <v>1</v>
      </c>
      <c r="K34" s="7">
        <f t="shared" si="2"/>
        <v>0</v>
      </c>
      <c r="L34" s="6"/>
    </row>
    <row r="35" spans="1:12" x14ac:dyDescent="0.3">
      <c r="A35" s="4">
        <f t="shared" si="0"/>
        <v>2.0032000000000068</v>
      </c>
      <c r="B35" s="5" t="s">
        <v>15</v>
      </c>
      <c r="C35" s="20" t="s">
        <v>16</v>
      </c>
      <c r="D35" s="43"/>
      <c r="E35" s="6"/>
      <c r="F35" s="7"/>
      <c r="G35" s="7">
        <f t="shared" si="2"/>
        <v>0</v>
      </c>
      <c r="H35" s="7">
        <f t="shared" si="2"/>
        <v>0</v>
      </c>
      <c r="I35" s="7">
        <f t="shared" si="2"/>
        <v>1</v>
      </c>
      <c r="J35" s="7">
        <f t="shared" si="2"/>
        <v>0</v>
      </c>
      <c r="K35" s="7">
        <f t="shared" si="2"/>
        <v>0</v>
      </c>
      <c r="L35" s="6"/>
    </row>
    <row r="36" spans="1:12" x14ac:dyDescent="0.3">
      <c r="A36" s="4">
        <f t="shared" si="0"/>
        <v>2.003300000000007</v>
      </c>
      <c r="B36" s="5" t="s">
        <v>17</v>
      </c>
      <c r="C36" s="21" t="s">
        <v>87</v>
      </c>
      <c r="D36" s="43"/>
      <c r="E36" s="6"/>
      <c r="F36" s="7"/>
      <c r="G36" s="7">
        <f t="shared" si="2"/>
        <v>0</v>
      </c>
      <c r="H36" s="7">
        <f t="shared" si="2"/>
        <v>0</v>
      </c>
      <c r="I36" s="7">
        <f t="shared" si="2"/>
        <v>1</v>
      </c>
      <c r="J36" s="7">
        <f t="shared" si="2"/>
        <v>0</v>
      </c>
      <c r="K36" s="7">
        <f t="shared" si="2"/>
        <v>0</v>
      </c>
      <c r="L36" s="6"/>
    </row>
    <row r="37" spans="1:12" x14ac:dyDescent="0.3">
      <c r="A37" s="4">
        <f t="shared" si="0"/>
        <v>2.0034000000000072</v>
      </c>
      <c r="B37" s="5" t="s">
        <v>21</v>
      </c>
      <c r="C37" s="20" t="s">
        <v>18</v>
      </c>
      <c r="D37" s="43"/>
      <c r="E37" s="6"/>
      <c r="F37" s="7"/>
      <c r="G37" s="7">
        <f t="shared" si="2"/>
        <v>0</v>
      </c>
      <c r="H37" s="7">
        <f t="shared" si="2"/>
        <v>0</v>
      </c>
      <c r="I37" s="7">
        <f t="shared" si="2"/>
        <v>1</v>
      </c>
      <c r="J37" s="7">
        <f t="shared" si="2"/>
        <v>0</v>
      </c>
      <c r="K37" s="7">
        <f t="shared" si="2"/>
        <v>0</v>
      </c>
      <c r="L37" s="6"/>
    </row>
    <row r="38" spans="1:12" x14ac:dyDescent="0.3">
      <c r="A38" s="4">
        <f t="shared" si="0"/>
        <v>2.0035000000000074</v>
      </c>
      <c r="B38" s="5"/>
      <c r="C38" s="20" t="s">
        <v>19</v>
      </c>
      <c r="D38" s="43"/>
      <c r="E38" s="6"/>
      <c r="F38" s="7"/>
      <c r="G38" s="7">
        <f t="shared" si="2"/>
        <v>0</v>
      </c>
      <c r="H38" s="7">
        <f t="shared" si="2"/>
        <v>0</v>
      </c>
      <c r="I38" s="7">
        <f t="shared" si="2"/>
        <v>1</v>
      </c>
      <c r="J38" s="7">
        <f t="shared" si="2"/>
        <v>0</v>
      </c>
      <c r="K38" s="7">
        <f t="shared" si="2"/>
        <v>0</v>
      </c>
      <c r="L38" s="6"/>
    </row>
    <row r="39" spans="1:12" ht="26.4" x14ac:dyDescent="0.3">
      <c r="A39" s="4">
        <f t="shared" si="0"/>
        <v>2.0036000000000076</v>
      </c>
      <c r="B39" s="5" t="s">
        <v>14</v>
      </c>
      <c r="C39" s="27" t="s">
        <v>88</v>
      </c>
      <c r="D39" s="43"/>
      <c r="E39" s="6"/>
      <c r="F39" s="7"/>
      <c r="G39" s="7">
        <f t="shared" si="2"/>
        <v>0</v>
      </c>
      <c r="H39" s="7">
        <f t="shared" si="2"/>
        <v>0</v>
      </c>
      <c r="I39" s="7">
        <f t="shared" si="2"/>
        <v>1</v>
      </c>
      <c r="J39" s="7">
        <f t="shared" si="2"/>
        <v>0</v>
      </c>
      <c r="K39" s="7">
        <f t="shared" si="2"/>
        <v>0</v>
      </c>
      <c r="L39" s="6"/>
    </row>
    <row r="40" spans="1:12" x14ac:dyDescent="0.3">
      <c r="A40" s="4">
        <f t="shared" si="0"/>
        <v>2.0037000000000078</v>
      </c>
      <c r="B40" s="25"/>
      <c r="C40" s="20"/>
      <c r="D40" s="43"/>
      <c r="E40" s="6"/>
      <c r="F40" s="7"/>
      <c r="G40" s="7"/>
      <c r="H40" s="7"/>
      <c r="I40" s="7"/>
      <c r="J40" s="7"/>
      <c r="K40" s="7"/>
      <c r="L40" s="6"/>
    </row>
    <row r="41" spans="1:12" x14ac:dyDescent="0.3">
      <c r="A41" s="4">
        <f t="shared" si="0"/>
        <v>2.003800000000008</v>
      </c>
      <c r="B41" s="53" t="s">
        <v>92</v>
      </c>
      <c r="C41" s="54" t="s">
        <v>94</v>
      </c>
      <c r="D41" s="54"/>
      <c r="E41" s="6"/>
      <c r="F41" s="7"/>
      <c r="G41" s="7">
        <f t="shared" ref="G41:K42" si="3">IF($F41=G$1,1,0)</f>
        <v>0</v>
      </c>
      <c r="H41" s="7">
        <f t="shared" si="3"/>
        <v>0</v>
      </c>
      <c r="I41" s="7">
        <f t="shared" si="3"/>
        <v>1</v>
      </c>
      <c r="J41" s="7">
        <f t="shared" si="3"/>
        <v>0</v>
      </c>
      <c r="K41" s="7">
        <f t="shared" si="3"/>
        <v>0</v>
      </c>
      <c r="L41" s="6"/>
    </row>
    <row r="42" spans="1:12" x14ac:dyDescent="0.3">
      <c r="A42" s="4">
        <f t="shared" si="0"/>
        <v>2.0039000000000082</v>
      </c>
      <c r="B42" s="53" t="s">
        <v>93</v>
      </c>
      <c r="C42" s="54" t="s">
        <v>95</v>
      </c>
      <c r="D42" s="54"/>
      <c r="E42" s="6"/>
      <c r="F42" s="7"/>
      <c r="G42" s="7">
        <f t="shared" si="3"/>
        <v>0</v>
      </c>
      <c r="H42" s="7">
        <f t="shared" si="3"/>
        <v>0</v>
      </c>
      <c r="I42" s="7">
        <f t="shared" si="3"/>
        <v>1</v>
      </c>
      <c r="J42" s="7">
        <f t="shared" si="3"/>
        <v>0</v>
      </c>
      <c r="K42" s="7">
        <f t="shared" si="3"/>
        <v>0</v>
      </c>
      <c r="L42" s="6"/>
    </row>
    <row r="43" spans="1:12" x14ac:dyDescent="0.3">
      <c r="A43" s="4">
        <f t="shared" si="0"/>
        <v>2.0040000000000084</v>
      </c>
      <c r="B43" s="5"/>
      <c r="C43" s="27"/>
      <c r="D43" s="43"/>
      <c r="E43" s="6"/>
      <c r="F43" s="7"/>
      <c r="G43" s="7"/>
      <c r="H43" s="7"/>
      <c r="I43" s="7"/>
      <c r="J43" s="7"/>
      <c r="K43" s="7"/>
      <c r="L43" s="6"/>
    </row>
    <row r="44" spans="1:12" x14ac:dyDescent="0.3">
      <c r="A44" s="4">
        <f t="shared" si="0"/>
        <v>2.0041000000000087</v>
      </c>
      <c r="B44" s="16" t="s">
        <v>82</v>
      </c>
      <c r="C44" s="17"/>
      <c r="D44" s="16"/>
      <c r="E44" s="6"/>
      <c r="F44" s="7"/>
      <c r="G44" s="7"/>
      <c r="H44" s="7"/>
      <c r="I44" s="7"/>
      <c r="J44" s="7"/>
      <c r="K44" s="7"/>
      <c r="L44" s="6"/>
    </row>
    <row r="45" spans="1:12" x14ac:dyDescent="0.3">
      <c r="A45" s="4">
        <f t="shared" si="0"/>
        <v>2.0042000000000089</v>
      </c>
      <c r="B45" s="5" t="s">
        <v>124</v>
      </c>
      <c r="C45" s="5" t="s">
        <v>125</v>
      </c>
      <c r="D45" s="6" t="s">
        <v>72</v>
      </c>
      <c r="E45" s="7"/>
      <c r="F45" s="7"/>
      <c r="G45" s="7">
        <f t="shared" ref="G45:K50" si="4">IF($F45=G$1,1,0)</f>
        <v>0</v>
      </c>
      <c r="H45" s="7">
        <f t="shared" si="4"/>
        <v>0</v>
      </c>
      <c r="I45" s="7">
        <f t="shared" si="4"/>
        <v>1</v>
      </c>
      <c r="J45" s="7">
        <f t="shared" si="4"/>
        <v>0</v>
      </c>
      <c r="K45" s="7">
        <f t="shared" si="4"/>
        <v>0</v>
      </c>
      <c r="L45" s="7"/>
    </row>
    <row r="46" spans="1:12" x14ac:dyDescent="0.3">
      <c r="A46" s="4">
        <f t="shared" si="0"/>
        <v>2.0043000000000091</v>
      </c>
      <c r="B46" s="5" t="s">
        <v>52</v>
      </c>
      <c r="C46" s="5" t="s">
        <v>73</v>
      </c>
      <c r="D46" s="6" t="s">
        <v>83</v>
      </c>
      <c r="E46" s="7"/>
      <c r="F46" s="7"/>
      <c r="G46" s="7">
        <f t="shared" si="4"/>
        <v>0</v>
      </c>
      <c r="H46" s="7">
        <f t="shared" si="4"/>
        <v>0</v>
      </c>
      <c r="I46" s="7">
        <f t="shared" si="4"/>
        <v>1</v>
      </c>
      <c r="J46" s="7">
        <f t="shared" si="4"/>
        <v>0</v>
      </c>
      <c r="K46" s="7">
        <f t="shared" si="4"/>
        <v>0</v>
      </c>
      <c r="L46" s="7"/>
    </row>
    <row r="47" spans="1:12" x14ac:dyDescent="0.3">
      <c r="A47" s="4">
        <f t="shared" si="0"/>
        <v>2.0044000000000093</v>
      </c>
      <c r="B47" s="5" t="s">
        <v>14</v>
      </c>
      <c r="C47" s="5" t="s">
        <v>53</v>
      </c>
      <c r="D47" s="6"/>
      <c r="E47" s="7"/>
      <c r="F47" s="7"/>
      <c r="G47" s="7">
        <f t="shared" si="4"/>
        <v>0</v>
      </c>
      <c r="H47" s="7">
        <f t="shared" si="4"/>
        <v>0</v>
      </c>
      <c r="I47" s="7">
        <f t="shared" si="4"/>
        <v>1</v>
      </c>
      <c r="J47" s="7">
        <f t="shared" si="4"/>
        <v>0</v>
      </c>
      <c r="K47" s="7">
        <f t="shared" si="4"/>
        <v>0</v>
      </c>
      <c r="L47" s="7"/>
    </row>
    <row r="48" spans="1:12" ht="26.4" x14ac:dyDescent="0.3">
      <c r="A48" s="4">
        <f t="shared" si="0"/>
        <v>2.0045000000000095</v>
      </c>
      <c r="B48" s="5" t="s">
        <v>126</v>
      </c>
      <c r="C48" s="5" t="s">
        <v>125</v>
      </c>
      <c r="D48" s="6"/>
      <c r="E48" s="7"/>
      <c r="F48" s="7"/>
      <c r="G48" s="7">
        <f t="shared" si="4"/>
        <v>0</v>
      </c>
      <c r="H48" s="7">
        <f t="shared" si="4"/>
        <v>0</v>
      </c>
      <c r="I48" s="7">
        <f t="shared" si="4"/>
        <v>1</v>
      </c>
      <c r="J48" s="7">
        <f t="shared" si="4"/>
        <v>0</v>
      </c>
      <c r="K48" s="7">
        <f t="shared" si="4"/>
        <v>0</v>
      </c>
      <c r="L48" s="7"/>
    </row>
    <row r="49" spans="1:12" x14ac:dyDescent="0.3">
      <c r="A49" s="4">
        <f t="shared" si="0"/>
        <v>2.0046000000000097</v>
      </c>
      <c r="B49" s="5" t="s">
        <v>52</v>
      </c>
      <c r="C49" s="5" t="s">
        <v>74</v>
      </c>
      <c r="D49" s="6"/>
      <c r="E49" s="7"/>
      <c r="F49" s="7"/>
      <c r="G49" s="7">
        <f t="shared" si="4"/>
        <v>0</v>
      </c>
      <c r="H49" s="7">
        <f t="shared" si="4"/>
        <v>0</v>
      </c>
      <c r="I49" s="7">
        <f t="shared" si="4"/>
        <v>1</v>
      </c>
      <c r="J49" s="7">
        <f t="shared" si="4"/>
        <v>0</v>
      </c>
      <c r="K49" s="7">
        <f t="shared" si="4"/>
        <v>0</v>
      </c>
      <c r="L49" s="7"/>
    </row>
    <row r="50" spans="1:12" x14ac:dyDescent="0.3">
      <c r="A50" s="4">
        <f t="shared" si="0"/>
        <v>2.0047000000000099</v>
      </c>
      <c r="B50" s="5" t="s">
        <v>14</v>
      </c>
      <c r="C50" s="5" t="s">
        <v>53</v>
      </c>
      <c r="D50" s="6"/>
      <c r="E50" s="7"/>
      <c r="F50" s="7"/>
      <c r="G50" s="7">
        <f t="shared" si="4"/>
        <v>0</v>
      </c>
      <c r="H50" s="7">
        <f t="shared" si="4"/>
        <v>0</v>
      </c>
      <c r="I50" s="7">
        <f t="shared" si="4"/>
        <v>1</v>
      </c>
      <c r="J50" s="7">
        <f t="shared" si="4"/>
        <v>0</v>
      </c>
      <c r="K50" s="7">
        <f t="shared" si="4"/>
        <v>0</v>
      </c>
      <c r="L50" s="7"/>
    </row>
    <row r="51" spans="1:12" x14ac:dyDescent="0.3">
      <c r="A51" s="4">
        <f t="shared" si="0"/>
        <v>2.0048000000000101</v>
      </c>
      <c r="B51" s="6"/>
      <c r="C51" s="21"/>
      <c r="D51" s="45"/>
      <c r="E51" s="7"/>
      <c r="F51" s="7"/>
      <c r="G51" s="7"/>
      <c r="H51" s="7"/>
      <c r="I51" s="7"/>
      <c r="J51" s="7"/>
      <c r="K51" s="7"/>
      <c r="L51" s="7"/>
    </row>
    <row r="52" spans="1:12" x14ac:dyDescent="0.3">
      <c r="A52" s="4">
        <f t="shared" si="0"/>
        <v>2.0049000000000103</v>
      </c>
      <c r="B52" s="16" t="s">
        <v>39</v>
      </c>
      <c r="C52" s="16"/>
      <c r="D52" s="17"/>
      <c r="E52" s="7"/>
      <c r="F52" s="7"/>
      <c r="G52" s="7"/>
      <c r="H52" s="7"/>
      <c r="I52" s="7"/>
      <c r="J52" s="7"/>
      <c r="K52" s="7"/>
      <c r="L52" s="7"/>
    </row>
    <row r="53" spans="1:12" x14ac:dyDescent="0.3">
      <c r="A53" s="4">
        <f t="shared" si="0"/>
        <v>2.0050000000000106</v>
      </c>
      <c r="B53" s="29" t="s">
        <v>22</v>
      </c>
      <c r="C53" s="5" t="s">
        <v>23</v>
      </c>
      <c r="D53" s="45"/>
      <c r="E53" s="7"/>
      <c r="F53" s="7"/>
      <c r="G53" s="7">
        <f t="shared" ref="G53:K62" si="5">IF($F53=G$1,1,0)</f>
        <v>0</v>
      </c>
      <c r="H53" s="7">
        <f t="shared" si="5"/>
        <v>0</v>
      </c>
      <c r="I53" s="7">
        <f t="shared" si="5"/>
        <v>1</v>
      </c>
      <c r="J53" s="7">
        <f t="shared" si="5"/>
        <v>0</v>
      </c>
      <c r="K53" s="7">
        <f t="shared" si="5"/>
        <v>0</v>
      </c>
      <c r="L53" s="7"/>
    </row>
    <row r="54" spans="1:12" x14ac:dyDescent="0.3">
      <c r="A54" s="4">
        <f t="shared" si="0"/>
        <v>2.0051000000000108</v>
      </c>
      <c r="B54" s="6"/>
      <c r="C54" s="5" t="s">
        <v>24</v>
      </c>
      <c r="D54" s="45"/>
      <c r="E54" s="7"/>
      <c r="F54" s="7"/>
      <c r="G54" s="7">
        <f t="shared" si="5"/>
        <v>0</v>
      </c>
      <c r="H54" s="7">
        <f t="shared" si="5"/>
        <v>0</v>
      </c>
      <c r="I54" s="7">
        <f t="shared" si="5"/>
        <v>1</v>
      </c>
      <c r="J54" s="7">
        <f t="shared" si="5"/>
        <v>0</v>
      </c>
      <c r="K54" s="7">
        <f t="shared" si="5"/>
        <v>0</v>
      </c>
      <c r="L54" s="7"/>
    </row>
    <row r="55" spans="1:12" x14ac:dyDescent="0.3">
      <c r="A55" s="4">
        <f t="shared" si="0"/>
        <v>2.005200000000011</v>
      </c>
      <c r="B55" s="6"/>
      <c r="C55" s="5" t="s">
        <v>34</v>
      </c>
      <c r="D55" s="45"/>
      <c r="E55" s="7"/>
      <c r="F55" s="7"/>
      <c r="G55" s="7">
        <f t="shared" si="5"/>
        <v>0</v>
      </c>
      <c r="H55" s="7">
        <f t="shared" si="5"/>
        <v>0</v>
      </c>
      <c r="I55" s="7">
        <f t="shared" si="5"/>
        <v>1</v>
      </c>
      <c r="J55" s="7">
        <f t="shared" si="5"/>
        <v>0</v>
      </c>
      <c r="K55" s="7">
        <f t="shared" si="5"/>
        <v>0</v>
      </c>
      <c r="L55" s="7"/>
    </row>
    <row r="56" spans="1:12" x14ac:dyDescent="0.3">
      <c r="A56" s="4">
        <f t="shared" si="0"/>
        <v>2.0053000000000112</v>
      </c>
      <c r="B56" s="6"/>
      <c r="C56" s="5" t="s">
        <v>35</v>
      </c>
      <c r="D56" s="45"/>
      <c r="E56" s="7"/>
      <c r="F56" s="7"/>
      <c r="G56" s="7">
        <f t="shared" si="5"/>
        <v>0</v>
      </c>
      <c r="H56" s="7">
        <f t="shared" si="5"/>
        <v>0</v>
      </c>
      <c r="I56" s="7">
        <f t="shared" si="5"/>
        <v>1</v>
      </c>
      <c r="J56" s="7">
        <f t="shared" si="5"/>
        <v>0</v>
      </c>
      <c r="K56" s="7">
        <f t="shared" si="5"/>
        <v>0</v>
      </c>
      <c r="L56" s="7"/>
    </row>
    <row r="57" spans="1:12" x14ac:dyDescent="0.3">
      <c r="A57" s="4">
        <f t="shared" si="0"/>
        <v>2.0054000000000114</v>
      </c>
      <c r="B57" s="6"/>
      <c r="C57" s="47" t="s">
        <v>27</v>
      </c>
      <c r="D57" s="45"/>
      <c r="E57" s="7"/>
      <c r="F57" s="7"/>
      <c r="G57" s="7">
        <f t="shared" si="5"/>
        <v>0</v>
      </c>
      <c r="H57" s="7">
        <f t="shared" si="5"/>
        <v>0</v>
      </c>
      <c r="I57" s="7">
        <f t="shared" si="5"/>
        <v>1</v>
      </c>
      <c r="J57" s="7">
        <f t="shared" si="5"/>
        <v>0</v>
      </c>
      <c r="K57" s="7">
        <f t="shared" si="5"/>
        <v>0</v>
      </c>
      <c r="L57" s="7"/>
    </row>
    <row r="58" spans="1:12" x14ac:dyDescent="0.3">
      <c r="A58" s="4">
        <f t="shared" si="0"/>
        <v>2.0055000000000116</v>
      </c>
      <c r="B58" s="6"/>
      <c r="C58" s="47" t="s">
        <v>100</v>
      </c>
      <c r="D58" s="45"/>
      <c r="E58" s="7"/>
      <c r="F58" s="7"/>
      <c r="G58" s="7">
        <f t="shared" si="5"/>
        <v>0</v>
      </c>
      <c r="H58" s="7">
        <f t="shared" si="5"/>
        <v>0</v>
      </c>
      <c r="I58" s="7">
        <f t="shared" si="5"/>
        <v>1</v>
      </c>
      <c r="J58" s="7">
        <f t="shared" si="5"/>
        <v>0</v>
      </c>
      <c r="K58" s="7">
        <f t="shared" si="5"/>
        <v>0</v>
      </c>
      <c r="L58" s="7"/>
    </row>
    <row r="59" spans="1:12" x14ac:dyDescent="0.3">
      <c r="A59" s="4">
        <f t="shared" si="0"/>
        <v>2.0056000000000118</v>
      </c>
      <c r="B59" s="6"/>
      <c r="C59" s="47" t="s">
        <v>103</v>
      </c>
      <c r="D59" s="45"/>
      <c r="E59" s="7"/>
      <c r="F59" s="7"/>
      <c r="G59" s="7">
        <f t="shared" si="5"/>
        <v>0</v>
      </c>
      <c r="H59" s="7">
        <f t="shared" si="5"/>
        <v>0</v>
      </c>
      <c r="I59" s="7">
        <f t="shared" si="5"/>
        <v>1</v>
      </c>
      <c r="J59" s="7">
        <f t="shared" si="5"/>
        <v>0</v>
      </c>
      <c r="K59" s="7">
        <f t="shared" si="5"/>
        <v>0</v>
      </c>
      <c r="L59" s="7"/>
    </row>
    <row r="60" spans="1:12" x14ac:dyDescent="0.3">
      <c r="A60" s="4">
        <f t="shared" si="0"/>
        <v>2.005700000000012</v>
      </c>
      <c r="B60" s="6"/>
      <c r="C60" s="5" t="s">
        <v>36</v>
      </c>
      <c r="D60" s="45"/>
      <c r="E60" s="7"/>
      <c r="F60" s="7"/>
      <c r="G60" s="7">
        <f t="shared" si="5"/>
        <v>0</v>
      </c>
      <c r="H60" s="7">
        <f t="shared" si="5"/>
        <v>0</v>
      </c>
      <c r="I60" s="7">
        <f t="shared" si="5"/>
        <v>1</v>
      </c>
      <c r="J60" s="7">
        <f t="shared" si="5"/>
        <v>0</v>
      </c>
      <c r="K60" s="7">
        <f t="shared" si="5"/>
        <v>0</v>
      </c>
      <c r="L60" s="7"/>
    </row>
    <row r="61" spans="1:12" x14ac:dyDescent="0.3">
      <c r="A61" s="4">
        <f t="shared" si="0"/>
        <v>2.0058000000000122</v>
      </c>
      <c r="B61" s="6"/>
      <c r="C61" s="5" t="s">
        <v>37</v>
      </c>
      <c r="D61" s="45"/>
      <c r="E61" s="7"/>
      <c r="F61" s="7"/>
      <c r="G61" s="7">
        <f t="shared" si="5"/>
        <v>0</v>
      </c>
      <c r="H61" s="7">
        <f t="shared" si="5"/>
        <v>0</v>
      </c>
      <c r="I61" s="7">
        <f t="shared" si="5"/>
        <v>1</v>
      </c>
      <c r="J61" s="7">
        <f t="shared" si="5"/>
        <v>0</v>
      </c>
      <c r="K61" s="7">
        <f t="shared" si="5"/>
        <v>0</v>
      </c>
      <c r="L61" s="7"/>
    </row>
    <row r="62" spans="1:12" x14ac:dyDescent="0.3">
      <c r="A62" s="4">
        <f t="shared" si="0"/>
        <v>2.0059000000000125</v>
      </c>
      <c r="B62" s="6"/>
      <c r="C62" s="5" t="s">
        <v>38</v>
      </c>
      <c r="D62" s="45"/>
      <c r="E62" s="7"/>
      <c r="F62" s="7"/>
      <c r="G62" s="7">
        <f t="shared" si="5"/>
        <v>0</v>
      </c>
      <c r="H62" s="7">
        <f t="shared" si="5"/>
        <v>0</v>
      </c>
      <c r="I62" s="7">
        <f t="shared" si="5"/>
        <v>1</v>
      </c>
      <c r="J62" s="7">
        <f t="shared" si="5"/>
        <v>0</v>
      </c>
      <c r="K62" s="7">
        <f t="shared" si="5"/>
        <v>0</v>
      </c>
      <c r="L62" s="7"/>
    </row>
    <row r="63" spans="1:12" x14ac:dyDescent="0.3">
      <c r="A63" s="4">
        <f t="shared" si="0"/>
        <v>2.0060000000000127</v>
      </c>
      <c r="B63" s="5"/>
      <c r="C63" s="5"/>
      <c r="D63" s="45"/>
      <c r="E63" s="7"/>
      <c r="F63" s="7"/>
      <c r="G63" s="7"/>
      <c r="H63" s="7"/>
      <c r="I63" s="7"/>
      <c r="J63" s="7"/>
      <c r="K63" s="7"/>
      <c r="L63" s="7"/>
    </row>
    <row r="64" spans="1:12" x14ac:dyDescent="0.3">
      <c r="A64" s="4">
        <f t="shared" si="0"/>
        <v>2.0061000000000129</v>
      </c>
      <c r="B64" s="29" t="s">
        <v>25</v>
      </c>
      <c r="C64" s="24" t="s">
        <v>90</v>
      </c>
      <c r="D64" s="45"/>
      <c r="E64" s="7"/>
      <c r="F64" s="7"/>
      <c r="G64" s="7">
        <f t="shared" ref="G64:K67" si="6">IF($F64=G$1,1,0)</f>
        <v>0</v>
      </c>
      <c r="H64" s="7">
        <f t="shared" si="6"/>
        <v>0</v>
      </c>
      <c r="I64" s="7">
        <f t="shared" si="6"/>
        <v>1</v>
      </c>
      <c r="J64" s="7">
        <f t="shared" si="6"/>
        <v>0</v>
      </c>
      <c r="K64" s="7">
        <f t="shared" si="6"/>
        <v>0</v>
      </c>
      <c r="L64" s="7"/>
    </row>
    <row r="65" spans="1:12" x14ac:dyDescent="0.3">
      <c r="A65" s="4">
        <f t="shared" si="0"/>
        <v>2.0062000000000131</v>
      </c>
      <c r="B65" s="6"/>
      <c r="C65" s="5" t="s">
        <v>40</v>
      </c>
      <c r="D65" s="45"/>
      <c r="E65" s="7"/>
      <c r="F65" s="7"/>
      <c r="G65" s="7">
        <f t="shared" si="6"/>
        <v>0</v>
      </c>
      <c r="H65" s="7">
        <f t="shared" si="6"/>
        <v>0</v>
      </c>
      <c r="I65" s="7">
        <f t="shared" si="6"/>
        <v>1</v>
      </c>
      <c r="J65" s="7">
        <f t="shared" si="6"/>
        <v>0</v>
      </c>
      <c r="K65" s="7">
        <f t="shared" si="6"/>
        <v>0</v>
      </c>
      <c r="L65" s="7"/>
    </row>
    <row r="66" spans="1:12" x14ac:dyDescent="0.3">
      <c r="A66" s="4">
        <f t="shared" si="0"/>
        <v>2.0063000000000133</v>
      </c>
      <c r="B66" s="6"/>
      <c r="C66" s="5" t="s">
        <v>41</v>
      </c>
      <c r="D66" s="45"/>
      <c r="E66" s="7"/>
      <c r="F66" s="7"/>
      <c r="G66" s="7">
        <f t="shared" si="6"/>
        <v>0</v>
      </c>
      <c r="H66" s="7">
        <f t="shared" si="6"/>
        <v>0</v>
      </c>
      <c r="I66" s="7">
        <f t="shared" si="6"/>
        <v>1</v>
      </c>
      <c r="J66" s="7">
        <f t="shared" si="6"/>
        <v>0</v>
      </c>
      <c r="K66" s="7">
        <f t="shared" si="6"/>
        <v>0</v>
      </c>
      <c r="L66" s="7"/>
    </row>
    <row r="67" spans="1:12" x14ac:dyDescent="0.3">
      <c r="A67" s="4">
        <f t="shared" si="0"/>
        <v>2.0064000000000135</v>
      </c>
      <c r="B67" s="6"/>
      <c r="C67" s="5" t="s">
        <v>26</v>
      </c>
      <c r="D67" s="45"/>
      <c r="E67" s="7"/>
      <c r="F67" s="7"/>
      <c r="G67" s="7">
        <f t="shared" si="6"/>
        <v>0</v>
      </c>
      <c r="H67" s="7">
        <f t="shared" si="6"/>
        <v>0</v>
      </c>
      <c r="I67" s="7">
        <f t="shared" si="6"/>
        <v>1</v>
      </c>
      <c r="J67" s="7">
        <f t="shared" si="6"/>
        <v>0</v>
      </c>
      <c r="K67" s="7">
        <f t="shared" si="6"/>
        <v>0</v>
      </c>
      <c r="L67" s="7"/>
    </row>
    <row r="68" spans="1:12" x14ac:dyDescent="0.3">
      <c r="A68" s="4">
        <f t="shared" ref="A68:A84" si="7">A67+0.0001</f>
        <v>2.0065000000000137</v>
      </c>
      <c r="B68" s="6"/>
      <c r="C68" s="5"/>
      <c r="D68" s="45"/>
      <c r="E68" s="7"/>
      <c r="F68" s="7"/>
      <c r="G68" s="7"/>
      <c r="H68" s="7"/>
      <c r="I68" s="7"/>
      <c r="J68" s="7"/>
      <c r="K68" s="7"/>
      <c r="L68" s="7"/>
    </row>
    <row r="69" spans="1:12" x14ac:dyDescent="0.3">
      <c r="A69" s="4">
        <f t="shared" si="7"/>
        <v>2.0066000000000139</v>
      </c>
      <c r="B69" s="6"/>
      <c r="C69" s="5" t="s">
        <v>47</v>
      </c>
      <c r="D69" s="45"/>
      <c r="E69" s="7"/>
      <c r="F69" s="7"/>
      <c r="G69" s="7">
        <f t="shared" ref="G69:K74" si="8">IF($F69=G$1,1,0)</f>
        <v>0</v>
      </c>
      <c r="H69" s="7">
        <f t="shared" si="8"/>
        <v>0</v>
      </c>
      <c r="I69" s="7">
        <f t="shared" si="8"/>
        <v>1</v>
      </c>
      <c r="J69" s="7">
        <f t="shared" si="8"/>
        <v>0</v>
      </c>
      <c r="K69" s="7">
        <f t="shared" si="8"/>
        <v>0</v>
      </c>
      <c r="L69" s="7"/>
    </row>
    <row r="70" spans="1:12" x14ac:dyDescent="0.3">
      <c r="A70" s="4">
        <f t="shared" si="7"/>
        <v>2.0067000000000141</v>
      </c>
      <c r="B70" s="6"/>
      <c r="C70" s="5" t="s">
        <v>46</v>
      </c>
      <c r="D70" s="45"/>
      <c r="E70" s="7"/>
      <c r="F70" s="7"/>
      <c r="G70" s="7">
        <f t="shared" si="8"/>
        <v>0</v>
      </c>
      <c r="H70" s="7">
        <f t="shared" si="8"/>
        <v>0</v>
      </c>
      <c r="I70" s="7">
        <f t="shared" si="8"/>
        <v>1</v>
      </c>
      <c r="J70" s="7">
        <f t="shared" si="8"/>
        <v>0</v>
      </c>
      <c r="K70" s="7">
        <f t="shared" si="8"/>
        <v>0</v>
      </c>
      <c r="L70" s="7"/>
    </row>
    <row r="71" spans="1:12" x14ac:dyDescent="0.3">
      <c r="A71" s="4">
        <f t="shared" si="7"/>
        <v>2.0068000000000144</v>
      </c>
      <c r="B71" s="6"/>
      <c r="C71" s="5" t="s">
        <v>130</v>
      </c>
      <c r="D71" s="45"/>
      <c r="E71" s="7"/>
      <c r="F71" s="7"/>
      <c r="G71" s="7">
        <f t="shared" si="8"/>
        <v>0</v>
      </c>
      <c r="H71" s="7">
        <f t="shared" si="8"/>
        <v>0</v>
      </c>
      <c r="I71" s="7">
        <f t="shared" si="8"/>
        <v>1</v>
      </c>
      <c r="J71" s="7">
        <f t="shared" si="8"/>
        <v>0</v>
      </c>
      <c r="K71" s="7">
        <f t="shared" si="8"/>
        <v>0</v>
      </c>
      <c r="L71" s="7"/>
    </row>
    <row r="72" spans="1:12" x14ac:dyDescent="0.3">
      <c r="A72" s="4">
        <f t="shared" si="7"/>
        <v>2.0069000000000146</v>
      </c>
      <c r="B72" s="6"/>
      <c r="C72" s="5" t="s">
        <v>44</v>
      </c>
      <c r="D72" s="45"/>
      <c r="E72" s="7"/>
      <c r="F72" s="7"/>
      <c r="G72" s="7">
        <f t="shared" si="8"/>
        <v>0</v>
      </c>
      <c r="H72" s="7">
        <f t="shared" si="8"/>
        <v>0</v>
      </c>
      <c r="I72" s="7">
        <f t="shared" si="8"/>
        <v>1</v>
      </c>
      <c r="J72" s="7">
        <f t="shared" si="8"/>
        <v>0</v>
      </c>
      <c r="K72" s="7">
        <f t="shared" si="8"/>
        <v>0</v>
      </c>
      <c r="L72" s="7"/>
    </row>
    <row r="73" spans="1:12" x14ac:dyDescent="0.3">
      <c r="A73" s="4">
        <f t="shared" si="7"/>
        <v>2.0070000000000148</v>
      </c>
      <c r="B73" s="6"/>
      <c r="C73" s="5" t="s">
        <v>43</v>
      </c>
      <c r="D73" s="45"/>
      <c r="E73" s="7"/>
      <c r="F73" s="7"/>
      <c r="G73" s="7">
        <f t="shared" si="8"/>
        <v>0</v>
      </c>
      <c r="H73" s="7">
        <f t="shared" si="8"/>
        <v>0</v>
      </c>
      <c r="I73" s="7">
        <f t="shared" si="8"/>
        <v>1</v>
      </c>
      <c r="J73" s="7">
        <f t="shared" si="8"/>
        <v>0</v>
      </c>
      <c r="K73" s="7">
        <f t="shared" si="8"/>
        <v>0</v>
      </c>
      <c r="L73" s="7"/>
    </row>
    <row r="74" spans="1:12" x14ac:dyDescent="0.3">
      <c r="A74" s="4">
        <f t="shared" si="7"/>
        <v>2.007100000000015</v>
      </c>
      <c r="B74" s="5"/>
      <c r="C74" s="5" t="s">
        <v>42</v>
      </c>
      <c r="D74" s="45"/>
      <c r="E74" s="7"/>
      <c r="F74" s="7"/>
      <c r="G74" s="7">
        <f t="shared" si="8"/>
        <v>0</v>
      </c>
      <c r="H74" s="7">
        <f t="shared" si="8"/>
        <v>0</v>
      </c>
      <c r="I74" s="7">
        <f t="shared" si="8"/>
        <v>1</v>
      </c>
      <c r="J74" s="7">
        <f t="shared" si="8"/>
        <v>0</v>
      </c>
      <c r="K74" s="7">
        <f t="shared" si="8"/>
        <v>0</v>
      </c>
      <c r="L74" s="7"/>
    </row>
    <row r="75" spans="1:12" x14ac:dyDescent="0.3">
      <c r="A75" s="4">
        <f>A74+0.0001</f>
        <v>2.0072000000000152</v>
      </c>
      <c r="B75" s="5"/>
      <c r="C75" s="20"/>
      <c r="D75" s="45"/>
      <c r="E75" s="7"/>
      <c r="F75" s="7"/>
      <c r="G75" s="7"/>
      <c r="H75" s="7"/>
      <c r="I75" s="7"/>
      <c r="J75" s="7"/>
      <c r="K75" s="7"/>
      <c r="L75" s="7"/>
    </row>
    <row r="76" spans="1:12" x14ac:dyDescent="0.3">
      <c r="A76" s="4">
        <f t="shared" si="7"/>
        <v>2.0073000000000154</v>
      </c>
      <c r="B76" s="16" t="s">
        <v>28</v>
      </c>
      <c r="C76" s="16"/>
      <c r="D76" s="17"/>
      <c r="E76" s="7"/>
      <c r="F76" s="7"/>
      <c r="G76" s="7"/>
      <c r="H76" s="7"/>
      <c r="I76" s="7"/>
      <c r="J76" s="7"/>
      <c r="K76" s="7"/>
      <c r="L76" s="7"/>
    </row>
    <row r="77" spans="1:12" x14ac:dyDescent="0.3">
      <c r="A77" s="4">
        <f t="shared" si="7"/>
        <v>2.0074000000000156</v>
      </c>
      <c r="B77" s="6" t="s">
        <v>32</v>
      </c>
      <c r="C77" s="5" t="s">
        <v>29</v>
      </c>
      <c r="D77" s="45"/>
      <c r="E77" s="7"/>
      <c r="F77" s="7"/>
      <c r="G77" s="7">
        <f t="shared" ref="G77:K80" si="9">IF($F77=G$1,1,0)</f>
        <v>0</v>
      </c>
      <c r="H77" s="7">
        <f t="shared" si="9"/>
        <v>0</v>
      </c>
      <c r="I77" s="7">
        <f t="shared" si="9"/>
        <v>1</v>
      </c>
      <c r="J77" s="7">
        <f t="shared" si="9"/>
        <v>0</v>
      </c>
      <c r="K77" s="7">
        <f t="shared" si="9"/>
        <v>0</v>
      </c>
      <c r="L77" s="7"/>
    </row>
    <row r="78" spans="1:12" x14ac:dyDescent="0.3">
      <c r="A78" s="4">
        <f t="shared" si="7"/>
        <v>2.0075000000000158</v>
      </c>
      <c r="B78" s="6"/>
      <c r="C78" s="5" t="s">
        <v>30</v>
      </c>
      <c r="D78" s="45"/>
      <c r="E78" s="7"/>
      <c r="F78" s="7"/>
      <c r="G78" s="7">
        <f t="shared" si="9"/>
        <v>0</v>
      </c>
      <c r="H78" s="7">
        <f t="shared" si="9"/>
        <v>0</v>
      </c>
      <c r="I78" s="7">
        <f t="shared" si="9"/>
        <v>1</v>
      </c>
      <c r="J78" s="7">
        <f t="shared" si="9"/>
        <v>0</v>
      </c>
      <c r="K78" s="7">
        <f t="shared" si="9"/>
        <v>0</v>
      </c>
      <c r="L78" s="7"/>
    </row>
    <row r="79" spans="1:12" x14ac:dyDescent="0.3">
      <c r="A79" s="4">
        <f t="shared" si="7"/>
        <v>2.007600000000016</v>
      </c>
      <c r="B79" s="6"/>
      <c r="C79" s="5" t="s">
        <v>31</v>
      </c>
      <c r="D79" s="45"/>
      <c r="E79" s="7"/>
      <c r="F79" s="7"/>
      <c r="G79" s="7">
        <f t="shared" si="9"/>
        <v>0</v>
      </c>
      <c r="H79" s="7">
        <f t="shared" si="9"/>
        <v>0</v>
      </c>
      <c r="I79" s="7">
        <f t="shared" si="9"/>
        <v>1</v>
      </c>
      <c r="J79" s="7">
        <f t="shared" si="9"/>
        <v>0</v>
      </c>
      <c r="K79" s="7">
        <f t="shared" si="9"/>
        <v>0</v>
      </c>
      <c r="L79" s="7"/>
    </row>
    <row r="80" spans="1:12" ht="26.4" x14ac:dyDescent="0.3">
      <c r="A80" s="4">
        <f t="shared" si="7"/>
        <v>2.0077000000000162</v>
      </c>
      <c r="B80" s="6"/>
      <c r="C80" s="5" t="s">
        <v>33</v>
      </c>
      <c r="D80" s="45"/>
      <c r="E80" s="7"/>
      <c r="F80" s="7"/>
      <c r="G80" s="7">
        <f t="shared" si="9"/>
        <v>0</v>
      </c>
      <c r="H80" s="7">
        <f t="shared" si="9"/>
        <v>0</v>
      </c>
      <c r="I80" s="7">
        <f t="shared" si="9"/>
        <v>1</v>
      </c>
      <c r="J80" s="7">
        <f t="shared" si="9"/>
        <v>0</v>
      </c>
      <c r="K80" s="7">
        <f t="shared" si="9"/>
        <v>0</v>
      </c>
      <c r="L80" s="7"/>
    </row>
    <row r="81" spans="1:13" x14ac:dyDescent="0.3">
      <c r="A81" s="4">
        <f t="shared" si="7"/>
        <v>2.0078000000000165</v>
      </c>
      <c r="B81" s="6"/>
      <c r="C81" s="5"/>
      <c r="D81" s="45"/>
      <c r="E81" s="7"/>
      <c r="F81" s="7"/>
      <c r="G81" s="7"/>
      <c r="H81" s="7"/>
      <c r="I81" s="7"/>
      <c r="J81" s="7"/>
      <c r="K81" s="7"/>
      <c r="L81" s="7"/>
    </row>
    <row r="82" spans="1:13" x14ac:dyDescent="0.3">
      <c r="A82" s="4">
        <f>A81+0.0001</f>
        <v>2.0079000000000167</v>
      </c>
      <c r="B82" s="33"/>
      <c r="C82" s="34"/>
      <c r="D82" s="43"/>
      <c r="E82" s="7"/>
      <c r="F82" s="7"/>
      <c r="G82" s="7"/>
      <c r="H82" s="7"/>
      <c r="I82" s="7"/>
      <c r="J82" s="7"/>
      <c r="K82" s="7"/>
      <c r="L82" s="7"/>
    </row>
    <row r="83" spans="1:13" x14ac:dyDescent="0.3">
      <c r="A83" s="4">
        <f t="shared" si="7"/>
        <v>2.0080000000000169</v>
      </c>
      <c r="B83" s="16" t="s">
        <v>54</v>
      </c>
      <c r="C83" s="17" t="s">
        <v>55</v>
      </c>
      <c r="D83" s="17"/>
      <c r="E83" s="7"/>
      <c r="F83" s="7"/>
      <c r="G83" s="7"/>
      <c r="H83" s="7"/>
      <c r="I83" s="7"/>
      <c r="J83" s="7"/>
      <c r="K83" s="7"/>
      <c r="L83" s="7"/>
    </row>
    <row r="84" spans="1:13" ht="26.4" x14ac:dyDescent="0.3">
      <c r="A84" s="56">
        <f t="shared" si="7"/>
        <v>2.0081000000000171</v>
      </c>
      <c r="B84" s="57" t="s">
        <v>107</v>
      </c>
      <c r="C84" s="58" t="s">
        <v>108</v>
      </c>
      <c r="D84" s="59" t="s">
        <v>56</v>
      </c>
      <c r="E84" s="60"/>
      <c r="F84" s="7"/>
      <c r="G84" s="7">
        <f>IF($F84=G$1,1,0)</f>
        <v>0</v>
      </c>
      <c r="H84" s="7">
        <f>IF($F84=H$1,1,0)</f>
        <v>0</v>
      </c>
      <c r="I84" s="7">
        <f>IF($F84=I$1,1,0)</f>
        <v>1</v>
      </c>
      <c r="J84" s="7">
        <f>IF($F84=J$1,1,0)</f>
        <v>0</v>
      </c>
      <c r="K84" s="7">
        <f>IF($F84=K$1,1,0)</f>
        <v>0</v>
      </c>
      <c r="L84" s="7"/>
    </row>
    <row r="85" spans="1:13" s="7" customFormat="1" ht="26.4" x14ac:dyDescent="0.3">
      <c r="A85" s="4"/>
      <c r="B85" s="33"/>
      <c r="C85" s="34" t="s">
        <v>120</v>
      </c>
      <c r="D85" s="43"/>
      <c r="G85" s="7">
        <f>IF($F85=G$1,1,0)</f>
        <v>0</v>
      </c>
      <c r="H85" s="7">
        <f>IF($F85=H$1,1,0)</f>
        <v>0</v>
      </c>
      <c r="I85" s="7">
        <f>IF($F85=I$1,1,0)</f>
        <v>1</v>
      </c>
      <c r="J85" s="7">
        <f>IF($F85=J$1,1,0)</f>
        <v>0</v>
      </c>
      <c r="M85" s="61"/>
    </row>
    <row r="86" spans="1:13" ht="15" thickBot="1" x14ac:dyDescent="0.35">
      <c r="G86" s="28">
        <f>SUM(G4:G85)</f>
        <v>0</v>
      </c>
      <c r="H86" s="28">
        <f t="shared" ref="H86:K86" si="10">SUM(H4:H85)</f>
        <v>0</v>
      </c>
      <c r="I86" s="28">
        <f t="shared" si="10"/>
        <v>57</v>
      </c>
      <c r="J86" s="28">
        <f t="shared" si="10"/>
        <v>3</v>
      </c>
      <c r="K86" s="28">
        <f t="shared" si="10"/>
        <v>0</v>
      </c>
    </row>
    <row r="87" spans="1:13" ht="15" thickTop="1" x14ac:dyDescent="0.3"/>
  </sheetData>
  <mergeCells count="1">
    <mergeCell ref="B2:C2"/>
  </mergeCells>
  <conditionalFormatting sqref="G4:K9 B9:C9 B43:D43 B53:C63 B30:C31 L10:L44 D27:D40 B82:D82 A4:A85 F10:K10 E40:F44 F51:F52 F16:K16 G11:K15 F25:K25 G17:K24 E29:E39 F63 F75:F76 F81:F82 G27:K82 D19:D21 D23:D24">
    <cfRule type="expression" dxfId="188" priority="113">
      <formula>$F4="Fail"</formula>
    </cfRule>
  </conditionalFormatting>
  <conditionalFormatting sqref="A3:K3 D8:E9 D4:E5">
    <cfRule type="expression" dxfId="187" priority="112">
      <formula>$F3="Fail"</formula>
    </cfRule>
  </conditionalFormatting>
  <conditionalFormatting sqref="E26:K26 E27 E10:E25">
    <cfRule type="expression" dxfId="186" priority="111">
      <formula>$F10="Fail"</formula>
    </cfRule>
  </conditionalFormatting>
  <conditionalFormatting sqref="E28:F28">
    <cfRule type="expression" dxfId="185" priority="110">
      <formula>$F28="Fail"</formula>
    </cfRule>
  </conditionalFormatting>
  <conditionalFormatting sqref="D7:E7">
    <cfRule type="expression" dxfId="184" priority="109">
      <formula>$F7="Fail"</formula>
    </cfRule>
  </conditionalFormatting>
  <conditionalFormatting sqref="D6:E6">
    <cfRule type="expression" dxfId="183" priority="108">
      <formula>$F6="Fail"</formula>
    </cfRule>
  </conditionalFormatting>
  <conditionalFormatting sqref="F4">
    <cfRule type="expression" dxfId="182" priority="107">
      <formula>$F4="Fail"</formula>
    </cfRule>
  </conditionalFormatting>
  <conditionalFormatting sqref="L8:L9 L3:L5">
    <cfRule type="expression" dxfId="181" priority="106">
      <formula>$F3="Fail"</formula>
    </cfRule>
  </conditionalFormatting>
  <conditionalFormatting sqref="L7">
    <cfRule type="expression" dxfId="180" priority="105">
      <formula>$F7="Fail"</formula>
    </cfRule>
  </conditionalFormatting>
  <conditionalFormatting sqref="L6">
    <cfRule type="expression" dxfId="179" priority="104">
      <formula>$F6="Fail"</formula>
    </cfRule>
  </conditionalFormatting>
  <conditionalFormatting sqref="B8:C8 B75:C75">
    <cfRule type="expression" dxfId="178" priority="103">
      <formula>$F8="Fail"</formula>
    </cfRule>
  </conditionalFormatting>
  <conditionalFormatting sqref="B8:C8">
    <cfRule type="expression" dxfId="177" priority="102">
      <formula>$F8="Fail"</formula>
    </cfRule>
  </conditionalFormatting>
  <conditionalFormatting sqref="G86:K86">
    <cfRule type="expression" dxfId="176" priority="101">
      <formula>$F86="Fail"</formula>
    </cfRule>
  </conditionalFormatting>
  <conditionalFormatting sqref="C51">
    <cfRule type="expression" dxfId="175" priority="98">
      <formula>$F51="Fail"</formula>
    </cfRule>
  </conditionalFormatting>
  <conditionalFormatting sqref="C51">
    <cfRule type="expression" dxfId="174" priority="97">
      <formula>$F51="Fail"</formula>
    </cfRule>
  </conditionalFormatting>
  <conditionalFormatting sqref="C51">
    <cfRule type="expression" dxfId="173" priority="99">
      <formula>$F51="Fail"</formula>
    </cfRule>
  </conditionalFormatting>
  <conditionalFormatting sqref="B51:C51">
    <cfRule type="expression" dxfId="172" priority="100">
      <formula>$F51="Fail"</formula>
    </cfRule>
  </conditionalFormatting>
  <conditionalFormatting sqref="B65:C74 B64">
    <cfRule type="expression" dxfId="171" priority="96">
      <formula>$F64="Fail"</formula>
    </cfRule>
  </conditionalFormatting>
  <conditionalFormatting sqref="B74:C74">
    <cfRule type="expression" dxfId="170" priority="95">
      <formula>$F74="Fail"</formula>
    </cfRule>
  </conditionalFormatting>
  <conditionalFormatting sqref="C65:C73">
    <cfRule type="expression" dxfId="169" priority="94">
      <formula>$F65="Fail"</formula>
    </cfRule>
  </conditionalFormatting>
  <conditionalFormatting sqref="C62">
    <cfRule type="expression" dxfId="168" priority="93">
      <formula>$F62="Fail"</formula>
    </cfRule>
  </conditionalFormatting>
  <conditionalFormatting sqref="B52">
    <cfRule type="expression" dxfId="167" priority="92">
      <formula>$F52="Fail"</formula>
    </cfRule>
  </conditionalFormatting>
  <conditionalFormatting sqref="C52">
    <cfRule type="expression" dxfId="166" priority="91">
      <formula>$F52="Fail"</formula>
    </cfRule>
  </conditionalFormatting>
  <conditionalFormatting sqref="C81">
    <cfRule type="expression" dxfId="165" priority="88">
      <formula>$F81="Fail"</formula>
    </cfRule>
  </conditionalFormatting>
  <conditionalFormatting sqref="C81">
    <cfRule type="expression" dxfId="164" priority="89">
      <formula>$F81="Fail"</formula>
    </cfRule>
  </conditionalFormatting>
  <conditionalFormatting sqref="B81:C81">
    <cfRule type="expression" dxfId="163" priority="90">
      <formula>$F81="Fail"</formula>
    </cfRule>
  </conditionalFormatting>
  <conditionalFormatting sqref="C81">
    <cfRule type="expression" dxfId="162" priority="87">
      <formula>$F81="Fail"</formula>
    </cfRule>
  </conditionalFormatting>
  <conditionalFormatting sqref="D52">
    <cfRule type="expression" dxfId="161" priority="84">
      <formula>$F52="Fail"</formula>
    </cfRule>
  </conditionalFormatting>
  <conditionalFormatting sqref="B23">
    <cfRule type="expression" dxfId="160" priority="73">
      <formula>$F23="Fail"</formula>
    </cfRule>
  </conditionalFormatting>
  <conditionalFormatting sqref="B24:C24">
    <cfRule type="expression" dxfId="159" priority="81">
      <formula>$F24="Fail"</formula>
    </cfRule>
  </conditionalFormatting>
  <conditionalFormatting sqref="D26">
    <cfRule type="expression" dxfId="158" priority="82">
      <formula>$F26="Fail"</formula>
    </cfRule>
  </conditionalFormatting>
  <conditionalFormatting sqref="D11">
    <cfRule type="expression" dxfId="157" priority="79">
      <formula>$F11="Fail"</formula>
    </cfRule>
  </conditionalFormatting>
  <conditionalFormatting sqref="B10:C10 B12:C20 B21">
    <cfRule type="expression" dxfId="156" priority="77">
      <formula>$F10="Fail"</formula>
    </cfRule>
  </conditionalFormatting>
  <conditionalFormatting sqref="C21">
    <cfRule type="expression" dxfId="155" priority="74">
      <formula>$F21="Fail"</formula>
    </cfRule>
  </conditionalFormatting>
  <conditionalFormatting sqref="C22">
    <cfRule type="expression" dxfId="154" priority="70">
      <formula>$F22="Fail"</formula>
    </cfRule>
  </conditionalFormatting>
  <conditionalFormatting sqref="D18">
    <cfRule type="expression" dxfId="153" priority="80">
      <formula>$F18="Fail"</formula>
    </cfRule>
  </conditionalFormatting>
  <conditionalFormatting sqref="D12:D17">
    <cfRule type="expression" dxfId="152" priority="78">
      <formula>$F12="Fail"</formula>
    </cfRule>
  </conditionalFormatting>
  <conditionalFormatting sqref="B11">
    <cfRule type="expression" dxfId="151" priority="76">
      <formula>$F11="Fail"</formula>
    </cfRule>
  </conditionalFormatting>
  <conditionalFormatting sqref="C11">
    <cfRule type="expression" dxfId="150" priority="75">
      <formula>$F11="Fail"</formula>
    </cfRule>
  </conditionalFormatting>
  <conditionalFormatting sqref="D10">
    <cfRule type="expression" dxfId="149" priority="72">
      <formula>$F10="Fail"</formula>
    </cfRule>
  </conditionalFormatting>
  <conditionalFormatting sqref="B22">
    <cfRule type="expression" dxfId="148" priority="71">
      <formula>$F22="Fail"</formula>
    </cfRule>
  </conditionalFormatting>
  <conditionalFormatting sqref="B23">
    <cfRule type="expression" dxfId="147" priority="69">
      <formula>$F23="Fail"</formula>
    </cfRule>
  </conditionalFormatting>
  <conditionalFormatting sqref="C4 B5:C7">
    <cfRule type="expression" dxfId="146" priority="67">
      <formula>$F4="Fail"</formula>
    </cfRule>
  </conditionalFormatting>
  <conditionalFormatting sqref="B4">
    <cfRule type="expression" dxfId="145" priority="66">
      <formula>$F4="Fail"</formula>
    </cfRule>
  </conditionalFormatting>
  <conditionalFormatting sqref="C64">
    <cfRule type="expression" dxfId="144" priority="56">
      <formula>$F64="Fail"</formula>
    </cfRule>
  </conditionalFormatting>
  <conditionalFormatting sqref="C64">
    <cfRule type="expression" dxfId="143" priority="54">
      <formula>$F64="Fail"</formula>
    </cfRule>
  </conditionalFormatting>
  <conditionalFormatting sqref="B40:C40">
    <cfRule type="expression" dxfId="142" priority="65">
      <formula>$F40="Fail"</formula>
    </cfRule>
  </conditionalFormatting>
  <conditionalFormatting sqref="C77:C80">
    <cfRule type="expression" dxfId="141" priority="62">
      <formula>$F77="Fail"</formula>
    </cfRule>
  </conditionalFormatting>
  <conditionalFormatting sqref="B76">
    <cfRule type="expression" dxfId="140" priority="61">
      <formula>$F76="Fail"</formula>
    </cfRule>
  </conditionalFormatting>
  <conditionalFormatting sqref="C76">
    <cfRule type="expression" dxfId="139" priority="60">
      <formula>$F76="Fail"</formula>
    </cfRule>
  </conditionalFormatting>
  <conditionalFormatting sqref="C80">
    <cfRule type="expression" dxfId="138" priority="59">
      <formula>$F80="Fail"</formula>
    </cfRule>
  </conditionalFormatting>
  <conditionalFormatting sqref="C77:C80">
    <cfRule type="expression" dxfId="137" priority="63">
      <formula>$F77="Fail"</formula>
    </cfRule>
  </conditionalFormatting>
  <conditionalFormatting sqref="B77:C80">
    <cfRule type="expression" dxfId="136" priority="64">
      <formula>$F77="Fail"</formula>
    </cfRule>
  </conditionalFormatting>
  <conditionalFormatting sqref="D76">
    <cfRule type="expression" dxfId="135" priority="58">
      <formula>$F76="Fail"</formula>
    </cfRule>
  </conditionalFormatting>
  <conditionalFormatting sqref="C64">
    <cfRule type="expression" dxfId="134" priority="55">
      <formula>$F64="Fail"</formula>
    </cfRule>
  </conditionalFormatting>
  <conditionalFormatting sqref="B26">
    <cfRule type="expression" dxfId="133" priority="52">
      <formula>$F26="Fail"</formula>
    </cfRule>
  </conditionalFormatting>
  <conditionalFormatting sqref="B28:C28 B32:C34 B36:C38 B39">
    <cfRule type="expression" dxfId="132" priority="51">
      <formula>$F28="Fail"</formula>
    </cfRule>
  </conditionalFormatting>
  <conditionalFormatting sqref="C26">
    <cfRule type="expression" dxfId="131" priority="53">
      <formula>$F26="Fail"</formula>
    </cfRule>
  </conditionalFormatting>
  <conditionalFormatting sqref="B27:C27">
    <cfRule type="expression" dxfId="130" priority="50">
      <formula>$F27="Fail"</formula>
    </cfRule>
  </conditionalFormatting>
  <conditionalFormatting sqref="C29">
    <cfRule type="expression" dxfId="129" priority="49">
      <formula>$F29="Fail"</formula>
    </cfRule>
  </conditionalFormatting>
  <conditionalFormatting sqref="B35:C35">
    <cfRule type="expression" dxfId="128" priority="48">
      <formula>$F35="Fail"</formula>
    </cfRule>
  </conditionalFormatting>
  <conditionalFormatting sqref="C39">
    <cfRule type="expression" dxfId="127" priority="47">
      <formula>$F39="Fail"</formula>
    </cfRule>
  </conditionalFormatting>
  <conditionalFormatting sqref="B29">
    <cfRule type="expression" dxfId="126" priority="46">
      <formula>$F29="Fail"</formula>
    </cfRule>
  </conditionalFormatting>
  <conditionalFormatting sqref="B41:C42">
    <cfRule type="expression" dxfId="125" priority="45">
      <formula>$F41="Fail"</formula>
    </cfRule>
  </conditionalFormatting>
  <conditionalFormatting sqref="B41:C42">
    <cfRule type="expression" dxfId="124" priority="44">
      <formula>$F41="Fail"</formula>
    </cfRule>
  </conditionalFormatting>
  <conditionalFormatting sqref="D41:D42">
    <cfRule type="expression" dxfId="123" priority="43">
      <formula>$F41="Fail"</formula>
    </cfRule>
  </conditionalFormatting>
  <conditionalFormatting sqref="D41:D42">
    <cfRule type="expression" dxfId="122" priority="42">
      <formula>$F41="Fail"</formula>
    </cfRule>
  </conditionalFormatting>
  <conditionalFormatting sqref="C25">
    <cfRule type="expression" dxfId="121" priority="41">
      <formula>$F25="Fail"</formula>
    </cfRule>
  </conditionalFormatting>
  <conditionalFormatting sqref="C25">
    <cfRule type="expression" dxfId="120" priority="40">
      <formula>$F25="Fail"</formula>
    </cfRule>
  </conditionalFormatting>
  <conditionalFormatting sqref="B25">
    <cfRule type="expression" dxfId="119" priority="39">
      <formula>$F25="Fail"</formula>
    </cfRule>
  </conditionalFormatting>
  <conditionalFormatting sqref="B25">
    <cfRule type="expression" dxfId="118" priority="38">
      <formula>$F25="Fail"</formula>
    </cfRule>
  </conditionalFormatting>
  <conditionalFormatting sqref="F83:K85">
    <cfRule type="expression" dxfId="117" priority="16">
      <formula>$F83="Fail"</formula>
    </cfRule>
  </conditionalFormatting>
  <conditionalFormatting sqref="B83:D83 B84:C85">
    <cfRule type="expression" dxfId="116" priority="15">
      <formula>$F83="Fail"</formula>
    </cfRule>
  </conditionalFormatting>
  <conditionalFormatting sqref="D84:D85">
    <cfRule type="expression" dxfId="115" priority="14">
      <formula>$F84="Fail"</formula>
    </cfRule>
  </conditionalFormatting>
  <conditionalFormatting sqref="F8">
    <cfRule type="expression" dxfId="114" priority="13">
      <formula>$F8="Fail"</formula>
    </cfRule>
  </conditionalFormatting>
  <conditionalFormatting sqref="F9 F5:F7">
    <cfRule type="expression" dxfId="113" priority="11">
      <formula>$F5="Fail"</formula>
    </cfRule>
  </conditionalFormatting>
  <conditionalFormatting sqref="F11:F15 F17:F23">
    <cfRule type="expression" dxfId="112" priority="10">
      <formula>$F11="Fail"</formula>
    </cfRule>
  </conditionalFormatting>
  <conditionalFormatting sqref="F29:F39 F27">
    <cfRule type="expression" dxfId="111" priority="8">
      <formula>$F27="Fail"</formula>
    </cfRule>
  </conditionalFormatting>
  <conditionalFormatting sqref="F45:F47">
    <cfRule type="expression" dxfId="110" priority="7">
      <formula>$F45="Fail"</formula>
    </cfRule>
  </conditionalFormatting>
  <conditionalFormatting sqref="F48:F50">
    <cfRule type="expression" dxfId="109" priority="6">
      <formula>$F48="Fail"</formula>
    </cfRule>
  </conditionalFormatting>
  <conditionalFormatting sqref="F60:F62 F53:F56">
    <cfRule type="expression" dxfId="108" priority="5">
      <formula>$F53="Fail"</formula>
    </cfRule>
  </conditionalFormatting>
  <conditionalFormatting sqref="F64:F74">
    <cfRule type="expression" dxfId="107" priority="4">
      <formula>$F64="Fail"</formula>
    </cfRule>
  </conditionalFormatting>
  <conditionalFormatting sqref="F77:F80">
    <cfRule type="expression" dxfId="106" priority="3">
      <formula>$F77="Fail"</formula>
    </cfRule>
  </conditionalFormatting>
  <conditionalFormatting sqref="F57:F59">
    <cfRule type="expression" dxfId="105" priority="2">
      <formula>$F57="Fail"</formula>
    </cfRule>
  </conditionalFormatting>
  <conditionalFormatting sqref="F24">
    <cfRule type="expression" dxfId="104" priority="1">
      <formula>$F24="Fail"</formula>
    </cfRule>
  </conditionalFormatting>
  <conditionalFormatting sqref="C23">
    <cfRule type="expression" dxfId="103" priority="139">
      <formula>$F22="Fail"</formula>
    </cfRule>
  </conditionalFormatting>
  <dataValidations count="1">
    <dataValidation type="list" allowBlank="1" showInputMessage="1" showErrorMessage="1" sqref="F3:F85">
      <formula1>$G$1:$K$1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2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D1FBB6C5-627A-41EA-A7DB-9FBB01182080}">
            <xm:f>'\Users\E939818\Documents\_Project Documents\SVN TEST  team\_Sutuwa\Testing\Release 1\Stats\[SEB_InvestAdmin_Investment.xlsm]External'!#REF!="Fail"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B44:D50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L87"/>
  <sheetViews>
    <sheetView topLeftCell="D1" zoomScaleNormal="100" workbookViewId="0">
      <pane ySplit="1" topLeftCell="A71" activePane="bottomLeft" state="frozen"/>
      <selection pane="bottomLeft" activeCell="F77" sqref="F77:F81"/>
    </sheetView>
  </sheetViews>
  <sheetFormatPr defaultColWidth="9.109375" defaultRowHeight="14.4" x14ac:dyDescent="0.3"/>
  <cols>
    <col min="1" max="1" width="11.33203125" style="3" bestFit="1" customWidth="1"/>
    <col min="2" max="2" width="63.6640625" style="1" customWidth="1"/>
    <col min="3" max="3" width="58.5546875" style="1" customWidth="1"/>
    <col min="4" max="4" width="48.109375" style="46" customWidth="1"/>
    <col min="5" max="5" width="7.88671875" style="1" customWidth="1"/>
    <col min="6" max="6" width="7" style="1" customWidth="1"/>
    <col min="7" max="10" width="9.109375" style="1"/>
    <col min="11" max="11" width="16.5546875" style="1" customWidth="1"/>
    <col min="12" max="12" width="39" style="1" customWidth="1"/>
    <col min="13" max="16384" width="9.109375" style="1"/>
  </cols>
  <sheetData>
    <row r="1" spans="1:12" ht="30" customHeight="1" x14ac:dyDescent="0.25">
      <c r="A1" s="9" t="s">
        <v>1</v>
      </c>
      <c r="B1" s="10" t="s">
        <v>11</v>
      </c>
      <c r="C1" s="10" t="s">
        <v>2</v>
      </c>
      <c r="D1" s="41" t="s">
        <v>4</v>
      </c>
      <c r="E1" s="11" t="s">
        <v>3</v>
      </c>
      <c r="F1" s="10" t="s">
        <v>0</v>
      </c>
      <c r="G1" s="11" t="s">
        <v>5</v>
      </c>
      <c r="H1" s="11" t="s">
        <v>6</v>
      </c>
      <c r="I1" s="11"/>
      <c r="J1" s="11" t="s">
        <v>7</v>
      </c>
      <c r="K1" s="11" t="s">
        <v>8</v>
      </c>
      <c r="L1" s="11" t="s">
        <v>12</v>
      </c>
    </row>
    <row r="2" spans="1:12" s="31" customFormat="1" ht="30" customHeight="1" x14ac:dyDescent="0.25">
      <c r="A2" s="32"/>
      <c r="B2" s="62" t="s">
        <v>109</v>
      </c>
      <c r="C2" s="63"/>
      <c r="D2" s="42"/>
      <c r="E2" s="42"/>
      <c r="F2" s="42"/>
      <c r="G2" s="42"/>
      <c r="H2" s="42"/>
      <c r="I2" s="42"/>
      <c r="J2" s="42"/>
      <c r="K2" s="30"/>
      <c r="L2" s="30"/>
    </row>
    <row r="3" spans="1:12" s="19" customFormat="1" ht="15" x14ac:dyDescent="0.25">
      <c r="A3" s="15">
        <v>2</v>
      </c>
      <c r="B3" s="16" t="s">
        <v>57</v>
      </c>
      <c r="C3" s="17"/>
      <c r="D3" s="17"/>
      <c r="E3" s="16"/>
      <c r="F3" s="18"/>
      <c r="G3" s="18"/>
      <c r="H3" s="18"/>
      <c r="I3" s="18"/>
      <c r="J3" s="18"/>
      <c r="K3" s="18"/>
      <c r="L3" s="16"/>
    </row>
    <row r="4" spans="1:12" x14ac:dyDescent="0.3">
      <c r="A4" s="4">
        <f t="shared" ref="A4:A67" si="0">A3+0.0001</f>
        <v>2.0001000000000002</v>
      </c>
      <c r="B4" s="5" t="s">
        <v>110</v>
      </c>
      <c r="C4" s="55" t="s">
        <v>113</v>
      </c>
      <c r="D4" s="43"/>
      <c r="E4" s="5"/>
      <c r="F4" s="7"/>
      <c r="G4" s="7">
        <f t="shared" ref="G4:K30" si="1">IF($F4=G$1,1,0)</f>
        <v>0</v>
      </c>
      <c r="H4" s="7">
        <f t="shared" si="1"/>
        <v>0</v>
      </c>
      <c r="I4" s="7">
        <f t="shared" si="1"/>
        <v>1</v>
      </c>
      <c r="J4" s="7">
        <f t="shared" si="1"/>
        <v>0</v>
      </c>
      <c r="K4" s="7">
        <f t="shared" si="1"/>
        <v>0</v>
      </c>
      <c r="L4" s="6"/>
    </row>
    <row r="5" spans="1:12" x14ac:dyDescent="0.3">
      <c r="A5" s="4">
        <f t="shared" si="0"/>
        <v>2.0002000000000004</v>
      </c>
      <c r="B5" s="24" t="s">
        <v>48</v>
      </c>
      <c r="C5" s="8" t="s">
        <v>49</v>
      </c>
      <c r="D5" s="43"/>
      <c r="E5" s="5"/>
      <c r="F5" s="7"/>
      <c r="G5" s="7">
        <f t="shared" si="1"/>
        <v>0</v>
      </c>
      <c r="H5" s="7">
        <f t="shared" si="1"/>
        <v>0</v>
      </c>
      <c r="I5" s="7">
        <f t="shared" si="1"/>
        <v>1</v>
      </c>
      <c r="J5" s="7">
        <f t="shared" si="1"/>
        <v>0</v>
      </c>
      <c r="K5" s="7">
        <f t="shared" si="1"/>
        <v>0</v>
      </c>
      <c r="L5" s="6"/>
    </row>
    <row r="6" spans="1:12" ht="26.4" x14ac:dyDescent="0.3">
      <c r="A6" s="4">
        <f t="shared" si="0"/>
        <v>2.0003000000000006</v>
      </c>
      <c r="B6" s="24" t="s">
        <v>50</v>
      </c>
      <c r="C6" s="8" t="s">
        <v>51</v>
      </c>
      <c r="D6" s="43" t="s">
        <v>89</v>
      </c>
      <c r="E6" s="5"/>
      <c r="F6" s="7"/>
      <c r="G6" s="7">
        <f t="shared" si="1"/>
        <v>0</v>
      </c>
      <c r="H6" s="7">
        <f t="shared" si="1"/>
        <v>0</v>
      </c>
      <c r="I6" s="7">
        <f t="shared" si="1"/>
        <v>1</v>
      </c>
      <c r="J6" s="7">
        <f t="shared" si="1"/>
        <v>0</v>
      </c>
      <c r="K6" s="7">
        <f t="shared" si="1"/>
        <v>0</v>
      </c>
      <c r="L6" s="6"/>
    </row>
    <row r="7" spans="1:12" x14ac:dyDescent="0.3">
      <c r="A7" s="4">
        <f t="shared" si="0"/>
        <v>2.0004000000000008</v>
      </c>
      <c r="B7" s="5"/>
      <c r="C7" s="8" t="s">
        <v>111</v>
      </c>
      <c r="D7" s="43"/>
      <c r="E7" s="5"/>
      <c r="F7" s="7"/>
      <c r="G7" s="7">
        <f t="shared" si="1"/>
        <v>0</v>
      </c>
      <c r="H7" s="7">
        <f t="shared" si="1"/>
        <v>0</v>
      </c>
      <c r="I7" s="7">
        <f t="shared" si="1"/>
        <v>1</v>
      </c>
      <c r="J7" s="7">
        <f t="shared" si="1"/>
        <v>0</v>
      </c>
      <c r="K7" s="7">
        <f t="shared" si="1"/>
        <v>0</v>
      </c>
      <c r="L7" s="6"/>
    </row>
    <row r="8" spans="1:12" x14ac:dyDescent="0.3">
      <c r="A8" s="4">
        <f t="shared" si="0"/>
        <v>2.0005000000000011</v>
      </c>
      <c r="B8" s="23"/>
      <c r="C8" s="21"/>
      <c r="D8" s="44"/>
      <c r="E8" s="5"/>
      <c r="F8" s="7"/>
      <c r="G8" s="7"/>
      <c r="H8" s="7"/>
      <c r="I8" s="7"/>
      <c r="J8" s="7"/>
      <c r="K8" s="7"/>
      <c r="L8" s="6"/>
    </row>
    <row r="9" spans="1:12" x14ac:dyDescent="0.3">
      <c r="A9" s="4">
        <f t="shared" si="0"/>
        <v>2.0006000000000013</v>
      </c>
      <c r="B9" s="26"/>
      <c r="C9" s="27" t="s">
        <v>76</v>
      </c>
      <c r="D9" s="43"/>
      <c r="E9" s="6"/>
      <c r="F9" s="7"/>
      <c r="G9" s="7">
        <f t="shared" si="1"/>
        <v>0</v>
      </c>
      <c r="H9" s="7">
        <f t="shared" si="1"/>
        <v>0</v>
      </c>
      <c r="I9" s="7">
        <f t="shared" si="1"/>
        <v>1</v>
      </c>
      <c r="J9" s="7">
        <f t="shared" si="1"/>
        <v>0</v>
      </c>
      <c r="K9" s="7">
        <f t="shared" si="1"/>
        <v>0</v>
      </c>
      <c r="L9" s="6"/>
    </row>
    <row r="10" spans="1:12" x14ac:dyDescent="0.3">
      <c r="A10" s="4">
        <f t="shared" si="0"/>
        <v>2.0007000000000015</v>
      </c>
      <c r="B10" s="35" t="s">
        <v>20</v>
      </c>
      <c r="C10" s="17"/>
      <c r="D10" s="17"/>
      <c r="E10" s="6"/>
      <c r="F10" s="7"/>
      <c r="G10" s="7"/>
      <c r="H10" s="7"/>
      <c r="I10" s="7"/>
      <c r="J10" s="7"/>
      <c r="K10" s="7"/>
      <c r="L10" s="6"/>
    </row>
    <row r="11" spans="1:12" ht="26.4" x14ac:dyDescent="0.3">
      <c r="A11" s="4">
        <f t="shared" si="0"/>
        <v>2.0008000000000017</v>
      </c>
      <c r="B11" s="24" t="s">
        <v>58</v>
      </c>
      <c r="C11" s="36" t="s">
        <v>59</v>
      </c>
      <c r="D11" s="43"/>
      <c r="E11" s="6"/>
      <c r="F11" s="7"/>
      <c r="G11" s="7">
        <f t="shared" si="1"/>
        <v>0</v>
      </c>
      <c r="H11" s="7">
        <f t="shared" si="1"/>
        <v>0</v>
      </c>
      <c r="I11" s="7">
        <f t="shared" si="1"/>
        <v>1</v>
      </c>
      <c r="J11" s="7">
        <f t="shared" si="1"/>
        <v>0</v>
      </c>
      <c r="K11" s="7">
        <f t="shared" si="1"/>
        <v>0</v>
      </c>
      <c r="L11" s="6"/>
    </row>
    <row r="12" spans="1:12" x14ac:dyDescent="0.3">
      <c r="A12" s="4">
        <f t="shared" si="0"/>
        <v>2.0009000000000019</v>
      </c>
      <c r="B12" s="5"/>
      <c r="C12" s="20"/>
      <c r="D12" s="43"/>
      <c r="E12" s="6"/>
      <c r="F12" s="7"/>
      <c r="G12" s="7"/>
      <c r="H12" s="7"/>
      <c r="I12" s="7"/>
      <c r="J12" s="7"/>
      <c r="K12" s="7"/>
      <c r="L12" s="6"/>
    </row>
    <row r="13" spans="1:12" x14ac:dyDescent="0.3">
      <c r="A13" s="4">
        <f t="shared" si="0"/>
        <v>2.0010000000000021</v>
      </c>
      <c r="B13" s="5" t="s">
        <v>60</v>
      </c>
      <c r="C13" s="20" t="s">
        <v>61</v>
      </c>
      <c r="D13" s="43"/>
      <c r="E13" s="6"/>
      <c r="F13" s="7"/>
      <c r="G13" s="7">
        <f t="shared" si="1"/>
        <v>0</v>
      </c>
      <c r="H13" s="7">
        <f t="shared" si="1"/>
        <v>0</v>
      </c>
      <c r="I13" s="7">
        <f t="shared" si="1"/>
        <v>1</v>
      </c>
      <c r="J13" s="7">
        <f t="shared" si="1"/>
        <v>0</v>
      </c>
      <c r="K13" s="7">
        <f t="shared" si="1"/>
        <v>0</v>
      </c>
      <c r="L13" s="6"/>
    </row>
    <row r="14" spans="1:12" x14ac:dyDescent="0.3">
      <c r="A14" s="4">
        <f t="shared" si="0"/>
        <v>2.0011000000000023</v>
      </c>
      <c r="B14" s="5"/>
      <c r="C14" s="21"/>
      <c r="D14" s="43"/>
      <c r="E14" s="6"/>
      <c r="F14" s="7"/>
      <c r="G14" s="7"/>
      <c r="H14" s="7"/>
      <c r="I14" s="7"/>
      <c r="J14" s="7"/>
      <c r="K14" s="7"/>
      <c r="L14" s="6"/>
    </row>
    <row r="15" spans="1:12" x14ac:dyDescent="0.3">
      <c r="A15" s="4">
        <f t="shared" si="0"/>
        <v>2.0012000000000025</v>
      </c>
      <c r="B15" s="22" t="s">
        <v>62</v>
      </c>
      <c r="C15" s="21" t="s">
        <v>63</v>
      </c>
      <c r="D15" s="43"/>
      <c r="E15" s="6"/>
      <c r="F15" s="7"/>
      <c r="G15" s="7">
        <f t="shared" si="1"/>
        <v>0</v>
      </c>
      <c r="H15" s="7">
        <f t="shared" si="1"/>
        <v>0</v>
      </c>
      <c r="I15" s="7">
        <f t="shared" si="1"/>
        <v>1</v>
      </c>
      <c r="J15" s="7">
        <f t="shared" si="1"/>
        <v>0</v>
      </c>
      <c r="K15" s="7">
        <f t="shared" si="1"/>
        <v>0</v>
      </c>
      <c r="L15" s="6"/>
    </row>
    <row r="16" spans="1:12" x14ac:dyDescent="0.3">
      <c r="A16" s="4">
        <f t="shared" si="0"/>
        <v>2.0013000000000027</v>
      </c>
      <c r="B16" s="5"/>
      <c r="C16" s="21"/>
      <c r="D16" s="43"/>
      <c r="E16" s="6"/>
      <c r="F16" s="7"/>
      <c r="G16" s="7"/>
      <c r="H16" s="7"/>
      <c r="I16" s="7"/>
      <c r="J16" s="7"/>
      <c r="K16" s="7"/>
      <c r="L16" s="6"/>
    </row>
    <row r="17" spans="1:12" ht="26.4" x14ac:dyDescent="0.3">
      <c r="A17" s="4">
        <f t="shared" si="0"/>
        <v>2.001400000000003</v>
      </c>
      <c r="B17" s="8" t="s">
        <v>64</v>
      </c>
      <c r="C17" s="20" t="s">
        <v>13</v>
      </c>
      <c r="D17" s="43"/>
      <c r="E17" s="6"/>
      <c r="F17" s="7"/>
      <c r="G17" s="7">
        <f t="shared" si="1"/>
        <v>0</v>
      </c>
      <c r="H17" s="7">
        <f t="shared" si="1"/>
        <v>0</v>
      </c>
      <c r="I17" s="7">
        <f t="shared" si="1"/>
        <v>1</v>
      </c>
      <c r="J17" s="7">
        <f t="shared" si="1"/>
        <v>0</v>
      </c>
      <c r="K17" s="7">
        <f t="shared" si="1"/>
        <v>0</v>
      </c>
      <c r="L17" s="6"/>
    </row>
    <row r="18" spans="1:12" x14ac:dyDescent="0.3">
      <c r="A18" s="4">
        <f t="shared" si="0"/>
        <v>2.0015000000000032</v>
      </c>
      <c r="B18" s="37"/>
      <c r="C18" s="38"/>
      <c r="D18" s="43"/>
      <c r="E18" s="6"/>
      <c r="F18" s="7"/>
      <c r="G18" s="7"/>
      <c r="H18" s="7"/>
      <c r="I18" s="7"/>
      <c r="J18" s="7"/>
      <c r="K18" s="7"/>
      <c r="L18" s="6"/>
    </row>
    <row r="19" spans="1:12" x14ac:dyDescent="0.3">
      <c r="A19" s="4">
        <f t="shared" si="0"/>
        <v>2.0016000000000034</v>
      </c>
      <c r="B19" s="5" t="s">
        <v>65</v>
      </c>
      <c r="C19" s="21" t="s">
        <v>63</v>
      </c>
      <c r="D19" s="43"/>
      <c r="E19" s="6"/>
      <c r="F19" s="7"/>
      <c r="G19" s="7">
        <f t="shared" si="1"/>
        <v>0</v>
      </c>
      <c r="H19" s="7">
        <f t="shared" si="1"/>
        <v>0</v>
      </c>
      <c r="I19" s="7">
        <f t="shared" si="1"/>
        <v>1</v>
      </c>
      <c r="J19" s="7">
        <f t="shared" si="1"/>
        <v>0</v>
      </c>
      <c r="K19" s="7">
        <f t="shared" si="1"/>
        <v>0</v>
      </c>
      <c r="L19" s="6"/>
    </row>
    <row r="20" spans="1:12" x14ac:dyDescent="0.3">
      <c r="A20" s="4">
        <f t="shared" si="0"/>
        <v>2.0017000000000036</v>
      </c>
      <c r="B20" s="5" t="s">
        <v>66</v>
      </c>
      <c r="C20" s="21" t="s">
        <v>67</v>
      </c>
      <c r="D20" s="43"/>
      <c r="E20" s="6"/>
      <c r="F20" s="7"/>
      <c r="G20" s="7">
        <f t="shared" si="1"/>
        <v>0</v>
      </c>
      <c r="H20" s="7">
        <f t="shared" si="1"/>
        <v>0</v>
      </c>
      <c r="I20" s="7">
        <f t="shared" si="1"/>
        <v>1</v>
      </c>
      <c r="J20" s="7">
        <f t="shared" si="1"/>
        <v>0</v>
      </c>
      <c r="K20" s="7">
        <f t="shared" si="1"/>
        <v>0</v>
      </c>
      <c r="L20" s="6"/>
    </row>
    <row r="21" spans="1:12" x14ac:dyDescent="0.3">
      <c r="A21" s="4">
        <f t="shared" si="0"/>
        <v>2.0018000000000038</v>
      </c>
      <c r="B21" s="5" t="s">
        <v>68</v>
      </c>
      <c r="C21" s="20" t="s">
        <v>69</v>
      </c>
      <c r="D21" s="43"/>
      <c r="E21" s="6"/>
      <c r="F21" s="7"/>
      <c r="G21" s="7">
        <f t="shared" si="1"/>
        <v>0</v>
      </c>
      <c r="H21" s="7">
        <f t="shared" si="1"/>
        <v>0</v>
      </c>
      <c r="I21" s="7">
        <f t="shared" si="1"/>
        <v>1</v>
      </c>
      <c r="J21" s="7">
        <f t="shared" si="1"/>
        <v>0</v>
      </c>
      <c r="K21" s="7">
        <f t="shared" si="1"/>
        <v>0</v>
      </c>
      <c r="L21" s="6"/>
    </row>
    <row r="22" spans="1:12" x14ac:dyDescent="0.3">
      <c r="A22" s="4">
        <f t="shared" si="0"/>
        <v>2.001900000000004</v>
      </c>
      <c r="B22" s="5" t="s">
        <v>70</v>
      </c>
      <c r="C22" s="20" t="s">
        <v>71</v>
      </c>
      <c r="D22" s="43"/>
      <c r="E22" s="6"/>
      <c r="F22" s="7"/>
      <c r="G22" s="7">
        <f t="shared" si="1"/>
        <v>0</v>
      </c>
      <c r="H22" s="7">
        <f t="shared" si="1"/>
        <v>0</v>
      </c>
      <c r="I22" s="7">
        <f t="shared" si="1"/>
        <v>1</v>
      </c>
      <c r="J22" s="7">
        <f t="shared" si="1"/>
        <v>0</v>
      </c>
      <c r="K22" s="7">
        <f t="shared" si="1"/>
        <v>0</v>
      </c>
      <c r="L22" s="6"/>
    </row>
    <row r="23" spans="1:12" x14ac:dyDescent="0.3">
      <c r="A23" s="4">
        <f t="shared" si="0"/>
        <v>2.0020000000000042</v>
      </c>
      <c r="B23" s="5"/>
      <c r="C23" s="43" t="s">
        <v>122</v>
      </c>
      <c r="D23" s="43"/>
      <c r="E23" s="6"/>
      <c r="F23" s="7"/>
      <c r="G23" s="7">
        <f t="shared" si="1"/>
        <v>0</v>
      </c>
      <c r="H23" s="7">
        <f t="shared" si="1"/>
        <v>0</v>
      </c>
      <c r="I23" s="7">
        <f t="shared" si="1"/>
        <v>1</v>
      </c>
      <c r="J23" s="7">
        <f t="shared" si="1"/>
        <v>0</v>
      </c>
      <c r="K23" s="7">
        <f t="shared" si="1"/>
        <v>0</v>
      </c>
      <c r="L23" s="6"/>
    </row>
    <row r="24" spans="1:12" ht="15" x14ac:dyDescent="0.25">
      <c r="A24" s="4">
        <f t="shared" si="0"/>
        <v>2.0021000000000044</v>
      </c>
      <c r="B24" s="24"/>
      <c r="C24" s="27"/>
      <c r="D24" s="43"/>
      <c r="E24" s="6"/>
      <c r="F24" s="7" t="s">
        <v>7</v>
      </c>
      <c r="G24" s="7">
        <f t="shared" si="1"/>
        <v>0</v>
      </c>
      <c r="H24" s="7">
        <f t="shared" si="1"/>
        <v>0</v>
      </c>
      <c r="I24" s="7">
        <f t="shared" si="1"/>
        <v>0</v>
      </c>
      <c r="J24" s="7">
        <f t="shared" si="1"/>
        <v>1</v>
      </c>
      <c r="K24" s="7">
        <f t="shared" si="1"/>
        <v>0</v>
      </c>
      <c r="L24" s="6"/>
    </row>
    <row r="25" spans="1:12" ht="15" x14ac:dyDescent="0.25">
      <c r="A25" s="4">
        <f t="shared" si="0"/>
        <v>2.0022000000000046</v>
      </c>
      <c r="B25" s="49"/>
      <c r="C25" s="48"/>
      <c r="D25" s="52"/>
      <c r="E25" s="6"/>
      <c r="F25" s="7"/>
      <c r="G25" s="7"/>
      <c r="H25" s="7"/>
      <c r="I25" s="7"/>
      <c r="J25" s="7"/>
      <c r="K25" s="7"/>
      <c r="L25" s="6"/>
    </row>
    <row r="26" spans="1:12" ht="15" x14ac:dyDescent="0.25">
      <c r="A26" s="4">
        <f t="shared" si="0"/>
        <v>2.0023000000000049</v>
      </c>
      <c r="B26" s="39" t="s">
        <v>96</v>
      </c>
      <c r="C26" s="40" t="s">
        <v>98</v>
      </c>
      <c r="D26" s="17"/>
      <c r="E26" s="6"/>
      <c r="F26" s="7"/>
      <c r="G26" s="7"/>
      <c r="H26" s="7"/>
      <c r="I26" s="7"/>
      <c r="J26" s="7"/>
      <c r="K26" s="7"/>
      <c r="L26" s="6"/>
    </row>
    <row r="27" spans="1:12" x14ac:dyDescent="0.3">
      <c r="A27" s="4">
        <f t="shared" si="0"/>
        <v>2.0024000000000051</v>
      </c>
      <c r="B27" s="25" t="s">
        <v>77</v>
      </c>
      <c r="C27" s="20" t="s">
        <v>78</v>
      </c>
      <c r="D27" s="43"/>
      <c r="E27" s="6"/>
      <c r="F27" s="7"/>
      <c r="G27" s="7">
        <f t="shared" si="1"/>
        <v>0</v>
      </c>
      <c r="H27" s="7">
        <f t="shared" si="1"/>
        <v>0</v>
      </c>
      <c r="I27" s="7">
        <f t="shared" si="1"/>
        <v>1</v>
      </c>
      <c r="J27" s="7">
        <f t="shared" si="1"/>
        <v>0</v>
      </c>
      <c r="K27" s="7">
        <f t="shared" si="1"/>
        <v>0</v>
      </c>
      <c r="L27" s="6"/>
    </row>
    <row r="28" spans="1:12" x14ac:dyDescent="0.3">
      <c r="A28" s="4">
        <f t="shared" si="0"/>
        <v>2.0025000000000053</v>
      </c>
      <c r="B28" s="5"/>
      <c r="C28" s="21"/>
      <c r="D28" s="43"/>
      <c r="E28" s="6"/>
      <c r="F28" s="7"/>
      <c r="G28" s="7"/>
      <c r="H28" s="7"/>
      <c r="I28" s="7"/>
      <c r="J28" s="7"/>
      <c r="K28" s="7">
        <f t="shared" si="1"/>
        <v>0</v>
      </c>
      <c r="L28" s="6"/>
    </row>
    <row r="29" spans="1:12" ht="39.6" x14ac:dyDescent="0.3">
      <c r="A29" s="4">
        <f t="shared" si="0"/>
        <v>2.0026000000000055</v>
      </c>
      <c r="B29" s="50" t="s">
        <v>99</v>
      </c>
      <c r="C29" s="51" t="s">
        <v>91</v>
      </c>
      <c r="D29" s="43"/>
      <c r="E29" s="6"/>
      <c r="F29" s="7"/>
      <c r="G29" s="7">
        <f t="shared" si="1"/>
        <v>0</v>
      </c>
      <c r="H29" s="7">
        <f t="shared" si="1"/>
        <v>0</v>
      </c>
      <c r="I29" s="7">
        <f t="shared" si="1"/>
        <v>1</v>
      </c>
      <c r="J29" s="7">
        <f t="shared" si="1"/>
        <v>0</v>
      </c>
      <c r="K29" s="7">
        <f t="shared" si="1"/>
        <v>0</v>
      </c>
      <c r="L29" s="6"/>
    </row>
    <row r="30" spans="1:12" ht="26.4" x14ac:dyDescent="0.3">
      <c r="A30" s="4">
        <f t="shared" si="0"/>
        <v>2.0027000000000057</v>
      </c>
      <c r="B30" s="50" t="s">
        <v>97</v>
      </c>
      <c r="C30" s="51" t="s">
        <v>112</v>
      </c>
      <c r="D30" s="43"/>
      <c r="E30" s="6"/>
      <c r="F30" s="7"/>
      <c r="G30" s="7">
        <f t="shared" si="1"/>
        <v>0</v>
      </c>
      <c r="H30" s="7">
        <f t="shared" si="1"/>
        <v>0</v>
      </c>
      <c r="I30" s="7">
        <f t="shared" si="1"/>
        <v>1</v>
      </c>
      <c r="J30" s="7">
        <f t="shared" si="1"/>
        <v>0</v>
      </c>
      <c r="K30" s="7">
        <f t="shared" si="1"/>
        <v>0</v>
      </c>
      <c r="L30" s="6"/>
    </row>
    <row r="31" spans="1:12" x14ac:dyDescent="0.3">
      <c r="A31" s="4">
        <f t="shared" si="0"/>
        <v>2.0028000000000059</v>
      </c>
      <c r="B31" s="50"/>
      <c r="C31" s="51"/>
      <c r="D31" s="43"/>
      <c r="E31" s="6"/>
      <c r="F31" s="7"/>
      <c r="G31" s="7"/>
      <c r="H31" s="7"/>
      <c r="I31" s="7"/>
      <c r="J31" s="7"/>
      <c r="K31" s="7"/>
      <c r="L31" s="6"/>
    </row>
    <row r="32" spans="1:12" x14ac:dyDescent="0.3">
      <c r="A32" s="4">
        <f t="shared" si="0"/>
        <v>2.0029000000000061</v>
      </c>
      <c r="B32" s="5" t="s">
        <v>79</v>
      </c>
      <c r="C32" s="21" t="s">
        <v>80</v>
      </c>
      <c r="D32" s="43"/>
      <c r="E32" s="6"/>
      <c r="F32" s="7"/>
      <c r="G32" s="7">
        <f t="shared" ref="G32:K39" si="2">IF($F32=G$1,1,0)</f>
        <v>0</v>
      </c>
      <c r="H32" s="7">
        <f t="shared" si="2"/>
        <v>0</v>
      </c>
      <c r="I32" s="7">
        <f t="shared" si="2"/>
        <v>1</v>
      </c>
      <c r="J32" s="7">
        <f t="shared" si="2"/>
        <v>0</v>
      </c>
      <c r="K32" s="7">
        <f t="shared" si="2"/>
        <v>0</v>
      </c>
      <c r="L32" s="6"/>
    </row>
    <row r="33" spans="1:12" ht="15" x14ac:dyDescent="0.25">
      <c r="A33" s="4">
        <f t="shared" si="0"/>
        <v>2.0030000000000063</v>
      </c>
      <c r="B33" s="5" t="s">
        <v>85</v>
      </c>
      <c r="C33" s="21" t="s">
        <v>86</v>
      </c>
      <c r="D33" s="43"/>
      <c r="E33" s="6"/>
      <c r="F33" s="7" t="s">
        <v>7</v>
      </c>
      <c r="G33" s="7">
        <f t="shared" si="2"/>
        <v>0</v>
      </c>
      <c r="H33" s="7">
        <f t="shared" si="2"/>
        <v>0</v>
      </c>
      <c r="I33" s="7">
        <f t="shared" si="2"/>
        <v>0</v>
      </c>
      <c r="J33" s="7">
        <f t="shared" si="2"/>
        <v>1</v>
      </c>
      <c r="K33" s="7">
        <f t="shared" si="2"/>
        <v>0</v>
      </c>
      <c r="L33" s="6"/>
    </row>
    <row r="34" spans="1:12" ht="15" x14ac:dyDescent="0.25">
      <c r="A34" s="4">
        <f t="shared" si="0"/>
        <v>2.0031000000000065</v>
      </c>
      <c r="B34" s="5" t="s">
        <v>81</v>
      </c>
      <c r="C34" s="21" t="s">
        <v>84</v>
      </c>
      <c r="D34" s="43"/>
      <c r="E34" s="6"/>
      <c r="F34" s="7" t="s">
        <v>7</v>
      </c>
      <c r="G34" s="7">
        <f t="shared" si="2"/>
        <v>0</v>
      </c>
      <c r="H34" s="7">
        <f t="shared" si="2"/>
        <v>0</v>
      </c>
      <c r="I34" s="7">
        <f t="shared" si="2"/>
        <v>0</v>
      </c>
      <c r="J34" s="7">
        <f t="shared" si="2"/>
        <v>1</v>
      </c>
      <c r="K34" s="7">
        <f t="shared" si="2"/>
        <v>0</v>
      </c>
      <c r="L34" s="6"/>
    </row>
    <row r="35" spans="1:12" x14ac:dyDescent="0.3">
      <c r="A35" s="4">
        <f t="shared" si="0"/>
        <v>2.0032000000000068</v>
      </c>
      <c r="B35" s="5" t="s">
        <v>15</v>
      </c>
      <c r="C35" s="20" t="s">
        <v>16</v>
      </c>
      <c r="D35" s="43"/>
      <c r="E35" s="6"/>
      <c r="F35" s="7"/>
      <c r="G35" s="7">
        <f t="shared" si="2"/>
        <v>0</v>
      </c>
      <c r="H35" s="7">
        <f t="shared" si="2"/>
        <v>0</v>
      </c>
      <c r="I35" s="7">
        <f t="shared" si="2"/>
        <v>1</v>
      </c>
      <c r="J35" s="7">
        <f t="shared" si="2"/>
        <v>0</v>
      </c>
      <c r="K35" s="7">
        <f t="shared" si="2"/>
        <v>0</v>
      </c>
      <c r="L35" s="6"/>
    </row>
    <row r="36" spans="1:12" x14ac:dyDescent="0.3">
      <c r="A36" s="4">
        <f t="shared" si="0"/>
        <v>2.003300000000007</v>
      </c>
      <c r="B36" s="5" t="s">
        <v>17</v>
      </c>
      <c r="C36" s="21" t="s">
        <v>87</v>
      </c>
      <c r="D36" s="43"/>
      <c r="E36" s="6"/>
      <c r="F36" s="7"/>
      <c r="G36" s="7">
        <f t="shared" si="2"/>
        <v>0</v>
      </c>
      <c r="H36" s="7">
        <f t="shared" si="2"/>
        <v>0</v>
      </c>
      <c r="I36" s="7">
        <f t="shared" si="2"/>
        <v>1</v>
      </c>
      <c r="J36" s="7">
        <f t="shared" si="2"/>
        <v>0</v>
      </c>
      <c r="K36" s="7">
        <f t="shared" si="2"/>
        <v>0</v>
      </c>
      <c r="L36" s="6"/>
    </row>
    <row r="37" spans="1:12" x14ac:dyDescent="0.3">
      <c r="A37" s="4">
        <f t="shared" si="0"/>
        <v>2.0034000000000072</v>
      </c>
      <c r="B37" s="5" t="s">
        <v>21</v>
      </c>
      <c r="C37" s="20" t="s">
        <v>18</v>
      </c>
      <c r="D37" s="43"/>
      <c r="E37" s="6"/>
      <c r="F37" s="7"/>
      <c r="G37" s="7">
        <f t="shared" si="2"/>
        <v>0</v>
      </c>
      <c r="H37" s="7">
        <f t="shared" si="2"/>
        <v>0</v>
      </c>
      <c r="I37" s="7">
        <f t="shared" si="2"/>
        <v>1</v>
      </c>
      <c r="J37" s="7">
        <f t="shared" si="2"/>
        <v>0</v>
      </c>
      <c r="K37" s="7">
        <f t="shared" si="2"/>
        <v>0</v>
      </c>
      <c r="L37" s="6"/>
    </row>
    <row r="38" spans="1:12" x14ac:dyDescent="0.3">
      <c r="A38" s="4">
        <f t="shared" si="0"/>
        <v>2.0035000000000074</v>
      </c>
      <c r="B38" s="5"/>
      <c r="C38" s="20" t="s">
        <v>19</v>
      </c>
      <c r="D38" s="43"/>
      <c r="E38" s="6"/>
      <c r="F38" s="7"/>
      <c r="G38" s="7">
        <f t="shared" si="2"/>
        <v>0</v>
      </c>
      <c r="H38" s="7">
        <f t="shared" si="2"/>
        <v>0</v>
      </c>
      <c r="I38" s="7">
        <f t="shared" si="2"/>
        <v>1</v>
      </c>
      <c r="J38" s="7">
        <f t="shared" si="2"/>
        <v>0</v>
      </c>
      <c r="K38" s="7">
        <f t="shared" si="2"/>
        <v>0</v>
      </c>
      <c r="L38" s="6"/>
    </row>
    <row r="39" spans="1:12" ht="26.4" x14ac:dyDescent="0.3">
      <c r="A39" s="4">
        <f t="shared" si="0"/>
        <v>2.0036000000000076</v>
      </c>
      <c r="B39" s="5" t="s">
        <v>14</v>
      </c>
      <c r="C39" s="27" t="s">
        <v>88</v>
      </c>
      <c r="D39" s="43"/>
      <c r="E39" s="6"/>
      <c r="F39" s="7"/>
      <c r="G39" s="7">
        <f t="shared" si="2"/>
        <v>0</v>
      </c>
      <c r="H39" s="7">
        <f t="shared" si="2"/>
        <v>0</v>
      </c>
      <c r="I39" s="7">
        <f t="shared" si="2"/>
        <v>1</v>
      </c>
      <c r="J39" s="7">
        <f t="shared" si="2"/>
        <v>0</v>
      </c>
      <c r="K39" s="7">
        <f t="shared" si="2"/>
        <v>0</v>
      </c>
      <c r="L39" s="6"/>
    </row>
    <row r="40" spans="1:12" x14ac:dyDescent="0.3">
      <c r="A40" s="4">
        <f t="shared" si="0"/>
        <v>2.0037000000000078</v>
      </c>
      <c r="B40" s="25"/>
      <c r="C40" s="20"/>
      <c r="D40" s="43"/>
      <c r="E40" s="6"/>
      <c r="F40" s="7"/>
      <c r="G40" s="7"/>
      <c r="H40" s="7"/>
      <c r="I40" s="7"/>
      <c r="J40" s="7"/>
      <c r="K40" s="7"/>
      <c r="L40" s="6"/>
    </row>
    <row r="41" spans="1:12" x14ac:dyDescent="0.3">
      <c r="A41" s="4">
        <f t="shared" si="0"/>
        <v>2.003800000000008</v>
      </c>
      <c r="B41" s="53" t="s">
        <v>92</v>
      </c>
      <c r="C41" s="54" t="s">
        <v>94</v>
      </c>
      <c r="D41" s="54"/>
      <c r="E41" s="6"/>
      <c r="F41" s="7"/>
      <c r="G41" s="7">
        <f t="shared" ref="G41:K42" si="3">IF($F41=G$1,1,0)</f>
        <v>0</v>
      </c>
      <c r="H41" s="7">
        <f t="shared" si="3"/>
        <v>0</v>
      </c>
      <c r="I41" s="7">
        <f t="shared" si="3"/>
        <v>1</v>
      </c>
      <c r="J41" s="7">
        <f t="shared" si="3"/>
        <v>0</v>
      </c>
      <c r="K41" s="7">
        <f t="shared" si="3"/>
        <v>0</v>
      </c>
      <c r="L41" s="6"/>
    </row>
    <row r="42" spans="1:12" x14ac:dyDescent="0.3">
      <c r="A42" s="4">
        <f t="shared" si="0"/>
        <v>2.0039000000000082</v>
      </c>
      <c r="B42" s="53" t="s">
        <v>93</v>
      </c>
      <c r="C42" s="54" t="s">
        <v>95</v>
      </c>
      <c r="D42" s="54"/>
      <c r="E42" s="6"/>
      <c r="F42" s="7"/>
      <c r="G42" s="7">
        <f t="shared" si="3"/>
        <v>0</v>
      </c>
      <c r="H42" s="7">
        <f t="shared" si="3"/>
        <v>0</v>
      </c>
      <c r="I42" s="7">
        <f t="shared" si="3"/>
        <v>1</v>
      </c>
      <c r="J42" s="7">
        <f t="shared" si="3"/>
        <v>0</v>
      </c>
      <c r="K42" s="7">
        <f t="shared" si="3"/>
        <v>0</v>
      </c>
      <c r="L42" s="6"/>
    </row>
    <row r="43" spans="1:12" x14ac:dyDescent="0.3">
      <c r="A43" s="4">
        <f t="shared" si="0"/>
        <v>2.0040000000000084</v>
      </c>
      <c r="B43" s="5"/>
      <c r="C43" s="27"/>
      <c r="D43" s="43"/>
      <c r="E43" s="6"/>
      <c r="F43" s="7"/>
      <c r="G43" s="7"/>
      <c r="H43" s="7"/>
      <c r="I43" s="7"/>
      <c r="J43" s="7"/>
      <c r="K43" s="7"/>
      <c r="L43" s="6"/>
    </row>
    <row r="44" spans="1:12" x14ac:dyDescent="0.3">
      <c r="A44" s="4">
        <f t="shared" si="0"/>
        <v>2.0041000000000087</v>
      </c>
      <c r="B44" s="16" t="s">
        <v>82</v>
      </c>
      <c r="C44" s="17"/>
      <c r="D44" s="16"/>
      <c r="E44" s="6"/>
      <c r="F44" s="7"/>
      <c r="G44" s="7"/>
      <c r="H44" s="7"/>
      <c r="I44" s="7"/>
      <c r="J44" s="7"/>
      <c r="K44" s="7"/>
      <c r="L44" s="6"/>
    </row>
    <row r="45" spans="1:12" x14ac:dyDescent="0.3">
      <c r="A45" s="4">
        <f t="shared" si="0"/>
        <v>2.0042000000000089</v>
      </c>
      <c r="B45" s="5" t="s">
        <v>127</v>
      </c>
      <c r="C45" s="5" t="s">
        <v>125</v>
      </c>
      <c r="D45" s="6" t="s">
        <v>72</v>
      </c>
      <c r="E45" s="7"/>
      <c r="F45" s="7"/>
      <c r="G45" s="7">
        <f t="shared" ref="G45:K50" si="4">IF($F45=G$1,1,0)</f>
        <v>0</v>
      </c>
      <c r="H45" s="7">
        <f t="shared" si="4"/>
        <v>0</v>
      </c>
      <c r="I45" s="7">
        <f t="shared" si="4"/>
        <v>1</v>
      </c>
      <c r="J45" s="7">
        <f t="shared" si="4"/>
        <v>0</v>
      </c>
      <c r="K45" s="7">
        <f t="shared" si="4"/>
        <v>0</v>
      </c>
      <c r="L45" s="6"/>
    </row>
    <row r="46" spans="1:12" x14ac:dyDescent="0.3">
      <c r="A46" s="4">
        <f t="shared" si="0"/>
        <v>2.0043000000000091</v>
      </c>
      <c r="B46" s="5" t="s">
        <v>52</v>
      </c>
      <c r="C46" s="5" t="s">
        <v>73</v>
      </c>
      <c r="D46" s="6" t="s">
        <v>83</v>
      </c>
      <c r="E46" s="7"/>
      <c r="F46" s="7"/>
      <c r="G46" s="7">
        <f t="shared" si="4"/>
        <v>0</v>
      </c>
      <c r="H46" s="7">
        <f t="shared" si="4"/>
        <v>0</v>
      </c>
      <c r="I46" s="7">
        <f t="shared" si="4"/>
        <v>1</v>
      </c>
      <c r="J46" s="7">
        <f t="shared" si="4"/>
        <v>0</v>
      </c>
      <c r="K46" s="7">
        <f t="shared" si="4"/>
        <v>0</v>
      </c>
      <c r="L46" s="6"/>
    </row>
    <row r="47" spans="1:12" x14ac:dyDescent="0.3">
      <c r="A47" s="4">
        <f t="shared" si="0"/>
        <v>2.0044000000000093</v>
      </c>
      <c r="B47" s="5" t="s">
        <v>14</v>
      </c>
      <c r="C47" s="5" t="s">
        <v>53</v>
      </c>
      <c r="D47" s="6"/>
      <c r="E47" s="7"/>
      <c r="F47" s="7"/>
      <c r="G47" s="7">
        <f t="shared" si="4"/>
        <v>0</v>
      </c>
      <c r="H47" s="7">
        <f t="shared" si="4"/>
        <v>0</v>
      </c>
      <c r="I47" s="7">
        <f t="shared" si="4"/>
        <v>1</v>
      </c>
      <c r="J47" s="7">
        <f t="shared" si="4"/>
        <v>0</v>
      </c>
      <c r="K47" s="7">
        <f t="shared" si="4"/>
        <v>0</v>
      </c>
      <c r="L47" s="6"/>
    </row>
    <row r="48" spans="1:12" x14ac:dyDescent="0.3">
      <c r="A48" s="4">
        <f t="shared" si="0"/>
        <v>2.0045000000000095</v>
      </c>
      <c r="B48" s="5" t="s">
        <v>128</v>
      </c>
      <c r="C48" s="5" t="s">
        <v>125</v>
      </c>
      <c r="D48" s="6"/>
      <c r="E48" s="7"/>
      <c r="F48" s="7"/>
      <c r="G48" s="7">
        <f t="shared" si="4"/>
        <v>0</v>
      </c>
      <c r="H48" s="7">
        <f t="shared" si="4"/>
        <v>0</v>
      </c>
      <c r="I48" s="7">
        <f t="shared" si="4"/>
        <v>1</v>
      </c>
      <c r="J48" s="7">
        <f t="shared" si="4"/>
        <v>0</v>
      </c>
      <c r="K48" s="7">
        <f t="shared" si="4"/>
        <v>0</v>
      </c>
      <c r="L48" s="6"/>
    </row>
    <row r="49" spans="1:12" x14ac:dyDescent="0.3">
      <c r="A49" s="4">
        <f t="shared" si="0"/>
        <v>2.0046000000000097</v>
      </c>
      <c r="B49" s="5" t="s">
        <v>52</v>
      </c>
      <c r="C49" s="5" t="s">
        <v>74</v>
      </c>
      <c r="D49" s="6"/>
      <c r="E49" s="7"/>
      <c r="F49" s="7"/>
      <c r="G49" s="7">
        <f t="shared" si="4"/>
        <v>0</v>
      </c>
      <c r="H49" s="7">
        <f t="shared" si="4"/>
        <v>0</v>
      </c>
      <c r="I49" s="7">
        <f t="shared" si="4"/>
        <v>1</v>
      </c>
      <c r="J49" s="7">
        <f t="shared" si="4"/>
        <v>0</v>
      </c>
      <c r="K49" s="7">
        <f t="shared" si="4"/>
        <v>0</v>
      </c>
      <c r="L49" s="6"/>
    </row>
    <row r="50" spans="1:12" x14ac:dyDescent="0.3">
      <c r="A50" s="4">
        <f t="shared" si="0"/>
        <v>2.0047000000000099</v>
      </c>
      <c r="B50" s="5" t="s">
        <v>14</v>
      </c>
      <c r="C50" s="5" t="s">
        <v>53</v>
      </c>
      <c r="D50" s="6"/>
      <c r="E50" s="7"/>
      <c r="F50" s="7"/>
      <c r="G50" s="7">
        <f t="shared" si="4"/>
        <v>0</v>
      </c>
      <c r="H50" s="7">
        <f t="shared" si="4"/>
        <v>0</v>
      </c>
      <c r="I50" s="7">
        <f t="shared" si="4"/>
        <v>1</v>
      </c>
      <c r="J50" s="7">
        <f t="shared" si="4"/>
        <v>0</v>
      </c>
      <c r="K50" s="7">
        <f t="shared" si="4"/>
        <v>0</v>
      </c>
      <c r="L50" s="6"/>
    </row>
    <row r="51" spans="1:12" x14ac:dyDescent="0.3">
      <c r="A51" s="4">
        <f t="shared" si="0"/>
        <v>2.0048000000000101</v>
      </c>
      <c r="B51" s="6"/>
      <c r="C51" s="21"/>
      <c r="D51" s="45"/>
      <c r="E51" s="7"/>
      <c r="F51" s="7"/>
      <c r="G51" s="7"/>
      <c r="H51" s="7"/>
      <c r="I51" s="7"/>
      <c r="J51" s="7"/>
      <c r="K51" s="7"/>
      <c r="L51" s="7"/>
    </row>
    <row r="52" spans="1:12" x14ac:dyDescent="0.3">
      <c r="A52" s="4">
        <f t="shared" si="0"/>
        <v>2.0049000000000103</v>
      </c>
      <c r="B52" s="16" t="s">
        <v>39</v>
      </c>
      <c r="C52" s="16"/>
      <c r="D52" s="17"/>
      <c r="E52" s="7"/>
      <c r="F52" s="7"/>
      <c r="G52" s="7"/>
      <c r="H52" s="7"/>
      <c r="I52" s="7"/>
      <c r="J52" s="7"/>
      <c r="K52" s="7"/>
      <c r="L52" s="7"/>
    </row>
    <row r="53" spans="1:12" x14ac:dyDescent="0.3">
      <c r="A53" s="4">
        <f t="shared" si="0"/>
        <v>2.0050000000000106</v>
      </c>
      <c r="B53" s="29" t="s">
        <v>129</v>
      </c>
      <c r="C53" s="5" t="s">
        <v>23</v>
      </c>
      <c r="D53" s="45"/>
      <c r="E53" s="7"/>
      <c r="F53" s="7"/>
      <c r="G53" s="7">
        <f t="shared" ref="G53:K62" si="5">IF($F53=G$1,1,0)</f>
        <v>0</v>
      </c>
      <c r="H53" s="7">
        <f t="shared" si="5"/>
        <v>0</v>
      </c>
      <c r="I53" s="7">
        <f t="shared" si="5"/>
        <v>1</v>
      </c>
      <c r="J53" s="7">
        <f t="shared" si="5"/>
        <v>0</v>
      </c>
      <c r="K53" s="7">
        <f t="shared" si="5"/>
        <v>0</v>
      </c>
      <c r="L53" s="6"/>
    </row>
    <row r="54" spans="1:12" x14ac:dyDescent="0.3">
      <c r="A54" s="4">
        <f t="shared" si="0"/>
        <v>2.0051000000000108</v>
      </c>
      <c r="B54" s="6"/>
      <c r="C54" s="5" t="s">
        <v>24</v>
      </c>
      <c r="D54" s="45"/>
      <c r="E54" s="7"/>
      <c r="F54" s="7"/>
      <c r="G54" s="7">
        <f t="shared" si="5"/>
        <v>0</v>
      </c>
      <c r="H54" s="7">
        <f t="shared" si="5"/>
        <v>0</v>
      </c>
      <c r="I54" s="7">
        <f t="shared" si="5"/>
        <v>1</v>
      </c>
      <c r="J54" s="7">
        <f t="shared" si="5"/>
        <v>0</v>
      </c>
      <c r="K54" s="7">
        <f t="shared" si="5"/>
        <v>0</v>
      </c>
      <c r="L54" s="6"/>
    </row>
    <row r="55" spans="1:12" x14ac:dyDescent="0.3">
      <c r="A55" s="4">
        <f t="shared" si="0"/>
        <v>2.005200000000011</v>
      </c>
      <c r="B55" s="6"/>
      <c r="C55" s="5" t="s">
        <v>34</v>
      </c>
      <c r="D55" s="45"/>
      <c r="E55" s="7"/>
      <c r="F55" s="7"/>
      <c r="G55" s="7">
        <f t="shared" si="5"/>
        <v>0</v>
      </c>
      <c r="H55" s="7">
        <f t="shared" si="5"/>
        <v>0</v>
      </c>
      <c r="I55" s="7">
        <f t="shared" si="5"/>
        <v>1</v>
      </c>
      <c r="J55" s="7">
        <f t="shared" si="5"/>
        <v>0</v>
      </c>
      <c r="K55" s="7">
        <f t="shared" si="5"/>
        <v>0</v>
      </c>
      <c r="L55" s="6"/>
    </row>
    <row r="56" spans="1:12" x14ac:dyDescent="0.3">
      <c r="A56" s="4">
        <f t="shared" si="0"/>
        <v>2.0053000000000112</v>
      </c>
      <c r="B56" s="6"/>
      <c r="C56" s="5" t="s">
        <v>35</v>
      </c>
      <c r="D56" s="45"/>
      <c r="E56" s="7"/>
      <c r="F56" s="7"/>
      <c r="G56" s="7">
        <f t="shared" si="5"/>
        <v>0</v>
      </c>
      <c r="H56" s="7">
        <f t="shared" si="5"/>
        <v>0</v>
      </c>
      <c r="I56" s="7">
        <f t="shared" si="5"/>
        <v>1</v>
      </c>
      <c r="J56" s="7">
        <f t="shared" si="5"/>
        <v>0</v>
      </c>
      <c r="K56" s="7">
        <f t="shared" si="5"/>
        <v>0</v>
      </c>
      <c r="L56" s="6"/>
    </row>
    <row r="57" spans="1:12" x14ac:dyDescent="0.3">
      <c r="A57" s="4">
        <f t="shared" si="0"/>
        <v>2.0054000000000114</v>
      </c>
      <c r="B57" s="6"/>
      <c r="C57" s="47" t="s">
        <v>27</v>
      </c>
      <c r="D57" s="45"/>
      <c r="E57" s="7"/>
      <c r="F57" s="7"/>
      <c r="G57" s="7">
        <f t="shared" si="5"/>
        <v>0</v>
      </c>
      <c r="H57" s="7">
        <f t="shared" si="5"/>
        <v>0</v>
      </c>
      <c r="I57" s="7">
        <f t="shared" si="5"/>
        <v>1</v>
      </c>
      <c r="J57" s="7">
        <f t="shared" si="5"/>
        <v>0</v>
      </c>
      <c r="K57" s="7">
        <f t="shared" si="5"/>
        <v>0</v>
      </c>
      <c r="L57" s="6"/>
    </row>
    <row r="58" spans="1:12" x14ac:dyDescent="0.3">
      <c r="A58" s="4">
        <f t="shared" si="0"/>
        <v>2.0055000000000116</v>
      </c>
      <c r="B58" s="6"/>
      <c r="C58" s="47" t="s">
        <v>100</v>
      </c>
      <c r="D58" s="45"/>
      <c r="E58" s="7"/>
      <c r="F58" s="7" t="s">
        <v>7</v>
      </c>
      <c r="G58" s="7">
        <f t="shared" si="5"/>
        <v>0</v>
      </c>
      <c r="H58" s="7">
        <f t="shared" si="5"/>
        <v>0</v>
      </c>
      <c r="I58" s="7">
        <f t="shared" si="5"/>
        <v>0</v>
      </c>
      <c r="J58" s="7">
        <f t="shared" si="5"/>
        <v>1</v>
      </c>
      <c r="K58" s="7">
        <f t="shared" si="5"/>
        <v>0</v>
      </c>
      <c r="L58" s="6"/>
    </row>
    <row r="59" spans="1:12" x14ac:dyDescent="0.3">
      <c r="A59" s="4">
        <f t="shared" si="0"/>
        <v>2.0056000000000118</v>
      </c>
      <c r="B59" s="6"/>
      <c r="C59" s="47" t="s">
        <v>103</v>
      </c>
      <c r="D59" s="45"/>
      <c r="E59" s="7"/>
      <c r="F59" s="7" t="s">
        <v>7</v>
      </c>
      <c r="G59" s="7">
        <f t="shared" si="5"/>
        <v>0</v>
      </c>
      <c r="H59" s="7">
        <f t="shared" si="5"/>
        <v>0</v>
      </c>
      <c r="I59" s="7">
        <f t="shared" si="5"/>
        <v>0</v>
      </c>
      <c r="J59" s="7">
        <f t="shared" si="5"/>
        <v>1</v>
      </c>
      <c r="K59" s="7">
        <f t="shared" si="5"/>
        <v>0</v>
      </c>
      <c r="L59" s="6"/>
    </row>
    <row r="60" spans="1:12" x14ac:dyDescent="0.3">
      <c r="A60" s="4">
        <f t="shared" si="0"/>
        <v>2.005700000000012</v>
      </c>
      <c r="B60" s="6"/>
      <c r="C60" s="5" t="s">
        <v>36</v>
      </c>
      <c r="D60" s="45"/>
      <c r="E60" s="7"/>
      <c r="F60" s="7"/>
      <c r="G60" s="7">
        <f t="shared" si="5"/>
        <v>0</v>
      </c>
      <c r="H60" s="7">
        <f t="shared" si="5"/>
        <v>0</v>
      </c>
      <c r="I60" s="7">
        <f t="shared" si="5"/>
        <v>1</v>
      </c>
      <c r="J60" s="7">
        <f t="shared" si="5"/>
        <v>0</v>
      </c>
      <c r="K60" s="7">
        <f t="shared" si="5"/>
        <v>0</v>
      </c>
      <c r="L60" s="6"/>
    </row>
    <row r="61" spans="1:12" x14ac:dyDescent="0.3">
      <c r="A61" s="4">
        <f t="shared" si="0"/>
        <v>2.0058000000000122</v>
      </c>
      <c r="B61" s="6"/>
      <c r="C61" s="5" t="s">
        <v>37</v>
      </c>
      <c r="D61" s="45"/>
      <c r="E61" s="7"/>
      <c r="F61" s="7"/>
      <c r="G61" s="7">
        <f t="shared" si="5"/>
        <v>0</v>
      </c>
      <c r="H61" s="7">
        <f t="shared" si="5"/>
        <v>0</v>
      </c>
      <c r="I61" s="7">
        <f t="shared" si="5"/>
        <v>1</v>
      </c>
      <c r="J61" s="7">
        <f t="shared" si="5"/>
        <v>0</v>
      </c>
      <c r="K61" s="7">
        <f t="shared" si="5"/>
        <v>0</v>
      </c>
      <c r="L61" s="6"/>
    </row>
    <row r="62" spans="1:12" x14ac:dyDescent="0.3">
      <c r="A62" s="4">
        <f t="shared" si="0"/>
        <v>2.0059000000000125</v>
      </c>
      <c r="B62" s="6"/>
      <c r="C62" s="5" t="s">
        <v>38</v>
      </c>
      <c r="D62" s="45"/>
      <c r="E62" s="7"/>
      <c r="F62" s="7"/>
      <c r="G62" s="7">
        <f t="shared" si="5"/>
        <v>0</v>
      </c>
      <c r="H62" s="7">
        <f t="shared" si="5"/>
        <v>0</v>
      </c>
      <c r="I62" s="7">
        <f t="shared" si="5"/>
        <v>1</v>
      </c>
      <c r="J62" s="7">
        <f t="shared" si="5"/>
        <v>0</v>
      </c>
      <c r="K62" s="7">
        <f t="shared" si="5"/>
        <v>0</v>
      </c>
      <c r="L62" s="6"/>
    </row>
    <row r="63" spans="1:12" x14ac:dyDescent="0.3">
      <c r="A63" s="4">
        <f t="shared" si="0"/>
        <v>2.0060000000000127</v>
      </c>
      <c r="B63" s="6"/>
      <c r="C63" s="5"/>
      <c r="D63" s="45"/>
      <c r="E63" s="7"/>
      <c r="F63" s="7"/>
      <c r="G63" s="7"/>
      <c r="H63" s="7"/>
      <c r="I63" s="7"/>
      <c r="J63" s="7"/>
      <c r="K63" s="7"/>
      <c r="L63" s="7"/>
    </row>
    <row r="64" spans="1:12" x14ac:dyDescent="0.3">
      <c r="A64" s="4">
        <f t="shared" si="0"/>
        <v>2.0061000000000129</v>
      </c>
      <c r="B64" s="29" t="s">
        <v>25</v>
      </c>
      <c r="C64" s="24" t="s">
        <v>90</v>
      </c>
      <c r="D64" s="45"/>
      <c r="E64" s="7"/>
      <c r="F64" s="7"/>
      <c r="G64" s="7">
        <f t="shared" ref="G64:K67" si="6">IF($F64=G$1,1,0)</f>
        <v>0</v>
      </c>
      <c r="H64" s="7">
        <f t="shared" si="6"/>
        <v>0</v>
      </c>
      <c r="I64" s="7">
        <f t="shared" si="6"/>
        <v>1</v>
      </c>
      <c r="J64" s="7">
        <f t="shared" si="6"/>
        <v>0</v>
      </c>
      <c r="K64" s="7">
        <f t="shared" si="6"/>
        <v>0</v>
      </c>
      <c r="L64" s="6"/>
    </row>
    <row r="65" spans="1:12" x14ac:dyDescent="0.3">
      <c r="A65" s="4">
        <f t="shared" si="0"/>
        <v>2.0062000000000131</v>
      </c>
      <c r="B65" s="6"/>
      <c r="C65" s="5" t="s">
        <v>40</v>
      </c>
      <c r="D65" s="45"/>
      <c r="E65" s="7"/>
      <c r="F65" s="7"/>
      <c r="G65" s="7">
        <f t="shared" si="6"/>
        <v>0</v>
      </c>
      <c r="H65" s="7">
        <f t="shared" si="6"/>
        <v>0</v>
      </c>
      <c r="I65" s="7">
        <f t="shared" si="6"/>
        <v>1</v>
      </c>
      <c r="J65" s="7">
        <f t="shared" si="6"/>
        <v>0</v>
      </c>
      <c r="K65" s="7">
        <f t="shared" si="6"/>
        <v>0</v>
      </c>
      <c r="L65" s="6"/>
    </row>
    <row r="66" spans="1:12" x14ac:dyDescent="0.3">
      <c r="A66" s="4">
        <f t="shared" si="0"/>
        <v>2.0063000000000133</v>
      </c>
      <c r="B66" s="6"/>
      <c r="C66" s="5" t="s">
        <v>41</v>
      </c>
      <c r="D66" s="45"/>
      <c r="E66" s="7"/>
      <c r="F66" s="7"/>
      <c r="G66" s="7">
        <f t="shared" si="6"/>
        <v>0</v>
      </c>
      <c r="H66" s="7">
        <f t="shared" si="6"/>
        <v>0</v>
      </c>
      <c r="I66" s="7">
        <f t="shared" si="6"/>
        <v>1</v>
      </c>
      <c r="J66" s="7">
        <f t="shared" si="6"/>
        <v>0</v>
      </c>
      <c r="K66" s="7">
        <f t="shared" si="6"/>
        <v>0</v>
      </c>
      <c r="L66" s="6"/>
    </row>
    <row r="67" spans="1:12" x14ac:dyDescent="0.3">
      <c r="A67" s="4">
        <f t="shared" si="0"/>
        <v>2.0064000000000135</v>
      </c>
      <c r="B67" s="6"/>
      <c r="C67" s="5" t="s">
        <v>26</v>
      </c>
      <c r="D67" s="45"/>
      <c r="E67" s="7"/>
      <c r="F67" s="7"/>
      <c r="G67" s="7">
        <f t="shared" si="6"/>
        <v>0</v>
      </c>
      <c r="H67" s="7">
        <f t="shared" si="6"/>
        <v>0</v>
      </c>
      <c r="I67" s="7">
        <f t="shared" si="6"/>
        <v>1</v>
      </c>
      <c r="J67" s="7">
        <f t="shared" si="6"/>
        <v>0</v>
      </c>
      <c r="K67" s="7">
        <f t="shared" si="6"/>
        <v>0</v>
      </c>
      <c r="L67" s="6"/>
    </row>
    <row r="68" spans="1:12" x14ac:dyDescent="0.3">
      <c r="A68" s="4">
        <f t="shared" ref="A68:A85" si="7">A67+0.0001</f>
        <v>2.0065000000000137</v>
      </c>
      <c r="B68" s="6"/>
      <c r="C68" s="5"/>
      <c r="D68" s="45"/>
      <c r="E68" s="7"/>
      <c r="F68" s="7"/>
      <c r="G68" s="7"/>
      <c r="H68" s="7"/>
      <c r="I68" s="7"/>
      <c r="J68" s="7"/>
      <c r="K68" s="7"/>
      <c r="L68" s="7"/>
    </row>
    <row r="69" spans="1:12" x14ac:dyDescent="0.3">
      <c r="A69" s="4">
        <f t="shared" si="7"/>
        <v>2.0066000000000139</v>
      </c>
      <c r="B69" s="6"/>
      <c r="C69" s="5" t="s">
        <v>47</v>
      </c>
      <c r="D69" s="45"/>
      <c r="E69" s="7"/>
      <c r="F69" s="7"/>
      <c r="G69" s="7">
        <f t="shared" ref="G69:K74" si="8">IF($F69=G$1,1,0)</f>
        <v>0</v>
      </c>
      <c r="H69" s="7">
        <f t="shared" si="8"/>
        <v>0</v>
      </c>
      <c r="I69" s="7">
        <f t="shared" si="8"/>
        <v>1</v>
      </c>
      <c r="J69" s="7">
        <f t="shared" si="8"/>
        <v>0</v>
      </c>
      <c r="K69" s="7">
        <f t="shared" si="8"/>
        <v>0</v>
      </c>
      <c r="L69" s="6"/>
    </row>
    <row r="70" spans="1:12" x14ac:dyDescent="0.3">
      <c r="A70" s="4">
        <f t="shared" si="7"/>
        <v>2.0067000000000141</v>
      </c>
      <c r="B70" s="6"/>
      <c r="C70" s="5" t="s">
        <v>46</v>
      </c>
      <c r="D70" s="45"/>
      <c r="E70" s="7"/>
      <c r="F70" s="7"/>
      <c r="G70" s="7">
        <f t="shared" si="8"/>
        <v>0</v>
      </c>
      <c r="H70" s="7">
        <f t="shared" si="8"/>
        <v>0</v>
      </c>
      <c r="I70" s="7">
        <f t="shared" si="8"/>
        <v>1</v>
      </c>
      <c r="J70" s="7">
        <f t="shared" si="8"/>
        <v>0</v>
      </c>
      <c r="K70" s="7">
        <f t="shared" si="8"/>
        <v>0</v>
      </c>
      <c r="L70" s="6"/>
    </row>
    <row r="71" spans="1:12" x14ac:dyDescent="0.3">
      <c r="A71" s="4">
        <f t="shared" si="7"/>
        <v>2.0068000000000144</v>
      </c>
      <c r="B71" s="6"/>
      <c r="C71" s="5" t="s">
        <v>45</v>
      </c>
      <c r="D71" s="45"/>
      <c r="E71" s="7"/>
      <c r="F71" s="7"/>
      <c r="G71" s="7">
        <f t="shared" si="8"/>
        <v>0</v>
      </c>
      <c r="H71" s="7">
        <f t="shared" si="8"/>
        <v>0</v>
      </c>
      <c r="I71" s="7">
        <f t="shared" si="8"/>
        <v>1</v>
      </c>
      <c r="J71" s="7">
        <f t="shared" si="8"/>
        <v>0</v>
      </c>
      <c r="K71" s="7">
        <f t="shared" si="8"/>
        <v>0</v>
      </c>
      <c r="L71" s="6"/>
    </row>
    <row r="72" spans="1:12" x14ac:dyDescent="0.3">
      <c r="A72" s="4">
        <f t="shared" si="7"/>
        <v>2.0069000000000146</v>
      </c>
      <c r="B72" s="6"/>
      <c r="C72" s="5" t="s">
        <v>44</v>
      </c>
      <c r="D72" s="45"/>
      <c r="E72" s="7"/>
      <c r="F72" s="7"/>
      <c r="G72" s="7">
        <f t="shared" si="8"/>
        <v>0</v>
      </c>
      <c r="H72" s="7">
        <f t="shared" si="8"/>
        <v>0</v>
      </c>
      <c r="I72" s="7">
        <f t="shared" si="8"/>
        <v>1</v>
      </c>
      <c r="J72" s="7">
        <f t="shared" si="8"/>
        <v>0</v>
      </c>
      <c r="K72" s="7">
        <f t="shared" si="8"/>
        <v>0</v>
      </c>
      <c r="L72" s="6"/>
    </row>
    <row r="73" spans="1:12" x14ac:dyDescent="0.3">
      <c r="A73" s="4">
        <f t="shared" si="7"/>
        <v>2.0070000000000148</v>
      </c>
      <c r="B73" s="6"/>
      <c r="C73" s="5" t="s">
        <v>43</v>
      </c>
      <c r="D73" s="45"/>
      <c r="E73" s="7"/>
      <c r="F73" s="7"/>
      <c r="G73" s="7">
        <f t="shared" si="8"/>
        <v>0</v>
      </c>
      <c r="H73" s="7">
        <f t="shared" si="8"/>
        <v>0</v>
      </c>
      <c r="I73" s="7">
        <f t="shared" si="8"/>
        <v>1</v>
      </c>
      <c r="J73" s="7">
        <f t="shared" si="8"/>
        <v>0</v>
      </c>
      <c r="K73" s="7">
        <f t="shared" si="8"/>
        <v>0</v>
      </c>
      <c r="L73" s="6"/>
    </row>
    <row r="74" spans="1:12" x14ac:dyDescent="0.3">
      <c r="A74" s="4">
        <f t="shared" si="7"/>
        <v>2.007100000000015</v>
      </c>
      <c r="B74" s="5"/>
      <c r="C74" s="5" t="s">
        <v>42</v>
      </c>
      <c r="D74" s="45"/>
      <c r="E74" s="7"/>
      <c r="F74" s="7"/>
      <c r="G74" s="7">
        <f t="shared" si="8"/>
        <v>0</v>
      </c>
      <c r="H74" s="7">
        <f t="shared" si="8"/>
        <v>0</v>
      </c>
      <c r="I74" s="7">
        <f t="shared" si="8"/>
        <v>1</v>
      </c>
      <c r="J74" s="7">
        <f t="shared" si="8"/>
        <v>0</v>
      </c>
      <c r="K74" s="7">
        <f t="shared" si="8"/>
        <v>0</v>
      </c>
      <c r="L74" s="6"/>
    </row>
    <row r="75" spans="1:12" x14ac:dyDescent="0.3">
      <c r="A75" s="4">
        <f t="shared" si="7"/>
        <v>2.0072000000000152</v>
      </c>
      <c r="B75" s="5"/>
      <c r="C75" s="20"/>
      <c r="D75" s="45"/>
      <c r="E75" s="7"/>
      <c r="F75" s="7"/>
      <c r="G75" s="7"/>
      <c r="H75" s="7"/>
      <c r="I75" s="7"/>
      <c r="J75" s="7"/>
      <c r="K75" s="7"/>
      <c r="L75" s="7"/>
    </row>
    <row r="76" spans="1:12" x14ac:dyDescent="0.3">
      <c r="A76" s="4">
        <f t="shared" si="7"/>
        <v>2.0073000000000154</v>
      </c>
      <c r="B76" s="16" t="s">
        <v>28</v>
      </c>
      <c r="C76" s="16"/>
      <c r="D76" s="17"/>
      <c r="E76" s="7"/>
      <c r="F76" s="7"/>
      <c r="G76" s="7"/>
      <c r="H76" s="7"/>
      <c r="I76" s="7"/>
      <c r="J76" s="7"/>
      <c r="K76" s="7"/>
      <c r="L76" s="7"/>
    </row>
    <row r="77" spans="1:12" x14ac:dyDescent="0.3">
      <c r="A77" s="4">
        <f t="shared" si="7"/>
        <v>2.0074000000000156</v>
      </c>
      <c r="B77" s="6" t="s">
        <v>32</v>
      </c>
      <c r="C77" s="5" t="s">
        <v>29</v>
      </c>
      <c r="D77" s="45"/>
      <c r="E77" s="7"/>
      <c r="F77" s="7"/>
      <c r="G77" s="7">
        <f t="shared" ref="G77:K80" si="9">IF($F77=G$1,1,0)</f>
        <v>0</v>
      </c>
      <c r="H77" s="7">
        <f t="shared" si="9"/>
        <v>0</v>
      </c>
      <c r="I77" s="7">
        <f t="shared" si="9"/>
        <v>1</v>
      </c>
      <c r="J77" s="7">
        <f t="shared" si="9"/>
        <v>0</v>
      </c>
      <c r="K77" s="7">
        <f t="shared" si="9"/>
        <v>0</v>
      </c>
      <c r="L77" s="6"/>
    </row>
    <row r="78" spans="1:12" x14ac:dyDescent="0.3">
      <c r="A78" s="4">
        <f t="shared" si="7"/>
        <v>2.0075000000000158</v>
      </c>
      <c r="B78" s="6"/>
      <c r="C78" s="5" t="s">
        <v>30</v>
      </c>
      <c r="D78" s="45"/>
      <c r="E78" s="7"/>
      <c r="F78" s="7"/>
      <c r="G78" s="7">
        <f t="shared" si="9"/>
        <v>0</v>
      </c>
      <c r="H78" s="7">
        <f t="shared" si="9"/>
        <v>0</v>
      </c>
      <c r="I78" s="7">
        <f t="shared" si="9"/>
        <v>1</v>
      </c>
      <c r="J78" s="7">
        <f t="shared" si="9"/>
        <v>0</v>
      </c>
      <c r="K78" s="7">
        <f t="shared" si="9"/>
        <v>0</v>
      </c>
      <c r="L78" s="6"/>
    </row>
    <row r="79" spans="1:12" x14ac:dyDescent="0.3">
      <c r="A79" s="4">
        <f t="shared" si="7"/>
        <v>2.007600000000016</v>
      </c>
      <c r="B79" s="6"/>
      <c r="C79" s="5" t="s">
        <v>31</v>
      </c>
      <c r="D79" s="45"/>
      <c r="E79" s="7"/>
      <c r="F79" s="7"/>
      <c r="G79" s="7">
        <f t="shared" si="9"/>
        <v>0</v>
      </c>
      <c r="H79" s="7">
        <f t="shared" si="9"/>
        <v>0</v>
      </c>
      <c r="I79" s="7">
        <f t="shared" si="9"/>
        <v>1</v>
      </c>
      <c r="J79" s="7">
        <f t="shared" si="9"/>
        <v>0</v>
      </c>
      <c r="K79" s="7">
        <f t="shared" si="9"/>
        <v>0</v>
      </c>
      <c r="L79" s="6"/>
    </row>
    <row r="80" spans="1:12" ht="26.4" x14ac:dyDescent="0.3">
      <c r="A80" s="4">
        <f t="shared" si="7"/>
        <v>2.0077000000000162</v>
      </c>
      <c r="B80" s="6"/>
      <c r="C80" s="5" t="s">
        <v>33</v>
      </c>
      <c r="D80" s="45"/>
      <c r="E80" s="7"/>
      <c r="F80" s="7"/>
      <c r="G80" s="7">
        <f t="shared" si="9"/>
        <v>0</v>
      </c>
      <c r="H80" s="7">
        <f t="shared" si="9"/>
        <v>0</v>
      </c>
      <c r="I80" s="7">
        <f t="shared" si="9"/>
        <v>1</v>
      </c>
      <c r="J80" s="7">
        <f t="shared" si="9"/>
        <v>0</v>
      </c>
      <c r="K80" s="7">
        <f t="shared" si="9"/>
        <v>0</v>
      </c>
      <c r="L80" s="6"/>
    </row>
    <row r="81" spans="1:12" x14ac:dyDescent="0.3">
      <c r="A81" s="4">
        <f t="shared" si="7"/>
        <v>2.0078000000000165</v>
      </c>
      <c r="B81" s="6"/>
      <c r="C81" s="5"/>
      <c r="D81" s="45"/>
      <c r="E81" s="7"/>
      <c r="F81" s="7"/>
      <c r="G81" s="7"/>
      <c r="H81" s="7"/>
      <c r="I81" s="7"/>
      <c r="J81" s="7"/>
      <c r="K81" s="7"/>
      <c r="L81" s="7"/>
    </row>
    <row r="82" spans="1:12" x14ac:dyDescent="0.3">
      <c r="A82" s="4">
        <f t="shared" si="7"/>
        <v>2.0079000000000167</v>
      </c>
      <c r="B82" s="16" t="s">
        <v>54</v>
      </c>
      <c r="C82" s="17" t="s">
        <v>55</v>
      </c>
      <c r="D82" s="17"/>
      <c r="E82" s="7"/>
      <c r="F82" s="7"/>
      <c r="G82" s="7"/>
      <c r="H82" s="7"/>
      <c r="I82" s="7"/>
      <c r="J82" s="7"/>
      <c r="K82" s="7"/>
      <c r="L82" s="7"/>
    </row>
    <row r="83" spans="1:12" ht="26.4" x14ac:dyDescent="0.3">
      <c r="A83" s="4">
        <f t="shared" si="7"/>
        <v>2.0080000000000169</v>
      </c>
      <c r="B83" s="33" t="s">
        <v>117</v>
      </c>
      <c r="C83" s="34" t="s">
        <v>116</v>
      </c>
      <c r="D83" s="43" t="s">
        <v>56</v>
      </c>
      <c r="E83" s="7"/>
      <c r="F83" s="7"/>
      <c r="G83" s="7">
        <f t="shared" ref="G83:K84" si="10">IF($F83=G$1,1,0)</f>
        <v>0</v>
      </c>
      <c r="H83" s="7">
        <f t="shared" si="10"/>
        <v>0</v>
      </c>
      <c r="I83" s="7">
        <f t="shared" si="10"/>
        <v>1</v>
      </c>
      <c r="J83" s="7">
        <f t="shared" si="10"/>
        <v>0</v>
      </c>
      <c r="K83" s="7">
        <f t="shared" si="10"/>
        <v>0</v>
      </c>
      <c r="L83" s="6"/>
    </row>
    <row r="84" spans="1:12" ht="26.4" x14ac:dyDescent="0.3">
      <c r="A84" s="4">
        <f t="shared" si="7"/>
        <v>2.0081000000000171</v>
      </c>
      <c r="B84" s="33" t="s">
        <v>118</v>
      </c>
      <c r="C84" s="34" t="s">
        <v>119</v>
      </c>
      <c r="D84" s="43" t="s">
        <v>56</v>
      </c>
      <c r="E84" s="7"/>
      <c r="F84" s="7"/>
      <c r="G84" s="7">
        <f t="shared" si="10"/>
        <v>0</v>
      </c>
      <c r="H84" s="7">
        <f t="shared" si="10"/>
        <v>0</v>
      </c>
      <c r="I84" s="7">
        <f t="shared" si="10"/>
        <v>1</v>
      </c>
      <c r="J84" s="7">
        <f t="shared" si="10"/>
        <v>0</v>
      </c>
      <c r="K84" s="7">
        <f t="shared" si="10"/>
        <v>0</v>
      </c>
      <c r="L84" s="6"/>
    </row>
    <row r="85" spans="1:12" x14ac:dyDescent="0.3">
      <c r="A85" s="4">
        <f t="shared" si="7"/>
        <v>2.0082000000000173</v>
      </c>
      <c r="B85" s="6"/>
      <c r="C85" s="5"/>
      <c r="D85" s="45"/>
      <c r="E85" s="7"/>
      <c r="F85" s="7"/>
      <c r="G85" s="7"/>
      <c r="H85" s="7"/>
      <c r="I85" s="7"/>
      <c r="J85" s="7"/>
      <c r="K85" s="7"/>
      <c r="L85" s="7"/>
    </row>
    <row r="86" spans="1:12" ht="15" thickBot="1" x14ac:dyDescent="0.35">
      <c r="G86" s="28">
        <f>SUM(G3:G85)</f>
        <v>0</v>
      </c>
      <c r="H86" s="28">
        <f>SUM(H3:H85)</f>
        <v>0</v>
      </c>
      <c r="I86" s="28">
        <f>SUM(I3:I85)</f>
        <v>55</v>
      </c>
      <c r="J86" s="28">
        <f>SUM(J3:J85)</f>
        <v>5</v>
      </c>
      <c r="K86" s="28">
        <f>SUM(K3:K85)</f>
        <v>0</v>
      </c>
    </row>
    <row r="87" spans="1:12" ht="15" thickTop="1" x14ac:dyDescent="0.3"/>
  </sheetData>
  <mergeCells count="1">
    <mergeCell ref="B2:C2"/>
  </mergeCells>
  <conditionalFormatting sqref="B85:C85 G4:K9 F10:K10 B9:C9 B43:D43 B53:C63 E31:F31 L10:L44 D27:D40 B30:C31 F51:K52 A4:A85 F12:K12 G11:K11 F14:K14 G13:K13 F16:K16 G15:K15 F18:K18 G17:K17 F25:K25 G19:K24 E29:E30 E40:F40 E32:E39 G27:K44 F63:K63 F75:K76 G68:K68 F81:K82 E43:F44 E41:E42 F85:K85 F83:F84">
    <cfRule type="expression" dxfId="101" priority="141">
      <formula>$F4="Fail"</formula>
    </cfRule>
  </conditionalFormatting>
  <conditionalFormatting sqref="A3:K3 D8:E9 D4:E5">
    <cfRule type="expression" dxfId="100" priority="140">
      <formula>$F3="Fail"</formula>
    </cfRule>
  </conditionalFormatting>
  <conditionalFormatting sqref="E26:K26 E27 E10:E25">
    <cfRule type="expression" dxfId="99" priority="139">
      <formula>$F10="Fail"</formula>
    </cfRule>
  </conditionalFormatting>
  <conditionalFormatting sqref="E28:F28">
    <cfRule type="expression" dxfId="98" priority="138">
      <formula>$F28="Fail"</formula>
    </cfRule>
  </conditionalFormatting>
  <conditionalFormatting sqref="D7:E7">
    <cfRule type="expression" dxfId="97" priority="137">
      <formula>$F7="Fail"</formula>
    </cfRule>
  </conditionalFormatting>
  <conditionalFormatting sqref="D6:E6">
    <cfRule type="expression" dxfId="96" priority="136">
      <formula>$F6="Fail"</formula>
    </cfRule>
  </conditionalFormatting>
  <conditionalFormatting sqref="F4">
    <cfRule type="expression" dxfId="95" priority="135">
      <formula>$F4="Fail"</formula>
    </cfRule>
  </conditionalFormatting>
  <conditionalFormatting sqref="L8:L9 L3:L5">
    <cfRule type="expression" dxfId="94" priority="134">
      <formula>$F3="Fail"</formula>
    </cfRule>
  </conditionalFormatting>
  <conditionalFormatting sqref="L7">
    <cfRule type="expression" dxfId="93" priority="133">
      <formula>$F7="Fail"</formula>
    </cfRule>
  </conditionalFormatting>
  <conditionalFormatting sqref="L6">
    <cfRule type="expression" dxfId="92" priority="132">
      <formula>$F6="Fail"</formula>
    </cfRule>
  </conditionalFormatting>
  <conditionalFormatting sqref="B8:C8 B75:C75">
    <cfRule type="expression" dxfId="91" priority="131">
      <formula>$F8="Fail"</formula>
    </cfRule>
  </conditionalFormatting>
  <conditionalFormatting sqref="B8:C8">
    <cfRule type="expression" dxfId="90" priority="130">
      <formula>$F8="Fail"</formula>
    </cfRule>
  </conditionalFormatting>
  <conditionalFormatting sqref="G86:K86">
    <cfRule type="expression" dxfId="89" priority="129">
      <formula>$F86="Fail"</formula>
    </cfRule>
  </conditionalFormatting>
  <conditionalFormatting sqref="C51">
    <cfRule type="expression" dxfId="88" priority="126">
      <formula>$F51="Fail"</formula>
    </cfRule>
  </conditionalFormatting>
  <conditionalFormatting sqref="C51">
    <cfRule type="expression" dxfId="87" priority="125">
      <formula>$F51="Fail"</formula>
    </cfRule>
  </conditionalFormatting>
  <conditionalFormatting sqref="C51">
    <cfRule type="expression" dxfId="86" priority="127">
      <formula>$F51="Fail"</formula>
    </cfRule>
  </conditionalFormatting>
  <conditionalFormatting sqref="B51:C51">
    <cfRule type="expression" dxfId="85" priority="128">
      <formula>$F51="Fail"</formula>
    </cfRule>
  </conditionalFormatting>
  <conditionalFormatting sqref="B65:C74 B64">
    <cfRule type="expression" dxfId="84" priority="124">
      <formula>$F64="Fail"</formula>
    </cfRule>
  </conditionalFormatting>
  <conditionalFormatting sqref="B74:C74">
    <cfRule type="expression" dxfId="83" priority="123">
      <formula>$F74="Fail"</formula>
    </cfRule>
  </conditionalFormatting>
  <conditionalFormatting sqref="C65:C73">
    <cfRule type="expression" dxfId="82" priority="122">
      <formula>$F65="Fail"</formula>
    </cfRule>
  </conditionalFormatting>
  <conditionalFormatting sqref="C62">
    <cfRule type="expression" dxfId="81" priority="121">
      <formula>$F62="Fail"</formula>
    </cfRule>
  </conditionalFormatting>
  <conditionalFormatting sqref="B52">
    <cfRule type="expression" dxfId="80" priority="120">
      <formula>$F52="Fail"</formula>
    </cfRule>
  </conditionalFormatting>
  <conditionalFormatting sqref="C52">
    <cfRule type="expression" dxfId="79" priority="119">
      <formula>$F52="Fail"</formula>
    </cfRule>
  </conditionalFormatting>
  <conditionalFormatting sqref="C85">
    <cfRule type="expression" dxfId="78" priority="118">
      <formula>$F85="Fail"</formula>
    </cfRule>
  </conditionalFormatting>
  <conditionalFormatting sqref="B82:D82">
    <cfRule type="expression" dxfId="77" priority="117">
      <formula>$F82="Fail"</formula>
    </cfRule>
  </conditionalFormatting>
  <conditionalFormatting sqref="F8">
    <cfRule type="expression" dxfId="76" priority="115">
      <formula>$F8="Fail"</formula>
    </cfRule>
  </conditionalFormatting>
  <conditionalFormatting sqref="D52">
    <cfRule type="expression" dxfId="75" priority="116">
      <formula>$F52="Fail"</formula>
    </cfRule>
  </conditionalFormatting>
  <conditionalFormatting sqref="D26">
    <cfRule type="expression" dxfId="74" priority="114">
      <formula>$F26="Fail"</formula>
    </cfRule>
  </conditionalFormatting>
  <conditionalFormatting sqref="D11">
    <cfRule type="expression" dxfId="73" priority="111">
      <formula>$F11="Fail"</formula>
    </cfRule>
  </conditionalFormatting>
  <conditionalFormatting sqref="B10:C10 B12:C20 B21">
    <cfRule type="expression" dxfId="72" priority="109">
      <formula>$F10="Fail"</formula>
    </cfRule>
  </conditionalFormatting>
  <conditionalFormatting sqref="C21">
    <cfRule type="expression" dxfId="71" priority="106">
      <formula>$F21="Fail"</formula>
    </cfRule>
  </conditionalFormatting>
  <conditionalFormatting sqref="C22">
    <cfRule type="expression" dxfId="70" priority="102">
      <formula>$F22="Fail"</formula>
    </cfRule>
  </conditionalFormatting>
  <conditionalFormatting sqref="D19:D24">
    <cfRule type="expression" dxfId="69" priority="113">
      <formula>$F19="Fail"</formula>
    </cfRule>
  </conditionalFormatting>
  <conditionalFormatting sqref="D18">
    <cfRule type="expression" dxfId="68" priority="112">
      <formula>$F18="Fail"</formula>
    </cfRule>
  </conditionalFormatting>
  <conditionalFormatting sqref="D12:D17">
    <cfRule type="expression" dxfId="67" priority="110">
      <formula>$F12="Fail"</formula>
    </cfRule>
  </conditionalFormatting>
  <conditionalFormatting sqref="B11">
    <cfRule type="expression" dxfId="66" priority="108">
      <formula>$F11="Fail"</formula>
    </cfRule>
  </conditionalFormatting>
  <conditionalFormatting sqref="C11">
    <cfRule type="expression" dxfId="65" priority="107">
      <formula>$F11="Fail"</formula>
    </cfRule>
  </conditionalFormatting>
  <conditionalFormatting sqref="D10">
    <cfRule type="expression" dxfId="64" priority="104">
      <formula>$F10="Fail"</formula>
    </cfRule>
  </conditionalFormatting>
  <conditionalFormatting sqref="B22">
    <cfRule type="expression" dxfId="63" priority="103">
      <formula>$F22="Fail"</formula>
    </cfRule>
  </conditionalFormatting>
  <conditionalFormatting sqref="B5:C7">
    <cfRule type="expression" dxfId="62" priority="99">
      <formula>$F5="Fail"</formula>
    </cfRule>
  </conditionalFormatting>
  <conditionalFormatting sqref="B4">
    <cfRule type="expression" dxfId="61" priority="98">
      <formula>$F4="Fail"</formula>
    </cfRule>
  </conditionalFormatting>
  <conditionalFormatting sqref="C64">
    <cfRule type="expression" dxfId="60" priority="88">
      <formula>$F64="Fail"</formula>
    </cfRule>
  </conditionalFormatting>
  <conditionalFormatting sqref="C64">
    <cfRule type="expression" dxfId="59" priority="86">
      <formula>$F64="Fail"</formula>
    </cfRule>
  </conditionalFormatting>
  <conditionalFormatting sqref="B40:C40">
    <cfRule type="expression" dxfId="58" priority="97">
      <formula>$F40="Fail"</formula>
    </cfRule>
  </conditionalFormatting>
  <conditionalFormatting sqref="C77:C81">
    <cfRule type="expression" dxfId="57" priority="94">
      <formula>$F77="Fail"</formula>
    </cfRule>
  </conditionalFormatting>
  <conditionalFormatting sqref="B76">
    <cfRule type="expression" dxfId="56" priority="93">
      <formula>$F76="Fail"</formula>
    </cfRule>
  </conditionalFormatting>
  <conditionalFormatting sqref="C76">
    <cfRule type="expression" dxfId="55" priority="92">
      <formula>$F76="Fail"</formula>
    </cfRule>
  </conditionalFormatting>
  <conditionalFormatting sqref="C80:C81">
    <cfRule type="expression" dxfId="54" priority="91">
      <formula>$F80="Fail"</formula>
    </cfRule>
  </conditionalFormatting>
  <conditionalFormatting sqref="C77:C81">
    <cfRule type="expression" dxfId="53" priority="95">
      <formula>$F77="Fail"</formula>
    </cfRule>
  </conditionalFormatting>
  <conditionalFormatting sqref="B77:C81">
    <cfRule type="expression" dxfId="52" priority="96">
      <formula>$F77="Fail"</formula>
    </cfRule>
  </conditionalFormatting>
  <conditionalFormatting sqref="D76">
    <cfRule type="expression" dxfId="51" priority="90">
      <formula>$F76="Fail"</formula>
    </cfRule>
  </conditionalFormatting>
  <conditionalFormatting sqref="C64">
    <cfRule type="expression" dxfId="50" priority="87">
      <formula>$F64="Fail"</formula>
    </cfRule>
  </conditionalFormatting>
  <conditionalFormatting sqref="B26">
    <cfRule type="expression" dxfId="49" priority="84">
      <formula>$F26="Fail"</formula>
    </cfRule>
  </conditionalFormatting>
  <conditionalFormatting sqref="B28:C28 B32:C34 B36:C38 B39">
    <cfRule type="expression" dxfId="48" priority="83">
      <formula>$F28="Fail"</formula>
    </cfRule>
  </conditionalFormatting>
  <conditionalFormatting sqref="C26">
    <cfRule type="expression" dxfId="47" priority="85">
      <formula>$F26="Fail"</formula>
    </cfRule>
  </conditionalFormatting>
  <conditionalFormatting sqref="B27:C27">
    <cfRule type="expression" dxfId="46" priority="82">
      <formula>$F27="Fail"</formula>
    </cfRule>
  </conditionalFormatting>
  <conditionalFormatting sqref="C29">
    <cfRule type="expression" dxfId="45" priority="81">
      <formula>$F29="Fail"</formula>
    </cfRule>
  </conditionalFormatting>
  <conditionalFormatting sqref="B35:C35">
    <cfRule type="expression" dxfId="44" priority="80">
      <formula>$F35="Fail"</formula>
    </cfRule>
  </conditionalFormatting>
  <conditionalFormatting sqref="C39">
    <cfRule type="expression" dxfId="43" priority="79">
      <formula>$F39="Fail"</formula>
    </cfRule>
  </conditionalFormatting>
  <conditionalFormatting sqref="B29">
    <cfRule type="expression" dxfId="42" priority="78">
      <formula>$F29="Fail"</formula>
    </cfRule>
  </conditionalFormatting>
  <conditionalFormatting sqref="B41:C42">
    <cfRule type="expression" dxfId="41" priority="77">
      <formula>$F41="Fail"</formula>
    </cfRule>
  </conditionalFormatting>
  <conditionalFormatting sqref="B41:C42">
    <cfRule type="expression" dxfId="40" priority="76">
      <formula>$F41="Fail"</formula>
    </cfRule>
  </conditionalFormatting>
  <conditionalFormatting sqref="D41:D42">
    <cfRule type="expression" dxfId="39" priority="75">
      <formula>$F41="Fail"</formula>
    </cfRule>
  </conditionalFormatting>
  <conditionalFormatting sqref="D41:D42">
    <cfRule type="expression" dxfId="38" priority="74">
      <formula>$F41="Fail"</formula>
    </cfRule>
  </conditionalFormatting>
  <conditionalFormatting sqref="C25">
    <cfRule type="expression" dxfId="37" priority="73">
      <formula>$F25="Fail"</formula>
    </cfRule>
  </conditionalFormatting>
  <conditionalFormatting sqref="C25">
    <cfRule type="expression" dxfId="36" priority="72">
      <formula>$F25="Fail"</formula>
    </cfRule>
  </conditionalFormatting>
  <conditionalFormatting sqref="B25">
    <cfRule type="expression" dxfId="35" priority="71">
      <formula>$F25="Fail"</formula>
    </cfRule>
  </conditionalFormatting>
  <conditionalFormatting sqref="B25">
    <cfRule type="expression" dxfId="34" priority="70">
      <formula>$F25="Fail"</formula>
    </cfRule>
  </conditionalFormatting>
  <conditionalFormatting sqref="B83:C83">
    <cfRule type="expression" dxfId="33" priority="47">
      <formula>$F83="Fail"</formula>
    </cfRule>
  </conditionalFormatting>
  <conditionalFormatting sqref="D83">
    <cfRule type="expression" dxfId="32" priority="46">
      <formula>$F83="Fail"</formula>
    </cfRule>
  </conditionalFormatting>
  <conditionalFormatting sqref="F22:F23">
    <cfRule type="expression" dxfId="31" priority="39">
      <formula>$F22="Fail"</formula>
    </cfRule>
  </conditionalFormatting>
  <conditionalFormatting sqref="F58:F59">
    <cfRule type="expression" dxfId="30" priority="33">
      <formula>$F58="Fail"</formula>
    </cfRule>
  </conditionalFormatting>
  <conditionalFormatting sqref="B84">
    <cfRule type="expression" dxfId="29" priority="29">
      <formula>$F84="Fail"</formula>
    </cfRule>
  </conditionalFormatting>
  <conditionalFormatting sqref="C84">
    <cfRule type="expression" dxfId="28" priority="28">
      <formula>$F84="Fail"</formula>
    </cfRule>
  </conditionalFormatting>
  <conditionalFormatting sqref="D84">
    <cfRule type="expression" dxfId="27" priority="27">
      <formula>$F84="Fail"</formula>
    </cfRule>
  </conditionalFormatting>
  <conditionalFormatting sqref="F19:F21 F17 F15 F13 F11 F9 F5:F7">
    <cfRule type="expression" dxfId="26" priority="26">
      <formula>$F5="Fail"</formula>
    </cfRule>
  </conditionalFormatting>
  <conditionalFormatting sqref="F24">
    <cfRule type="expression" dxfId="25" priority="25">
      <formula>$F24="Fail"</formula>
    </cfRule>
  </conditionalFormatting>
  <conditionalFormatting sqref="F32:F39 F29:F30 F27">
    <cfRule type="expression" dxfId="24" priority="24">
      <formula>$F27="Fail"</formula>
    </cfRule>
  </conditionalFormatting>
  <conditionalFormatting sqref="F41:F42">
    <cfRule type="expression" dxfId="23" priority="23">
      <formula>$F41="Fail"</formula>
    </cfRule>
  </conditionalFormatting>
  <conditionalFormatting sqref="F45:F47">
    <cfRule type="expression" dxfId="22" priority="22">
      <formula>$F45="Fail"</formula>
    </cfRule>
  </conditionalFormatting>
  <conditionalFormatting sqref="F48:F50">
    <cfRule type="expression" dxfId="21" priority="21">
      <formula>$F48="Fail"</formula>
    </cfRule>
  </conditionalFormatting>
  <conditionalFormatting sqref="F53:F57">
    <cfRule type="expression" dxfId="20" priority="20">
      <formula>$F53="Fail"</formula>
    </cfRule>
  </conditionalFormatting>
  <conditionalFormatting sqref="F60:F62">
    <cfRule type="expression" dxfId="19" priority="19">
      <formula>$F60="Fail"</formula>
    </cfRule>
  </conditionalFormatting>
  <conditionalFormatting sqref="F64:F74">
    <cfRule type="expression" dxfId="18" priority="18">
      <formula>$F64="Fail"</formula>
    </cfRule>
  </conditionalFormatting>
  <conditionalFormatting sqref="F77:F80">
    <cfRule type="expression" dxfId="17" priority="17">
      <formula>$F77="Fail"</formula>
    </cfRule>
  </conditionalFormatting>
  <conditionalFormatting sqref="G45:K50">
    <cfRule type="expression" dxfId="16" priority="16">
      <formula>$F45="Fail"</formula>
    </cfRule>
  </conditionalFormatting>
  <conditionalFormatting sqref="L45:L50">
    <cfRule type="expression" dxfId="15" priority="15">
      <formula>$F45="Fail"</formula>
    </cfRule>
  </conditionalFormatting>
  <conditionalFormatting sqref="G53:K62">
    <cfRule type="expression" dxfId="14" priority="14">
      <formula>$F53="Fail"</formula>
    </cfRule>
  </conditionalFormatting>
  <conditionalFormatting sqref="L53:L62">
    <cfRule type="expression" dxfId="13" priority="13">
      <formula>$F53="Fail"</formula>
    </cfRule>
  </conditionalFormatting>
  <conditionalFormatting sqref="G64:K67">
    <cfRule type="expression" dxfId="12" priority="12">
      <formula>$F64="Fail"</formula>
    </cfRule>
  </conditionalFormatting>
  <conditionalFormatting sqref="L64:L67">
    <cfRule type="expression" dxfId="11" priority="11">
      <formula>$F64="Fail"</formula>
    </cfRule>
  </conditionalFormatting>
  <conditionalFormatting sqref="G69:K74">
    <cfRule type="expression" dxfId="10" priority="10">
      <formula>$F69="Fail"</formula>
    </cfRule>
  </conditionalFormatting>
  <conditionalFormatting sqref="L69:L74">
    <cfRule type="expression" dxfId="9" priority="9">
      <formula>$F69="Fail"</formula>
    </cfRule>
  </conditionalFormatting>
  <conditionalFormatting sqref="G77:K80">
    <cfRule type="expression" dxfId="8" priority="8">
      <formula>$F77="Fail"</formula>
    </cfRule>
  </conditionalFormatting>
  <conditionalFormatting sqref="L77:L80">
    <cfRule type="expression" dxfId="7" priority="7">
      <formula>$F77="Fail"</formula>
    </cfRule>
  </conditionalFormatting>
  <conditionalFormatting sqref="G83:K84">
    <cfRule type="expression" dxfId="6" priority="6">
      <formula>$F83="Fail"</formula>
    </cfRule>
  </conditionalFormatting>
  <conditionalFormatting sqref="L83:L84">
    <cfRule type="expression" dxfId="5" priority="5">
      <formula>$F83="Fail"</formula>
    </cfRule>
  </conditionalFormatting>
  <conditionalFormatting sqref="B23">
    <cfRule type="expression" dxfId="4" priority="2">
      <formula>$F23="Fail"</formula>
    </cfRule>
  </conditionalFormatting>
  <conditionalFormatting sqref="B24:C24">
    <cfRule type="expression" dxfId="3" priority="3">
      <formula>$F24="Fail"</formula>
    </cfRule>
  </conditionalFormatting>
  <conditionalFormatting sqref="B23">
    <cfRule type="expression" dxfId="2" priority="1">
      <formula>$F23="Fail"</formula>
    </cfRule>
  </conditionalFormatting>
  <conditionalFormatting sqref="C23">
    <cfRule type="expression" dxfId="1" priority="4">
      <formula>$F22="Fail"</formula>
    </cfRule>
  </conditionalFormatting>
  <dataValidations count="1">
    <dataValidation type="list" allowBlank="1" showInputMessage="1" showErrorMessage="1" sqref="F3:F85">
      <formula1>$G$1:$K$1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2]!Button5_Click">
                <anchor moveWithCells="1">
                  <from>
                    <xdr:col>0</xdr:col>
                    <xdr:colOff>60960</xdr:colOff>
                    <xdr:row>0</xdr:row>
                    <xdr:rowOff>30480</xdr:rowOff>
                  </from>
                  <to>
                    <xdr:col>0</xdr:col>
                    <xdr:colOff>685800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78EC1B8D-D4AB-4F2F-9FD8-721D4085A5C2}">
            <xm:f>'\Users\E939818\Documents\_Project Documents\SVN TEST  team\_Sutuwa\Testing\Release 1\Stats\[SEB_InvestAdmin_Investment.xlsm]External'!#REF!="Fail"</xm:f>
            <x14:dxf>
              <font>
                <color rgb="FFFF0000"/>
              </font>
              <fill>
                <patternFill>
                  <bgColor theme="9" tint="0.59996337778862885"/>
                </patternFill>
              </fill>
            </x14:dxf>
          </x14:cfRule>
          <xm:sqref>B44:D50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Summary</vt:lpstr>
      <vt:lpstr>Repurchase Reversal - SCHE 5</vt:lpstr>
      <vt:lpstr>Repurchase Reversal - SCHE 6</vt:lpstr>
      <vt:lpstr>Chart1</vt:lpstr>
      <vt:lpstr>'Repurchase Reversal - SCHE 6'!_Ref176072345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Laurentia Jantjies (SEB)</cp:lastModifiedBy>
  <cp:lastPrinted>2014-08-13T15:13:50Z</cp:lastPrinted>
  <dcterms:created xsi:type="dcterms:W3CDTF">2014-07-31T09:50:05Z</dcterms:created>
  <dcterms:modified xsi:type="dcterms:W3CDTF">2014-12-04T09:32:03Z</dcterms:modified>
</cp:coreProperties>
</file>