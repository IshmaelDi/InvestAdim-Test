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989124\Desktop\Test Documents\Test Cases\Test Cases\"/>
    </mc:Choice>
  </mc:AlternateContent>
  <bookViews>
    <workbookView xWindow="120" yWindow="105" windowWidth="20370" windowHeight="8625" activeTab="1"/>
  </bookViews>
  <sheets>
    <sheet name="Summary" sheetId="3" r:id="rId1"/>
    <sheet name="Test Case" sheetId="2" r:id="rId2"/>
    <sheet name="2" sheetId="4" r:id="rId3"/>
    <sheet name="3" sheetId="5" r:id="rId4"/>
    <sheet name="4" sheetId="6" r:id="rId5"/>
    <sheet name="Sheet1" sheetId="7" r:id="rId6"/>
  </sheets>
  <externalReferences>
    <externalReference r:id="rId7"/>
  </externalReferences>
  <calcPr calcId="162913"/>
</workbook>
</file>

<file path=xl/calcChain.xml><?xml version="1.0" encoding="utf-8"?>
<calcChain xmlns="http://schemas.openxmlformats.org/spreadsheetml/2006/main">
  <c r="H65" i="2" l="1"/>
  <c r="I65" i="2"/>
  <c r="J65" i="2"/>
  <c r="K65" i="2"/>
  <c r="L65" i="2"/>
  <c r="F7" i="4" l="1"/>
  <c r="E7" i="4"/>
  <c r="F9" i="4"/>
  <c r="E9" i="4"/>
  <c r="F13" i="4"/>
  <c r="E13" i="4"/>
  <c r="F12" i="4"/>
  <c r="E12" i="4"/>
  <c r="F11" i="4"/>
  <c r="E11" i="4"/>
  <c r="F27" i="4"/>
  <c r="E27" i="4"/>
  <c r="F26" i="4"/>
  <c r="E26" i="4"/>
  <c r="F24" i="4"/>
  <c r="E24" i="4"/>
  <c r="F22" i="4"/>
  <c r="E22" i="4"/>
  <c r="F21" i="4"/>
  <c r="E21" i="4"/>
  <c r="F20" i="4"/>
  <c r="E20" i="4"/>
  <c r="F19" i="4"/>
  <c r="E19" i="4"/>
  <c r="F18" i="4"/>
  <c r="E18" i="4"/>
  <c r="F17" i="4"/>
  <c r="E17" i="4"/>
  <c r="F16" i="4"/>
  <c r="E16" i="4"/>
  <c r="E15" i="4"/>
  <c r="F15" i="4"/>
  <c r="L144" i="2" l="1"/>
  <c r="K144" i="2"/>
  <c r="J144" i="2"/>
  <c r="I144" i="2"/>
  <c r="H144" i="2"/>
  <c r="L143" i="2"/>
  <c r="K143" i="2"/>
  <c r="J143" i="2"/>
  <c r="I143" i="2"/>
  <c r="H143" i="2"/>
  <c r="L142" i="2"/>
  <c r="K142" i="2"/>
  <c r="J142" i="2"/>
  <c r="I142" i="2"/>
  <c r="H142" i="2"/>
  <c r="L141" i="2"/>
  <c r="K141" i="2"/>
  <c r="J141" i="2"/>
  <c r="I141" i="2"/>
  <c r="H141" i="2"/>
  <c r="L140" i="2"/>
  <c r="K140" i="2"/>
  <c r="J140" i="2"/>
  <c r="I140" i="2"/>
  <c r="H140" i="2"/>
  <c r="L137" i="2"/>
  <c r="K137" i="2"/>
  <c r="J137" i="2"/>
  <c r="I137" i="2"/>
  <c r="H137" i="2"/>
  <c r="L136" i="2"/>
  <c r="K136" i="2"/>
  <c r="J136" i="2"/>
  <c r="I136" i="2"/>
  <c r="H136" i="2"/>
  <c r="L135" i="2"/>
  <c r="K135" i="2"/>
  <c r="J135" i="2"/>
  <c r="I135" i="2"/>
  <c r="H135" i="2"/>
  <c r="L134" i="2"/>
  <c r="K134" i="2"/>
  <c r="J134" i="2"/>
  <c r="I134" i="2"/>
  <c r="H134" i="2"/>
  <c r="L133" i="2"/>
  <c r="K133" i="2"/>
  <c r="J133" i="2"/>
  <c r="I133" i="2"/>
  <c r="H133" i="2"/>
  <c r="L132" i="2"/>
  <c r="K132" i="2"/>
  <c r="J132" i="2"/>
  <c r="I132" i="2"/>
  <c r="H132" i="2"/>
  <c r="L129" i="2"/>
  <c r="K129" i="2"/>
  <c r="J129" i="2"/>
  <c r="I129" i="2"/>
  <c r="H129" i="2"/>
  <c r="L128" i="2"/>
  <c r="K128" i="2"/>
  <c r="J128" i="2"/>
  <c r="I128" i="2"/>
  <c r="H128" i="2"/>
  <c r="L127" i="2"/>
  <c r="K127" i="2"/>
  <c r="J127" i="2"/>
  <c r="I127" i="2"/>
  <c r="H127" i="2"/>
  <c r="L126" i="2"/>
  <c r="K126" i="2"/>
  <c r="J126" i="2"/>
  <c r="I126" i="2"/>
  <c r="H126" i="2"/>
  <c r="L125" i="2"/>
  <c r="K125" i="2"/>
  <c r="J125" i="2"/>
  <c r="I125" i="2"/>
  <c r="H125" i="2"/>
  <c r="L122" i="2"/>
  <c r="K122" i="2"/>
  <c r="J122" i="2"/>
  <c r="I122" i="2"/>
  <c r="H122" i="2"/>
  <c r="L121" i="2"/>
  <c r="K121" i="2"/>
  <c r="J121" i="2"/>
  <c r="I121" i="2"/>
  <c r="H121" i="2"/>
  <c r="L120" i="2"/>
  <c r="K120" i="2"/>
  <c r="J120" i="2"/>
  <c r="I120" i="2"/>
  <c r="H120" i="2"/>
  <c r="L119" i="2"/>
  <c r="K119" i="2"/>
  <c r="J119" i="2"/>
  <c r="I119" i="2"/>
  <c r="H119" i="2"/>
  <c r="L118" i="2"/>
  <c r="K118" i="2"/>
  <c r="J118" i="2"/>
  <c r="I118" i="2"/>
  <c r="H118" i="2"/>
  <c r="L117" i="2"/>
  <c r="K117" i="2"/>
  <c r="J117" i="2"/>
  <c r="I117" i="2"/>
  <c r="H117" i="2"/>
  <c r="L116" i="2"/>
  <c r="K116" i="2"/>
  <c r="J116" i="2"/>
  <c r="I116" i="2"/>
  <c r="H116" i="2"/>
  <c r="L115" i="2"/>
  <c r="K115" i="2"/>
  <c r="J115" i="2"/>
  <c r="I115" i="2"/>
  <c r="H115" i="2"/>
  <c r="L112" i="2"/>
  <c r="K112" i="2"/>
  <c r="J112" i="2"/>
  <c r="I112" i="2"/>
  <c r="H112" i="2"/>
  <c r="L111" i="2"/>
  <c r="K111" i="2"/>
  <c r="J111" i="2"/>
  <c r="I111" i="2"/>
  <c r="H111" i="2"/>
  <c r="L110" i="2"/>
  <c r="K110" i="2"/>
  <c r="J110" i="2"/>
  <c r="I110" i="2"/>
  <c r="H110" i="2"/>
  <c r="L109" i="2"/>
  <c r="K109" i="2"/>
  <c r="J109" i="2"/>
  <c r="I109" i="2"/>
  <c r="H109" i="2"/>
  <c r="L108" i="2"/>
  <c r="K108" i="2"/>
  <c r="J108" i="2"/>
  <c r="I108" i="2"/>
  <c r="H108" i="2"/>
  <c r="L107" i="2"/>
  <c r="K107" i="2"/>
  <c r="J107" i="2"/>
  <c r="I107" i="2"/>
  <c r="H107" i="2"/>
  <c r="L106" i="2"/>
  <c r="K106" i="2"/>
  <c r="J106" i="2"/>
  <c r="I106" i="2"/>
  <c r="H106" i="2"/>
  <c r="L105" i="2"/>
  <c r="K105" i="2"/>
  <c r="J105" i="2"/>
  <c r="I105" i="2"/>
  <c r="H105" i="2"/>
  <c r="L104" i="2"/>
  <c r="K104" i="2"/>
  <c r="J104" i="2"/>
  <c r="I104" i="2"/>
  <c r="H104" i="2"/>
  <c r="L103" i="2"/>
  <c r="K103" i="2"/>
  <c r="J103" i="2"/>
  <c r="I103" i="2"/>
  <c r="H103" i="2"/>
  <c r="L102" i="2"/>
  <c r="K102" i="2"/>
  <c r="J102" i="2"/>
  <c r="I102" i="2"/>
  <c r="H102" i="2"/>
  <c r="L101" i="2"/>
  <c r="K101" i="2"/>
  <c r="J101" i="2"/>
  <c r="I101" i="2"/>
  <c r="H101" i="2"/>
  <c r="L100" i="2"/>
  <c r="K100" i="2"/>
  <c r="J100" i="2"/>
  <c r="I100" i="2"/>
  <c r="H100" i="2"/>
  <c r="L99" i="2"/>
  <c r="K99" i="2"/>
  <c r="J99" i="2"/>
  <c r="I99" i="2"/>
  <c r="H99" i="2"/>
  <c r="L98" i="2"/>
  <c r="K98" i="2"/>
  <c r="J98" i="2"/>
  <c r="I98" i="2"/>
  <c r="H98" i="2"/>
  <c r="L97" i="2"/>
  <c r="K97" i="2"/>
  <c r="J97" i="2"/>
  <c r="I97" i="2"/>
  <c r="H97" i="2"/>
  <c r="L96" i="2"/>
  <c r="K96" i="2"/>
  <c r="J96" i="2"/>
  <c r="I96" i="2"/>
  <c r="H96" i="2"/>
  <c r="L95" i="2"/>
  <c r="K95" i="2"/>
  <c r="J95" i="2"/>
  <c r="I95" i="2"/>
  <c r="H95" i="2"/>
  <c r="L94" i="2"/>
  <c r="K94" i="2"/>
  <c r="J94" i="2"/>
  <c r="I94" i="2"/>
  <c r="H94" i="2"/>
  <c r="L93" i="2"/>
  <c r="K93" i="2"/>
  <c r="J93" i="2"/>
  <c r="I93" i="2"/>
  <c r="H93" i="2"/>
  <c r="L92" i="2"/>
  <c r="K92" i="2"/>
  <c r="J92" i="2"/>
  <c r="I92" i="2"/>
  <c r="H92" i="2"/>
  <c r="L91" i="2"/>
  <c r="K91" i="2"/>
  <c r="J91" i="2"/>
  <c r="I91" i="2"/>
  <c r="H91" i="2"/>
  <c r="L90" i="2"/>
  <c r="K90" i="2"/>
  <c r="J90" i="2"/>
  <c r="I90" i="2"/>
  <c r="H90" i="2"/>
  <c r="L89" i="2"/>
  <c r="K89" i="2"/>
  <c r="J89" i="2"/>
  <c r="I89" i="2"/>
  <c r="H89" i="2"/>
  <c r="L88" i="2"/>
  <c r="K88" i="2"/>
  <c r="J88" i="2"/>
  <c r="I88" i="2"/>
  <c r="H88" i="2"/>
  <c r="L87" i="2"/>
  <c r="K87" i="2"/>
  <c r="J87" i="2"/>
  <c r="I87" i="2"/>
  <c r="H87" i="2"/>
  <c r="L86" i="2"/>
  <c r="K86" i="2"/>
  <c r="J86" i="2"/>
  <c r="I86" i="2"/>
  <c r="H86" i="2"/>
  <c r="L85" i="2"/>
  <c r="K85" i="2"/>
  <c r="J85" i="2"/>
  <c r="I85" i="2"/>
  <c r="H85" i="2"/>
  <c r="L84" i="2"/>
  <c r="K84" i="2"/>
  <c r="J84" i="2"/>
  <c r="I84" i="2"/>
  <c r="H84" i="2"/>
  <c r="L83" i="2"/>
  <c r="K83" i="2"/>
  <c r="J83" i="2"/>
  <c r="I83" i="2"/>
  <c r="H83" i="2"/>
  <c r="L82" i="2"/>
  <c r="K82" i="2"/>
  <c r="J82" i="2"/>
  <c r="I82" i="2"/>
  <c r="H82" i="2"/>
  <c r="L81" i="2"/>
  <c r="K81" i="2"/>
  <c r="J81" i="2"/>
  <c r="I81" i="2"/>
  <c r="H81" i="2"/>
  <c r="L80" i="2"/>
  <c r="K80" i="2"/>
  <c r="J80" i="2"/>
  <c r="I80" i="2"/>
  <c r="H80" i="2"/>
  <c r="L79" i="2"/>
  <c r="K79" i="2"/>
  <c r="J79" i="2"/>
  <c r="I79" i="2"/>
  <c r="H79" i="2"/>
  <c r="L78" i="2"/>
  <c r="K78" i="2"/>
  <c r="J78" i="2"/>
  <c r="I78" i="2"/>
  <c r="H78" i="2"/>
  <c r="L77" i="2"/>
  <c r="K77" i="2"/>
  <c r="J77" i="2"/>
  <c r="I77" i="2"/>
  <c r="H77" i="2"/>
  <c r="L76" i="2"/>
  <c r="K76" i="2"/>
  <c r="J76" i="2"/>
  <c r="I76" i="2"/>
  <c r="H76" i="2"/>
  <c r="L75" i="2"/>
  <c r="K75" i="2"/>
  <c r="J75" i="2"/>
  <c r="I75" i="2"/>
  <c r="H75" i="2"/>
  <c r="A140" i="2"/>
  <c r="A141" i="2" s="1"/>
  <c r="A142" i="2" s="1"/>
  <c r="A143" i="2" s="1"/>
  <c r="A144" i="2" s="1"/>
  <c r="L57" i="2"/>
  <c r="K57" i="2"/>
  <c r="J57" i="2"/>
  <c r="I57" i="2"/>
  <c r="H57" i="2"/>
  <c r="L56" i="2"/>
  <c r="K56" i="2"/>
  <c r="J56" i="2"/>
  <c r="I56" i="2"/>
  <c r="H56" i="2"/>
  <c r="L55" i="2"/>
  <c r="K55" i="2"/>
  <c r="J55" i="2"/>
  <c r="I55" i="2"/>
  <c r="H55" i="2"/>
  <c r="L54" i="2"/>
  <c r="K54" i="2"/>
  <c r="J54" i="2"/>
  <c r="I54" i="2"/>
  <c r="H54" i="2"/>
  <c r="L53" i="2"/>
  <c r="K53" i="2"/>
  <c r="J53" i="2"/>
  <c r="I53" i="2"/>
  <c r="H53" i="2"/>
  <c r="A53" i="2"/>
  <c r="A54" i="2" s="1"/>
  <c r="A55" i="2" s="1"/>
  <c r="A56" i="2" s="1"/>
  <c r="A57" i="2" s="1"/>
  <c r="A132" i="2" l="1"/>
  <c r="A133" i="2" s="1"/>
  <c r="A134" i="2" s="1"/>
  <c r="A135" i="2" s="1"/>
  <c r="A136" i="2" s="1"/>
  <c r="A137" i="2" s="1"/>
  <c r="A125" i="2"/>
  <c r="A126" i="2" s="1"/>
  <c r="A127" i="2" s="1"/>
  <c r="A128" i="2" s="1"/>
  <c r="A129" i="2" s="1"/>
  <c r="A115" i="2"/>
  <c r="A116" i="2" s="1"/>
  <c r="A117" i="2" s="1"/>
  <c r="A118" i="2" s="1"/>
  <c r="A119" i="2" s="1"/>
  <c r="A120" i="2" s="1"/>
  <c r="A121" i="2" s="1"/>
  <c r="A122" i="2" s="1"/>
  <c r="A75" i="2"/>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L64" i="2"/>
  <c r="K64" i="2"/>
  <c r="J64" i="2"/>
  <c r="I64" i="2"/>
  <c r="H64" i="2"/>
  <c r="L63" i="2"/>
  <c r="K63" i="2"/>
  <c r="J63" i="2"/>
  <c r="I63" i="2"/>
  <c r="H63" i="2"/>
  <c r="L62" i="2"/>
  <c r="K62" i="2"/>
  <c r="J62" i="2"/>
  <c r="I62" i="2"/>
  <c r="H62" i="2"/>
  <c r="L61" i="2"/>
  <c r="K61" i="2"/>
  <c r="J61" i="2"/>
  <c r="I61" i="2"/>
  <c r="H61" i="2"/>
  <c r="L60" i="2"/>
  <c r="K60" i="2"/>
  <c r="J60" i="2"/>
  <c r="I60" i="2"/>
  <c r="H60" i="2"/>
  <c r="L50" i="2"/>
  <c r="K50" i="2"/>
  <c r="J50" i="2"/>
  <c r="I50" i="2"/>
  <c r="H50" i="2"/>
  <c r="L49" i="2"/>
  <c r="K49" i="2"/>
  <c r="J49" i="2"/>
  <c r="I49" i="2"/>
  <c r="H49" i="2"/>
  <c r="L48" i="2"/>
  <c r="K48" i="2"/>
  <c r="J48" i="2"/>
  <c r="I48" i="2"/>
  <c r="H48" i="2"/>
  <c r="L47" i="2"/>
  <c r="K47" i="2"/>
  <c r="J47" i="2"/>
  <c r="I47" i="2"/>
  <c r="H47" i="2"/>
  <c r="L46" i="2"/>
  <c r="K46" i="2"/>
  <c r="J46" i="2"/>
  <c r="I46" i="2"/>
  <c r="H46" i="2"/>
  <c r="L45" i="2"/>
  <c r="K45" i="2"/>
  <c r="J45" i="2"/>
  <c r="I45" i="2"/>
  <c r="H45" i="2"/>
  <c r="L44" i="2"/>
  <c r="K44" i="2"/>
  <c r="J44" i="2"/>
  <c r="I44" i="2"/>
  <c r="H44" i="2"/>
  <c r="L43" i="2"/>
  <c r="K43" i="2"/>
  <c r="J43" i="2"/>
  <c r="I43" i="2"/>
  <c r="H43" i="2"/>
  <c r="L40" i="2"/>
  <c r="K40" i="2"/>
  <c r="J40" i="2"/>
  <c r="I40" i="2"/>
  <c r="H40" i="2"/>
  <c r="L39" i="2"/>
  <c r="K39" i="2"/>
  <c r="J39" i="2"/>
  <c r="I39" i="2"/>
  <c r="H39" i="2"/>
  <c r="L38" i="2"/>
  <c r="K38" i="2"/>
  <c r="J38" i="2"/>
  <c r="I38" i="2"/>
  <c r="H38" i="2"/>
  <c r="L37" i="2"/>
  <c r="K37" i="2"/>
  <c r="J37" i="2"/>
  <c r="I37" i="2"/>
  <c r="H37" i="2"/>
  <c r="L36" i="2"/>
  <c r="K36" i="2"/>
  <c r="J36" i="2"/>
  <c r="I36" i="2"/>
  <c r="H36" i="2"/>
  <c r="L35" i="2"/>
  <c r="K35" i="2"/>
  <c r="J35" i="2"/>
  <c r="I35" i="2"/>
  <c r="H35" i="2"/>
  <c r="L34" i="2"/>
  <c r="K34" i="2"/>
  <c r="J34" i="2"/>
  <c r="I34" i="2"/>
  <c r="H34" i="2"/>
  <c r="L33" i="2"/>
  <c r="K33" i="2"/>
  <c r="J33" i="2"/>
  <c r="I33" i="2"/>
  <c r="H33" i="2"/>
  <c r="L32" i="2"/>
  <c r="K32" i="2"/>
  <c r="J32" i="2"/>
  <c r="I32" i="2"/>
  <c r="H32" i="2"/>
  <c r="L31" i="2"/>
  <c r="K31" i="2"/>
  <c r="J31" i="2"/>
  <c r="I31" i="2"/>
  <c r="H31" i="2"/>
  <c r="L30" i="2"/>
  <c r="K30" i="2"/>
  <c r="J30" i="2"/>
  <c r="I30" i="2"/>
  <c r="H30" i="2"/>
  <c r="L29" i="2"/>
  <c r="K29" i="2"/>
  <c r="J29" i="2"/>
  <c r="I29" i="2"/>
  <c r="H29" i="2"/>
  <c r="L28" i="2"/>
  <c r="K28" i="2"/>
  <c r="J28" i="2"/>
  <c r="I28" i="2"/>
  <c r="H28" i="2"/>
  <c r="L27" i="2"/>
  <c r="K27" i="2"/>
  <c r="J27" i="2"/>
  <c r="I27" i="2"/>
  <c r="H27" i="2"/>
  <c r="L26" i="2"/>
  <c r="K26" i="2"/>
  <c r="J26" i="2"/>
  <c r="I26" i="2"/>
  <c r="H26" i="2"/>
  <c r="L25" i="2"/>
  <c r="K25" i="2"/>
  <c r="J25" i="2"/>
  <c r="I25" i="2"/>
  <c r="H25" i="2"/>
  <c r="L24" i="2"/>
  <c r="K24" i="2"/>
  <c r="J24" i="2"/>
  <c r="I24" i="2"/>
  <c r="H24" i="2"/>
  <c r="L23" i="2"/>
  <c r="K23" i="2"/>
  <c r="J23" i="2"/>
  <c r="I23" i="2"/>
  <c r="H23" i="2"/>
  <c r="L22" i="2"/>
  <c r="K22" i="2"/>
  <c r="J22" i="2"/>
  <c r="I22" i="2"/>
  <c r="H22" i="2"/>
  <c r="L21" i="2"/>
  <c r="K21" i="2"/>
  <c r="J21" i="2"/>
  <c r="I21" i="2"/>
  <c r="H21" i="2"/>
  <c r="L20" i="2"/>
  <c r="K20" i="2"/>
  <c r="J20" i="2"/>
  <c r="I20" i="2"/>
  <c r="H20" i="2"/>
  <c r="L19" i="2"/>
  <c r="K19" i="2"/>
  <c r="J19" i="2"/>
  <c r="I19" i="2"/>
  <c r="H19" i="2"/>
  <c r="L18" i="2"/>
  <c r="K18" i="2"/>
  <c r="J18" i="2"/>
  <c r="I18" i="2"/>
  <c r="H18" i="2"/>
  <c r="L17" i="2"/>
  <c r="K17" i="2"/>
  <c r="J17" i="2"/>
  <c r="I17" i="2"/>
  <c r="H17" i="2"/>
  <c r="L16" i="2"/>
  <c r="K16" i="2"/>
  <c r="J16" i="2"/>
  <c r="I16" i="2"/>
  <c r="H16" i="2"/>
  <c r="L15" i="2"/>
  <c r="K15" i="2"/>
  <c r="J15" i="2"/>
  <c r="I15" i="2"/>
  <c r="H15" i="2"/>
  <c r="L14" i="2"/>
  <c r="K14" i="2"/>
  <c r="J14" i="2"/>
  <c r="I14" i="2"/>
  <c r="H14" i="2"/>
  <c r="L13" i="2"/>
  <c r="K13" i="2"/>
  <c r="J13" i="2"/>
  <c r="I13" i="2"/>
  <c r="H13" i="2"/>
  <c r="L12" i="2"/>
  <c r="K12" i="2"/>
  <c r="J12" i="2"/>
  <c r="I12" i="2"/>
  <c r="H12" i="2"/>
  <c r="L11" i="2"/>
  <c r="K11" i="2"/>
  <c r="J11" i="2"/>
  <c r="I11" i="2"/>
  <c r="H11" i="2"/>
  <c r="L10" i="2"/>
  <c r="K10" i="2"/>
  <c r="J10" i="2"/>
  <c r="I10" i="2"/>
  <c r="H10" i="2"/>
  <c r="L9" i="2"/>
  <c r="K9" i="2"/>
  <c r="J9" i="2"/>
  <c r="I9" i="2"/>
  <c r="H9" i="2"/>
  <c r="L8" i="2"/>
  <c r="K8" i="2"/>
  <c r="J8" i="2"/>
  <c r="I8" i="2"/>
  <c r="H8" i="2"/>
  <c r="L7" i="2"/>
  <c r="K7" i="2"/>
  <c r="J7" i="2"/>
  <c r="I7" i="2"/>
  <c r="H7" i="2"/>
  <c r="L6" i="2"/>
  <c r="K6" i="2"/>
  <c r="J6" i="2"/>
  <c r="I6" i="2"/>
  <c r="H6" i="2"/>
  <c r="L5" i="2"/>
  <c r="K5" i="2"/>
  <c r="J5" i="2"/>
  <c r="I5" i="2"/>
  <c r="H5" i="2"/>
  <c r="L4" i="2"/>
  <c r="K4" i="2"/>
  <c r="J4" i="2"/>
  <c r="I4" i="2"/>
  <c r="H4" i="2"/>
  <c r="A60" i="2"/>
  <c r="A61" i="2" s="1"/>
  <c r="A62" i="2" s="1"/>
  <c r="A63" i="2" s="1"/>
  <c r="A64" i="2" s="1"/>
  <c r="L71" i="2"/>
  <c r="K71" i="2"/>
  <c r="J71" i="2"/>
  <c r="I71" i="2"/>
  <c r="H71" i="2"/>
  <c r="L70" i="2"/>
  <c r="K70" i="2"/>
  <c r="J70" i="2"/>
  <c r="I70" i="2"/>
  <c r="H70" i="2"/>
  <c r="L69" i="2"/>
  <c r="K69" i="2"/>
  <c r="J69" i="2"/>
  <c r="I69" i="2"/>
  <c r="H69" i="2"/>
  <c r="L68" i="2"/>
  <c r="K68" i="2"/>
  <c r="J68" i="2"/>
  <c r="I68" i="2"/>
  <c r="H68" i="2"/>
  <c r="L67" i="2"/>
  <c r="K67" i="2"/>
  <c r="J67" i="2"/>
  <c r="I67" i="2"/>
  <c r="H67" i="2"/>
  <c r="A67" i="2"/>
  <c r="A68" i="2" s="1"/>
  <c r="A69" i="2" s="1"/>
  <c r="A70" i="2" s="1"/>
  <c r="A71" i="2" s="1"/>
  <c r="A43" i="2"/>
  <c r="A44" i="2" s="1"/>
  <c r="A45" i="2" s="1"/>
  <c r="A46" i="2" s="1"/>
  <c r="A47" i="2" s="1"/>
  <c r="A48" i="2" s="1"/>
  <c r="A49" i="2" s="1"/>
  <c r="A50" i="2" s="1"/>
  <c r="A3" i="2"/>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L3" i="2"/>
  <c r="K3" i="2"/>
  <c r="J3" i="2"/>
  <c r="I3" i="2"/>
  <c r="H3" i="2"/>
  <c r="I148" i="2" l="1"/>
  <c r="J148" i="2"/>
  <c r="K148" i="2"/>
  <c r="H148" i="2"/>
  <c r="L148" i="2"/>
  <c r="K5" i="4"/>
  <c r="J5" i="4"/>
  <c r="I5" i="4"/>
  <c r="H5" i="4"/>
  <c r="G5" i="4"/>
  <c r="K4" i="4"/>
  <c r="J4" i="4"/>
  <c r="I4" i="4"/>
  <c r="H4" i="4"/>
  <c r="G4" i="4"/>
  <c r="K3" i="4"/>
  <c r="J3" i="4"/>
  <c r="I3" i="4"/>
  <c r="H3" i="4"/>
  <c r="G3" i="4"/>
  <c r="K7" i="4"/>
  <c r="J7" i="4"/>
  <c r="I7" i="4"/>
  <c r="H7" i="4"/>
  <c r="G7" i="4"/>
  <c r="K9" i="4"/>
  <c r="J9" i="4"/>
  <c r="I9" i="4"/>
  <c r="H9" i="4"/>
  <c r="G9" i="4"/>
  <c r="K13" i="4"/>
  <c r="J13" i="4"/>
  <c r="I13" i="4"/>
  <c r="H13" i="4"/>
  <c r="G13" i="4"/>
  <c r="K12" i="4"/>
  <c r="J12" i="4"/>
  <c r="I12" i="4"/>
  <c r="H12" i="4"/>
  <c r="G12" i="4"/>
  <c r="K11" i="4"/>
  <c r="J11" i="4"/>
  <c r="I11" i="4"/>
  <c r="H11" i="4"/>
  <c r="G11" i="4"/>
  <c r="K22" i="4"/>
  <c r="J22" i="4"/>
  <c r="I22" i="4"/>
  <c r="H22" i="4"/>
  <c r="G22" i="4"/>
  <c r="K21" i="4"/>
  <c r="J21" i="4"/>
  <c r="I21" i="4"/>
  <c r="H21" i="4"/>
  <c r="G21" i="4"/>
  <c r="K20" i="4"/>
  <c r="J20" i="4"/>
  <c r="I20" i="4"/>
  <c r="H20" i="4"/>
  <c r="G20" i="4"/>
  <c r="K19" i="4"/>
  <c r="J19" i="4"/>
  <c r="I19" i="4"/>
  <c r="H19" i="4"/>
  <c r="G19" i="4"/>
  <c r="K18" i="4"/>
  <c r="J18" i="4"/>
  <c r="I18" i="4"/>
  <c r="H18" i="4"/>
  <c r="G18" i="4"/>
  <c r="K17" i="4"/>
  <c r="J17" i="4"/>
  <c r="I17" i="4"/>
  <c r="H17" i="4"/>
  <c r="G17" i="4"/>
  <c r="K16" i="4"/>
  <c r="J16" i="4"/>
  <c r="I16" i="4"/>
  <c r="H16" i="4"/>
  <c r="G16" i="4"/>
  <c r="K15" i="4"/>
  <c r="J15" i="4"/>
  <c r="I15" i="4"/>
  <c r="H15" i="4"/>
  <c r="G15" i="4"/>
  <c r="K24" i="4"/>
  <c r="J24" i="4"/>
  <c r="I24" i="4"/>
  <c r="H24" i="4"/>
  <c r="G24" i="4"/>
  <c r="K26" i="4"/>
  <c r="J26" i="4"/>
  <c r="I26" i="4"/>
  <c r="H26" i="4"/>
  <c r="G26" i="4"/>
  <c r="K27" i="4"/>
  <c r="J27" i="4"/>
  <c r="I27" i="4"/>
  <c r="H27" i="4"/>
  <c r="G27" i="4"/>
  <c r="A26" i="4"/>
  <c r="A11" i="4"/>
  <c r="K6" i="5" l="1"/>
  <c r="J6" i="5"/>
  <c r="I6" i="5"/>
  <c r="H6" i="5"/>
  <c r="G6" i="5"/>
  <c r="K5" i="5"/>
  <c r="J5" i="5"/>
  <c r="I5" i="5"/>
  <c r="H5" i="5"/>
  <c r="G5" i="5"/>
  <c r="K4" i="5"/>
  <c r="J4" i="5"/>
  <c r="I4" i="5"/>
  <c r="H4" i="5"/>
  <c r="G4" i="5"/>
  <c r="K3" i="5"/>
  <c r="J3" i="5"/>
  <c r="I3" i="5"/>
  <c r="H3" i="5"/>
  <c r="G3" i="5"/>
  <c r="K30" i="4" l="1"/>
  <c r="J30" i="4"/>
  <c r="I30" i="4"/>
  <c r="H30" i="4"/>
  <c r="G30" i="4"/>
  <c r="H55" i="6"/>
  <c r="A10" i="6"/>
  <c r="A11" i="6" s="1"/>
  <c r="A13" i="6" s="1"/>
  <c r="A4" i="6"/>
  <c r="A5" i="6" s="1"/>
  <c r="A6" i="6" s="1"/>
  <c r="A7" i="6" s="1"/>
  <c r="A8" i="6" s="1"/>
  <c r="K55" i="6"/>
  <c r="J55" i="6"/>
  <c r="I55" i="6"/>
  <c r="G55" i="6"/>
  <c r="H7" i="5"/>
  <c r="A4" i="5"/>
  <c r="A5" i="5" s="1"/>
  <c r="A6" i="5" s="1"/>
  <c r="K7" i="5"/>
  <c r="J7" i="5"/>
  <c r="I7" i="5"/>
  <c r="G7" i="5"/>
  <c r="K28" i="4"/>
  <c r="J28" i="4"/>
  <c r="I28" i="4"/>
  <c r="H28" i="4"/>
  <c r="G28" i="4"/>
  <c r="A12" i="4"/>
  <c r="A13" i="4" s="1"/>
  <c r="A15" i="4" s="1"/>
  <c r="A16" i="4" s="1"/>
  <c r="A17" i="4" s="1"/>
  <c r="A7" i="4"/>
  <c r="A4" i="4"/>
  <c r="A5" i="4" s="1"/>
  <c r="A18" i="4" l="1"/>
  <c r="A19" i="4" s="1"/>
  <c r="A20" i="4" s="1"/>
  <c r="A21" i="4" s="1"/>
  <c r="A22" i="4" s="1"/>
  <c r="A24" i="4" s="1"/>
  <c r="A27" i="4" s="1"/>
  <c r="A12" i="6"/>
  <c r="A14" i="6"/>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9" i="4"/>
  <c r="C3" i="3" l="1"/>
  <c r="D3" i="3" l="1"/>
  <c r="E3" i="3" l="1"/>
  <c r="H3" i="3" s="1"/>
  <c r="F3" i="3" l="1"/>
  <c r="G3" i="3" l="1"/>
</calcChain>
</file>

<file path=xl/sharedStrings.xml><?xml version="1.0" encoding="utf-8"?>
<sst xmlns="http://schemas.openxmlformats.org/spreadsheetml/2006/main" count="466" uniqueCount="177">
  <si>
    <t>Correct Y / N</t>
  </si>
  <si>
    <t>Test Case</t>
  </si>
  <si>
    <t>Expected Results</t>
  </si>
  <si>
    <t>Bug  ID</t>
  </si>
  <si>
    <t>Notes</t>
  </si>
  <si>
    <t>Pass</t>
  </si>
  <si>
    <t>Fail</t>
  </si>
  <si>
    <t>N/A</t>
  </si>
  <si>
    <t>Not Now</t>
  </si>
  <si>
    <t>To be Tested</t>
  </si>
  <si>
    <t>TOTAL</t>
  </si>
  <si>
    <t>Input data / Action / Field Name</t>
  </si>
  <si>
    <t>Data Dictionary</t>
  </si>
  <si>
    <t>Manage Bank Account</t>
  </si>
  <si>
    <t>Bank Deposit downloads</t>
  </si>
  <si>
    <t>Manage deposit number (GA243/GN022)</t>
  </si>
  <si>
    <t>Manage Balance - Cashflow</t>
  </si>
  <si>
    <t>Refer - Investment Process</t>
  </si>
  <si>
    <t>Import Prices from CURO</t>
  </si>
  <si>
    <r>
      <rPr>
        <b/>
        <sz val="10"/>
        <rFont val="Arial"/>
        <family val="2"/>
      </rPr>
      <t>Batch Runs</t>
    </r>
    <r>
      <rPr>
        <b/>
        <sz val="10"/>
        <color theme="0"/>
        <rFont val="Arial"/>
        <family val="2"/>
      </rPr>
      <t xml:space="preserve">  - Daily - 18h00 - 21h00</t>
    </r>
  </si>
  <si>
    <t>Validate and upload prices</t>
  </si>
  <si>
    <t xml:space="preserve">Batch Runs kicks off </t>
  </si>
  <si>
    <t>File to multidata</t>
  </si>
  <si>
    <t>File created for multidata</t>
  </si>
  <si>
    <t>File created successfully</t>
  </si>
  <si>
    <t>Interface to Walker</t>
  </si>
  <si>
    <t>Transactions interface to Walker</t>
  </si>
  <si>
    <t>Walker entries created in Walker file</t>
  </si>
  <si>
    <t>Price (apply) transaction successful</t>
  </si>
  <si>
    <t>Reports</t>
  </si>
  <si>
    <t>Walker unprocced / error report</t>
  </si>
  <si>
    <t>Checked before 12pm the next day</t>
  </si>
  <si>
    <t>Control Report - Acceptance and Rejection Reports</t>
  </si>
  <si>
    <t>Multidata Payment - Acceptance and Rejection Reports</t>
  </si>
  <si>
    <r>
      <rPr>
        <b/>
        <sz val="10"/>
        <rFont val="Arial"/>
        <family val="2"/>
      </rPr>
      <t>Batch Runs</t>
    </r>
    <r>
      <rPr>
        <b/>
        <sz val="10"/>
        <color theme="0"/>
        <rFont val="Arial"/>
        <family val="2"/>
      </rPr>
      <t xml:space="preserve">  - Monthly - Last working Day of the month</t>
    </r>
  </si>
  <si>
    <t>Exclusive Fee Batch run</t>
  </si>
  <si>
    <t>Calculate Fees</t>
  </si>
  <si>
    <t>Record and Process disinvestments</t>
  </si>
  <si>
    <t>Generate reports</t>
  </si>
  <si>
    <t>Calculate Bonus &amp; Fees</t>
  </si>
  <si>
    <t>Generate reports Book Value transaction</t>
  </si>
  <si>
    <t>Smoothed Bonus Guarantee fee Batch Run</t>
  </si>
  <si>
    <t>Portfolio level</t>
  </si>
  <si>
    <t>Smoothed Bonus and Fees Batch Run</t>
  </si>
  <si>
    <t>Run on 31 December</t>
  </si>
  <si>
    <r>
      <rPr>
        <b/>
        <sz val="10"/>
        <rFont val="Arial"/>
        <family val="2"/>
      </rPr>
      <t>Batch Runs</t>
    </r>
    <r>
      <rPr>
        <b/>
        <sz val="10"/>
        <color theme="0"/>
        <rFont val="Arial"/>
        <family val="2"/>
      </rPr>
      <t xml:space="preserve">  - Annually 31 December</t>
    </r>
  </si>
  <si>
    <r>
      <rPr>
        <b/>
        <sz val="10"/>
        <rFont val="Arial"/>
        <family val="2"/>
      </rPr>
      <t>Batch Runs</t>
    </r>
    <r>
      <rPr>
        <b/>
        <sz val="10"/>
        <color theme="0"/>
        <rFont val="Arial"/>
        <family val="2"/>
      </rPr>
      <t xml:space="preserve">  - Adhoc </t>
    </r>
  </si>
  <si>
    <t>Smoothed Bonus Merge (run when 2 portfolios merge)</t>
  </si>
  <si>
    <t>Run as required</t>
  </si>
  <si>
    <t>Cancel non-vested bonuses</t>
  </si>
  <si>
    <t>Smoothed Bonus Vesting of non-vested bonuses</t>
  </si>
  <si>
    <t>Price Uploads</t>
  </si>
  <si>
    <t>Process Transaction</t>
  </si>
  <si>
    <t>Do not load prices</t>
  </si>
  <si>
    <t>Transaction should not be applied</t>
  </si>
  <si>
    <t>Load Prices Next Day</t>
  </si>
  <si>
    <t>12h00 Job runs to apply transactions</t>
  </si>
  <si>
    <t>Transaction should be applied</t>
  </si>
  <si>
    <t>Go to:</t>
  </si>
  <si>
    <t>Unit Transactions &gt; Investments &gt; Normal Investments</t>
  </si>
  <si>
    <t>Load any client:</t>
  </si>
  <si>
    <t>The ‘Investment Process’ screen have 5 Tab-headings:</t>
  </si>
  <si>
    <t xml:space="preserve">NON-LISP Clients:  </t>
  </si>
  <si>
    <t xml:space="preserve">   Personal Details</t>
  </si>
  <si>
    <t>When the ‘Investment Process’ screen opens, the ‘Personal Details’ tab should show as default, and will be enabled, and be in alter mode. All the other tabs should be disabled, and will only become enable once you get navigate to that tab.</t>
  </si>
  <si>
    <t xml:space="preserve">   Profile</t>
  </si>
  <si>
    <t xml:space="preserve">   Lump Sum</t>
  </si>
  <si>
    <t>LISP Clients:</t>
  </si>
  <si>
    <t xml:space="preserve">   Once Off D/O</t>
  </si>
  <si>
    <t>This is High Network Clients, with a ‘H_ENTITEIT = 5’. The ‘Investment Process’ screen should display with the ‘Profile’ tab as default, but the user should be able to select tab, to change the personal details.</t>
  </si>
  <si>
    <t xml:space="preserve">   Recurring</t>
  </si>
  <si>
    <t>This is the first screen in the investment process, and it allows the user to change personal details for the current client.</t>
  </si>
  <si>
    <t>Do not make any changes in the ‘Personal Details’ tab.</t>
  </si>
  <si>
    <t>If there are no changes to the current client, the user must confirm the current details to click on ‘No change/Proceed’.</t>
  </si>
  <si>
    <t>This will take you to the ‘Profile’ tab.</t>
  </si>
  <si>
    <t>The heading for this tab is: ‘Investment Profile’</t>
  </si>
  <si>
    <t>This screen should display all the ‘Investor Codes’ and ‘Fund Names’ that is linked to that specific person. The data should be grouped by investor code.</t>
  </si>
  <si>
    <t>A list of all the funds linked to the investor should display.</t>
  </si>
  <si>
    <t>Should display a list of all the funds that is linked to the investor(s).</t>
  </si>
  <si>
    <t>Lump Sum</t>
  </si>
  <si>
    <t>‘Income Instruction’ select button</t>
  </si>
  <si>
    <t>Fund Name</t>
  </si>
  <si>
    <t>Fund name is displays in the long English version.</t>
  </si>
  <si>
    <t>A list of all the funds that is linked to that investor code/client must display. The user can select the fund to invest in.</t>
  </si>
  <si>
    <t>This is visible and enabled in create mode if Lump sum Investment is acceptable for the fund and if the fund is still open.</t>
  </si>
  <si>
    <t>Lump Sum Check Box</t>
  </si>
  <si>
    <t>Tick box and click on ‘Submit’.</t>
  </si>
  <si>
    <t>The ‘Investment Process Lump sum Profile” screen should appear.</t>
  </si>
  <si>
    <t>Total investment amount</t>
  </si>
  <si>
    <t>This is a mandatory field, and is visible and enabled in create mode.</t>
  </si>
  <si>
    <t>Filed length 11, characters.</t>
  </si>
  <si>
    <t>The amount will appear in default as 0.00</t>
  </si>
  <si>
    <t>When you select more than one fund for a Lump sum, then you should capture the whole amount for all the funds.</t>
  </si>
  <si>
    <t>This should be visible in view mode.</t>
  </si>
  <si>
    <t>Source</t>
  </si>
  <si>
    <t>This should be visible and enabled in create mode.</t>
  </si>
  <si>
    <t>This is a mandatory field.</t>
  </si>
  <si>
    <t>It should have a dropdown and should display the description and the code should be in brackets: Lump Sum (03) as default (shr1_oorsprong)</t>
  </si>
  <si>
    <t>Deposit Number</t>
  </si>
  <si>
    <t xml:space="preserve">   Should be visible and enabled in create mode.</t>
  </si>
  <si>
    <t xml:space="preserve">   Should display the amount that was entered in the ‘Total Investment amount’ as default.</t>
  </si>
  <si>
    <t>Price Date</t>
  </si>
  <si>
    <t>Client Loaded</t>
  </si>
  <si>
    <t>Used Custom Client = Test Client 001</t>
  </si>
  <si>
    <t>Should contain the Investment profile table</t>
  </si>
  <si>
    <t>Should be able to tick box</t>
  </si>
  <si>
    <t>Profile Tab:
The ‘Profile’ tab the user can select a fund to invest in, as well as the type of Investment.</t>
  </si>
  <si>
    <t>Personal Details Tab
‘Personal Details’ tab.</t>
  </si>
  <si>
    <t>Lump Sum Tab</t>
  </si>
  <si>
    <t>Capture 100,000</t>
  </si>
  <si>
    <t>Should be dd/mm/yyyy</t>
  </si>
  <si>
    <t>Required field</t>
  </si>
  <si>
    <t>Capture Current Date</t>
  </si>
  <si>
    <t>17/09/2014</t>
  </si>
  <si>
    <t>Select Lump Sum - Cash</t>
  </si>
  <si>
    <r>
      <t xml:space="preserve">Capture </t>
    </r>
    <r>
      <rPr>
        <b/>
        <sz val="10"/>
        <color theme="1"/>
        <rFont val="Arial"/>
        <family val="2"/>
      </rPr>
      <t>170914</t>
    </r>
  </si>
  <si>
    <t>Advice Note</t>
  </si>
  <si>
    <t>Leave on default, No</t>
  </si>
  <si>
    <t>Is one set of agents applicable</t>
  </si>
  <si>
    <t>Change to No, (default = Yes)</t>
  </si>
  <si>
    <t>Click Continue Button</t>
  </si>
  <si>
    <t>Click Next Button</t>
  </si>
  <si>
    <t>Investment Placed successfully message should be displayed</t>
  </si>
  <si>
    <t>Authorise Investment</t>
  </si>
  <si>
    <t>Administrator &gt; Authorise Transaction &gt; Investments</t>
  </si>
  <si>
    <t>Authorise Investment transactions table should be displayed</t>
  </si>
  <si>
    <t>Investor Code, Fund, Transaction Code, Amount, should all be displayed</t>
  </si>
  <si>
    <t>for the transaction created above</t>
  </si>
  <si>
    <t>Select Authorise box</t>
  </si>
  <si>
    <t>Authorise box selected</t>
  </si>
  <si>
    <t>Submit button should be enabled with another section displayed</t>
  </si>
  <si>
    <t>Tab should refresh and another section should be displayed</t>
  </si>
  <si>
    <t>Click Submit Button</t>
  </si>
  <si>
    <t>Transaction processed successfully message should be displayed</t>
  </si>
  <si>
    <t>Check if prices were applied</t>
  </si>
  <si>
    <t>Go to Client</t>
  </si>
  <si>
    <t>Select Fund</t>
  </si>
  <si>
    <t>Client should be loaded</t>
  </si>
  <si>
    <t>Select Fund on the right pane</t>
  </si>
  <si>
    <t>Click on Transaction History</t>
  </si>
  <si>
    <t>Transaction history should be displayed for selected Fund</t>
  </si>
  <si>
    <t>Select Transaction created</t>
  </si>
  <si>
    <t>New section with more detail should be displayed</t>
  </si>
  <si>
    <t>Ensure that the Date = 00/0000</t>
  </si>
  <si>
    <t>No Prices received in time, Upload prices the next morning</t>
  </si>
  <si>
    <t>Go To
Administrator &gt; RF Daily Price uploads</t>
  </si>
  <si>
    <t>Upload Prices screen should be displayed</t>
  </si>
  <si>
    <t>Default to Today, Radio button</t>
  </si>
  <si>
    <r>
      <t xml:space="preserve">Select </t>
    </r>
    <r>
      <rPr>
        <b/>
        <sz val="10"/>
        <color theme="1"/>
        <rFont val="Arial"/>
        <family val="2"/>
      </rPr>
      <t>Yesterday</t>
    </r>
  </si>
  <si>
    <t>Yesterday selected, and Today unselected</t>
  </si>
  <si>
    <t>Click Browse</t>
  </si>
  <si>
    <t>Find file and selected it</t>
  </si>
  <si>
    <t>Click Upload</t>
  </si>
  <si>
    <t>Prices should be uploaded</t>
  </si>
  <si>
    <t>Used Custom Client = Test Client 002</t>
  </si>
  <si>
    <t>18/09/2014</t>
  </si>
  <si>
    <r>
      <t xml:space="preserve">Capture </t>
    </r>
    <r>
      <rPr>
        <b/>
        <sz val="10"/>
        <color theme="1"/>
        <rFont val="Arial"/>
        <family val="2"/>
      </rPr>
      <t>180914</t>
    </r>
  </si>
  <si>
    <t>Prices received in Late, Upload prices after 21h00</t>
  </si>
  <si>
    <r>
      <t xml:space="preserve">Select </t>
    </r>
    <r>
      <rPr>
        <b/>
        <sz val="10"/>
        <color theme="1"/>
        <rFont val="Arial"/>
        <family val="2"/>
      </rPr>
      <t>Today</t>
    </r>
  </si>
  <si>
    <t>Today selected</t>
  </si>
  <si>
    <t>Apply Job should be kicked off</t>
  </si>
  <si>
    <t>Check with Olga or Daphne Louw to ensure that this job did run.</t>
  </si>
  <si>
    <t>Investment - 1</t>
  </si>
  <si>
    <t>Investment - 2</t>
  </si>
  <si>
    <t>INV-24, INV-26</t>
  </si>
  <si>
    <t>NAM - TEST CCN PENSION FUND</t>
  </si>
  <si>
    <t>Used RSA for Today</t>
  </si>
  <si>
    <t>NAM for Yesterday</t>
  </si>
  <si>
    <t>no job for NAM that runs at 12h00</t>
  </si>
  <si>
    <t>What it CURO</t>
  </si>
  <si>
    <t>How to Validate and upload prices</t>
  </si>
  <si>
    <t>How to create Walker file</t>
  </si>
  <si>
    <t>How to run batch for Exclusive</t>
  </si>
  <si>
    <t>Notes/Added Note</t>
  </si>
  <si>
    <t>Added Notes</t>
  </si>
  <si>
    <t>Where is the file that it is supposed to uploaded saved, or where do we get it?</t>
  </si>
  <si>
    <t>How to Run Job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</si>
</sst>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14" x14ac:knownFonts="1">
    <font>
      <sz val="11"/>
      <color theme="1"/>
      <name val="Calibri"/>
      <family val="2"/>
      <scheme val="minor"/>
    </font>
    <font>
      <sz val="10"/>
      <color theme="1"/>
      <name val="Arial"/>
      <family val="2"/>
    </font>
    <font>
      <b/>
      <sz val="11"/>
      <color theme="1"/>
      <name val="Arial"/>
      <family val="2"/>
    </font>
    <font>
      <b/>
      <sz val="11"/>
      <color theme="1"/>
      <name val="Calibri"/>
      <family val="2"/>
      <scheme val="minor"/>
    </font>
    <font>
      <sz val="11"/>
      <color rgb="FF000000"/>
      <name val="Calibri"/>
      <family val="2"/>
    </font>
    <font>
      <b/>
      <sz val="11"/>
      <color theme="0"/>
      <name val="Calibri"/>
      <family val="2"/>
      <scheme val="minor"/>
    </font>
    <font>
      <b/>
      <sz val="10"/>
      <color theme="0"/>
      <name val="Arial"/>
      <family val="2"/>
    </font>
    <font>
      <b/>
      <sz val="10"/>
      <name val="Arial"/>
      <family val="2"/>
    </font>
    <font>
      <b/>
      <sz val="10"/>
      <color theme="1"/>
      <name val="Arial"/>
      <family val="2"/>
    </font>
    <font>
      <sz val="11"/>
      <color rgb="FFFF0000"/>
      <name val="Calibri"/>
      <family val="2"/>
      <scheme val="minor"/>
    </font>
    <font>
      <b/>
      <sz val="11"/>
      <color rgb="FFFF0000"/>
      <name val="Arial"/>
      <family val="2"/>
    </font>
    <font>
      <b/>
      <sz val="10"/>
      <color rgb="FFFF0000"/>
      <name val="Arial"/>
      <family val="2"/>
    </font>
    <font>
      <sz val="10"/>
      <color rgb="FFFF0000"/>
      <name val="Arial"/>
      <family val="2"/>
    </font>
    <font>
      <b/>
      <sz val="11"/>
      <color rgb="FFFF0000"/>
      <name val="Calibri"/>
      <family val="2"/>
      <scheme val="minor"/>
    </font>
  </fonts>
  <fills count="6">
    <fill>
      <patternFill patternType="none"/>
    </fill>
    <fill>
      <patternFill patternType="gray125"/>
    </fill>
    <fill>
      <patternFill patternType="solid">
        <fgColor rgb="FFE0E0E0"/>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59999389629810485"/>
        <bgColor indexed="64"/>
      </patternFill>
    </fill>
  </fills>
  <borders count="10">
    <border>
      <left/>
      <right/>
      <top/>
      <bottom/>
      <diagonal/>
    </border>
    <border>
      <left/>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style="thin">
        <color indexed="64"/>
      </bottom>
      <diagonal/>
    </border>
  </borders>
  <cellStyleXfs count="1">
    <xf numFmtId="0" fontId="0" fillId="0" borderId="0"/>
  </cellStyleXfs>
  <cellXfs count="58">
    <xf numFmtId="0" fontId="0" fillId="0" borderId="0" xfId="0"/>
    <xf numFmtId="0" fontId="0" fillId="0" borderId="0" xfId="0" applyAlignment="1">
      <alignment wrapText="1"/>
    </xf>
    <xf numFmtId="0" fontId="3" fillId="0" borderId="1" xfId="0" applyFont="1" applyBorder="1" applyAlignment="1">
      <alignment wrapText="1"/>
    </xf>
    <xf numFmtId="0" fontId="0" fillId="3" borderId="0" xfId="0" applyFill="1"/>
    <xf numFmtId="164" fontId="0" fillId="0" borderId="0" xfId="0" applyNumberFormat="1" applyAlignment="1">
      <alignment wrapText="1"/>
    </xf>
    <xf numFmtId="164" fontId="1" fillId="3" borderId="2" xfId="0" applyNumberFormat="1" applyFont="1" applyFill="1" applyBorder="1" applyAlignment="1">
      <alignment vertical="center" wrapText="1"/>
    </xf>
    <xf numFmtId="0" fontId="1" fillId="3" borderId="2" xfId="0" applyFont="1" applyFill="1" applyBorder="1" applyAlignment="1">
      <alignment vertical="center" wrapText="1"/>
    </xf>
    <xf numFmtId="0" fontId="1" fillId="0" borderId="2" xfId="0" applyFont="1" applyBorder="1" applyAlignment="1">
      <alignment vertical="center" wrapText="1"/>
    </xf>
    <xf numFmtId="0" fontId="0" fillId="0" borderId="2" xfId="0" applyBorder="1" applyAlignment="1">
      <alignment wrapText="1"/>
    </xf>
    <xf numFmtId="0" fontId="1" fillId="3" borderId="2" xfId="0" applyFont="1" applyFill="1" applyBorder="1" applyAlignment="1">
      <alignment horizontal="left" vertical="center" wrapText="1"/>
    </xf>
    <xf numFmtId="164" fontId="2" fillId="2" borderId="2" xfId="0" applyNumberFormat="1" applyFont="1" applyFill="1" applyBorder="1" applyAlignment="1">
      <alignment wrapText="1"/>
    </xf>
    <xf numFmtId="0" fontId="2" fillId="2" borderId="2" xfId="0" applyFont="1" applyFill="1" applyBorder="1" applyAlignment="1">
      <alignment wrapText="1"/>
    </xf>
    <xf numFmtId="0" fontId="2" fillId="2" borderId="2" xfId="0" applyFont="1" applyFill="1" applyBorder="1" applyAlignment="1">
      <alignment horizontal="center" wrapText="1"/>
    </xf>
    <xf numFmtId="0" fontId="2" fillId="2" borderId="2"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2" fillId="4" borderId="2" xfId="0" applyFont="1" applyFill="1" applyBorder="1" applyAlignment="1">
      <alignment horizontal="center" vertical="center" wrapText="1"/>
    </xf>
    <xf numFmtId="164" fontId="6" fillId="5" borderId="2" xfId="0" applyNumberFormat="1" applyFont="1" applyFill="1" applyBorder="1" applyAlignment="1">
      <alignment vertical="center" wrapText="1"/>
    </xf>
    <xf numFmtId="0" fontId="6" fillId="5" borderId="2" xfId="0" applyFont="1" applyFill="1" applyBorder="1" applyAlignment="1">
      <alignment vertical="center" wrapText="1"/>
    </xf>
    <xf numFmtId="0" fontId="6" fillId="5" borderId="2" xfId="0" applyFont="1" applyFill="1" applyBorder="1" applyAlignment="1">
      <alignment horizontal="left" vertical="center" wrapText="1"/>
    </xf>
    <xf numFmtId="0" fontId="5" fillId="5" borderId="2" xfId="0" applyFont="1" applyFill="1" applyBorder="1" applyAlignment="1">
      <alignment wrapText="1"/>
    </xf>
    <xf numFmtId="0" fontId="3" fillId="0" borderId="0" xfId="0" applyFont="1" applyAlignment="1">
      <alignment wrapText="1"/>
    </xf>
    <xf numFmtId="0" fontId="1" fillId="0" borderId="2" xfId="0" quotePrefix="1" applyFont="1" applyBorder="1" applyAlignment="1">
      <alignment vertical="center" wrapText="1"/>
    </xf>
    <xf numFmtId="0" fontId="2" fillId="2" borderId="2" xfId="0" applyFont="1" applyFill="1" applyBorder="1" applyAlignment="1">
      <alignment horizontal="center" vertical="center"/>
    </xf>
    <xf numFmtId="164" fontId="6" fillId="5" borderId="3" xfId="0" applyNumberFormat="1" applyFont="1" applyFill="1" applyBorder="1" applyAlignment="1">
      <alignment vertical="center" wrapText="1"/>
    </xf>
    <xf numFmtId="0" fontId="6" fillId="5" borderId="3" xfId="0" applyFont="1" applyFill="1" applyBorder="1" applyAlignment="1">
      <alignment horizontal="left" vertical="center" wrapText="1"/>
    </xf>
    <xf numFmtId="0" fontId="6" fillId="5" borderId="3" xfId="0" applyFont="1" applyFill="1" applyBorder="1" applyAlignment="1">
      <alignment vertical="center" wrapText="1"/>
    </xf>
    <xf numFmtId="0" fontId="5" fillId="5" borderId="3" xfId="0" applyFont="1" applyFill="1" applyBorder="1" applyAlignment="1">
      <alignment wrapText="1"/>
    </xf>
    <xf numFmtId="164" fontId="1" fillId="3" borderId="4" xfId="0" applyNumberFormat="1" applyFont="1" applyFill="1" applyBorder="1" applyAlignment="1">
      <alignment vertical="center" wrapText="1"/>
    </xf>
    <xf numFmtId="0" fontId="1" fillId="3" borderId="5" xfId="0" applyFont="1" applyFill="1" applyBorder="1" applyAlignment="1">
      <alignment vertical="center" wrapText="1"/>
    </xf>
    <xf numFmtId="0" fontId="1" fillId="3" borderId="7" xfId="0" applyFont="1" applyFill="1" applyBorder="1" applyAlignment="1">
      <alignment vertical="center" wrapText="1"/>
    </xf>
    <xf numFmtId="0" fontId="1" fillId="3" borderId="3" xfId="0" applyFont="1" applyFill="1" applyBorder="1" applyAlignment="1">
      <alignment vertical="center" wrapText="1"/>
    </xf>
    <xf numFmtId="0" fontId="1" fillId="3" borderId="6" xfId="0" applyFont="1" applyFill="1" applyBorder="1" applyAlignment="1">
      <alignment vertical="center" wrapText="1"/>
    </xf>
    <xf numFmtId="0" fontId="1" fillId="0" borderId="3" xfId="0" applyFont="1" applyBorder="1" applyAlignment="1">
      <alignment vertical="center" wrapText="1"/>
    </xf>
    <xf numFmtId="0" fontId="1" fillId="3" borderId="8" xfId="0" applyFont="1" applyFill="1" applyBorder="1" applyAlignment="1">
      <alignment vertical="center" wrapText="1"/>
    </xf>
    <xf numFmtId="0" fontId="8" fillId="3" borderId="7" xfId="0" applyFont="1" applyFill="1" applyBorder="1" applyAlignment="1">
      <alignment vertical="center" wrapText="1"/>
    </xf>
    <xf numFmtId="0" fontId="8" fillId="3" borderId="5" xfId="0" applyFont="1" applyFill="1" applyBorder="1" applyAlignment="1">
      <alignment vertical="center" wrapText="1"/>
    </xf>
    <xf numFmtId="0" fontId="1" fillId="3" borderId="0" xfId="0" applyFont="1" applyFill="1" applyBorder="1" applyAlignment="1">
      <alignment vertical="center" wrapText="1"/>
    </xf>
    <xf numFmtId="164" fontId="1" fillId="3" borderId="9" xfId="0" applyNumberFormat="1" applyFont="1" applyFill="1" applyBorder="1" applyAlignment="1">
      <alignment vertical="center" wrapText="1"/>
    </xf>
    <xf numFmtId="0" fontId="0" fillId="0" borderId="3" xfId="0" applyBorder="1" applyAlignment="1">
      <alignment wrapText="1"/>
    </xf>
    <xf numFmtId="0" fontId="0" fillId="3" borderId="2" xfId="0" applyFill="1" applyBorder="1"/>
    <xf numFmtId="164" fontId="1" fillId="3" borderId="0" xfId="0" applyNumberFormat="1" applyFont="1" applyFill="1" applyBorder="1" applyAlignment="1">
      <alignment vertical="center" wrapText="1"/>
    </xf>
    <xf numFmtId="164" fontId="1" fillId="3" borderId="3" xfId="0" applyNumberFormat="1" applyFont="1" applyFill="1" applyBorder="1" applyAlignment="1">
      <alignment vertical="center" wrapText="1"/>
    </xf>
    <xf numFmtId="0" fontId="0" fillId="3" borderId="3" xfId="0" applyFill="1" applyBorder="1"/>
    <xf numFmtId="0" fontId="0" fillId="3" borderId="0" xfId="0" applyFill="1" applyBorder="1" applyAlignment="1">
      <alignment wrapText="1"/>
    </xf>
    <xf numFmtId="0" fontId="10" fillId="2" borderId="2" xfId="0" applyFont="1" applyFill="1" applyBorder="1" applyAlignment="1">
      <alignment horizontal="center" wrapText="1"/>
    </xf>
    <xf numFmtId="0" fontId="11" fillId="5" borderId="2" xfId="0" applyFont="1" applyFill="1" applyBorder="1" applyAlignment="1">
      <alignment vertical="center" wrapText="1"/>
    </xf>
    <xf numFmtId="0" fontId="12" fillId="3" borderId="2" xfId="0" applyFont="1" applyFill="1" applyBorder="1" applyAlignment="1">
      <alignment vertical="center" wrapText="1"/>
    </xf>
    <xf numFmtId="0" fontId="12" fillId="0" borderId="2" xfId="0" applyFont="1" applyBorder="1" applyAlignment="1">
      <alignment vertical="center" wrapText="1"/>
    </xf>
    <xf numFmtId="0" fontId="12" fillId="0" borderId="2" xfId="0" quotePrefix="1" applyFont="1" applyBorder="1" applyAlignment="1">
      <alignment vertical="center" wrapText="1"/>
    </xf>
    <xf numFmtId="0" fontId="9" fillId="0" borderId="0" xfId="0" applyFont="1" applyAlignment="1">
      <alignment wrapText="1"/>
    </xf>
    <xf numFmtId="0" fontId="11" fillId="5" borderId="3" xfId="0" applyFont="1" applyFill="1" applyBorder="1" applyAlignment="1">
      <alignment vertical="center" wrapText="1"/>
    </xf>
    <xf numFmtId="0" fontId="11" fillId="0" borderId="2" xfId="0" applyFont="1" applyBorder="1" applyAlignment="1">
      <alignment vertical="center" wrapText="1"/>
    </xf>
    <xf numFmtId="0" fontId="11" fillId="0" borderId="2" xfId="0" quotePrefix="1" applyFont="1" applyBorder="1" applyAlignment="1">
      <alignment vertical="center" wrapText="1"/>
    </xf>
    <xf numFmtId="0" fontId="11" fillId="0" borderId="3" xfId="0" applyFont="1" applyBorder="1" applyAlignment="1">
      <alignment vertical="center" wrapText="1"/>
    </xf>
    <xf numFmtId="0" fontId="11" fillId="3" borderId="2" xfId="0" applyFont="1" applyFill="1" applyBorder="1" applyAlignment="1">
      <alignment vertical="center" wrapText="1"/>
    </xf>
    <xf numFmtId="0" fontId="11" fillId="3" borderId="3" xfId="0" applyFont="1" applyFill="1" applyBorder="1" applyAlignment="1">
      <alignment vertical="center" wrapText="1"/>
    </xf>
    <xf numFmtId="0" fontId="11" fillId="3" borderId="0" xfId="0" applyFont="1" applyFill="1" applyBorder="1" applyAlignment="1">
      <alignment vertical="center" wrapText="1"/>
    </xf>
    <xf numFmtId="0" fontId="13" fillId="0" borderId="0" xfId="0" applyFont="1" applyAlignment="1">
      <alignment wrapText="1"/>
    </xf>
  </cellXfs>
  <cellStyles count="1">
    <cellStyle name="Normal" xfId="0" builtinId="0"/>
  </cellStyles>
  <dxfs count="153">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7</xdr:row>
          <xdr:rowOff>57150</xdr:rowOff>
        </xdr:from>
        <xdr:to>
          <xdr:col>0</xdr:col>
          <xdr:colOff>581025</xdr:colOff>
          <xdr:row>8</xdr:row>
          <xdr:rowOff>104775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581025</xdr:colOff>
          <xdr:row>2</xdr:row>
          <xdr:rowOff>171450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xdr:row>
          <xdr:rowOff>9525</xdr:rowOff>
        </xdr:from>
        <xdr:to>
          <xdr:col>0</xdr:col>
          <xdr:colOff>581025</xdr:colOff>
          <xdr:row>3</xdr:row>
          <xdr:rowOff>171450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9525</xdr:rowOff>
        </xdr:from>
        <xdr:to>
          <xdr:col>0</xdr:col>
          <xdr:colOff>581025</xdr:colOff>
          <xdr:row>4</xdr:row>
          <xdr:rowOff>171450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5</xdr:row>
          <xdr:rowOff>9525</xdr:rowOff>
        </xdr:from>
        <xdr:to>
          <xdr:col>0</xdr:col>
          <xdr:colOff>581025</xdr:colOff>
          <xdr:row>5</xdr:row>
          <xdr:rowOff>171450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1733550</xdr:colOff>
          <xdr:row>0</xdr:row>
          <xdr:rowOff>76200</xdr:rowOff>
        </xdr:from>
        <xdr:to>
          <xdr:col>2</xdr:col>
          <xdr:colOff>2343150</xdr:colOff>
          <xdr:row>0</xdr:row>
          <xdr:rowOff>314325</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Button 10</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B_InvestAdmin_OPSProces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Batch Runs  - Daily "/>
      <sheetName val="Create Bank Account"/>
      <sheetName val="Adhoc - Merge Process"/>
      <sheetName val="Sheet1"/>
    </sheetNames>
    <sheetDataSet>
      <sheetData sheetId="0"/>
      <sheetData sheetId="1">
        <row r="7">
          <cell r="E7">
            <v>0</v>
          </cell>
          <cell r="F7" t="str">
            <v>N/A</v>
          </cell>
        </row>
        <row r="9">
          <cell r="E9">
            <v>0</v>
          </cell>
          <cell r="F9" t="str">
            <v>N/A</v>
          </cell>
        </row>
        <row r="11">
          <cell r="E11" t="str">
            <v>Refer to Reports Test Case</v>
          </cell>
          <cell r="F11" t="str">
            <v>N/A</v>
          </cell>
        </row>
        <row r="12">
          <cell r="E12" t="str">
            <v>Refer to Reports Test Case</v>
          </cell>
          <cell r="F12" t="str">
            <v>N/A</v>
          </cell>
        </row>
        <row r="13">
          <cell r="E13" t="str">
            <v>No payment via Multi data</v>
          </cell>
          <cell r="F13" t="str">
            <v>Not Now</v>
          </cell>
        </row>
        <row r="15">
          <cell r="E15" t="str">
            <v>Cannot be tested now</v>
          </cell>
          <cell r="F15" t="str">
            <v>Not Now</v>
          </cell>
        </row>
        <row r="16">
          <cell r="E16" t="str">
            <v>Cannot be tested now</v>
          </cell>
          <cell r="F16" t="str">
            <v>Not Now</v>
          </cell>
        </row>
        <row r="17">
          <cell r="E17" t="str">
            <v>Cannot be tested now</v>
          </cell>
          <cell r="F17" t="str">
            <v>Not Now</v>
          </cell>
        </row>
        <row r="18">
          <cell r="E18" t="str">
            <v>Cannot be tested now</v>
          </cell>
          <cell r="F18" t="str">
            <v>Not Now</v>
          </cell>
        </row>
        <row r="19">
          <cell r="E19" t="str">
            <v>Cannot be tested now</v>
          </cell>
          <cell r="F19" t="str">
            <v>Not Now</v>
          </cell>
        </row>
        <row r="20">
          <cell r="E20" t="str">
            <v>Cannot be tested now</v>
          </cell>
          <cell r="F20" t="str">
            <v>Not Now</v>
          </cell>
        </row>
        <row r="21">
          <cell r="E21" t="str">
            <v>Cannot be tested now</v>
          </cell>
          <cell r="F21" t="str">
            <v>Not Now</v>
          </cell>
        </row>
        <row r="22">
          <cell r="E22" t="str">
            <v>Cannot be tested now</v>
          </cell>
          <cell r="F22" t="str">
            <v>Not Now</v>
          </cell>
        </row>
        <row r="24">
          <cell r="E24" t="str">
            <v>Cannot be tested now</v>
          </cell>
          <cell r="F24" t="str">
            <v>Not Now</v>
          </cell>
        </row>
        <row r="26">
          <cell r="E26" t="str">
            <v>Cannot be tested now</v>
          </cell>
          <cell r="F26" t="str">
            <v>N/A</v>
          </cell>
        </row>
        <row r="27">
          <cell r="E27" t="str">
            <v>Betsie - Not to be tested</v>
          </cell>
          <cell r="F27" t="str">
            <v>N/A</v>
          </cell>
        </row>
      </sheetData>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H7"/>
  <sheetViews>
    <sheetView zoomScaleNormal="100" workbookViewId="0">
      <selection activeCell="G18" sqref="G18"/>
    </sheetView>
  </sheetViews>
  <sheetFormatPr defaultRowHeight="15" x14ac:dyDescent="0.25"/>
  <cols>
    <col min="1" max="1" width="9.140625" style="3"/>
    <col min="2" max="2" width="23.42578125" style="3" bestFit="1" customWidth="1"/>
    <col min="3" max="8" width="15" style="3" customWidth="1"/>
    <col min="9" max="16384" width="9.140625" style="3"/>
  </cols>
  <sheetData>
    <row r="2" spans="2:8" x14ac:dyDescent="0.25">
      <c r="B2" s="13"/>
      <c r="C2" s="13" t="s">
        <v>5</v>
      </c>
      <c r="D2" s="13" t="s">
        <v>6</v>
      </c>
      <c r="E2" s="13" t="s">
        <v>9</v>
      </c>
      <c r="F2" s="13" t="s">
        <v>7</v>
      </c>
      <c r="G2" s="13" t="s">
        <v>8</v>
      </c>
      <c r="H2" s="13" t="s">
        <v>10</v>
      </c>
    </row>
    <row r="3" spans="2:8" x14ac:dyDescent="0.25">
      <c r="B3" s="22" t="s">
        <v>51</v>
      </c>
      <c r="C3" s="14">
        <f>'Test Case'!H148</f>
        <v>113</v>
      </c>
      <c r="D3" s="14">
        <f>'Test Case'!I148</f>
        <v>0</v>
      </c>
      <c r="E3" s="14">
        <f>'Test Case'!J148</f>
        <v>0</v>
      </c>
      <c r="F3" s="15">
        <f>'Test Case'!K148</f>
        <v>6</v>
      </c>
      <c r="G3" s="15">
        <f>'Test Case'!L148</f>
        <v>5</v>
      </c>
      <c r="H3" s="14">
        <f>SUM(C3:E3)</f>
        <v>113</v>
      </c>
    </row>
    <row r="4" spans="2:8" x14ac:dyDescent="0.25">
      <c r="B4" s="22"/>
      <c r="C4" s="14"/>
      <c r="D4" s="14"/>
      <c r="E4" s="14"/>
      <c r="F4" s="15"/>
      <c r="G4" s="15"/>
      <c r="H4" s="14"/>
    </row>
    <row r="5" spans="2:8" x14ac:dyDescent="0.25">
      <c r="B5" s="22"/>
      <c r="C5" s="14"/>
      <c r="D5" s="14"/>
      <c r="E5" s="14"/>
      <c r="F5" s="15"/>
      <c r="G5" s="15"/>
      <c r="H5" s="14"/>
    </row>
    <row r="6" spans="2:8" x14ac:dyDescent="0.25">
      <c r="B6" s="22"/>
      <c r="C6" s="14"/>
      <c r="D6" s="14"/>
      <c r="E6" s="14"/>
      <c r="F6" s="15"/>
      <c r="G6" s="15"/>
      <c r="H6" s="14"/>
    </row>
    <row r="7" spans="2:8" x14ac:dyDescent="0.25">
      <c r="B7" s="13"/>
      <c r="C7" s="14"/>
      <c r="D7" s="14"/>
      <c r="E7" s="14"/>
      <c r="F7" s="15"/>
      <c r="G7" s="15"/>
      <c r="H7"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_xludf.CLEAR">
                <anchor moveWithCells="1">
                  <from>
                    <xdr:col>0</xdr:col>
                    <xdr:colOff>38100</xdr:colOff>
                    <xdr:row>7</xdr:row>
                    <xdr:rowOff>57150</xdr:rowOff>
                  </from>
                  <to>
                    <xdr:col>0</xdr:col>
                    <xdr:colOff>581025</xdr:colOff>
                    <xdr:row>8</xdr:row>
                    <xdr:rowOff>104775</xdr:rowOff>
                  </to>
                </anchor>
              </controlPr>
            </control>
          </mc:Choice>
        </mc:AlternateContent>
        <mc:AlternateContent xmlns:mc="http://schemas.openxmlformats.org/markup-compatibility/2006">
          <mc:Choice Requires="x14">
            <control shapeId="3074" r:id="rId5" name="Button 2">
              <controlPr defaultSize="0" print="0" autoFill="0" autoPict="0" macro="[0]!Sheet1_Click">
                <anchor moveWithCells="1">
                  <from>
                    <xdr:col>0</xdr:col>
                    <xdr:colOff>38100</xdr:colOff>
                    <xdr:row>2</xdr:row>
                    <xdr:rowOff>9525</xdr:rowOff>
                  </from>
                  <to>
                    <xdr:col>0</xdr:col>
                    <xdr:colOff>581025</xdr:colOff>
                    <xdr:row>2</xdr:row>
                    <xdr:rowOff>171450</xdr:rowOff>
                  </to>
                </anchor>
              </controlPr>
            </control>
          </mc:Choice>
        </mc:AlternateContent>
        <mc:AlternateContent xmlns:mc="http://schemas.openxmlformats.org/markup-compatibility/2006">
          <mc:Choice Requires="x14">
            <control shapeId="3075" r:id="rId6" name="Button 3">
              <controlPr defaultSize="0" print="0" autoFill="0" autoPict="0" macro="[0]!Sheet2_Click">
                <anchor moveWithCells="1">
                  <from>
                    <xdr:col>0</xdr:col>
                    <xdr:colOff>38100</xdr:colOff>
                    <xdr:row>3</xdr:row>
                    <xdr:rowOff>9525</xdr:rowOff>
                  </from>
                  <to>
                    <xdr:col>0</xdr:col>
                    <xdr:colOff>581025</xdr:colOff>
                    <xdr:row>3</xdr:row>
                    <xdr:rowOff>171450</xdr:rowOff>
                  </to>
                </anchor>
              </controlPr>
            </control>
          </mc:Choice>
        </mc:AlternateContent>
        <mc:AlternateContent xmlns:mc="http://schemas.openxmlformats.org/markup-compatibility/2006">
          <mc:Choice Requires="x14">
            <control shapeId="3076" r:id="rId7" name="Button 4">
              <controlPr defaultSize="0" print="0" autoFill="0" autoPict="0" macro="[0]!Sheet3_Click">
                <anchor moveWithCells="1">
                  <from>
                    <xdr:col>0</xdr:col>
                    <xdr:colOff>38100</xdr:colOff>
                    <xdr:row>4</xdr:row>
                    <xdr:rowOff>9525</xdr:rowOff>
                  </from>
                  <to>
                    <xdr:col>0</xdr:col>
                    <xdr:colOff>581025</xdr:colOff>
                    <xdr:row>4</xdr:row>
                    <xdr:rowOff>171450</xdr:rowOff>
                  </to>
                </anchor>
              </controlPr>
            </control>
          </mc:Choice>
        </mc:AlternateContent>
        <mc:AlternateContent xmlns:mc="http://schemas.openxmlformats.org/markup-compatibility/2006">
          <mc:Choice Requires="x14">
            <control shapeId="3077" r:id="rId8" name="Button 5">
              <controlPr defaultSize="0" print="0" autoFill="0" autoPict="0" macro="[0]!Sheet4_Click">
                <anchor moveWithCells="1">
                  <from>
                    <xdr:col>0</xdr:col>
                    <xdr:colOff>38100</xdr:colOff>
                    <xdr:row>5</xdr:row>
                    <xdr:rowOff>9525</xdr:rowOff>
                  </from>
                  <to>
                    <xdr:col>0</xdr:col>
                    <xdr:colOff>581025</xdr:colOff>
                    <xdr:row>5</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149"/>
  <sheetViews>
    <sheetView tabSelected="1" topLeftCell="C1" zoomScale="85" zoomScaleNormal="85" workbookViewId="0">
      <pane ySplit="1" topLeftCell="A140" activePane="bottomLeft" state="frozen"/>
      <selection pane="bottomLeft" activeCell="D137" sqref="D137"/>
    </sheetView>
  </sheetViews>
  <sheetFormatPr defaultRowHeight="15" outlineLevelRow="1" x14ac:dyDescent="0.25"/>
  <cols>
    <col min="1" max="1" width="11.28515625" style="4" bestFit="1" customWidth="1"/>
    <col min="2" max="2" width="48.5703125" style="1" customWidth="1"/>
    <col min="3" max="3" width="70.28515625" style="1" bestFit="1" customWidth="1"/>
    <col min="4" max="4" width="23.7109375" style="1" customWidth="1"/>
    <col min="5" max="5" width="23.7109375" style="57" customWidth="1"/>
    <col min="6" max="6" width="20.42578125" style="1" customWidth="1"/>
    <col min="7" max="7" width="14.7109375" style="1" customWidth="1"/>
    <col min="8" max="11" width="9.140625" style="1"/>
    <col min="12" max="12" width="16.5703125" style="1" customWidth="1"/>
    <col min="13" max="13" width="39" style="1" customWidth="1"/>
    <col min="14" max="16384" width="9.140625" style="1"/>
  </cols>
  <sheetData>
    <row r="1" spans="1:13" ht="30" customHeight="1" x14ac:dyDescent="0.25">
      <c r="A1" s="10" t="s">
        <v>1</v>
      </c>
      <c r="B1" s="11" t="s">
        <v>11</v>
      </c>
      <c r="C1" s="11" t="s">
        <v>2</v>
      </c>
      <c r="D1" s="12" t="s">
        <v>4</v>
      </c>
      <c r="E1" s="44" t="s">
        <v>174</v>
      </c>
      <c r="F1" s="12" t="s">
        <v>3</v>
      </c>
      <c r="G1" s="11" t="s">
        <v>0</v>
      </c>
      <c r="H1" s="12" t="s">
        <v>5</v>
      </c>
      <c r="I1" s="12" t="s">
        <v>6</v>
      </c>
      <c r="J1" s="12"/>
      <c r="K1" s="12" t="s">
        <v>7</v>
      </c>
      <c r="L1" s="12" t="s">
        <v>8</v>
      </c>
      <c r="M1" s="12" t="s">
        <v>12</v>
      </c>
    </row>
    <row r="2" spans="1:13" s="20" customFormat="1" x14ac:dyDescent="0.25">
      <c r="A2" s="23">
        <v>1</v>
      </c>
      <c r="B2" s="17" t="s">
        <v>162</v>
      </c>
      <c r="C2" s="24"/>
      <c r="D2" s="25"/>
      <c r="E2" s="50"/>
      <c r="F2" s="25"/>
      <c r="G2" s="26"/>
      <c r="H2" s="26"/>
      <c r="I2" s="26"/>
      <c r="J2" s="26"/>
      <c r="K2" s="26"/>
      <c r="L2" s="26"/>
      <c r="M2" s="25"/>
    </row>
    <row r="3" spans="1:13" ht="25.5" hidden="1" outlineLevel="1" x14ac:dyDescent="0.25">
      <c r="A3" s="27">
        <f>A2+0.0001</f>
        <v>1.0001</v>
      </c>
      <c r="B3" s="28" t="s">
        <v>60</v>
      </c>
      <c r="C3" s="9" t="s">
        <v>102</v>
      </c>
      <c r="D3" s="7" t="s">
        <v>103</v>
      </c>
      <c r="E3" s="51"/>
      <c r="F3" s="6"/>
      <c r="G3" s="8" t="s">
        <v>5</v>
      </c>
      <c r="H3" s="8">
        <f t="shared" ref="H3:L18" si="0">IF($G3=H$1,1,0)</f>
        <v>1</v>
      </c>
      <c r="I3" s="8">
        <f t="shared" si="0"/>
        <v>0</v>
      </c>
      <c r="J3" s="8">
        <f t="shared" si="0"/>
        <v>0</v>
      </c>
      <c r="K3" s="8">
        <f t="shared" si="0"/>
        <v>0</v>
      </c>
      <c r="L3" s="8">
        <f t="shared" si="0"/>
        <v>0</v>
      </c>
      <c r="M3" s="7"/>
    </row>
    <row r="4" spans="1:13" hidden="1" outlineLevel="1" x14ac:dyDescent="0.25">
      <c r="A4" s="27">
        <f t="shared" ref="A4:A40" si="1">A3+0.0001</f>
        <v>1.0002</v>
      </c>
      <c r="B4" s="29" t="s">
        <v>58</v>
      </c>
      <c r="C4" s="6"/>
      <c r="D4" s="21"/>
      <c r="E4" s="52"/>
      <c r="F4" s="6"/>
      <c r="G4" s="8" t="s">
        <v>5</v>
      </c>
      <c r="H4" s="8">
        <f t="shared" si="0"/>
        <v>1</v>
      </c>
      <c r="I4" s="8">
        <f t="shared" si="0"/>
        <v>0</v>
      </c>
      <c r="J4" s="8">
        <f t="shared" si="0"/>
        <v>0</v>
      </c>
      <c r="K4" s="8">
        <f t="shared" si="0"/>
        <v>0</v>
      </c>
      <c r="L4" s="8">
        <f t="shared" si="0"/>
        <v>0</v>
      </c>
      <c r="M4" s="7"/>
    </row>
    <row r="5" spans="1:13" hidden="1" outlineLevel="1" x14ac:dyDescent="0.25">
      <c r="A5" s="27">
        <f t="shared" si="1"/>
        <v>1.0003</v>
      </c>
      <c r="B5" s="29" t="s">
        <v>59</v>
      </c>
      <c r="C5" s="6"/>
      <c r="D5" s="7"/>
      <c r="E5" s="51"/>
      <c r="F5" s="7"/>
      <c r="G5" s="8" t="s">
        <v>5</v>
      </c>
      <c r="H5" s="8">
        <f t="shared" si="0"/>
        <v>1</v>
      </c>
      <c r="I5" s="8">
        <f t="shared" si="0"/>
        <v>0</v>
      </c>
      <c r="J5" s="8">
        <f t="shared" si="0"/>
        <v>0</v>
      </c>
      <c r="K5" s="8">
        <f t="shared" si="0"/>
        <v>0</v>
      </c>
      <c r="L5" s="8">
        <f t="shared" si="0"/>
        <v>0</v>
      </c>
      <c r="M5" s="7"/>
    </row>
    <row r="6" spans="1:13" hidden="1" outlineLevel="1" x14ac:dyDescent="0.25">
      <c r="A6" s="27">
        <f t="shared" si="1"/>
        <v>1.0004</v>
      </c>
      <c r="B6" s="28" t="s">
        <v>61</v>
      </c>
      <c r="C6" s="31" t="s">
        <v>62</v>
      </c>
      <c r="D6" s="7"/>
      <c r="E6" s="51"/>
      <c r="F6" s="7"/>
      <c r="G6" s="8" t="s">
        <v>5</v>
      </c>
      <c r="H6" s="8">
        <f t="shared" si="0"/>
        <v>1</v>
      </c>
      <c r="I6" s="8">
        <f t="shared" si="0"/>
        <v>0</v>
      </c>
      <c r="J6" s="8">
        <f t="shared" si="0"/>
        <v>0</v>
      </c>
      <c r="K6" s="8">
        <f t="shared" si="0"/>
        <v>0</v>
      </c>
      <c r="L6" s="8">
        <f t="shared" si="0"/>
        <v>0</v>
      </c>
      <c r="M6" s="7"/>
    </row>
    <row r="7" spans="1:13" ht="51" hidden="1" outlineLevel="1" x14ac:dyDescent="0.25">
      <c r="A7" s="27">
        <f t="shared" si="1"/>
        <v>1.0004999999999999</v>
      </c>
      <c r="B7" s="29" t="s">
        <v>63</v>
      </c>
      <c r="C7" s="31" t="s">
        <v>64</v>
      </c>
      <c r="D7" s="7"/>
      <c r="E7" s="51"/>
      <c r="F7" s="7"/>
      <c r="G7" s="8" t="s">
        <v>5</v>
      </c>
      <c r="H7" s="8">
        <f t="shared" si="0"/>
        <v>1</v>
      </c>
      <c r="I7" s="8">
        <f t="shared" si="0"/>
        <v>0</v>
      </c>
      <c r="J7" s="8">
        <f t="shared" si="0"/>
        <v>0</v>
      </c>
      <c r="K7" s="8">
        <f t="shared" si="0"/>
        <v>0</v>
      </c>
      <c r="L7" s="8">
        <f t="shared" si="0"/>
        <v>0</v>
      </c>
      <c r="M7" s="7"/>
    </row>
    <row r="8" spans="1:13" hidden="1" outlineLevel="1" x14ac:dyDescent="0.25">
      <c r="A8" s="27">
        <f t="shared" si="1"/>
        <v>1.0005999999999999</v>
      </c>
      <c r="B8" s="29" t="s">
        <v>65</v>
      </c>
      <c r="C8" s="31" t="s">
        <v>104</v>
      </c>
      <c r="D8" s="7"/>
      <c r="E8" s="51"/>
      <c r="F8" s="7"/>
      <c r="G8" s="8" t="s">
        <v>5</v>
      </c>
      <c r="H8" s="8">
        <f t="shared" si="0"/>
        <v>1</v>
      </c>
      <c r="I8" s="8">
        <f t="shared" si="0"/>
        <v>0</v>
      </c>
      <c r="J8" s="8">
        <f t="shared" si="0"/>
        <v>0</v>
      </c>
      <c r="K8" s="8">
        <f t="shared" si="0"/>
        <v>0</v>
      </c>
      <c r="L8" s="8">
        <f t="shared" si="0"/>
        <v>0</v>
      </c>
      <c r="M8" s="7"/>
    </row>
    <row r="9" spans="1:13" hidden="1" outlineLevel="1" x14ac:dyDescent="0.25">
      <c r="A9" s="27">
        <f t="shared" si="1"/>
        <v>1.0006999999999999</v>
      </c>
      <c r="B9" s="29" t="s">
        <v>66</v>
      </c>
      <c r="C9" s="31" t="s">
        <v>67</v>
      </c>
      <c r="D9" s="7"/>
      <c r="E9" s="51"/>
      <c r="F9" s="7"/>
      <c r="G9" s="8" t="s">
        <v>5</v>
      </c>
      <c r="H9" s="8">
        <f t="shared" si="0"/>
        <v>1</v>
      </c>
      <c r="I9" s="8">
        <f t="shared" si="0"/>
        <v>0</v>
      </c>
      <c r="J9" s="8">
        <f t="shared" si="0"/>
        <v>0</v>
      </c>
      <c r="K9" s="8">
        <f t="shared" si="0"/>
        <v>0</v>
      </c>
      <c r="L9" s="8">
        <f t="shared" si="0"/>
        <v>0</v>
      </c>
      <c r="M9" s="7"/>
    </row>
    <row r="10" spans="1:13" ht="38.25" hidden="1" outlineLevel="1" x14ac:dyDescent="0.25">
      <c r="A10" s="27">
        <f t="shared" si="1"/>
        <v>1.0007999999999999</v>
      </c>
      <c r="B10" s="29" t="s">
        <v>68</v>
      </c>
      <c r="C10" s="31" t="s">
        <v>69</v>
      </c>
      <c r="D10" s="7"/>
      <c r="E10" s="51"/>
      <c r="F10" s="7"/>
      <c r="G10" s="8" t="s">
        <v>5</v>
      </c>
      <c r="H10" s="8">
        <f t="shared" si="0"/>
        <v>1</v>
      </c>
      <c r="I10" s="8">
        <f t="shared" si="0"/>
        <v>0</v>
      </c>
      <c r="J10" s="8">
        <f t="shared" si="0"/>
        <v>0</v>
      </c>
      <c r="K10" s="8">
        <f t="shared" si="0"/>
        <v>0</v>
      </c>
      <c r="L10" s="8">
        <f t="shared" si="0"/>
        <v>0</v>
      </c>
      <c r="M10" s="7"/>
    </row>
    <row r="11" spans="1:13" hidden="1" outlineLevel="1" x14ac:dyDescent="0.25">
      <c r="A11" s="27">
        <f t="shared" si="1"/>
        <v>1.0008999999999999</v>
      </c>
      <c r="B11" s="29" t="s">
        <v>70</v>
      </c>
      <c r="C11" s="31"/>
      <c r="D11" s="7"/>
      <c r="E11" s="51"/>
      <c r="F11" s="7"/>
      <c r="G11" s="8" t="s">
        <v>5</v>
      </c>
      <c r="H11" s="8">
        <f t="shared" si="0"/>
        <v>1</v>
      </c>
      <c r="I11" s="8">
        <f t="shared" si="0"/>
        <v>0</v>
      </c>
      <c r="J11" s="8">
        <f t="shared" si="0"/>
        <v>0</v>
      </c>
      <c r="K11" s="8">
        <f t="shared" si="0"/>
        <v>0</v>
      </c>
      <c r="L11" s="8">
        <f t="shared" si="0"/>
        <v>0</v>
      </c>
      <c r="M11" s="7"/>
    </row>
    <row r="12" spans="1:13" ht="25.5" hidden="1" outlineLevel="1" x14ac:dyDescent="0.25">
      <c r="A12" s="27">
        <f t="shared" si="1"/>
        <v>1.0009999999999999</v>
      </c>
      <c r="B12" s="35" t="s">
        <v>107</v>
      </c>
      <c r="C12" s="31" t="s">
        <v>71</v>
      </c>
      <c r="D12" s="7"/>
      <c r="E12" s="51"/>
      <c r="F12" s="7"/>
      <c r="G12" s="8" t="s">
        <v>5</v>
      </c>
      <c r="H12" s="8">
        <f t="shared" si="0"/>
        <v>1</v>
      </c>
      <c r="I12" s="8">
        <f t="shared" si="0"/>
        <v>0</v>
      </c>
      <c r="J12" s="8">
        <f t="shared" si="0"/>
        <v>0</v>
      </c>
      <c r="K12" s="8">
        <f t="shared" si="0"/>
        <v>0</v>
      </c>
      <c r="L12" s="8">
        <f t="shared" si="0"/>
        <v>0</v>
      </c>
      <c r="M12" s="7"/>
    </row>
    <row r="13" spans="1:13" ht="25.5" hidden="1" outlineLevel="1" x14ac:dyDescent="0.25">
      <c r="A13" s="27">
        <f t="shared" si="1"/>
        <v>1.0010999999999999</v>
      </c>
      <c r="B13" s="29" t="s">
        <v>72</v>
      </c>
      <c r="C13" s="31" t="s">
        <v>73</v>
      </c>
      <c r="D13" s="7"/>
      <c r="E13" s="51"/>
      <c r="F13" s="7"/>
      <c r="G13" s="8" t="s">
        <v>5</v>
      </c>
      <c r="H13" s="8">
        <f t="shared" si="0"/>
        <v>1</v>
      </c>
      <c r="I13" s="8">
        <f t="shared" si="0"/>
        <v>0</v>
      </c>
      <c r="J13" s="8">
        <f t="shared" si="0"/>
        <v>0</v>
      </c>
      <c r="K13" s="8">
        <f t="shared" si="0"/>
        <v>0</v>
      </c>
      <c r="L13" s="8">
        <f t="shared" si="0"/>
        <v>0</v>
      </c>
      <c r="M13" s="7"/>
    </row>
    <row r="14" spans="1:13" hidden="1" outlineLevel="1" x14ac:dyDescent="0.25">
      <c r="A14" s="27">
        <f t="shared" si="1"/>
        <v>1.0011999999999999</v>
      </c>
      <c r="B14" s="30"/>
      <c r="C14" s="31" t="s">
        <v>74</v>
      </c>
      <c r="D14" s="7"/>
      <c r="E14" s="51"/>
      <c r="F14" s="7"/>
      <c r="G14" s="8" t="s">
        <v>5</v>
      </c>
      <c r="H14" s="8">
        <f t="shared" si="0"/>
        <v>1</v>
      </c>
      <c r="I14" s="8">
        <f t="shared" si="0"/>
        <v>0</v>
      </c>
      <c r="J14" s="8">
        <f t="shared" si="0"/>
        <v>0</v>
      </c>
      <c r="K14" s="8">
        <f t="shared" si="0"/>
        <v>0</v>
      </c>
      <c r="L14" s="8">
        <f t="shared" si="0"/>
        <v>0</v>
      </c>
      <c r="M14" s="7"/>
    </row>
    <row r="15" spans="1:13" ht="38.25" hidden="1" outlineLevel="1" x14ac:dyDescent="0.25">
      <c r="A15" s="27">
        <f t="shared" si="1"/>
        <v>1.0012999999999999</v>
      </c>
      <c r="B15" s="34" t="s">
        <v>106</v>
      </c>
      <c r="C15" s="31" t="s">
        <v>75</v>
      </c>
      <c r="D15" s="7"/>
      <c r="E15" s="51"/>
      <c r="F15" s="7"/>
      <c r="G15" s="8" t="s">
        <v>5</v>
      </c>
      <c r="H15" s="8">
        <f t="shared" si="0"/>
        <v>1</v>
      </c>
      <c r="I15" s="8">
        <f t="shared" si="0"/>
        <v>0</v>
      </c>
      <c r="J15" s="8">
        <f t="shared" si="0"/>
        <v>0</v>
      </c>
      <c r="K15" s="8">
        <f t="shared" si="0"/>
        <v>0</v>
      </c>
      <c r="L15" s="8">
        <f t="shared" si="0"/>
        <v>0</v>
      </c>
      <c r="M15" s="7"/>
    </row>
    <row r="16" spans="1:13" ht="25.5" hidden="1" outlineLevel="1" x14ac:dyDescent="0.25">
      <c r="A16" s="27">
        <f t="shared" si="1"/>
        <v>1.0013999999999998</v>
      </c>
      <c r="B16" s="29"/>
      <c r="C16" s="31" t="s">
        <v>76</v>
      </c>
      <c r="D16" s="7"/>
      <c r="E16" s="51"/>
      <c r="F16" s="7"/>
      <c r="G16" s="8" t="s">
        <v>5</v>
      </c>
      <c r="H16" s="8">
        <f t="shared" si="0"/>
        <v>1</v>
      </c>
      <c r="I16" s="8">
        <f t="shared" si="0"/>
        <v>0</v>
      </c>
      <c r="J16" s="8">
        <f t="shared" si="0"/>
        <v>0</v>
      </c>
      <c r="K16" s="8">
        <f t="shared" si="0"/>
        <v>0</v>
      </c>
      <c r="L16" s="8">
        <f t="shared" si="0"/>
        <v>0</v>
      </c>
      <c r="M16" s="7"/>
    </row>
    <row r="17" spans="1:13" ht="25.5" hidden="1" outlineLevel="1" x14ac:dyDescent="0.25">
      <c r="A17" s="27">
        <f t="shared" si="1"/>
        <v>1.0014999999999998</v>
      </c>
      <c r="B17" s="29" t="s">
        <v>77</v>
      </c>
      <c r="C17" s="31" t="s">
        <v>78</v>
      </c>
      <c r="D17" s="7"/>
      <c r="E17" s="51"/>
      <c r="F17" s="7"/>
      <c r="G17" s="8" t="s">
        <v>5</v>
      </c>
      <c r="H17" s="8">
        <f t="shared" si="0"/>
        <v>1</v>
      </c>
      <c r="I17" s="8">
        <f t="shared" si="0"/>
        <v>0</v>
      </c>
      <c r="J17" s="8">
        <f t="shared" si="0"/>
        <v>0</v>
      </c>
      <c r="K17" s="8">
        <f t="shared" si="0"/>
        <v>0</v>
      </c>
      <c r="L17" s="8">
        <f t="shared" si="0"/>
        <v>0</v>
      </c>
      <c r="M17" s="7"/>
    </row>
    <row r="18" spans="1:13" hidden="1" outlineLevel="1" x14ac:dyDescent="0.25">
      <c r="A18" s="27">
        <f t="shared" si="1"/>
        <v>1.0015999999999998</v>
      </c>
      <c r="B18" s="29"/>
      <c r="C18" s="31" t="s">
        <v>80</v>
      </c>
      <c r="D18" s="7"/>
      <c r="E18" s="51"/>
      <c r="F18" s="7"/>
      <c r="G18" s="8" t="s">
        <v>5</v>
      </c>
      <c r="H18" s="8">
        <f t="shared" si="0"/>
        <v>1</v>
      </c>
      <c r="I18" s="8">
        <f t="shared" si="0"/>
        <v>0</v>
      </c>
      <c r="J18" s="8">
        <f t="shared" si="0"/>
        <v>0</v>
      </c>
      <c r="K18" s="8">
        <f t="shared" si="0"/>
        <v>0</v>
      </c>
      <c r="L18" s="8">
        <f t="shared" si="0"/>
        <v>0</v>
      </c>
      <c r="M18" s="7"/>
    </row>
    <row r="19" spans="1:13" hidden="1" outlineLevel="1" x14ac:dyDescent="0.25">
      <c r="A19" s="27">
        <f t="shared" si="1"/>
        <v>1.0016999999999998</v>
      </c>
      <c r="B19" s="29" t="s">
        <v>81</v>
      </c>
      <c r="C19" s="31" t="s">
        <v>82</v>
      </c>
      <c r="D19" s="7"/>
      <c r="E19" s="51"/>
      <c r="F19" s="7"/>
      <c r="G19" s="8" t="s">
        <v>5</v>
      </c>
      <c r="H19" s="8">
        <f t="shared" ref="H19:L40" si="2">IF($G19=H$1,1,0)</f>
        <v>1</v>
      </c>
      <c r="I19" s="8">
        <f t="shared" si="2"/>
        <v>0</v>
      </c>
      <c r="J19" s="8">
        <f t="shared" si="2"/>
        <v>0</v>
      </c>
      <c r="K19" s="8">
        <f t="shared" si="2"/>
        <v>0</v>
      </c>
      <c r="L19" s="8">
        <f t="shared" si="2"/>
        <v>0</v>
      </c>
      <c r="M19" s="7"/>
    </row>
    <row r="20" spans="1:13" ht="25.5" hidden="1" outlineLevel="1" x14ac:dyDescent="0.25">
      <c r="A20" s="27">
        <f t="shared" si="1"/>
        <v>1.0017999999999998</v>
      </c>
      <c r="B20" s="29"/>
      <c r="C20" s="31" t="s">
        <v>83</v>
      </c>
      <c r="D20" s="7"/>
      <c r="E20" s="51"/>
      <c r="F20" s="7"/>
      <c r="G20" s="8" t="s">
        <v>5</v>
      </c>
      <c r="H20" s="8">
        <f t="shared" si="2"/>
        <v>1</v>
      </c>
      <c r="I20" s="8">
        <f t="shared" si="2"/>
        <v>0</v>
      </c>
      <c r="J20" s="8">
        <f t="shared" si="2"/>
        <v>0</v>
      </c>
      <c r="K20" s="8">
        <f t="shared" si="2"/>
        <v>0</v>
      </c>
      <c r="L20" s="8">
        <f t="shared" si="2"/>
        <v>0</v>
      </c>
      <c r="M20" s="7"/>
    </row>
    <row r="21" spans="1:13" ht="25.5" hidden="1" outlineLevel="1" x14ac:dyDescent="0.25">
      <c r="A21" s="27">
        <f t="shared" si="1"/>
        <v>1.0018999999999998</v>
      </c>
      <c r="B21" s="29" t="s">
        <v>79</v>
      </c>
      <c r="C21" s="31" t="s">
        <v>84</v>
      </c>
      <c r="D21" s="7"/>
      <c r="E21" s="51"/>
      <c r="F21" s="7"/>
      <c r="G21" s="8" t="s">
        <v>5</v>
      </c>
      <c r="H21" s="8">
        <f t="shared" si="2"/>
        <v>1</v>
      </c>
      <c r="I21" s="8">
        <f t="shared" si="2"/>
        <v>0</v>
      </c>
      <c r="J21" s="8">
        <f t="shared" si="2"/>
        <v>0</v>
      </c>
      <c r="K21" s="8">
        <f t="shared" si="2"/>
        <v>0</v>
      </c>
      <c r="L21" s="8">
        <f t="shared" si="2"/>
        <v>0</v>
      </c>
      <c r="M21" s="7"/>
    </row>
    <row r="22" spans="1:13" hidden="1" outlineLevel="1" x14ac:dyDescent="0.25">
      <c r="A22" s="27">
        <f t="shared" si="1"/>
        <v>1.0019999999999998</v>
      </c>
      <c r="B22" s="29" t="s">
        <v>85</v>
      </c>
      <c r="C22" s="31" t="s">
        <v>105</v>
      </c>
      <c r="D22" s="7"/>
      <c r="E22" s="51"/>
      <c r="F22" s="7"/>
      <c r="G22" s="8" t="s">
        <v>5</v>
      </c>
      <c r="H22" s="8">
        <f t="shared" si="2"/>
        <v>1</v>
      </c>
      <c r="I22" s="8">
        <f t="shared" si="2"/>
        <v>0</v>
      </c>
      <c r="J22" s="8">
        <f t="shared" si="2"/>
        <v>0</v>
      </c>
      <c r="K22" s="8">
        <f t="shared" si="2"/>
        <v>0</v>
      </c>
      <c r="L22" s="8">
        <f t="shared" si="2"/>
        <v>0</v>
      </c>
      <c r="M22" s="7"/>
    </row>
    <row r="23" spans="1:13" hidden="1" outlineLevel="1" x14ac:dyDescent="0.25">
      <c r="A23" s="27">
        <f t="shared" si="1"/>
        <v>1.0020999999999998</v>
      </c>
      <c r="B23" s="29" t="s">
        <v>86</v>
      </c>
      <c r="C23" s="31" t="s">
        <v>87</v>
      </c>
      <c r="D23" s="7"/>
      <c r="E23" s="51"/>
      <c r="F23" s="7"/>
      <c r="G23" s="8" t="s">
        <v>5</v>
      </c>
      <c r="H23" s="8">
        <f t="shared" si="2"/>
        <v>1</v>
      </c>
      <c r="I23" s="8">
        <f t="shared" si="2"/>
        <v>0</v>
      </c>
      <c r="J23" s="8">
        <f t="shared" si="2"/>
        <v>0</v>
      </c>
      <c r="K23" s="8">
        <f t="shared" si="2"/>
        <v>0</v>
      </c>
      <c r="L23" s="8">
        <f t="shared" si="2"/>
        <v>0</v>
      </c>
      <c r="M23" s="7"/>
    </row>
    <row r="24" spans="1:13" hidden="1" outlineLevel="1" x14ac:dyDescent="0.25">
      <c r="A24" s="27">
        <f t="shared" si="1"/>
        <v>1.0021999999999998</v>
      </c>
      <c r="B24" s="35" t="s">
        <v>108</v>
      </c>
      <c r="C24" s="31"/>
      <c r="D24" s="7"/>
      <c r="E24" s="51"/>
      <c r="F24" s="7"/>
      <c r="G24" s="8" t="s">
        <v>5</v>
      </c>
      <c r="H24" s="8">
        <f t="shared" si="2"/>
        <v>1</v>
      </c>
      <c r="I24" s="8">
        <f t="shared" si="2"/>
        <v>0</v>
      </c>
      <c r="J24" s="8">
        <f t="shared" si="2"/>
        <v>0</v>
      </c>
      <c r="K24" s="8">
        <f t="shared" si="2"/>
        <v>0</v>
      </c>
      <c r="L24" s="8">
        <f t="shared" si="2"/>
        <v>0</v>
      </c>
      <c r="M24" s="7"/>
    </row>
    <row r="25" spans="1:13" hidden="1" outlineLevel="1" x14ac:dyDescent="0.25">
      <c r="A25" s="27">
        <f t="shared" si="1"/>
        <v>1.0022999999999997</v>
      </c>
      <c r="B25" s="29" t="s">
        <v>88</v>
      </c>
      <c r="C25" s="31" t="s">
        <v>89</v>
      </c>
      <c r="D25" s="7"/>
      <c r="E25" s="51"/>
      <c r="F25" s="7"/>
      <c r="G25" s="8" t="s">
        <v>5</v>
      </c>
      <c r="H25" s="8">
        <f t="shared" si="2"/>
        <v>1</v>
      </c>
      <c r="I25" s="8">
        <f t="shared" si="2"/>
        <v>0</v>
      </c>
      <c r="J25" s="8">
        <f t="shared" si="2"/>
        <v>0</v>
      </c>
      <c r="K25" s="8">
        <f t="shared" si="2"/>
        <v>0</v>
      </c>
      <c r="L25" s="8">
        <f t="shared" si="2"/>
        <v>0</v>
      </c>
      <c r="M25" s="7"/>
    </row>
    <row r="26" spans="1:13" hidden="1" outlineLevel="1" x14ac:dyDescent="0.25">
      <c r="A26" s="27">
        <f t="shared" si="1"/>
        <v>1.0023999999999997</v>
      </c>
      <c r="B26" s="29" t="s">
        <v>109</v>
      </c>
      <c r="C26" s="31" t="s">
        <v>90</v>
      </c>
      <c r="D26" s="7"/>
      <c r="E26" s="51"/>
      <c r="F26" s="7"/>
      <c r="G26" s="8" t="s">
        <v>5</v>
      </c>
      <c r="H26" s="8">
        <f t="shared" si="2"/>
        <v>1</v>
      </c>
      <c r="I26" s="8">
        <f t="shared" si="2"/>
        <v>0</v>
      </c>
      <c r="J26" s="8">
        <f t="shared" si="2"/>
        <v>0</v>
      </c>
      <c r="K26" s="8">
        <f t="shared" si="2"/>
        <v>0</v>
      </c>
      <c r="L26" s="8">
        <f t="shared" si="2"/>
        <v>0</v>
      </c>
      <c r="M26" s="7"/>
    </row>
    <row r="27" spans="1:13" hidden="1" outlineLevel="1" x14ac:dyDescent="0.25">
      <c r="A27" s="27">
        <f t="shared" si="1"/>
        <v>1.0024999999999997</v>
      </c>
      <c r="B27" s="29"/>
      <c r="C27" s="31" t="s">
        <v>91</v>
      </c>
      <c r="D27" s="7"/>
      <c r="E27" s="51"/>
      <c r="F27" s="7"/>
      <c r="G27" s="8" t="s">
        <v>5</v>
      </c>
      <c r="H27" s="8">
        <f t="shared" si="2"/>
        <v>1</v>
      </c>
      <c r="I27" s="8">
        <f t="shared" si="2"/>
        <v>0</v>
      </c>
      <c r="J27" s="8">
        <f t="shared" si="2"/>
        <v>0</v>
      </c>
      <c r="K27" s="8">
        <f t="shared" si="2"/>
        <v>0</v>
      </c>
      <c r="L27" s="8">
        <f t="shared" si="2"/>
        <v>0</v>
      </c>
      <c r="M27" s="7"/>
    </row>
    <row r="28" spans="1:13" ht="25.5" hidden="1" outlineLevel="1" x14ac:dyDescent="0.25">
      <c r="A28" s="27">
        <f t="shared" si="1"/>
        <v>1.0025999999999997</v>
      </c>
      <c r="B28" s="29"/>
      <c r="C28" s="31" t="s">
        <v>92</v>
      </c>
      <c r="D28" s="7"/>
      <c r="E28" s="51"/>
      <c r="F28" s="7"/>
      <c r="G28" s="8" t="s">
        <v>5</v>
      </c>
      <c r="H28" s="8">
        <f t="shared" si="2"/>
        <v>1</v>
      </c>
      <c r="I28" s="8">
        <f t="shared" si="2"/>
        <v>0</v>
      </c>
      <c r="J28" s="8">
        <f t="shared" si="2"/>
        <v>0</v>
      </c>
      <c r="K28" s="8">
        <f t="shared" si="2"/>
        <v>0</v>
      </c>
      <c r="L28" s="8">
        <f t="shared" si="2"/>
        <v>0</v>
      </c>
      <c r="M28" s="7"/>
    </row>
    <row r="29" spans="1:13" hidden="1" outlineLevel="1" x14ac:dyDescent="0.25">
      <c r="A29" s="27">
        <f t="shared" si="1"/>
        <v>1.0026999999999997</v>
      </c>
      <c r="B29" s="29" t="s">
        <v>101</v>
      </c>
      <c r="C29" s="31" t="s">
        <v>110</v>
      </c>
      <c r="D29" s="7"/>
      <c r="E29" s="51"/>
      <c r="F29" s="7"/>
      <c r="G29" s="8" t="s">
        <v>5</v>
      </c>
      <c r="H29" s="8">
        <f t="shared" si="2"/>
        <v>1</v>
      </c>
      <c r="I29" s="8">
        <f t="shared" si="2"/>
        <v>0</v>
      </c>
      <c r="J29" s="8">
        <f t="shared" si="2"/>
        <v>0</v>
      </c>
      <c r="K29" s="8">
        <f t="shared" si="2"/>
        <v>0</v>
      </c>
      <c r="L29" s="8">
        <f t="shared" si="2"/>
        <v>0</v>
      </c>
      <c r="M29" s="7"/>
    </row>
    <row r="30" spans="1:13" hidden="1" outlineLevel="1" x14ac:dyDescent="0.25">
      <c r="A30" s="27">
        <f t="shared" si="1"/>
        <v>1.0027999999999997</v>
      </c>
      <c r="B30" s="30" t="s">
        <v>112</v>
      </c>
      <c r="C30" s="31" t="s">
        <v>111</v>
      </c>
      <c r="D30" s="21" t="s">
        <v>113</v>
      </c>
      <c r="E30" s="52"/>
      <c r="F30" s="7"/>
      <c r="G30" s="8" t="s">
        <v>5</v>
      </c>
      <c r="H30" s="8">
        <f t="shared" si="2"/>
        <v>1</v>
      </c>
      <c r="I30" s="8">
        <f t="shared" si="2"/>
        <v>0</v>
      </c>
      <c r="J30" s="8">
        <f t="shared" si="2"/>
        <v>0</v>
      </c>
      <c r="K30" s="8">
        <f t="shared" si="2"/>
        <v>0</v>
      </c>
      <c r="L30" s="8">
        <f t="shared" si="2"/>
        <v>0</v>
      </c>
      <c r="M30" s="7"/>
    </row>
    <row r="31" spans="1:13" hidden="1" outlineLevel="1" x14ac:dyDescent="0.25">
      <c r="A31" s="27">
        <f t="shared" si="1"/>
        <v>1.0028999999999997</v>
      </c>
      <c r="B31" s="29" t="s">
        <v>94</v>
      </c>
      <c r="C31" s="31" t="s">
        <v>95</v>
      </c>
      <c r="D31" s="7"/>
      <c r="E31" s="51"/>
      <c r="F31" s="7"/>
      <c r="G31" s="8" t="s">
        <v>5</v>
      </c>
      <c r="H31" s="8">
        <f t="shared" si="2"/>
        <v>1</v>
      </c>
      <c r="I31" s="8">
        <f t="shared" si="2"/>
        <v>0</v>
      </c>
      <c r="J31" s="8">
        <f t="shared" si="2"/>
        <v>0</v>
      </c>
      <c r="K31" s="8">
        <f t="shared" si="2"/>
        <v>0</v>
      </c>
      <c r="L31" s="8">
        <f t="shared" si="2"/>
        <v>0</v>
      </c>
      <c r="M31" s="7"/>
    </row>
    <row r="32" spans="1:13" hidden="1" outlineLevel="1" x14ac:dyDescent="0.25">
      <c r="A32" s="27">
        <f t="shared" si="1"/>
        <v>1.0029999999999997</v>
      </c>
      <c r="B32" s="29" t="s">
        <v>114</v>
      </c>
      <c r="C32" s="31" t="s">
        <v>93</v>
      </c>
      <c r="D32" s="7"/>
      <c r="E32" s="51"/>
      <c r="F32" s="7"/>
      <c r="G32" s="8" t="s">
        <v>5</v>
      </c>
      <c r="H32" s="8">
        <f t="shared" si="2"/>
        <v>1</v>
      </c>
      <c r="I32" s="8">
        <f t="shared" si="2"/>
        <v>0</v>
      </c>
      <c r="J32" s="8">
        <f t="shared" si="2"/>
        <v>0</v>
      </c>
      <c r="K32" s="8">
        <f t="shared" si="2"/>
        <v>0</v>
      </c>
      <c r="L32" s="8">
        <f t="shared" si="2"/>
        <v>0</v>
      </c>
      <c r="M32" s="7"/>
    </row>
    <row r="33" spans="1:13" hidden="1" outlineLevel="1" x14ac:dyDescent="0.25">
      <c r="A33" s="27">
        <f t="shared" si="1"/>
        <v>1.0030999999999997</v>
      </c>
      <c r="B33" s="29"/>
      <c r="C33" s="31" t="s">
        <v>96</v>
      </c>
      <c r="D33" s="7"/>
      <c r="E33" s="51"/>
      <c r="F33" s="7"/>
      <c r="G33" s="8" t="s">
        <v>5</v>
      </c>
      <c r="H33" s="8">
        <f t="shared" si="2"/>
        <v>1</v>
      </c>
      <c r="I33" s="8">
        <f t="shared" si="2"/>
        <v>0</v>
      </c>
      <c r="J33" s="8">
        <f t="shared" si="2"/>
        <v>0</v>
      </c>
      <c r="K33" s="8">
        <f t="shared" si="2"/>
        <v>0</v>
      </c>
      <c r="L33" s="8">
        <f t="shared" si="2"/>
        <v>0</v>
      </c>
      <c r="M33" s="7"/>
    </row>
    <row r="34" spans="1:13" ht="25.5" hidden="1" outlineLevel="1" x14ac:dyDescent="0.25">
      <c r="A34" s="27">
        <f t="shared" si="1"/>
        <v>1.0031999999999996</v>
      </c>
      <c r="B34" s="29"/>
      <c r="C34" s="31" t="s">
        <v>97</v>
      </c>
      <c r="D34" s="7"/>
      <c r="E34" s="51"/>
      <c r="F34" s="7"/>
      <c r="G34" s="8" t="s">
        <v>5</v>
      </c>
      <c r="H34" s="8">
        <f t="shared" si="2"/>
        <v>1</v>
      </c>
      <c r="I34" s="8">
        <f t="shared" si="2"/>
        <v>0</v>
      </c>
      <c r="J34" s="8">
        <f t="shared" si="2"/>
        <v>0</v>
      </c>
      <c r="K34" s="8">
        <f t="shared" si="2"/>
        <v>0</v>
      </c>
      <c r="L34" s="8">
        <f t="shared" si="2"/>
        <v>0</v>
      </c>
      <c r="M34" s="7"/>
    </row>
    <row r="35" spans="1:13" hidden="1" outlineLevel="1" x14ac:dyDescent="0.25">
      <c r="A35" s="27">
        <f t="shared" si="1"/>
        <v>1.0032999999999996</v>
      </c>
      <c r="B35" s="28" t="s">
        <v>98</v>
      </c>
      <c r="C35" s="31" t="s">
        <v>99</v>
      </c>
      <c r="D35" s="7"/>
      <c r="E35" s="51"/>
      <c r="F35" s="7"/>
      <c r="G35" s="8" t="s">
        <v>5</v>
      </c>
      <c r="H35" s="8">
        <f t="shared" si="2"/>
        <v>1</v>
      </c>
      <c r="I35" s="8">
        <f t="shared" si="2"/>
        <v>0</v>
      </c>
      <c r="J35" s="8">
        <f t="shared" si="2"/>
        <v>0</v>
      </c>
      <c r="K35" s="8">
        <f t="shared" si="2"/>
        <v>0</v>
      </c>
      <c r="L35" s="8">
        <f t="shared" si="2"/>
        <v>0</v>
      </c>
      <c r="M35" s="7"/>
    </row>
    <row r="36" spans="1:13" ht="25.5" hidden="1" outlineLevel="1" x14ac:dyDescent="0.25">
      <c r="A36" s="27">
        <f t="shared" si="1"/>
        <v>1.0033999999999996</v>
      </c>
      <c r="B36" s="29" t="s">
        <v>115</v>
      </c>
      <c r="C36" s="33" t="s">
        <v>100</v>
      </c>
      <c r="D36" s="7"/>
      <c r="E36" s="51"/>
      <c r="F36" s="7"/>
      <c r="G36" s="8" t="s">
        <v>5</v>
      </c>
      <c r="H36" s="8">
        <f t="shared" si="2"/>
        <v>1</v>
      </c>
      <c r="I36" s="8">
        <f t="shared" si="2"/>
        <v>0</v>
      </c>
      <c r="J36" s="8">
        <f t="shared" si="2"/>
        <v>0</v>
      </c>
      <c r="K36" s="8">
        <f t="shared" si="2"/>
        <v>0</v>
      </c>
      <c r="L36" s="8">
        <f t="shared" si="2"/>
        <v>0</v>
      </c>
      <c r="M36" s="7"/>
    </row>
    <row r="37" spans="1:13" hidden="1" outlineLevel="1" x14ac:dyDescent="0.25">
      <c r="A37" s="27">
        <f t="shared" si="1"/>
        <v>1.0034999999999996</v>
      </c>
      <c r="B37" s="6" t="s">
        <v>116</v>
      </c>
      <c r="C37" s="6" t="s">
        <v>117</v>
      </c>
      <c r="D37" s="7"/>
      <c r="E37" s="51"/>
      <c r="F37" s="7"/>
      <c r="G37" s="8" t="s">
        <v>5</v>
      </c>
      <c r="H37" s="8">
        <f t="shared" si="2"/>
        <v>1</v>
      </c>
      <c r="I37" s="8">
        <f t="shared" si="2"/>
        <v>0</v>
      </c>
      <c r="J37" s="8">
        <f t="shared" si="2"/>
        <v>0</v>
      </c>
      <c r="K37" s="8">
        <f t="shared" si="2"/>
        <v>0</v>
      </c>
      <c r="L37" s="8">
        <f t="shared" si="2"/>
        <v>0</v>
      </c>
      <c r="M37" s="7"/>
    </row>
    <row r="38" spans="1:13" hidden="1" outlineLevel="1" x14ac:dyDescent="0.25">
      <c r="A38" s="27">
        <f t="shared" si="1"/>
        <v>1.0035999999999996</v>
      </c>
      <c r="B38" s="6" t="s">
        <v>118</v>
      </c>
      <c r="C38" s="6" t="s">
        <v>119</v>
      </c>
      <c r="D38" s="7"/>
      <c r="E38" s="51"/>
      <c r="F38" s="7"/>
      <c r="G38" s="8" t="s">
        <v>5</v>
      </c>
      <c r="H38" s="8">
        <f t="shared" si="2"/>
        <v>1</v>
      </c>
      <c r="I38" s="8">
        <f t="shared" si="2"/>
        <v>0</v>
      </c>
      <c r="J38" s="8">
        <f t="shared" si="2"/>
        <v>0</v>
      </c>
      <c r="K38" s="8">
        <f t="shared" si="2"/>
        <v>0</v>
      </c>
      <c r="L38" s="8">
        <f t="shared" si="2"/>
        <v>0</v>
      </c>
      <c r="M38" s="7"/>
    </row>
    <row r="39" spans="1:13" hidden="1" outlineLevel="1" x14ac:dyDescent="0.25">
      <c r="A39" s="27">
        <f t="shared" si="1"/>
        <v>1.0036999999999996</v>
      </c>
      <c r="B39" s="6" t="s">
        <v>120</v>
      </c>
      <c r="C39" s="6" t="s">
        <v>131</v>
      </c>
      <c r="D39" s="7"/>
      <c r="E39" s="51"/>
      <c r="F39" s="7"/>
      <c r="G39" s="8" t="s">
        <v>5</v>
      </c>
      <c r="H39" s="8">
        <f t="shared" si="2"/>
        <v>1</v>
      </c>
      <c r="I39" s="8">
        <f t="shared" si="2"/>
        <v>0</v>
      </c>
      <c r="J39" s="8">
        <f t="shared" si="2"/>
        <v>0</v>
      </c>
      <c r="K39" s="8">
        <f t="shared" si="2"/>
        <v>0</v>
      </c>
      <c r="L39" s="8">
        <f t="shared" si="2"/>
        <v>0</v>
      </c>
      <c r="M39" s="7"/>
    </row>
    <row r="40" spans="1:13" hidden="1" outlineLevel="1" x14ac:dyDescent="0.25">
      <c r="A40" s="27">
        <f t="shared" si="1"/>
        <v>1.0037999999999996</v>
      </c>
      <c r="B40" s="6" t="s">
        <v>121</v>
      </c>
      <c r="C40" s="6" t="s">
        <v>122</v>
      </c>
      <c r="D40" s="7"/>
      <c r="E40" s="51"/>
      <c r="F40" s="7"/>
      <c r="G40" s="8" t="s">
        <v>5</v>
      </c>
      <c r="H40" s="8">
        <f t="shared" si="2"/>
        <v>1</v>
      </c>
      <c r="I40" s="8">
        <f t="shared" si="2"/>
        <v>0</v>
      </c>
      <c r="J40" s="8">
        <f t="shared" si="2"/>
        <v>0</v>
      </c>
      <c r="K40" s="8">
        <f t="shared" si="2"/>
        <v>0</v>
      </c>
      <c r="L40" s="8">
        <f t="shared" si="2"/>
        <v>0</v>
      </c>
      <c r="M40" s="7"/>
    </row>
    <row r="41" spans="1:13" collapsed="1" x14ac:dyDescent="0.25">
      <c r="A41" s="37"/>
      <c r="B41" s="6"/>
      <c r="C41" s="30"/>
      <c r="D41" s="32"/>
      <c r="E41" s="53"/>
      <c r="F41" s="32"/>
      <c r="G41" s="8"/>
      <c r="H41" s="38"/>
      <c r="I41" s="38"/>
      <c r="J41" s="38"/>
      <c r="K41" s="38"/>
      <c r="L41" s="38"/>
      <c r="M41" s="32"/>
    </row>
    <row r="42" spans="1:13" s="20" customFormat="1" x14ac:dyDescent="0.25">
      <c r="A42" s="23">
        <v>2</v>
      </c>
      <c r="B42" s="17" t="s">
        <v>123</v>
      </c>
      <c r="C42" s="24"/>
      <c r="D42" s="25"/>
      <c r="E42" s="50"/>
      <c r="F42" s="25"/>
      <c r="G42" s="26"/>
      <c r="H42" s="26"/>
      <c r="I42" s="26"/>
      <c r="J42" s="26"/>
      <c r="K42" s="26"/>
      <c r="L42" s="26"/>
      <c r="M42" s="25"/>
    </row>
    <row r="43" spans="1:13" ht="25.5" hidden="1" outlineLevel="1" x14ac:dyDescent="0.25">
      <c r="A43" s="27">
        <f>A42+0.0001</f>
        <v>2.0001000000000002</v>
      </c>
      <c r="B43" s="28" t="s">
        <v>60</v>
      </c>
      <c r="C43" s="9" t="s">
        <v>102</v>
      </c>
      <c r="D43" s="7" t="s">
        <v>103</v>
      </c>
      <c r="E43" s="51"/>
      <c r="F43" s="6"/>
      <c r="G43" s="8" t="s">
        <v>5</v>
      </c>
      <c r="H43" s="8">
        <f t="shared" ref="H43:L50" si="3">IF($G43=H$1,1,0)</f>
        <v>1</v>
      </c>
      <c r="I43" s="8">
        <f t="shared" si="3"/>
        <v>0</v>
      </c>
      <c r="J43" s="8">
        <f t="shared" si="3"/>
        <v>0</v>
      </c>
      <c r="K43" s="8">
        <f t="shared" si="3"/>
        <v>0</v>
      </c>
      <c r="L43" s="8">
        <f t="shared" si="3"/>
        <v>0</v>
      </c>
      <c r="M43" s="7"/>
    </row>
    <row r="44" spans="1:13" hidden="1" outlineLevel="1" x14ac:dyDescent="0.25">
      <c r="A44" s="27">
        <f t="shared" ref="A44:A50" si="4">A43+0.0001</f>
        <v>2.0002000000000004</v>
      </c>
      <c r="B44" s="29" t="s">
        <v>58</v>
      </c>
      <c r="C44" s="6"/>
      <c r="D44" s="21"/>
      <c r="E44" s="52"/>
      <c r="F44" s="6"/>
      <c r="G44" s="8" t="s">
        <v>5</v>
      </c>
      <c r="H44" s="8">
        <f t="shared" si="3"/>
        <v>1</v>
      </c>
      <c r="I44" s="8">
        <f t="shared" si="3"/>
        <v>0</v>
      </c>
      <c r="J44" s="8">
        <f t="shared" si="3"/>
        <v>0</v>
      </c>
      <c r="K44" s="8">
        <f t="shared" si="3"/>
        <v>0</v>
      </c>
      <c r="L44" s="8">
        <f t="shared" si="3"/>
        <v>0</v>
      </c>
      <c r="M44" s="7"/>
    </row>
    <row r="45" spans="1:13" hidden="1" outlineLevel="1" x14ac:dyDescent="0.25">
      <c r="A45" s="27">
        <f t="shared" si="4"/>
        <v>2.0003000000000006</v>
      </c>
      <c r="B45" s="29" t="s">
        <v>124</v>
      </c>
      <c r="C45" s="6" t="s">
        <v>125</v>
      </c>
      <c r="D45" s="7"/>
      <c r="E45" s="51"/>
      <c r="F45" s="7"/>
      <c r="G45" s="8" t="s">
        <v>5</v>
      </c>
      <c r="H45" s="8">
        <f t="shared" si="3"/>
        <v>1</v>
      </c>
      <c r="I45" s="8">
        <f t="shared" si="3"/>
        <v>0</v>
      </c>
      <c r="J45" s="8">
        <f t="shared" si="3"/>
        <v>0</v>
      </c>
      <c r="K45" s="8">
        <f t="shared" si="3"/>
        <v>0</v>
      </c>
      <c r="L45" s="8">
        <f t="shared" si="3"/>
        <v>0</v>
      </c>
      <c r="M45" s="7"/>
    </row>
    <row r="46" spans="1:13" hidden="1" outlineLevel="1" x14ac:dyDescent="0.25">
      <c r="A46" s="27">
        <f t="shared" si="4"/>
        <v>2.0004000000000008</v>
      </c>
      <c r="B46" s="6"/>
      <c r="C46" s="6" t="s">
        <v>126</v>
      </c>
      <c r="D46" s="7"/>
      <c r="E46" s="51"/>
      <c r="F46" s="7"/>
      <c r="G46" s="8" t="s">
        <v>5</v>
      </c>
      <c r="H46" s="8">
        <f t="shared" si="3"/>
        <v>1</v>
      </c>
      <c r="I46" s="8">
        <f t="shared" si="3"/>
        <v>0</v>
      </c>
      <c r="J46" s="8">
        <f t="shared" si="3"/>
        <v>0</v>
      </c>
      <c r="K46" s="8">
        <f t="shared" si="3"/>
        <v>0</v>
      </c>
      <c r="L46" s="8">
        <f t="shared" si="3"/>
        <v>0</v>
      </c>
      <c r="M46" s="7"/>
    </row>
    <row r="47" spans="1:13" hidden="1" outlineLevel="1" x14ac:dyDescent="0.25">
      <c r="A47" s="27">
        <f t="shared" si="4"/>
        <v>2.0005000000000011</v>
      </c>
      <c r="B47" s="6"/>
      <c r="C47" s="6" t="s">
        <v>127</v>
      </c>
      <c r="D47" s="7"/>
      <c r="E47" s="51"/>
      <c r="F47" s="7"/>
      <c r="G47" s="8" t="s">
        <v>5</v>
      </c>
      <c r="H47" s="8">
        <f t="shared" si="3"/>
        <v>1</v>
      </c>
      <c r="I47" s="8">
        <f t="shared" si="3"/>
        <v>0</v>
      </c>
      <c r="J47" s="8">
        <f t="shared" si="3"/>
        <v>0</v>
      </c>
      <c r="K47" s="8">
        <f t="shared" si="3"/>
        <v>0</v>
      </c>
      <c r="L47" s="8">
        <f t="shared" si="3"/>
        <v>0</v>
      </c>
      <c r="M47" s="7"/>
    </row>
    <row r="48" spans="1:13" hidden="1" outlineLevel="1" x14ac:dyDescent="0.25">
      <c r="A48" s="27">
        <f t="shared" si="4"/>
        <v>2.0006000000000013</v>
      </c>
      <c r="B48" s="6" t="s">
        <v>128</v>
      </c>
      <c r="C48" s="6" t="s">
        <v>129</v>
      </c>
      <c r="D48" s="7"/>
      <c r="E48" s="51"/>
      <c r="F48" s="7"/>
      <c r="G48" s="8" t="s">
        <v>5</v>
      </c>
      <c r="H48" s="8">
        <f t="shared" si="3"/>
        <v>1</v>
      </c>
      <c r="I48" s="8">
        <f t="shared" si="3"/>
        <v>0</v>
      </c>
      <c r="J48" s="8">
        <f t="shared" si="3"/>
        <v>0</v>
      </c>
      <c r="K48" s="8">
        <f t="shared" si="3"/>
        <v>0</v>
      </c>
      <c r="L48" s="8">
        <f t="shared" si="3"/>
        <v>0</v>
      </c>
      <c r="M48" s="7"/>
    </row>
    <row r="49" spans="1:13" hidden="1" outlineLevel="1" x14ac:dyDescent="0.25">
      <c r="A49" s="27">
        <f t="shared" si="4"/>
        <v>2.0007000000000015</v>
      </c>
      <c r="B49" s="6"/>
      <c r="C49" s="6" t="s">
        <v>130</v>
      </c>
      <c r="D49" s="7"/>
      <c r="E49" s="51"/>
      <c r="F49" s="7"/>
      <c r="G49" s="8" t="s">
        <v>5</v>
      </c>
      <c r="H49" s="8">
        <f t="shared" si="3"/>
        <v>1</v>
      </c>
      <c r="I49" s="8">
        <f t="shared" si="3"/>
        <v>0</v>
      </c>
      <c r="J49" s="8">
        <f t="shared" si="3"/>
        <v>0</v>
      </c>
      <c r="K49" s="8">
        <f t="shared" si="3"/>
        <v>0</v>
      </c>
      <c r="L49" s="8">
        <f t="shared" si="3"/>
        <v>0</v>
      </c>
      <c r="M49" s="7"/>
    </row>
    <row r="50" spans="1:13" hidden="1" outlineLevel="1" x14ac:dyDescent="0.25">
      <c r="A50" s="27">
        <f t="shared" si="4"/>
        <v>2.0008000000000017</v>
      </c>
      <c r="B50" s="6" t="s">
        <v>132</v>
      </c>
      <c r="C50" s="6" t="s">
        <v>133</v>
      </c>
      <c r="D50" s="7"/>
      <c r="E50" s="51"/>
      <c r="F50" s="7"/>
      <c r="G50" s="8" t="s">
        <v>5</v>
      </c>
      <c r="H50" s="8">
        <f t="shared" si="3"/>
        <v>1</v>
      </c>
      <c r="I50" s="8">
        <f t="shared" si="3"/>
        <v>0</v>
      </c>
      <c r="J50" s="8">
        <f t="shared" si="3"/>
        <v>0</v>
      </c>
      <c r="K50" s="8">
        <f t="shared" si="3"/>
        <v>0</v>
      </c>
      <c r="L50" s="8">
        <f t="shared" si="3"/>
        <v>0</v>
      </c>
      <c r="M50" s="7"/>
    </row>
    <row r="51" spans="1:13" collapsed="1" x14ac:dyDescent="0.25">
      <c r="A51" s="27"/>
      <c r="B51" s="28"/>
      <c r="C51" s="31"/>
      <c r="D51" s="7"/>
      <c r="E51" s="51"/>
      <c r="F51" s="7"/>
      <c r="G51" s="8"/>
      <c r="H51" s="8"/>
      <c r="I51" s="8"/>
      <c r="J51" s="8"/>
      <c r="K51" s="8"/>
      <c r="L51" s="8"/>
      <c r="M51" s="7"/>
    </row>
    <row r="52" spans="1:13" s="20" customFormat="1" collapsed="1" x14ac:dyDescent="0.25">
      <c r="A52" s="23">
        <v>3</v>
      </c>
      <c r="B52" s="17" t="s">
        <v>134</v>
      </c>
      <c r="C52" s="24"/>
      <c r="D52" s="25"/>
      <c r="E52" s="50"/>
      <c r="F52" s="25"/>
      <c r="G52" s="26"/>
      <c r="H52" s="26"/>
      <c r="I52" s="26"/>
      <c r="J52" s="26"/>
      <c r="K52" s="26"/>
      <c r="L52" s="26"/>
      <c r="M52" s="25"/>
    </row>
    <row r="53" spans="1:13" ht="25.5" hidden="1" outlineLevel="1" x14ac:dyDescent="0.25">
      <c r="A53" s="27">
        <f>A52+0.0001</f>
        <v>3.0001000000000002</v>
      </c>
      <c r="B53" s="6" t="s">
        <v>135</v>
      </c>
      <c r="C53" s="9" t="s">
        <v>137</v>
      </c>
      <c r="D53" s="7" t="s">
        <v>103</v>
      </c>
      <c r="E53" s="51"/>
      <c r="F53" s="6"/>
      <c r="G53" s="8" t="s">
        <v>5</v>
      </c>
      <c r="H53" s="8">
        <f t="shared" ref="H53:L57" si="5">IF($G53=H$1,1,0)</f>
        <v>1</v>
      </c>
      <c r="I53" s="8">
        <f t="shared" si="5"/>
        <v>0</v>
      </c>
      <c r="J53" s="8">
        <f t="shared" si="5"/>
        <v>0</v>
      </c>
      <c r="K53" s="8">
        <f t="shared" si="5"/>
        <v>0</v>
      </c>
      <c r="L53" s="8">
        <f t="shared" si="5"/>
        <v>0</v>
      </c>
      <c r="M53" s="7"/>
    </row>
    <row r="54" spans="1:13" hidden="1" outlineLevel="1" x14ac:dyDescent="0.25">
      <c r="A54" s="27">
        <f t="shared" ref="A54:A57" si="6">A53+0.0001</f>
        <v>3.0002000000000004</v>
      </c>
      <c r="B54" s="6" t="s">
        <v>136</v>
      </c>
      <c r="C54" s="6" t="s">
        <v>138</v>
      </c>
      <c r="D54" s="21"/>
      <c r="E54" s="52"/>
      <c r="F54" s="6"/>
      <c r="G54" s="8" t="s">
        <v>5</v>
      </c>
      <c r="H54" s="8">
        <f t="shared" si="5"/>
        <v>1</v>
      </c>
      <c r="I54" s="8">
        <f t="shared" si="5"/>
        <v>0</v>
      </c>
      <c r="J54" s="8">
        <f t="shared" si="5"/>
        <v>0</v>
      </c>
      <c r="K54" s="8">
        <f t="shared" si="5"/>
        <v>0</v>
      </c>
      <c r="L54" s="8">
        <f t="shared" si="5"/>
        <v>0</v>
      </c>
      <c r="M54" s="7"/>
    </row>
    <row r="55" spans="1:13" hidden="1" outlineLevel="1" x14ac:dyDescent="0.25">
      <c r="A55" s="27">
        <f t="shared" si="6"/>
        <v>3.0003000000000006</v>
      </c>
      <c r="B55" s="6" t="s">
        <v>139</v>
      </c>
      <c r="C55" s="6" t="s">
        <v>140</v>
      </c>
      <c r="D55" s="7"/>
      <c r="E55" s="51"/>
      <c r="F55" s="7"/>
      <c r="G55" s="8" t="s">
        <v>5</v>
      </c>
      <c r="H55" s="8">
        <f t="shared" si="5"/>
        <v>1</v>
      </c>
      <c r="I55" s="8">
        <f t="shared" si="5"/>
        <v>0</v>
      </c>
      <c r="J55" s="8">
        <f t="shared" si="5"/>
        <v>0</v>
      </c>
      <c r="K55" s="8">
        <f t="shared" si="5"/>
        <v>0</v>
      </c>
      <c r="L55" s="8">
        <f t="shared" si="5"/>
        <v>0</v>
      </c>
      <c r="M55" s="7"/>
    </row>
    <row r="56" spans="1:13" hidden="1" outlineLevel="1" x14ac:dyDescent="0.25">
      <c r="A56" s="27">
        <f t="shared" si="6"/>
        <v>3.0004000000000008</v>
      </c>
      <c r="B56" s="6" t="s">
        <v>141</v>
      </c>
      <c r="C56" s="6" t="s">
        <v>142</v>
      </c>
      <c r="D56" s="7"/>
      <c r="E56" s="51"/>
      <c r="F56" s="7"/>
      <c r="G56" s="8" t="s">
        <v>5</v>
      </c>
      <c r="H56" s="8">
        <f t="shared" si="5"/>
        <v>1</v>
      </c>
      <c r="I56" s="8">
        <f t="shared" si="5"/>
        <v>0</v>
      </c>
      <c r="J56" s="8">
        <f t="shared" si="5"/>
        <v>0</v>
      </c>
      <c r="K56" s="8">
        <f t="shared" si="5"/>
        <v>0</v>
      </c>
      <c r="L56" s="8">
        <f t="shared" si="5"/>
        <v>0</v>
      </c>
      <c r="M56" s="7"/>
    </row>
    <row r="57" spans="1:13" hidden="1" outlineLevel="1" x14ac:dyDescent="0.25">
      <c r="A57" s="27">
        <f t="shared" si="6"/>
        <v>3.0005000000000011</v>
      </c>
      <c r="B57" s="6"/>
      <c r="C57" s="6" t="s">
        <v>143</v>
      </c>
      <c r="D57" s="7"/>
      <c r="E57" s="51"/>
      <c r="F57" s="7"/>
      <c r="G57" s="8" t="s">
        <v>5</v>
      </c>
      <c r="H57" s="8">
        <f t="shared" si="5"/>
        <v>1</v>
      </c>
      <c r="I57" s="8">
        <f t="shared" si="5"/>
        <v>0</v>
      </c>
      <c r="J57" s="8">
        <f t="shared" si="5"/>
        <v>0</v>
      </c>
      <c r="K57" s="8">
        <f t="shared" si="5"/>
        <v>0</v>
      </c>
      <c r="L57" s="8">
        <f t="shared" si="5"/>
        <v>0</v>
      </c>
      <c r="M57" s="7"/>
    </row>
    <row r="58" spans="1:13" collapsed="1" x14ac:dyDescent="0.25">
      <c r="A58" s="27"/>
      <c r="B58" s="6"/>
      <c r="C58" s="6"/>
      <c r="D58" s="7"/>
      <c r="E58" s="51"/>
      <c r="F58" s="7"/>
      <c r="G58" s="8"/>
      <c r="H58" s="8"/>
      <c r="I58" s="8"/>
      <c r="J58" s="8"/>
      <c r="K58" s="8"/>
      <c r="L58" s="8"/>
      <c r="M58" s="7"/>
    </row>
    <row r="59" spans="1:13" s="20" customFormat="1" x14ac:dyDescent="0.25">
      <c r="A59" s="23">
        <v>4</v>
      </c>
      <c r="B59" s="17" t="s">
        <v>51</v>
      </c>
      <c r="C59" s="24" t="s">
        <v>144</v>
      </c>
      <c r="D59" s="25"/>
      <c r="E59" s="50"/>
      <c r="F59" s="25"/>
      <c r="G59" s="26"/>
      <c r="H59" s="26"/>
      <c r="I59" s="26"/>
      <c r="J59" s="26"/>
      <c r="K59" s="26"/>
      <c r="L59" s="26"/>
      <c r="M59" s="25"/>
    </row>
    <row r="60" spans="1:13" ht="51" outlineLevel="1" x14ac:dyDescent="0.25">
      <c r="A60" s="5">
        <f>A59+0.0001</f>
        <v>4.0000999999999998</v>
      </c>
      <c r="B60" s="6" t="s">
        <v>145</v>
      </c>
      <c r="C60" s="9" t="s">
        <v>146</v>
      </c>
      <c r="D60" s="6" t="s">
        <v>166</v>
      </c>
      <c r="E60" s="54" t="s">
        <v>175</v>
      </c>
      <c r="F60" s="6"/>
      <c r="G60" s="8" t="s">
        <v>5</v>
      </c>
      <c r="H60" s="8">
        <f t="shared" ref="H60:L65" si="7">IF($G60=H$1,1,0)</f>
        <v>1</v>
      </c>
      <c r="I60" s="8">
        <f t="shared" si="7"/>
        <v>0</v>
      </c>
      <c r="J60" s="8">
        <f t="shared" si="7"/>
        <v>0</v>
      </c>
      <c r="K60" s="8">
        <f t="shared" si="7"/>
        <v>0</v>
      </c>
      <c r="L60" s="8">
        <f t="shared" si="7"/>
        <v>0</v>
      </c>
      <c r="M60" s="7"/>
    </row>
    <row r="61" spans="1:13" outlineLevel="1" x14ac:dyDescent="0.25">
      <c r="A61" s="5">
        <f t="shared" ref="A61:A64" si="8">A60+0.0001</f>
        <v>4.0001999999999995</v>
      </c>
      <c r="B61" s="6" t="s">
        <v>101</v>
      </c>
      <c r="C61" s="9" t="s">
        <v>147</v>
      </c>
      <c r="D61" s="6" t="s">
        <v>167</v>
      </c>
      <c r="E61" s="54"/>
      <c r="F61" s="6"/>
      <c r="G61" s="8" t="s">
        <v>5</v>
      </c>
      <c r="H61" s="8">
        <f t="shared" si="7"/>
        <v>1</v>
      </c>
      <c r="I61" s="8">
        <f t="shared" si="7"/>
        <v>0</v>
      </c>
      <c r="J61" s="8">
        <f t="shared" si="7"/>
        <v>0</v>
      </c>
      <c r="K61" s="8">
        <f t="shared" si="7"/>
        <v>0</v>
      </c>
      <c r="L61" s="8">
        <f t="shared" si="7"/>
        <v>0</v>
      </c>
      <c r="M61" s="7"/>
    </row>
    <row r="62" spans="1:13" outlineLevel="1" x14ac:dyDescent="0.25">
      <c r="A62" s="5">
        <f t="shared" si="8"/>
        <v>4.0002999999999993</v>
      </c>
      <c r="B62" s="6" t="s">
        <v>148</v>
      </c>
      <c r="C62" s="9" t="s">
        <v>149</v>
      </c>
      <c r="D62" s="6"/>
      <c r="E62" s="54"/>
      <c r="F62" s="6"/>
      <c r="G62" s="8" t="s">
        <v>5</v>
      </c>
      <c r="H62" s="8">
        <f t="shared" si="7"/>
        <v>1</v>
      </c>
      <c r="I62" s="8">
        <f t="shared" si="7"/>
        <v>0</v>
      </c>
      <c r="J62" s="8">
        <f t="shared" si="7"/>
        <v>0</v>
      </c>
      <c r="K62" s="8">
        <f t="shared" si="7"/>
        <v>0</v>
      </c>
      <c r="L62" s="8">
        <f t="shared" si="7"/>
        <v>0</v>
      </c>
      <c r="M62" s="7"/>
    </row>
    <row r="63" spans="1:13" outlineLevel="1" x14ac:dyDescent="0.25">
      <c r="A63" s="5">
        <f t="shared" si="8"/>
        <v>4.0003999999999991</v>
      </c>
      <c r="B63" s="6" t="s">
        <v>150</v>
      </c>
      <c r="C63" s="6" t="s">
        <v>151</v>
      </c>
      <c r="D63" s="6"/>
      <c r="E63" s="54"/>
      <c r="F63" s="6"/>
      <c r="G63" s="8" t="s">
        <v>5</v>
      </c>
      <c r="H63" s="8">
        <f t="shared" si="7"/>
        <v>1</v>
      </c>
      <c r="I63" s="8">
        <f t="shared" si="7"/>
        <v>0</v>
      </c>
      <c r="J63" s="8">
        <f t="shared" si="7"/>
        <v>0</v>
      </c>
      <c r="K63" s="8">
        <f t="shared" si="7"/>
        <v>0</v>
      </c>
      <c r="L63" s="8">
        <f t="shared" si="7"/>
        <v>0</v>
      </c>
      <c r="M63" s="7"/>
    </row>
    <row r="64" spans="1:13" outlineLevel="1" x14ac:dyDescent="0.25">
      <c r="A64" s="5">
        <f t="shared" si="8"/>
        <v>4.0004999999999988</v>
      </c>
      <c r="B64" s="6" t="s">
        <v>152</v>
      </c>
      <c r="C64" s="39" t="s">
        <v>153</v>
      </c>
      <c r="D64" s="6"/>
      <c r="E64" s="54"/>
      <c r="F64" s="6"/>
      <c r="G64" s="8" t="s">
        <v>5</v>
      </c>
      <c r="H64" s="8">
        <f t="shared" si="7"/>
        <v>1</v>
      </c>
      <c r="I64" s="8">
        <f t="shared" si="7"/>
        <v>0</v>
      </c>
      <c r="J64" s="8">
        <f t="shared" si="7"/>
        <v>0</v>
      </c>
      <c r="K64" s="8">
        <f t="shared" si="7"/>
        <v>0</v>
      </c>
      <c r="L64" s="8">
        <f t="shared" si="7"/>
        <v>0</v>
      </c>
      <c r="M64" s="7"/>
    </row>
    <row r="65" spans="1:13" x14ac:dyDescent="0.25">
      <c r="A65" s="41"/>
      <c r="B65" s="6"/>
      <c r="C65" s="42"/>
      <c r="D65" s="30"/>
      <c r="E65" s="55"/>
      <c r="F65" s="30"/>
      <c r="G65" s="8" t="s">
        <v>5</v>
      </c>
      <c r="H65" s="38">
        <f t="shared" si="7"/>
        <v>1</v>
      </c>
      <c r="I65" s="38">
        <f t="shared" si="7"/>
        <v>0</v>
      </c>
      <c r="J65" s="38">
        <f t="shared" si="7"/>
        <v>0</v>
      </c>
      <c r="K65" s="38">
        <f t="shared" si="7"/>
        <v>0</v>
      </c>
      <c r="L65" s="38">
        <f t="shared" si="7"/>
        <v>0</v>
      </c>
      <c r="M65" s="32"/>
    </row>
    <row r="66" spans="1:13" s="20" customFormat="1" collapsed="1" x14ac:dyDescent="0.25">
      <c r="A66" s="23">
        <v>5</v>
      </c>
      <c r="B66" s="17" t="s">
        <v>134</v>
      </c>
      <c r="C66" s="24"/>
      <c r="D66" s="25"/>
      <c r="E66" s="50"/>
      <c r="F66" s="25"/>
      <c r="G66" s="26"/>
      <c r="H66" s="26"/>
      <c r="I66" s="26"/>
      <c r="J66" s="26"/>
      <c r="K66" s="26"/>
      <c r="L66" s="26"/>
      <c r="M66" s="25"/>
    </row>
    <row r="67" spans="1:13" ht="25.5" outlineLevel="1" x14ac:dyDescent="0.25">
      <c r="A67" s="27">
        <f>A66+0.0001</f>
        <v>5.0000999999999998</v>
      </c>
      <c r="B67" s="6" t="s">
        <v>135</v>
      </c>
      <c r="C67" s="9" t="s">
        <v>137</v>
      </c>
      <c r="D67" s="7" t="s">
        <v>103</v>
      </c>
      <c r="E67" s="51"/>
      <c r="F67" s="6"/>
      <c r="G67" s="8" t="s">
        <v>5</v>
      </c>
      <c r="H67" s="8">
        <f t="shared" ref="H67:L71" si="9">IF($G67=H$1,1,0)</f>
        <v>1</v>
      </c>
      <c r="I67" s="8">
        <f t="shared" si="9"/>
        <v>0</v>
      </c>
      <c r="J67" s="8">
        <f t="shared" si="9"/>
        <v>0</v>
      </c>
      <c r="K67" s="8">
        <f t="shared" si="9"/>
        <v>0</v>
      </c>
      <c r="L67" s="8">
        <f t="shared" si="9"/>
        <v>0</v>
      </c>
      <c r="M67" s="7"/>
    </row>
    <row r="68" spans="1:13" outlineLevel="1" x14ac:dyDescent="0.25">
      <c r="A68" s="27">
        <f t="shared" ref="A68:A71" si="10">A67+0.0001</f>
        <v>5.0001999999999995</v>
      </c>
      <c r="B68" s="6" t="s">
        <v>136</v>
      </c>
      <c r="C68" s="6" t="s">
        <v>138</v>
      </c>
      <c r="D68" s="21"/>
      <c r="E68" s="52"/>
      <c r="F68" s="6"/>
      <c r="G68" s="8" t="s">
        <v>5</v>
      </c>
      <c r="H68" s="8">
        <f t="shared" si="9"/>
        <v>1</v>
      </c>
      <c r="I68" s="8">
        <f t="shared" si="9"/>
        <v>0</v>
      </c>
      <c r="J68" s="8">
        <f t="shared" si="9"/>
        <v>0</v>
      </c>
      <c r="K68" s="8">
        <f t="shared" si="9"/>
        <v>0</v>
      </c>
      <c r="L68" s="8">
        <f t="shared" si="9"/>
        <v>0</v>
      </c>
      <c r="M68" s="7"/>
    </row>
    <row r="69" spans="1:13" outlineLevel="1" x14ac:dyDescent="0.25">
      <c r="A69" s="27">
        <f t="shared" si="10"/>
        <v>5.0002999999999993</v>
      </c>
      <c r="B69" s="6" t="s">
        <v>139</v>
      </c>
      <c r="C69" s="6" t="s">
        <v>140</v>
      </c>
      <c r="D69" s="7"/>
      <c r="E69" s="51"/>
      <c r="F69" s="7"/>
      <c r="G69" s="8" t="s">
        <v>5</v>
      </c>
      <c r="H69" s="8">
        <f t="shared" si="9"/>
        <v>1</v>
      </c>
      <c r="I69" s="8">
        <f t="shared" si="9"/>
        <v>0</v>
      </c>
      <c r="J69" s="8">
        <f t="shared" si="9"/>
        <v>0</v>
      </c>
      <c r="K69" s="8">
        <f t="shared" si="9"/>
        <v>0</v>
      </c>
      <c r="L69" s="8">
        <f t="shared" si="9"/>
        <v>0</v>
      </c>
      <c r="M69" s="7"/>
    </row>
    <row r="70" spans="1:13" outlineLevel="1" x14ac:dyDescent="0.25">
      <c r="A70" s="27">
        <f t="shared" si="10"/>
        <v>5.0003999999999991</v>
      </c>
      <c r="B70" s="6" t="s">
        <v>141</v>
      </c>
      <c r="C70" s="6" t="s">
        <v>142</v>
      </c>
      <c r="D70" s="7"/>
      <c r="E70" s="51"/>
      <c r="F70" s="7"/>
      <c r="G70" s="8" t="s">
        <v>5</v>
      </c>
      <c r="H70" s="8">
        <f t="shared" si="9"/>
        <v>1</v>
      </c>
      <c r="I70" s="8">
        <f t="shared" si="9"/>
        <v>0</v>
      </c>
      <c r="J70" s="8">
        <f t="shared" si="9"/>
        <v>0</v>
      </c>
      <c r="K70" s="8">
        <f t="shared" si="9"/>
        <v>0</v>
      </c>
      <c r="L70" s="8">
        <f t="shared" si="9"/>
        <v>0</v>
      </c>
      <c r="M70" s="7"/>
    </row>
    <row r="71" spans="1:13" outlineLevel="1" x14ac:dyDescent="0.25">
      <c r="A71" s="27">
        <f t="shared" si="10"/>
        <v>5.0004999999999988</v>
      </c>
      <c r="B71" s="6"/>
      <c r="C71" s="6" t="s">
        <v>143</v>
      </c>
      <c r="D71" s="7"/>
      <c r="E71" s="51"/>
      <c r="F71" s="7"/>
      <c r="G71" s="8" t="s">
        <v>5</v>
      </c>
      <c r="H71" s="8">
        <f t="shared" si="9"/>
        <v>1</v>
      </c>
      <c r="I71" s="8">
        <f t="shared" si="9"/>
        <v>0</v>
      </c>
      <c r="J71" s="8">
        <f t="shared" si="9"/>
        <v>0</v>
      </c>
      <c r="K71" s="8">
        <f t="shared" si="9"/>
        <v>0</v>
      </c>
      <c r="L71" s="8">
        <f t="shared" si="9"/>
        <v>0</v>
      </c>
      <c r="M71" s="7"/>
    </row>
    <row r="72" spans="1:13" s="43" customFormat="1" x14ac:dyDescent="0.25">
      <c r="A72" s="40"/>
      <c r="B72" s="36"/>
      <c r="C72" s="36"/>
      <c r="D72" s="36"/>
      <c r="E72" s="56"/>
      <c r="F72" s="36"/>
      <c r="M72" s="36"/>
    </row>
    <row r="73" spans="1:13" s="43" customFormat="1" x14ac:dyDescent="0.25">
      <c r="A73" s="40"/>
      <c r="B73" s="36"/>
      <c r="C73" s="36"/>
      <c r="D73" s="36"/>
      <c r="E73" s="56"/>
      <c r="F73" s="36"/>
      <c r="M73" s="36"/>
    </row>
    <row r="74" spans="1:13" s="20" customFormat="1" x14ac:dyDescent="0.25">
      <c r="A74" s="16">
        <v>5</v>
      </c>
      <c r="B74" s="17" t="s">
        <v>163</v>
      </c>
      <c r="C74" s="18"/>
      <c r="D74" s="17"/>
      <c r="E74" s="45"/>
      <c r="F74" s="17"/>
      <c r="G74" s="19"/>
      <c r="H74" s="19"/>
      <c r="I74" s="19"/>
      <c r="J74" s="19"/>
      <c r="K74" s="19"/>
      <c r="L74" s="19"/>
      <c r="M74" s="17"/>
    </row>
    <row r="75" spans="1:13" ht="25.5" hidden="1" outlineLevel="1" x14ac:dyDescent="0.25">
      <c r="A75" s="27">
        <f>A74+0.0001</f>
        <v>5.0000999999999998</v>
      </c>
      <c r="B75" s="28" t="s">
        <v>60</v>
      </c>
      <c r="C75" s="9" t="s">
        <v>102</v>
      </c>
      <c r="D75" s="7" t="s">
        <v>154</v>
      </c>
      <c r="E75" s="51"/>
      <c r="F75" s="6"/>
      <c r="G75" s="8" t="s">
        <v>5</v>
      </c>
      <c r="H75" s="8">
        <f t="shared" ref="H75:L112" si="11">IF($G75=H$1,1,0)</f>
        <v>1</v>
      </c>
      <c r="I75" s="8">
        <f t="shared" si="11"/>
        <v>0</v>
      </c>
      <c r="J75" s="8">
        <f t="shared" si="11"/>
        <v>0</v>
      </c>
      <c r="K75" s="8">
        <f t="shared" si="11"/>
        <v>0</v>
      </c>
      <c r="L75" s="8">
        <f t="shared" si="11"/>
        <v>0</v>
      </c>
      <c r="M75" s="7"/>
    </row>
    <row r="76" spans="1:13" ht="25.5" hidden="1" outlineLevel="1" x14ac:dyDescent="0.25">
      <c r="A76" s="27">
        <f t="shared" ref="A76:A112" si="12">A75+0.0001</f>
        <v>5.0001999999999995</v>
      </c>
      <c r="B76" s="29" t="s">
        <v>58</v>
      </c>
      <c r="C76" s="6"/>
      <c r="D76" s="21" t="s">
        <v>165</v>
      </c>
      <c r="E76" s="52"/>
      <c r="F76" s="6"/>
      <c r="G76" s="8" t="s">
        <v>5</v>
      </c>
      <c r="H76" s="8">
        <f t="shared" si="11"/>
        <v>1</v>
      </c>
      <c r="I76" s="8">
        <f t="shared" si="11"/>
        <v>0</v>
      </c>
      <c r="J76" s="8">
        <f t="shared" si="11"/>
        <v>0</v>
      </c>
      <c r="K76" s="8">
        <f t="shared" si="11"/>
        <v>0</v>
      </c>
      <c r="L76" s="8">
        <f t="shared" si="11"/>
        <v>0</v>
      </c>
      <c r="M76" s="7"/>
    </row>
    <row r="77" spans="1:13" hidden="1" outlineLevel="1" x14ac:dyDescent="0.25">
      <c r="A77" s="27">
        <f t="shared" si="12"/>
        <v>5.0002999999999993</v>
      </c>
      <c r="B77" s="29" t="s">
        <v>59</v>
      </c>
      <c r="C77" s="6"/>
      <c r="D77" s="7"/>
      <c r="E77" s="51"/>
      <c r="F77" s="7"/>
      <c r="G77" s="8" t="s">
        <v>5</v>
      </c>
      <c r="H77" s="8">
        <f t="shared" si="11"/>
        <v>1</v>
      </c>
      <c r="I77" s="8">
        <f t="shared" si="11"/>
        <v>0</v>
      </c>
      <c r="J77" s="8">
        <f t="shared" si="11"/>
        <v>0</v>
      </c>
      <c r="K77" s="8">
        <f t="shared" si="11"/>
        <v>0</v>
      </c>
      <c r="L77" s="8">
        <f t="shared" si="11"/>
        <v>0</v>
      </c>
      <c r="M77" s="7"/>
    </row>
    <row r="78" spans="1:13" hidden="1" outlineLevel="1" x14ac:dyDescent="0.25">
      <c r="A78" s="27">
        <f t="shared" si="12"/>
        <v>5.0003999999999991</v>
      </c>
      <c r="B78" s="28" t="s">
        <v>61</v>
      </c>
      <c r="C78" s="31" t="s">
        <v>62</v>
      </c>
      <c r="D78" s="7"/>
      <c r="E78" s="51"/>
      <c r="F78" s="7"/>
      <c r="G78" s="8" t="s">
        <v>7</v>
      </c>
      <c r="H78" s="8">
        <f t="shared" si="11"/>
        <v>0</v>
      </c>
      <c r="I78" s="8">
        <f t="shared" si="11"/>
        <v>0</v>
      </c>
      <c r="J78" s="8">
        <f t="shared" si="11"/>
        <v>0</v>
      </c>
      <c r="K78" s="8">
        <f t="shared" si="11"/>
        <v>1</v>
      </c>
      <c r="L78" s="8">
        <f t="shared" si="11"/>
        <v>0</v>
      </c>
      <c r="M78" s="7"/>
    </row>
    <row r="79" spans="1:13" ht="51" hidden="1" outlineLevel="1" x14ac:dyDescent="0.25">
      <c r="A79" s="27">
        <f t="shared" si="12"/>
        <v>5.0004999999999988</v>
      </c>
      <c r="B79" s="29" t="s">
        <v>63</v>
      </c>
      <c r="C79" s="31" t="s">
        <v>64</v>
      </c>
      <c r="D79" s="7"/>
      <c r="E79" s="51"/>
      <c r="F79" s="7"/>
      <c r="G79" s="8" t="s">
        <v>7</v>
      </c>
      <c r="H79" s="8">
        <f t="shared" si="11"/>
        <v>0</v>
      </c>
      <c r="I79" s="8">
        <f t="shared" si="11"/>
        <v>0</v>
      </c>
      <c r="J79" s="8">
        <f t="shared" si="11"/>
        <v>0</v>
      </c>
      <c r="K79" s="8">
        <f t="shared" si="11"/>
        <v>1</v>
      </c>
      <c r="L79" s="8">
        <f t="shared" si="11"/>
        <v>0</v>
      </c>
      <c r="M79" s="7"/>
    </row>
    <row r="80" spans="1:13" hidden="1" outlineLevel="1" x14ac:dyDescent="0.25">
      <c r="A80" s="27">
        <f t="shared" si="12"/>
        <v>5.0005999999999986</v>
      </c>
      <c r="B80" s="29" t="s">
        <v>65</v>
      </c>
      <c r="C80" s="31" t="s">
        <v>104</v>
      </c>
      <c r="D80" s="7"/>
      <c r="E80" s="51"/>
      <c r="F80" s="7"/>
      <c r="G80" s="8" t="s">
        <v>7</v>
      </c>
      <c r="H80" s="8">
        <f t="shared" si="11"/>
        <v>0</v>
      </c>
      <c r="I80" s="8">
        <f t="shared" si="11"/>
        <v>0</v>
      </c>
      <c r="J80" s="8">
        <f t="shared" si="11"/>
        <v>0</v>
      </c>
      <c r="K80" s="8">
        <f t="shared" si="11"/>
        <v>1</v>
      </c>
      <c r="L80" s="8">
        <f t="shared" si="11"/>
        <v>0</v>
      </c>
      <c r="M80" s="7"/>
    </row>
    <row r="81" spans="1:13" hidden="1" outlineLevel="1" x14ac:dyDescent="0.25">
      <c r="A81" s="27">
        <f t="shared" si="12"/>
        <v>5.0006999999999984</v>
      </c>
      <c r="B81" s="29" t="s">
        <v>66</v>
      </c>
      <c r="C81" s="31" t="s">
        <v>67</v>
      </c>
      <c r="D81" s="7"/>
      <c r="E81" s="51"/>
      <c r="F81" s="7"/>
      <c r="G81" s="8" t="s">
        <v>7</v>
      </c>
      <c r="H81" s="8">
        <f t="shared" si="11"/>
        <v>0</v>
      </c>
      <c r="I81" s="8">
        <f t="shared" si="11"/>
        <v>0</v>
      </c>
      <c r="J81" s="8">
        <f t="shared" si="11"/>
        <v>0</v>
      </c>
      <c r="K81" s="8">
        <f t="shared" si="11"/>
        <v>1</v>
      </c>
      <c r="L81" s="8">
        <f t="shared" si="11"/>
        <v>0</v>
      </c>
      <c r="M81" s="7"/>
    </row>
    <row r="82" spans="1:13" ht="38.25" hidden="1" outlineLevel="1" x14ac:dyDescent="0.25">
      <c r="A82" s="27">
        <f t="shared" si="12"/>
        <v>5.0007999999999981</v>
      </c>
      <c r="B82" s="29" t="s">
        <v>68</v>
      </c>
      <c r="C82" s="31" t="s">
        <v>69</v>
      </c>
      <c r="D82" s="7"/>
      <c r="E82" s="51"/>
      <c r="F82" s="7"/>
      <c r="G82" s="8" t="s">
        <v>7</v>
      </c>
      <c r="H82" s="8">
        <f t="shared" si="11"/>
        <v>0</v>
      </c>
      <c r="I82" s="8">
        <f t="shared" si="11"/>
        <v>0</v>
      </c>
      <c r="J82" s="8">
        <f t="shared" si="11"/>
        <v>0</v>
      </c>
      <c r="K82" s="8">
        <f t="shared" si="11"/>
        <v>1</v>
      </c>
      <c r="L82" s="8">
        <f t="shared" si="11"/>
        <v>0</v>
      </c>
      <c r="M82" s="7"/>
    </row>
    <row r="83" spans="1:13" hidden="1" outlineLevel="1" x14ac:dyDescent="0.25">
      <c r="A83" s="27">
        <f t="shared" si="12"/>
        <v>5.0008999999999979</v>
      </c>
      <c r="B83" s="29" t="s">
        <v>70</v>
      </c>
      <c r="C83" s="31"/>
      <c r="D83" s="7"/>
      <c r="E83" s="51"/>
      <c r="F83" s="7"/>
      <c r="G83" s="8" t="s">
        <v>7</v>
      </c>
      <c r="H83" s="8">
        <f t="shared" si="11"/>
        <v>0</v>
      </c>
      <c r="I83" s="8">
        <f t="shared" si="11"/>
        <v>0</v>
      </c>
      <c r="J83" s="8">
        <f t="shared" si="11"/>
        <v>0</v>
      </c>
      <c r="K83" s="8">
        <f t="shared" si="11"/>
        <v>1</v>
      </c>
      <c r="L83" s="8">
        <f t="shared" si="11"/>
        <v>0</v>
      </c>
      <c r="M83" s="7"/>
    </row>
    <row r="84" spans="1:13" ht="25.5" hidden="1" outlineLevel="1" x14ac:dyDescent="0.25">
      <c r="A84" s="27">
        <f t="shared" si="12"/>
        <v>5.0009999999999977</v>
      </c>
      <c r="B84" s="35" t="s">
        <v>107</v>
      </c>
      <c r="C84" s="31" t="s">
        <v>71</v>
      </c>
      <c r="D84" s="7"/>
      <c r="E84" s="51"/>
      <c r="F84" s="7"/>
      <c r="G84" s="8" t="s">
        <v>5</v>
      </c>
      <c r="H84" s="8">
        <f t="shared" si="11"/>
        <v>1</v>
      </c>
      <c r="I84" s="8">
        <f t="shared" si="11"/>
        <v>0</v>
      </c>
      <c r="J84" s="8">
        <f t="shared" si="11"/>
        <v>0</v>
      </c>
      <c r="K84" s="8">
        <f t="shared" si="11"/>
        <v>0</v>
      </c>
      <c r="L84" s="8">
        <f t="shared" si="11"/>
        <v>0</v>
      </c>
      <c r="M84" s="7"/>
    </row>
    <row r="85" spans="1:13" ht="25.5" hidden="1" outlineLevel="1" x14ac:dyDescent="0.25">
      <c r="A85" s="27">
        <f t="shared" si="12"/>
        <v>5.0010999999999974</v>
      </c>
      <c r="B85" s="29" t="s">
        <v>72</v>
      </c>
      <c r="C85" s="31" t="s">
        <v>73</v>
      </c>
      <c r="D85" s="7"/>
      <c r="E85" s="51"/>
      <c r="F85" s="7"/>
      <c r="G85" s="8" t="s">
        <v>5</v>
      </c>
      <c r="H85" s="8">
        <f t="shared" si="11"/>
        <v>1</v>
      </c>
      <c r="I85" s="8">
        <f t="shared" si="11"/>
        <v>0</v>
      </c>
      <c r="J85" s="8">
        <f t="shared" si="11"/>
        <v>0</v>
      </c>
      <c r="K85" s="8">
        <f t="shared" si="11"/>
        <v>0</v>
      </c>
      <c r="L85" s="8">
        <f t="shared" si="11"/>
        <v>0</v>
      </c>
      <c r="M85" s="7"/>
    </row>
    <row r="86" spans="1:13" hidden="1" outlineLevel="1" x14ac:dyDescent="0.25">
      <c r="A86" s="27">
        <f t="shared" si="12"/>
        <v>5.0011999999999972</v>
      </c>
      <c r="B86" s="30"/>
      <c r="C86" s="31" t="s">
        <v>74</v>
      </c>
      <c r="D86" s="7"/>
      <c r="E86" s="51"/>
      <c r="F86" s="7"/>
      <c r="G86" s="8" t="s">
        <v>5</v>
      </c>
      <c r="H86" s="8">
        <f t="shared" si="11"/>
        <v>1</v>
      </c>
      <c r="I86" s="8">
        <f t="shared" si="11"/>
        <v>0</v>
      </c>
      <c r="J86" s="8">
        <f t="shared" si="11"/>
        <v>0</v>
      </c>
      <c r="K86" s="8">
        <f t="shared" si="11"/>
        <v>0</v>
      </c>
      <c r="L86" s="8">
        <f t="shared" si="11"/>
        <v>0</v>
      </c>
      <c r="M86" s="7"/>
    </row>
    <row r="87" spans="1:13" ht="38.25" hidden="1" outlineLevel="1" x14ac:dyDescent="0.25">
      <c r="A87" s="27">
        <f t="shared" si="12"/>
        <v>5.001299999999997</v>
      </c>
      <c r="B87" s="34" t="s">
        <v>106</v>
      </c>
      <c r="C87" s="31" t="s">
        <v>75</v>
      </c>
      <c r="D87" s="7"/>
      <c r="E87" s="51"/>
      <c r="F87" s="7"/>
      <c r="G87" s="8" t="s">
        <v>5</v>
      </c>
      <c r="H87" s="8">
        <f t="shared" si="11"/>
        <v>1</v>
      </c>
      <c r="I87" s="8">
        <f t="shared" si="11"/>
        <v>0</v>
      </c>
      <c r="J87" s="8">
        <f t="shared" si="11"/>
        <v>0</v>
      </c>
      <c r="K87" s="8">
        <f t="shared" si="11"/>
        <v>0</v>
      </c>
      <c r="L87" s="8">
        <f t="shared" si="11"/>
        <v>0</v>
      </c>
      <c r="M87" s="7"/>
    </row>
    <row r="88" spans="1:13" ht="25.5" hidden="1" outlineLevel="1" x14ac:dyDescent="0.25">
      <c r="A88" s="27">
        <f t="shared" si="12"/>
        <v>5.0013999999999967</v>
      </c>
      <c r="B88" s="29"/>
      <c r="C88" s="31" t="s">
        <v>76</v>
      </c>
      <c r="D88" s="7"/>
      <c r="E88" s="51"/>
      <c r="F88" s="7"/>
      <c r="G88" s="8" t="s">
        <v>5</v>
      </c>
      <c r="H88" s="8">
        <f t="shared" si="11"/>
        <v>1</v>
      </c>
      <c r="I88" s="8">
        <f t="shared" si="11"/>
        <v>0</v>
      </c>
      <c r="J88" s="8">
        <f t="shared" si="11"/>
        <v>0</v>
      </c>
      <c r="K88" s="8">
        <f t="shared" si="11"/>
        <v>0</v>
      </c>
      <c r="L88" s="8">
        <f t="shared" si="11"/>
        <v>0</v>
      </c>
      <c r="M88" s="7"/>
    </row>
    <row r="89" spans="1:13" ht="25.5" hidden="1" outlineLevel="1" x14ac:dyDescent="0.25">
      <c r="A89" s="27">
        <f t="shared" si="12"/>
        <v>5.0014999999999965</v>
      </c>
      <c r="B89" s="29" t="s">
        <v>77</v>
      </c>
      <c r="C89" s="31" t="s">
        <v>78</v>
      </c>
      <c r="D89" s="7"/>
      <c r="E89" s="51"/>
      <c r="F89" s="7"/>
      <c r="G89" s="8" t="s">
        <v>5</v>
      </c>
      <c r="H89" s="8">
        <f t="shared" si="11"/>
        <v>1</v>
      </c>
      <c r="I89" s="8">
        <f t="shared" si="11"/>
        <v>0</v>
      </c>
      <c r="J89" s="8">
        <f t="shared" si="11"/>
        <v>0</v>
      </c>
      <c r="K89" s="8">
        <f t="shared" si="11"/>
        <v>0</v>
      </c>
      <c r="L89" s="8">
        <f t="shared" si="11"/>
        <v>0</v>
      </c>
      <c r="M89" s="7"/>
    </row>
    <row r="90" spans="1:13" hidden="1" outlineLevel="1" x14ac:dyDescent="0.25">
      <c r="A90" s="27">
        <f t="shared" si="12"/>
        <v>5.0015999999999963</v>
      </c>
      <c r="B90" s="29"/>
      <c r="C90" s="31" t="s">
        <v>80</v>
      </c>
      <c r="D90" s="7"/>
      <c r="E90" s="51"/>
      <c r="F90" s="7"/>
      <c r="G90" s="8" t="s">
        <v>5</v>
      </c>
      <c r="H90" s="8">
        <f t="shared" si="11"/>
        <v>1</v>
      </c>
      <c r="I90" s="8">
        <f t="shared" si="11"/>
        <v>0</v>
      </c>
      <c r="J90" s="8">
        <f t="shared" si="11"/>
        <v>0</v>
      </c>
      <c r="K90" s="8">
        <f t="shared" si="11"/>
        <v>0</v>
      </c>
      <c r="L90" s="8">
        <f t="shared" si="11"/>
        <v>0</v>
      </c>
      <c r="M90" s="7"/>
    </row>
    <row r="91" spans="1:13" hidden="1" outlineLevel="1" x14ac:dyDescent="0.25">
      <c r="A91" s="27">
        <f t="shared" si="12"/>
        <v>5.001699999999996</v>
      </c>
      <c r="B91" s="29" t="s">
        <v>81</v>
      </c>
      <c r="C91" s="31" t="s">
        <v>82</v>
      </c>
      <c r="D91" s="7"/>
      <c r="E91" s="51"/>
      <c r="F91" s="7"/>
      <c r="G91" s="8" t="s">
        <v>5</v>
      </c>
      <c r="H91" s="8">
        <f t="shared" si="11"/>
        <v>1</v>
      </c>
      <c r="I91" s="8">
        <f t="shared" si="11"/>
        <v>0</v>
      </c>
      <c r="J91" s="8">
        <f t="shared" si="11"/>
        <v>0</v>
      </c>
      <c r="K91" s="8">
        <f t="shared" si="11"/>
        <v>0</v>
      </c>
      <c r="L91" s="8">
        <f t="shared" si="11"/>
        <v>0</v>
      </c>
      <c r="M91" s="7"/>
    </row>
    <row r="92" spans="1:13" ht="25.5" hidden="1" outlineLevel="1" x14ac:dyDescent="0.25">
      <c r="A92" s="27">
        <f t="shared" si="12"/>
        <v>5.0017999999999958</v>
      </c>
      <c r="B92" s="29"/>
      <c r="C92" s="31" t="s">
        <v>83</v>
      </c>
      <c r="D92" s="7"/>
      <c r="E92" s="51"/>
      <c r="F92" s="7"/>
      <c r="G92" s="8" t="s">
        <v>5</v>
      </c>
      <c r="H92" s="8">
        <f t="shared" si="11"/>
        <v>1</v>
      </c>
      <c r="I92" s="8">
        <f t="shared" si="11"/>
        <v>0</v>
      </c>
      <c r="J92" s="8">
        <f t="shared" si="11"/>
        <v>0</v>
      </c>
      <c r="K92" s="8">
        <f t="shared" si="11"/>
        <v>0</v>
      </c>
      <c r="L92" s="8">
        <f t="shared" si="11"/>
        <v>0</v>
      </c>
      <c r="M92" s="7"/>
    </row>
    <row r="93" spans="1:13" ht="25.5" hidden="1" outlineLevel="1" x14ac:dyDescent="0.25">
      <c r="A93" s="27">
        <f t="shared" si="12"/>
        <v>5.0018999999999956</v>
      </c>
      <c r="B93" s="29" t="s">
        <v>79</v>
      </c>
      <c r="C93" s="31" t="s">
        <v>84</v>
      </c>
      <c r="D93" s="7"/>
      <c r="E93" s="51"/>
      <c r="F93" s="7"/>
      <c r="G93" s="8" t="s">
        <v>5</v>
      </c>
      <c r="H93" s="8">
        <f t="shared" si="11"/>
        <v>1</v>
      </c>
      <c r="I93" s="8">
        <f t="shared" si="11"/>
        <v>0</v>
      </c>
      <c r="J93" s="8">
        <f t="shared" si="11"/>
        <v>0</v>
      </c>
      <c r="K93" s="8">
        <f t="shared" si="11"/>
        <v>0</v>
      </c>
      <c r="L93" s="8">
        <f t="shared" si="11"/>
        <v>0</v>
      </c>
      <c r="M93" s="7"/>
    </row>
    <row r="94" spans="1:13" hidden="1" outlineLevel="1" x14ac:dyDescent="0.25">
      <c r="A94" s="27">
        <f t="shared" si="12"/>
        <v>5.0019999999999953</v>
      </c>
      <c r="B94" s="29" t="s">
        <v>85</v>
      </c>
      <c r="C94" s="31" t="s">
        <v>105</v>
      </c>
      <c r="D94" s="7"/>
      <c r="E94" s="51"/>
      <c r="F94" s="7"/>
      <c r="G94" s="8" t="s">
        <v>5</v>
      </c>
      <c r="H94" s="8">
        <f t="shared" si="11"/>
        <v>1</v>
      </c>
      <c r="I94" s="8">
        <f t="shared" si="11"/>
        <v>0</v>
      </c>
      <c r="J94" s="8">
        <f t="shared" si="11"/>
        <v>0</v>
      </c>
      <c r="K94" s="8">
        <f t="shared" si="11"/>
        <v>0</v>
      </c>
      <c r="L94" s="8">
        <f t="shared" si="11"/>
        <v>0</v>
      </c>
      <c r="M94" s="7"/>
    </row>
    <row r="95" spans="1:13" hidden="1" outlineLevel="1" x14ac:dyDescent="0.25">
      <c r="A95" s="27">
        <f t="shared" si="12"/>
        <v>5.0020999999999951</v>
      </c>
      <c r="B95" s="29" t="s">
        <v>86</v>
      </c>
      <c r="C95" s="31" t="s">
        <v>87</v>
      </c>
      <c r="D95" s="7"/>
      <c r="E95" s="51"/>
      <c r="F95" s="7"/>
      <c r="G95" s="8" t="s">
        <v>5</v>
      </c>
      <c r="H95" s="8">
        <f t="shared" si="11"/>
        <v>1</v>
      </c>
      <c r="I95" s="8">
        <f t="shared" si="11"/>
        <v>0</v>
      </c>
      <c r="J95" s="8">
        <f t="shared" si="11"/>
        <v>0</v>
      </c>
      <c r="K95" s="8">
        <f t="shared" si="11"/>
        <v>0</v>
      </c>
      <c r="L95" s="8">
        <f t="shared" si="11"/>
        <v>0</v>
      </c>
      <c r="M95" s="7"/>
    </row>
    <row r="96" spans="1:13" hidden="1" outlineLevel="1" x14ac:dyDescent="0.25">
      <c r="A96" s="27">
        <f t="shared" si="12"/>
        <v>5.0021999999999949</v>
      </c>
      <c r="B96" s="35" t="s">
        <v>108</v>
      </c>
      <c r="C96" s="31"/>
      <c r="D96" s="7"/>
      <c r="E96" s="51"/>
      <c r="F96" s="7"/>
      <c r="G96" s="8" t="s">
        <v>5</v>
      </c>
      <c r="H96" s="8">
        <f t="shared" si="11"/>
        <v>1</v>
      </c>
      <c r="I96" s="8">
        <f t="shared" si="11"/>
        <v>0</v>
      </c>
      <c r="J96" s="8">
        <f t="shared" si="11"/>
        <v>0</v>
      </c>
      <c r="K96" s="8">
        <f t="shared" si="11"/>
        <v>0</v>
      </c>
      <c r="L96" s="8">
        <f t="shared" si="11"/>
        <v>0</v>
      </c>
      <c r="M96" s="7"/>
    </row>
    <row r="97" spans="1:13" hidden="1" outlineLevel="1" x14ac:dyDescent="0.25">
      <c r="A97" s="27">
        <f t="shared" si="12"/>
        <v>5.0022999999999946</v>
      </c>
      <c r="B97" s="29" t="s">
        <v>88</v>
      </c>
      <c r="C97" s="31" t="s">
        <v>89</v>
      </c>
      <c r="D97" s="7"/>
      <c r="E97" s="51"/>
      <c r="F97" s="7"/>
      <c r="G97" s="8" t="s">
        <v>5</v>
      </c>
      <c r="H97" s="8">
        <f t="shared" si="11"/>
        <v>1</v>
      </c>
      <c r="I97" s="8">
        <f t="shared" si="11"/>
        <v>0</v>
      </c>
      <c r="J97" s="8">
        <f t="shared" si="11"/>
        <v>0</v>
      </c>
      <c r="K97" s="8">
        <f t="shared" si="11"/>
        <v>0</v>
      </c>
      <c r="L97" s="8">
        <f t="shared" si="11"/>
        <v>0</v>
      </c>
      <c r="M97" s="7"/>
    </row>
    <row r="98" spans="1:13" hidden="1" outlineLevel="1" x14ac:dyDescent="0.25">
      <c r="A98" s="27">
        <f t="shared" si="12"/>
        <v>5.0023999999999944</v>
      </c>
      <c r="B98" s="29" t="s">
        <v>109</v>
      </c>
      <c r="C98" s="31" t="s">
        <v>90</v>
      </c>
      <c r="D98" s="7"/>
      <c r="E98" s="51"/>
      <c r="F98" s="7"/>
      <c r="G98" s="8" t="s">
        <v>5</v>
      </c>
      <c r="H98" s="8">
        <f t="shared" si="11"/>
        <v>1</v>
      </c>
      <c r="I98" s="8">
        <f t="shared" si="11"/>
        <v>0</v>
      </c>
      <c r="J98" s="8">
        <f t="shared" si="11"/>
        <v>0</v>
      </c>
      <c r="K98" s="8">
        <f t="shared" si="11"/>
        <v>0</v>
      </c>
      <c r="L98" s="8">
        <f t="shared" si="11"/>
        <v>0</v>
      </c>
      <c r="M98" s="7"/>
    </row>
    <row r="99" spans="1:13" hidden="1" outlineLevel="1" x14ac:dyDescent="0.25">
      <c r="A99" s="27">
        <f t="shared" si="12"/>
        <v>5.0024999999999942</v>
      </c>
      <c r="B99" s="29"/>
      <c r="C99" s="31" t="s">
        <v>91</v>
      </c>
      <c r="D99" s="7"/>
      <c r="E99" s="51"/>
      <c r="F99" s="7"/>
      <c r="G99" s="8" t="s">
        <v>5</v>
      </c>
      <c r="H99" s="8">
        <f t="shared" si="11"/>
        <v>1</v>
      </c>
      <c r="I99" s="8">
        <f t="shared" si="11"/>
        <v>0</v>
      </c>
      <c r="J99" s="8">
        <f t="shared" si="11"/>
        <v>0</v>
      </c>
      <c r="K99" s="8">
        <f t="shared" si="11"/>
        <v>0</v>
      </c>
      <c r="L99" s="8">
        <f t="shared" si="11"/>
        <v>0</v>
      </c>
      <c r="M99" s="7"/>
    </row>
    <row r="100" spans="1:13" ht="25.5" hidden="1" outlineLevel="1" x14ac:dyDescent="0.25">
      <c r="A100" s="27">
        <f t="shared" si="12"/>
        <v>5.0025999999999939</v>
      </c>
      <c r="B100" s="29"/>
      <c r="C100" s="31" t="s">
        <v>92</v>
      </c>
      <c r="D100" s="7"/>
      <c r="E100" s="51"/>
      <c r="F100" s="7"/>
      <c r="G100" s="8" t="s">
        <v>5</v>
      </c>
      <c r="H100" s="8">
        <f t="shared" si="11"/>
        <v>1</v>
      </c>
      <c r="I100" s="8">
        <f t="shared" si="11"/>
        <v>0</v>
      </c>
      <c r="J100" s="8">
        <f t="shared" si="11"/>
        <v>0</v>
      </c>
      <c r="K100" s="8">
        <f t="shared" si="11"/>
        <v>0</v>
      </c>
      <c r="L100" s="8">
        <f t="shared" si="11"/>
        <v>0</v>
      </c>
      <c r="M100" s="7"/>
    </row>
    <row r="101" spans="1:13" hidden="1" outlineLevel="1" x14ac:dyDescent="0.25">
      <c r="A101" s="27">
        <f t="shared" si="12"/>
        <v>5.0026999999999937</v>
      </c>
      <c r="B101" s="29" t="s">
        <v>101</v>
      </c>
      <c r="C101" s="31" t="s">
        <v>110</v>
      </c>
      <c r="D101" s="7"/>
      <c r="E101" s="51"/>
      <c r="F101" s="7"/>
      <c r="G101" s="8" t="s">
        <v>5</v>
      </c>
      <c r="H101" s="8">
        <f t="shared" si="11"/>
        <v>1</v>
      </c>
      <c r="I101" s="8">
        <f t="shared" si="11"/>
        <v>0</v>
      </c>
      <c r="J101" s="8">
        <f t="shared" si="11"/>
        <v>0</v>
      </c>
      <c r="K101" s="8">
        <f t="shared" si="11"/>
        <v>0</v>
      </c>
      <c r="L101" s="8">
        <f t="shared" si="11"/>
        <v>0</v>
      </c>
      <c r="M101" s="7"/>
    </row>
    <row r="102" spans="1:13" hidden="1" outlineLevel="1" x14ac:dyDescent="0.25">
      <c r="A102" s="27">
        <f t="shared" si="12"/>
        <v>5.0027999999999935</v>
      </c>
      <c r="B102" s="30" t="s">
        <v>112</v>
      </c>
      <c r="C102" s="31" t="s">
        <v>111</v>
      </c>
      <c r="D102" s="21" t="s">
        <v>155</v>
      </c>
      <c r="E102" s="52"/>
      <c r="F102" s="7"/>
      <c r="G102" s="8" t="s">
        <v>5</v>
      </c>
      <c r="H102" s="8">
        <f t="shared" si="11"/>
        <v>1</v>
      </c>
      <c r="I102" s="8">
        <f t="shared" si="11"/>
        <v>0</v>
      </c>
      <c r="J102" s="8">
        <f t="shared" si="11"/>
        <v>0</v>
      </c>
      <c r="K102" s="8">
        <f t="shared" si="11"/>
        <v>0</v>
      </c>
      <c r="L102" s="8">
        <f t="shared" si="11"/>
        <v>0</v>
      </c>
      <c r="M102" s="7"/>
    </row>
    <row r="103" spans="1:13" hidden="1" outlineLevel="1" x14ac:dyDescent="0.25">
      <c r="A103" s="27">
        <f t="shared" si="12"/>
        <v>5.0028999999999932</v>
      </c>
      <c r="B103" s="29" t="s">
        <v>94</v>
      </c>
      <c r="C103" s="31" t="s">
        <v>95</v>
      </c>
      <c r="D103" s="7"/>
      <c r="E103" s="51"/>
      <c r="F103" s="7"/>
      <c r="G103" s="8" t="s">
        <v>5</v>
      </c>
      <c r="H103" s="8">
        <f t="shared" si="11"/>
        <v>1</v>
      </c>
      <c r="I103" s="8">
        <f t="shared" si="11"/>
        <v>0</v>
      </c>
      <c r="J103" s="8">
        <f t="shared" si="11"/>
        <v>0</v>
      </c>
      <c r="K103" s="8">
        <f t="shared" si="11"/>
        <v>0</v>
      </c>
      <c r="L103" s="8">
        <f t="shared" si="11"/>
        <v>0</v>
      </c>
      <c r="M103" s="7"/>
    </row>
    <row r="104" spans="1:13" hidden="1" outlineLevel="1" x14ac:dyDescent="0.25">
      <c r="A104" s="27">
        <f t="shared" si="12"/>
        <v>5.002999999999993</v>
      </c>
      <c r="B104" s="29" t="s">
        <v>114</v>
      </c>
      <c r="C104" s="31" t="s">
        <v>93</v>
      </c>
      <c r="D104" s="7"/>
      <c r="E104" s="51"/>
      <c r="F104" s="7"/>
      <c r="G104" s="8" t="s">
        <v>5</v>
      </c>
      <c r="H104" s="8">
        <f t="shared" si="11"/>
        <v>1</v>
      </c>
      <c r="I104" s="8">
        <f t="shared" si="11"/>
        <v>0</v>
      </c>
      <c r="J104" s="8">
        <f t="shared" si="11"/>
        <v>0</v>
      </c>
      <c r="K104" s="8">
        <f t="shared" si="11"/>
        <v>0</v>
      </c>
      <c r="L104" s="8">
        <f t="shared" si="11"/>
        <v>0</v>
      </c>
      <c r="M104" s="7"/>
    </row>
    <row r="105" spans="1:13" hidden="1" outlineLevel="1" x14ac:dyDescent="0.25">
      <c r="A105" s="27">
        <f t="shared" si="12"/>
        <v>5.0030999999999928</v>
      </c>
      <c r="B105" s="29"/>
      <c r="C105" s="31" t="s">
        <v>96</v>
      </c>
      <c r="D105" s="7"/>
      <c r="E105" s="51"/>
      <c r="F105" s="7"/>
      <c r="G105" s="8" t="s">
        <v>5</v>
      </c>
      <c r="H105" s="8">
        <f t="shared" si="11"/>
        <v>1</v>
      </c>
      <c r="I105" s="8">
        <f t="shared" si="11"/>
        <v>0</v>
      </c>
      <c r="J105" s="8">
        <f t="shared" si="11"/>
        <v>0</v>
      </c>
      <c r="K105" s="8">
        <f t="shared" si="11"/>
        <v>0</v>
      </c>
      <c r="L105" s="8">
        <f t="shared" si="11"/>
        <v>0</v>
      </c>
      <c r="M105" s="7"/>
    </row>
    <row r="106" spans="1:13" ht="25.5" hidden="1" outlineLevel="1" x14ac:dyDescent="0.25">
      <c r="A106" s="27">
        <f t="shared" si="12"/>
        <v>5.0031999999999925</v>
      </c>
      <c r="B106" s="29"/>
      <c r="C106" s="31" t="s">
        <v>97</v>
      </c>
      <c r="D106" s="7"/>
      <c r="E106" s="51"/>
      <c r="F106" s="7"/>
      <c r="G106" s="8" t="s">
        <v>5</v>
      </c>
      <c r="H106" s="8">
        <f t="shared" si="11"/>
        <v>1</v>
      </c>
      <c r="I106" s="8">
        <f t="shared" si="11"/>
        <v>0</v>
      </c>
      <c r="J106" s="8">
        <f t="shared" si="11"/>
        <v>0</v>
      </c>
      <c r="K106" s="8">
        <f t="shared" si="11"/>
        <v>0</v>
      </c>
      <c r="L106" s="8">
        <f t="shared" si="11"/>
        <v>0</v>
      </c>
      <c r="M106" s="7"/>
    </row>
    <row r="107" spans="1:13" hidden="1" outlineLevel="1" x14ac:dyDescent="0.25">
      <c r="A107" s="27">
        <f t="shared" si="12"/>
        <v>5.0032999999999923</v>
      </c>
      <c r="B107" s="28" t="s">
        <v>98</v>
      </c>
      <c r="C107" s="31" t="s">
        <v>99</v>
      </c>
      <c r="D107" s="7"/>
      <c r="E107" s="51"/>
      <c r="F107" s="7"/>
      <c r="G107" s="8" t="s">
        <v>5</v>
      </c>
      <c r="H107" s="8">
        <f t="shared" si="11"/>
        <v>1</v>
      </c>
      <c r="I107" s="8">
        <f t="shared" si="11"/>
        <v>0</v>
      </c>
      <c r="J107" s="8">
        <f t="shared" si="11"/>
        <v>0</v>
      </c>
      <c r="K107" s="8">
        <f t="shared" si="11"/>
        <v>0</v>
      </c>
      <c r="L107" s="8">
        <f t="shared" si="11"/>
        <v>0</v>
      </c>
      <c r="M107" s="7"/>
    </row>
    <row r="108" spans="1:13" ht="25.5" hidden="1" outlineLevel="1" x14ac:dyDescent="0.25">
      <c r="A108" s="27">
        <f t="shared" si="12"/>
        <v>5.0033999999999921</v>
      </c>
      <c r="B108" s="29" t="s">
        <v>156</v>
      </c>
      <c r="C108" s="33" t="s">
        <v>100</v>
      </c>
      <c r="D108" s="7"/>
      <c r="E108" s="51"/>
      <c r="F108" s="7"/>
      <c r="G108" s="8" t="s">
        <v>5</v>
      </c>
      <c r="H108" s="8">
        <f t="shared" si="11"/>
        <v>1</v>
      </c>
      <c r="I108" s="8">
        <f t="shared" si="11"/>
        <v>0</v>
      </c>
      <c r="J108" s="8">
        <f t="shared" si="11"/>
        <v>0</v>
      </c>
      <c r="K108" s="8">
        <f t="shared" si="11"/>
        <v>0</v>
      </c>
      <c r="L108" s="8">
        <f t="shared" si="11"/>
        <v>0</v>
      </c>
      <c r="M108" s="7"/>
    </row>
    <row r="109" spans="1:13" hidden="1" outlineLevel="1" x14ac:dyDescent="0.25">
      <c r="A109" s="27">
        <f t="shared" si="12"/>
        <v>5.0034999999999918</v>
      </c>
      <c r="B109" s="6" t="s">
        <v>116</v>
      </c>
      <c r="C109" s="6" t="s">
        <v>117</v>
      </c>
      <c r="D109" s="7"/>
      <c r="E109" s="51"/>
      <c r="F109" s="7"/>
      <c r="G109" s="8" t="s">
        <v>5</v>
      </c>
      <c r="H109" s="8">
        <f t="shared" si="11"/>
        <v>1</v>
      </c>
      <c r="I109" s="8">
        <f t="shared" si="11"/>
        <v>0</v>
      </c>
      <c r="J109" s="8">
        <f t="shared" si="11"/>
        <v>0</v>
      </c>
      <c r="K109" s="8">
        <f t="shared" si="11"/>
        <v>0</v>
      </c>
      <c r="L109" s="8">
        <f t="shared" si="11"/>
        <v>0</v>
      </c>
      <c r="M109" s="7"/>
    </row>
    <row r="110" spans="1:13" hidden="1" outlineLevel="1" x14ac:dyDescent="0.25">
      <c r="A110" s="27">
        <f t="shared" si="12"/>
        <v>5.0035999999999916</v>
      </c>
      <c r="B110" s="6" t="s">
        <v>118</v>
      </c>
      <c r="C110" s="6" t="s">
        <v>119</v>
      </c>
      <c r="D110" s="7"/>
      <c r="E110" s="51"/>
      <c r="F110" s="7"/>
      <c r="G110" s="8" t="s">
        <v>5</v>
      </c>
      <c r="H110" s="8">
        <f t="shared" si="11"/>
        <v>1</v>
      </c>
      <c r="I110" s="8">
        <f t="shared" si="11"/>
        <v>0</v>
      </c>
      <c r="J110" s="8">
        <f t="shared" si="11"/>
        <v>0</v>
      </c>
      <c r="K110" s="8">
        <f t="shared" si="11"/>
        <v>0</v>
      </c>
      <c r="L110" s="8">
        <f t="shared" si="11"/>
        <v>0</v>
      </c>
      <c r="M110" s="7"/>
    </row>
    <row r="111" spans="1:13" hidden="1" outlineLevel="1" x14ac:dyDescent="0.25">
      <c r="A111" s="27">
        <f t="shared" si="12"/>
        <v>5.0036999999999914</v>
      </c>
      <c r="B111" s="6" t="s">
        <v>120</v>
      </c>
      <c r="C111" s="6" t="s">
        <v>131</v>
      </c>
      <c r="D111" s="7"/>
      <c r="E111" s="51"/>
      <c r="F111" s="7"/>
      <c r="G111" s="8" t="s">
        <v>5</v>
      </c>
      <c r="H111" s="8">
        <f t="shared" si="11"/>
        <v>1</v>
      </c>
      <c r="I111" s="8">
        <f t="shared" si="11"/>
        <v>0</v>
      </c>
      <c r="J111" s="8">
        <f t="shared" si="11"/>
        <v>0</v>
      </c>
      <c r="K111" s="8">
        <f t="shared" si="11"/>
        <v>0</v>
      </c>
      <c r="L111" s="8">
        <f t="shared" si="11"/>
        <v>0</v>
      </c>
      <c r="M111" s="7"/>
    </row>
    <row r="112" spans="1:13" hidden="1" outlineLevel="1" x14ac:dyDescent="0.25">
      <c r="A112" s="27">
        <f t="shared" si="12"/>
        <v>5.0037999999999911</v>
      </c>
      <c r="B112" s="6" t="s">
        <v>121</v>
      </c>
      <c r="C112" s="6" t="s">
        <v>122</v>
      </c>
      <c r="D112" s="7"/>
      <c r="E112" s="51"/>
      <c r="F112" s="7" t="s">
        <v>164</v>
      </c>
      <c r="G112" s="8" t="s">
        <v>5</v>
      </c>
      <c r="H112" s="8">
        <f t="shared" si="11"/>
        <v>1</v>
      </c>
      <c r="I112" s="8">
        <f t="shared" si="11"/>
        <v>0</v>
      </c>
      <c r="J112" s="8">
        <f t="shared" si="11"/>
        <v>0</v>
      </c>
      <c r="K112" s="8">
        <f t="shared" si="11"/>
        <v>0</v>
      </c>
      <c r="L112" s="8">
        <f t="shared" si="11"/>
        <v>0</v>
      </c>
      <c r="M112" s="7"/>
    </row>
    <row r="113" spans="1:13" collapsed="1" x14ac:dyDescent="0.25">
      <c r="A113" s="37"/>
      <c r="B113" s="6"/>
      <c r="C113" s="30"/>
      <c r="D113" s="32"/>
      <c r="E113" s="53"/>
      <c r="F113" s="32"/>
      <c r="G113" s="8"/>
      <c r="H113" s="38"/>
      <c r="I113" s="38"/>
      <c r="J113" s="38"/>
      <c r="K113" s="38"/>
      <c r="L113" s="38"/>
      <c r="M113" s="32"/>
    </row>
    <row r="114" spans="1:13" s="20" customFormat="1" x14ac:dyDescent="0.25">
      <c r="A114" s="23">
        <v>6</v>
      </c>
      <c r="B114" s="17" t="s">
        <v>123</v>
      </c>
      <c r="C114" s="24"/>
      <c r="D114" s="25"/>
      <c r="E114" s="50"/>
      <c r="F114" s="25"/>
      <c r="G114" s="26"/>
      <c r="H114" s="26"/>
      <c r="I114" s="26"/>
      <c r="J114" s="26"/>
      <c r="K114" s="26"/>
      <c r="L114" s="26"/>
      <c r="M114" s="25"/>
    </row>
    <row r="115" spans="1:13" ht="25.5" hidden="1" outlineLevel="1" x14ac:dyDescent="0.25">
      <c r="A115" s="27">
        <f>A114+0.0001</f>
        <v>6.0000999999999998</v>
      </c>
      <c r="B115" s="28" t="s">
        <v>60</v>
      </c>
      <c r="C115" s="9" t="s">
        <v>102</v>
      </c>
      <c r="D115" s="7" t="s">
        <v>154</v>
      </c>
      <c r="E115" s="51"/>
      <c r="F115" s="6"/>
      <c r="G115" s="8" t="s">
        <v>5</v>
      </c>
      <c r="H115" s="8">
        <f t="shared" ref="H115:L122" si="13">IF($G115=H$1,1,0)</f>
        <v>1</v>
      </c>
      <c r="I115" s="8">
        <f t="shared" si="13"/>
        <v>0</v>
      </c>
      <c r="J115" s="8">
        <f t="shared" si="13"/>
        <v>0</v>
      </c>
      <c r="K115" s="8">
        <f t="shared" si="13"/>
        <v>0</v>
      </c>
      <c r="L115" s="8">
        <f t="shared" si="13"/>
        <v>0</v>
      </c>
      <c r="M115" s="7"/>
    </row>
    <row r="116" spans="1:13" hidden="1" outlineLevel="1" x14ac:dyDescent="0.25">
      <c r="A116" s="27">
        <f t="shared" ref="A116:A122" si="14">A115+0.0001</f>
        <v>6.0001999999999995</v>
      </c>
      <c r="B116" s="29" t="s">
        <v>58</v>
      </c>
      <c r="C116" s="6"/>
      <c r="D116" s="21"/>
      <c r="E116" s="52"/>
      <c r="F116" s="6"/>
      <c r="G116" s="8" t="s">
        <v>5</v>
      </c>
      <c r="H116" s="8">
        <f t="shared" si="13"/>
        <v>1</v>
      </c>
      <c r="I116" s="8">
        <f t="shared" si="13"/>
        <v>0</v>
      </c>
      <c r="J116" s="8">
        <f t="shared" si="13"/>
        <v>0</v>
      </c>
      <c r="K116" s="8">
        <f t="shared" si="13"/>
        <v>0</v>
      </c>
      <c r="L116" s="8">
        <f t="shared" si="13"/>
        <v>0</v>
      </c>
      <c r="M116" s="7"/>
    </row>
    <row r="117" spans="1:13" hidden="1" outlineLevel="1" x14ac:dyDescent="0.25">
      <c r="A117" s="27">
        <f t="shared" si="14"/>
        <v>6.0002999999999993</v>
      </c>
      <c r="B117" s="29" t="s">
        <v>124</v>
      </c>
      <c r="C117" s="6" t="s">
        <v>125</v>
      </c>
      <c r="D117" s="7"/>
      <c r="E117" s="51"/>
      <c r="F117" s="7"/>
      <c r="G117" s="8" t="s">
        <v>5</v>
      </c>
      <c r="H117" s="8">
        <f t="shared" si="13"/>
        <v>1</v>
      </c>
      <c r="I117" s="8">
        <f t="shared" si="13"/>
        <v>0</v>
      </c>
      <c r="J117" s="8">
        <f t="shared" si="13"/>
        <v>0</v>
      </c>
      <c r="K117" s="8">
        <f t="shared" si="13"/>
        <v>0</v>
      </c>
      <c r="L117" s="8">
        <f t="shared" si="13"/>
        <v>0</v>
      </c>
      <c r="M117" s="7"/>
    </row>
    <row r="118" spans="1:13" hidden="1" outlineLevel="1" x14ac:dyDescent="0.25">
      <c r="A118" s="27">
        <f t="shared" si="14"/>
        <v>6.0003999999999991</v>
      </c>
      <c r="B118" s="6"/>
      <c r="C118" s="6" t="s">
        <v>126</v>
      </c>
      <c r="D118" s="7"/>
      <c r="E118" s="51"/>
      <c r="F118" s="7"/>
      <c r="G118" s="8" t="s">
        <v>5</v>
      </c>
      <c r="H118" s="8">
        <f t="shared" si="13"/>
        <v>1</v>
      </c>
      <c r="I118" s="8">
        <f t="shared" si="13"/>
        <v>0</v>
      </c>
      <c r="J118" s="8">
        <f t="shared" si="13"/>
        <v>0</v>
      </c>
      <c r="K118" s="8">
        <f t="shared" si="13"/>
        <v>0</v>
      </c>
      <c r="L118" s="8">
        <f t="shared" si="13"/>
        <v>0</v>
      </c>
      <c r="M118" s="7"/>
    </row>
    <row r="119" spans="1:13" hidden="1" outlineLevel="1" x14ac:dyDescent="0.25">
      <c r="A119" s="27">
        <f t="shared" si="14"/>
        <v>6.0004999999999988</v>
      </c>
      <c r="B119" s="6"/>
      <c r="C119" s="6" t="s">
        <v>127</v>
      </c>
      <c r="D119" s="7"/>
      <c r="E119" s="51"/>
      <c r="F119" s="7"/>
      <c r="G119" s="8" t="s">
        <v>5</v>
      </c>
      <c r="H119" s="8">
        <f t="shared" si="13"/>
        <v>1</v>
      </c>
      <c r="I119" s="8">
        <f t="shared" si="13"/>
        <v>0</v>
      </c>
      <c r="J119" s="8">
        <f t="shared" si="13"/>
        <v>0</v>
      </c>
      <c r="K119" s="8">
        <f t="shared" si="13"/>
        <v>0</v>
      </c>
      <c r="L119" s="8">
        <f t="shared" si="13"/>
        <v>0</v>
      </c>
      <c r="M119" s="7"/>
    </row>
    <row r="120" spans="1:13" hidden="1" outlineLevel="1" x14ac:dyDescent="0.25">
      <c r="A120" s="27">
        <f t="shared" si="14"/>
        <v>6.0005999999999986</v>
      </c>
      <c r="B120" s="6" t="s">
        <v>128</v>
      </c>
      <c r="C120" s="6" t="s">
        <v>129</v>
      </c>
      <c r="D120" s="7"/>
      <c r="E120" s="51"/>
      <c r="F120" s="7"/>
      <c r="G120" s="8" t="s">
        <v>5</v>
      </c>
      <c r="H120" s="8">
        <f t="shared" si="13"/>
        <v>1</v>
      </c>
      <c r="I120" s="8">
        <f t="shared" si="13"/>
        <v>0</v>
      </c>
      <c r="J120" s="8">
        <f t="shared" si="13"/>
        <v>0</v>
      </c>
      <c r="K120" s="8">
        <f t="shared" si="13"/>
        <v>0</v>
      </c>
      <c r="L120" s="8">
        <f t="shared" si="13"/>
        <v>0</v>
      </c>
      <c r="M120" s="7"/>
    </row>
    <row r="121" spans="1:13" hidden="1" outlineLevel="1" x14ac:dyDescent="0.25">
      <c r="A121" s="27">
        <f t="shared" si="14"/>
        <v>6.0006999999999984</v>
      </c>
      <c r="B121" s="6"/>
      <c r="C121" s="6" t="s">
        <v>130</v>
      </c>
      <c r="D121" s="7"/>
      <c r="E121" s="51"/>
      <c r="F121" s="7"/>
      <c r="G121" s="8" t="s">
        <v>5</v>
      </c>
      <c r="H121" s="8">
        <f t="shared" si="13"/>
        <v>1</v>
      </c>
      <c r="I121" s="8">
        <f t="shared" si="13"/>
        <v>0</v>
      </c>
      <c r="J121" s="8">
        <f t="shared" si="13"/>
        <v>0</v>
      </c>
      <c r="K121" s="8">
        <f t="shared" si="13"/>
        <v>0</v>
      </c>
      <c r="L121" s="8">
        <f t="shared" si="13"/>
        <v>0</v>
      </c>
      <c r="M121" s="7"/>
    </row>
    <row r="122" spans="1:13" hidden="1" outlineLevel="1" x14ac:dyDescent="0.25">
      <c r="A122" s="27">
        <f t="shared" si="14"/>
        <v>6.0007999999999981</v>
      </c>
      <c r="B122" s="6" t="s">
        <v>132</v>
      </c>
      <c r="C122" s="6" t="s">
        <v>133</v>
      </c>
      <c r="D122" s="7"/>
      <c r="E122" s="51"/>
      <c r="F122" s="7"/>
      <c r="G122" s="8" t="s">
        <v>5</v>
      </c>
      <c r="H122" s="8">
        <f t="shared" si="13"/>
        <v>1</v>
      </c>
      <c r="I122" s="8">
        <f t="shared" si="13"/>
        <v>0</v>
      </c>
      <c r="J122" s="8">
        <f t="shared" si="13"/>
        <v>0</v>
      </c>
      <c r="K122" s="8">
        <f t="shared" si="13"/>
        <v>0</v>
      </c>
      <c r="L122" s="8">
        <f t="shared" si="13"/>
        <v>0</v>
      </c>
      <c r="M122" s="7"/>
    </row>
    <row r="123" spans="1:13" collapsed="1" x14ac:dyDescent="0.25">
      <c r="A123" s="27"/>
      <c r="B123" s="28"/>
      <c r="C123" s="31"/>
      <c r="D123" s="7"/>
      <c r="E123" s="51"/>
      <c r="F123" s="7"/>
      <c r="G123" s="8"/>
      <c r="H123" s="8"/>
      <c r="I123" s="8"/>
      <c r="J123" s="8"/>
      <c r="K123" s="8"/>
      <c r="L123" s="8"/>
      <c r="M123" s="7"/>
    </row>
    <row r="124" spans="1:13" s="20" customFormat="1" x14ac:dyDescent="0.25">
      <c r="A124" s="23">
        <v>7</v>
      </c>
      <c r="B124" s="17" t="s">
        <v>134</v>
      </c>
      <c r="C124" s="24"/>
      <c r="D124" s="25"/>
      <c r="E124" s="50"/>
      <c r="F124" s="25"/>
      <c r="G124" s="26"/>
      <c r="H124" s="26"/>
      <c r="I124" s="26"/>
      <c r="J124" s="26"/>
      <c r="K124" s="26"/>
      <c r="L124" s="26"/>
      <c r="M124" s="25"/>
    </row>
    <row r="125" spans="1:13" ht="25.5" hidden="1" outlineLevel="1" x14ac:dyDescent="0.25">
      <c r="A125" s="27">
        <f>A124+0.0001</f>
        <v>7.0000999999999998</v>
      </c>
      <c r="B125" s="6" t="s">
        <v>135</v>
      </c>
      <c r="C125" s="9" t="s">
        <v>137</v>
      </c>
      <c r="D125" s="7" t="s">
        <v>154</v>
      </c>
      <c r="E125" s="51"/>
      <c r="F125" s="6"/>
      <c r="G125" s="8" t="s">
        <v>5</v>
      </c>
      <c r="H125" s="8">
        <f t="shared" ref="H125:L129" si="15">IF($G125=H$1,1,0)</f>
        <v>1</v>
      </c>
      <c r="I125" s="8">
        <f t="shared" si="15"/>
        <v>0</v>
      </c>
      <c r="J125" s="8">
        <f t="shared" si="15"/>
        <v>0</v>
      </c>
      <c r="K125" s="8">
        <f t="shared" si="15"/>
        <v>0</v>
      </c>
      <c r="L125" s="8">
        <f t="shared" si="15"/>
        <v>0</v>
      </c>
      <c r="M125" s="7"/>
    </row>
    <row r="126" spans="1:13" hidden="1" outlineLevel="1" x14ac:dyDescent="0.25">
      <c r="A126" s="27">
        <f t="shared" ref="A126:A129" si="16">A125+0.0001</f>
        <v>7.0001999999999995</v>
      </c>
      <c r="B126" s="6" t="s">
        <v>136</v>
      </c>
      <c r="C126" s="6" t="s">
        <v>138</v>
      </c>
      <c r="D126" s="21"/>
      <c r="E126" s="52"/>
      <c r="F126" s="6"/>
      <c r="G126" s="8" t="s">
        <v>5</v>
      </c>
      <c r="H126" s="8">
        <f t="shared" si="15"/>
        <v>1</v>
      </c>
      <c r="I126" s="8">
        <f t="shared" si="15"/>
        <v>0</v>
      </c>
      <c r="J126" s="8">
        <f t="shared" si="15"/>
        <v>0</v>
      </c>
      <c r="K126" s="8">
        <f t="shared" si="15"/>
        <v>0</v>
      </c>
      <c r="L126" s="8">
        <f t="shared" si="15"/>
        <v>0</v>
      </c>
      <c r="M126" s="7"/>
    </row>
    <row r="127" spans="1:13" hidden="1" outlineLevel="1" x14ac:dyDescent="0.25">
      <c r="A127" s="27">
        <f t="shared" si="16"/>
        <v>7.0002999999999993</v>
      </c>
      <c r="B127" s="6" t="s">
        <v>139</v>
      </c>
      <c r="C127" s="6" t="s">
        <v>140</v>
      </c>
      <c r="D127" s="7"/>
      <c r="E127" s="51"/>
      <c r="F127" s="7"/>
      <c r="G127" s="8" t="s">
        <v>5</v>
      </c>
      <c r="H127" s="8">
        <f t="shared" si="15"/>
        <v>1</v>
      </c>
      <c r="I127" s="8">
        <f t="shared" si="15"/>
        <v>0</v>
      </c>
      <c r="J127" s="8">
        <f t="shared" si="15"/>
        <v>0</v>
      </c>
      <c r="K127" s="8">
        <f t="shared" si="15"/>
        <v>0</v>
      </c>
      <c r="L127" s="8">
        <f t="shared" si="15"/>
        <v>0</v>
      </c>
      <c r="M127" s="7"/>
    </row>
    <row r="128" spans="1:13" hidden="1" outlineLevel="1" x14ac:dyDescent="0.25">
      <c r="A128" s="27">
        <f t="shared" si="16"/>
        <v>7.0003999999999991</v>
      </c>
      <c r="B128" s="6" t="s">
        <v>141</v>
      </c>
      <c r="C128" s="6" t="s">
        <v>142</v>
      </c>
      <c r="D128" s="7"/>
      <c r="E128" s="51"/>
      <c r="F128" s="7"/>
      <c r="G128" s="8" t="s">
        <v>5</v>
      </c>
      <c r="H128" s="8">
        <f t="shared" si="15"/>
        <v>1</v>
      </c>
      <c r="I128" s="8">
        <f t="shared" si="15"/>
        <v>0</v>
      </c>
      <c r="J128" s="8">
        <f t="shared" si="15"/>
        <v>0</v>
      </c>
      <c r="K128" s="8">
        <f t="shared" si="15"/>
        <v>0</v>
      </c>
      <c r="L128" s="8">
        <f t="shared" si="15"/>
        <v>0</v>
      </c>
      <c r="M128" s="7"/>
    </row>
    <row r="129" spans="1:13" hidden="1" outlineLevel="1" x14ac:dyDescent="0.25">
      <c r="A129" s="27">
        <f t="shared" si="16"/>
        <v>7.0004999999999988</v>
      </c>
      <c r="B129" s="6"/>
      <c r="C129" s="6" t="s">
        <v>143</v>
      </c>
      <c r="D129" s="7"/>
      <c r="E129" s="51"/>
      <c r="F129" s="7"/>
      <c r="G129" s="8" t="s">
        <v>5</v>
      </c>
      <c r="H129" s="8">
        <f t="shared" si="15"/>
        <v>1</v>
      </c>
      <c r="I129" s="8">
        <f t="shared" si="15"/>
        <v>0</v>
      </c>
      <c r="J129" s="8">
        <f t="shared" si="15"/>
        <v>0</v>
      </c>
      <c r="K129" s="8">
        <f t="shared" si="15"/>
        <v>0</v>
      </c>
      <c r="L129" s="8">
        <f t="shared" si="15"/>
        <v>0</v>
      </c>
      <c r="M129" s="7"/>
    </row>
    <row r="130" spans="1:13" collapsed="1" x14ac:dyDescent="0.25">
      <c r="A130" s="27"/>
      <c r="B130" s="6"/>
      <c r="C130" s="6"/>
      <c r="D130" s="7"/>
      <c r="E130" s="51"/>
      <c r="F130" s="7"/>
      <c r="G130" s="8"/>
      <c r="H130" s="8"/>
      <c r="I130" s="8"/>
      <c r="J130" s="8"/>
      <c r="K130" s="8"/>
      <c r="L130" s="8"/>
      <c r="M130" s="7"/>
    </row>
    <row r="131" spans="1:13" s="20" customFormat="1" x14ac:dyDescent="0.25">
      <c r="A131" s="23">
        <v>8</v>
      </c>
      <c r="B131" s="17" t="s">
        <v>51</v>
      </c>
      <c r="C131" s="24" t="s">
        <v>157</v>
      </c>
      <c r="D131" s="25"/>
      <c r="E131" s="50"/>
      <c r="F131" s="25"/>
      <c r="G131" s="26"/>
      <c r="H131" s="26"/>
      <c r="I131" s="26"/>
      <c r="J131" s="26"/>
      <c r="K131" s="26"/>
      <c r="L131" s="26"/>
      <c r="M131" s="25"/>
    </row>
    <row r="132" spans="1:13" ht="25.5" outlineLevel="1" x14ac:dyDescent="0.25">
      <c r="A132" s="5">
        <f>A131+0.0001</f>
        <v>8.0000999999999998</v>
      </c>
      <c r="B132" s="6" t="s">
        <v>145</v>
      </c>
      <c r="C132" s="9" t="s">
        <v>146</v>
      </c>
      <c r="D132" s="6"/>
      <c r="E132" s="54"/>
      <c r="F132" s="6"/>
      <c r="G132" s="8" t="s">
        <v>5</v>
      </c>
      <c r="H132" s="8">
        <f t="shared" ref="H132:L137" si="17">IF($G132=H$1,1,0)</f>
        <v>1</v>
      </c>
      <c r="I132" s="8">
        <f t="shared" si="17"/>
        <v>0</v>
      </c>
      <c r="J132" s="8">
        <f t="shared" si="17"/>
        <v>0</v>
      </c>
      <c r="K132" s="8">
        <f t="shared" si="17"/>
        <v>0</v>
      </c>
      <c r="L132" s="8">
        <f t="shared" si="17"/>
        <v>0</v>
      </c>
      <c r="M132" s="7"/>
    </row>
    <row r="133" spans="1:13" outlineLevel="1" x14ac:dyDescent="0.25">
      <c r="A133" s="5">
        <f t="shared" ref="A133:A137" si="18">A132+0.0001</f>
        <v>8.0001999999999995</v>
      </c>
      <c r="B133" s="6" t="s">
        <v>101</v>
      </c>
      <c r="C133" s="9" t="s">
        <v>147</v>
      </c>
      <c r="D133" s="6"/>
      <c r="E133" s="54"/>
      <c r="F133" s="6"/>
      <c r="G133" s="8" t="s">
        <v>5</v>
      </c>
      <c r="H133" s="8">
        <f t="shared" si="17"/>
        <v>1</v>
      </c>
      <c r="I133" s="8">
        <f t="shared" si="17"/>
        <v>0</v>
      </c>
      <c r="J133" s="8">
        <f t="shared" si="17"/>
        <v>0</v>
      </c>
      <c r="K133" s="8">
        <f t="shared" si="17"/>
        <v>0</v>
      </c>
      <c r="L133" s="8">
        <f t="shared" si="17"/>
        <v>0</v>
      </c>
      <c r="M133" s="7"/>
    </row>
    <row r="134" spans="1:13" outlineLevel="1" x14ac:dyDescent="0.25">
      <c r="A134" s="5">
        <f t="shared" si="18"/>
        <v>8.0002999999999993</v>
      </c>
      <c r="B134" s="6" t="s">
        <v>158</v>
      </c>
      <c r="C134" s="9" t="s">
        <v>159</v>
      </c>
      <c r="D134" s="6"/>
      <c r="E134" s="54"/>
      <c r="F134" s="6"/>
      <c r="G134" s="8" t="s">
        <v>5</v>
      </c>
      <c r="H134" s="8">
        <f t="shared" si="17"/>
        <v>1</v>
      </c>
      <c r="I134" s="8">
        <f t="shared" si="17"/>
        <v>0</v>
      </c>
      <c r="J134" s="8">
        <f t="shared" si="17"/>
        <v>0</v>
      </c>
      <c r="K134" s="8">
        <f t="shared" si="17"/>
        <v>0</v>
      </c>
      <c r="L134" s="8">
        <f t="shared" si="17"/>
        <v>0</v>
      </c>
      <c r="M134" s="7"/>
    </row>
    <row r="135" spans="1:13" outlineLevel="1" x14ac:dyDescent="0.25">
      <c r="A135" s="5">
        <f t="shared" si="18"/>
        <v>8.0003999999999991</v>
      </c>
      <c r="B135" s="6" t="s">
        <v>150</v>
      </c>
      <c r="C135" s="6" t="s">
        <v>151</v>
      </c>
      <c r="D135" s="6"/>
      <c r="E135" s="54"/>
      <c r="F135" s="6"/>
      <c r="G135" s="8" t="s">
        <v>5</v>
      </c>
      <c r="H135" s="8">
        <f t="shared" si="17"/>
        <v>1</v>
      </c>
      <c r="I135" s="8">
        <f t="shared" si="17"/>
        <v>0</v>
      </c>
      <c r="J135" s="8">
        <f t="shared" si="17"/>
        <v>0</v>
      </c>
      <c r="K135" s="8">
        <f t="shared" si="17"/>
        <v>0</v>
      </c>
      <c r="L135" s="8">
        <f t="shared" si="17"/>
        <v>0</v>
      </c>
      <c r="M135" s="7"/>
    </row>
    <row r="136" spans="1:13" outlineLevel="1" x14ac:dyDescent="0.25">
      <c r="A136" s="5">
        <f t="shared" si="18"/>
        <v>8.0004999999999988</v>
      </c>
      <c r="B136" s="6" t="s">
        <v>152</v>
      </c>
      <c r="C136" s="39" t="s">
        <v>153</v>
      </c>
      <c r="D136" s="6"/>
      <c r="E136" s="54"/>
      <c r="F136" s="6"/>
      <c r="G136" s="8" t="s">
        <v>5</v>
      </c>
      <c r="H136" s="8">
        <f t="shared" si="17"/>
        <v>1</v>
      </c>
      <c r="I136" s="8">
        <f t="shared" si="17"/>
        <v>0</v>
      </c>
      <c r="J136" s="8">
        <f t="shared" si="17"/>
        <v>0</v>
      </c>
      <c r="K136" s="8">
        <f t="shared" si="17"/>
        <v>0</v>
      </c>
      <c r="L136" s="8">
        <f t="shared" si="17"/>
        <v>0</v>
      </c>
      <c r="M136" s="7"/>
    </row>
    <row r="137" spans="1:13" outlineLevel="1" x14ac:dyDescent="0.25">
      <c r="A137" s="5">
        <f t="shared" si="18"/>
        <v>8.0005999999999986</v>
      </c>
      <c r="B137" s="6" t="s">
        <v>160</v>
      </c>
      <c r="C137" s="39" t="s">
        <v>161</v>
      </c>
      <c r="D137" s="6"/>
      <c r="E137" s="54" t="s">
        <v>176</v>
      </c>
      <c r="F137" s="6"/>
      <c r="G137" s="8" t="s">
        <v>5</v>
      </c>
      <c r="H137" s="8">
        <f t="shared" si="17"/>
        <v>1</v>
      </c>
      <c r="I137" s="8">
        <f t="shared" si="17"/>
        <v>0</v>
      </c>
      <c r="J137" s="8">
        <f t="shared" si="17"/>
        <v>0</v>
      </c>
      <c r="K137" s="8">
        <f t="shared" si="17"/>
        <v>0</v>
      </c>
      <c r="L137" s="8">
        <f t="shared" si="17"/>
        <v>0</v>
      </c>
      <c r="M137" s="7"/>
    </row>
    <row r="139" spans="1:13" s="20" customFormat="1" x14ac:dyDescent="0.25">
      <c r="A139" s="16">
        <v>9</v>
      </c>
      <c r="B139" s="17" t="s">
        <v>134</v>
      </c>
      <c r="C139" s="18"/>
      <c r="D139" s="17"/>
      <c r="E139" s="45"/>
      <c r="F139" s="17"/>
      <c r="G139" s="19"/>
      <c r="H139" s="19"/>
      <c r="I139" s="19"/>
      <c r="J139" s="19"/>
      <c r="K139" s="19"/>
      <c r="L139" s="19"/>
      <c r="M139" s="17"/>
    </row>
    <row r="140" spans="1:13" ht="25.5" outlineLevel="1" x14ac:dyDescent="0.25">
      <c r="A140" s="27">
        <f>A139+0.0001</f>
        <v>9.0000999999999998</v>
      </c>
      <c r="B140" s="6" t="s">
        <v>135</v>
      </c>
      <c r="C140" s="9" t="s">
        <v>137</v>
      </c>
      <c r="D140" s="7" t="s">
        <v>168</v>
      </c>
      <c r="E140" s="51"/>
      <c r="F140" s="6"/>
      <c r="G140" s="8" t="s">
        <v>8</v>
      </c>
      <c r="H140" s="8">
        <f t="shared" ref="H140:L144" si="19">IF($G140=H$1,1,0)</f>
        <v>0</v>
      </c>
      <c r="I140" s="8">
        <f t="shared" si="19"/>
        <v>0</v>
      </c>
      <c r="J140" s="8">
        <f t="shared" si="19"/>
        <v>0</v>
      </c>
      <c r="K140" s="8">
        <f t="shared" si="19"/>
        <v>0</v>
      </c>
      <c r="L140" s="8">
        <f t="shared" si="19"/>
        <v>1</v>
      </c>
      <c r="M140" s="7"/>
    </row>
    <row r="141" spans="1:13" outlineLevel="1" x14ac:dyDescent="0.25">
      <c r="A141" s="27">
        <f t="shared" ref="A141:A144" si="20">A140+0.0001</f>
        <v>9.0001999999999995</v>
      </c>
      <c r="B141" s="6" t="s">
        <v>136</v>
      </c>
      <c r="C141" s="6" t="s">
        <v>138</v>
      </c>
      <c r="D141" s="21"/>
      <c r="E141" s="52"/>
      <c r="F141" s="6"/>
      <c r="G141" s="8" t="s">
        <v>8</v>
      </c>
      <c r="H141" s="8">
        <f t="shared" si="19"/>
        <v>0</v>
      </c>
      <c r="I141" s="8">
        <f t="shared" si="19"/>
        <v>0</v>
      </c>
      <c r="J141" s="8">
        <f t="shared" si="19"/>
        <v>0</v>
      </c>
      <c r="K141" s="8">
        <f t="shared" si="19"/>
        <v>0</v>
      </c>
      <c r="L141" s="8">
        <f t="shared" si="19"/>
        <v>1</v>
      </c>
      <c r="M141" s="7"/>
    </row>
    <row r="142" spans="1:13" outlineLevel="1" x14ac:dyDescent="0.25">
      <c r="A142" s="27">
        <f t="shared" si="20"/>
        <v>9.0002999999999993</v>
      </c>
      <c r="B142" s="6" t="s">
        <v>139</v>
      </c>
      <c r="C142" s="6" t="s">
        <v>140</v>
      </c>
      <c r="D142" s="7"/>
      <c r="E142" s="51"/>
      <c r="F142" s="7"/>
      <c r="G142" s="8" t="s">
        <v>8</v>
      </c>
      <c r="H142" s="8">
        <f t="shared" si="19"/>
        <v>0</v>
      </c>
      <c r="I142" s="8">
        <f t="shared" si="19"/>
        <v>0</v>
      </c>
      <c r="J142" s="8">
        <f t="shared" si="19"/>
        <v>0</v>
      </c>
      <c r="K142" s="8">
        <f t="shared" si="19"/>
        <v>0</v>
      </c>
      <c r="L142" s="8">
        <f t="shared" si="19"/>
        <v>1</v>
      </c>
      <c r="M142" s="7"/>
    </row>
    <row r="143" spans="1:13" outlineLevel="1" x14ac:dyDescent="0.25">
      <c r="A143" s="27">
        <f t="shared" si="20"/>
        <v>9.0003999999999991</v>
      </c>
      <c r="B143" s="6" t="s">
        <v>141</v>
      </c>
      <c r="C143" s="6" t="s">
        <v>142</v>
      </c>
      <c r="D143" s="7"/>
      <c r="E143" s="51"/>
      <c r="F143" s="7"/>
      <c r="G143" s="8" t="s">
        <v>8</v>
      </c>
      <c r="H143" s="8">
        <f t="shared" si="19"/>
        <v>0</v>
      </c>
      <c r="I143" s="8">
        <f t="shared" si="19"/>
        <v>0</v>
      </c>
      <c r="J143" s="8">
        <f t="shared" si="19"/>
        <v>0</v>
      </c>
      <c r="K143" s="8">
        <f t="shared" si="19"/>
        <v>0</v>
      </c>
      <c r="L143" s="8">
        <f t="shared" si="19"/>
        <v>1</v>
      </c>
      <c r="M143" s="7"/>
    </row>
    <row r="144" spans="1:13" outlineLevel="1" x14ac:dyDescent="0.25">
      <c r="A144" s="27">
        <f t="shared" si="20"/>
        <v>9.0004999999999988</v>
      </c>
      <c r="B144" s="6"/>
      <c r="C144" s="6" t="s">
        <v>143</v>
      </c>
      <c r="D144" s="7"/>
      <c r="E144" s="51"/>
      <c r="F144" s="7"/>
      <c r="G144" s="8" t="s">
        <v>8</v>
      </c>
      <c r="H144" s="8">
        <f t="shared" si="19"/>
        <v>0</v>
      </c>
      <c r="I144" s="8">
        <f t="shared" si="19"/>
        <v>0</v>
      </c>
      <c r="J144" s="8">
        <f t="shared" si="19"/>
        <v>0</v>
      </c>
      <c r="K144" s="8">
        <f t="shared" si="19"/>
        <v>0</v>
      </c>
      <c r="L144" s="8">
        <f t="shared" si="19"/>
        <v>1</v>
      </c>
      <c r="M144" s="7"/>
    </row>
    <row r="148" spans="8:12" ht="15.75" thickBot="1" x14ac:dyDescent="0.3">
      <c r="H148" s="2">
        <f>SUM(H2:H146)</f>
        <v>113</v>
      </c>
      <c r="I148" s="2">
        <f t="shared" ref="I148:L148" si="21">SUM(I2:I146)</f>
        <v>0</v>
      </c>
      <c r="J148" s="2">
        <f t="shared" si="21"/>
        <v>0</v>
      </c>
      <c r="K148" s="2">
        <f t="shared" si="21"/>
        <v>6</v>
      </c>
      <c r="L148" s="2">
        <f t="shared" si="21"/>
        <v>5</v>
      </c>
    </row>
    <row r="149" spans="8:12" ht="15.75" thickTop="1" x14ac:dyDescent="0.25"/>
  </sheetData>
  <conditionalFormatting sqref="M2 D10:F14 M10:M23 B15:F23 A3:A41 B49:C50 M50 A43:A50 A51:F51 A60:A65 D64:E65 B64:B65 F60:F65 H3:L40 H43:L50 A132:A137 D136:F137 A136:B137 A149:M163 A148:G148 M148 A145:M147 A138:G138 M138 B70:F73 A67:A73 G72:L73 A66:L66 D68:F69 C67:F67 M66:M73 B67:C70 H67:L71 B41:M41 H51:M51 B25:F40 B6:C6 D4:F5 B9:C14 C3:C5 H24:M40 B46:C46 D44:F45 B50:F50 C43:C45 D82:F86 B87:F95 B113:M113 A75:A113 B121:C122 A115:A122 A123:F123 A125:A130 G130:M130 F132:F135 B97:F112 H123:M123 B78:C78 D76:F77 C74:L74 B81:C86 C75:C77 B118:C118 D116:F117 B122:F122 C115:C117 B128:F130 C125:C127 D126:F127 A53:F58 H53:M58 A140:A144 B143:C143 C140:C142 D141:F142 G75:M112">
    <cfRule type="expression" dxfId="152" priority="588">
      <formula>$G2="Fail"</formula>
    </cfRule>
  </conditionalFormatting>
  <conditionalFormatting sqref="B60:E63">
    <cfRule type="expression" dxfId="151" priority="227">
      <formula>$G60="Fail"</formula>
    </cfRule>
  </conditionalFormatting>
  <conditionalFormatting sqref="A2:L2">
    <cfRule type="expression" dxfId="150" priority="198">
      <formula>$G2="Fail"</formula>
    </cfRule>
  </conditionalFormatting>
  <conditionalFormatting sqref="B6:F9">
    <cfRule type="expression" dxfId="149" priority="195">
      <formula>$G6="Fail"</formula>
    </cfRule>
  </conditionalFormatting>
  <conditionalFormatting sqref="C3:F3">
    <cfRule type="expression" dxfId="148" priority="193">
      <formula>$G3="Fail"</formula>
    </cfRule>
  </conditionalFormatting>
  <conditionalFormatting sqref="M4:M5">
    <cfRule type="expression" dxfId="147" priority="189">
      <formula>$G4="Fail"</formula>
    </cfRule>
  </conditionalFormatting>
  <conditionalFormatting sqref="M6:M9">
    <cfRule type="expression" dxfId="146" priority="186">
      <formula>$G6="Fail"</formula>
    </cfRule>
  </conditionalFormatting>
  <conditionalFormatting sqref="M3">
    <cfRule type="expression" dxfId="145" priority="184">
      <formula>$G3="Fail"</formula>
    </cfRule>
  </conditionalFormatting>
  <conditionalFormatting sqref="B3:B4">
    <cfRule type="expression" dxfId="144" priority="182">
      <formula>$G3="Fail"</formula>
    </cfRule>
  </conditionalFormatting>
  <conditionalFormatting sqref="B5">
    <cfRule type="expression" dxfId="143" priority="181">
      <formula>$G5="Fail"</formula>
    </cfRule>
  </conditionalFormatting>
  <conditionalFormatting sqref="B5">
    <cfRule type="expression" dxfId="142" priority="180">
      <formula>$G5="Fail"</formula>
    </cfRule>
  </conditionalFormatting>
  <conditionalFormatting sqref="B24:F24">
    <cfRule type="expression" dxfId="141" priority="101">
      <formula>$G24="Fail"</formula>
    </cfRule>
  </conditionalFormatting>
  <conditionalFormatting sqref="M42">
    <cfRule type="expression" dxfId="140" priority="100">
      <formula>$G42="Fail"</formula>
    </cfRule>
  </conditionalFormatting>
  <conditionalFormatting sqref="A42:L42">
    <cfRule type="expression" dxfId="139" priority="99">
      <formula>$G42="Fail"</formula>
    </cfRule>
  </conditionalFormatting>
  <conditionalFormatting sqref="B46:F49">
    <cfRule type="expression" dxfId="138" priority="98">
      <formula>$G46="Fail"</formula>
    </cfRule>
  </conditionalFormatting>
  <conditionalFormatting sqref="C43:F43">
    <cfRule type="expression" dxfId="137" priority="97">
      <formula>$G43="Fail"</formula>
    </cfRule>
  </conditionalFormatting>
  <conditionalFormatting sqref="M44:M45">
    <cfRule type="expression" dxfId="136" priority="96">
      <formula>$G44="Fail"</formula>
    </cfRule>
  </conditionalFormatting>
  <conditionalFormatting sqref="M46:M49">
    <cfRule type="expression" dxfId="135" priority="95">
      <formula>$G46="Fail"</formula>
    </cfRule>
  </conditionalFormatting>
  <conditionalFormatting sqref="M43">
    <cfRule type="expression" dxfId="134" priority="94">
      <formula>$G43="Fail"</formula>
    </cfRule>
  </conditionalFormatting>
  <conditionalFormatting sqref="B43:B44">
    <cfRule type="expression" dxfId="133" priority="93">
      <formula>$G43="Fail"</formula>
    </cfRule>
  </conditionalFormatting>
  <conditionalFormatting sqref="B45">
    <cfRule type="expression" dxfId="132" priority="92">
      <formula>$G45="Fail"</formula>
    </cfRule>
  </conditionalFormatting>
  <conditionalFormatting sqref="B45">
    <cfRule type="expression" dxfId="131" priority="91">
      <formula>$G45="Fail"</formula>
    </cfRule>
  </conditionalFormatting>
  <conditionalFormatting sqref="M59">
    <cfRule type="expression" dxfId="130" priority="78">
      <formula>$G59="Fail"</formula>
    </cfRule>
  </conditionalFormatting>
  <conditionalFormatting sqref="A59:L59">
    <cfRule type="expression" dxfId="129" priority="77">
      <formula>$G59="Fail"</formula>
    </cfRule>
  </conditionalFormatting>
  <conditionalFormatting sqref="H60:L65">
    <cfRule type="expression" dxfId="128" priority="76">
      <formula>$G60="Fail"</formula>
    </cfRule>
  </conditionalFormatting>
  <conditionalFormatting sqref="M60:M65">
    <cfRule type="expression" dxfId="127" priority="75">
      <formula>$G60="Fail"</formula>
    </cfRule>
  </conditionalFormatting>
  <conditionalFormatting sqref="M74">
    <cfRule type="expression" dxfId="126" priority="74">
      <formula>$G74="Fail"</formula>
    </cfRule>
  </conditionalFormatting>
  <conditionalFormatting sqref="B132:E135">
    <cfRule type="expression" dxfId="125" priority="73">
      <formula>$G132="Fail"</formula>
    </cfRule>
  </conditionalFormatting>
  <conditionalFormatting sqref="A74">
    <cfRule type="expression" dxfId="124" priority="72">
      <formula>$G74="Fail"</formula>
    </cfRule>
  </conditionalFormatting>
  <conditionalFormatting sqref="B78:F81">
    <cfRule type="expression" dxfId="123" priority="71">
      <formula>$G78="Fail"</formula>
    </cfRule>
  </conditionalFormatting>
  <conditionalFormatting sqref="C75:F75">
    <cfRule type="expression" dxfId="122" priority="70">
      <formula>$G75="Fail"</formula>
    </cfRule>
  </conditionalFormatting>
  <conditionalFormatting sqref="B75:B76">
    <cfRule type="expression" dxfId="121" priority="66">
      <formula>$G75="Fail"</formula>
    </cfRule>
  </conditionalFormatting>
  <conditionalFormatting sqref="B77">
    <cfRule type="expression" dxfId="120" priority="65">
      <formula>$G77="Fail"</formula>
    </cfRule>
  </conditionalFormatting>
  <conditionalFormatting sqref="B77">
    <cfRule type="expression" dxfId="119" priority="64">
      <formula>$G77="Fail"</formula>
    </cfRule>
  </conditionalFormatting>
  <conditionalFormatting sqref="B96:F96">
    <cfRule type="expression" dxfId="118" priority="62">
      <formula>$G96="Fail"</formula>
    </cfRule>
  </conditionalFormatting>
  <conditionalFormatting sqref="M114">
    <cfRule type="expression" dxfId="117" priority="61">
      <formula>$G114="Fail"</formula>
    </cfRule>
  </conditionalFormatting>
  <conditionalFormatting sqref="A114:L114">
    <cfRule type="expression" dxfId="116" priority="60">
      <formula>$G114="Fail"</formula>
    </cfRule>
  </conditionalFormatting>
  <conditionalFormatting sqref="B118:F121">
    <cfRule type="expression" dxfId="115" priority="59">
      <formula>$G118="Fail"</formula>
    </cfRule>
  </conditionalFormatting>
  <conditionalFormatting sqref="C115:F115">
    <cfRule type="expression" dxfId="114" priority="58">
      <formula>$G115="Fail"</formula>
    </cfRule>
  </conditionalFormatting>
  <conditionalFormatting sqref="B115:B116">
    <cfRule type="expression" dxfId="113" priority="54">
      <formula>$G115="Fail"</formula>
    </cfRule>
  </conditionalFormatting>
  <conditionalFormatting sqref="B117">
    <cfRule type="expression" dxfId="112" priority="53">
      <formula>$G117="Fail"</formula>
    </cfRule>
  </conditionalFormatting>
  <conditionalFormatting sqref="B117">
    <cfRule type="expression" dxfId="111" priority="52">
      <formula>$G117="Fail"</formula>
    </cfRule>
  </conditionalFormatting>
  <conditionalFormatting sqref="M124">
    <cfRule type="expression" dxfId="110" priority="51">
      <formula>$G124="Fail"</formula>
    </cfRule>
  </conditionalFormatting>
  <conditionalFormatting sqref="A124:L124">
    <cfRule type="expression" dxfId="109" priority="50">
      <formula>$G124="Fail"</formula>
    </cfRule>
  </conditionalFormatting>
  <conditionalFormatting sqref="C127">
    <cfRule type="expression" dxfId="108" priority="49">
      <formula>$G127="Fail"</formula>
    </cfRule>
  </conditionalFormatting>
  <conditionalFormatting sqref="C125:F125">
    <cfRule type="expression" dxfId="107" priority="48">
      <formula>$G125="Fail"</formula>
    </cfRule>
  </conditionalFormatting>
  <conditionalFormatting sqref="B125:B126">
    <cfRule type="expression" dxfId="106" priority="45">
      <formula>$G125="Fail"</formula>
    </cfRule>
  </conditionalFormatting>
  <conditionalFormatting sqref="B127">
    <cfRule type="expression" dxfId="105" priority="44">
      <formula>$G127="Fail"</formula>
    </cfRule>
  </conditionalFormatting>
  <conditionalFormatting sqref="B127">
    <cfRule type="expression" dxfId="104" priority="43">
      <formula>$G127="Fail"</formula>
    </cfRule>
  </conditionalFormatting>
  <conditionalFormatting sqref="M131">
    <cfRule type="expression" dxfId="103" priority="42">
      <formula>$G131="Fail"</formula>
    </cfRule>
  </conditionalFormatting>
  <conditionalFormatting sqref="A131:L131">
    <cfRule type="expression" dxfId="102" priority="41">
      <formula>$G131="Fail"</formula>
    </cfRule>
  </conditionalFormatting>
  <conditionalFormatting sqref="H148:L148">
    <cfRule type="expression" dxfId="101" priority="590">
      <formula>$G138="Fail"</formula>
    </cfRule>
  </conditionalFormatting>
  <conditionalFormatting sqref="B74">
    <cfRule type="expression" dxfId="100" priority="35">
      <formula>$G74="Fail"</formula>
    </cfRule>
  </conditionalFormatting>
  <conditionalFormatting sqref="A52:M52">
    <cfRule type="expression" dxfId="99" priority="34">
      <formula>$G52="Fail"</formula>
    </cfRule>
  </conditionalFormatting>
  <conditionalFormatting sqref="B143:F144">
    <cfRule type="expression" dxfId="98" priority="33">
      <formula>$G143="Fail"</formula>
    </cfRule>
  </conditionalFormatting>
  <conditionalFormatting sqref="M139">
    <cfRule type="expression" dxfId="97" priority="32">
      <formula>$G139="Fail"</formula>
    </cfRule>
  </conditionalFormatting>
  <conditionalFormatting sqref="A139:L139">
    <cfRule type="expression" dxfId="96" priority="31">
      <formula>$G139="Fail"</formula>
    </cfRule>
  </conditionalFormatting>
  <conditionalFormatting sqref="C142">
    <cfRule type="expression" dxfId="95" priority="30">
      <formula>$G142="Fail"</formula>
    </cfRule>
  </conditionalFormatting>
  <conditionalFormatting sqref="C140:F140">
    <cfRule type="expression" dxfId="94" priority="29">
      <formula>$G140="Fail"</formula>
    </cfRule>
  </conditionalFormatting>
  <conditionalFormatting sqref="B140:B141">
    <cfRule type="expression" dxfId="93" priority="26">
      <formula>$G140="Fail"</formula>
    </cfRule>
  </conditionalFormatting>
  <conditionalFormatting sqref="B142">
    <cfRule type="expression" dxfId="92" priority="25">
      <formula>$G142="Fail"</formula>
    </cfRule>
  </conditionalFormatting>
  <conditionalFormatting sqref="B142">
    <cfRule type="expression" dxfId="91" priority="24">
      <formula>$G142="Fail"</formula>
    </cfRule>
  </conditionalFormatting>
  <conditionalFormatting sqref="G93:G113">
    <cfRule type="expression" dxfId="90" priority="23">
      <formula>$G93="Fail"</formula>
    </cfRule>
  </conditionalFormatting>
  <conditionalFormatting sqref="H115:M122">
    <cfRule type="expression" dxfId="89" priority="22">
      <formula>$G115="Fail"</formula>
    </cfRule>
  </conditionalFormatting>
  <conditionalFormatting sqref="H125:M129">
    <cfRule type="expression" dxfId="88" priority="21">
      <formula>$G125="Fail"</formula>
    </cfRule>
  </conditionalFormatting>
  <conditionalFormatting sqref="H132:M137">
    <cfRule type="expression" dxfId="87" priority="20">
      <formula>$G132="Fail"</formula>
    </cfRule>
  </conditionalFormatting>
  <conditionalFormatting sqref="H140:M144">
    <cfRule type="expression" dxfId="86" priority="19">
      <formula>$G140="Fail"</formula>
    </cfRule>
  </conditionalFormatting>
  <conditionalFormatting sqref="G51">
    <cfRule type="expression" dxfId="85" priority="12">
      <formula>$G51="Fail"</formula>
    </cfRule>
  </conditionalFormatting>
  <conditionalFormatting sqref="G53:G58">
    <cfRule type="expression" dxfId="84" priority="11">
      <formula>$G53="Fail"</formula>
    </cfRule>
  </conditionalFormatting>
  <conditionalFormatting sqref="G123">
    <cfRule type="expression" dxfId="83" priority="10">
      <formula>$G123="Fail"</formula>
    </cfRule>
  </conditionalFormatting>
  <conditionalFormatting sqref="G132:G137">
    <cfRule type="expression" dxfId="82" priority="8">
      <formula>$G132="Fail"</formula>
    </cfRule>
  </conditionalFormatting>
  <conditionalFormatting sqref="G140:G144">
    <cfRule type="expression" dxfId="81" priority="7">
      <formula>$G140="Fail"</formula>
    </cfRule>
  </conditionalFormatting>
  <conditionalFormatting sqref="G60:G65">
    <cfRule type="expression" dxfId="80" priority="6">
      <formula>$G60="Fail"</formula>
    </cfRule>
  </conditionalFormatting>
  <conditionalFormatting sqref="G67:G71">
    <cfRule type="expression" dxfId="79" priority="5">
      <formula>$G67="Fail"</formula>
    </cfRule>
  </conditionalFormatting>
  <conditionalFormatting sqref="G43:G50">
    <cfRule type="expression" dxfId="78" priority="4">
      <formula>$G43="Fail"</formula>
    </cfRule>
  </conditionalFormatting>
  <conditionalFormatting sqref="G3:G40">
    <cfRule type="expression" dxfId="77" priority="3">
      <formula>$G3="Fail"</formula>
    </cfRule>
  </conditionalFormatting>
  <conditionalFormatting sqref="G115:G122">
    <cfRule type="expression" dxfId="76" priority="2">
      <formula>$G115="Fail"</formula>
    </cfRule>
  </conditionalFormatting>
  <conditionalFormatting sqref="G125:G129">
    <cfRule type="expression" dxfId="75" priority="1">
      <formula>$G125="Fail"</formula>
    </cfRule>
  </conditionalFormatting>
  <dataValidations count="1">
    <dataValidation type="list" allowBlank="1" showInputMessage="1" showErrorMessage="1" sqref="G2:G137 G139:G144">
      <formula1>$H$1:$L$1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Summary_Click">
                <anchor moveWithCells="1">
                  <from>
                    <xdr:col>0</xdr:col>
                    <xdr:colOff>57150</xdr:colOff>
                    <xdr:row>0</xdr:row>
                    <xdr:rowOff>28575</xdr:rowOff>
                  </from>
                  <to>
                    <xdr:col>0</xdr:col>
                    <xdr:colOff>685800</xdr:colOff>
                    <xdr:row>0</xdr:row>
                    <xdr:rowOff>180975</xdr:rowOff>
                  </to>
                </anchor>
              </controlPr>
            </control>
          </mc:Choice>
        </mc:AlternateContent>
        <mc:AlternateContent xmlns:mc="http://schemas.openxmlformats.org/markup-compatibility/2006">
          <mc:Choice Requires="x14">
            <control shapeId="4106" r:id="rId5" name="Button 10">
              <controlPr defaultSize="0" print="0" autoFill="0" autoPict="0" macro="[0]!Formatting">
                <anchor moveWithCells="1">
                  <from>
                    <xdr:col>2</xdr:col>
                    <xdr:colOff>1733550</xdr:colOff>
                    <xdr:row>0</xdr:row>
                    <xdr:rowOff>76200</xdr:rowOff>
                  </from>
                  <to>
                    <xdr:col>2</xdr:col>
                    <xdr:colOff>2343150</xdr:colOff>
                    <xdr:row>0</xdr:row>
                    <xdr:rowOff>314325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0"/>
  <sheetViews>
    <sheetView zoomScaleNormal="100" workbookViewId="0">
      <pane ySplit="1" topLeftCell="A2" activePane="bottomLeft" state="frozen"/>
      <selection pane="bottomLeft" activeCell="D1" sqref="D1:D1048576"/>
    </sheetView>
  </sheetViews>
  <sheetFormatPr defaultRowHeight="15" x14ac:dyDescent="0.25"/>
  <cols>
    <col min="1" max="1" width="11.28515625" style="4" bestFit="1" customWidth="1"/>
    <col min="2" max="2" width="48.5703125" style="1" customWidth="1"/>
    <col min="3" max="3" width="50.7109375" style="1" customWidth="1"/>
    <col min="4" max="4" width="39" style="49" customWidth="1"/>
    <col min="5" max="5" width="20.42578125" style="1" customWidth="1"/>
    <col min="6" max="6" width="14.7109375"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44" t="s">
        <v>173</v>
      </c>
      <c r="E1" s="12" t="s">
        <v>3</v>
      </c>
      <c r="F1" s="11" t="s">
        <v>0</v>
      </c>
      <c r="G1" s="12" t="s">
        <v>5</v>
      </c>
      <c r="H1" s="12" t="s">
        <v>6</v>
      </c>
      <c r="I1" s="12"/>
      <c r="J1" s="12" t="s">
        <v>7</v>
      </c>
      <c r="K1" s="12" t="s">
        <v>8</v>
      </c>
      <c r="L1" s="12" t="s">
        <v>12</v>
      </c>
    </row>
    <row r="2" spans="1:12" s="20" customFormat="1" x14ac:dyDescent="0.25">
      <c r="A2" s="16">
        <v>1</v>
      </c>
      <c r="B2" s="17" t="s">
        <v>19</v>
      </c>
      <c r="C2" s="18"/>
      <c r="D2" s="45"/>
      <c r="E2" s="17"/>
      <c r="F2" s="19"/>
      <c r="G2" s="19"/>
      <c r="H2" s="19"/>
      <c r="I2" s="19"/>
      <c r="J2" s="19"/>
      <c r="K2" s="19"/>
      <c r="L2" s="17"/>
    </row>
    <row r="3" spans="1:12" x14ac:dyDescent="0.25">
      <c r="A3" s="5">
        <v>1</v>
      </c>
      <c r="B3" s="6" t="s">
        <v>18</v>
      </c>
      <c r="C3" s="9"/>
      <c r="D3" s="46" t="s">
        <v>169</v>
      </c>
      <c r="E3" s="6"/>
      <c r="F3" s="8"/>
      <c r="G3" s="8">
        <f t="shared" ref="G3:K5" si="0">IF($F3=G$1,1,0)</f>
        <v>0</v>
      </c>
      <c r="H3" s="8">
        <f t="shared" si="0"/>
        <v>0</v>
      </c>
      <c r="I3" s="8">
        <f t="shared" si="0"/>
        <v>1</v>
      </c>
      <c r="J3" s="8">
        <f t="shared" si="0"/>
        <v>0</v>
      </c>
      <c r="K3" s="8">
        <f t="shared" si="0"/>
        <v>0</v>
      </c>
      <c r="L3" s="7"/>
    </row>
    <row r="4" spans="1:12" x14ac:dyDescent="0.25">
      <c r="A4" s="5">
        <f t="shared" ref="A4:A27" si="1">A3+0.0001</f>
        <v>1.0001</v>
      </c>
      <c r="B4" s="9" t="s">
        <v>20</v>
      </c>
      <c r="C4" s="9"/>
      <c r="D4" s="47" t="s">
        <v>170</v>
      </c>
      <c r="E4" s="6"/>
      <c r="F4" s="8"/>
      <c r="G4" s="8">
        <f t="shared" si="0"/>
        <v>0</v>
      </c>
      <c r="H4" s="8">
        <f t="shared" si="0"/>
        <v>0</v>
      </c>
      <c r="I4" s="8">
        <f t="shared" si="0"/>
        <v>1</v>
      </c>
      <c r="J4" s="8">
        <f t="shared" si="0"/>
        <v>0</v>
      </c>
      <c r="K4" s="8">
        <f t="shared" si="0"/>
        <v>0</v>
      </c>
      <c r="L4" s="7"/>
    </row>
    <row r="5" spans="1:12" x14ac:dyDescent="0.25">
      <c r="A5" s="5">
        <f t="shared" si="1"/>
        <v>1.0002</v>
      </c>
      <c r="B5" s="6" t="s">
        <v>21</v>
      </c>
      <c r="C5" s="6" t="s">
        <v>28</v>
      </c>
      <c r="D5" s="46"/>
      <c r="E5" s="6"/>
      <c r="F5" s="8"/>
      <c r="G5" s="8">
        <f t="shared" si="0"/>
        <v>0</v>
      </c>
      <c r="H5" s="8">
        <f t="shared" si="0"/>
        <v>0</v>
      </c>
      <c r="I5" s="8">
        <f t="shared" si="0"/>
        <v>1</v>
      </c>
      <c r="J5" s="8">
        <f t="shared" si="0"/>
        <v>0</v>
      </c>
      <c r="K5" s="8">
        <f t="shared" si="0"/>
        <v>0</v>
      </c>
      <c r="L5" s="7"/>
    </row>
    <row r="6" spans="1:12" s="20" customFormat="1" x14ac:dyDescent="0.25">
      <c r="A6" s="16">
        <v>2</v>
      </c>
      <c r="B6" s="17" t="s">
        <v>22</v>
      </c>
      <c r="C6" s="18"/>
      <c r="D6" s="45"/>
      <c r="E6" s="17"/>
      <c r="F6" s="19"/>
      <c r="G6" s="19"/>
      <c r="H6" s="19"/>
      <c r="I6" s="19"/>
      <c r="J6" s="19"/>
      <c r="K6" s="19"/>
      <c r="L6" s="17"/>
    </row>
    <row r="7" spans="1:12" x14ac:dyDescent="0.25">
      <c r="A7" s="5">
        <f t="shared" si="1"/>
        <v>2.0001000000000002</v>
      </c>
      <c r="B7" s="6" t="s">
        <v>23</v>
      </c>
      <c r="C7" s="7" t="s">
        <v>24</v>
      </c>
      <c r="D7" s="47"/>
      <c r="E7" s="7">
        <f>'[1]Batch Runs  - Daily '!E7</f>
        <v>0</v>
      </c>
      <c r="F7" s="8" t="str">
        <f>'[1]Batch Runs  - Daily '!F7</f>
        <v>N/A</v>
      </c>
      <c r="G7" s="8">
        <f t="shared" ref="G7:K13" si="2">IF($F7=G$1,1,0)</f>
        <v>0</v>
      </c>
      <c r="H7" s="8">
        <f t="shared" si="2"/>
        <v>0</v>
      </c>
      <c r="I7" s="8">
        <f t="shared" si="2"/>
        <v>0</v>
      </c>
      <c r="J7" s="8">
        <f t="shared" si="2"/>
        <v>1</v>
      </c>
      <c r="K7" s="8">
        <f t="shared" si="2"/>
        <v>0</v>
      </c>
      <c r="L7" s="7"/>
    </row>
    <row r="8" spans="1:12" s="20" customFormat="1" x14ac:dyDescent="0.25">
      <c r="A8" s="16">
        <v>3</v>
      </c>
      <c r="B8" s="17" t="s">
        <v>25</v>
      </c>
      <c r="C8" s="18"/>
      <c r="D8" s="45"/>
      <c r="E8" s="17"/>
      <c r="F8" s="19"/>
      <c r="G8" s="19"/>
      <c r="H8" s="19"/>
      <c r="I8" s="19"/>
      <c r="J8" s="19"/>
      <c r="K8" s="19"/>
      <c r="L8" s="17"/>
    </row>
    <row r="9" spans="1:12" x14ac:dyDescent="0.25">
      <c r="A9" s="5">
        <f t="shared" si="1"/>
        <v>3.0001000000000002</v>
      </c>
      <c r="B9" s="6" t="s">
        <v>26</v>
      </c>
      <c r="C9" s="9" t="s">
        <v>27</v>
      </c>
      <c r="D9" s="47" t="s">
        <v>171</v>
      </c>
      <c r="E9" s="7">
        <f>'[1]Batch Runs  - Daily '!E9</f>
        <v>0</v>
      </c>
      <c r="F9" s="8" t="str">
        <f>'[1]Batch Runs  - Daily '!F9</f>
        <v>N/A</v>
      </c>
      <c r="G9" s="8">
        <f t="shared" si="2"/>
        <v>0</v>
      </c>
      <c r="H9" s="8">
        <f t="shared" si="2"/>
        <v>0</v>
      </c>
      <c r="I9" s="8">
        <f t="shared" si="2"/>
        <v>0</v>
      </c>
      <c r="J9" s="8">
        <f t="shared" si="2"/>
        <v>1</v>
      </c>
      <c r="K9" s="8">
        <f t="shared" si="2"/>
        <v>0</v>
      </c>
      <c r="L9" s="7"/>
    </row>
    <row r="10" spans="1:12" s="20" customFormat="1" x14ac:dyDescent="0.25">
      <c r="A10" s="16">
        <v>4</v>
      </c>
      <c r="B10" s="17" t="s">
        <v>29</v>
      </c>
      <c r="C10" s="18"/>
      <c r="D10" s="45"/>
      <c r="E10" s="17"/>
      <c r="F10" s="19"/>
      <c r="G10" s="19"/>
      <c r="H10" s="19"/>
      <c r="I10" s="19"/>
      <c r="J10" s="19"/>
      <c r="K10" s="19"/>
      <c r="L10" s="17"/>
    </row>
    <row r="11" spans="1:12" ht="25.5" x14ac:dyDescent="0.25">
      <c r="A11" s="5">
        <f>A10+0.0001</f>
        <v>4.0000999999999998</v>
      </c>
      <c r="B11" s="6" t="s">
        <v>32</v>
      </c>
      <c r="C11" s="6" t="s">
        <v>31</v>
      </c>
      <c r="D11" s="48"/>
      <c r="E11" s="7" t="str">
        <f>'[1]Batch Runs  - Daily '!E11</f>
        <v>Refer to Reports Test Case</v>
      </c>
      <c r="F11" s="8" t="str">
        <f>'[1]Batch Runs  - Daily '!F11</f>
        <v>N/A</v>
      </c>
      <c r="G11" s="8">
        <f t="shared" si="2"/>
        <v>0</v>
      </c>
      <c r="H11" s="8">
        <f t="shared" si="2"/>
        <v>0</v>
      </c>
      <c r="I11" s="8">
        <f t="shared" si="2"/>
        <v>0</v>
      </c>
      <c r="J11" s="8">
        <f t="shared" si="2"/>
        <v>1</v>
      </c>
      <c r="K11" s="8">
        <f t="shared" si="2"/>
        <v>0</v>
      </c>
      <c r="L11" s="7"/>
    </row>
    <row r="12" spans="1:12" ht="25.5" x14ac:dyDescent="0.25">
      <c r="A12" s="5">
        <f t="shared" si="1"/>
        <v>4.0001999999999995</v>
      </c>
      <c r="B12" s="7" t="s">
        <v>30</v>
      </c>
      <c r="C12" s="6"/>
      <c r="D12" s="47"/>
      <c r="E12" s="7" t="str">
        <f>'[1]Batch Runs  - Daily '!E12</f>
        <v>Refer to Reports Test Case</v>
      </c>
      <c r="F12" s="8" t="str">
        <f>'[1]Batch Runs  - Daily '!F12</f>
        <v>N/A</v>
      </c>
      <c r="G12" s="8">
        <f t="shared" si="2"/>
        <v>0</v>
      </c>
      <c r="H12" s="8">
        <f t="shared" si="2"/>
        <v>0</v>
      </c>
      <c r="I12" s="8">
        <f t="shared" si="2"/>
        <v>0</v>
      </c>
      <c r="J12" s="8">
        <f t="shared" si="2"/>
        <v>1</v>
      </c>
      <c r="K12" s="8">
        <f t="shared" si="2"/>
        <v>0</v>
      </c>
      <c r="L12" s="7"/>
    </row>
    <row r="13" spans="1:12" ht="25.5" x14ac:dyDescent="0.25">
      <c r="A13" s="5">
        <f t="shared" si="1"/>
        <v>4.0002999999999993</v>
      </c>
      <c r="B13" s="6" t="s">
        <v>33</v>
      </c>
      <c r="C13" s="6"/>
      <c r="D13" s="47"/>
      <c r="E13" s="7" t="str">
        <f>'[1]Batch Runs  - Daily '!E13</f>
        <v>No payment via Multi data</v>
      </c>
      <c r="F13" s="8" t="str">
        <f>'[1]Batch Runs  - Daily '!F13</f>
        <v>Not Now</v>
      </c>
      <c r="G13" s="8">
        <f t="shared" si="2"/>
        <v>0</v>
      </c>
      <c r="H13" s="8">
        <f t="shared" si="2"/>
        <v>0</v>
      </c>
      <c r="I13" s="8">
        <f t="shared" si="2"/>
        <v>0</v>
      </c>
      <c r="J13" s="8">
        <f t="shared" si="2"/>
        <v>0</v>
      </c>
      <c r="K13" s="8">
        <f t="shared" si="2"/>
        <v>1</v>
      </c>
      <c r="L13" s="7"/>
    </row>
    <row r="14" spans="1:12" s="20" customFormat="1" ht="25.5" x14ac:dyDescent="0.25">
      <c r="A14" s="16">
        <v>5</v>
      </c>
      <c r="B14" s="17" t="s">
        <v>34</v>
      </c>
      <c r="C14" s="18"/>
      <c r="D14" s="45"/>
      <c r="E14" s="17"/>
      <c r="F14" s="19"/>
      <c r="G14" s="19"/>
      <c r="H14" s="19"/>
      <c r="I14" s="19"/>
      <c r="J14" s="19"/>
      <c r="K14" s="19"/>
      <c r="L14" s="17"/>
    </row>
    <row r="15" spans="1:12" x14ac:dyDescent="0.25">
      <c r="A15" s="5">
        <f t="shared" si="1"/>
        <v>5.0000999999999998</v>
      </c>
      <c r="B15" s="6" t="s">
        <v>35</v>
      </c>
      <c r="C15" s="6" t="s">
        <v>36</v>
      </c>
      <c r="D15" s="47" t="s">
        <v>172</v>
      </c>
      <c r="E15" s="7" t="str">
        <f>'[1]Batch Runs  - Daily '!E15</f>
        <v>Cannot be tested now</v>
      </c>
      <c r="F15" s="8" t="str">
        <f>'[1]Batch Runs  - Daily '!F15</f>
        <v>Not Now</v>
      </c>
      <c r="G15" s="8">
        <f t="shared" ref="G15:K22" si="3">IF($F15=G$1,1,0)</f>
        <v>0</v>
      </c>
      <c r="H15" s="8">
        <f t="shared" si="3"/>
        <v>0</v>
      </c>
      <c r="I15" s="8">
        <f t="shared" si="3"/>
        <v>0</v>
      </c>
      <c r="J15" s="8">
        <f t="shared" si="3"/>
        <v>0</v>
      </c>
      <c r="K15" s="8">
        <f t="shared" si="3"/>
        <v>1</v>
      </c>
      <c r="L15" s="7"/>
    </row>
    <row r="16" spans="1:12" x14ac:dyDescent="0.25">
      <c r="A16" s="5">
        <f t="shared" si="1"/>
        <v>5.0001999999999995</v>
      </c>
      <c r="B16" s="6"/>
      <c r="C16" s="6" t="s">
        <v>37</v>
      </c>
      <c r="D16" s="47"/>
      <c r="E16" s="7" t="str">
        <f>'[1]Batch Runs  - Daily '!E16</f>
        <v>Cannot be tested now</v>
      </c>
      <c r="F16" s="8" t="str">
        <f>'[1]Batch Runs  - Daily '!F16</f>
        <v>Not Now</v>
      </c>
      <c r="G16" s="8">
        <f t="shared" si="3"/>
        <v>0</v>
      </c>
      <c r="H16" s="8">
        <f t="shared" si="3"/>
        <v>0</v>
      </c>
      <c r="I16" s="8">
        <f t="shared" si="3"/>
        <v>0</v>
      </c>
      <c r="J16" s="8">
        <f t="shared" si="3"/>
        <v>0</v>
      </c>
      <c r="K16" s="8">
        <f t="shared" si="3"/>
        <v>1</v>
      </c>
      <c r="L16" s="7"/>
    </row>
    <row r="17" spans="1:12" x14ac:dyDescent="0.25">
      <c r="A17" s="5">
        <f t="shared" si="1"/>
        <v>5.0002999999999993</v>
      </c>
      <c r="B17" s="6"/>
      <c r="C17" s="6" t="s">
        <v>38</v>
      </c>
      <c r="D17" s="47"/>
      <c r="E17" s="7" t="str">
        <f>'[1]Batch Runs  - Daily '!E17</f>
        <v>Cannot be tested now</v>
      </c>
      <c r="F17" s="8" t="str">
        <f>'[1]Batch Runs  - Daily '!F17</f>
        <v>Not Now</v>
      </c>
      <c r="G17" s="8">
        <f t="shared" si="3"/>
        <v>0</v>
      </c>
      <c r="H17" s="8">
        <f t="shared" si="3"/>
        <v>0</v>
      </c>
      <c r="I17" s="8">
        <f t="shared" si="3"/>
        <v>0</v>
      </c>
      <c r="J17" s="8">
        <f t="shared" si="3"/>
        <v>0</v>
      </c>
      <c r="K17" s="8">
        <f t="shared" si="3"/>
        <v>1</v>
      </c>
      <c r="L17" s="7"/>
    </row>
    <row r="18" spans="1:12" x14ac:dyDescent="0.25">
      <c r="A18" s="5">
        <f t="shared" si="1"/>
        <v>5.0003999999999991</v>
      </c>
      <c r="B18" s="6" t="s">
        <v>43</v>
      </c>
      <c r="C18" s="6" t="s">
        <v>39</v>
      </c>
      <c r="D18" s="47"/>
      <c r="E18" s="7" t="str">
        <f>'[1]Batch Runs  - Daily '!E18</f>
        <v>Cannot be tested now</v>
      </c>
      <c r="F18" s="8" t="str">
        <f>'[1]Batch Runs  - Daily '!F18</f>
        <v>Not Now</v>
      </c>
      <c r="G18" s="8">
        <f t="shared" si="3"/>
        <v>0</v>
      </c>
      <c r="H18" s="8">
        <f t="shared" si="3"/>
        <v>0</v>
      </c>
      <c r="I18" s="8">
        <f t="shared" si="3"/>
        <v>0</v>
      </c>
      <c r="J18" s="8">
        <f t="shared" si="3"/>
        <v>0</v>
      </c>
      <c r="K18" s="8">
        <f t="shared" si="3"/>
        <v>1</v>
      </c>
      <c r="L18" s="7"/>
    </row>
    <row r="19" spans="1:12" x14ac:dyDescent="0.25">
      <c r="A19" s="5">
        <f t="shared" si="1"/>
        <v>5.0004999999999988</v>
      </c>
      <c r="B19" s="6"/>
      <c r="C19" s="6" t="s">
        <v>40</v>
      </c>
      <c r="D19" s="47"/>
      <c r="E19" s="7" t="str">
        <f>'[1]Batch Runs  - Daily '!E19</f>
        <v>Cannot be tested now</v>
      </c>
      <c r="F19" s="8" t="str">
        <f>'[1]Batch Runs  - Daily '!F19</f>
        <v>Not Now</v>
      </c>
      <c r="G19" s="8">
        <f t="shared" si="3"/>
        <v>0</v>
      </c>
      <c r="H19" s="8">
        <f t="shared" si="3"/>
        <v>0</v>
      </c>
      <c r="I19" s="8">
        <f t="shared" si="3"/>
        <v>0</v>
      </c>
      <c r="J19" s="8">
        <f t="shared" si="3"/>
        <v>0</v>
      </c>
      <c r="K19" s="8">
        <f t="shared" si="3"/>
        <v>1</v>
      </c>
      <c r="L19" s="7"/>
    </row>
    <row r="20" spans="1:12" x14ac:dyDescent="0.25">
      <c r="A20" s="5">
        <f t="shared" si="1"/>
        <v>5.0005999999999986</v>
      </c>
      <c r="B20" s="6"/>
      <c r="C20" s="6" t="s">
        <v>38</v>
      </c>
      <c r="D20" s="47"/>
      <c r="E20" s="7" t="str">
        <f>'[1]Batch Runs  - Daily '!E20</f>
        <v>Cannot be tested now</v>
      </c>
      <c r="F20" s="8" t="str">
        <f>'[1]Batch Runs  - Daily '!F20</f>
        <v>Not Now</v>
      </c>
      <c r="G20" s="8">
        <f t="shared" si="3"/>
        <v>0</v>
      </c>
      <c r="H20" s="8">
        <f t="shared" si="3"/>
        <v>0</v>
      </c>
      <c r="I20" s="8">
        <f t="shared" si="3"/>
        <v>0</v>
      </c>
      <c r="J20" s="8">
        <f t="shared" si="3"/>
        <v>0</v>
      </c>
      <c r="K20" s="8">
        <f t="shared" si="3"/>
        <v>1</v>
      </c>
      <c r="L20" s="7"/>
    </row>
    <row r="21" spans="1:12" x14ac:dyDescent="0.25">
      <c r="A21" s="5">
        <f t="shared" si="1"/>
        <v>5.0006999999999984</v>
      </c>
      <c r="B21" s="6" t="s">
        <v>41</v>
      </c>
      <c r="C21" s="6" t="s">
        <v>42</v>
      </c>
      <c r="D21" s="47"/>
      <c r="E21" s="7" t="str">
        <f>'[1]Batch Runs  - Daily '!E21</f>
        <v>Cannot be tested now</v>
      </c>
      <c r="F21" s="8" t="str">
        <f>'[1]Batch Runs  - Daily '!F21</f>
        <v>Not Now</v>
      </c>
      <c r="G21" s="8">
        <f t="shared" si="3"/>
        <v>0</v>
      </c>
      <c r="H21" s="8">
        <f t="shared" si="3"/>
        <v>0</v>
      </c>
      <c r="I21" s="8">
        <f t="shared" si="3"/>
        <v>0</v>
      </c>
      <c r="J21" s="8">
        <f t="shared" si="3"/>
        <v>0</v>
      </c>
      <c r="K21" s="8">
        <f t="shared" si="3"/>
        <v>1</v>
      </c>
      <c r="L21" s="7"/>
    </row>
    <row r="22" spans="1:12" x14ac:dyDescent="0.25">
      <c r="A22" s="5">
        <f t="shared" si="1"/>
        <v>5.0007999999999981</v>
      </c>
      <c r="B22" s="7"/>
      <c r="C22" s="6" t="s">
        <v>38</v>
      </c>
      <c r="D22" s="47"/>
      <c r="E22" s="7" t="str">
        <f>'[1]Batch Runs  - Daily '!E22</f>
        <v>Cannot be tested now</v>
      </c>
      <c r="F22" s="8" t="str">
        <f>'[1]Batch Runs  - Daily '!F22</f>
        <v>Not Now</v>
      </c>
      <c r="G22" s="8">
        <f t="shared" si="3"/>
        <v>0</v>
      </c>
      <c r="H22" s="8">
        <f t="shared" si="3"/>
        <v>0</v>
      </c>
      <c r="I22" s="8">
        <f t="shared" si="3"/>
        <v>0</v>
      </c>
      <c r="J22" s="8">
        <f t="shared" si="3"/>
        <v>0</v>
      </c>
      <c r="K22" s="8">
        <f t="shared" si="3"/>
        <v>1</v>
      </c>
      <c r="L22" s="7"/>
    </row>
    <row r="23" spans="1:12" s="20" customFormat="1" x14ac:dyDescent="0.25">
      <c r="A23" s="16">
        <v>5</v>
      </c>
      <c r="B23" s="17" t="s">
        <v>45</v>
      </c>
      <c r="C23" s="18"/>
      <c r="D23" s="45"/>
      <c r="E23" s="17"/>
      <c r="F23" s="19"/>
      <c r="G23" s="19"/>
      <c r="H23" s="19"/>
      <c r="I23" s="19"/>
      <c r="J23" s="19"/>
      <c r="K23" s="19"/>
      <c r="L23" s="17"/>
    </row>
    <row r="24" spans="1:12" x14ac:dyDescent="0.25">
      <c r="A24" s="5">
        <f t="shared" si="1"/>
        <v>5.0000999999999998</v>
      </c>
      <c r="B24" s="6" t="s">
        <v>50</v>
      </c>
      <c r="C24" s="6" t="s">
        <v>44</v>
      </c>
      <c r="D24" s="47"/>
      <c r="E24" s="7" t="str">
        <f>'[1]Batch Runs  - Daily '!E24</f>
        <v>Cannot be tested now</v>
      </c>
      <c r="F24" s="8" t="str">
        <f>'[1]Batch Runs  - Daily '!F24</f>
        <v>Not Now</v>
      </c>
      <c r="G24" s="8">
        <f t="shared" ref="G24:K27" si="4">IF($F24=G$1,1,0)</f>
        <v>0</v>
      </c>
      <c r="H24" s="8">
        <f t="shared" si="4"/>
        <v>0</v>
      </c>
      <c r="I24" s="8">
        <f t="shared" si="4"/>
        <v>0</v>
      </c>
      <c r="J24" s="8">
        <f t="shared" si="4"/>
        <v>0</v>
      </c>
      <c r="K24" s="8">
        <f t="shared" si="4"/>
        <v>1</v>
      </c>
      <c r="L24" s="7"/>
    </row>
    <row r="25" spans="1:12" s="20" customFormat="1" x14ac:dyDescent="0.25">
      <c r="A25" s="16">
        <v>6</v>
      </c>
      <c r="B25" s="17" t="s">
        <v>46</v>
      </c>
      <c r="C25" s="18"/>
      <c r="D25" s="45"/>
      <c r="E25" s="17"/>
      <c r="F25" s="19"/>
      <c r="G25" s="19"/>
      <c r="H25" s="19"/>
      <c r="I25" s="19"/>
      <c r="J25" s="19"/>
      <c r="K25" s="19"/>
      <c r="L25" s="17"/>
    </row>
    <row r="26" spans="1:12" x14ac:dyDescent="0.25">
      <c r="A26" s="5">
        <f t="shared" si="1"/>
        <v>6.0000999999999998</v>
      </c>
      <c r="B26" s="6" t="s">
        <v>49</v>
      </c>
      <c r="C26" s="6" t="s">
        <v>48</v>
      </c>
      <c r="D26" s="47"/>
      <c r="E26" s="7" t="str">
        <f>'[1]Batch Runs  - Daily '!E26</f>
        <v>Cannot be tested now</v>
      </c>
      <c r="F26" s="8" t="str">
        <f>'[1]Batch Runs  - Daily '!F26</f>
        <v>N/A</v>
      </c>
      <c r="G26" s="8">
        <f t="shared" si="4"/>
        <v>0</v>
      </c>
      <c r="H26" s="8">
        <f t="shared" si="4"/>
        <v>0</v>
      </c>
      <c r="I26" s="8">
        <f t="shared" si="4"/>
        <v>0</v>
      </c>
      <c r="J26" s="8">
        <f t="shared" si="4"/>
        <v>1</v>
      </c>
      <c r="K26" s="8">
        <f t="shared" si="4"/>
        <v>0</v>
      </c>
      <c r="L26" s="7"/>
    </row>
    <row r="27" spans="1:12" ht="25.5" x14ac:dyDescent="0.25">
      <c r="A27" s="5">
        <f t="shared" si="1"/>
        <v>6.0001999999999995</v>
      </c>
      <c r="B27" s="6" t="s">
        <v>47</v>
      </c>
      <c r="C27" s="6" t="s">
        <v>48</v>
      </c>
      <c r="D27" s="47"/>
      <c r="E27" s="7" t="str">
        <f>'[1]Batch Runs  - Daily '!E27</f>
        <v>Betsie - Not to be tested</v>
      </c>
      <c r="F27" s="8" t="str">
        <f>'[1]Batch Runs  - Daily '!F27</f>
        <v>N/A</v>
      </c>
      <c r="G27" s="8">
        <f t="shared" si="4"/>
        <v>0</v>
      </c>
      <c r="H27" s="8">
        <f t="shared" si="4"/>
        <v>0</v>
      </c>
      <c r="I27" s="8">
        <f t="shared" si="4"/>
        <v>0</v>
      </c>
      <c r="J27" s="8">
        <f t="shared" si="4"/>
        <v>1</v>
      </c>
      <c r="K27" s="8">
        <f t="shared" si="4"/>
        <v>0</v>
      </c>
      <c r="L27" s="7"/>
    </row>
    <row r="28" spans="1:12" ht="15.75" thickBot="1" x14ac:dyDescent="0.3">
      <c r="G28" s="2">
        <f>SUM(G2:G27)</f>
        <v>0</v>
      </c>
      <c r="H28" s="2">
        <f>SUM(H2:H27)</f>
        <v>0</v>
      </c>
      <c r="I28" s="2">
        <f>SUM(I2:I27)</f>
        <v>3</v>
      </c>
      <c r="J28" s="2">
        <f>SUM(J2:J27)</f>
        <v>6</v>
      </c>
      <c r="K28" s="2">
        <f>SUM(K2:K27)</f>
        <v>10</v>
      </c>
    </row>
    <row r="29" spans="1:12" ht="15.75" thickTop="1" x14ac:dyDescent="0.25"/>
    <row r="30" spans="1:12" x14ac:dyDescent="0.25">
      <c r="G30" s="8">
        <f t="shared" ref="G30:K30" si="5">IF($F30=G$1,1,0)</f>
        <v>0</v>
      </c>
      <c r="H30" s="8">
        <f t="shared" si="5"/>
        <v>0</v>
      </c>
      <c r="I30" s="8">
        <f t="shared" si="5"/>
        <v>1</v>
      </c>
      <c r="J30" s="8">
        <f t="shared" si="5"/>
        <v>0</v>
      </c>
      <c r="K30" s="8">
        <f t="shared" si="5"/>
        <v>0</v>
      </c>
    </row>
  </sheetData>
  <conditionalFormatting sqref="A28:K47 A2:L2 A27 L27:L47 A3:F5 L3:L5">
    <cfRule type="expression" dxfId="74" priority="60">
      <formula>$F2="Fail"</formula>
    </cfRule>
  </conditionalFormatting>
  <conditionalFormatting sqref="A6:K6 A11:A13 A7:D7 B13:C13 A15:A17 A22 A24 B11:D12">
    <cfRule type="expression" dxfId="73" priority="59">
      <formula>$F6="Fail"</formula>
    </cfRule>
  </conditionalFormatting>
  <conditionalFormatting sqref="B22 C24:D24 D27">
    <cfRule type="expression" dxfId="72" priority="57">
      <formula>$F22="Fail"</formula>
    </cfRule>
  </conditionalFormatting>
  <conditionalFormatting sqref="B12:C12 B17:C17 B15:F16 E15:F22 B13:F13">
    <cfRule type="expression" dxfId="71" priority="56">
      <formula>$F12="Fail"</formula>
    </cfRule>
  </conditionalFormatting>
  <conditionalFormatting sqref="B16:C17 D17:F17 D21:F22 B22">
    <cfRule type="expression" dxfId="70" priority="55">
      <formula>$F16="Fail"</formula>
    </cfRule>
  </conditionalFormatting>
  <conditionalFormatting sqref="C20">
    <cfRule type="expression" dxfId="69" priority="30">
      <formula>$F20="Fail"</formula>
    </cfRule>
  </conditionalFormatting>
  <conditionalFormatting sqref="A9:D9">
    <cfRule type="expression" dxfId="68" priority="53">
      <formula>$F9="Fail"</formula>
    </cfRule>
  </conditionalFormatting>
  <conditionalFormatting sqref="B9:C9">
    <cfRule type="expression" dxfId="67" priority="52">
      <formula>$F9="Fail"</formula>
    </cfRule>
  </conditionalFormatting>
  <conditionalFormatting sqref="B24">
    <cfRule type="expression" dxfId="66" priority="24">
      <formula>$F24="Fail"</formula>
    </cfRule>
  </conditionalFormatting>
  <conditionalFormatting sqref="L11:L12 L6:L7">
    <cfRule type="expression" dxfId="65" priority="48">
      <formula>$F6="Fail"</formula>
    </cfRule>
  </conditionalFormatting>
  <conditionalFormatting sqref="L24">
    <cfRule type="expression" dxfId="64" priority="46">
      <formula>$F24="Fail"</formula>
    </cfRule>
  </conditionalFormatting>
  <conditionalFormatting sqref="L13 L15:L16">
    <cfRule type="expression" dxfId="63" priority="45">
      <formula>$F13="Fail"</formula>
    </cfRule>
  </conditionalFormatting>
  <conditionalFormatting sqref="L17 L21:L22">
    <cfRule type="expression" dxfId="62" priority="44">
      <formula>$F17="Fail"</formula>
    </cfRule>
  </conditionalFormatting>
  <conditionalFormatting sqref="A25:L25">
    <cfRule type="expression" dxfId="61" priority="19">
      <formula>$F25="Fail"</formula>
    </cfRule>
  </conditionalFormatting>
  <conditionalFormatting sqref="L9">
    <cfRule type="expression" dxfId="60" priority="42">
      <formula>$F9="Fail"</formula>
    </cfRule>
  </conditionalFormatting>
  <conditionalFormatting sqref="A8:K8">
    <cfRule type="expression" dxfId="59" priority="41">
      <formula>$F8="Fail"</formula>
    </cfRule>
  </conditionalFormatting>
  <conditionalFormatting sqref="L8">
    <cfRule type="expression" dxfId="58" priority="40">
      <formula>$F8="Fail"</formula>
    </cfRule>
  </conditionalFormatting>
  <conditionalFormatting sqref="A10:K10">
    <cfRule type="expression" dxfId="57" priority="39">
      <formula>$F10="Fail"</formula>
    </cfRule>
  </conditionalFormatting>
  <conditionalFormatting sqref="L10">
    <cfRule type="expression" dxfId="56" priority="38">
      <formula>$F10="Fail"</formula>
    </cfRule>
  </conditionalFormatting>
  <conditionalFormatting sqref="A14:L14">
    <cfRule type="expression" dxfId="55" priority="37">
      <formula>$F14="Fail"</formula>
    </cfRule>
  </conditionalFormatting>
  <conditionalFormatting sqref="A18:A20">
    <cfRule type="expression" dxfId="54" priority="36">
      <formula>$F18="Fail"</formula>
    </cfRule>
  </conditionalFormatting>
  <conditionalFormatting sqref="B20 B19:F19 C18:F18">
    <cfRule type="expression" dxfId="53" priority="35">
      <formula>$F18="Fail"</formula>
    </cfRule>
  </conditionalFormatting>
  <conditionalFormatting sqref="B19:C19 D20:F20 B20">
    <cfRule type="expression" dxfId="52" priority="34">
      <formula>$F19="Fail"</formula>
    </cfRule>
  </conditionalFormatting>
  <conditionalFormatting sqref="L18:L19">
    <cfRule type="expression" dxfId="51" priority="33">
      <formula>$F18="Fail"</formula>
    </cfRule>
  </conditionalFormatting>
  <conditionalFormatting sqref="L20">
    <cfRule type="expression" dxfId="50" priority="32">
      <formula>$F20="Fail"</formula>
    </cfRule>
  </conditionalFormatting>
  <conditionalFormatting sqref="C20">
    <cfRule type="expression" dxfId="49" priority="31">
      <formula>$F20="Fail"</formula>
    </cfRule>
  </conditionalFormatting>
  <conditionalFormatting sqref="A21">
    <cfRule type="expression" dxfId="48" priority="29">
      <formula>$F21="Fail"</formula>
    </cfRule>
  </conditionalFormatting>
  <conditionalFormatting sqref="B21:C21">
    <cfRule type="expression" dxfId="47" priority="28">
      <formula>$F21="Fail"</formula>
    </cfRule>
  </conditionalFormatting>
  <conditionalFormatting sqref="C22">
    <cfRule type="expression" dxfId="46" priority="27">
      <formula>$F22="Fail"</formula>
    </cfRule>
  </conditionalFormatting>
  <conditionalFormatting sqref="C22">
    <cfRule type="expression" dxfId="45" priority="26">
      <formula>$F22="Fail"</formula>
    </cfRule>
  </conditionalFormatting>
  <conditionalFormatting sqref="A23:L23">
    <cfRule type="expression" dxfId="44" priority="25">
      <formula>$F23="Fail"</formula>
    </cfRule>
  </conditionalFormatting>
  <conditionalFormatting sqref="B18">
    <cfRule type="expression" dxfId="43" priority="23">
      <formula>$F18="Fail"</formula>
    </cfRule>
  </conditionalFormatting>
  <conditionalFormatting sqref="A26">
    <cfRule type="expression" dxfId="42" priority="22">
      <formula>$F26="Fail"</formula>
    </cfRule>
  </conditionalFormatting>
  <conditionalFormatting sqref="C26:D26">
    <cfRule type="expression" dxfId="41" priority="21">
      <formula>$F26="Fail"</formula>
    </cfRule>
  </conditionalFormatting>
  <conditionalFormatting sqref="L26">
    <cfRule type="expression" dxfId="40" priority="20">
      <formula>$F26="Fail"</formula>
    </cfRule>
  </conditionalFormatting>
  <conditionalFormatting sqref="B26">
    <cfRule type="expression" dxfId="39" priority="18">
      <formula>$F26="Fail"</formula>
    </cfRule>
  </conditionalFormatting>
  <conditionalFormatting sqref="C27">
    <cfRule type="expression" dxfId="38" priority="17">
      <formula>$F27="Fail"</formula>
    </cfRule>
  </conditionalFormatting>
  <conditionalFormatting sqref="B27">
    <cfRule type="expression" dxfId="37" priority="16">
      <formula>$F27="Fail"</formula>
    </cfRule>
  </conditionalFormatting>
  <conditionalFormatting sqref="G27:K27">
    <cfRule type="expression" dxfId="36" priority="15">
      <formula>$F27="Fail"</formula>
    </cfRule>
  </conditionalFormatting>
  <conditionalFormatting sqref="G26:K26">
    <cfRule type="expression" dxfId="35" priority="14">
      <formula>$F26="Fail"</formula>
    </cfRule>
  </conditionalFormatting>
  <conditionalFormatting sqref="G24:K24">
    <cfRule type="expression" dxfId="34" priority="13">
      <formula>$F24="Fail"</formula>
    </cfRule>
  </conditionalFormatting>
  <conditionalFormatting sqref="G15:K22">
    <cfRule type="expression" dxfId="33" priority="12">
      <formula>$F15="Fail"</formula>
    </cfRule>
  </conditionalFormatting>
  <conditionalFormatting sqref="G11:K13">
    <cfRule type="expression" dxfId="32" priority="11">
      <formula>$F11="Fail"</formula>
    </cfRule>
  </conditionalFormatting>
  <conditionalFormatting sqref="G9:K9">
    <cfRule type="expression" dxfId="31" priority="10">
      <formula>$F9="Fail"</formula>
    </cfRule>
  </conditionalFormatting>
  <conditionalFormatting sqref="G7:K7">
    <cfRule type="expression" dxfId="30" priority="9">
      <formula>$F7="Fail"</formula>
    </cfRule>
  </conditionalFormatting>
  <conditionalFormatting sqref="G3:K5">
    <cfRule type="expression" dxfId="29" priority="8">
      <formula>$F3="Fail"</formula>
    </cfRule>
  </conditionalFormatting>
  <conditionalFormatting sqref="E24:F24">
    <cfRule type="expression" dxfId="28" priority="7">
      <formula>$F24="Fail"</formula>
    </cfRule>
  </conditionalFormatting>
  <conditionalFormatting sqref="E26:F26">
    <cfRule type="expression" dxfId="27" priority="6">
      <formula>$F26="Fail"</formula>
    </cfRule>
  </conditionalFormatting>
  <conditionalFormatting sqref="E27:F27">
    <cfRule type="expression" dxfId="26" priority="5">
      <formula>$F27="Fail"</formula>
    </cfRule>
  </conditionalFormatting>
  <conditionalFormatting sqref="E11:F11">
    <cfRule type="expression" dxfId="25" priority="4">
      <formula>$F11="Fail"</formula>
    </cfRule>
  </conditionalFormatting>
  <conditionalFormatting sqref="E12:F12">
    <cfRule type="expression" dxfId="24" priority="3">
      <formula>$F12="Fail"</formula>
    </cfRule>
  </conditionalFormatting>
  <conditionalFormatting sqref="E9:F9">
    <cfRule type="expression" dxfId="23" priority="2">
      <formula>$F9="Fail"</formula>
    </cfRule>
  </conditionalFormatting>
  <conditionalFormatting sqref="E7:F7">
    <cfRule type="expression" dxfId="22" priority="1">
      <formula>$F7="Fail"</formula>
    </cfRule>
  </conditionalFormatting>
  <dataValidations count="1">
    <dataValidation type="list" allowBlank="1" showInputMessage="1" showErrorMessage="1" sqref="F2:F27">
      <formula1>$G$1:$K$1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ummary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8"/>
  <sheetViews>
    <sheetView zoomScaleNormal="100" workbookViewId="0">
      <pane ySplit="1" topLeftCell="A2" activePane="bottomLeft" state="frozen"/>
      <selection pane="bottomLeft"/>
    </sheetView>
  </sheetViews>
  <sheetFormatPr defaultRowHeight="15" x14ac:dyDescent="0.25"/>
  <cols>
    <col min="1" max="1" width="11.28515625" style="4" bestFit="1" customWidth="1"/>
    <col min="2" max="2" width="48.5703125" style="1" customWidth="1"/>
    <col min="3" max="3" width="50.7109375" style="1" customWidth="1"/>
    <col min="4" max="4" width="39" style="1" customWidth="1"/>
    <col min="5" max="5" width="20.42578125" style="1" customWidth="1"/>
    <col min="6" max="6" width="14.7109375"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12" t="s">
        <v>4</v>
      </c>
      <c r="E1" s="12" t="s">
        <v>3</v>
      </c>
      <c r="F1" s="11" t="s">
        <v>0</v>
      </c>
      <c r="G1" s="12" t="s">
        <v>5</v>
      </c>
      <c r="H1" s="12" t="s">
        <v>6</v>
      </c>
      <c r="I1" s="12"/>
      <c r="J1" s="12" t="s">
        <v>7</v>
      </c>
      <c r="K1" s="12" t="s">
        <v>8</v>
      </c>
      <c r="L1" s="12" t="s">
        <v>12</v>
      </c>
    </row>
    <row r="2" spans="1:12" s="20" customFormat="1" x14ac:dyDescent="0.25">
      <c r="A2" s="16">
        <v>1</v>
      </c>
      <c r="B2" s="17" t="s">
        <v>13</v>
      </c>
      <c r="C2" s="18"/>
      <c r="D2" s="17"/>
      <c r="E2" s="17"/>
      <c r="F2" s="19"/>
      <c r="G2" s="19"/>
      <c r="H2" s="19"/>
      <c r="I2" s="19"/>
      <c r="J2" s="19"/>
      <c r="K2" s="19"/>
      <c r="L2" s="17"/>
    </row>
    <row r="3" spans="1:12" x14ac:dyDescent="0.25">
      <c r="A3" s="5">
        <v>1</v>
      </c>
      <c r="B3" s="6"/>
      <c r="C3" s="9" t="s">
        <v>14</v>
      </c>
      <c r="D3" s="7"/>
      <c r="E3" s="6"/>
      <c r="F3" s="8"/>
      <c r="G3" s="8">
        <f t="shared" ref="G3:K6" si="0">IF($F3=G$1,1,0)</f>
        <v>0</v>
      </c>
      <c r="H3" s="8">
        <f t="shared" si="0"/>
        <v>0</v>
      </c>
      <c r="I3" s="8">
        <f t="shared" si="0"/>
        <v>1</v>
      </c>
      <c r="J3" s="8">
        <f t="shared" si="0"/>
        <v>0</v>
      </c>
      <c r="K3" s="8">
        <f t="shared" si="0"/>
        <v>0</v>
      </c>
      <c r="L3" s="7"/>
    </row>
    <row r="4" spans="1:12" x14ac:dyDescent="0.25">
      <c r="A4" s="5">
        <f t="shared" ref="A4:A6" si="1">A3+0.0001</f>
        <v>1.0001</v>
      </c>
      <c r="B4" s="6"/>
      <c r="C4" s="9" t="s">
        <v>15</v>
      </c>
      <c r="D4" s="7"/>
      <c r="E4" s="6"/>
      <c r="F4" s="8"/>
      <c r="G4" s="8">
        <f t="shared" si="0"/>
        <v>0</v>
      </c>
      <c r="H4" s="8">
        <f t="shared" si="0"/>
        <v>0</v>
      </c>
      <c r="I4" s="8">
        <f t="shared" si="0"/>
        <v>1</v>
      </c>
      <c r="J4" s="8">
        <f t="shared" si="0"/>
        <v>0</v>
      </c>
      <c r="K4" s="8">
        <f t="shared" si="0"/>
        <v>0</v>
      </c>
      <c r="L4" s="7"/>
    </row>
    <row r="5" spans="1:12" x14ac:dyDescent="0.25">
      <c r="A5" s="5">
        <f t="shared" si="1"/>
        <v>1.0002</v>
      </c>
      <c r="B5" s="6"/>
      <c r="C5" s="9" t="s">
        <v>16</v>
      </c>
      <c r="D5" s="7"/>
      <c r="E5" s="6"/>
      <c r="F5" s="8"/>
      <c r="G5" s="8">
        <f t="shared" si="0"/>
        <v>0</v>
      </c>
      <c r="H5" s="8">
        <f t="shared" si="0"/>
        <v>0</v>
      </c>
      <c r="I5" s="8">
        <f t="shared" si="0"/>
        <v>1</v>
      </c>
      <c r="J5" s="8">
        <f t="shared" si="0"/>
        <v>0</v>
      </c>
      <c r="K5" s="8">
        <f t="shared" si="0"/>
        <v>0</v>
      </c>
      <c r="L5" s="7"/>
    </row>
    <row r="6" spans="1:12" x14ac:dyDescent="0.25">
      <c r="A6" s="5">
        <f t="shared" si="1"/>
        <v>1.0003</v>
      </c>
      <c r="B6" s="7"/>
      <c r="C6" s="6" t="s">
        <v>17</v>
      </c>
      <c r="D6" s="7"/>
      <c r="E6" s="7"/>
      <c r="F6" s="8"/>
      <c r="G6" s="8">
        <f t="shared" si="0"/>
        <v>0</v>
      </c>
      <c r="H6" s="8">
        <f t="shared" si="0"/>
        <v>0</v>
      </c>
      <c r="I6" s="8">
        <f t="shared" si="0"/>
        <v>1</v>
      </c>
      <c r="J6" s="8">
        <f t="shared" si="0"/>
        <v>0</v>
      </c>
      <c r="K6" s="8">
        <f t="shared" si="0"/>
        <v>0</v>
      </c>
      <c r="L6" s="7"/>
    </row>
    <row r="7" spans="1:12" ht="15.75" thickBot="1" x14ac:dyDescent="0.3">
      <c r="G7" s="2">
        <f>SUM(G2:G6)</f>
        <v>0</v>
      </c>
      <c r="H7" s="2">
        <f>SUM(H2:H6)</f>
        <v>0</v>
      </c>
      <c r="I7" s="2">
        <f>SUM(I2:I6)</f>
        <v>4</v>
      </c>
      <c r="J7" s="2">
        <f>SUM(J2:J6)</f>
        <v>0</v>
      </c>
      <c r="K7" s="2">
        <f>SUM(K2:K6)</f>
        <v>0</v>
      </c>
    </row>
    <row r="8" spans="1:12" ht="15.75" thickTop="1" x14ac:dyDescent="0.25"/>
  </sheetData>
  <conditionalFormatting sqref="A2:L2 A7:L26 A3:F6 L3:L6">
    <cfRule type="expression" dxfId="21" priority="21">
      <formula>$F2="Fail"</formula>
    </cfRule>
  </conditionalFormatting>
  <conditionalFormatting sqref="G3:K3">
    <cfRule type="expression" dxfId="20" priority="2">
      <formula>$F3="Fail"</formula>
    </cfRule>
  </conditionalFormatting>
  <conditionalFormatting sqref="G4:K6">
    <cfRule type="expression" dxfId="19" priority="1">
      <formula>$F4="Fail"</formula>
    </cfRule>
  </conditionalFormatting>
  <dataValidations count="1">
    <dataValidation type="list" allowBlank="1" showInputMessage="1" showErrorMessage="1" sqref="F2:F6">
      <formula1>$G$1:$K$1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ummary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56"/>
  <sheetViews>
    <sheetView zoomScaleNormal="100" workbookViewId="0">
      <pane ySplit="1" topLeftCell="A17" activePane="bottomLeft" state="frozen"/>
      <selection pane="bottomLeft"/>
    </sheetView>
  </sheetViews>
  <sheetFormatPr defaultRowHeight="15" x14ac:dyDescent="0.25"/>
  <cols>
    <col min="1" max="1" width="11.28515625" style="4" bestFit="1" customWidth="1"/>
    <col min="2" max="2" width="48.5703125" style="1" customWidth="1"/>
    <col min="3" max="3" width="50.7109375" style="1" customWidth="1"/>
    <col min="4" max="4" width="39" style="1" customWidth="1"/>
    <col min="5" max="5" width="20.42578125" style="1" customWidth="1"/>
    <col min="6" max="6" width="14.7109375" style="1" customWidth="1"/>
    <col min="7" max="10" width="9.140625" style="1"/>
    <col min="11" max="11" width="16.5703125" style="1" customWidth="1"/>
    <col min="12" max="12" width="39" style="1" customWidth="1"/>
    <col min="13" max="16384" width="9.140625" style="1"/>
  </cols>
  <sheetData>
    <row r="1" spans="1:12" ht="30" customHeight="1" x14ac:dyDescent="0.25">
      <c r="A1" s="10" t="s">
        <v>1</v>
      </c>
      <c r="B1" s="11" t="s">
        <v>11</v>
      </c>
      <c r="C1" s="11" t="s">
        <v>2</v>
      </c>
      <c r="D1" s="12" t="s">
        <v>4</v>
      </c>
      <c r="E1" s="12" t="s">
        <v>3</v>
      </c>
      <c r="F1" s="11" t="s">
        <v>0</v>
      </c>
      <c r="G1" s="12" t="s">
        <v>5</v>
      </c>
      <c r="H1" s="12" t="s">
        <v>6</v>
      </c>
      <c r="I1" s="12"/>
      <c r="J1" s="12" t="s">
        <v>7</v>
      </c>
      <c r="K1" s="12" t="s">
        <v>8</v>
      </c>
      <c r="L1" s="12" t="s">
        <v>12</v>
      </c>
    </row>
    <row r="2" spans="1:12" s="20" customFormat="1" x14ac:dyDescent="0.25">
      <c r="A2" s="16">
        <v>1</v>
      </c>
      <c r="B2" s="17"/>
      <c r="C2" s="18"/>
      <c r="D2" s="17"/>
      <c r="E2" s="17"/>
      <c r="F2" s="19"/>
      <c r="G2" s="19"/>
      <c r="H2" s="19"/>
      <c r="I2" s="19"/>
      <c r="J2" s="19"/>
      <c r="K2" s="19"/>
      <c r="L2" s="17"/>
    </row>
    <row r="3" spans="1:12" x14ac:dyDescent="0.25">
      <c r="A3" s="5">
        <v>1</v>
      </c>
      <c r="B3" s="6"/>
      <c r="C3" s="9"/>
      <c r="D3" s="7"/>
      <c r="E3" s="6"/>
      <c r="F3" s="8"/>
      <c r="G3" s="8"/>
      <c r="H3" s="8"/>
      <c r="I3" s="8"/>
      <c r="J3" s="8"/>
      <c r="K3" s="8"/>
      <c r="L3" s="7"/>
    </row>
    <row r="4" spans="1:12" x14ac:dyDescent="0.25">
      <c r="A4" s="5">
        <f t="shared" ref="A4:A54" si="0">A3+0.0001</f>
        <v>1.0001</v>
      </c>
      <c r="B4" s="6"/>
      <c r="C4" s="9"/>
      <c r="D4" s="7"/>
      <c r="E4" s="6"/>
      <c r="F4" s="8"/>
      <c r="G4" s="8"/>
      <c r="H4" s="8"/>
      <c r="I4" s="8"/>
      <c r="J4" s="8"/>
      <c r="K4" s="8"/>
      <c r="L4" s="7"/>
    </row>
    <row r="5" spans="1:12" x14ac:dyDescent="0.25">
      <c r="A5" s="5">
        <f t="shared" si="0"/>
        <v>1.0002</v>
      </c>
      <c r="B5" s="6"/>
      <c r="C5" s="9"/>
      <c r="D5" s="7"/>
      <c r="E5" s="6"/>
      <c r="F5" s="8"/>
      <c r="G5" s="8"/>
      <c r="H5" s="8"/>
      <c r="I5" s="8"/>
      <c r="J5" s="8"/>
      <c r="K5" s="8"/>
      <c r="L5" s="7"/>
    </row>
    <row r="6" spans="1:12" x14ac:dyDescent="0.25">
      <c r="A6" s="5">
        <f t="shared" si="0"/>
        <v>1.0003</v>
      </c>
      <c r="B6" s="7"/>
      <c r="C6" s="6"/>
      <c r="D6" s="7"/>
      <c r="E6" s="7"/>
      <c r="F6" s="8"/>
      <c r="G6" s="8"/>
      <c r="H6" s="8"/>
      <c r="I6" s="8"/>
      <c r="J6" s="8"/>
      <c r="K6" s="8"/>
      <c r="L6" s="7"/>
    </row>
    <row r="7" spans="1:12" x14ac:dyDescent="0.25">
      <c r="A7" s="5">
        <f t="shared" si="0"/>
        <v>1.0004</v>
      </c>
      <c r="B7" s="6"/>
      <c r="C7" s="6"/>
      <c r="D7" s="7"/>
      <c r="E7" s="7"/>
      <c r="F7" s="8"/>
      <c r="G7" s="8"/>
      <c r="H7" s="8"/>
      <c r="I7" s="8"/>
      <c r="J7" s="8"/>
      <c r="K7" s="8"/>
      <c r="L7" s="7"/>
    </row>
    <row r="8" spans="1:12" x14ac:dyDescent="0.25">
      <c r="A8" s="5">
        <f t="shared" si="0"/>
        <v>1.0004999999999999</v>
      </c>
      <c r="B8" s="7"/>
      <c r="C8" s="6"/>
      <c r="D8" s="7"/>
      <c r="E8" s="7"/>
      <c r="F8" s="8"/>
      <c r="G8" s="8"/>
      <c r="H8" s="8"/>
      <c r="I8" s="8"/>
      <c r="J8" s="8"/>
      <c r="K8" s="8"/>
      <c r="L8" s="7"/>
    </row>
    <row r="9" spans="1:12" s="20" customFormat="1" x14ac:dyDescent="0.25">
      <c r="A9" s="16">
        <v>2</v>
      </c>
      <c r="B9" s="17"/>
      <c r="C9" s="18"/>
      <c r="D9" s="17"/>
      <c r="E9" s="17"/>
      <c r="F9" s="19"/>
      <c r="G9" s="19"/>
      <c r="H9" s="19"/>
      <c r="I9" s="19"/>
      <c r="J9" s="19"/>
      <c r="K9" s="19"/>
      <c r="L9" s="17"/>
    </row>
    <row r="10" spans="1:12" x14ac:dyDescent="0.25">
      <c r="A10" s="5">
        <f t="shared" si="0"/>
        <v>2.0001000000000002</v>
      </c>
      <c r="B10" s="6"/>
      <c r="C10" s="9"/>
      <c r="D10" s="7"/>
      <c r="E10" s="6"/>
      <c r="F10" s="8"/>
      <c r="G10" s="8"/>
      <c r="H10" s="8"/>
      <c r="I10" s="8"/>
      <c r="J10" s="8"/>
      <c r="K10" s="8"/>
      <c r="L10" s="7"/>
    </row>
    <row r="11" spans="1:12" x14ac:dyDescent="0.25">
      <c r="A11" s="5">
        <f t="shared" si="0"/>
        <v>2.0002000000000004</v>
      </c>
      <c r="B11" s="6"/>
      <c r="C11" s="9"/>
      <c r="D11" s="7"/>
      <c r="E11" s="6"/>
      <c r="F11" s="8"/>
      <c r="G11" s="8"/>
      <c r="H11" s="8"/>
      <c r="I11" s="8"/>
      <c r="J11" s="8"/>
      <c r="K11" s="8"/>
      <c r="L11" s="7"/>
    </row>
    <row r="12" spans="1:12" x14ac:dyDescent="0.25">
      <c r="A12" s="5">
        <f t="shared" si="0"/>
        <v>2.0003000000000006</v>
      </c>
      <c r="B12" s="6"/>
      <c r="C12" s="9"/>
      <c r="D12" s="7"/>
      <c r="E12" s="6"/>
      <c r="F12" s="8"/>
      <c r="G12" s="8"/>
      <c r="H12" s="8"/>
      <c r="I12" s="8"/>
      <c r="J12" s="8"/>
      <c r="K12" s="8"/>
      <c r="L12" s="7"/>
    </row>
    <row r="13" spans="1:12" x14ac:dyDescent="0.25">
      <c r="A13" s="5">
        <f>A11+0.0001</f>
        <v>2.0003000000000006</v>
      </c>
      <c r="B13" s="6"/>
      <c r="C13" s="9"/>
      <c r="D13" s="7"/>
      <c r="E13" s="6"/>
      <c r="F13" s="8"/>
      <c r="G13" s="8"/>
      <c r="H13" s="8"/>
      <c r="I13" s="8"/>
      <c r="J13" s="8"/>
      <c r="K13" s="8"/>
      <c r="L13" s="7"/>
    </row>
    <row r="14" spans="1:12" x14ac:dyDescent="0.25">
      <c r="A14" s="5">
        <f>A11+0.0001</f>
        <v>2.0003000000000006</v>
      </c>
      <c r="B14" s="7"/>
      <c r="C14" s="6"/>
      <c r="D14" s="21"/>
      <c r="E14" s="6"/>
      <c r="F14" s="8"/>
      <c r="G14" s="8"/>
      <c r="H14" s="8"/>
      <c r="I14" s="8"/>
      <c r="J14" s="8"/>
      <c r="K14" s="8"/>
      <c r="L14" s="7"/>
    </row>
    <row r="15" spans="1:12" x14ac:dyDescent="0.25">
      <c r="A15" s="5">
        <f t="shared" si="0"/>
        <v>2.0004000000000008</v>
      </c>
      <c r="B15" s="7"/>
      <c r="C15" s="6"/>
      <c r="D15" s="7"/>
      <c r="E15" s="7"/>
      <c r="F15" s="8"/>
      <c r="G15" s="8"/>
      <c r="H15" s="8"/>
      <c r="I15" s="8"/>
      <c r="J15" s="8"/>
      <c r="K15" s="8"/>
      <c r="L15" s="7"/>
    </row>
    <row r="16" spans="1:12" x14ac:dyDescent="0.25">
      <c r="A16" s="5">
        <f t="shared" si="0"/>
        <v>2.0005000000000011</v>
      </c>
      <c r="B16" s="7"/>
      <c r="C16" s="6"/>
      <c r="D16" s="7"/>
      <c r="E16" s="7"/>
      <c r="F16" s="8"/>
      <c r="G16" s="8"/>
      <c r="H16" s="8"/>
      <c r="I16" s="8"/>
      <c r="J16" s="8"/>
      <c r="K16" s="8"/>
      <c r="L16" s="7"/>
    </row>
    <row r="17" spans="1:12" x14ac:dyDescent="0.25">
      <c r="A17" s="5">
        <f t="shared" si="0"/>
        <v>2.0006000000000013</v>
      </c>
      <c r="B17" s="6"/>
      <c r="C17" s="6"/>
      <c r="D17" s="7"/>
      <c r="E17" s="7"/>
      <c r="F17" s="8"/>
      <c r="G17" s="8"/>
      <c r="H17" s="8"/>
      <c r="I17" s="8"/>
      <c r="J17" s="8"/>
      <c r="K17" s="8"/>
      <c r="L17" s="7"/>
    </row>
    <row r="18" spans="1:12" x14ac:dyDescent="0.25">
      <c r="A18" s="5">
        <f t="shared" si="0"/>
        <v>2.0007000000000015</v>
      </c>
      <c r="B18" s="6"/>
      <c r="C18" s="6"/>
      <c r="D18" s="7"/>
      <c r="E18" s="7"/>
      <c r="F18" s="8"/>
      <c r="G18" s="8"/>
      <c r="H18" s="8"/>
      <c r="I18" s="8"/>
      <c r="J18" s="8"/>
      <c r="K18" s="8"/>
      <c r="L18" s="7"/>
    </row>
    <row r="19" spans="1:12" x14ac:dyDescent="0.25">
      <c r="A19" s="5">
        <f t="shared" si="0"/>
        <v>2.0008000000000017</v>
      </c>
      <c r="B19" s="6"/>
      <c r="C19" s="6"/>
      <c r="D19" s="7"/>
      <c r="E19" s="7"/>
      <c r="F19" s="8"/>
      <c r="G19" s="8"/>
      <c r="H19" s="8"/>
      <c r="I19" s="8"/>
      <c r="J19" s="8"/>
      <c r="K19" s="8"/>
      <c r="L19" s="7"/>
    </row>
    <row r="20" spans="1:12" x14ac:dyDescent="0.25">
      <c r="A20" s="5">
        <f t="shared" si="0"/>
        <v>2.0009000000000019</v>
      </c>
      <c r="B20" s="6"/>
      <c r="C20" s="6"/>
      <c r="D20" s="7"/>
      <c r="E20" s="7"/>
      <c r="F20" s="8"/>
      <c r="G20" s="8"/>
      <c r="H20" s="8"/>
      <c r="I20" s="8"/>
      <c r="J20" s="8"/>
      <c r="K20" s="8"/>
      <c r="L20" s="7"/>
    </row>
    <row r="21" spans="1:12" x14ac:dyDescent="0.25">
      <c r="A21" s="5">
        <f t="shared" si="0"/>
        <v>2.0010000000000021</v>
      </c>
      <c r="B21" s="6"/>
      <c r="C21" s="6"/>
      <c r="D21" s="7"/>
      <c r="E21" s="7"/>
      <c r="F21" s="8"/>
      <c r="G21" s="8"/>
      <c r="H21" s="8"/>
      <c r="I21" s="8"/>
      <c r="J21" s="8"/>
      <c r="K21" s="8"/>
      <c r="L21" s="7"/>
    </row>
    <row r="22" spans="1:12" x14ac:dyDescent="0.25">
      <c r="A22" s="5">
        <f t="shared" si="0"/>
        <v>2.0011000000000023</v>
      </c>
      <c r="B22" s="6"/>
      <c r="C22" s="6"/>
      <c r="D22" s="7"/>
      <c r="E22" s="7"/>
      <c r="F22" s="8"/>
      <c r="G22" s="8"/>
      <c r="H22" s="8"/>
      <c r="I22" s="8"/>
      <c r="J22" s="8"/>
      <c r="K22" s="8"/>
      <c r="L22" s="7"/>
    </row>
    <row r="23" spans="1:12" x14ac:dyDescent="0.25">
      <c r="A23" s="5">
        <f t="shared" si="0"/>
        <v>2.0012000000000025</v>
      </c>
      <c r="B23" s="6"/>
      <c r="C23" s="6"/>
      <c r="D23" s="7"/>
      <c r="E23" s="7"/>
      <c r="F23" s="8"/>
      <c r="G23" s="8"/>
      <c r="H23" s="8"/>
      <c r="I23" s="8"/>
      <c r="J23" s="8"/>
      <c r="K23" s="8"/>
      <c r="L23" s="7"/>
    </row>
    <row r="24" spans="1:12" x14ac:dyDescent="0.25">
      <c r="A24" s="5">
        <f t="shared" si="0"/>
        <v>2.0013000000000027</v>
      </c>
      <c r="B24" s="6"/>
      <c r="C24" s="6"/>
      <c r="D24" s="7"/>
      <c r="E24" s="7"/>
      <c r="F24" s="8"/>
      <c r="G24" s="8"/>
      <c r="H24" s="8"/>
      <c r="I24" s="8"/>
      <c r="J24" s="8"/>
      <c r="K24" s="8"/>
      <c r="L24" s="7"/>
    </row>
    <row r="25" spans="1:12" x14ac:dyDescent="0.25">
      <c r="A25" s="5">
        <f t="shared" si="0"/>
        <v>2.001400000000003</v>
      </c>
      <c r="B25" s="7"/>
      <c r="C25" s="6"/>
      <c r="D25" s="7"/>
      <c r="E25" s="7"/>
      <c r="F25" s="8"/>
      <c r="G25" s="8"/>
      <c r="H25" s="8"/>
      <c r="I25" s="8"/>
      <c r="J25" s="8"/>
      <c r="K25" s="8"/>
      <c r="L25" s="7"/>
    </row>
    <row r="26" spans="1:12" x14ac:dyDescent="0.25">
      <c r="A26" s="5">
        <f t="shared" si="0"/>
        <v>2.0015000000000032</v>
      </c>
      <c r="B26" s="6"/>
      <c r="C26" s="6"/>
      <c r="D26" s="7"/>
      <c r="E26" s="7"/>
      <c r="F26" s="8"/>
      <c r="G26" s="8"/>
      <c r="H26" s="8"/>
      <c r="I26" s="8"/>
      <c r="J26" s="8"/>
      <c r="K26" s="8"/>
      <c r="L26" s="7"/>
    </row>
    <row r="27" spans="1:12" x14ac:dyDescent="0.25">
      <c r="A27" s="5">
        <f t="shared" si="0"/>
        <v>2.0016000000000034</v>
      </c>
      <c r="B27" s="6"/>
      <c r="C27" s="6"/>
      <c r="D27" s="7"/>
      <c r="E27" s="7"/>
      <c r="F27" s="8"/>
      <c r="G27" s="8"/>
      <c r="H27" s="8"/>
      <c r="I27" s="8"/>
      <c r="J27" s="8"/>
      <c r="K27" s="8"/>
      <c r="L27" s="7"/>
    </row>
    <row r="28" spans="1:12" x14ac:dyDescent="0.25">
      <c r="A28" s="5">
        <f t="shared" si="0"/>
        <v>2.0017000000000036</v>
      </c>
      <c r="B28" s="6"/>
      <c r="C28" s="6"/>
      <c r="D28" s="7"/>
      <c r="E28" s="7"/>
      <c r="F28" s="8"/>
      <c r="G28" s="8"/>
      <c r="H28" s="8"/>
      <c r="I28" s="8"/>
      <c r="J28" s="8"/>
      <c r="K28" s="8"/>
      <c r="L28" s="7"/>
    </row>
    <row r="29" spans="1:12" x14ac:dyDescent="0.25">
      <c r="A29" s="5">
        <f t="shared" si="0"/>
        <v>2.0018000000000038</v>
      </c>
      <c r="B29" s="6"/>
      <c r="C29" s="6"/>
      <c r="D29" s="7"/>
      <c r="E29" s="7"/>
      <c r="F29" s="8"/>
      <c r="G29" s="8"/>
      <c r="H29" s="8"/>
      <c r="I29" s="8"/>
      <c r="J29" s="8"/>
      <c r="K29" s="8"/>
      <c r="L29" s="7"/>
    </row>
    <row r="30" spans="1:12" x14ac:dyDescent="0.25">
      <c r="A30" s="5">
        <f t="shared" si="0"/>
        <v>2.001900000000004</v>
      </c>
      <c r="B30" s="6"/>
      <c r="C30" s="6"/>
      <c r="D30" s="7"/>
      <c r="E30" s="7"/>
      <c r="F30" s="8"/>
      <c r="G30" s="8"/>
      <c r="H30" s="8"/>
      <c r="I30" s="8"/>
      <c r="J30" s="8"/>
      <c r="K30" s="8"/>
      <c r="L30" s="7"/>
    </row>
    <row r="31" spans="1:12" x14ac:dyDescent="0.25">
      <c r="A31" s="5">
        <f t="shared" si="0"/>
        <v>2.0020000000000042</v>
      </c>
      <c r="B31" s="7"/>
      <c r="C31" s="6"/>
      <c r="D31" s="7"/>
      <c r="E31" s="7"/>
      <c r="F31" s="8"/>
      <c r="G31" s="8"/>
      <c r="H31" s="8"/>
      <c r="I31" s="8"/>
      <c r="J31" s="8"/>
      <c r="K31" s="8"/>
      <c r="L31" s="7"/>
    </row>
    <row r="32" spans="1:12" x14ac:dyDescent="0.25">
      <c r="A32" s="5">
        <f t="shared" si="0"/>
        <v>2.0021000000000044</v>
      </c>
      <c r="B32" s="7"/>
      <c r="C32" s="6"/>
      <c r="D32" s="7"/>
      <c r="E32" s="7"/>
      <c r="F32" s="8"/>
      <c r="G32" s="8"/>
      <c r="H32" s="8"/>
      <c r="I32" s="8"/>
      <c r="J32" s="8"/>
      <c r="K32" s="8"/>
      <c r="L32" s="7"/>
    </row>
    <row r="33" spans="1:12" x14ac:dyDescent="0.25">
      <c r="A33" s="5">
        <f t="shared" si="0"/>
        <v>2.0022000000000046</v>
      </c>
      <c r="B33" s="7"/>
      <c r="C33" s="6"/>
      <c r="D33" s="7"/>
      <c r="E33" s="7"/>
      <c r="F33" s="8"/>
      <c r="G33" s="8"/>
      <c r="H33" s="8"/>
      <c r="I33" s="8"/>
      <c r="J33" s="8"/>
      <c r="K33" s="8"/>
      <c r="L33" s="7"/>
    </row>
    <row r="34" spans="1:12" x14ac:dyDescent="0.25">
      <c r="A34" s="5">
        <f t="shared" si="0"/>
        <v>2.0023000000000049</v>
      </c>
      <c r="B34" s="6"/>
      <c r="C34" s="6"/>
      <c r="D34" s="7"/>
      <c r="E34" s="7"/>
      <c r="F34" s="8"/>
      <c r="G34" s="8"/>
      <c r="H34" s="8"/>
      <c r="I34" s="8"/>
      <c r="J34" s="8"/>
      <c r="K34" s="8"/>
      <c r="L34" s="7"/>
    </row>
    <row r="35" spans="1:12" x14ac:dyDescent="0.25">
      <c r="A35" s="5">
        <f t="shared" si="0"/>
        <v>2.0024000000000051</v>
      </c>
      <c r="B35" s="7"/>
      <c r="C35" s="6"/>
      <c r="D35" s="7"/>
      <c r="E35" s="7"/>
      <c r="F35" s="8"/>
      <c r="G35" s="8"/>
      <c r="H35" s="8"/>
      <c r="I35" s="8"/>
      <c r="J35" s="8"/>
      <c r="K35" s="8"/>
      <c r="L35" s="7"/>
    </row>
    <row r="36" spans="1:12" x14ac:dyDescent="0.25">
      <c r="A36" s="5">
        <f t="shared" si="0"/>
        <v>2.0025000000000053</v>
      </c>
      <c r="B36" s="6"/>
      <c r="C36" s="9"/>
      <c r="D36" s="7"/>
      <c r="E36" s="7"/>
      <c r="F36" s="8"/>
      <c r="G36" s="8"/>
      <c r="H36" s="8"/>
      <c r="I36" s="8"/>
      <c r="J36" s="8"/>
      <c r="K36" s="8"/>
      <c r="L36" s="7"/>
    </row>
    <row r="37" spans="1:12" x14ac:dyDescent="0.25">
      <c r="A37" s="5">
        <f t="shared" si="0"/>
        <v>2.0026000000000055</v>
      </c>
      <c r="B37" s="7"/>
      <c r="C37" s="6"/>
      <c r="D37" s="7"/>
      <c r="E37" s="7"/>
      <c r="F37" s="8"/>
      <c r="G37" s="8"/>
      <c r="H37" s="8"/>
      <c r="I37" s="8"/>
      <c r="J37" s="8"/>
      <c r="K37" s="8"/>
      <c r="L37" s="7"/>
    </row>
    <row r="38" spans="1:12" x14ac:dyDescent="0.25">
      <c r="A38" s="5">
        <f t="shared" si="0"/>
        <v>2.0027000000000057</v>
      </c>
      <c r="B38" s="6"/>
      <c r="C38" s="6"/>
      <c r="D38" s="7"/>
      <c r="E38" s="7"/>
      <c r="F38" s="8"/>
      <c r="G38" s="8"/>
      <c r="H38" s="8"/>
      <c r="I38" s="8"/>
      <c r="J38" s="8"/>
      <c r="K38" s="8"/>
      <c r="L38" s="7"/>
    </row>
    <row r="39" spans="1:12" x14ac:dyDescent="0.25">
      <c r="A39" s="5">
        <f t="shared" si="0"/>
        <v>2.0028000000000059</v>
      </c>
      <c r="B39" s="6"/>
      <c r="C39" s="6"/>
      <c r="D39" s="7"/>
      <c r="E39" s="7"/>
      <c r="F39" s="8"/>
      <c r="G39" s="8"/>
      <c r="H39" s="8"/>
      <c r="I39" s="8"/>
      <c r="J39" s="8"/>
      <c r="K39" s="8"/>
      <c r="L39" s="7"/>
    </row>
    <row r="40" spans="1:12" x14ac:dyDescent="0.25">
      <c r="A40" s="5">
        <f t="shared" si="0"/>
        <v>2.0029000000000061</v>
      </c>
      <c r="B40" s="6"/>
      <c r="C40" s="6"/>
      <c r="D40" s="7"/>
      <c r="E40" s="7"/>
      <c r="F40" s="8"/>
      <c r="G40" s="8"/>
      <c r="H40" s="8"/>
      <c r="I40" s="8"/>
      <c r="J40" s="8"/>
      <c r="K40" s="8"/>
      <c r="L40" s="7"/>
    </row>
    <row r="41" spans="1:12" x14ac:dyDescent="0.25">
      <c r="A41" s="5">
        <f t="shared" si="0"/>
        <v>2.0030000000000063</v>
      </c>
      <c r="B41" s="6"/>
      <c r="C41" s="6"/>
      <c r="D41" s="7"/>
      <c r="E41" s="7"/>
      <c r="F41" s="8"/>
      <c r="G41" s="8"/>
      <c r="H41" s="8"/>
      <c r="I41" s="8"/>
      <c r="J41" s="8"/>
      <c r="K41" s="8"/>
      <c r="L41" s="7"/>
    </row>
    <row r="42" spans="1:12" x14ac:dyDescent="0.25">
      <c r="A42" s="5">
        <f t="shared" si="0"/>
        <v>2.0031000000000065</v>
      </c>
      <c r="B42" s="6"/>
      <c r="C42" s="6"/>
      <c r="D42" s="7"/>
      <c r="E42" s="7"/>
      <c r="F42" s="8"/>
      <c r="G42" s="8"/>
      <c r="H42" s="8"/>
      <c r="I42" s="8"/>
      <c r="J42" s="8"/>
      <c r="K42" s="8"/>
      <c r="L42" s="7"/>
    </row>
    <row r="43" spans="1:12" x14ac:dyDescent="0.25">
      <c r="A43" s="5">
        <f t="shared" si="0"/>
        <v>2.0032000000000068</v>
      </c>
      <c r="B43" s="6"/>
      <c r="C43" s="6"/>
      <c r="D43" s="7"/>
      <c r="E43" s="7"/>
      <c r="F43" s="8"/>
      <c r="G43" s="8"/>
      <c r="H43" s="8"/>
      <c r="I43" s="8"/>
      <c r="J43" s="8"/>
      <c r="K43" s="8"/>
      <c r="L43" s="7"/>
    </row>
    <row r="44" spans="1:12" x14ac:dyDescent="0.25">
      <c r="A44" s="5">
        <f t="shared" si="0"/>
        <v>2.003300000000007</v>
      </c>
      <c r="B44" s="6"/>
      <c r="C44" s="6"/>
      <c r="D44" s="7"/>
      <c r="E44" s="7"/>
      <c r="F44" s="8"/>
      <c r="G44" s="8"/>
      <c r="H44" s="8"/>
      <c r="I44" s="8"/>
      <c r="J44" s="8"/>
      <c r="K44" s="8"/>
      <c r="L44" s="7"/>
    </row>
    <row r="45" spans="1:12" x14ac:dyDescent="0.25">
      <c r="A45" s="5">
        <f t="shared" si="0"/>
        <v>2.0034000000000072</v>
      </c>
      <c r="B45" s="6"/>
      <c r="C45" s="6"/>
      <c r="D45" s="7"/>
      <c r="E45" s="7"/>
      <c r="F45" s="8"/>
      <c r="G45" s="8"/>
      <c r="H45" s="8"/>
      <c r="I45" s="8"/>
      <c r="J45" s="8"/>
      <c r="K45" s="8"/>
      <c r="L45" s="7"/>
    </row>
    <row r="46" spans="1:12" x14ac:dyDescent="0.25">
      <c r="A46" s="5">
        <f t="shared" si="0"/>
        <v>2.0035000000000074</v>
      </c>
      <c r="B46" s="7"/>
      <c r="C46" s="6"/>
      <c r="D46" s="7"/>
      <c r="E46" s="7"/>
      <c r="F46" s="8"/>
      <c r="G46" s="8"/>
      <c r="H46" s="8"/>
      <c r="I46" s="8"/>
      <c r="J46" s="8"/>
      <c r="K46" s="8"/>
      <c r="L46" s="7"/>
    </row>
    <row r="47" spans="1:12" x14ac:dyDescent="0.25">
      <c r="A47" s="5">
        <f t="shared" si="0"/>
        <v>2.0036000000000076</v>
      </c>
      <c r="B47" s="6"/>
      <c r="C47" s="6"/>
      <c r="D47" s="7"/>
      <c r="E47" s="7"/>
      <c r="F47" s="8"/>
      <c r="G47" s="8"/>
      <c r="H47" s="8"/>
      <c r="I47" s="8"/>
      <c r="J47" s="8"/>
      <c r="K47" s="8"/>
      <c r="L47" s="7"/>
    </row>
    <row r="48" spans="1:12" x14ac:dyDescent="0.25">
      <c r="A48" s="5">
        <f t="shared" si="0"/>
        <v>2.0037000000000078</v>
      </c>
      <c r="B48" s="6"/>
      <c r="C48" s="6"/>
      <c r="D48" s="7"/>
      <c r="E48" s="7"/>
      <c r="F48" s="8"/>
      <c r="G48" s="8"/>
      <c r="H48" s="8"/>
      <c r="I48" s="8"/>
      <c r="J48" s="8"/>
      <c r="K48" s="8"/>
      <c r="L48" s="7"/>
    </row>
    <row r="49" spans="1:12" x14ac:dyDescent="0.25">
      <c r="A49" s="5">
        <f t="shared" si="0"/>
        <v>2.003800000000008</v>
      </c>
      <c r="B49" s="6"/>
      <c r="C49" s="6"/>
      <c r="D49" s="7"/>
      <c r="E49" s="7"/>
      <c r="F49" s="8"/>
      <c r="G49" s="8"/>
      <c r="H49" s="8"/>
      <c r="I49" s="8"/>
      <c r="J49" s="8"/>
      <c r="K49" s="8"/>
      <c r="L49" s="7"/>
    </row>
    <row r="50" spans="1:12" x14ac:dyDescent="0.25">
      <c r="A50" s="5">
        <f t="shared" si="0"/>
        <v>2.0039000000000082</v>
      </c>
      <c r="B50" s="6"/>
      <c r="C50" s="6"/>
      <c r="D50" s="7"/>
      <c r="E50" s="7"/>
      <c r="F50" s="8"/>
      <c r="G50" s="8"/>
      <c r="H50" s="8"/>
      <c r="I50" s="8"/>
      <c r="J50" s="8"/>
      <c r="K50" s="8"/>
      <c r="L50" s="7"/>
    </row>
    <row r="51" spans="1:12" x14ac:dyDescent="0.25">
      <c r="A51" s="5">
        <f t="shared" si="0"/>
        <v>2.0040000000000084</v>
      </c>
      <c r="B51" s="6"/>
      <c r="C51" s="6"/>
      <c r="D51" s="7"/>
      <c r="E51" s="7"/>
      <c r="F51" s="8"/>
      <c r="G51" s="8"/>
      <c r="H51" s="8"/>
      <c r="I51" s="8"/>
      <c r="J51" s="8"/>
      <c r="K51" s="8"/>
      <c r="L51" s="7"/>
    </row>
    <row r="52" spans="1:12" x14ac:dyDescent="0.25">
      <c r="A52" s="5">
        <f t="shared" si="0"/>
        <v>2.0041000000000087</v>
      </c>
      <c r="B52" s="7"/>
      <c r="C52" s="6"/>
      <c r="D52" s="7"/>
      <c r="E52" s="7"/>
      <c r="F52" s="8"/>
      <c r="G52" s="8"/>
      <c r="H52" s="8"/>
      <c r="I52" s="8"/>
      <c r="J52" s="8"/>
      <c r="K52" s="8"/>
      <c r="L52" s="7"/>
    </row>
    <row r="53" spans="1:12" x14ac:dyDescent="0.25">
      <c r="A53" s="5">
        <f t="shared" si="0"/>
        <v>2.0042000000000089</v>
      </c>
      <c r="B53" s="7"/>
      <c r="C53" s="6"/>
      <c r="D53" s="7"/>
      <c r="E53" s="7"/>
      <c r="F53" s="8"/>
      <c r="G53" s="8"/>
      <c r="H53" s="8"/>
      <c r="I53" s="8"/>
      <c r="J53" s="8"/>
      <c r="K53" s="8"/>
      <c r="L53" s="7"/>
    </row>
    <row r="54" spans="1:12" x14ac:dyDescent="0.25">
      <c r="A54" s="5">
        <f t="shared" si="0"/>
        <v>2.0043000000000091</v>
      </c>
      <c r="B54" s="7"/>
      <c r="C54" s="6"/>
      <c r="D54" s="7"/>
      <c r="E54" s="7"/>
      <c r="F54" s="8"/>
      <c r="G54" s="8"/>
      <c r="H54" s="8"/>
      <c r="I54" s="8"/>
      <c r="J54" s="8"/>
      <c r="K54" s="8"/>
      <c r="L54" s="7"/>
    </row>
    <row r="55" spans="1:12" ht="15.75" thickBot="1" x14ac:dyDescent="0.3">
      <c r="G55" s="2">
        <f>SUM(G2:G54)</f>
        <v>0</v>
      </c>
      <c r="H55" s="2">
        <f>SUM(H2:H54)</f>
        <v>0</v>
      </c>
      <c r="I55" s="2">
        <f>SUM(I2:I54)</f>
        <v>0</v>
      </c>
      <c r="J55" s="2">
        <f>SUM(J2:J54)</f>
        <v>0</v>
      </c>
      <c r="K55" s="2">
        <f>SUM(K2:K54)</f>
        <v>0</v>
      </c>
    </row>
    <row r="56" spans="1:12" ht="15.75" thickTop="1" x14ac:dyDescent="0.25"/>
  </sheetData>
  <conditionalFormatting sqref="A55:K74 B47:K54 A2:K8">
    <cfRule type="expression" dxfId="18" priority="19">
      <formula>$F2="Fail"</formula>
    </cfRule>
  </conditionalFormatting>
  <conditionalFormatting sqref="A9:K9 B34:K40 B14:K15 A14:A54 B13:C13 A10:E11 G10:K11 B16:C16 B33:C33">
    <cfRule type="expression" dxfId="17" priority="18">
      <formula>$F9="Fail"</formula>
    </cfRule>
  </conditionalFormatting>
  <conditionalFormatting sqref="B41:K46">
    <cfRule type="expression" dxfId="16" priority="17">
      <formula>$F41="Fail"</formula>
    </cfRule>
  </conditionalFormatting>
  <conditionalFormatting sqref="B26:K33 B25:C25 B34:C34">
    <cfRule type="expression" dxfId="15" priority="16">
      <formula>$F25="Fail"</formula>
    </cfRule>
  </conditionalFormatting>
  <conditionalFormatting sqref="B16:K19 B15:C15 B20:C20">
    <cfRule type="expression" dxfId="14" priority="15">
      <formula>$F15="Fail"</formula>
    </cfRule>
  </conditionalFormatting>
  <conditionalFormatting sqref="B19:C26 D20:K25">
    <cfRule type="expression" dxfId="13" priority="14">
      <formula>$F19="Fail"</formula>
    </cfRule>
  </conditionalFormatting>
  <conditionalFormatting sqref="A13:K13">
    <cfRule type="expression" dxfId="12" priority="13">
      <formula>$F13="Fail"</formula>
    </cfRule>
  </conditionalFormatting>
  <conditionalFormatting sqref="A12:K12">
    <cfRule type="expression" dxfId="11" priority="12">
      <formula>$F12="Fail"</formula>
    </cfRule>
  </conditionalFormatting>
  <conditionalFormatting sqref="B12:C12">
    <cfRule type="expression" dxfId="10" priority="11">
      <formula>$F12="Fail"</formula>
    </cfRule>
  </conditionalFormatting>
  <conditionalFormatting sqref="F10">
    <cfRule type="expression" dxfId="9" priority="10">
      <formula>$F10="Fail"</formula>
    </cfRule>
  </conditionalFormatting>
  <conditionalFormatting sqref="F11">
    <cfRule type="expression" dxfId="8" priority="9">
      <formula>$F11="Fail"</formula>
    </cfRule>
  </conditionalFormatting>
  <conditionalFormatting sqref="L47:L74 L2:L8">
    <cfRule type="expression" dxfId="7" priority="8">
      <formula>$F2="Fail"</formula>
    </cfRule>
  </conditionalFormatting>
  <conditionalFormatting sqref="L34:L40 L14:L15 L9:L11">
    <cfRule type="expression" dxfId="6" priority="7">
      <formula>$F9="Fail"</formula>
    </cfRule>
  </conditionalFormatting>
  <conditionalFormatting sqref="L41:L46">
    <cfRule type="expression" dxfId="5" priority="6">
      <formula>$F41="Fail"</formula>
    </cfRule>
  </conditionalFormatting>
  <conditionalFormatting sqref="L26:L33">
    <cfRule type="expression" dxfId="4" priority="5">
      <formula>$F26="Fail"</formula>
    </cfRule>
  </conditionalFormatting>
  <conditionalFormatting sqref="L16:L19">
    <cfRule type="expression" dxfId="3" priority="4">
      <formula>$F16="Fail"</formula>
    </cfRule>
  </conditionalFormatting>
  <conditionalFormatting sqref="L20:L25">
    <cfRule type="expression" dxfId="2" priority="3">
      <formula>$F20="Fail"</formula>
    </cfRule>
  </conditionalFormatting>
  <conditionalFormatting sqref="L13">
    <cfRule type="expression" dxfId="1" priority="2">
      <formula>$F13="Fail"</formula>
    </cfRule>
  </conditionalFormatting>
  <conditionalFormatting sqref="L12">
    <cfRule type="expression" dxfId="0" priority="1">
      <formula>$F12="Fail"</formula>
    </cfRule>
  </conditionalFormatting>
  <dataValidations count="1">
    <dataValidation type="list" allowBlank="1" showInputMessage="1" showErrorMessage="1" sqref="F2:F54">
      <formula1>$G$1:$K$1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ummary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8"/>
  <sheetViews>
    <sheetView workbookViewId="0">
      <selection activeCell="A9" sqref="A9"/>
    </sheetView>
  </sheetViews>
  <sheetFormatPr defaultRowHeight="15" x14ac:dyDescent="0.25"/>
  <sheetData>
    <row r="1" spans="1:2" x14ac:dyDescent="0.25">
      <c r="A1" t="s">
        <v>52</v>
      </c>
    </row>
    <row r="2" spans="1:2" x14ac:dyDescent="0.25">
      <c r="B2" t="s">
        <v>54</v>
      </c>
    </row>
    <row r="4" spans="1:2" x14ac:dyDescent="0.25">
      <c r="A4" t="s">
        <v>53</v>
      </c>
    </row>
    <row r="5" spans="1:2" x14ac:dyDescent="0.25">
      <c r="A5" t="s">
        <v>55</v>
      </c>
    </row>
    <row r="6" spans="1:2" x14ac:dyDescent="0.25">
      <c r="B6" t="s">
        <v>54</v>
      </c>
    </row>
    <row r="7" spans="1:2" x14ac:dyDescent="0.25">
      <c r="A7" t="s">
        <v>56</v>
      </c>
    </row>
    <row r="8" spans="1:2" x14ac:dyDescent="0.25">
      <c r="B8" t="s">
        <v>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Test Case</vt:lpstr>
      <vt:lpstr>2</vt:lpstr>
      <vt:lpstr>3</vt:lpstr>
      <vt:lpstr>4</vt:lpstr>
      <vt:lpstr>Sheet1</vt:lpstr>
    </vt:vector>
  </TitlesOfParts>
  <Company>Sanlam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Jannie Basson (SEB)</dc:creator>
  <cp:lastModifiedBy>Direro Ishmael (SC)</cp:lastModifiedBy>
  <dcterms:created xsi:type="dcterms:W3CDTF">2014-07-31T09:50:05Z</dcterms:created>
  <dcterms:modified xsi:type="dcterms:W3CDTF">2020-07-08T12:02:41Z</dcterms:modified>
</cp:coreProperties>
</file>