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225" windowWidth="20100" windowHeight="7680" activeTab="2"/>
  </bookViews>
  <sheets>
    <sheet name="Summary" sheetId="3" r:id="rId1"/>
    <sheet name="Batch Runs  - Daily " sheetId="4" r:id="rId2"/>
    <sheet name="Create Bank Account" sheetId="5" r:id="rId3"/>
    <sheet name="Adhoc - Merge Process" sheetId="6" r:id="rId4"/>
    <sheet name="Sheet1" sheetId="7" r:id="rId5"/>
  </sheets>
  <calcPr calcId="145621"/>
</workbook>
</file>

<file path=xl/calcChain.xml><?xml version="1.0" encoding="utf-8"?>
<calcChain xmlns="http://schemas.openxmlformats.org/spreadsheetml/2006/main">
  <c r="A89" i="6" l="1"/>
  <c r="K89" i="6"/>
  <c r="J89" i="6"/>
  <c r="I89" i="6"/>
  <c r="H89" i="6"/>
  <c r="G89" i="6"/>
  <c r="K88" i="6"/>
  <c r="J88" i="6"/>
  <c r="I88" i="6"/>
  <c r="H88" i="6"/>
  <c r="G88" i="6"/>
  <c r="K20" i="6" l="1"/>
  <c r="J20" i="6"/>
  <c r="I20" i="6"/>
  <c r="H20" i="6"/>
  <c r="G20" i="6"/>
  <c r="K18" i="6"/>
  <c r="J18" i="6"/>
  <c r="I18" i="6"/>
  <c r="H18" i="6"/>
  <c r="G18" i="6"/>
  <c r="K13" i="6"/>
  <c r="J13" i="6"/>
  <c r="I13" i="6"/>
  <c r="H13" i="6"/>
  <c r="G13" i="6"/>
  <c r="K12" i="6"/>
  <c r="J12" i="6"/>
  <c r="I12" i="6"/>
  <c r="H12" i="6"/>
  <c r="G12" i="6"/>
  <c r="K10" i="6"/>
  <c r="J10" i="6"/>
  <c r="I10" i="6"/>
  <c r="H10" i="6"/>
  <c r="G10" i="6"/>
  <c r="K85" i="6"/>
  <c r="J85" i="6"/>
  <c r="I85" i="6"/>
  <c r="H85" i="6"/>
  <c r="G85" i="6"/>
  <c r="K84" i="6"/>
  <c r="J84" i="6"/>
  <c r="I84" i="6"/>
  <c r="H84" i="6"/>
  <c r="G84" i="6"/>
  <c r="K83" i="6"/>
  <c r="J83" i="6"/>
  <c r="I83" i="6"/>
  <c r="H83" i="6"/>
  <c r="G83" i="6"/>
  <c r="K82" i="6"/>
  <c r="J82" i="6"/>
  <c r="I82" i="6"/>
  <c r="H82" i="6"/>
  <c r="G82" i="6"/>
  <c r="K81" i="6"/>
  <c r="J81" i="6"/>
  <c r="I81" i="6"/>
  <c r="H81" i="6"/>
  <c r="G81" i="6"/>
  <c r="K80" i="6"/>
  <c r="J80" i="6"/>
  <c r="I80" i="6"/>
  <c r="H80" i="6"/>
  <c r="G80" i="6"/>
  <c r="K79" i="6"/>
  <c r="J79" i="6"/>
  <c r="I79" i="6"/>
  <c r="H79" i="6"/>
  <c r="G79" i="6"/>
  <c r="K75" i="6"/>
  <c r="J75" i="6"/>
  <c r="I75" i="6"/>
  <c r="H75" i="6"/>
  <c r="G75" i="6"/>
  <c r="K74" i="6"/>
  <c r="J74" i="6"/>
  <c r="I74" i="6"/>
  <c r="H74" i="6"/>
  <c r="G74" i="6"/>
  <c r="K73" i="6"/>
  <c r="J73" i="6"/>
  <c r="I73" i="6"/>
  <c r="H73" i="6"/>
  <c r="G73" i="6"/>
  <c r="K72" i="6"/>
  <c r="J72" i="6"/>
  <c r="I72" i="6"/>
  <c r="H72" i="6"/>
  <c r="G72" i="6"/>
  <c r="K71" i="6"/>
  <c r="J71" i="6"/>
  <c r="I71" i="6"/>
  <c r="H71" i="6"/>
  <c r="G71" i="6"/>
  <c r="K70" i="6"/>
  <c r="J70" i="6"/>
  <c r="I70" i="6"/>
  <c r="H70" i="6"/>
  <c r="G70" i="6"/>
  <c r="K69" i="6"/>
  <c r="J69" i="6"/>
  <c r="I69" i="6"/>
  <c r="H69" i="6"/>
  <c r="G69" i="6"/>
  <c r="K68" i="6"/>
  <c r="J68" i="6"/>
  <c r="I68" i="6"/>
  <c r="H68" i="6"/>
  <c r="G68" i="6"/>
  <c r="K63" i="6"/>
  <c r="J63" i="6"/>
  <c r="I63" i="6"/>
  <c r="H63" i="6"/>
  <c r="G63" i="6"/>
  <c r="K62" i="6"/>
  <c r="J62" i="6"/>
  <c r="I62" i="6"/>
  <c r="H62" i="6"/>
  <c r="G62" i="6"/>
  <c r="K61" i="6"/>
  <c r="J61" i="6"/>
  <c r="I61" i="6"/>
  <c r="H61" i="6"/>
  <c r="G61" i="6"/>
  <c r="K60" i="6"/>
  <c r="J60" i="6"/>
  <c r="I60" i="6"/>
  <c r="H60" i="6"/>
  <c r="G60" i="6"/>
  <c r="K59" i="6"/>
  <c r="J59" i="6"/>
  <c r="I59" i="6"/>
  <c r="H59" i="6"/>
  <c r="G59" i="6"/>
  <c r="K58" i="6"/>
  <c r="J58" i="6"/>
  <c r="I58" i="6"/>
  <c r="H58" i="6"/>
  <c r="G58" i="6"/>
  <c r="K57" i="6"/>
  <c r="J57" i="6"/>
  <c r="I57" i="6"/>
  <c r="H57" i="6"/>
  <c r="G57" i="6"/>
  <c r="K56" i="6"/>
  <c r="J56" i="6"/>
  <c r="I56" i="6"/>
  <c r="H56" i="6"/>
  <c r="G56" i="6"/>
  <c r="K53" i="6"/>
  <c r="J53" i="6"/>
  <c r="I53" i="6"/>
  <c r="H53" i="6"/>
  <c r="G53" i="6"/>
  <c r="K52" i="6"/>
  <c r="J52" i="6"/>
  <c r="I52" i="6"/>
  <c r="H52" i="6"/>
  <c r="G52" i="6"/>
  <c r="K51" i="6"/>
  <c r="J51" i="6"/>
  <c r="I51" i="6"/>
  <c r="H51" i="6"/>
  <c r="G51" i="6"/>
  <c r="K50" i="6"/>
  <c r="J50" i="6"/>
  <c r="I50" i="6"/>
  <c r="H50" i="6"/>
  <c r="G50" i="6"/>
  <c r="K49" i="6"/>
  <c r="J49" i="6"/>
  <c r="I49" i="6"/>
  <c r="H49" i="6"/>
  <c r="G49" i="6"/>
  <c r="K48" i="6"/>
  <c r="J48" i="6"/>
  <c r="I48" i="6"/>
  <c r="H48" i="6"/>
  <c r="G48" i="6"/>
  <c r="K47" i="6"/>
  <c r="J47" i="6"/>
  <c r="I47" i="6"/>
  <c r="H47" i="6"/>
  <c r="G47" i="6"/>
  <c r="K46" i="6"/>
  <c r="J46" i="6"/>
  <c r="I46" i="6"/>
  <c r="H46" i="6"/>
  <c r="G46" i="6"/>
  <c r="K41" i="6"/>
  <c r="J41" i="6"/>
  <c r="I41" i="6"/>
  <c r="H41" i="6"/>
  <c r="G41" i="6"/>
  <c r="K39" i="6"/>
  <c r="J39" i="6"/>
  <c r="I39" i="6"/>
  <c r="H39" i="6"/>
  <c r="G39" i="6"/>
  <c r="K38" i="6"/>
  <c r="J38" i="6"/>
  <c r="I38" i="6"/>
  <c r="H38" i="6"/>
  <c r="G38" i="6"/>
  <c r="K37" i="6"/>
  <c r="J37" i="6"/>
  <c r="I37" i="6"/>
  <c r="H37" i="6"/>
  <c r="G37" i="6"/>
  <c r="K36" i="6"/>
  <c r="J36" i="6"/>
  <c r="I36" i="6"/>
  <c r="H36" i="6"/>
  <c r="G36" i="6"/>
  <c r="K35" i="6"/>
  <c r="J35" i="6"/>
  <c r="I35" i="6"/>
  <c r="H35" i="6"/>
  <c r="G35" i="6"/>
  <c r="K33" i="6"/>
  <c r="J33" i="6"/>
  <c r="I33" i="6"/>
  <c r="H33" i="6"/>
  <c r="G33" i="6"/>
  <c r="K30" i="6"/>
  <c r="J30" i="6"/>
  <c r="I30" i="6"/>
  <c r="H30" i="6"/>
  <c r="G30" i="6"/>
  <c r="K29" i="6"/>
  <c r="J29" i="6"/>
  <c r="I29" i="6"/>
  <c r="H29" i="6"/>
  <c r="G29" i="6"/>
  <c r="K27" i="6"/>
  <c r="J27" i="6"/>
  <c r="I27" i="6"/>
  <c r="H27" i="6"/>
  <c r="G27" i="6"/>
  <c r="K26" i="6"/>
  <c r="J26" i="6"/>
  <c r="I26" i="6"/>
  <c r="H26" i="6"/>
  <c r="G26" i="6"/>
  <c r="A3" i="5" l="1"/>
  <c r="A28" i="5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K52" i="5"/>
  <c r="J52" i="5"/>
  <c r="I52" i="5"/>
  <c r="H52" i="5"/>
  <c r="G52" i="5"/>
  <c r="K51" i="5"/>
  <c r="J51" i="5"/>
  <c r="I51" i="5"/>
  <c r="H51" i="5"/>
  <c r="G51" i="5"/>
  <c r="K50" i="5"/>
  <c r="J50" i="5"/>
  <c r="I50" i="5"/>
  <c r="H50" i="5"/>
  <c r="G50" i="5"/>
  <c r="K49" i="5"/>
  <c r="J49" i="5"/>
  <c r="I49" i="5"/>
  <c r="H49" i="5"/>
  <c r="G49" i="5"/>
  <c r="K48" i="5"/>
  <c r="J48" i="5"/>
  <c r="I48" i="5"/>
  <c r="H48" i="5"/>
  <c r="G48" i="5"/>
  <c r="K47" i="5"/>
  <c r="J47" i="5"/>
  <c r="I47" i="5"/>
  <c r="H47" i="5"/>
  <c r="G47" i="5"/>
  <c r="K46" i="5"/>
  <c r="J46" i="5"/>
  <c r="I46" i="5"/>
  <c r="H46" i="5"/>
  <c r="G46" i="5"/>
  <c r="K45" i="5"/>
  <c r="J45" i="5"/>
  <c r="I45" i="5"/>
  <c r="H45" i="5"/>
  <c r="G45" i="5"/>
  <c r="K44" i="5"/>
  <c r="J44" i="5"/>
  <c r="I44" i="5"/>
  <c r="H44" i="5"/>
  <c r="G44" i="5"/>
  <c r="K43" i="5"/>
  <c r="J43" i="5"/>
  <c r="I43" i="5"/>
  <c r="H43" i="5"/>
  <c r="G43" i="5"/>
  <c r="K42" i="5"/>
  <c r="J42" i="5"/>
  <c r="I42" i="5"/>
  <c r="H42" i="5"/>
  <c r="G42" i="5"/>
  <c r="K41" i="5"/>
  <c r="J41" i="5"/>
  <c r="I41" i="5"/>
  <c r="H41" i="5"/>
  <c r="G41" i="5"/>
  <c r="K40" i="5"/>
  <c r="J40" i="5"/>
  <c r="I40" i="5"/>
  <c r="H40" i="5"/>
  <c r="G40" i="5"/>
  <c r="K39" i="5"/>
  <c r="J39" i="5"/>
  <c r="I39" i="5"/>
  <c r="H39" i="5"/>
  <c r="G39" i="5"/>
  <c r="K38" i="5"/>
  <c r="J38" i="5"/>
  <c r="I38" i="5"/>
  <c r="H38" i="5"/>
  <c r="G38" i="5"/>
  <c r="K37" i="5"/>
  <c r="J37" i="5"/>
  <c r="I37" i="5"/>
  <c r="H37" i="5"/>
  <c r="G37" i="5"/>
  <c r="K36" i="5"/>
  <c r="J36" i="5"/>
  <c r="I36" i="5"/>
  <c r="H36" i="5"/>
  <c r="G36" i="5"/>
  <c r="K35" i="5"/>
  <c r="J35" i="5"/>
  <c r="I35" i="5"/>
  <c r="H35" i="5"/>
  <c r="G35" i="5"/>
  <c r="K34" i="5"/>
  <c r="J34" i="5"/>
  <c r="I34" i="5"/>
  <c r="H34" i="5"/>
  <c r="G34" i="5"/>
  <c r="K33" i="5"/>
  <c r="J33" i="5"/>
  <c r="I33" i="5"/>
  <c r="H33" i="5"/>
  <c r="G33" i="5"/>
  <c r="K32" i="5"/>
  <c r="J32" i="5"/>
  <c r="I32" i="5"/>
  <c r="H32" i="5"/>
  <c r="G32" i="5"/>
  <c r="K31" i="5"/>
  <c r="J31" i="5"/>
  <c r="I31" i="5"/>
  <c r="H31" i="5"/>
  <c r="G31" i="5"/>
  <c r="K30" i="5"/>
  <c r="J30" i="5"/>
  <c r="I30" i="5"/>
  <c r="H30" i="5"/>
  <c r="G30" i="5"/>
  <c r="K25" i="5"/>
  <c r="J25" i="5"/>
  <c r="I25" i="5"/>
  <c r="H25" i="5"/>
  <c r="G25" i="5"/>
  <c r="K24" i="5"/>
  <c r="J24" i="5"/>
  <c r="I24" i="5"/>
  <c r="H24" i="5"/>
  <c r="G24" i="5"/>
  <c r="K23" i="5"/>
  <c r="J23" i="5"/>
  <c r="I23" i="5"/>
  <c r="H23" i="5"/>
  <c r="G23" i="5"/>
  <c r="K22" i="5"/>
  <c r="J22" i="5"/>
  <c r="I22" i="5"/>
  <c r="H22" i="5"/>
  <c r="G22" i="5"/>
  <c r="K21" i="5"/>
  <c r="J21" i="5"/>
  <c r="I21" i="5"/>
  <c r="H21" i="5"/>
  <c r="G21" i="5"/>
  <c r="K20" i="5"/>
  <c r="J20" i="5"/>
  <c r="I20" i="5"/>
  <c r="H20" i="5"/>
  <c r="G20" i="5"/>
  <c r="K19" i="5"/>
  <c r="J19" i="5"/>
  <c r="I19" i="5"/>
  <c r="H19" i="5"/>
  <c r="G19" i="5"/>
  <c r="K18" i="5"/>
  <c r="J18" i="5"/>
  <c r="I18" i="5"/>
  <c r="H18" i="5"/>
  <c r="G18" i="5"/>
  <c r="K17" i="5"/>
  <c r="J17" i="5"/>
  <c r="I17" i="5"/>
  <c r="H17" i="5"/>
  <c r="G17" i="5"/>
  <c r="K16" i="5"/>
  <c r="J16" i="5"/>
  <c r="I16" i="5"/>
  <c r="H16" i="5"/>
  <c r="G16" i="5"/>
  <c r="K15" i="5"/>
  <c r="J15" i="5"/>
  <c r="I15" i="5"/>
  <c r="H15" i="5"/>
  <c r="G15" i="5"/>
  <c r="K14" i="5"/>
  <c r="J14" i="5"/>
  <c r="I14" i="5"/>
  <c r="H14" i="5"/>
  <c r="G14" i="5"/>
  <c r="K13" i="5"/>
  <c r="J13" i="5"/>
  <c r="I13" i="5"/>
  <c r="H13" i="5"/>
  <c r="G13" i="5"/>
  <c r="K12" i="5"/>
  <c r="J12" i="5"/>
  <c r="I12" i="5"/>
  <c r="H12" i="5"/>
  <c r="G12" i="5"/>
  <c r="K11" i="5"/>
  <c r="J11" i="5"/>
  <c r="I11" i="5"/>
  <c r="H11" i="5"/>
  <c r="G11" i="5"/>
  <c r="K10" i="5"/>
  <c r="J10" i="5"/>
  <c r="I10" i="5"/>
  <c r="H10" i="5"/>
  <c r="G10" i="5"/>
  <c r="K9" i="5"/>
  <c r="J9" i="5"/>
  <c r="I9" i="5"/>
  <c r="H9" i="5"/>
  <c r="G9" i="5"/>
  <c r="K8" i="5"/>
  <c r="J8" i="5"/>
  <c r="I8" i="5"/>
  <c r="H8" i="5"/>
  <c r="G8" i="5"/>
  <c r="K7" i="5"/>
  <c r="J7" i="5"/>
  <c r="I7" i="5"/>
  <c r="H7" i="5"/>
  <c r="G7" i="5"/>
  <c r="K6" i="5"/>
  <c r="J6" i="5"/>
  <c r="I6" i="5"/>
  <c r="H6" i="5"/>
  <c r="G6" i="5"/>
  <c r="K5" i="5"/>
  <c r="J5" i="5"/>
  <c r="I5" i="5"/>
  <c r="H5" i="5"/>
  <c r="G5" i="5"/>
  <c r="K4" i="5"/>
  <c r="J4" i="5"/>
  <c r="I4" i="5"/>
  <c r="H4" i="5"/>
  <c r="G4" i="5"/>
  <c r="K3" i="5"/>
  <c r="J3" i="5"/>
  <c r="I3" i="5"/>
  <c r="H3" i="5"/>
  <c r="G3" i="5"/>
  <c r="K29" i="5"/>
  <c r="J29" i="5"/>
  <c r="I29" i="5"/>
  <c r="H29" i="5"/>
  <c r="G29" i="5"/>
  <c r="K28" i="5"/>
  <c r="J28" i="5"/>
  <c r="I28" i="5"/>
  <c r="H28" i="5"/>
  <c r="G28" i="5"/>
  <c r="K5" i="4" l="1"/>
  <c r="J5" i="4"/>
  <c r="I5" i="4"/>
  <c r="H5" i="4"/>
  <c r="G5" i="4"/>
  <c r="K4" i="4"/>
  <c r="J4" i="4"/>
  <c r="I4" i="4"/>
  <c r="H4" i="4"/>
  <c r="G4" i="4"/>
  <c r="K3" i="4"/>
  <c r="J3" i="4"/>
  <c r="I3" i="4"/>
  <c r="H3" i="4"/>
  <c r="G3" i="4"/>
  <c r="K7" i="4"/>
  <c r="J7" i="4"/>
  <c r="I7" i="4"/>
  <c r="H7" i="4"/>
  <c r="G7" i="4"/>
  <c r="K9" i="4"/>
  <c r="J9" i="4"/>
  <c r="I9" i="4"/>
  <c r="H9" i="4"/>
  <c r="G9" i="4"/>
  <c r="K13" i="4"/>
  <c r="J13" i="4"/>
  <c r="I13" i="4"/>
  <c r="H13" i="4"/>
  <c r="G13" i="4"/>
  <c r="K12" i="4"/>
  <c r="J12" i="4"/>
  <c r="I12" i="4"/>
  <c r="H12" i="4"/>
  <c r="G12" i="4"/>
  <c r="K11" i="4"/>
  <c r="J11" i="4"/>
  <c r="I11" i="4"/>
  <c r="H11" i="4"/>
  <c r="G11" i="4"/>
  <c r="K22" i="4"/>
  <c r="J22" i="4"/>
  <c r="I22" i="4"/>
  <c r="H22" i="4"/>
  <c r="G22" i="4"/>
  <c r="K21" i="4"/>
  <c r="J21" i="4"/>
  <c r="I21" i="4"/>
  <c r="H21" i="4"/>
  <c r="G21" i="4"/>
  <c r="K20" i="4"/>
  <c r="J20" i="4"/>
  <c r="I20" i="4"/>
  <c r="H20" i="4"/>
  <c r="G20" i="4"/>
  <c r="K19" i="4"/>
  <c r="J19" i="4"/>
  <c r="I19" i="4"/>
  <c r="H19" i="4"/>
  <c r="G19" i="4"/>
  <c r="K18" i="4"/>
  <c r="J18" i="4"/>
  <c r="I18" i="4"/>
  <c r="H18" i="4"/>
  <c r="G18" i="4"/>
  <c r="K17" i="4"/>
  <c r="J17" i="4"/>
  <c r="I17" i="4"/>
  <c r="H17" i="4"/>
  <c r="G17" i="4"/>
  <c r="K16" i="4"/>
  <c r="J16" i="4"/>
  <c r="I16" i="4"/>
  <c r="H16" i="4"/>
  <c r="G16" i="4"/>
  <c r="K15" i="4"/>
  <c r="J15" i="4"/>
  <c r="I15" i="4"/>
  <c r="H15" i="4"/>
  <c r="G15" i="4"/>
  <c r="K24" i="4"/>
  <c r="J24" i="4"/>
  <c r="I24" i="4"/>
  <c r="H24" i="4"/>
  <c r="G24" i="4"/>
  <c r="K26" i="4"/>
  <c r="J26" i="4"/>
  <c r="I26" i="4"/>
  <c r="H26" i="4"/>
  <c r="G26" i="4"/>
  <c r="K27" i="4"/>
  <c r="J27" i="4"/>
  <c r="I27" i="4"/>
  <c r="H27" i="4"/>
  <c r="G27" i="4"/>
  <c r="A26" i="4"/>
  <c r="A11" i="4"/>
  <c r="K30" i="4" l="1"/>
  <c r="J30" i="4"/>
  <c r="I30" i="4"/>
  <c r="H30" i="4"/>
  <c r="G30" i="4"/>
  <c r="H90" i="6"/>
  <c r="D6" i="3" s="1"/>
  <c r="A4" i="6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K90" i="6"/>
  <c r="G6" i="3" s="1"/>
  <c r="J90" i="6"/>
  <c r="F6" i="3" s="1"/>
  <c r="I90" i="6"/>
  <c r="E6" i="3" s="1"/>
  <c r="G90" i="6"/>
  <c r="C6" i="3" s="1"/>
  <c r="H54" i="5"/>
  <c r="D5" i="3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K54" i="5"/>
  <c r="G5" i="3" s="1"/>
  <c r="J54" i="5"/>
  <c r="F5" i="3" s="1"/>
  <c r="I54" i="5"/>
  <c r="E5" i="3" s="1"/>
  <c r="G54" i="5"/>
  <c r="C5" i="3" s="1"/>
  <c r="K28" i="4"/>
  <c r="G4" i="3" s="1"/>
  <c r="J28" i="4"/>
  <c r="F4" i="3" s="1"/>
  <c r="I28" i="4"/>
  <c r="E4" i="3" s="1"/>
  <c r="H28" i="4"/>
  <c r="D4" i="3" s="1"/>
  <c r="G28" i="4"/>
  <c r="C4" i="3" s="1"/>
  <c r="A12" i="4"/>
  <c r="A13" i="4" s="1"/>
  <c r="A15" i="4" s="1"/>
  <c r="A16" i="4" s="1"/>
  <c r="A17" i="4" s="1"/>
  <c r="A7" i="4"/>
  <c r="A5" i="4"/>
  <c r="A4" i="4"/>
  <c r="H6" i="3" l="1"/>
  <c r="A22" i="4"/>
  <c r="A24" i="4" s="1"/>
  <c r="A27" i="4" s="1"/>
  <c r="A18" i="4"/>
  <c r="A19" i="4" s="1"/>
  <c r="A20" i="4" s="1"/>
  <c r="A21" i="4" s="1"/>
  <c r="H4" i="3"/>
  <c r="H5" i="3"/>
  <c r="A9" i="4"/>
  <c r="H3" i="3" l="1"/>
</calcChain>
</file>

<file path=xl/sharedStrings.xml><?xml version="1.0" encoding="utf-8"?>
<sst xmlns="http://schemas.openxmlformats.org/spreadsheetml/2006/main" count="380" uniqueCount="210">
  <si>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</si>
  <si>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</si>
  <si>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</si>
  <si>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</si>
  <si>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</si>
  <si>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</si>
  <si>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</si>
  <si>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</si>
  <si>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</si>
  <si>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</si>
  <si>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</si>
  <si>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</si>
  <si>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Data Dictionary</t>
  </si>
  <si>
    <t>Pricing</t>
  </si>
  <si>
    <t>Batch runs</t>
  </si>
  <si>
    <t>Manage bank account</t>
  </si>
  <si>
    <t>Import Prices from CURO</t>
  </si>
  <si>
    <r>
      <rPr>
        <b/>
        <sz val="10"/>
        <rFont val="Arial"/>
        <family val="2"/>
      </rPr>
      <t>Batch Runs</t>
    </r>
    <r>
      <rPr>
        <b/>
        <sz val="10"/>
        <color theme="0"/>
        <rFont val="Arial"/>
        <family val="2"/>
      </rPr>
      <t xml:space="preserve">  - Daily - 18h00 - 21h00</t>
    </r>
  </si>
  <si>
    <t>Validate and upload prices</t>
  </si>
  <si>
    <t xml:space="preserve">Batch Runs kicks off </t>
  </si>
  <si>
    <t>File to multidata</t>
  </si>
  <si>
    <t>File created for multidata</t>
  </si>
  <si>
    <t>File created successfully</t>
  </si>
  <si>
    <t>Interface to Walker</t>
  </si>
  <si>
    <t>Transactions interface to Walker</t>
  </si>
  <si>
    <t>Walker entries created in Walker file</t>
  </si>
  <si>
    <t>Price (apply) transaction successful</t>
  </si>
  <si>
    <t>Reports</t>
  </si>
  <si>
    <t>Walker unprocced / error report</t>
  </si>
  <si>
    <t>Checked before 12pm the next day</t>
  </si>
  <si>
    <t>Control Report - Acceptance and Rejection Reports</t>
  </si>
  <si>
    <t>Multidata Payment - Acceptance and Rejection Reports</t>
  </si>
  <si>
    <r>
      <rPr>
        <b/>
        <sz val="10"/>
        <rFont val="Arial"/>
        <family val="2"/>
      </rPr>
      <t>Batch Runs</t>
    </r>
    <r>
      <rPr>
        <b/>
        <sz val="10"/>
        <color theme="0"/>
        <rFont val="Arial"/>
        <family val="2"/>
      </rPr>
      <t xml:space="preserve">  - Monthly - Last working Day of the month</t>
    </r>
  </si>
  <si>
    <t>Exclusive Fee Batch run</t>
  </si>
  <si>
    <t>Calculate Fees</t>
  </si>
  <si>
    <t>Record and Process disinvestments</t>
  </si>
  <si>
    <t>Generate reports</t>
  </si>
  <si>
    <t>Calculate Bonus &amp; Fees</t>
  </si>
  <si>
    <t>Generate reports Book Value transaction</t>
  </si>
  <si>
    <t>Smoothed Bonus Guarantee fee Batch Run</t>
  </si>
  <si>
    <t>Portfolio level</t>
  </si>
  <si>
    <t>Smoothed Bonus and Fees Batch Run</t>
  </si>
  <si>
    <t>Run on 31 December</t>
  </si>
  <si>
    <r>
      <rPr>
        <b/>
        <sz val="10"/>
        <rFont val="Arial"/>
        <family val="2"/>
      </rPr>
      <t>Batch Runs</t>
    </r>
    <r>
      <rPr>
        <b/>
        <sz val="10"/>
        <color theme="0"/>
        <rFont val="Arial"/>
        <family val="2"/>
      </rPr>
      <t xml:space="preserve">  - Annually 31 December</t>
    </r>
  </si>
  <si>
    <r>
      <rPr>
        <b/>
        <sz val="10"/>
        <rFont val="Arial"/>
        <family val="2"/>
      </rPr>
      <t>Batch Runs</t>
    </r>
    <r>
      <rPr>
        <b/>
        <sz val="10"/>
        <color theme="0"/>
        <rFont val="Arial"/>
        <family val="2"/>
      </rPr>
      <t xml:space="preserve">  - Adhoc </t>
    </r>
  </si>
  <si>
    <t>Smoothed Bonus Merge (run when 2 portfolios merge)</t>
  </si>
  <si>
    <t>Run as required</t>
  </si>
  <si>
    <t>Cancel non-vested bonuses</t>
  </si>
  <si>
    <t>Smoothed Bonus Vesting of non-vested bonuses</t>
  </si>
  <si>
    <t>Maintain Bank Account</t>
  </si>
  <si>
    <t>Create Bank Account</t>
  </si>
  <si>
    <t>Client Bank Details should be displayed</t>
  </si>
  <si>
    <t>Account Number</t>
  </si>
  <si>
    <t>6 digit Bank code</t>
  </si>
  <si>
    <t>Account Type</t>
  </si>
  <si>
    <t>Search Button</t>
  </si>
  <si>
    <t>Validate Button</t>
  </si>
  <si>
    <t>Numerical field</t>
  </si>
  <si>
    <t>Capture Account Number = 0062278741808</t>
  </si>
  <si>
    <t>Pop-up menu should be displayed</t>
  </si>
  <si>
    <t>Should be populatd</t>
  </si>
  <si>
    <t>Should search for Account number and Branch code</t>
  </si>
  <si>
    <r>
      <t xml:space="preserve">Drop-down menu with, 
</t>
    </r>
    <r>
      <rPr>
        <b/>
        <sz val="10"/>
        <color theme="1"/>
        <rFont val="Arial"/>
        <family val="2"/>
      </rPr>
      <t xml:space="preserve"> Cheque - Default</t>
    </r>
    <r>
      <rPr>
        <sz val="10"/>
        <color theme="1"/>
        <rFont val="Arial"/>
        <family val="2"/>
      </rPr>
      <t xml:space="preserve">
 Savings
 Transmission
 Bond</t>
    </r>
  </si>
  <si>
    <t>If valid, it should list below in a table</t>
  </si>
  <si>
    <t>More details will be displayed</t>
  </si>
  <si>
    <t>Select button became available</t>
  </si>
  <si>
    <t>Click Select Button</t>
  </si>
  <si>
    <t>Pop-up menu should close</t>
  </si>
  <si>
    <t>Should Validate bank account details</t>
  </si>
  <si>
    <t>Should display more information below</t>
  </si>
  <si>
    <t>Is the current context client the bank account owner?</t>
  </si>
  <si>
    <t>Is the account holder an individual?</t>
  </si>
  <si>
    <t>Account Holder Name</t>
  </si>
  <si>
    <t>Company Registration Number</t>
  </si>
  <si>
    <t>Bank Account Status Change</t>
  </si>
  <si>
    <t>Status Note</t>
  </si>
  <si>
    <r>
      <t xml:space="preserve">Drop-down menu with,
 </t>
    </r>
    <r>
      <rPr>
        <b/>
        <sz val="10"/>
        <color theme="1"/>
        <rFont val="Arial"/>
        <family val="2"/>
      </rPr>
      <t>Not Verified - default</t>
    </r>
    <r>
      <rPr>
        <sz val="10"/>
        <color theme="1"/>
        <rFont val="Arial"/>
        <family val="2"/>
      </rPr>
      <t xml:space="preserve">
 Manual Verified</t>
    </r>
  </si>
  <si>
    <r>
      <t xml:space="preserve">Radio button: </t>
    </r>
    <r>
      <rPr>
        <b/>
        <sz val="10"/>
        <color theme="1"/>
        <rFont val="Arial"/>
        <family val="2"/>
      </rPr>
      <t>Yes</t>
    </r>
    <r>
      <rPr>
        <sz val="10"/>
        <color theme="1"/>
        <rFont val="Arial"/>
        <family val="2"/>
      </rPr>
      <t xml:space="preserve"> / No (Yes - default)</t>
    </r>
  </si>
  <si>
    <r>
      <t xml:space="preserve">Radio button: Yes / </t>
    </r>
    <r>
      <rPr>
        <b/>
        <sz val="10"/>
        <color theme="1"/>
        <rFont val="Arial"/>
        <family val="2"/>
      </rPr>
      <t>No</t>
    </r>
    <r>
      <rPr>
        <sz val="10"/>
        <color theme="1"/>
        <rFont val="Arial"/>
        <family val="2"/>
      </rPr>
      <t xml:space="preserve"> (No - default)</t>
    </r>
  </si>
  <si>
    <t>Yes</t>
  </si>
  <si>
    <t>No</t>
  </si>
  <si>
    <t>Not Verified</t>
  </si>
  <si>
    <t>Free text field</t>
  </si>
  <si>
    <t>Create Button</t>
  </si>
  <si>
    <t>Should create the bank account on current client</t>
  </si>
  <si>
    <t>Client Bank Account Created succesfully</t>
  </si>
  <si>
    <t>Go to Client Maintenance &gt; Bank Accounts &gt; Maintain</t>
  </si>
  <si>
    <t>Bank Account Maintain should be displayed</t>
  </si>
  <si>
    <t>Find By</t>
  </si>
  <si>
    <t>Drop-down menu with,</t>
  </si>
  <si>
    <t>Client Bank Accounts</t>
  </si>
  <si>
    <t>Bank Account Number</t>
  </si>
  <si>
    <t>ID Number</t>
  </si>
  <si>
    <t>Passport Number</t>
  </si>
  <si>
    <t>Select Client Bank Accounts</t>
  </si>
  <si>
    <t>Click Search Button</t>
  </si>
  <si>
    <t>Should return all bank accounts linked to this Client</t>
  </si>
  <si>
    <t>Select Bank Account</t>
  </si>
  <si>
    <t>Bank Account highlighted</t>
  </si>
  <si>
    <t>Cheque</t>
  </si>
  <si>
    <t>Suspended</t>
  </si>
  <si>
    <t>Blocked</t>
  </si>
  <si>
    <t>Bank Account Status</t>
  </si>
  <si>
    <t>Submit Button</t>
  </si>
  <si>
    <t>Pop-up window should close</t>
  </si>
  <si>
    <t>Pop-up Window should be displayed</t>
  </si>
  <si>
    <t>Manual Verified</t>
  </si>
  <si>
    <r>
      <t xml:space="preserve">Drop-down menu with,
 Not Verified - default
</t>
    </r>
    <r>
      <rPr>
        <b/>
        <sz val="10"/>
        <color theme="1"/>
        <rFont val="Arial"/>
        <family val="2"/>
      </rPr>
      <t xml:space="preserve"> Manual Verified</t>
    </r>
    <r>
      <rPr>
        <sz val="10"/>
        <color theme="1"/>
        <rFont val="Arial"/>
        <family val="2"/>
      </rPr>
      <t xml:space="preserve">
 Closed
 Invalid</t>
    </r>
  </si>
  <si>
    <t>Changed to Manual Verified</t>
  </si>
  <si>
    <t>Bank account successfully changed message should be displayed</t>
  </si>
  <si>
    <t>Exit Button</t>
  </si>
  <si>
    <t>Test Client 009</t>
  </si>
  <si>
    <t>Cannot be tested now</t>
  </si>
  <si>
    <t xml:space="preserve">acb vir betaaling </t>
  </si>
  <si>
    <t>batch job</t>
  </si>
  <si>
    <t xml:space="preserve">skryf acb </t>
  </si>
  <si>
    <t>Mail Box :bookkeeping rsa</t>
  </si>
  <si>
    <t>No payment via Multi data</t>
  </si>
  <si>
    <t>When Repurchase is done the payment type must be ACB and when Batch job is run, it creates a file for multidata
Mail Box :CORRESPONDENCE/KORRESPONDENSIE</t>
  </si>
  <si>
    <t>Refer to Reports Test Case</t>
  </si>
  <si>
    <t>Betsie - Not to be tested</t>
  </si>
  <si>
    <t>This Program is pending as has not been take over to CDA Yet. Please view email attachment- Riefat</t>
  </si>
  <si>
    <t>Please Refer to correct detailed Test Set in order to test this process</t>
  </si>
  <si>
    <t>Pre-requisites:</t>
  </si>
  <si>
    <t>Ensure that the Person that will be requested to Run the Batch is aware of the process</t>
  </si>
  <si>
    <t xml:space="preserve">Ensure that there are prices loaded </t>
  </si>
  <si>
    <t>Client Loaded</t>
  </si>
  <si>
    <t>Load Client - Test Mineworkers Provident Fund</t>
  </si>
  <si>
    <t>Ensure that the following Portfolios exists</t>
  </si>
  <si>
    <t xml:space="preserve">Check the CBA History </t>
  </si>
  <si>
    <t>Check that a CBA Balance Exists - Mineworkers SBP</t>
  </si>
  <si>
    <t>A CBA Balance must exist for this portfolio</t>
  </si>
  <si>
    <t>Take note of the Amount</t>
  </si>
  <si>
    <t>Check that a CBA Balance Exists - Stable Bonus Portfolio</t>
  </si>
  <si>
    <t>A CBA Balance may or may not exist for this portfolio</t>
  </si>
  <si>
    <t>This Portfolio may or may not contains assets</t>
  </si>
  <si>
    <t>NB: If a balance does not exist then create a balance</t>
  </si>
  <si>
    <t>The user at this point is already fimiliar with checking the values and CBA history</t>
  </si>
  <si>
    <t>Client 1  - Test Mineworkers / Maxiflex</t>
  </si>
  <si>
    <t>Client 2 - Test SANTAM Aftreefonds B</t>
  </si>
  <si>
    <t xml:space="preserve">Add Portfolio Mineworkers SBP </t>
  </si>
  <si>
    <t>Mineworkers SBP added to Client 2</t>
  </si>
  <si>
    <t>Create a Balance for Mineworkers SBP</t>
  </si>
  <si>
    <t>Balance Created</t>
  </si>
  <si>
    <t xml:space="preserve">For Client 2 - Ensure that the user knows how to add a Portfolio </t>
  </si>
  <si>
    <t>Ensure that a Stable Bonus Portfolio Exists</t>
  </si>
  <si>
    <t>Stable Bonus Portfolio exists</t>
  </si>
  <si>
    <t>Request Adhoc Merge Process to be Run</t>
  </si>
  <si>
    <t>Send and Email to the person responsible to intiating the Batch Jobs</t>
  </si>
  <si>
    <t>Currently Daphne kicks of these jobs</t>
  </si>
  <si>
    <t>The following Parameters must be provided in order to be parsed to the job</t>
  </si>
  <si>
    <t>Stable Bonus Portfolio   -  VJ</t>
  </si>
  <si>
    <t>For Company  -  600</t>
  </si>
  <si>
    <t>Mineworkers SBP     -  W8</t>
  </si>
  <si>
    <t>Date    -  Current / System Date</t>
  </si>
  <si>
    <r>
      <rPr>
        <b/>
        <sz val="10"/>
        <color theme="1"/>
        <rFont val="Arial"/>
        <family val="2"/>
      </rPr>
      <t>Parameter 1 -</t>
    </r>
    <r>
      <rPr>
        <sz val="10"/>
        <color theme="1"/>
        <rFont val="Arial"/>
        <family val="2"/>
      </rPr>
      <t xml:space="preserve"> The Company  Code</t>
    </r>
  </si>
  <si>
    <r>
      <rPr>
        <b/>
        <sz val="10"/>
        <color theme="1"/>
        <rFont val="Arial"/>
        <family val="2"/>
      </rPr>
      <t xml:space="preserve">Parameter 2 </t>
    </r>
    <r>
      <rPr>
        <sz val="10"/>
        <color theme="1"/>
        <rFont val="Arial"/>
        <family val="2"/>
      </rPr>
      <t>- Mineworkers SBP Trust Code</t>
    </r>
  </si>
  <si>
    <r>
      <rPr>
        <b/>
        <sz val="10"/>
        <color theme="1"/>
        <rFont val="Arial"/>
        <family val="2"/>
      </rPr>
      <t>Parameter 3</t>
    </r>
    <r>
      <rPr>
        <sz val="10"/>
        <color theme="1"/>
        <rFont val="Arial"/>
        <family val="2"/>
      </rPr>
      <t xml:space="preserve"> - Stable Bonus Portfolio Trust Code</t>
    </r>
  </si>
  <si>
    <r>
      <rPr>
        <b/>
        <sz val="10"/>
        <color theme="1"/>
        <rFont val="Arial"/>
        <family val="2"/>
      </rPr>
      <t>Parameter 4</t>
    </r>
    <r>
      <rPr>
        <sz val="10"/>
        <color theme="1"/>
        <rFont val="Arial"/>
        <family val="2"/>
      </rPr>
      <t xml:space="preserve"> - Current / System Date</t>
    </r>
  </si>
  <si>
    <t>The email will inform the user that the Ad-hoc Merge Process is complete</t>
  </si>
  <si>
    <t>The job is kicked off and a response email is sent back by Daphne</t>
  </si>
  <si>
    <t>Follow the previous steps</t>
  </si>
  <si>
    <t>Ensure that you take screenshot Prior to running the Batch Job and once the batch job is complete</t>
  </si>
  <si>
    <t xml:space="preserve">Tranasction History displayed </t>
  </si>
  <si>
    <t>Details for Merge Displayed</t>
  </si>
  <si>
    <r>
      <t xml:space="preserve">Process date: </t>
    </r>
    <r>
      <rPr>
        <sz val="10"/>
        <color theme="1"/>
        <rFont val="Arial"/>
        <family val="2"/>
      </rPr>
      <t>Current System Date</t>
    </r>
  </si>
  <si>
    <r>
      <t xml:space="preserve">Price Date: </t>
    </r>
    <r>
      <rPr>
        <sz val="10"/>
        <color theme="1"/>
        <rFont val="Arial"/>
        <family val="2"/>
      </rPr>
      <t>Reflects the Date transaction was captured</t>
    </r>
  </si>
  <si>
    <t>This must contain a balance</t>
  </si>
  <si>
    <r>
      <rPr>
        <b/>
        <sz val="10"/>
        <color theme="1"/>
        <rFont val="Arial"/>
        <family val="2"/>
      </rPr>
      <t>The from Portfolio -</t>
    </r>
    <r>
      <rPr>
        <sz val="10"/>
        <color theme="1"/>
        <rFont val="Arial"/>
        <family val="2"/>
      </rPr>
      <t xml:space="preserve"> Mineworkers SBP</t>
    </r>
  </si>
  <si>
    <t>This Amount is moving out of the Mineworkers Portfolion</t>
  </si>
  <si>
    <t>Merge Transction (410/89)</t>
  </si>
  <si>
    <r>
      <t>Tranasction:</t>
    </r>
    <r>
      <rPr>
        <sz val="10"/>
        <color theme="1"/>
        <rFont val="Arial"/>
        <family val="2"/>
      </rPr>
      <t xml:space="preserve"> Reflects the Type of Tranaction - Merge</t>
    </r>
  </si>
  <si>
    <t>Click the item entry for the FROM portfolio</t>
  </si>
  <si>
    <t>Gross Amount - Must show negative that the Money is moving out</t>
  </si>
  <si>
    <t>Balance - Must show Zero</t>
  </si>
  <si>
    <r>
      <rPr>
        <sz val="10"/>
        <color theme="1"/>
        <rFont val="Arial"/>
        <family val="2"/>
      </rPr>
      <t>Verify Tranasction History &gt;</t>
    </r>
    <r>
      <rPr>
        <b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Click Transaction History Button</t>
    </r>
  </si>
  <si>
    <t>Verify CBA History &gt; Click Client Maintenance &gt; CBA History</t>
  </si>
  <si>
    <t>Search on the latest dates</t>
  </si>
  <si>
    <t>CBA Amount - Must show negative that the Money is moving out</t>
  </si>
  <si>
    <t>From Portfolio - Transaction History CBA History and Merge Codes</t>
  </si>
  <si>
    <t>Transaction History for from Portfolio</t>
  </si>
  <si>
    <t>CBA History Lookup for from Portfolio</t>
  </si>
  <si>
    <t>Target Portfolio - Transaction History CBA History and Merge Codes</t>
  </si>
  <si>
    <t>Merge Transction (411/89)</t>
  </si>
  <si>
    <t>This Amount is in to Stable Bonus Portfolio</t>
  </si>
  <si>
    <t xml:space="preserve">CBA History Lookup for Target Portfolio </t>
  </si>
  <si>
    <t>Transaction History for Target Portfolio</t>
  </si>
  <si>
    <t>This CBA Amount is in to Stable Bonus Portfolio</t>
  </si>
  <si>
    <t>This CBA Amount is moving out of the Mineworkers Portfolion</t>
  </si>
  <si>
    <t>Gross Amount - Reflects  Amount moving from Mineworkers</t>
  </si>
  <si>
    <t>Balance - Current Balance + Amount coming in</t>
  </si>
  <si>
    <t>Merged Amount &gt;</t>
  </si>
  <si>
    <t>CBA Amount -  Reflects  Amount moving from Mineworkers</t>
  </si>
  <si>
    <t>Balance - Current CBA Balance + CBA Amount coming in</t>
  </si>
  <si>
    <t xml:space="preserve">Merged CBA Amount &gt; </t>
  </si>
  <si>
    <t>Adhoc-Merge Process</t>
  </si>
  <si>
    <t>Verification -  Accounting</t>
  </si>
  <si>
    <t xml:space="preserve"> Accounting Files - </t>
  </si>
  <si>
    <t>Refer to the Output file generated on the Walker System when Batch is completed</t>
  </si>
  <si>
    <r>
      <t xml:space="preserve"> Accouting Output must be verified : </t>
    </r>
    <r>
      <rPr>
        <b/>
        <sz val="10"/>
        <rFont val="Arial"/>
        <family val="2"/>
      </rPr>
      <t xml:space="preserve">GF902  ] Book Value
, GF903  ], PE503  ] CBA Balance,PE512  ],GP005  ] Book Value, GP003  ] , GH000  ] Book Value + CBA Balance , JE002  ]
</t>
    </r>
  </si>
  <si>
    <t>Refer to Accounting Smoothed Bonus Migation - Migration from PEN Monthly to SCI Daily</t>
  </si>
  <si>
    <t>Refer to Accounting Smoothed Bonus Merge - Transfer of Non-Vesting Bonuses</t>
  </si>
  <si>
    <r>
      <t xml:space="preserve"> Accouting Output must be verified : </t>
    </r>
    <r>
      <rPr>
        <b/>
        <sz val="10"/>
        <rFont val="Arial"/>
        <family val="2"/>
      </rPr>
      <t>PE512  ] CBA balance of ‘Closed’ portfolio, PE512  ] CBA balance to ‘Open’ portfolio</t>
    </r>
  </si>
  <si>
    <t>Navigational Path - Client Maintenance &gt; Create &gt; Fund Record</t>
  </si>
  <si>
    <t>Check the CBA History for Both Portfolios in this Client</t>
  </si>
  <si>
    <t>Capture6 didgit  Branch Code = 251545</t>
  </si>
  <si>
    <t>Go to Client Maintenance &gt; Create &gt;Create Bank details</t>
  </si>
  <si>
    <r>
      <rPr>
        <b/>
        <sz val="10"/>
        <color theme="1"/>
        <rFont val="Arial"/>
        <family val="2"/>
      </rPr>
      <t xml:space="preserve">The Target Portfolio - </t>
    </r>
    <r>
      <rPr>
        <sz val="10"/>
        <color theme="1"/>
        <rFont val="Arial"/>
        <family val="2"/>
      </rPr>
      <t>Stable Bonus Portfolio</t>
    </r>
  </si>
  <si>
    <t>Navigational Path - Client Enquiries&gt; CBA History Enquiry</t>
  </si>
  <si>
    <t>Speak To olga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</si>
</sst>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trike/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b/>
      <u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wrapText="1"/>
    </xf>
    <xf numFmtId="0" fontId="1" fillId="3" borderId="2" xfId="0" applyFont="1" applyFill="1" applyBorder="1" applyAlignment="1">
      <alignment horizontal="left" vertical="center" wrapText="1"/>
    </xf>
    <xf numFmtId="164" fontId="2" fillId="2" borderId="2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64" fontId="6" fillId="5" borderId="2" xfId="0" applyNumberFormat="1" applyFont="1" applyFill="1" applyBorder="1" applyAlignment="1">
      <alignment vertical="center" wrapText="1"/>
    </xf>
    <xf numFmtId="0" fontId="6" fillId="5" borderId="2" xfId="0" applyFont="1" applyFill="1" applyBorder="1" applyAlignment="1">
      <alignment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1" fillId="0" borderId="2" xfId="0" quotePrefix="1" applyFont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vertical="center" wrapText="1"/>
    </xf>
    <xf numFmtId="164" fontId="1" fillId="3" borderId="3" xfId="0" applyNumberFormat="1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 wrapText="1"/>
    </xf>
    <xf numFmtId="0" fontId="9" fillId="0" borderId="4" xfId="0" applyFont="1" applyBorder="1" applyAlignment="1">
      <alignment vertical="center" wrapText="1"/>
    </xf>
    <xf numFmtId="0" fontId="1" fillId="3" borderId="4" xfId="0" applyFont="1" applyFill="1" applyBorder="1" applyAlignment="1">
      <alignment horizontal="left" vertical="center" wrapText="1"/>
    </xf>
    <xf numFmtId="0" fontId="1" fillId="0" borderId="4" xfId="0" applyFont="1" applyBorder="1" applyAlignment="1">
      <alignment vertical="center" wrapText="1"/>
    </xf>
    <xf numFmtId="0" fontId="1" fillId="3" borderId="4" xfId="0" applyFont="1" applyFill="1" applyBorder="1" applyAlignment="1">
      <alignment vertical="center" wrapText="1"/>
    </xf>
    <xf numFmtId="0" fontId="0" fillId="0" borderId="4" xfId="0" applyBorder="1" applyAlignment="1">
      <alignment wrapText="1"/>
    </xf>
    <xf numFmtId="164" fontId="1" fillId="3" borderId="5" xfId="0" applyNumberFormat="1" applyFont="1" applyFill="1" applyBorder="1" applyAlignment="1">
      <alignment vertical="center" wrapText="1"/>
    </xf>
    <xf numFmtId="164" fontId="1" fillId="3" borderId="8" xfId="0" applyNumberFormat="1" applyFont="1" applyFill="1" applyBorder="1" applyAlignment="1">
      <alignment vertical="center" wrapText="1"/>
    </xf>
    <xf numFmtId="0" fontId="1" fillId="3" borderId="9" xfId="0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 indent="1"/>
    </xf>
    <xf numFmtId="0" fontId="1" fillId="3" borderId="10" xfId="0" applyFont="1" applyFill="1" applyBorder="1" applyAlignment="1">
      <alignment horizontal="left" vertical="center" wrapText="1" indent="1"/>
    </xf>
    <xf numFmtId="0" fontId="1" fillId="3" borderId="10" xfId="0" applyFont="1" applyFill="1" applyBorder="1" applyAlignment="1">
      <alignment vertical="center" wrapText="1"/>
    </xf>
    <xf numFmtId="0" fontId="1" fillId="3" borderId="4" xfId="0" applyFont="1" applyFill="1" applyBorder="1" applyAlignment="1">
      <alignment horizontal="left" vertical="center" wrapText="1" indent="1"/>
    </xf>
    <xf numFmtId="0" fontId="1" fillId="3" borderId="7" xfId="0" applyFont="1" applyFill="1" applyBorder="1" applyAlignment="1">
      <alignment horizontal="left" vertical="center" wrapText="1"/>
    </xf>
    <xf numFmtId="164" fontId="1" fillId="0" borderId="5" xfId="0" applyNumberFormat="1" applyFont="1" applyFill="1" applyBorder="1" applyAlignment="1">
      <alignment vertical="center" wrapText="1"/>
    </xf>
    <xf numFmtId="0" fontId="1" fillId="0" borderId="6" xfId="0" applyFont="1" applyFill="1" applyBorder="1" applyAlignment="1">
      <alignment vertical="center" wrapText="1"/>
    </xf>
    <xf numFmtId="0" fontId="1" fillId="0" borderId="6" xfId="0" applyFont="1" applyFill="1" applyBorder="1" applyAlignment="1">
      <alignment horizontal="left" vertical="center" wrapText="1"/>
    </xf>
    <xf numFmtId="0" fontId="0" fillId="0" borderId="6" xfId="0" applyFill="1" applyBorder="1" applyAlignment="1">
      <alignment wrapText="1"/>
    </xf>
    <xf numFmtId="0" fontId="1" fillId="0" borderId="7" xfId="0" applyFont="1" applyFill="1" applyBorder="1" applyAlignment="1">
      <alignment vertical="center" wrapText="1"/>
    </xf>
    <xf numFmtId="0" fontId="0" fillId="0" borderId="0" xfId="0" applyFill="1" applyAlignment="1">
      <alignment wrapText="1"/>
    </xf>
    <xf numFmtId="164" fontId="0" fillId="0" borderId="0" xfId="0" applyNumberFormat="1" applyFill="1" applyAlignment="1">
      <alignment wrapText="1"/>
    </xf>
    <xf numFmtId="0" fontId="3" fillId="0" borderId="1" xfId="0" applyFont="1" applyFill="1" applyBorder="1" applyAlignment="1">
      <alignment wrapText="1"/>
    </xf>
    <xf numFmtId="0" fontId="1" fillId="7" borderId="2" xfId="0" applyFont="1" applyFill="1" applyBorder="1" applyAlignment="1">
      <alignment vertical="center" wrapText="1"/>
    </xf>
    <xf numFmtId="0" fontId="7" fillId="7" borderId="2" xfId="0" applyFont="1" applyFill="1" applyBorder="1" applyAlignment="1">
      <alignment vertical="center" wrapText="1"/>
    </xf>
    <xf numFmtId="0" fontId="1" fillId="8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wrapText="1"/>
    </xf>
    <xf numFmtId="0" fontId="0" fillId="8" borderId="0" xfId="0" applyFill="1" applyAlignment="1">
      <alignment wrapText="1"/>
    </xf>
    <xf numFmtId="0" fontId="12" fillId="8" borderId="2" xfId="0" applyFont="1" applyFill="1" applyBorder="1" applyAlignment="1">
      <alignment vertical="center" wrapText="1"/>
    </xf>
    <xf numFmtId="0" fontId="6" fillId="8" borderId="2" xfId="0" applyFont="1" applyFill="1" applyBorder="1" applyAlignment="1">
      <alignment vertical="center" wrapText="1"/>
    </xf>
    <xf numFmtId="0" fontId="1" fillId="0" borderId="2" xfId="0" applyFont="1" applyFill="1" applyBorder="1" applyAlignment="1">
      <alignment vertical="center" wrapText="1"/>
    </xf>
    <xf numFmtId="0" fontId="10" fillId="8" borderId="2" xfId="0" applyFont="1" applyFill="1" applyBorder="1" applyAlignment="1">
      <alignment wrapText="1"/>
    </xf>
    <xf numFmtId="0" fontId="10" fillId="8" borderId="0" xfId="0" applyFont="1" applyFill="1" applyAlignment="1">
      <alignment wrapText="1"/>
    </xf>
    <xf numFmtId="0" fontId="13" fillId="0" borderId="2" xfId="0" applyFont="1" applyBorder="1" applyAlignment="1">
      <alignment vertical="center" wrapText="1"/>
    </xf>
    <xf numFmtId="0" fontId="0" fillId="0" borderId="2" xfId="0" applyFill="1" applyBorder="1" applyAlignment="1">
      <alignment wrapText="1"/>
    </xf>
    <xf numFmtId="0" fontId="9" fillId="3" borderId="2" xfId="0" applyFont="1" applyFill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11" fillId="0" borderId="2" xfId="0" applyFont="1" applyBorder="1" applyAlignment="1">
      <alignment vertical="center" wrapText="1"/>
    </xf>
    <xf numFmtId="0" fontId="11" fillId="0" borderId="2" xfId="0" applyFont="1" applyFill="1" applyBorder="1" applyAlignment="1">
      <alignment vertical="center" wrapText="1"/>
    </xf>
    <xf numFmtId="0" fontId="11" fillId="7" borderId="2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vertical="center" wrapText="1"/>
    </xf>
    <xf numFmtId="0" fontId="7" fillId="5" borderId="2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0" fillId="5" borderId="2" xfId="0" applyFill="1" applyBorder="1" applyAlignment="1">
      <alignment wrapText="1"/>
    </xf>
    <xf numFmtId="0" fontId="0" fillId="5" borderId="0" xfId="0" applyFill="1" applyAlignment="1">
      <alignment wrapText="1"/>
    </xf>
    <xf numFmtId="0" fontId="2" fillId="6" borderId="2" xfId="0" applyFont="1" applyFill="1" applyBorder="1" applyAlignment="1">
      <alignment horizontal="center" vertical="center" wrapText="1"/>
    </xf>
    <xf numFmtId="0" fontId="0" fillId="3" borderId="0" xfId="0" applyFont="1" applyFill="1"/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horizontal="left" vertical="center" wrapText="1"/>
    </xf>
    <xf numFmtId="0" fontId="11" fillId="0" borderId="2" xfId="0" applyFont="1" applyFill="1" applyBorder="1" applyAlignment="1">
      <alignment horizontal="left" vertical="center" wrapText="1"/>
    </xf>
  </cellXfs>
  <cellStyles count="1">
    <cellStyle name="Normal" xfId="0" builtinId="0"/>
  </cellStyles>
  <dxfs count="120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</xdr:row>
          <xdr:rowOff>57150</xdr:rowOff>
        </xdr:from>
        <xdr:to>
          <xdr:col>0</xdr:col>
          <xdr:colOff>581025</xdr:colOff>
          <xdr:row>7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581025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9525</xdr:rowOff>
        </xdr:from>
        <xdr:to>
          <xdr:col>0</xdr:col>
          <xdr:colOff>581025</xdr:colOff>
          <xdr:row>3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9525</xdr:rowOff>
        </xdr:from>
        <xdr:to>
          <xdr:col>0</xdr:col>
          <xdr:colOff>581025</xdr:colOff>
          <xdr:row>4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9525</xdr:rowOff>
        </xdr:from>
        <xdr:to>
          <xdr:col>0</xdr:col>
          <xdr:colOff>581025</xdr:colOff>
          <xdr:row>5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19050</xdr:rowOff>
        </xdr:from>
        <xdr:to>
          <xdr:col>12</xdr:col>
          <xdr:colOff>85725</xdr:colOff>
          <xdr:row>26</xdr:row>
          <xdr:rowOff>47625</xdr:rowOff>
        </xdr:to>
        <xdr:sp macro="" textlink="">
          <xdr:nvSpPr>
            <xdr:cNvPr id="5123" name="Object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2038350</xdr:colOff>
          <xdr:row>0</xdr:row>
          <xdr:rowOff>66675</xdr:rowOff>
        </xdr:from>
        <xdr:to>
          <xdr:col>2</xdr:col>
          <xdr:colOff>2581275</xdr:colOff>
          <xdr:row>0</xdr:row>
          <xdr:rowOff>304800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32</xdr:row>
          <xdr:rowOff>57150</xdr:rowOff>
        </xdr:from>
        <xdr:to>
          <xdr:col>3</xdr:col>
          <xdr:colOff>2609850</xdr:colOff>
          <xdr:row>34</xdr:row>
          <xdr:rowOff>171450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6"/>
  <sheetViews>
    <sheetView zoomScaleNormal="100" workbookViewId="0">
      <selection activeCell="G3" sqref="G3"/>
    </sheetView>
  </sheetViews>
  <sheetFormatPr defaultColWidth="9.140625" defaultRowHeight="15" x14ac:dyDescent="0.25"/>
  <cols>
    <col min="1" max="1" width="9.140625" style="3"/>
    <col min="2" max="2" width="31.7109375" style="3" customWidth="1"/>
    <col min="3" max="8" width="15" style="3" customWidth="1"/>
    <col min="9" max="16384" width="9.140625" style="3"/>
  </cols>
  <sheetData>
    <row r="2" spans="2:8" x14ac:dyDescent="0.25">
      <c r="B2" s="13"/>
      <c r="C2" s="13" t="s">
        <v>5</v>
      </c>
      <c r="D2" s="13" t="s">
        <v>6</v>
      </c>
      <c r="E2" s="13" t="s">
        <v>9</v>
      </c>
      <c r="F2" s="13" t="s">
        <v>7</v>
      </c>
      <c r="G2" s="13" t="s">
        <v>8</v>
      </c>
      <c r="H2" s="13" t="s">
        <v>10</v>
      </c>
    </row>
    <row r="3" spans="2:8" x14ac:dyDescent="0.25">
      <c r="B3" s="23" t="s">
        <v>13</v>
      </c>
      <c r="C3" s="24">
        <v>0</v>
      </c>
      <c r="D3" s="24">
        <v>0</v>
      </c>
      <c r="E3" s="24">
        <v>0</v>
      </c>
      <c r="F3" s="24">
        <v>0</v>
      </c>
      <c r="G3" s="24">
        <v>0</v>
      </c>
      <c r="H3" s="24">
        <f>SUM(C3:E3)</f>
        <v>0</v>
      </c>
    </row>
    <row r="4" spans="2:8" x14ac:dyDescent="0.25">
      <c r="B4" s="22" t="s">
        <v>14</v>
      </c>
      <c r="C4" s="14">
        <f>'Batch Runs  - Daily '!G28</f>
        <v>0</v>
      </c>
      <c r="D4" s="14">
        <f>'Batch Runs  - Daily '!H28</f>
        <v>0</v>
      </c>
      <c r="E4" s="14">
        <f>'Batch Runs  - Daily '!I28</f>
        <v>0</v>
      </c>
      <c r="F4" s="15">
        <f>'Batch Runs  - Daily '!J28</f>
        <v>9</v>
      </c>
      <c r="G4" s="15">
        <f>'Batch Runs  - Daily '!K28</f>
        <v>10</v>
      </c>
      <c r="H4" s="14">
        <f t="shared" ref="H4:H6" si="0">SUM(C4:E4)</f>
        <v>0</v>
      </c>
    </row>
    <row r="5" spans="2:8" x14ac:dyDescent="0.25">
      <c r="B5" s="22" t="s">
        <v>15</v>
      </c>
      <c r="C5" s="14">
        <f>'Create Bank Account'!G54</f>
        <v>23</v>
      </c>
      <c r="D5" s="14">
        <f>'Create Bank Account'!H54</f>
        <v>0</v>
      </c>
      <c r="E5" s="14">
        <f>'Create Bank Account'!I54</f>
        <v>0</v>
      </c>
      <c r="F5" s="15">
        <f>'Create Bank Account'!J54</f>
        <v>0</v>
      </c>
      <c r="G5" s="15">
        <f>'Create Bank Account'!K54</f>
        <v>0</v>
      </c>
      <c r="H5" s="14">
        <f t="shared" si="0"/>
        <v>23</v>
      </c>
    </row>
    <row r="6" spans="2:8" s="72" customFormat="1" x14ac:dyDescent="0.25">
      <c r="B6" s="13" t="s">
        <v>195</v>
      </c>
      <c r="C6" s="71">
        <f>'Adhoc - Merge Process'!G90</f>
        <v>9</v>
      </c>
      <c r="D6" s="71">
        <f>'Adhoc - Merge Process'!H90</f>
        <v>0</v>
      </c>
      <c r="E6" s="71">
        <f>'Adhoc - Merge Process'!I90</f>
        <v>38</v>
      </c>
      <c r="F6" s="71">
        <f>'Adhoc - Merge Process'!J90</f>
        <v>0</v>
      </c>
      <c r="G6" s="71">
        <f>'Adhoc - Merge Process'!K90</f>
        <v>2</v>
      </c>
      <c r="H6" s="71">
        <f t="shared" si="0"/>
        <v>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6</xdr:row>
                    <xdr:rowOff>57150</xdr:rowOff>
                  </from>
                  <to>
                    <xdr:col>0</xdr:col>
                    <xdr:colOff>581025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_Click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0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2_Click">
                <anchor mov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0</xdr:col>
                    <xdr:colOff>581025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3_Click">
                <anchor mov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_Click">
                <anchor moveWithCells="1">
                  <from>
                    <xdr:col>0</xdr:col>
                    <xdr:colOff>38100</xdr:colOff>
                    <xdr:row>5</xdr:row>
                    <xdr:rowOff>9525</xdr:rowOff>
                  </from>
                  <to>
                    <xdr:col>0</xdr:col>
                    <xdr:colOff>581025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45"/>
  <sheetViews>
    <sheetView topLeftCell="B1" zoomScaleNormal="100" workbookViewId="0">
      <pane ySplit="1" topLeftCell="A2" activePane="bottomLeft" state="frozen"/>
      <selection pane="bottomLeft" activeCell="F9" sqref="F9"/>
    </sheetView>
  </sheetViews>
  <sheetFormatPr defaultColWidth="9.140625"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 t="s">
        <v>17</v>
      </c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5">
        <v>1</v>
      </c>
      <c r="B3" s="6" t="s">
        <v>16</v>
      </c>
      <c r="C3" s="9"/>
      <c r="D3" s="6"/>
      <c r="E3" s="6"/>
      <c r="F3" s="8" t="s">
        <v>7</v>
      </c>
      <c r="G3" s="8">
        <f t="shared" ref="G3:K5" si="0">IF($F3=G$1,1,0)</f>
        <v>0</v>
      </c>
      <c r="H3" s="8">
        <f t="shared" si="0"/>
        <v>0</v>
      </c>
      <c r="I3" s="8">
        <f t="shared" si="0"/>
        <v>0</v>
      </c>
      <c r="J3" s="8">
        <f t="shared" si="0"/>
        <v>1</v>
      </c>
      <c r="K3" s="8">
        <f t="shared" si="0"/>
        <v>0</v>
      </c>
      <c r="L3" s="7"/>
    </row>
    <row r="4" spans="1:12" x14ac:dyDescent="0.25">
      <c r="A4" s="5">
        <f t="shared" ref="A4:A27" si="1">A3+0.0001</f>
        <v>1.0001</v>
      </c>
      <c r="B4" s="9" t="s">
        <v>18</v>
      </c>
      <c r="C4" s="9"/>
      <c r="D4" s="7"/>
      <c r="E4" s="6"/>
      <c r="F4" s="8" t="s">
        <v>7</v>
      </c>
      <c r="G4" s="8">
        <f t="shared" si="0"/>
        <v>0</v>
      </c>
      <c r="H4" s="8">
        <f t="shared" si="0"/>
        <v>0</v>
      </c>
      <c r="I4" s="8">
        <f t="shared" si="0"/>
        <v>0</v>
      </c>
      <c r="J4" s="8">
        <f t="shared" si="0"/>
        <v>1</v>
      </c>
      <c r="K4" s="8">
        <f t="shared" si="0"/>
        <v>0</v>
      </c>
      <c r="L4" s="7"/>
    </row>
    <row r="5" spans="1:12" x14ac:dyDescent="0.25">
      <c r="A5" s="5">
        <f t="shared" si="1"/>
        <v>1.0002</v>
      </c>
      <c r="B5" s="6" t="s">
        <v>19</v>
      </c>
      <c r="C5" s="6" t="s">
        <v>26</v>
      </c>
      <c r="D5" s="6"/>
      <c r="E5" s="6"/>
      <c r="F5" s="8" t="s">
        <v>7</v>
      </c>
      <c r="G5" s="8">
        <f t="shared" si="0"/>
        <v>0</v>
      </c>
      <c r="H5" s="8">
        <f t="shared" si="0"/>
        <v>0</v>
      </c>
      <c r="I5" s="8">
        <f t="shared" si="0"/>
        <v>0</v>
      </c>
      <c r="J5" s="8">
        <f t="shared" si="0"/>
        <v>1</v>
      </c>
      <c r="K5" s="8">
        <f t="shared" si="0"/>
        <v>0</v>
      </c>
      <c r="L5" s="7"/>
    </row>
    <row r="6" spans="1:12" s="20" customFormat="1" x14ac:dyDescent="0.25">
      <c r="A6" s="16">
        <v>2</v>
      </c>
      <c r="B6" s="17" t="s">
        <v>20</v>
      </c>
      <c r="C6" s="18"/>
      <c r="D6" s="17"/>
      <c r="E6" s="17"/>
      <c r="F6" s="19"/>
      <c r="G6" s="19"/>
      <c r="H6" s="19"/>
      <c r="I6" s="19"/>
      <c r="J6" s="19"/>
      <c r="K6" s="19"/>
      <c r="L6" s="17"/>
    </row>
    <row r="7" spans="1:12" ht="76.5" x14ac:dyDescent="0.25">
      <c r="A7" s="5">
        <f t="shared" si="1"/>
        <v>2.0001000000000002</v>
      </c>
      <c r="B7" s="6" t="s">
        <v>21</v>
      </c>
      <c r="C7" s="7" t="s">
        <v>22</v>
      </c>
      <c r="D7" s="7" t="s">
        <v>118</v>
      </c>
      <c r="E7" s="6"/>
      <c r="F7" s="8" t="s">
        <v>7</v>
      </c>
      <c r="G7" s="8">
        <f t="shared" ref="G7:K13" si="2">IF($F7=G$1,1,0)</f>
        <v>0</v>
      </c>
      <c r="H7" s="8">
        <f t="shared" si="2"/>
        <v>0</v>
      </c>
      <c r="I7" s="8">
        <f t="shared" si="2"/>
        <v>0</v>
      </c>
      <c r="J7" s="8">
        <f t="shared" si="2"/>
        <v>1</v>
      </c>
      <c r="K7" s="8">
        <f t="shared" si="2"/>
        <v>0</v>
      </c>
      <c r="L7" s="7"/>
    </row>
    <row r="8" spans="1:12" s="20" customFormat="1" x14ac:dyDescent="0.25">
      <c r="A8" s="16">
        <v>3</v>
      </c>
      <c r="B8" s="17" t="s">
        <v>23</v>
      </c>
      <c r="C8" s="18"/>
      <c r="D8" s="17"/>
      <c r="E8" s="17"/>
      <c r="F8" s="19"/>
      <c r="G8" s="19"/>
      <c r="H8" s="19"/>
      <c r="I8" s="19"/>
      <c r="J8" s="19"/>
      <c r="K8" s="19"/>
      <c r="L8" s="17"/>
    </row>
    <row r="9" spans="1:12" x14ac:dyDescent="0.25">
      <c r="A9" s="5">
        <f t="shared" si="1"/>
        <v>3.0001000000000002</v>
      </c>
      <c r="B9" s="6" t="s">
        <v>24</v>
      </c>
      <c r="C9" s="9" t="s">
        <v>25</v>
      </c>
      <c r="D9" s="7" t="s">
        <v>116</v>
      </c>
      <c r="E9" s="6"/>
      <c r="F9" s="8" t="s">
        <v>7</v>
      </c>
      <c r="G9" s="8">
        <f t="shared" si="2"/>
        <v>0</v>
      </c>
      <c r="H9" s="8">
        <f t="shared" si="2"/>
        <v>0</v>
      </c>
      <c r="I9" s="8">
        <f t="shared" si="2"/>
        <v>0</v>
      </c>
      <c r="J9" s="8">
        <f t="shared" si="2"/>
        <v>1</v>
      </c>
      <c r="K9" s="8">
        <f t="shared" si="2"/>
        <v>0</v>
      </c>
      <c r="L9" s="7"/>
    </row>
    <row r="10" spans="1:12" s="20" customFormat="1" x14ac:dyDescent="0.25">
      <c r="A10" s="16">
        <v>4</v>
      </c>
      <c r="B10" s="17" t="s">
        <v>27</v>
      </c>
      <c r="C10" s="18"/>
      <c r="D10" s="17"/>
      <c r="E10" s="17"/>
      <c r="F10" s="19"/>
      <c r="G10" s="19"/>
      <c r="H10" s="19"/>
      <c r="I10" s="19"/>
      <c r="J10" s="19"/>
      <c r="K10" s="19"/>
      <c r="L10" s="17"/>
    </row>
    <row r="11" spans="1:12" ht="25.5" x14ac:dyDescent="0.25">
      <c r="A11" s="5">
        <f>A10+0.0001</f>
        <v>4.0000999999999998</v>
      </c>
      <c r="B11" s="6" t="s">
        <v>30</v>
      </c>
      <c r="C11" s="6" t="s">
        <v>29</v>
      </c>
      <c r="D11" s="21"/>
      <c r="E11" s="6" t="s">
        <v>119</v>
      </c>
      <c r="F11" s="8" t="s">
        <v>7</v>
      </c>
      <c r="G11" s="8">
        <f t="shared" si="2"/>
        <v>0</v>
      </c>
      <c r="H11" s="8">
        <f t="shared" si="2"/>
        <v>0</v>
      </c>
      <c r="I11" s="8">
        <f t="shared" si="2"/>
        <v>0</v>
      </c>
      <c r="J11" s="8">
        <f t="shared" si="2"/>
        <v>1</v>
      </c>
      <c r="K11" s="8">
        <f t="shared" si="2"/>
        <v>0</v>
      </c>
      <c r="L11" s="7"/>
    </row>
    <row r="12" spans="1:12" ht="25.5" x14ac:dyDescent="0.25">
      <c r="A12" s="5">
        <f t="shared" si="1"/>
        <v>4.0001999999999995</v>
      </c>
      <c r="B12" s="7" t="s">
        <v>28</v>
      </c>
      <c r="C12" s="6"/>
      <c r="D12" s="7"/>
      <c r="E12" s="6" t="s">
        <v>119</v>
      </c>
      <c r="F12" s="8" t="s">
        <v>7</v>
      </c>
      <c r="G12" s="8">
        <f t="shared" si="2"/>
        <v>0</v>
      </c>
      <c r="H12" s="8">
        <f t="shared" si="2"/>
        <v>0</v>
      </c>
      <c r="I12" s="8">
        <f t="shared" si="2"/>
        <v>0</v>
      </c>
      <c r="J12" s="8">
        <f t="shared" si="2"/>
        <v>1</v>
      </c>
      <c r="K12" s="8">
        <f t="shared" si="2"/>
        <v>0</v>
      </c>
      <c r="L12" s="7"/>
    </row>
    <row r="13" spans="1:12" ht="25.5" x14ac:dyDescent="0.25">
      <c r="A13" s="5">
        <f t="shared" si="1"/>
        <v>4.0002999999999993</v>
      </c>
      <c r="B13" s="6" t="s">
        <v>31</v>
      </c>
      <c r="C13" s="6"/>
      <c r="D13" s="7"/>
      <c r="E13" s="7" t="s">
        <v>117</v>
      </c>
      <c r="F13" s="8" t="s">
        <v>8</v>
      </c>
      <c r="G13" s="8">
        <f t="shared" si="2"/>
        <v>0</v>
      </c>
      <c r="H13" s="8">
        <f t="shared" si="2"/>
        <v>0</v>
      </c>
      <c r="I13" s="8">
        <f t="shared" si="2"/>
        <v>0</v>
      </c>
      <c r="J13" s="8">
        <f t="shared" si="2"/>
        <v>0</v>
      </c>
      <c r="K13" s="8">
        <f t="shared" si="2"/>
        <v>1</v>
      </c>
      <c r="L13" s="7"/>
    </row>
    <row r="14" spans="1:12" s="20" customFormat="1" ht="25.5" x14ac:dyDescent="0.25">
      <c r="A14" s="16">
        <v>5</v>
      </c>
      <c r="B14" s="17" t="s">
        <v>32</v>
      </c>
      <c r="C14" s="18"/>
      <c r="D14" s="17"/>
      <c r="E14" s="17"/>
      <c r="F14" s="19"/>
      <c r="G14" s="19"/>
      <c r="H14" s="19"/>
      <c r="I14" s="19"/>
      <c r="J14" s="19"/>
      <c r="K14" s="19"/>
      <c r="L14" s="17"/>
    </row>
    <row r="15" spans="1:12" x14ac:dyDescent="0.25">
      <c r="A15" s="5">
        <f t="shared" si="1"/>
        <v>5.0000999999999998</v>
      </c>
      <c r="B15" s="6" t="s">
        <v>33</v>
      </c>
      <c r="C15" s="6" t="s">
        <v>34</v>
      </c>
      <c r="D15" s="7"/>
      <c r="E15" s="7" t="s">
        <v>112</v>
      </c>
      <c r="F15" s="8" t="s">
        <v>8</v>
      </c>
      <c r="G15" s="8">
        <f t="shared" ref="G15:K22" si="3">IF($F15=G$1,1,0)</f>
        <v>0</v>
      </c>
      <c r="H15" s="8">
        <f t="shared" si="3"/>
        <v>0</v>
      </c>
      <c r="I15" s="8">
        <f t="shared" si="3"/>
        <v>0</v>
      </c>
      <c r="J15" s="8">
        <f t="shared" si="3"/>
        <v>0</v>
      </c>
      <c r="K15" s="8">
        <f t="shared" si="3"/>
        <v>1</v>
      </c>
      <c r="L15" s="7"/>
    </row>
    <row r="16" spans="1:12" x14ac:dyDescent="0.25">
      <c r="A16" s="5">
        <f t="shared" si="1"/>
        <v>5.0001999999999995</v>
      </c>
      <c r="B16" s="6"/>
      <c r="C16" s="6" t="s">
        <v>35</v>
      </c>
      <c r="D16" s="7"/>
      <c r="E16" s="7" t="s">
        <v>112</v>
      </c>
      <c r="F16" s="8" t="s">
        <v>8</v>
      </c>
      <c r="G16" s="8">
        <f t="shared" si="3"/>
        <v>0</v>
      </c>
      <c r="H16" s="8">
        <f t="shared" si="3"/>
        <v>0</v>
      </c>
      <c r="I16" s="8">
        <f t="shared" si="3"/>
        <v>0</v>
      </c>
      <c r="J16" s="8">
        <f t="shared" si="3"/>
        <v>0</v>
      </c>
      <c r="K16" s="8">
        <f t="shared" si="3"/>
        <v>1</v>
      </c>
      <c r="L16" s="7"/>
    </row>
    <row r="17" spans="1:12" x14ac:dyDescent="0.25">
      <c r="A17" s="5">
        <f t="shared" si="1"/>
        <v>5.0002999999999993</v>
      </c>
      <c r="B17" s="6"/>
      <c r="C17" s="6" t="s">
        <v>36</v>
      </c>
      <c r="D17" s="7"/>
      <c r="E17" s="7" t="s">
        <v>112</v>
      </c>
      <c r="F17" s="8" t="s">
        <v>8</v>
      </c>
      <c r="G17" s="8">
        <f t="shared" si="3"/>
        <v>0</v>
      </c>
      <c r="H17" s="8">
        <f t="shared" si="3"/>
        <v>0</v>
      </c>
      <c r="I17" s="8">
        <f t="shared" si="3"/>
        <v>0</v>
      </c>
      <c r="J17" s="8">
        <f t="shared" si="3"/>
        <v>0</v>
      </c>
      <c r="K17" s="8">
        <f t="shared" si="3"/>
        <v>1</v>
      </c>
      <c r="L17" s="7"/>
    </row>
    <row r="18" spans="1:12" x14ac:dyDescent="0.25">
      <c r="A18" s="5">
        <f t="shared" si="1"/>
        <v>5.0003999999999991</v>
      </c>
      <c r="B18" s="6" t="s">
        <v>41</v>
      </c>
      <c r="C18" s="6" t="s">
        <v>37</v>
      </c>
      <c r="D18" s="7"/>
      <c r="E18" s="7" t="s">
        <v>112</v>
      </c>
      <c r="F18" s="8" t="s">
        <v>8</v>
      </c>
      <c r="G18" s="8">
        <f t="shared" si="3"/>
        <v>0</v>
      </c>
      <c r="H18" s="8">
        <f t="shared" si="3"/>
        <v>0</v>
      </c>
      <c r="I18" s="8">
        <f t="shared" si="3"/>
        <v>0</v>
      </c>
      <c r="J18" s="8">
        <f t="shared" si="3"/>
        <v>0</v>
      </c>
      <c r="K18" s="8">
        <f t="shared" si="3"/>
        <v>1</v>
      </c>
      <c r="L18" s="7"/>
    </row>
    <row r="19" spans="1:12" x14ac:dyDescent="0.25">
      <c r="A19" s="5">
        <f t="shared" si="1"/>
        <v>5.0004999999999988</v>
      </c>
      <c r="B19" s="6"/>
      <c r="C19" s="6" t="s">
        <v>38</v>
      </c>
      <c r="D19" s="7"/>
      <c r="E19" s="7" t="s">
        <v>112</v>
      </c>
      <c r="F19" s="8" t="s">
        <v>8</v>
      </c>
      <c r="G19" s="8">
        <f t="shared" si="3"/>
        <v>0</v>
      </c>
      <c r="H19" s="8">
        <f t="shared" si="3"/>
        <v>0</v>
      </c>
      <c r="I19" s="8">
        <f t="shared" si="3"/>
        <v>0</v>
      </c>
      <c r="J19" s="8">
        <f t="shared" si="3"/>
        <v>0</v>
      </c>
      <c r="K19" s="8">
        <f t="shared" si="3"/>
        <v>1</v>
      </c>
      <c r="L19" s="7"/>
    </row>
    <row r="20" spans="1:12" x14ac:dyDescent="0.25">
      <c r="A20" s="5">
        <f t="shared" si="1"/>
        <v>5.0005999999999986</v>
      </c>
      <c r="B20" s="6"/>
      <c r="C20" s="6" t="s">
        <v>36</v>
      </c>
      <c r="D20" s="7"/>
      <c r="E20" s="7" t="s">
        <v>112</v>
      </c>
      <c r="F20" s="8" t="s">
        <v>8</v>
      </c>
      <c r="G20" s="8">
        <f t="shared" si="3"/>
        <v>0</v>
      </c>
      <c r="H20" s="8">
        <f t="shared" si="3"/>
        <v>0</v>
      </c>
      <c r="I20" s="8">
        <f t="shared" si="3"/>
        <v>0</v>
      </c>
      <c r="J20" s="8">
        <f t="shared" si="3"/>
        <v>0</v>
      </c>
      <c r="K20" s="8">
        <f t="shared" si="3"/>
        <v>1</v>
      </c>
      <c r="L20" s="7"/>
    </row>
    <row r="21" spans="1:12" x14ac:dyDescent="0.25">
      <c r="A21" s="5">
        <f t="shared" si="1"/>
        <v>5.0006999999999984</v>
      </c>
      <c r="B21" s="6" t="s">
        <v>39</v>
      </c>
      <c r="C21" s="6" t="s">
        <v>40</v>
      </c>
      <c r="D21" s="7"/>
      <c r="E21" s="7" t="s">
        <v>112</v>
      </c>
      <c r="F21" s="8" t="s">
        <v>8</v>
      </c>
      <c r="G21" s="8">
        <f t="shared" si="3"/>
        <v>0</v>
      </c>
      <c r="H21" s="8">
        <f t="shared" si="3"/>
        <v>0</v>
      </c>
      <c r="I21" s="8">
        <f t="shared" si="3"/>
        <v>0</v>
      </c>
      <c r="J21" s="8">
        <f t="shared" si="3"/>
        <v>0</v>
      </c>
      <c r="K21" s="8">
        <f t="shared" si="3"/>
        <v>1</v>
      </c>
      <c r="L21" s="7"/>
    </row>
    <row r="22" spans="1:12" x14ac:dyDescent="0.25">
      <c r="A22" s="5">
        <f t="shared" si="1"/>
        <v>5.0007999999999981</v>
      </c>
      <c r="B22" s="7"/>
      <c r="C22" s="6" t="s">
        <v>36</v>
      </c>
      <c r="D22" s="7"/>
      <c r="E22" s="7" t="s">
        <v>112</v>
      </c>
      <c r="F22" s="8" t="s">
        <v>8</v>
      </c>
      <c r="G22" s="8">
        <f t="shared" si="3"/>
        <v>0</v>
      </c>
      <c r="H22" s="8">
        <f t="shared" si="3"/>
        <v>0</v>
      </c>
      <c r="I22" s="8">
        <f t="shared" si="3"/>
        <v>0</v>
      </c>
      <c r="J22" s="8">
        <f t="shared" si="3"/>
        <v>0</v>
      </c>
      <c r="K22" s="8">
        <f t="shared" si="3"/>
        <v>1</v>
      </c>
      <c r="L22" s="7"/>
    </row>
    <row r="23" spans="1:12" s="20" customFormat="1" x14ac:dyDescent="0.25">
      <c r="A23" s="16">
        <v>5</v>
      </c>
      <c r="B23" s="17" t="s">
        <v>43</v>
      </c>
      <c r="C23" s="18"/>
      <c r="D23" s="17"/>
      <c r="E23" s="17"/>
      <c r="F23" s="19"/>
      <c r="G23" s="19"/>
      <c r="H23" s="19"/>
      <c r="I23" s="19"/>
      <c r="J23" s="19"/>
      <c r="K23" s="19"/>
      <c r="L23" s="17"/>
    </row>
    <row r="24" spans="1:12" x14ac:dyDescent="0.25">
      <c r="A24" s="5">
        <f t="shared" si="1"/>
        <v>5.0000999999999998</v>
      </c>
      <c r="B24" s="6" t="s">
        <v>48</v>
      </c>
      <c r="C24" s="6" t="s">
        <v>42</v>
      </c>
      <c r="D24" s="7"/>
      <c r="E24" s="7" t="s">
        <v>112</v>
      </c>
      <c r="F24" s="8" t="s">
        <v>8</v>
      </c>
      <c r="G24" s="8">
        <f t="shared" ref="G24:K27" si="4">IF($F24=G$1,1,0)</f>
        <v>0</v>
      </c>
      <c r="H24" s="8">
        <f t="shared" si="4"/>
        <v>0</v>
      </c>
      <c r="I24" s="8">
        <f t="shared" si="4"/>
        <v>0</v>
      </c>
      <c r="J24" s="8">
        <f t="shared" si="4"/>
        <v>0</v>
      </c>
      <c r="K24" s="8">
        <f t="shared" si="4"/>
        <v>1</v>
      </c>
      <c r="L24" s="7"/>
    </row>
    <row r="25" spans="1:12" s="20" customFormat="1" x14ac:dyDescent="0.25">
      <c r="A25" s="16">
        <v>6</v>
      </c>
      <c r="B25" s="17" t="s">
        <v>44</v>
      </c>
      <c r="C25" s="18"/>
      <c r="D25" s="17"/>
      <c r="E25" s="17"/>
      <c r="F25" s="19"/>
      <c r="G25" s="19"/>
      <c r="H25" s="19"/>
      <c r="I25" s="19"/>
      <c r="J25" s="19"/>
      <c r="K25" s="19"/>
      <c r="L25" s="17"/>
    </row>
    <row r="26" spans="1:12" ht="38.25" x14ac:dyDescent="0.25">
      <c r="A26" s="5">
        <f t="shared" si="1"/>
        <v>6.0000999999999998</v>
      </c>
      <c r="B26" s="6" t="s">
        <v>47</v>
      </c>
      <c r="C26" s="6" t="s">
        <v>46</v>
      </c>
      <c r="D26" s="7" t="s">
        <v>121</v>
      </c>
      <c r="E26" s="7" t="s">
        <v>112</v>
      </c>
      <c r="F26" s="8" t="s">
        <v>7</v>
      </c>
      <c r="G26" s="8">
        <f t="shared" si="4"/>
        <v>0</v>
      </c>
      <c r="H26" s="8">
        <f t="shared" si="4"/>
        <v>0</v>
      </c>
      <c r="I26" s="8">
        <f t="shared" si="4"/>
        <v>0</v>
      </c>
      <c r="J26" s="8">
        <f t="shared" si="4"/>
        <v>1</v>
      </c>
      <c r="K26" s="8">
        <f t="shared" si="4"/>
        <v>0</v>
      </c>
      <c r="L26" s="7"/>
    </row>
    <row r="27" spans="1:12" ht="25.5" x14ac:dyDescent="0.25">
      <c r="A27" s="5">
        <f t="shared" si="1"/>
        <v>6.0001999999999995</v>
      </c>
      <c r="B27" s="6" t="s">
        <v>45</v>
      </c>
      <c r="C27" s="6" t="s">
        <v>46</v>
      </c>
      <c r="D27" s="49" t="s">
        <v>122</v>
      </c>
      <c r="E27" s="7" t="s">
        <v>120</v>
      </c>
      <c r="F27" s="8" t="s">
        <v>7</v>
      </c>
      <c r="G27" s="8">
        <f t="shared" si="4"/>
        <v>0</v>
      </c>
      <c r="H27" s="8">
        <f t="shared" si="4"/>
        <v>0</v>
      </c>
      <c r="I27" s="8">
        <f t="shared" si="4"/>
        <v>0</v>
      </c>
      <c r="J27" s="8">
        <f t="shared" si="4"/>
        <v>1</v>
      </c>
      <c r="K27" s="8">
        <f t="shared" si="4"/>
        <v>0</v>
      </c>
      <c r="L27" s="7"/>
    </row>
    <row r="28" spans="1:12" ht="15.75" thickBot="1" x14ac:dyDescent="0.3">
      <c r="G28" s="2">
        <f>SUM(G2:G27)</f>
        <v>0</v>
      </c>
      <c r="H28" s="2">
        <f>SUM(H2:H27)</f>
        <v>0</v>
      </c>
      <c r="I28" s="2">
        <f>SUM(I2:I27)</f>
        <v>0</v>
      </c>
      <c r="J28" s="2">
        <f>SUM(J2:J27)</f>
        <v>9</v>
      </c>
      <c r="K28" s="2">
        <f>SUM(K2:K27)</f>
        <v>10</v>
      </c>
    </row>
    <row r="29" spans="1:12" ht="15.75" thickTop="1" x14ac:dyDescent="0.25"/>
    <row r="30" spans="1:12" x14ac:dyDescent="0.25">
      <c r="G30" s="8">
        <f t="shared" ref="G30:K30" si="5">IF($F30=G$1,1,0)</f>
        <v>0</v>
      </c>
      <c r="H30" s="8">
        <f t="shared" si="5"/>
        <v>0</v>
      </c>
      <c r="I30" s="8">
        <f t="shared" si="5"/>
        <v>1</v>
      </c>
      <c r="J30" s="8">
        <f t="shared" si="5"/>
        <v>0</v>
      </c>
      <c r="K30" s="8">
        <f t="shared" si="5"/>
        <v>0</v>
      </c>
    </row>
    <row r="43" spans="2:2" x14ac:dyDescent="0.25">
      <c r="B43" s="1" t="s">
        <v>113</v>
      </c>
    </row>
    <row r="44" spans="2:2" x14ac:dyDescent="0.25">
      <c r="B44" s="1" t="s">
        <v>114</v>
      </c>
    </row>
    <row r="45" spans="2:2" x14ac:dyDescent="0.25">
      <c r="B45" s="1" t="s">
        <v>115</v>
      </c>
    </row>
  </sheetData>
  <conditionalFormatting sqref="A28:K47 A2:L2 A27 L27:L47 L3:L5 A3:F5">
    <cfRule type="expression" dxfId="119" priority="58">
      <formula>$F2="Fail"</formula>
    </cfRule>
  </conditionalFormatting>
  <conditionalFormatting sqref="A6:K6 A11:A13 A7:E7 B13:C13 A15:A17 A22 A24 B11:F12">
    <cfRule type="expression" dxfId="118" priority="57">
      <formula>$F6="Fail"</formula>
    </cfRule>
  </conditionalFormatting>
  <conditionalFormatting sqref="B22 C24:D24 D27:F27">
    <cfRule type="expression" dxfId="117" priority="55">
      <formula>$F22="Fail"</formula>
    </cfRule>
  </conditionalFormatting>
  <conditionalFormatting sqref="B13:F13 B12:C12 B17:C17 B15:F16 E15:F22">
    <cfRule type="expression" dxfId="116" priority="54">
      <formula>$F12="Fail"</formula>
    </cfRule>
  </conditionalFormatting>
  <conditionalFormatting sqref="B16:C17 D17:F17 D21:F22 B22">
    <cfRule type="expression" dxfId="115" priority="53">
      <formula>$F16="Fail"</formula>
    </cfRule>
  </conditionalFormatting>
  <conditionalFormatting sqref="C20">
    <cfRule type="expression" dxfId="114" priority="28">
      <formula>$F20="Fail"</formula>
    </cfRule>
  </conditionalFormatting>
  <conditionalFormatting sqref="A9:E9">
    <cfRule type="expression" dxfId="113" priority="51">
      <formula>$F9="Fail"</formula>
    </cfRule>
  </conditionalFormatting>
  <conditionalFormatting sqref="B9:C9">
    <cfRule type="expression" dxfId="112" priority="50">
      <formula>$F9="Fail"</formula>
    </cfRule>
  </conditionalFormatting>
  <conditionalFormatting sqref="B24">
    <cfRule type="expression" dxfId="111" priority="22">
      <formula>$F24="Fail"</formula>
    </cfRule>
  </conditionalFormatting>
  <conditionalFormatting sqref="L11:L12 L6:L7">
    <cfRule type="expression" dxfId="110" priority="46">
      <formula>$F6="Fail"</formula>
    </cfRule>
  </conditionalFormatting>
  <conditionalFormatting sqref="L24">
    <cfRule type="expression" dxfId="109" priority="44">
      <formula>$F24="Fail"</formula>
    </cfRule>
  </conditionalFormatting>
  <conditionalFormatting sqref="L13 L15:L16">
    <cfRule type="expression" dxfId="108" priority="43">
      <formula>$F13="Fail"</formula>
    </cfRule>
  </conditionalFormatting>
  <conditionalFormatting sqref="L17 L21:L22">
    <cfRule type="expression" dxfId="107" priority="42">
      <formula>$F17="Fail"</formula>
    </cfRule>
  </conditionalFormatting>
  <conditionalFormatting sqref="A25:L25">
    <cfRule type="expression" dxfId="106" priority="17">
      <formula>$F25="Fail"</formula>
    </cfRule>
  </conditionalFormatting>
  <conditionalFormatting sqref="L9">
    <cfRule type="expression" dxfId="105" priority="40">
      <formula>$F9="Fail"</formula>
    </cfRule>
  </conditionalFormatting>
  <conditionalFormatting sqref="A8:K8">
    <cfRule type="expression" dxfId="104" priority="39">
      <formula>$F8="Fail"</formula>
    </cfRule>
  </conditionalFormatting>
  <conditionalFormatting sqref="L8">
    <cfRule type="expression" dxfId="103" priority="38">
      <formula>$F8="Fail"</formula>
    </cfRule>
  </conditionalFormatting>
  <conditionalFormatting sqref="A10:K10">
    <cfRule type="expression" dxfId="102" priority="37">
      <formula>$F10="Fail"</formula>
    </cfRule>
  </conditionalFormatting>
  <conditionalFormatting sqref="L10">
    <cfRule type="expression" dxfId="101" priority="36">
      <formula>$F10="Fail"</formula>
    </cfRule>
  </conditionalFormatting>
  <conditionalFormatting sqref="A14:L14">
    <cfRule type="expression" dxfId="100" priority="35">
      <formula>$F14="Fail"</formula>
    </cfRule>
  </conditionalFormatting>
  <conditionalFormatting sqref="A18:A20">
    <cfRule type="expression" dxfId="99" priority="34">
      <formula>$F18="Fail"</formula>
    </cfRule>
  </conditionalFormatting>
  <conditionalFormatting sqref="B20 B19:F19 C18:F18">
    <cfRule type="expression" dxfId="98" priority="33">
      <formula>$F18="Fail"</formula>
    </cfRule>
  </conditionalFormatting>
  <conditionalFormatting sqref="B19:C19 D20:F20 B20">
    <cfRule type="expression" dxfId="97" priority="32">
      <formula>$F19="Fail"</formula>
    </cfRule>
  </conditionalFormatting>
  <conditionalFormatting sqref="L18:L19">
    <cfRule type="expression" dxfId="96" priority="31">
      <formula>$F18="Fail"</formula>
    </cfRule>
  </conditionalFormatting>
  <conditionalFormatting sqref="L20">
    <cfRule type="expression" dxfId="95" priority="30">
      <formula>$F20="Fail"</formula>
    </cfRule>
  </conditionalFormatting>
  <conditionalFormatting sqref="C20">
    <cfRule type="expression" dxfId="94" priority="29">
      <formula>$F20="Fail"</formula>
    </cfRule>
  </conditionalFormatting>
  <conditionalFormatting sqref="A21">
    <cfRule type="expression" dxfId="93" priority="27">
      <formula>$F21="Fail"</formula>
    </cfRule>
  </conditionalFormatting>
  <conditionalFormatting sqref="B21:C21">
    <cfRule type="expression" dxfId="92" priority="26">
      <formula>$F21="Fail"</formula>
    </cfRule>
  </conditionalFormatting>
  <conditionalFormatting sqref="C22">
    <cfRule type="expression" dxfId="91" priority="25">
      <formula>$F22="Fail"</formula>
    </cfRule>
  </conditionalFormatting>
  <conditionalFormatting sqref="C22">
    <cfRule type="expression" dxfId="90" priority="24">
      <formula>$F22="Fail"</formula>
    </cfRule>
  </conditionalFormatting>
  <conditionalFormatting sqref="A23:L23">
    <cfRule type="expression" dxfId="89" priority="23">
      <formula>$F23="Fail"</formula>
    </cfRule>
  </conditionalFormatting>
  <conditionalFormatting sqref="B18">
    <cfRule type="expression" dxfId="88" priority="21">
      <formula>$F18="Fail"</formula>
    </cfRule>
  </conditionalFormatting>
  <conditionalFormatting sqref="A26">
    <cfRule type="expression" dxfId="87" priority="20">
      <formula>$F26="Fail"</formula>
    </cfRule>
  </conditionalFormatting>
  <conditionalFormatting sqref="C26:D26 F26">
    <cfRule type="expression" dxfId="86" priority="19">
      <formula>$F26="Fail"</formula>
    </cfRule>
  </conditionalFormatting>
  <conditionalFormatting sqref="L26">
    <cfRule type="expression" dxfId="85" priority="18">
      <formula>$F26="Fail"</formula>
    </cfRule>
  </conditionalFormatting>
  <conditionalFormatting sqref="B26">
    <cfRule type="expression" dxfId="84" priority="16">
      <formula>$F26="Fail"</formula>
    </cfRule>
  </conditionalFormatting>
  <conditionalFormatting sqref="C27">
    <cfRule type="expression" dxfId="83" priority="15">
      <formula>$F27="Fail"</formula>
    </cfRule>
  </conditionalFormatting>
  <conditionalFormatting sqref="B27">
    <cfRule type="expression" dxfId="82" priority="14">
      <formula>$F27="Fail"</formula>
    </cfRule>
  </conditionalFormatting>
  <conditionalFormatting sqref="G27:K27">
    <cfRule type="expression" dxfId="81" priority="13">
      <formula>$F27="Fail"</formula>
    </cfRule>
  </conditionalFormatting>
  <conditionalFormatting sqref="G26:K26">
    <cfRule type="expression" dxfId="80" priority="12">
      <formula>$F26="Fail"</formula>
    </cfRule>
  </conditionalFormatting>
  <conditionalFormatting sqref="G24:K24">
    <cfRule type="expression" dxfId="79" priority="11">
      <formula>$F24="Fail"</formula>
    </cfRule>
  </conditionalFormatting>
  <conditionalFormatting sqref="G15:K22">
    <cfRule type="expression" dxfId="78" priority="10">
      <formula>$F15="Fail"</formula>
    </cfRule>
  </conditionalFormatting>
  <conditionalFormatting sqref="G11:K13">
    <cfRule type="expression" dxfId="77" priority="9">
      <formula>$F11="Fail"</formula>
    </cfRule>
  </conditionalFormatting>
  <conditionalFormatting sqref="G9:K9">
    <cfRule type="expression" dxfId="76" priority="8">
      <formula>$F9="Fail"</formula>
    </cfRule>
  </conditionalFormatting>
  <conditionalFormatting sqref="G7:K7">
    <cfRule type="expression" dxfId="75" priority="7">
      <formula>$F7="Fail"</formula>
    </cfRule>
  </conditionalFormatting>
  <conditionalFormatting sqref="G3:K5">
    <cfRule type="expression" dxfId="74" priority="6">
      <formula>$F3="Fail"</formula>
    </cfRule>
  </conditionalFormatting>
  <conditionalFormatting sqref="F24">
    <cfRule type="expression" dxfId="73" priority="5">
      <formula>$F24="Fail"</formula>
    </cfRule>
  </conditionalFormatting>
  <conditionalFormatting sqref="E24">
    <cfRule type="expression" dxfId="72" priority="4">
      <formula>$F24="Fail"</formula>
    </cfRule>
  </conditionalFormatting>
  <conditionalFormatting sqref="E26">
    <cfRule type="expression" dxfId="71" priority="3">
      <formula>$F26="Fail"</formula>
    </cfRule>
  </conditionalFormatting>
  <conditionalFormatting sqref="F7">
    <cfRule type="expression" dxfId="70" priority="2">
      <formula>$F7="Fail"</formula>
    </cfRule>
  </conditionalFormatting>
  <conditionalFormatting sqref="F9">
    <cfRule type="expression" dxfId="69" priority="1">
      <formula>$F9="Fail"</formula>
    </cfRule>
  </conditionalFormatting>
  <dataValidations count="1">
    <dataValidation type="list" allowBlank="1" showInputMessage="1" showErrorMessage="1" sqref="F2:F27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5123" r:id="rId4">
          <objectPr defaultSize="0" r:id="rId5">
            <anchor moveWithCells="1">
              <from>
                <xdr:col>11</xdr:col>
                <xdr:colOff>47625</xdr:colOff>
                <xdr:row>25</xdr:row>
                <xdr:rowOff>19050</xdr:rowOff>
              </from>
              <to>
                <xdr:col>12</xdr:col>
                <xdr:colOff>85725</xdr:colOff>
                <xdr:row>26</xdr:row>
                <xdr:rowOff>47625</xdr:rowOff>
              </to>
            </anchor>
          </objectPr>
        </oleObject>
      </mc:Choice>
      <mc:Fallback>
        <oleObject progId="Packager Shell Object" dvAspect="DVASPECT_ICON" shapeId="5123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59"/>
  <sheetViews>
    <sheetView tabSelected="1" zoomScaleNormal="100" workbookViewId="0">
      <pane ySplit="1" topLeftCell="A32" activePane="bottomLeft" state="frozen"/>
      <selection pane="bottomLeft" activeCell="F39" sqref="F39:F52"/>
    </sheetView>
  </sheetViews>
  <sheetFormatPr defaultColWidth="9.140625" defaultRowHeight="15" x14ac:dyDescent="0.25"/>
  <cols>
    <col min="1" max="1" width="11.28515625" style="4" bestFit="1" customWidth="1"/>
    <col min="2" max="2" width="47.140625" style="1" customWidth="1"/>
    <col min="3" max="3" width="45.28515625" style="1" customWidth="1"/>
    <col min="4" max="4" width="23.85546875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 t="s">
        <v>50</v>
      </c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26">
        <f t="shared" ref="A3" si="0">A2+0.0001</f>
        <v>1.0001</v>
      </c>
      <c r="B3" s="25" t="s">
        <v>50</v>
      </c>
      <c r="C3" s="9"/>
      <c r="D3" s="7" t="s">
        <v>111</v>
      </c>
      <c r="E3" s="6"/>
      <c r="F3" s="8" t="s">
        <v>5</v>
      </c>
      <c r="G3" s="8">
        <f t="shared" ref="G3:K25" si="1">IF($F3=G$1,1,0)</f>
        <v>1</v>
      </c>
      <c r="H3" s="8">
        <f t="shared" si="1"/>
        <v>0</v>
      </c>
      <c r="I3" s="8">
        <f t="shared" si="1"/>
        <v>0</v>
      </c>
      <c r="J3" s="8">
        <f t="shared" si="1"/>
        <v>0</v>
      </c>
      <c r="K3" s="8">
        <f t="shared" si="1"/>
        <v>0</v>
      </c>
      <c r="L3" s="7"/>
    </row>
    <row r="4" spans="1:12" ht="25.5" x14ac:dyDescent="0.25">
      <c r="A4" s="5">
        <f t="shared" ref="A4:A25" si="2">A3+0.0001</f>
        <v>1.0002</v>
      </c>
      <c r="B4" s="6" t="s">
        <v>206</v>
      </c>
      <c r="C4" s="9" t="s">
        <v>51</v>
      </c>
      <c r="D4" s="7"/>
      <c r="E4" s="6"/>
      <c r="F4" s="8" t="s">
        <v>5</v>
      </c>
      <c r="G4" s="8">
        <f t="shared" si="1"/>
        <v>1</v>
      </c>
      <c r="H4" s="8">
        <f t="shared" si="1"/>
        <v>0</v>
      </c>
      <c r="I4" s="8">
        <f t="shared" si="1"/>
        <v>0</v>
      </c>
      <c r="J4" s="8">
        <f t="shared" si="1"/>
        <v>0</v>
      </c>
      <c r="K4" s="8">
        <f t="shared" si="1"/>
        <v>0</v>
      </c>
      <c r="L4" s="7"/>
    </row>
    <row r="5" spans="1:12" x14ac:dyDescent="0.25">
      <c r="A5" s="5">
        <f t="shared" si="2"/>
        <v>1.0003</v>
      </c>
      <c r="B5" s="6" t="s">
        <v>58</v>
      </c>
      <c r="C5" s="9" t="s">
        <v>57</v>
      </c>
      <c r="D5" s="7"/>
      <c r="E5" s="6"/>
      <c r="F5" s="8" t="s">
        <v>5</v>
      </c>
      <c r="G5" s="8">
        <f t="shared" si="1"/>
        <v>1</v>
      </c>
      <c r="H5" s="8">
        <f t="shared" si="1"/>
        <v>0</v>
      </c>
      <c r="I5" s="8">
        <f t="shared" si="1"/>
        <v>0</v>
      </c>
      <c r="J5" s="8">
        <f t="shared" si="1"/>
        <v>0</v>
      </c>
      <c r="K5" s="8">
        <f t="shared" si="1"/>
        <v>0</v>
      </c>
      <c r="L5" s="7"/>
    </row>
    <row r="6" spans="1:12" x14ac:dyDescent="0.25">
      <c r="A6" s="5">
        <f t="shared" si="2"/>
        <v>1.0004</v>
      </c>
      <c r="B6" s="6" t="s">
        <v>205</v>
      </c>
      <c r="C6" s="9" t="s">
        <v>57</v>
      </c>
      <c r="D6" s="7"/>
      <c r="E6" s="6"/>
      <c r="F6" s="8" t="s">
        <v>5</v>
      </c>
      <c r="G6" s="8">
        <f t="shared" si="1"/>
        <v>1</v>
      </c>
      <c r="H6" s="8">
        <f t="shared" si="1"/>
        <v>0</v>
      </c>
      <c r="I6" s="8">
        <f t="shared" si="1"/>
        <v>0</v>
      </c>
      <c r="J6" s="8">
        <f t="shared" si="1"/>
        <v>0</v>
      </c>
      <c r="K6" s="8">
        <f t="shared" si="1"/>
        <v>0</v>
      </c>
      <c r="L6" s="7"/>
    </row>
    <row r="7" spans="1:12" ht="63.75" x14ac:dyDescent="0.25">
      <c r="A7" s="5">
        <f t="shared" si="2"/>
        <v>1.0004999999999999</v>
      </c>
      <c r="B7" s="6" t="s">
        <v>54</v>
      </c>
      <c r="C7" s="9" t="s">
        <v>62</v>
      </c>
      <c r="D7" s="7"/>
      <c r="E7" s="6"/>
      <c r="F7" s="8" t="s">
        <v>5</v>
      </c>
      <c r="G7" s="8">
        <f t="shared" si="1"/>
        <v>1</v>
      </c>
      <c r="H7" s="8">
        <f t="shared" si="1"/>
        <v>0</v>
      </c>
      <c r="I7" s="8">
        <f t="shared" si="1"/>
        <v>0</v>
      </c>
      <c r="J7" s="8">
        <f t="shared" si="1"/>
        <v>0</v>
      </c>
      <c r="K7" s="8">
        <f t="shared" si="1"/>
        <v>0</v>
      </c>
      <c r="L7" s="7"/>
    </row>
    <row r="8" spans="1:12" x14ac:dyDescent="0.25">
      <c r="A8" s="5">
        <f t="shared" si="2"/>
        <v>1.0005999999999999</v>
      </c>
      <c r="B8" s="27" t="s">
        <v>55</v>
      </c>
      <c r="C8" s="9" t="s">
        <v>59</v>
      </c>
      <c r="D8" s="7"/>
      <c r="E8" s="6"/>
      <c r="F8" s="8" t="s">
        <v>5</v>
      </c>
      <c r="G8" s="8">
        <f t="shared" si="1"/>
        <v>1</v>
      </c>
      <c r="H8" s="8">
        <f t="shared" si="1"/>
        <v>0</v>
      </c>
      <c r="I8" s="8">
        <f t="shared" si="1"/>
        <v>0</v>
      </c>
      <c r="J8" s="8">
        <f t="shared" si="1"/>
        <v>0</v>
      </c>
      <c r="K8" s="8">
        <f t="shared" si="1"/>
        <v>0</v>
      </c>
      <c r="L8" s="7"/>
    </row>
    <row r="9" spans="1:12" x14ac:dyDescent="0.25">
      <c r="A9" s="34">
        <f t="shared" si="2"/>
        <v>1.0006999999999999</v>
      </c>
      <c r="B9" s="36" t="s">
        <v>52</v>
      </c>
      <c r="C9" s="35" t="s">
        <v>60</v>
      </c>
      <c r="D9" s="7"/>
      <c r="E9" s="6"/>
      <c r="F9" s="8" t="s">
        <v>5</v>
      </c>
      <c r="G9" s="8">
        <f t="shared" si="1"/>
        <v>1</v>
      </c>
      <c r="H9" s="8">
        <f t="shared" si="1"/>
        <v>0</v>
      </c>
      <c r="I9" s="8">
        <f t="shared" si="1"/>
        <v>0</v>
      </c>
      <c r="J9" s="8">
        <f t="shared" si="1"/>
        <v>0</v>
      </c>
      <c r="K9" s="8">
        <f t="shared" si="1"/>
        <v>0</v>
      </c>
      <c r="L9" s="7"/>
    </row>
    <row r="10" spans="1:12" x14ac:dyDescent="0.25">
      <c r="A10" s="34">
        <f t="shared" si="2"/>
        <v>1.0007999999999999</v>
      </c>
      <c r="B10" s="37" t="s">
        <v>53</v>
      </c>
      <c r="C10" s="35" t="s">
        <v>60</v>
      </c>
      <c r="D10" s="7"/>
      <c r="E10" s="6"/>
      <c r="F10" s="8" t="s">
        <v>5</v>
      </c>
      <c r="G10" s="8">
        <f t="shared" si="1"/>
        <v>1</v>
      </c>
      <c r="H10" s="8">
        <f t="shared" si="1"/>
        <v>0</v>
      </c>
      <c r="I10" s="8">
        <f t="shared" si="1"/>
        <v>0</v>
      </c>
      <c r="J10" s="8">
        <f t="shared" si="1"/>
        <v>0</v>
      </c>
      <c r="K10" s="8">
        <f t="shared" si="1"/>
        <v>0</v>
      </c>
      <c r="L10" s="7"/>
    </row>
    <row r="11" spans="1:12" x14ac:dyDescent="0.25">
      <c r="A11" s="34">
        <f t="shared" si="2"/>
        <v>1.0008999999999999</v>
      </c>
      <c r="B11" s="37" t="s">
        <v>55</v>
      </c>
      <c r="C11" s="35" t="s">
        <v>61</v>
      </c>
      <c r="D11" s="7"/>
      <c r="E11" s="6"/>
      <c r="F11" s="8" t="s">
        <v>5</v>
      </c>
      <c r="G11" s="8">
        <f t="shared" si="1"/>
        <v>1</v>
      </c>
      <c r="H11" s="8">
        <f t="shared" si="1"/>
        <v>0</v>
      </c>
      <c r="I11" s="8">
        <f t="shared" si="1"/>
        <v>0</v>
      </c>
      <c r="J11" s="8">
        <f t="shared" si="1"/>
        <v>0</v>
      </c>
      <c r="K11" s="8">
        <f t="shared" si="1"/>
        <v>0</v>
      </c>
      <c r="L11" s="7"/>
    </row>
    <row r="12" spans="1:12" x14ac:dyDescent="0.25">
      <c r="A12" s="34">
        <f t="shared" si="2"/>
        <v>1.0009999999999999</v>
      </c>
      <c r="B12" s="38"/>
      <c r="C12" s="35" t="s">
        <v>63</v>
      </c>
      <c r="D12" s="7"/>
      <c r="E12" s="6"/>
      <c r="F12" s="8" t="s">
        <v>5</v>
      </c>
      <c r="G12" s="8">
        <f t="shared" si="1"/>
        <v>1</v>
      </c>
      <c r="H12" s="8">
        <f t="shared" si="1"/>
        <v>0</v>
      </c>
      <c r="I12" s="8">
        <f t="shared" si="1"/>
        <v>0</v>
      </c>
      <c r="J12" s="8">
        <f t="shared" si="1"/>
        <v>0</v>
      </c>
      <c r="K12" s="8">
        <f t="shared" si="1"/>
        <v>0</v>
      </c>
      <c r="L12" s="7"/>
    </row>
    <row r="13" spans="1:12" x14ac:dyDescent="0.25">
      <c r="A13" s="34">
        <f t="shared" si="2"/>
        <v>1.0010999999999999</v>
      </c>
      <c r="B13" s="37">
        <v>25</v>
      </c>
      <c r="C13" s="35" t="s">
        <v>64</v>
      </c>
      <c r="D13" s="7"/>
      <c r="E13" s="6"/>
      <c r="F13" s="8" t="s">
        <v>5</v>
      </c>
      <c r="G13" s="8">
        <f t="shared" si="1"/>
        <v>1</v>
      </c>
      <c r="H13" s="8">
        <f t="shared" si="1"/>
        <v>0</v>
      </c>
      <c r="I13" s="8">
        <f t="shared" si="1"/>
        <v>0</v>
      </c>
      <c r="J13" s="8">
        <f t="shared" si="1"/>
        <v>0</v>
      </c>
      <c r="K13" s="8">
        <f t="shared" si="1"/>
        <v>0</v>
      </c>
      <c r="L13" s="7"/>
    </row>
    <row r="14" spans="1:12" x14ac:dyDescent="0.25">
      <c r="A14" s="34">
        <f t="shared" si="2"/>
        <v>1.0011999999999999</v>
      </c>
      <c r="B14" s="37"/>
      <c r="C14" s="35" t="s">
        <v>65</v>
      </c>
      <c r="D14" s="7"/>
      <c r="E14" s="6"/>
      <c r="F14" s="8" t="s">
        <v>5</v>
      </c>
      <c r="G14" s="8">
        <f t="shared" si="1"/>
        <v>1</v>
      </c>
      <c r="H14" s="8">
        <f t="shared" si="1"/>
        <v>0</v>
      </c>
      <c r="I14" s="8">
        <f t="shared" si="1"/>
        <v>0</v>
      </c>
      <c r="J14" s="8">
        <f t="shared" si="1"/>
        <v>0</v>
      </c>
      <c r="K14" s="8">
        <f t="shared" si="1"/>
        <v>0</v>
      </c>
      <c r="L14" s="7"/>
    </row>
    <row r="15" spans="1:12" x14ac:dyDescent="0.25">
      <c r="A15" s="34">
        <f t="shared" si="2"/>
        <v>1.0012999999999999</v>
      </c>
      <c r="B15" s="39" t="s">
        <v>66</v>
      </c>
      <c r="C15" s="35" t="s">
        <v>67</v>
      </c>
      <c r="D15" s="7"/>
      <c r="E15" s="6"/>
      <c r="F15" s="8" t="s">
        <v>5</v>
      </c>
      <c r="G15" s="8">
        <f t="shared" si="1"/>
        <v>1</v>
      </c>
      <c r="H15" s="8">
        <f t="shared" si="1"/>
        <v>0</v>
      </c>
      <c r="I15" s="8">
        <f t="shared" si="1"/>
        <v>0</v>
      </c>
      <c r="J15" s="8">
        <f t="shared" si="1"/>
        <v>0</v>
      </c>
      <c r="K15" s="8">
        <f t="shared" si="1"/>
        <v>0</v>
      </c>
      <c r="L15" s="7"/>
    </row>
    <row r="16" spans="1:12" x14ac:dyDescent="0.25">
      <c r="A16" s="5">
        <f t="shared" si="2"/>
        <v>1.0013999999999998</v>
      </c>
      <c r="B16" s="6" t="s">
        <v>56</v>
      </c>
      <c r="C16" s="9" t="s">
        <v>68</v>
      </c>
      <c r="D16" s="7"/>
      <c r="E16" s="6"/>
      <c r="F16" s="8" t="s">
        <v>5</v>
      </c>
      <c r="G16" s="8">
        <f t="shared" si="1"/>
        <v>1</v>
      </c>
      <c r="H16" s="8">
        <f t="shared" si="1"/>
        <v>0</v>
      </c>
      <c r="I16" s="8">
        <f t="shared" si="1"/>
        <v>0</v>
      </c>
      <c r="J16" s="8">
        <f t="shared" si="1"/>
        <v>0</v>
      </c>
      <c r="K16" s="8">
        <f t="shared" si="1"/>
        <v>0</v>
      </c>
      <c r="L16" s="7"/>
    </row>
    <row r="17" spans="1:12" x14ac:dyDescent="0.25">
      <c r="A17" s="5">
        <f t="shared" si="2"/>
        <v>1.0014999999999998</v>
      </c>
      <c r="B17" s="6"/>
      <c r="C17" s="9" t="s">
        <v>69</v>
      </c>
      <c r="D17" s="7"/>
      <c r="E17" s="6"/>
      <c r="F17" s="8" t="s">
        <v>5</v>
      </c>
      <c r="G17" s="8">
        <f t="shared" si="1"/>
        <v>1</v>
      </c>
      <c r="H17" s="8">
        <f t="shared" si="1"/>
        <v>0</v>
      </c>
      <c r="I17" s="8">
        <f t="shared" si="1"/>
        <v>0</v>
      </c>
      <c r="J17" s="8">
        <f t="shared" si="1"/>
        <v>0</v>
      </c>
      <c r="K17" s="8">
        <f t="shared" si="1"/>
        <v>0</v>
      </c>
      <c r="L17" s="7"/>
    </row>
    <row r="18" spans="1:12" x14ac:dyDescent="0.25">
      <c r="A18" s="5">
        <f t="shared" si="2"/>
        <v>1.0015999999999998</v>
      </c>
      <c r="B18" s="6" t="s">
        <v>70</v>
      </c>
      <c r="C18" s="9" t="s">
        <v>77</v>
      </c>
      <c r="D18" s="7" t="s">
        <v>79</v>
      </c>
      <c r="E18" s="6"/>
      <c r="F18" s="8" t="s">
        <v>5</v>
      </c>
      <c r="G18" s="8">
        <f t="shared" si="1"/>
        <v>1</v>
      </c>
      <c r="H18" s="8">
        <f t="shared" si="1"/>
        <v>0</v>
      </c>
      <c r="I18" s="8">
        <f t="shared" si="1"/>
        <v>0</v>
      </c>
      <c r="J18" s="8">
        <f t="shared" si="1"/>
        <v>0</v>
      </c>
      <c r="K18" s="8">
        <f t="shared" si="1"/>
        <v>0</v>
      </c>
      <c r="L18" s="7"/>
    </row>
    <row r="19" spans="1:12" x14ac:dyDescent="0.25">
      <c r="A19" s="5">
        <f t="shared" si="2"/>
        <v>1.0016999999999998</v>
      </c>
      <c r="B19" s="9" t="s">
        <v>71</v>
      </c>
      <c r="C19" s="9" t="s">
        <v>78</v>
      </c>
      <c r="D19" s="7" t="s">
        <v>80</v>
      </c>
      <c r="E19" s="6"/>
      <c r="F19" s="8" t="s">
        <v>5</v>
      </c>
      <c r="G19" s="8">
        <f t="shared" si="1"/>
        <v>1</v>
      </c>
      <c r="H19" s="8">
        <f t="shared" si="1"/>
        <v>0</v>
      </c>
      <c r="I19" s="8">
        <f t="shared" si="1"/>
        <v>0</v>
      </c>
      <c r="J19" s="8">
        <f t="shared" si="1"/>
        <v>0</v>
      </c>
      <c r="K19" s="8">
        <f t="shared" si="1"/>
        <v>0</v>
      </c>
      <c r="L19" s="7"/>
    </row>
    <row r="20" spans="1:12" x14ac:dyDescent="0.25">
      <c r="A20" s="5">
        <f t="shared" si="2"/>
        <v>1.0017999999999998</v>
      </c>
      <c r="B20" s="9" t="s">
        <v>72</v>
      </c>
      <c r="C20" s="9" t="s">
        <v>60</v>
      </c>
      <c r="D20" s="7"/>
      <c r="E20" s="6"/>
      <c r="F20" s="8" t="s">
        <v>5</v>
      </c>
      <c r="G20" s="8">
        <f t="shared" si="1"/>
        <v>1</v>
      </c>
      <c r="H20" s="8">
        <f t="shared" si="1"/>
        <v>0</v>
      </c>
      <c r="I20" s="8">
        <f t="shared" si="1"/>
        <v>0</v>
      </c>
      <c r="J20" s="8">
        <f t="shared" si="1"/>
        <v>0</v>
      </c>
      <c r="K20" s="8">
        <f t="shared" si="1"/>
        <v>0</v>
      </c>
      <c r="L20" s="7"/>
    </row>
    <row r="21" spans="1:12" x14ac:dyDescent="0.25">
      <c r="A21" s="5">
        <f t="shared" si="2"/>
        <v>1.0018999999999998</v>
      </c>
      <c r="B21" s="9" t="s">
        <v>73</v>
      </c>
      <c r="C21" s="9" t="s">
        <v>60</v>
      </c>
      <c r="D21" s="7"/>
      <c r="E21" s="6"/>
      <c r="F21" s="8" t="s">
        <v>5</v>
      </c>
      <c r="G21" s="8">
        <f t="shared" si="1"/>
        <v>1</v>
      </c>
      <c r="H21" s="8">
        <f t="shared" si="1"/>
        <v>0</v>
      </c>
      <c r="I21" s="8">
        <f t="shared" si="1"/>
        <v>0</v>
      </c>
      <c r="J21" s="8">
        <f t="shared" si="1"/>
        <v>0</v>
      </c>
      <c r="K21" s="8">
        <f t="shared" si="1"/>
        <v>0</v>
      </c>
      <c r="L21" s="7"/>
    </row>
    <row r="22" spans="1:12" ht="38.25" x14ac:dyDescent="0.25">
      <c r="A22" s="5">
        <f t="shared" si="2"/>
        <v>1.0019999999999998</v>
      </c>
      <c r="B22" s="9" t="s">
        <v>74</v>
      </c>
      <c r="C22" s="9" t="s">
        <v>76</v>
      </c>
      <c r="D22" s="7" t="s">
        <v>81</v>
      </c>
      <c r="E22" s="6"/>
      <c r="F22" s="8" t="s">
        <v>5</v>
      </c>
      <c r="G22" s="8">
        <f t="shared" si="1"/>
        <v>1</v>
      </c>
      <c r="H22" s="8">
        <f t="shared" si="1"/>
        <v>0</v>
      </c>
      <c r="I22" s="8">
        <f t="shared" si="1"/>
        <v>0</v>
      </c>
      <c r="J22" s="8">
        <f t="shared" si="1"/>
        <v>0</v>
      </c>
      <c r="K22" s="8">
        <f t="shared" si="1"/>
        <v>0</v>
      </c>
      <c r="L22" s="7"/>
    </row>
    <row r="23" spans="1:12" x14ac:dyDescent="0.25">
      <c r="A23" s="5">
        <f t="shared" si="2"/>
        <v>1.0020999999999998</v>
      </c>
      <c r="B23" s="9" t="s">
        <v>75</v>
      </c>
      <c r="C23" s="9" t="s">
        <v>82</v>
      </c>
      <c r="D23" s="7"/>
      <c r="E23" s="6"/>
      <c r="F23" s="8" t="s">
        <v>5</v>
      </c>
      <c r="G23" s="8">
        <f t="shared" si="1"/>
        <v>1</v>
      </c>
      <c r="H23" s="8">
        <f t="shared" si="1"/>
        <v>0</v>
      </c>
      <c r="I23" s="8">
        <f t="shared" si="1"/>
        <v>0</v>
      </c>
      <c r="J23" s="8">
        <f t="shared" si="1"/>
        <v>0</v>
      </c>
      <c r="K23" s="8">
        <f t="shared" si="1"/>
        <v>0</v>
      </c>
      <c r="L23" s="7"/>
    </row>
    <row r="24" spans="1:12" x14ac:dyDescent="0.25">
      <c r="A24" s="5">
        <f t="shared" si="2"/>
        <v>1.0021999999999998</v>
      </c>
      <c r="B24" s="9" t="s">
        <v>83</v>
      </c>
      <c r="C24" s="9" t="s">
        <v>84</v>
      </c>
      <c r="D24" s="7"/>
      <c r="E24" s="6"/>
      <c r="F24" s="8" t="s">
        <v>5</v>
      </c>
      <c r="G24" s="8">
        <f t="shared" si="1"/>
        <v>1</v>
      </c>
      <c r="H24" s="8">
        <f t="shared" si="1"/>
        <v>0</v>
      </c>
      <c r="I24" s="8">
        <f t="shared" si="1"/>
        <v>0</v>
      </c>
      <c r="J24" s="8">
        <f t="shared" si="1"/>
        <v>0</v>
      </c>
      <c r="K24" s="8">
        <f t="shared" si="1"/>
        <v>0</v>
      </c>
      <c r="L24" s="7"/>
    </row>
    <row r="25" spans="1:12" x14ac:dyDescent="0.25">
      <c r="A25" s="5">
        <f t="shared" si="2"/>
        <v>1.0022999999999997</v>
      </c>
      <c r="B25" s="9"/>
      <c r="C25" s="9" t="s">
        <v>85</v>
      </c>
      <c r="D25" s="7"/>
      <c r="E25" s="6"/>
      <c r="F25" s="8" t="s">
        <v>5</v>
      </c>
      <c r="G25" s="8">
        <f t="shared" si="1"/>
        <v>1</v>
      </c>
      <c r="H25" s="8">
        <f t="shared" si="1"/>
        <v>0</v>
      </c>
      <c r="I25" s="8">
        <f t="shared" si="1"/>
        <v>0</v>
      </c>
      <c r="J25" s="8">
        <f t="shared" si="1"/>
        <v>0</v>
      </c>
      <c r="K25" s="8">
        <f t="shared" si="1"/>
        <v>0</v>
      </c>
      <c r="L25" s="7"/>
    </row>
    <row r="26" spans="1:12" x14ac:dyDescent="0.25">
      <c r="A26" s="5"/>
      <c r="B26" s="9"/>
      <c r="C26" s="9"/>
      <c r="D26" s="7"/>
      <c r="E26" s="6"/>
      <c r="F26" s="8"/>
      <c r="G26" s="8"/>
      <c r="H26" s="8"/>
      <c r="I26" s="8"/>
      <c r="J26" s="8"/>
      <c r="K26" s="8"/>
      <c r="L26" s="7"/>
    </row>
    <row r="27" spans="1:12" s="20" customFormat="1" x14ac:dyDescent="0.25">
      <c r="A27" s="16">
        <v>2</v>
      </c>
      <c r="B27" s="17" t="s">
        <v>49</v>
      </c>
      <c r="C27" s="18"/>
      <c r="D27" s="17"/>
      <c r="E27" s="17"/>
      <c r="F27" s="19"/>
      <c r="G27" s="19"/>
      <c r="H27" s="19"/>
      <c r="I27" s="19"/>
      <c r="J27" s="19"/>
      <c r="K27" s="19"/>
      <c r="L27" s="17"/>
    </row>
    <row r="28" spans="1:12" x14ac:dyDescent="0.25">
      <c r="A28" s="26">
        <f t="shared" ref="A28:A52" si="3">A27+0.0001</f>
        <v>2.0001000000000002</v>
      </c>
      <c r="B28" s="28" t="s">
        <v>49</v>
      </c>
      <c r="C28" s="29"/>
      <c r="D28" s="7" t="s">
        <v>111</v>
      </c>
      <c r="E28" s="31"/>
      <c r="F28" s="8" t="s">
        <v>5</v>
      </c>
      <c r="G28" s="32">
        <f t="shared" ref="G28:K37" si="4">IF($F28=G$1,1,0)</f>
        <v>1</v>
      </c>
      <c r="H28" s="32">
        <f t="shared" si="4"/>
        <v>0</v>
      </c>
      <c r="I28" s="32">
        <f t="shared" si="4"/>
        <v>0</v>
      </c>
      <c r="J28" s="32">
        <f t="shared" si="4"/>
        <v>0</v>
      </c>
      <c r="K28" s="32">
        <f t="shared" si="4"/>
        <v>0</v>
      </c>
      <c r="L28" s="30"/>
    </row>
    <row r="29" spans="1:12" ht="25.5" x14ac:dyDescent="0.25">
      <c r="A29" s="26">
        <f t="shared" si="3"/>
        <v>2.0002000000000004</v>
      </c>
      <c r="B29" s="27" t="s">
        <v>86</v>
      </c>
      <c r="C29" s="9" t="s">
        <v>87</v>
      </c>
      <c r="D29" s="7"/>
      <c r="E29" s="6"/>
      <c r="F29" s="8" t="s">
        <v>5</v>
      </c>
      <c r="G29" s="8">
        <f t="shared" si="4"/>
        <v>1</v>
      </c>
      <c r="H29" s="8">
        <f t="shared" si="4"/>
        <v>0</v>
      </c>
      <c r="I29" s="8">
        <f t="shared" si="4"/>
        <v>0</v>
      </c>
      <c r="J29" s="8">
        <f t="shared" si="4"/>
        <v>0</v>
      </c>
      <c r="K29" s="8">
        <f t="shared" si="4"/>
        <v>0</v>
      </c>
      <c r="L29" s="7"/>
    </row>
    <row r="30" spans="1:12" x14ac:dyDescent="0.25">
      <c r="A30" s="33">
        <f t="shared" si="3"/>
        <v>2.0003000000000006</v>
      </c>
      <c r="B30" s="27" t="s">
        <v>88</v>
      </c>
      <c r="C30" s="35" t="s">
        <v>89</v>
      </c>
      <c r="D30" s="7"/>
      <c r="E30" s="6"/>
      <c r="F30" s="8" t="s">
        <v>5</v>
      </c>
      <c r="G30" s="8">
        <f t="shared" si="4"/>
        <v>1</v>
      </c>
      <c r="H30" s="8">
        <f t="shared" si="4"/>
        <v>0</v>
      </c>
      <c r="I30" s="8">
        <f t="shared" si="4"/>
        <v>0</v>
      </c>
      <c r="J30" s="8">
        <f t="shared" si="4"/>
        <v>0</v>
      </c>
      <c r="K30" s="8">
        <f t="shared" si="4"/>
        <v>0</v>
      </c>
      <c r="L30" s="7"/>
    </row>
    <row r="31" spans="1:12" x14ac:dyDescent="0.25">
      <c r="A31" s="33">
        <f t="shared" si="3"/>
        <v>2.0004000000000008</v>
      </c>
      <c r="B31" s="38"/>
      <c r="C31" s="35" t="s">
        <v>90</v>
      </c>
      <c r="D31" s="7"/>
      <c r="E31" s="6"/>
      <c r="F31" s="8" t="s">
        <v>5</v>
      </c>
      <c r="G31" s="8">
        <f t="shared" si="4"/>
        <v>1</v>
      </c>
      <c r="H31" s="8">
        <f t="shared" si="4"/>
        <v>0</v>
      </c>
      <c r="I31" s="8">
        <f t="shared" si="4"/>
        <v>0</v>
      </c>
      <c r="J31" s="8">
        <f t="shared" si="4"/>
        <v>0</v>
      </c>
      <c r="K31" s="8">
        <f t="shared" si="4"/>
        <v>0</v>
      </c>
      <c r="L31" s="7"/>
    </row>
    <row r="32" spans="1:12" x14ac:dyDescent="0.25">
      <c r="A32" s="33">
        <f t="shared" si="3"/>
        <v>2.0005000000000011</v>
      </c>
      <c r="B32" s="38"/>
      <c r="C32" s="35" t="s">
        <v>91</v>
      </c>
      <c r="D32" s="7"/>
      <c r="E32" s="6"/>
      <c r="F32" s="8" t="s">
        <v>5</v>
      </c>
      <c r="G32" s="8">
        <f t="shared" si="4"/>
        <v>1</v>
      </c>
      <c r="H32" s="8">
        <f t="shared" si="4"/>
        <v>0</v>
      </c>
      <c r="I32" s="8">
        <f t="shared" si="4"/>
        <v>0</v>
      </c>
      <c r="J32" s="8">
        <f t="shared" si="4"/>
        <v>0</v>
      </c>
      <c r="K32" s="8">
        <f t="shared" si="4"/>
        <v>0</v>
      </c>
      <c r="L32" s="7"/>
    </row>
    <row r="33" spans="1:12" x14ac:dyDescent="0.25">
      <c r="A33" s="33">
        <f t="shared" si="3"/>
        <v>2.0006000000000013</v>
      </c>
      <c r="B33" s="38"/>
      <c r="C33" s="35" t="s">
        <v>92</v>
      </c>
      <c r="D33" s="7"/>
      <c r="E33" s="6"/>
      <c r="F33" s="8" t="s">
        <v>5</v>
      </c>
      <c r="G33" s="8">
        <f t="shared" si="4"/>
        <v>1</v>
      </c>
      <c r="H33" s="8">
        <f t="shared" si="4"/>
        <v>0</v>
      </c>
      <c r="I33" s="8">
        <f t="shared" si="4"/>
        <v>0</v>
      </c>
      <c r="J33" s="8">
        <f t="shared" si="4"/>
        <v>0</v>
      </c>
      <c r="K33" s="8">
        <f t="shared" si="4"/>
        <v>0</v>
      </c>
      <c r="L33" s="7"/>
    </row>
    <row r="34" spans="1:12" x14ac:dyDescent="0.25">
      <c r="A34" s="33">
        <f t="shared" si="3"/>
        <v>2.0007000000000015</v>
      </c>
      <c r="B34" s="38"/>
      <c r="C34" s="35" t="s">
        <v>93</v>
      </c>
      <c r="D34" s="7"/>
      <c r="E34" s="6"/>
      <c r="F34" s="8" t="s">
        <v>5</v>
      </c>
      <c r="G34" s="8">
        <f t="shared" si="4"/>
        <v>1</v>
      </c>
      <c r="H34" s="8">
        <f t="shared" si="4"/>
        <v>0</v>
      </c>
      <c r="I34" s="8">
        <f t="shared" si="4"/>
        <v>0</v>
      </c>
      <c r="J34" s="8">
        <f t="shared" si="4"/>
        <v>0</v>
      </c>
      <c r="K34" s="8">
        <f t="shared" si="4"/>
        <v>0</v>
      </c>
      <c r="L34" s="7"/>
    </row>
    <row r="35" spans="1:12" x14ac:dyDescent="0.25">
      <c r="A35" s="33">
        <f t="shared" si="3"/>
        <v>2.0008000000000017</v>
      </c>
      <c r="B35" s="31"/>
      <c r="C35" s="35" t="s">
        <v>73</v>
      </c>
      <c r="D35" s="7"/>
      <c r="E35" s="6"/>
      <c r="F35" s="8" t="s">
        <v>5</v>
      </c>
      <c r="G35" s="8">
        <f t="shared" si="4"/>
        <v>1</v>
      </c>
      <c r="H35" s="8">
        <f t="shared" si="4"/>
        <v>0</v>
      </c>
      <c r="I35" s="8">
        <f t="shared" si="4"/>
        <v>0</v>
      </c>
      <c r="J35" s="8">
        <f t="shared" si="4"/>
        <v>0</v>
      </c>
      <c r="K35" s="8">
        <f t="shared" si="4"/>
        <v>0</v>
      </c>
      <c r="L35" s="7"/>
    </row>
    <row r="36" spans="1:12" x14ac:dyDescent="0.25">
      <c r="A36" s="26">
        <f t="shared" si="3"/>
        <v>2.0009000000000019</v>
      </c>
      <c r="B36" s="31" t="s">
        <v>88</v>
      </c>
      <c r="C36" s="9" t="s">
        <v>94</v>
      </c>
      <c r="D36" s="7"/>
      <c r="E36" s="6"/>
      <c r="F36" s="8" t="s">
        <v>5</v>
      </c>
      <c r="G36" s="8">
        <f t="shared" si="4"/>
        <v>1</v>
      </c>
      <c r="H36" s="8">
        <f t="shared" si="4"/>
        <v>0</v>
      </c>
      <c r="I36" s="8">
        <f t="shared" si="4"/>
        <v>0</v>
      </c>
      <c r="J36" s="8">
        <f t="shared" si="4"/>
        <v>0</v>
      </c>
      <c r="K36" s="8">
        <f t="shared" si="4"/>
        <v>0</v>
      </c>
      <c r="L36" s="7"/>
    </row>
    <row r="37" spans="1:12" x14ac:dyDescent="0.25">
      <c r="A37" s="26">
        <f t="shared" si="3"/>
        <v>2.0010000000000021</v>
      </c>
      <c r="B37" s="6" t="s">
        <v>95</v>
      </c>
      <c r="C37" s="9" t="s">
        <v>96</v>
      </c>
      <c r="D37" s="7"/>
      <c r="E37" s="6"/>
      <c r="F37" s="8" t="s">
        <v>5</v>
      </c>
      <c r="G37" s="8">
        <f t="shared" si="4"/>
        <v>1</v>
      </c>
      <c r="H37" s="8">
        <f t="shared" si="4"/>
        <v>0</v>
      </c>
      <c r="I37" s="8">
        <f t="shared" si="4"/>
        <v>0</v>
      </c>
      <c r="J37" s="8">
        <f t="shared" si="4"/>
        <v>0</v>
      </c>
      <c r="K37" s="8">
        <f t="shared" si="4"/>
        <v>0</v>
      </c>
      <c r="L37" s="7"/>
    </row>
    <row r="38" spans="1:12" x14ac:dyDescent="0.25">
      <c r="A38" s="26">
        <f t="shared" si="3"/>
        <v>2.0011000000000023</v>
      </c>
      <c r="B38" s="6" t="s">
        <v>97</v>
      </c>
      <c r="C38" s="9" t="s">
        <v>98</v>
      </c>
      <c r="D38" s="7"/>
      <c r="E38" s="6"/>
      <c r="F38" s="8" t="s">
        <v>5</v>
      </c>
      <c r="G38" s="8">
        <f t="shared" ref="G38:K52" si="5">IF($F38=G$1,1,0)</f>
        <v>1</v>
      </c>
      <c r="H38" s="8">
        <f t="shared" si="5"/>
        <v>0</v>
      </c>
      <c r="I38" s="8">
        <f t="shared" si="5"/>
        <v>0</v>
      </c>
      <c r="J38" s="8">
        <f t="shared" si="5"/>
        <v>0</v>
      </c>
      <c r="K38" s="8">
        <f t="shared" si="5"/>
        <v>0</v>
      </c>
      <c r="L38" s="7"/>
    </row>
    <row r="39" spans="1:12" x14ac:dyDescent="0.25">
      <c r="A39" s="26">
        <f t="shared" si="3"/>
        <v>2.0012000000000025</v>
      </c>
      <c r="B39" s="27"/>
      <c r="C39" s="9" t="s">
        <v>105</v>
      </c>
      <c r="D39" s="7"/>
      <c r="E39" s="6"/>
      <c r="F39" s="8" t="s">
        <v>5</v>
      </c>
      <c r="G39" s="8">
        <f t="shared" si="5"/>
        <v>1</v>
      </c>
      <c r="H39" s="8">
        <f t="shared" si="5"/>
        <v>0</v>
      </c>
      <c r="I39" s="8">
        <f t="shared" si="5"/>
        <v>0</v>
      </c>
      <c r="J39" s="8">
        <f t="shared" si="5"/>
        <v>0</v>
      </c>
      <c r="K39" s="8">
        <f t="shared" si="5"/>
        <v>0</v>
      </c>
      <c r="L39" s="7"/>
    </row>
    <row r="40" spans="1:12" x14ac:dyDescent="0.25">
      <c r="A40" s="33">
        <f t="shared" si="3"/>
        <v>2.0013000000000027</v>
      </c>
      <c r="B40" s="36" t="s">
        <v>52</v>
      </c>
      <c r="C40" s="35" t="s">
        <v>60</v>
      </c>
      <c r="D40" s="7"/>
      <c r="E40" s="6"/>
      <c r="F40" s="8" t="s">
        <v>5</v>
      </c>
      <c r="G40" s="8">
        <f t="shared" si="5"/>
        <v>1</v>
      </c>
      <c r="H40" s="8">
        <f t="shared" si="5"/>
        <v>0</v>
      </c>
      <c r="I40" s="8">
        <f t="shared" si="5"/>
        <v>0</v>
      </c>
      <c r="J40" s="8">
        <f t="shared" si="5"/>
        <v>0</v>
      </c>
      <c r="K40" s="8">
        <f t="shared" si="5"/>
        <v>0</v>
      </c>
      <c r="L40" s="7"/>
    </row>
    <row r="41" spans="1:12" x14ac:dyDescent="0.25">
      <c r="A41" s="33">
        <f t="shared" si="3"/>
        <v>2.001400000000003</v>
      </c>
      <c r="B41" s="37" t="s">
        <v>53</v>
      </c>
      <c r="C41" s="40" t="s">
        <v>60</v>
      </c>
      <c r="D41" s="7"/>
      <c r="E41" s="6"/>
      <c r="F41" s="8" t="s">
        <v>5</v>
      </c>
      <c r="G41" s="8">
        <f t="shared" si="5"/>
        <v>1</v>
      </c>
      <c r="H41" s="8">
        <f t="shared" si="5"/>
        <v>0</v>
      </c>
      <c r="I41" s="8">
        <f t="shared" si="5"/>
        <v>0</v>
      </c>
      <c r="J41" s="8">
        <f t="shared" si="5"/>
        <v>0</v>
      </c>
      <c r="K41" s="8">
        <f t="shared" si="5"/>
        <v>0</v>
      </c>
      <c r="L41" s="7"/>
    </row>
    <row r="42" spans="1:12" x14ac:dyDescent="0.25">
      <c r="A42" s="33">
        <f t="shared" si="3"/>
        <v>2.0015000000000032</v>
      </c>
      <c r="B42" s="37" t="s">
        <v>54</v>
      </c>
      <c r="C42" s="35" t="s">
        <v>99</v>
      </c>
      <c r="D42" s="7"/>
      <c r="E42" s="6"/>
      <c r="F42" s="8" t="s">
        <v>5</v>
      </c>
      <c r="G42" s="8">
        <f t="shared" si="5"/>
        <v>1</v>
      </c>
      <c r="H42" s="8">
        <f t="shared" si="5"/>
        <v>0</v>
      </c>
      <c r="I42" s="8">
        <f t="shared" si="5"/>
        <v>0</v>
      </c>
      <c r="J42" s="8">
        <f t="shared" si="5"/>
        <v>0</v>
      </c>
      <c r="K42" s="8">
        <f t="shared" si="5"/>
        <v>0</v>
      </c>
      <c r="L42" s="7"/>
    </row>
    <row r="43" spans="1:12" x14ac:dyDescent="0.25">
      <c r="A43" s="33">
        <f t="shared" si="3"/>
        <v>2.0016000000000034</v>
      </c>
      <c r="B43" s="37" t="s">
        <v>71</v>
      </c>
      <c r="C43" s="35" t="s">
        <v>78</v>
      </c>
      <c r="D43" s="7" t="s">
        <v>80</v>
      </c>
      <c r="E43" s="6"/>
      <c r="F43" s="8" t="s">
        <v>5</v>
      </c>
      <c r="G43" s="8">
        <f t="shared" si="5"/>
        <v>1</v>
      </c>
      <c r="H43" s="8">
        <f t="shared" si="5"/>
        <v>0</v>
      </c>
      <c r="I43" s="8">
        <f t="shared" si="5"/>
        <v>0</v>
      </c>
      <c r="J43" s="8">
        <f t="shared" si="5"/>
        <v>0</v>
      </c>
      <c r="K43" s="8">
        <f t="shared" si="5"/>
        <v>0</v>
      </c>
      <c r="L43" s="7"/>
    </row>
    <row r="44" spans="1:12" x14ac:dyDescent="0.25">
      <c r="A44" s="33">
        <f t="shared" si="3"/>
        <v>2.0017000000000036</v>
      </c>
      <c r="B44" s="37" t="s">
        <v>72</v>
      </c>
      <c r="C44" s="35" t="s">
        <v>60</v>
      </c>
      <c r="D44" s="7"/>
      <c r="E44" s="6"/>
      <c r="F44" s="8" t="s">
        <v>5</v>
      </c>
      <c r="G44" s="8">
        <f t="shared" si="5"/>
        <v>1</v>
      </c>
      <c r="H44" s="8">
        <f t="shared" si="5"/>
        <v>0</v>
      </c>
      <c r="I44" s="8">
        <f t="shared" si="5"/>
        <v>0</v>
      </c>
      <c r="J44" s="8">
        <f t="shared" si="5"/>
        <v>0</v>
      </c>
      <c r="K44" s="8">
        <f t="shared" si="5"/>
        <v>0</v>
      </c>
      <c r="L44" s="7"/>
    </row>
    <row r="45" spans="1:12" x14ac:dyDescent="0.25">
      <c r="A45" s="33">
        <f t="shared" si="3"/>
        <v>2.0018000000000038</v>
      </c>
      <c r="B45" s="37" t="s">
        <v>73</v>
      </c>
      <c r="C45" s="35" t="s">
        <v>60</v>
      </c>
      <c r="D45" s="7"/>
      <c r="E45" s="6"/>
      <c r="F45" s="8" t="s">
        <v>5</v>
      </c>
      <c r="G45" s="8">
        <f t="shared" si="5"/>
        <v>1</v>
      </c>
      <c r="H45" s="8">
        <f t="shared" si="5"/>
        <v>0</v>
      </c>
      <c r="I45" s="8">
        <f t="shared" si="5"/>
        <v>0</v>
      </c>
      <c r="J45" s="8">
        <f t="shared" si="5"/>
        <v>0</v>
      </c>
      <c r="K45" s="8">
        <f t="shared" si="5"/>
        <v>0</v>
      </c>
      <c r="L45" s="7"/>
    </row>
    <row r="46" spans="1:12" x14ac:dyDescent="0.25">
      <c r="A46" s="33">
        <f t="shared" si="3"/>
        <v>2.001900000000004</v>
      </c>
      <c r="B46" s="37" t="s">
        <v>100</v>
      </c>
      <c r="C46" s="35" t="s">
        <v>78</v>
      </c>
      <c r="D46" s="7" t="s">
        <v>80</v>
      </c>
      <c r="E46" s="6"/>
      <c r="F46" s="8" t="s">
        <v>5</v>
      </c>
      <c r="G46" s="8">
        <f t="shared" si="5"/>
        <v>1</v>
      </c>
      <c r="H46" s="8">
        <f t="shared" si="5"/>
        <v>0</v>
      </c>
      <c r="I46" s="8">
        <f t="shared" si="5"/>
        <v>0</v>
      </c>
      <c r="J46" s="8">
        <f t="shared" si="5"/>
        <v>0</v>
      </c>
      <c r="K46" s="8">
        <f t="shared" si="5"/>
        <v>0</v>
      </c>
      <c r="L46" s="7"/>
    </row>
    <row r="47" spans="1:12" x14ac:dyDescent="0.25">
      <c r="A47" s="33">
        <f t="shared" si="3"/>
        <v>2.0020000000000042</v>
      </c>
      <c r="B47" s="37" t="s">
        <v>101</v>
      </c>
      <c r="C47" s="35" t="s">
        <v>80</v>
      </c>
      <c r="D47" s="7"/>
      <c r="E47" s="6"/>
      <c r="F47" s="8" t="s">
        <v>5</v>
      </c>
      <c r="G47" s="8">
        <f t="shared" si="5"/>
        <v>1</v>
      </c>
      <c r="H47" s="8">
        <f t="shared" si="5"/>
        <v>0</v>
      </c>
      <c r="I47" s="8">
        <f t="shared" si="5"/>
        <v>0</v>
      </c>
      <c r="J47" s="8">
        <f t="shared" si="5"/>
        <v>0</v>
      </c>
      <c r="K47" s="8">
        <f t="shared" si="5"/>
        <v>0</v>
      </c>
      <c r="L47" s="7"/>
    </row>
    <row r="48" spans="1:12" x14ac:dyDescent="0.25">
      <c r="A48" s="33">
        <f t="shared" si="3"/>
        <v>2.0021000000000044</v>
      </c>
      <c r="B48" s="37" t="s">
        <v>102</v>
      </c>
      <c r="C48" s="35" t="s">
        <v>81</v>
      </c>
      <c r="D48" s="7"/>
      <c r="E48" s="6"/>
      <c r="F48" s="8" t="s">
        <v>5</v>
      </c>
      <c r="G48" s="8">
        <f t="shared" si="5"/>
        <v>1</v>
      </c>
      <c r="H48" s="8">
        <f t="shared" si="5"/>
        <v>0</v>
      </c>
      <c r="I48" s="8">
        <f t="shared" si="5"/>
        <v>0</v>
      </c>
      <c r="J48" s="8">
        <f t="shared" si="5"/>
        <v>0</v>
      </c>
      <c r="K48" s="8">
        <f t="shared" si="5"/>
        <v>0</v>
      </c>
      <c r="L48" s="7"/>
    </row>
    <row r="49" spans="1:12" ht="63.75" x14ac:dyDescent="0.25">
      <c r="A49" s="33">
        <f t="shared" si="3"/>
        <v>2.0022000000000046</v>
      </c>
      <c r="B49" s="37" t="s">
        <v>74</v>
      </c>
      <c r="C49" s="35" t="s">
        <v>107</v>
      </c>
      <c r="D49" s="7" t="s">
        <v>106</v>
      </c>
      <c r="E49" s="6"/>
      <c r="F49" s="8" t="s">
        <v>5</v>
      </c>
      <c r="G49" s="8">
        <f t="shared" si="5"/>
        <v>1</v>
      </c>
      <c r="H49" s="8">
        <f t="shared" si="5"/>
        <v>0</v>
      </c>
      <c r="I49" s="8">
        <f t="shared" si="5"/>
        <v>0</v>
      </c>
      <c r="J49" s="8">
        <f t="shared" si="5"/>
        <v>0</v>
      </c>
      <c r="K49" s="8">
        <f t="shared" si="5"/>
        <v>0</v>
      </c>
      <c r="L49" s="7"/>
    </row>
    <row r="50" spans="1:12" ht="25.5" x14ac:dyDescent="0.25">
      <c r="A50" s="33">
        <f t="shared" si="3"/>
        <v>2.0023000000000049</v>
      </c>
      <c r="B50" s="37" t="s">
        <v>75</v>
      </c>
      <c r="C50" s="35" t="s">
        <v>82</v>
      </c>
      <c r="D50" s="7" t="s">
        <v>108</v>
      </c>
      <c r="E50" s="6"/>
      <c r="F50" s="8" t="s">
        <v>5</v>
      </c>
      <c r="G50" s="8">
        <f t="shared" si="5"/>
        <v>1</v>
      </c>
      <c r="H50" s="8">
        <f t="shared" si="5"/>
        <v>0</v>
      </c>
      <c r="I50" s="8">
        <f t="shared" si="5"/>
        <v>0</v>
      </c>
      <c r="J50" s="8">
        <f t="shared" si="5"/>
        <v>0</v>
      </c>
      <c r="K50" s="8">
        <f t="shared" si="5"/>
        <v>0</v>
      </c>
      <c r="L50" s="7"/>
    </row>
    <row r="51" spans="1:12" ht="25.5" x14ac:dyDescent="0.25">
      <c r="A51" s="33">
        <f t="shared" si="3"/>
        <v>2.0024000000000051</v>
      </c>
      <c r="B51" s="37" t="s">
        <v>103</v>
      </c>
      <c r="C51" s="35" t="s">
        <v>109</v>
      </c>
      <c r="D51" s="7"/>
      <c r="E51" s="6"/>
      <c r="F51" s="8" t="s">
        <v>5</v>
      </c>
      <c r="G51" s="8">
        <f t="shared" si="5"/>
        <v>1</v>
      </c>
      <c r="H51" s="8">
        <f t="shared" si="5"/>
        <v>0</v>
      </c>
      <c r="I51" s="8">
        <f t="shared" si="5"/>
        <v>0</v>
      </c>
      <c r="J51" s="8">
        <f t="shared" si="5"/>
        <v>0</v>
      </c>
      <c r="K51" s="8">
        <f t="shared" si="5"/>
        <v>0</v>
      </c>
      <c r="L51" s="7"/>
    </row>
    <row r="52" spans="1:12" x14ac:dyDescent="0.25">
      <c r="A52" s="33">
        <f t="shared" si="3"/>
        <v>2.0025000000000053</v>
      </c>
      <c r="B52" s="39" t="s">
        <v>110</v>
      </c>
      <c r="C52" s="35" t="s">
        <v>104</v>
      </c>
      <c r="D52" s="7"/>
      <c r="E52" s="6"/>
      <c r="F52" s="8" t="s">
        <v>5</v>
      </c>
      <c r="G52" s="8">
        <f t="shared" si="5"/>
        <v>1</v>
      </c>
      <c r="H52" s="8">
        <f t="shared" si="5"/>
        <v>0</v>
      </c>
      <c r="I52" s="8">
        <f t="shared" si="5"/>
        <v>0</v>
      </c>
      <c r="J52" s="8">
        <f t="shared" si="5"/>
        <v>0</v>
      </c>
      <c r="K52" s="8">
        <f t="shared" si="5"/>
        <v>0</v>
      </c>
      <c r="L52" s="7"/>
    </row>
    <row r="53" spans="1:12" s="46" customFormat="1" ht="14.45" x14ac:dyDescent="0.3">
      <c r="A53" s="41"/>
      <c r="B53" s="42"/>
      <c r="C53" s="43"/>
      <c r="D53" s="42"/>
      <c r="E53" s="42"/>
      <c r="F53" s="44"/>
      <c r="G53" s="44"/>
      <c r="H53" s="44"/>
      <c r="I53" s="44"/>
      <c r="J53" s="44"/>
      <c r="K53" s="44"/>
      <c r="L53" s="45"/>
    </row>
    <row r="54" spans="1:12" s="46" customFormat="1" thickBot="1" x14ac:dyDescent="0.35">
      <c r="A54" s="47"/>
      <c r="G54" s="48">
        <f>SUM(G2:G25)</f>
        <v>23</v>
      </c>
      <c r="H54" s="48">
        <f>SUM(H2:H25)</f>
        <v>0</v>
      </c>
      <c r="I54" s="48">
        <f>SUM(I2:I25)</f>
        <v>0</v>
      </c>
      <c r="J54" s="48">
        <f>SUM(J2:J25)</f>
        <v>0</v>
      </c>
      <c r="K54" s="48">
        <f>SUM(K2:K25)</f>
        <v>0</v>
      </c>
    </row>
    <row r="55" spans="1:12" s="46" customFormat="1" thickTop="1" x14ac:dyDescent="0.3">
      <c r="A55" s="47"/>
    </row>
    <row r="56" spans="1:12" s="46" customFormat="1" ht="14.45" x14ac:dyDescent="0.3">
      <c r="A56" s="47"/>
    </row>
    <row r="57" spans="1:12" s="46" customFormat="1" ht="14.45" x14ac:dyDescent="0.3">
      <c r="A57" s="47"/>
    </row>
    <row r="58" spans="1:12" s="46" customFormat="1" x14ac:dyDescent="0.25">
      <c r="A58" s="47"/>
    </row>
    <row r="59" spans="1:12" s="46" customFormat="1" x14ac:dyDescent="0.25">
      <c r="A59" s="47"/>
    </row>
  </sheetData>
  <conditionalFormatting sqref="A3:L73">
    <cfRule type="expression" dxfId="68" priority="26">
      <formula>$F3="Fail"</formula>
    </cfRule>
  </conditionalFormatting>
  <conditionalFormatting sqref="A2:L2">
    <cfRule type="expression" dxfId="67" priority="1">
      <formula>$F2="Fail"</formula>
    </cfRule>
  </conditionalFormatting>
  <dataValidations count="1">
    <dataValidation type="list" allowBlank="1" showInputMessage="1" showErrorMessage="1" sqref="F2:F53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Format">
                <anchor moveWithCells="1">
                  <from>
                    <xdr:col>2</xdr:col>
                    <xdr:colOff>2038350</xdr:colOff>
                    <xdr:row>0</xdr:row>
                    <xdr:rowOff>66675</xdr:rowOff>
                  </from>
                  <to>
                    <xdr:col>2</xdr:col>
                    <xdr:colOff>2581275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91"/>
  <sheetViews>
    <sheetView zoomScaleNormal="100" workbookViewId="0">
      <pane ySplit="1" topLeftCell="A2" activePane="bottomLeft" state="frozen"/>
      <selection pane="bottomLeft" activeCell="D38" sqref="D38"/>
    </sheetView>
  </sheetViews>
  <sheetFormatPr defaultColWidth="9.140625" defaultRowHeight="15" x14ac:dyDescent="0.25"/>
  <cols>
    <col min="1" max="1" width="11.28515625" style="4" bestFit="1" customWidth="1"/>
    <col min="2" max="2" width="62.28515625" style="1" bestFit="1" customWidth="1"/>
    <col min="3" max="3" width="62" style="1" customWidth="1"/>
    <col min="4" max="4" width="43" style="1" customWidth="1"/>
    <col min="5" max="5" width="6.5703125" style="1" customWidth="1"/>
    <col min="6" max="6" width="8.14062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50" t="s">
        <v>123</v>
      </c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ht="26.45" x14ac:dyDescent="0.3">
      <c r="A3" s="5">
        <v>1</v>
      </c>
      <c r="B3" s="6" t="s">
        <v>124</v>
      </c>
      <c r="C3" s="9"/>
      <c r="D3" s="7"/>
      <c r="E3" s="6"/>
      <c r="F3" s="8"/>
      <c r="G3" s="8"/>
      <c r="H3" s="8"/>
      <c r="I3" s="8"/>
      <c r="J3" s="8"/>
      <c r="K3" s="8"/>
      <c r="L3" s="7"/>
    </row>
    <row r="4" spans="1:12" x14ac:dyDescent="0.25">
      <c r="A4" s="5">
        <f t="shared" ref="A4:A89" si="0">A3+0.0001</f>
        <v>1.0001</v>
      </c>
      <c r="B4" s="6" t="s">
        <v>125</v>
      </c>
      <c r="C4" s="9"/>
      <c r="D4" s="7" t="s">
        <v>209</v>
      </c>
      <c r="E4" s="6"/>
      <c r="F4" s="8"/>
      <c r="G4" s="8"/>
      <c r="H4" s="8"/>
      <c r="I4" s="8"/>
      <c r="J4" s="8"/>
      <c r="K4" s="8"/>
      <c r="L4" s="7"/>
    </row>
    <row r="5" spans="1:12" ht="26.45" x14ac:dyDescent="0.3">
      <c r="A5" s="5">
        <f t="shared" si="0"/>
        <v>1.0002</v>
      </c>
      <c r="B5" s="6" t="s">
        <v>137</v>
      </c>
      <c r="C5" s="9" t="s">
        <v>208</v>
      </c>
      <c r="D5" s="7"/>
      <c r="E5" s="6"/>
      <c r="F5" s="8"/>
      <c r="G5" s="8"/>
      <c r="H5" s="8"/>
      <c r="I5" s="8"/>
      <c r="J5" s="8"/>
      <c r="K5" s="8"/>
      <c r="L5" s="7"/>
    </row>
    <row r="6" spans="1:12" ht="14.45" x14ac:dyDescent="0.3">
      <c r="A6" s="5">
        <f t="shared" si="0"/>
        <v>1.0003</v>
      </c>
      <c r="B6" s="7" t="s">
        <v>144</v>
      </c>
      <c r="C6" s="6" t="s">
        <v>203</v>
      </c>
      <c r="D6" s="7"/>
      <c r="E6" s="7"/>
      <c r="F6" s="8"/>
      <c r="G6" s="8"/>
      <c r="H6" s="8"/>
      <c r="I6" s="8"/>
      <c r="J6" s="8"/>
      <c r="K6" s="8"/>
      <c r="L6" s="7"/>
    </row>
    <row r="7" spans="1:12" ht="26.45" x14ac:dyDescent="0.3">
      <c r="A7" s="5">
        <f t="shared" si="0"/>
        <v>1.0004</v>
      </c>
      <c r="B7" s="6" t="s">
        <v>162</v>
      </c>
      <c r="C7" s="6"/>
      <c r="D7" s="7"/>
      <c r="E7" s="7"/>
      <c r="F7" s="8"/>
      <c r="G7" s="8"/>
      <c r="H7" s="8"/>
      <c r="I7" s="8"/>
      <c r="J7" s="8"/>
      <c r="K7" s="8"/>
      <c r="L7" s="7"/>
    </row>
    <row r="8" spans="1:12" x14ac:dyDescent="0.25">
      <c r="A8" s="5">
        <f t="shared" si="0"/>
        <v>1.0004999999999999</v>
      </c>
      <c r="B8" s="7"/>
      <c r="C8" s="6"/>
      <c r="D8" s="7"/>
      <c r="E8" s="7"/>
      <c r="F8" s="8"/>
      <c r="G8" s="8"/>
      <c r="H8" s="8"/>
      <c r="I8" s="8"/>
      <c r="J8" s="8"/>
      <c r="K8" s="8"/>
      <c r="L8" s="7"/>
    </row>
    <row r="9" spans="1:12" s="20" customFormat="1" ht="14.45" x14ac:dyDescent="0.3">
      <c r="A9" s="5">
        <f t="shared" si="0"/>
        <v>1.0005999999999999</v>
      </c>
      <c r="B9" s="17" t="s">
        <v>138</v>
      </c>
      <c r="C9" s="18"/>
      <c r="D9" s="17"/>
      <c r="E9" s="17"/>
      <c r="F9" s="19"/>
      <c r="G9" s="19"/>
      <c r="H9" s="19"/>
      <c r="I9" s="19"/>
      <c r="J9" s="19"/>
      <c r="K9" s="19"/>
      <c r="L9" s="17"/>
    </row>
    <row r="10" spans="1:12" x14ac:dyDescent="0.25">
      <c r="A10" s="5">
        <f t="shared" si="0"/>
        <v>1.0006999999999999</v>
      </c>
      <c r="B10" s="6" t="s">
        <v>127</v>
      </c>
      <c r="C10" s="9" t="s">
        <v>126</v>
      </c>
      <c r="D10" s="7"/>
      <c r="E10" s="6"/>
      <c r="F10" s="8" t="s">
        <v>5</v>
      </c>
      <c r="G10" s="8">
        <f t="shared" ref="G10:K13" si="1">IF($F10=G$1,1,0)</f>
        <v>1</v>
      </c>
      <c r="H10" s="8">
        <f t="shared" si="1"/>
        <v>0</v>
      </c>
      <c r="I10" s="8">
        <f t="shared" si="1"/>
        <v>0</v>
      </c>
      <c r="J10" s="8">
        <f t="shared" si="1"/>
        <v>0</v>
      </c>
      <c r="K10" s="8">
        <f t="shared" si="1"/>
        <v>0</v>
      </c>
      <c r="L10" s="7"/>
    </row>
    <row r="11" spans="1:12" x14ac:dyDescent="0.25">
      <c r="A11" s="5">
        <f t="shared" si="0"/>
        <v>1.0007999999999999</v>
      </c>
      <c r="B11" s="6"/>
      <c r="C11" s="9"/>
      <c r="D11" s="7"/>
      <c r="E11" s="6"/>
      <c r="F11" s="8"/>
      <c r="G11" s="8"/>
      <c r="H11" s="8"/>
      <c r="I11" s="8"/>
      <c r="J11" s="8"/>
      <c r="K11" s="8"/>
      <c r="L11" s="7"/>
    </row>
    <row r="12" spans="1:12" x14ac:dyDescent="0.25">
      <c r="A12" s="5">
        <f t="shared" si="0"/>
        <v>1.0008999999999999</v>
      </c>
      <c r="B12" s="6" t="s">
        <v>128</v>
      </c>
      <c r="C12" s="9" t="s">
        <v>168</v>
      </c>
      <c r="D12" s="7" t="s">
        <v>167</v>
      </c>
      <c r="E12" s="6"/>
      <c r="F12" s="8" t="s">
        <v>5</v>
      </c>
      <c r="G12" s="8">
        <f t="shared" si="1"/>
        <v>1</v>
      </c>
      <c r="H12" s="8">
        <f t="shared" si="1"/>
        <v>0</v>
      </c>
      <c r="I12" s="8">
        <f t="shared" si="1"/>
        <v>0</v>
      </c>
      <c r="J12" s="8">
        <f t="shared" si="1"/>
        <v>0</v>
      </c>
      <c r="K12" s="8">
        <f t="shared" si="1"/>
        <v>0</v>
      </c>
      <c r="L12" s="7"/>
    </row>
    <row r="13" spans="1:12" x14ac:dyDescent="0.25">
      <c r="A13" s="5">
        <f t="shared" si="0"/>
        <v>1.0009999999999999</v>
      </c>
      <c r="B13" s="6"/>
      <c r="C13" s="9" t="s">
        <v>207</v>
      </c>
      <c r="D13" s="7" t="s">
        <v>135</v>
      </c>
      <c r="E13" s="6"/>
      <c r="F13" s="8" t="s">
        <v>5</v>
      </c>
      <c r="G13" s="8">
        <f t="shared" si="1"/>
        <v>1</v>
      </c>
      <c r="H13" s="8">
        <f t="shared" si="1"/>
        <v>0</v>
      </c>
      <c r="I13" s="8">
        <f t="shared" si="1"/>
        <v>0</v>
      </c>
      <c r="J13" s="8">
        <f t="shared" si="1"/>
        <v>0</v>
      </c>
      <c r="K13" s="8">
        <f t="shared" si="1"/>
        <v>0</v>
      </c>
      <c r="L13" s="7"/>
    </row>
    <row r="14" spans="1:12" x14ac:dyDescent="0.25">
      <c r="A14" s="5">
        <f t="shared" si="0"/>
        <v>1.0010999999999999</v>
      </c>
      <c r="B14" s="7"/>
      <c r="C14" s="6"/>
      <c r="D14" s="21"/>
      <c r="E14" s="6"/>
      <c r="F14" s="8"/>
      <c r="G14" s="8"/>
      <c r="H14" s="8"/>
      <c r="I14" s="8"/>
      <c r="J14" s="8"/>
      <c r="K14" s="8"/>
      <c r="L14" s="7"/>
    </row>
    <row r="15" spans="1:12" x14ac:dyDescent="0.25">
      <c r="A15" s="5">
        <f t="shared" si="0"/>
        <v>1.0011999999999999</v>
      </c>
      <c r="B15" s="7"/>
      <c r="C15" s="6"/>
      <c r="D15" s="7"/>
      <c r="E15" s="7"/>
      <c r="F15" s="8"/>
      <c r="G15" s="8"/>
      <c r="H15" s="8"/>
      <c r="I15" s="8"/>
      <c r="J15" s="8"/>
      <c r="K15" s="8"/>
      <c r="L15" s="7"/>
    </row>
    <row r="16" spans="1:12" x14ac:dyDescent="0.25">
      <c r="A16" s="5">
        <f t="shared" si="0"/>
        <v>1.0012999999999999</v>
      </c>
      <c r="B16" s="7"/>
      <c r="C16" s="6"/>
      <c r="D16" s="7"/>
      <c r="E16" s="7"/>
      <c r="F16" s="8"/>
      <c r="G16" s="8"/>
      <c r="H16" s="8"/>
      <c r="I16" s="8"/>
      <c r="J16" s="8"/>
      <c r="K16" s="8"/>
      <c r="L16" s="7"/>
    </row>
    <row r="17" spans="1:12" s="53" customFormat="1" x14ac:dyDescent="0.25">
      <c r="A17" s="5">
        <f t="shared" si="0"/>
        <v>1.0013999999999998</v>
      </c>
      <c r="B17" s="55" t="s">
        <v>129</v>
      </c>
      <c r="C17" s="51"/>
      <c r="D17" s="51"/>
      <c r="E17" s="51"/>
      <c r="F17" s="52"/>
      <c r="G17" s="52"/>
      <c r="H17" s="52"/>
      <c r="I17" s="52"/>
      <c r="J17" s="52"/>
      <c r="K17" s="52"/>
      <c r="L17" s="51"/>
    </row>
    <row r="18" spans="1:12" x14ac:dyDescent="0.25">
      <c r="A18" s="5">
        <f t="shared" si="0"/>
        <v>1.0014999999999998</v>
      </c>
      <c r="B18" s="6" t="s">
        <v>130</v>
      </c>
      <c r="C18" s="6" t="s">
        <v>131</v>
      </c>
      <c r="D18" s="7" t="s">
        <v>132</v>
      </c>
      <c r="E18" s="7"/>
      <c r="F18" s="8" t="s">
        <v>5</v>
      </c>
      <c r="G18" s="8">
        <f t="shared" ref="G18:K20" si="2">IF($F18=G$1,1,0)</f>
        <v>1</v>
      </c>
      <c r="H18" s="8">
        <f t="shared" si="2"/>
        <v>0</v>
      </c>
      <c r="I18" s="8">
        <f t="shared" si="2"/>
        <v>0</v>
      </c>
      <c r="J18" s="8">
        <f t="shared" si="2"/>
        <v>0</v>
      </c>
      <c r="K18" s="8">
        <f t="shared" si="2"/>
        <v>0</v>
      </c>
      <c r="L18" s="7"/>
    </row>
    <row r="19" spans="1:12" x14ac:dyDescent="0.25">
      <c r="A19" s="5">
        <f t="shared" si="0"/>
        <v>1.0015999999999998</v>
      </c>
      <c r="B19" s="6"/>
      <c r="C19" s="6"/>
      <c r="D19" s="7"/>
      <c r="E19" s="7"/>
      <c r="F19" s="8"/>
      <c r="G19" s="8"/>
      <c r="H19" s="8"/>
      <c r="I19" s="8"/>
      <c r="J19" s="8"/>
      <c r="K19" s="8"/>
      <c r="L19" s="7"/>
    </row>
    <row r="20" spans="1:12" x14ac:dyDescent="0.25">
      <c r="A20" s="5">
        <f t="shared" si="0"/>
        <v>1.0016999999999998</v>
      </c>
      <c r="B20" s="6" t="s">
        <v>133</v>
      </c>
      <c r="C20" s="6" t="s">
        <v>134</v>
      </c>
      <c r="D20" s="7" t="s">
        <v>132</v>
      </c>
      <c r="E20" s="7"/>
      <c r="F20" s="8" t="s">
        <v>5</v>
      </c>
      <c r="G20" s="8">
        <f t="shared" si="2"/>
        <v>1</v>
      </c>
      <c r="H20" s="8">
        <f t="shared" si="2"/>
        <v>0</v>
      </c>
      <c r="I20" s="8">
        <f t="shared" si="2"/>
        <v>0</v>
      </c>
      <c r="J20" s="8">
        <f t="shared" si="2"/>
        <v>0</v>
      </c>
      <c r="K20" s="8">
        <f t="shared" si="2"/>
        <v>0</v>
      </c>
      <c r="L20" s="7"/>
    </row>
    <row r="21" spans="1:12" x14ac:dyDescent="0.25">
      <c r="A21" s="5">
        <f t="shared" si="0"/>
        <v>1.0017999999999998</v>
      </c>
      <c r="B21" s="6"/>
      <c r="C21" s="6"/>
      <c r="D21" s="7"/>
      <c r="E21" s="7"/>
      <c r="F21" s="8"/>
      <c r="G21" s="8"/>
      <c r="H21" s="8"/>
      <c r="I21" s="8"/>
      <c r="J21" s="8"/>
      <c r="K21" s="8"/>
      <c r="L21" s="7"/>
    </row>
    <row r="22" spans="1:12" ht="30" customHeight="1" x14ac:dyDescent="0.25">
      <c r="A22" s="5">
        <f t="shared" si="0"/>
        <v>1.0018999999999998</v>
      </c>
      <c r="B22" s="6"/>
      <c r="C22" s="6"/>
      <c r="D22" s="49" t="s">
        <v>136</v>
      </c>
      <c r="E22" s="7"/>
      <c r="F22" s="8"/>
      <c r="G22" s="8"/>
      <c r="H22" s="8"/>
      <c r="I22" s="8"/>
      <c r="J22" s="8"/>
      <c r="K22" s="8"/>
      <c r="L22" s="7"/>
    </row>
    <row r="23" spans="1:12" x14ac:dyDescent="0.25">
      <c r="A23" s="5">
        <f t="shared" si="0"/>
        <v>1.0019999999999998</v>
      </c>
      <c r="B23" s="6"/>
      <c r="C23" s="6"/>
      <c r="D23" s="7"/>
      <c r="E23" s="7"/>
      <c r="F23" s="8"/>
      <c r="G23" s="8"/>
      <c r="H23" s="8"/>
      <c r="I23" s="8"/>
      <c r="J23" s="8"/>
      <c r="K23" s="8"/>
      <c r="L23" s="7"/>
    </row>
    <row r="24" spans="1:12" s="53" customFormat="1" x14ac:dyDescent="0.25">
      <c r="A24" s="5">
        <f t="shared" si="0"/>
        <v>1.0020999999999998</v>
      </c>
      <c r="B24" s="55" t="s">
        <v>139</v>
      </c>
      <c r="C24" s="51"/>
      <c r="D24" s="51"/>
      <c r="E24" s="51"/>
      <c r="F24" s="52"/>
      <c r="G24" s="52"/>
      <c r="H24" s="52"/>
      <c r="I24" s="52"/>
      <c r="J24" s="52"/>
      <c r="K24" s="52"/>
      <c r="L24" s="51"/>
    </row>
    <row r="25" spans="1:12" x14ac:dyDescent="0.25">
      <c r="A25" s="5">
        <f t="shared" si="0"/>
        <v>1.0021999999999998</v>
      </c>
      <c r="B25" s="7"/>
      <c r="C25" s="6"/>
      <c r="D25" s="7"/>
      <c r="E25" s="7"/>
      <c r="F25" s="8"/>
      <c r="G25" s="8"/>
      <c r="H25" s="8"/>
      <c r="I25" s="8"/>
      <c r="J25" s="8"/>
      <c r="K25" s="8"/>
      <c r="L25" s="7"/>
    </row>
    <row r="26" spans="1:12" x14ac:dyDescent="0.25">
      <c r="A26" s="5">
        <f t="shared" si="0"/>
        <v>1.0022999999999997</v>
      </c>
      <c r="B26" s="7" t="s">
        <v>140</v>
      </c>
      <c r="C26" s="6" t="s">
        <v>141</v>
      </c>
      <c r="D26" s="7"/>
      <c r="E26" s="7"/>
      <c r="F26" s="8" t="s">
        <v>5</v>
      </c>
      <c r="G26" s="8">
        <f t="shared" ref="G26:K30" si="3">IF($F26=G$1,1,0)</f>
        <v>1</v>
      </c>
      <c r="H26" s="8">
        <f t="shared" si="3"/>
        <v>0</v>
      </c>
      <c r="I26" s="8">
        <f t="shared" si="3"/>
        <v>0</v>
      </c>
      <c r="J26" s="8">
        <f t="shared" si="3"/>
        <v>0</v>
      </c>
      <c r="K26" s="8">
        <f t="shared" si="3"/>
        <v>0</v>
      </c>
      <c r="L26" s="7"/>
    </row>
    <row r="27" spans="1:12" x14ac:dyDescent="0.25">
      <c r="A27" s="5">
        <f t="shared" si="0"/>
        <v>1.0023999999999997</v>
      </c>
      <c r="B27" s="6" t="s">
        <v>142</v>
      </c>
      <c r="C27" s="6" t="s">
        <v>143</v>
      </c>
      <c r="D27" s="7"/>
      <c r="E27" s="7"/>
      <c r="F27" s="8" t="s">
        <v>5</v>
      </c>
      <c r="G27" s="8">
        <f t="shared" si="3"/>
        <v>1</v>
      </c>
      <c r="H27" s="8">
        <f t="shared" si="3"/>
        <v>0</v>
      </c>
      <c r="I27" s="8">
        <f t="shared" si="3"/>
        <v>0</v>
      </c>
      <c r="J27" s="8">
        <f t="shared" si="3"/>
        <v>0</v>
      </c>
      <c r="K27" s="8">
        <f t="shared" si="3"/>
        <v>0</v>
      </c>
      <c r="L27" s="7"/>
    </row>
    <row r="28" spans="1:12" x14ac:dyDescent="0.25">
      <c r="A28" s="5">
        <f t="shared" si="0"/>
        <v>1.0024999999999997</v>
      </c>
      <c r="B28" s="6"/>
      <c r="C28" s="6"/>
      <c r="D28" s="7"/>
      <c r="E28" s="7"/>
      <c r="F28" s="8"/>
      <c r="G28" s="8"/>
      <c r="H28" s="8"/>
      <c r="I28" s="8"/>
      <c r="J28" s="8"/>
      <c r="K28" s="8"/>
      <c r="L28" s="7"/>
    </row>
    <row r="29" spans="1:12" x14ac:dyDescent="0.25">
      <c r="A29" s="5">
        <f t="shared" si="0"/>
        <v>1.0025999999999997</v>
      </c>
      <c r="B29" s="6" t="s">
        <v>145</v>
      </c>
      <c r="C29" s="6" t="s">
        <v>146</v>
      </c>
      <c r="D29" s="7"/>
      <c r="E29" s="7"/>
      <c r="F29" s="8" t="s">
        <v>5</v>
      </c>
      <c r="G29" s="8">
        <f t="shared" si="3"/>
        <v>1</v>
      </c>
      <c r="H29" s="8">
        <f t="shared" si="3"/>
        <v>0</v>
      </c>
      <c r="I29" s="8">
        <f t="shared" si="3"/>
        <v>0</v>
      </c>
      <c r="J29" s="8">
        <f t="shared" si="3"/>
        <v>0</v>
      </c>
      <c r="K29" s="8">
        <f t="shared" si="3"/>
        <v>0</v>
      </c>
      <c r="L29" s="7"/>
    </row>
    <row r="30" spans="1:12" x14ac:dyDescent="0.25">
      <c r="A30" s="5">
        <f t="shared" si="0"/>
        <v>1.0026999999999997</v>
      </c>
      <c r="B30" s="6" t="s">
        <v>204</v>
      </c>
      <c r="C30" s="6" t="s">
        <v>161</v>
      </c>
      <c r="D30" s="7"/>
      <c r="E30" s="7"/>
      <c r="F30" s="8" t="s">
        <v>5</v>
      </c>
      <c r="G30" s="8">
        <f t="shared" si="3"/>
        <v>1</v>
      </c>
      <c r="H30" s="8">
        <f t="shared" si="3"/>
        <v>0</v>
      </c>
      <c r="I30" s="8">
        <f t="shared" si="3"/>
        <v>0</v>
      </c>
      <c r="J30" s="8">
        <f t="shared" si="3"/>
        <v>0</v>
      </c>
      <c r="K30" s="8">
        <f t="shared" si="3"/>
        <v>0</v>
      </c>
      <c r="L30" s="7"/>
    </row>
    <row r="31" spans="1:12" x14ac:dyDescent="0.25">
      <c r="A31" s="5">
        <f t="shared" si="0"/>
        <v>1.0027999999999997</v>
      </c>
      <c r="B31" s="7"/>
      <c r="C31" s="6"/>
      <c r="D31" s="7"/>
      <c r="E31" s="7"/>
      <c r="F31" s="8"/>
      <c r="G31" s="8"/>
      <c r="H31" s="8"/>
      <c r="I31" s="8"/>
      <c r="J31" s="8"/>
      <c r="K31" s="8"/>
      <c r="L31" s="7"/>
    </row>
    <row r="32" spans="1:12" s="58" customFormat="1" x14ac:dyDescent="0.25">
      <c r="A32" s="5">
        <f t="shared" si="0"/>
        <v>1.0028999999999997</v>
      </c>
      <c r="B32" s="55" t="s">
        <v>147</v>
      </c>
      <c r="C32" s="54"/>
      <c r="D32" s="54"/>
      <c r="E32" s="54"/>
      <c r="F32" s="57"/>
      <c r="G32" s="57"/>
      <c r="H32" s="57"/>
      <c r="I32" s="57"/>
      <c r="J32" s="57"/>
      <c r="K32" s="57"/>
      <c r="L32" s="54"/>
    </row>
    <row r="33" spans="1:12" x14ac:dyDescent="0.25">
      <c r="A33" s="5">
        <f t="shared" si="0"/>
        <v>1.0029999999999997</v>
      </c>
      <c r="B33" s="7" t="s">
        <v>148</v>
      </c>
      <c r="C33" s="6" t="s">
        <v>149</v>
      </c>
      <c r="D33" s="7"/>
      <c r="E33" s="7"/>
      <c r="F33" s="8"/>
      <c r="G33" s="8">
        <f t="shared" ref="G33:K41" si="4">IF($F33=G$1,1,0)</f>
        <v>0</v>
      </c>
      <c r="H33" s="8">
        <f t="shared" si="4"/>
        <v>0</v>
      </c>
      <c r="I33" s="8">
        <f t="shared" si="4"/>
        <v>1</v>
      </c>
      <c r="J33" s="8">
        <f t="shared" si="4"/>
        <v>0</v>
      </c>
      <c r="K33" s="8">
        <f t="shared" si="4"/>
        <v>0</v>
      </c>
      <c r="L33" s="7"/>
    </row>
    <row r="34" spans="1:12" x14ac:dyDescent="0.25">
      <c r="A34" s="5">
        <f t="shared" si="0"/>
        <v>1.0030999999999997</v>
      </c>
      <c r="B34" s="6"/>
      <c r="C34" s="6"/>
      <c r="D34" s="7"/>
      <c r="E34" s="7"/>
      <c r="F34" s="8"/>
      <c r="G34" s="8"/>
      <c r="H34" s="8"/>
      <c r="I34" s="8"/>
      <c r="J34" s="8"/>
      <c r="K34" s="8"/>
      <c r="L34" s="7"/>
    </row>
    <row r="35" spans="1:12" ht="25.5" x14ac:dyDescent="0.25">
      <c r="A35" s="5">
        <f t="shared" si="0"/>
        <v>1.0031999999999996</v>
      </c>
      <c r="B35" s="59" t="s">
        <v>150</v>
      </c>
      <c r="C35" s="6"/>
      <c r="D35" s="7"/>
      <c r="E35" s="7"/>
      <c r="F35" s="8"/>
      <c r="G35" s="8">
        <f t="shared" si="4"/>
        <v>0</v>
      </c>
      <c r="H35" s="8">
        <f t="shared" si="4"/>
        <v>0</v>
      </c>
      <c r="I35" s="8">
        <f t="shared" si="4"/>
        <v>1</v>
      </c>
      <c r="J35" s="8">
        <f t="shared" si="4"/>
        <v>0</v>
      </c>
      <c r="K35" s="8">
        <f t="shared" si="4"/>
        <v>0</v>
      </c>
      <c r="L35" s="7"/>
    </row>
    <row r="36" spans="1:12" x14ac:dyDescent="0.25">
      <c r="A36" s="5">
        <f t="shared" si="0"/>
        <v>1.0032999999999996</v>
      </c>
      <c r="B36" s="6" t="s">
        <v>155</v>
      </c>
      <c r="C36" s="6" t="s">
        <v>152</v>
      </c>
      <c r="D36" s="7"/>
      <c r="E36" s="7"/>
      <c r="F36" s="8"/>
      <c r="G36" s="8">
        <f t="shared" si="4"/>
        <v>0</v>
      </c>
      <c r="H36" s="8">
        <f t="shared" si="4"/>
        <v>0</v>
      </c>
      <c r="I36" s="8">
        <f t="shared" si="4"/>
        <v>1</v>
      </c>
      <c r="J36" s="8">
        <f t="shared" si="4"/>
        <v>0</v>
      </c>
      <c r="K36" s="8">
        <f t="shared" si="4"/>
        <v>0</v>
      </c>
      <c r="L36" s="7"/>
    </row>
    <row r="37" spans="1:12" x14ac:dyDescent="0.25">
      <c r="A37" s="5">
        <f t="shared" si="0"/>
        <v>1.0033999999999996</v>
      </c>
      <c r="B37" s="7" t="s">
        <v>156</v>
      </c>
      <c r="C37" s="7" t="s">
        <v>153</v>
      </c>
      <c r="D37" s="7"/>
      <c r="E37" s="7"/>
      <c r="F37" s="8"/>
      <c r="G37" s="8">
        <f t="shared" si="4"/>
        <v>0</v>
      </c>
      <c r="H37" s="8">
        <f t="shared" si="4"/>
        <v>0</v>
      </c>
      <c r="I37" s="8">
        <f t="shared" si="4"/>
        <v>1</v>
      </c>
      <c r="J37" s="8">
        <f t="shared" si="4"/>
        <v>0</v>
      </c>
      <c r="K37" s="8">
        <f t="shared" si="4"/>
        <v>0</v>
      </c>
      <c r="L37" s="7"/>
    </row>
    <row r="38" spans="1:12" x14ac:dyDescent="0.25">
      <c r="A38" s="5">
        <f t="shared" si="0"/>
        <v>1.0034999999999996</v>
      </c>
      <c r="B38" s="6" t="s">
        <v>157</v>
      </c>
      <c r="C38" s="6" t="s">
        <v>151</v>
      </c>
      <c r="D38" s="7"/>
      <c r="E38" s="7"/>
      <c r="F38" s="8"/>
      <c r="G38" s="8">
        <f t="shared" si="4"/>
        <v>0</v>
      </c>
      <c r="H38" s="8">
        <f t="shared" si="4"/>
        <v>0</v>
      </c>
      <c r="I38" s="8">
        <f t="shared" si="4"/>
        <v>1</v>
      </c>
      <c r="J38" s="8">
        <f t="shared" si="4"/>
        <v>0</v>
      </c>
      <c r="K38" s="8">
        <f t="shared" si="4"/>
        <v>0</v>
      </c>
      <c r="L38" s="7"/>
    </row>
    <row r="39" spans="1:12" x14ac:dyDescent="0.25">
      <c r="A39" s="5">
        <f t="shared" si="0"/>
        <v>1.0035999999999996</v>
      </c>
      <c r="B39" s="6" t="s">
        <v>158</v>
      </c>
      <c r="C39" s="6" t="s">
        <v>154</v>
      </c>
      <c r="D39" s="7"/>
      <c r="E39" s="7"/>
      <c r="F39" s="8"/>
      <c r="G39" s="8">
        <f t="shared" si="4"/>
        <v>0</v>
      </c>
      <c r="H39" s="8">
        <f t="shared" si="4"/>
        <v>0</v>
      </c>
      <c r="I39" s="8">
        <f t="shared" si="4"/>
        <v>1</v>
      </c>
      <c r="J39" s="8">
        <f t="shared" si="4"/>
        <v>0</v>
      </c>
      <c r="K39" s="8">
        <f t="shared" si="4"/>
        <v>0</v>
      </c>
      <c r="L39" s="7"/>
    </row>
    <row r="40" spans="1:12" x14ac:dyDescent="0.25">
      <c r="A40" s="5">
        <f t="shared" si="0"/>
        <v>1.0036999999999996</v>
      </c>
      <c r="B40" s="6"/>
      <c r="C40" s="6"/>
      <c r="D40" s="7"/>
      <c r="E40" s="7"/>
      <c r="F40" s="8"/>
      <c r="G40" s="8"/>
      <c r="H40" s="8"/>
      <c r="I40" s="8"/>
      <c r="J40" s="8"/>
      <c r="K40" s="8"/>
      <c r="L40" s="7"/>
    </row>
    <row r="41" spans="1:12" ht="15.75" customHeight="1" x14ac:dyDescent="0.25">
      <c r="A41" s="5">
        <f t="shared" si="0"/>
        <v>1.0037999999999996</v>
      </c>
      <c r="B41" s="6" t="s">
        <v>160</v>
      </c>
      <c r="C41" s="6" t="s">
        <v>159</v>
      </c>
      <c r="D41" s="7"/>
      <c r="E41" s="7"/>
      <c r="F41" s="8"/>
      <c r="G41" s="8">
        <f t="shared" si="4"/>
        <v>0</v>
      </c>
      <c r="H41" s="8">
        <f t="shared" si="4"/>
        <v>0</v>
      </c>
      <c r="I41" s="8">
        <f t="shared" si="4"/>
        <v>1</v>
      </c>
      <c r="J41" s="8">
        <f t="shared" si="4"/>
        <v>0</v>
      </c>
      <c r="K41" s="8">
        <f t="shared" si="4"/>
        <v>0</v>
      </c>
      <c r="L41" s="7"/>
    </row>
    <row r="42" spans="1:12" x14ac:dyDescent="0.25">
      <c r="A42" s="5">
        <f t="shared" si="0"/>
        <v>1.0038999999999996</v>
      </c>
      <c r="B42" s="6"/>
      <c r="C42" s="6"/>
      <c r="D42" s="7"/>
      <c r="E42" s="7"/>
      <c r="F42" s="8"/>
      <c r="G42" s="8"/>
      <c r="H42" s="8"/>
      <c r="I42" s="8"/>
      <c r="J42" s="8"/>
      <c r="K42" s="8"/>
      <c r="L42" s="7"/>
    </row>
    <row r="43" spans="1:12" s="53" customFormat="1" x14ac:dyDescent="0.25">
      <c r="A43" s="5">
        <f t="shared" si="0"/>
        <v>1.0039999999999996</v>
      </c>
      <c r="B43" s="55" t="s">
        <v>179</v>
      </c>
      <c r="C43" s="51"/>
      <c r="D43" s="51"/>
      <c r="E43" s="51"/>
      <c r="F43" s="52"/>
      <c r="G43" s="52"/>
      <c r="H43" s="52"/>
      <c r="I43" s="52"/>
      <c r="J43" s="52"/>
      <c r="K43" s="52"/>
      <c r="L43" s="51"/>
    </row>
    <row r="44" spans="1:12" s="46" customFormat="1" x14ac:dyDescent="0.25">
      <c r="A44" s="5">
        <f t="shared" si="0"/>
        <v>1.0040999999999995</v>
      </c>
      <c r="B44" s="25"/>
      <c r="C44" s="61"/>
      <c r="D44" s="56"/>
      <c r="E44" s="56"/>
      <c r="F44" s="60"/>
      <c r="G44" s="60"/>
      <c r="H44" s="60"/>
      <c r="I44" s="60"/>
      <c r="J44" s="60"/>
      <c r="K44" s="60"/>
      <c r="L44" s="56"/>
    </row>
    <row r="45" spans="1:12" s="46" customFormat="1" x14ac:dyDescent="0.25">
      <c r="A45" s="5">
        <f t="shared" si="0"/>
        <v>1.0041999999999995</v>
      </c>
      <c r="B45" s="66" t="s">
        <v>180</v>
      </c>
      <c r="C45" s="66"/>
      <c r="D45" s="56"/>
      <c r="E45" s="56"/>
      <c r="F45" s="60"/>
      <c r="G45" s="60"/>
      <c r="H45" s="60"/>
      <c r="I45" s="60"/>
      <c r="J45" s="60"/>
      <c r="K45" s="60"/>
      <c r="L45" s="56"/>
    </row>
    <row r="46" spans="1:12" s="46" customFormat="1" x14ac:dyDescent="0.25">
      <c r="A46" s="5">
        <f t="shared" si="0"/>
        <v>1.0042999999999995</v>
      </c>
      <c r="B46" s="25" t="s">
        <v>175</v>
      </c>
      <c r="C46" s="61" t="s">
        <v>163</v>
      </c>
      <c r="D46" s="56"/>
      <c r="E46" s="56"/>
      <c r="F46" s="60"/>
      <c r="G46" s="8">
        <f t="shared" ref="G46:K53" si="5">IF($F46=G$1,1,0)</f>
        <v>0</v>
      </c>
      <c r="H46" s="8">
        <f t="shared" si="5"/>
        <v>0</v>
      </c>
      <c r="I46" s="8">
        <f t="shared" si="5"/>
        <v>1</v>
      </c>
      <c r="J46" s="8">
        <f t="shared" si="5"/>
        <v>0</v>
      </c>
      <c r="K46" s="8">
        <f t="shared" si="5"/>
        <v>0</v>
      </c>
      <c r="L46" s="56"/>
    </row>
    <row r="47" spans="1:12" s="46" customFormat="1" x14ac:dyDescent="0.25">
      <c r="A47" s="5">
        <f t="shared" si="0"/>
        <v>1.0043999999999995</v>
      </c>
      <c r="B47" s="7" t="s">
        <v>172</v>
      </c>
      <c r="C47" s="61" t="s">
        <v>164</v>
      </c>
      <c r="D47" s="56"/>
      <c r="E47" s="56"/>
      <c r="F47" s="60"/>
      <c r="G47" s="8">
        <f t="shared" si="5"/>
        <v>0</v>
      </c>
      <c r="H47" s="8">
        <f t="shared" si="5"/>
        <v>0</v>
      </c>
      <c r="I47" s="8">
        <f t="shared" si="5"/>
        <v>1</v>
      </c>
      <c r="J47" s="8">
        <f t="shared" si="5"/>
        <v>0</v>
      </c>
      <c r="K47" s="8">
        <f t="shared" si="5"/>
        <v>0</v>
      </c>
      <c r="L47" s="56"/>
    </row>
    <row r="48" spans="1:12" s="46" customFormat="1" x14ac:dyDescent="0.25">
      <c r="A48" s="5">
        <f t="shared" si="0"/>
        <v>1.0044999999999995</v>
      </c>
      <c r="B48" s="62"/>
      <c r="C48" s="61" t="s">
        <v>165</v>
      </c>
      <c r="D48" s="56"/>
      <c r="E48" s="56"/>
      <c r="F48" s="60"/>
      <c r="G48" s="8">
        <f t="shared" si="5"/>
        <v>0</v>
      </c>
      <c r="H48" s="8">
        <f t="shared" si="5"/>
        <v>0</v>
      </c>
      <c r="I48" s="8">
        <f t="shared" si="5"/>
        <v>1</v>
      </c>
      <c r="J48" s="8">
        <f t="shared" si="5"/>
        <v>0</v>
      </c>
      <c r="K48" s="8">
        <f t="shared" si="5"/>
        <v>0</v>
      </c>
      <c r="L48" s="56"/>
    </row>
    <row r="49" spans="1:12" s="46" customFormat="1" x14ac:dyDescent="0.25">
      <c r="A49" s="5">
        <f t="shared" si="0"/>
        <v>1.0045999999999995</v>
      </c>
      <c r="B49" s="62"/>
      <c r="C49" s="61" t="s">
        <v>166</v>
      </c>
      <c r="D49" s="56"/>
      <c r="E49" s="56"/>
      <c r="F49" s="60"/>
      <c r="G49" s="8">
        <f t="shared" si="5"/>
        <v>0</v>
      </c>
      <c r="H49" s="8">
        <f t="shared" si="5"/>
        <v>0</v>
      </c>
      <c r="I49" s="8">
        <f t="shared" si="5"/>
        <v>1</v>
      </c>
      <c r="J49" s="8">
        <f t="shared" si="5"/>
        <v>0</v>
      </c>
      <c r="K49" s="8">
        <f t="shared" si="5"/>
        <v>0</v>
      </c>
      <c r="L49" s="56"/>
    </row>
    <row r="50" spans="1:12" s="46" customFormat="1" x14ac:dyDescent="0.25">
      <c r="A50" s="5">
        <f t="shared" si="0"/>
        <v>1.0046999999999995</v>
      </c>
      <c r="B50" s="62"/>
      <c r="C50" s="61" t="s">
        <v>171</v>
      </c>
      <c r="D50" s="56"/>
      <c r="E50" s="56"/>
      <c r="F50" s="60"/>
      <c r="G50" s="8">
        <f t="shared" si="5"/>
        <v>0</v>
      </c>
      <c r="H50" s="8">
        <f t="shared" si="5"/>
        <v>0</v>
      </c>
      <c r="I50" s="8">
        <f t="shared" si="5"/>
        <v>1</v>
      </c>
      <c r="J50" s="8">
        <f t="shared" si="5"/>
        <v>0</v>
      </c>
      <c r="K50" s="8">
        <f t="shared" si="5"/>
        <v>0</v>
      </c>
      <c r="L50" s="56"/>
    </row>
    <row r="51" spans="1:12" s="46" customFormat="1" x14ac:dyDescent="0.25">
      <c r="A51" s="5">
        <f t="shared" si="0"/>
        <v>1.0047999999999995</v>
      </c>
      <c r="B51" s="65" t="s">
        <v>169</v>
      </c>
      <c r="C51" s="49" t="s">
        <v>170</v>
      </c>
      <c r="D51" s="56"/>
      <c r="E51" s="56"/>
      <c r="F51" s="60"/>
      <c r="G51" s="8">
        <f t="shared" si="5"/>
        <v>0</v>
      </c>
      <c r="H51" s="8">
        <f t="shared" si="5"/>
        <v>0</v>
      </c>
      <c r="I51" s="8">
        <f t="shared" si="5"/>
        <v>1</v>
      </c>
      <c r="J51" s="8">
        <f t="shared" si="5"/>
        <v>0</v>
      </c>
      <c r="K51" s="8">
        <f t="shared" si="5"/>
        <v>0</v>
      </c>
      <c r="L51" s="56"/>
    </row>
    <row r="52" spans="1:12" s="46" customFormat="1" x14ac:dyDescent="0.25">
      <c r="A52" s="5">
        <f t="shared" si="0"/>
        <v>1.0048999999999995</v>
      </c>
      <c r="B52" s="62"/>
      <c r="C52" s="56" t="s">
        <v>173</v>
      </c>
      <c r="D52" s="56"/>
      <c r="E52" s="56"/>
      <c r="F52" s="60"/>
      <c r="G52" s="8">
        <f t="shared" si="5"/>
        <v>0</v>
      </c>
      <c r="H52" s="8">
        <f t="shared" si="5"/>
        <v>0</v>
      </c>
      <c r="I52" s="8">
        <f t="shared" si="5"/>
        <v>1</v>
      </c>
      <c r="J52" s="8">
        <f t="shared" si="5"/>
        <v>0</v>
      </c>
      <c r="K52" s="8">
        <f t="shared" si="5"/>
        <v>0</v>
      </c>
      <c r="L52" s="56"/>
    </row>
    <row r="53" spans="1:12" s="46" customFormat="1" x14ac:dyDescent="0.25">
      <c r="A53" s="5">
        <f t="shared" si="0"/>
        <v>1.0049999999999994</v>
      </c>
      <c r="B53" s="62"/>
      <c r="C53" s="56" t="s">
        <v>174</v>
      </c>
      <c r="D53" s="56"/>
      <c r="E53" s="56"/>
      <c r="F53" s="60"/>
      <c r="G53" s="8">
        <f t="shared" si="5"/>
        <v>0</v>
      </c>
      <c r="H53" s="8">
        <f t="shared" si="5"/>
        <v>0</v>
      </c>
      <c r="I53" s="8">
        <f t="shared" si="5"/>
        <v>1</v>
      </c>
      <c r="J53" s="8">
        <f t="shared" si="5"/>
        <v>0</v>
      </c>
      <c r="K53" s="8">
        <f t="shared" si="5"/>
        <v>0</v>
      </c>
      <c r="L53" s="56"/>
    </row>
    <row r="54" spans="1:12" s="46" customFormat="1" x14ac:dyDescent="0.25">
      <c r="A54" s="5">
        <f t="shared" si="0"/>
        <v>1.0050999999999994</v>
      </c>
      <c r="B54" s="62"/>
      <c r="C54" s="56"/>
      <c r="D54" s="56"/>
      <c r="E54" s="56"/>
      <c r="F54" s="60"/>
      <c r="G54" s="60"/>
      <c r="H54" s="60"/>
      <c r="I54" s="60"/>
      <c r="J54" s="60"/>
      <c r="K54" s="60"/>
      <c r="L54" s="56"/>
    </row>
    <row r="55" spans="1:12" s="46" customFormat="1" x14ac:dyDescent="0.25">
      <c r="A55" s="5">
        <f t="shared" si="0"/>
        <v>1.0051999999999994</v>
      </c>
      <c r="B55" s="67" t="s">
        <v>181</v>
      </c>
      <c r="C55" s="68"/>
      <c r="D55" s="56"/>
      <c r="E55" s="56"/>
      <c r="F55" s="60"/>
      <c r="G55" s="60"/>
      <c r="H55" s="60"/>
      <c r="I55" s="60"/>
      <c r="J55" s="60"/>
      <c r="K55" s="60"/>
      <c r="L55" s="56"/>
    </row>
    <row r="56" spans="1:12" s="46" customFormat="1" x14ac:dyDescent="0.25">
      <c r="A56" s="5">
        <f t="shared" si="0"/>
        <v>1.0052999999999994</v>
      </c>
      <c r="B56" s="64" t="s">
        <v>176</v>
      </c>
      <c r="C56" s="56" t="s">
        <v>177</v>
      </c>
      <c r="D56" s="56"/>
      <c r="E56" s="56"/>
      <c r="F56" s="60"/>
      <c r="G56" s="8">
        <f t="shared" ref="G56:K63" si="6">IF($F56=G$1,1,0)</f>
        <v>0</v>
      </c>
      <c r="H56" s="8">
        <f t="shared" si="6"/>
        <v>0</v>
      </c>
      <c r="I56" s="8">
        <f t="shared" si="6"/>
        <v>1</v>
      </c>
      <c r="J56" s="8">
        <f t="shared" si="6"/>
        <v>0</v>
      </c>
      <c r="K56" s="8">
        <f t="shared" si="6"/>
        <v>0</v>
      </c>
      <c r="L56" s="56"/>
    </row>
    <row r="57" spans="1:12" s="46" customFormat="1" x14ac:dyDescent="0.25">
      <c r="A57" s="5">
        <f t="shared" si="0"/>
        <v>1.0053999999999994</v>
      </c>
      <c r="B57" s="7" t="s">
        <v>172</v>
      </c>
      <c r="C57" s="61" t="s">
        <v>164</v>
      </c>
      <c r="D57" s="56"/>
      <c r="E57" s="56"/>
      <c r="F57" s="60"/>
      <c r="G57" s="8">
        <f t="shared" si="6"/>
        <v>0</v>
      </c>
      <c r="H57" s="8">
        <f t="shared" si="6"/>
        <v>0</v>
      </c>
      <c r="I57" s="8">
        <f t="shared" si="6"/>
        <v>1</v>
      </c>
      <c r="J57" s="8">
        <f t="shared" si="6"/>
        <v>0</v>
      </c>
      <c r="K57" s="8">
        <f t="shared" si="6"/>
        <v>0</v>
      </c>
      <c r="L57" s="56"/>
    </row>
    <row r="58" spans="1:12" s="46" customFormat="1" x14ac:dyDescent="0.25">
      <c r="A58" s="5">
        <f t="shared" si="0"/>
        <v>1.0054999999999994</v>
      </c>
      <c r="B58" s="62"/>
      <c r="C58" s="61" t="s">
        <v>165</v>
      </c>
      <c r="D58" s="56"/>
      <c r="E58" s="56"/>
      <c r="F58" s="60"/>
      <c r="G58" s="8">
        <f t="shared" si="6"/>
        <v>0</v>
      </c>
      <c r="H58" s="8">
        <f t="shared" si="6"/>
        <v>0</v>
      </c>
      <c r="I58" s="8">
        <f t="shared" si="6"/>
        <v>1</v>
      </c>
      <c r="J58" s="8">
        <f t="shared" si="6"/>
        <v>0</v>
      </c>
      <c r="K58" s="8">
        <f t="shared" si="6"/>
        <v>0</v>
      </c>
      <c r="L58" s="56"/>
    </row>
    <row r="59" spans="1:12" s="46" customFormat="1" x14ac:dyDescent="0.25">
      <c r="A59" s="5">
        <f t="shared" si="0"/>
        <v>1.0055999999999994</v>
      </c>
      <c r="B59" s="62"/>
      <c r="C59" s="61" t="s">
        <v>166</v>
      </c>
      <c r="D59" s="56"/>
      <c r="E59" s="56"/>
      <c r="F59" s="60"/>
      <c r="G59" s="8">
        <f t="shared" si="6"/>
        <v>0</v>
      </c>
      <c r="H59" s="8">
        <f t="shared" si="6"/>
        <v>0</v>
      </c>
      <c r="I59" s="8">
        <f t="shared" si="6"/>
        <v>1</v>
      </c>
      <c r="J59" s="8">
        <f t="shared" si="6"/>
        <v>0</v>
      </c>
      <c r="K59" s="8">
        <f t="shared" si="6"/>
        <v>0</v>
      </c>
      <c r="L59" s="56"/>
    </row>
    <row r="60" spans="1:12" x14ac:dyDescent="0.25">
      <c r="A60" s="5">
        <f t="shared" si="0"/>
        <v>1.0056999999999994</v>
      </c>
      <c r="B60" s="62"/>
      <c r="C60" s="61" t="s">
        <v>171</v>
      </c>
      <c r="D60" s="7"/>
      <c r="E60" s="7"/>
      <c r="F60" s="60"/>
      <c r="G60" s="8">
        <f t="shared" si="6"/>
        <v>0</v>
      </c>
      <c r="H60" s="8">
        <f t="shared" si="6"/>
        <v>0</v>
      </c>
      <c r="I60" s="8">
        <f t="shared" si="6"/>
        <v>1</v>
      </c>
      <c r="J60" s="8">
        <f t="shared" si="6"/>
        <v>0</v>
      </c>
      <c r="K60" s="8">
        <f t="shared" si="6"/>
        <v>0</v>
      </c>
      <c r="L60" s="7"/>
    </row>
    <row r="61" spans="1:12" ht="14.45" x14ac:dyDescent="0.3">
      <c r="A61" s="5">
        <f t="shared" si="0"/>
        <v>1.0057999999999994</v>
      </c>
      <c r="B61" s="65" t="s">
        <v>188</v>
      </c>
      <c r="C61" s="49" t="s">
        <v>170</v>
      </c>
      <c r="D61" s="7"/>
      <c r="E61" s="7"/>
      <c r="F61" s="60"/>
      <c r="G61" s="8">
        <f t="shared" si="6"/>
        <v>0</v>
      </c>
      <c r="H61" s="8">
        <f t="shared" si="6"/>
        <v>0</v>
      </c>
      <c r="I61" s="8">
        <f t="shared" si="6"/>
        <v>1</v>
      </c>
      <c r="J61" s="8">
        <f t="shared" si="6"/>
        <v>0</v>
      </c>
      <c r="K61" s="8">
        <f t="shared" si="6"/>
        <v>0</v>
      </c>
      <c r="L61" s="7"/>
    </row>
    <row r="62" spans="1:12" ht="14.45" x14ac:dyDescent="0.3">
      <c r="A62" s="5">
        <f t="shared" si="0"/>
        <v>1.0058999999999994</v>
      </c>
      <c r="B62" s="62"/>
      <c r="C62" s="56" t="s">
        <v>178</v>
      </c>
      <c r="D62" s="7"/>
      <c r="E62" s="7"/>
      <c r="F62" s="60"/>
      <c r="G62" s="8">
        <f t="shared" si="6"/>
        <v>0</v>
      </c>
      <c r="H62" s="8">
        <f t="shared" si="6"/>
        <v>0</v>
      </c>
      <c r="I62" s="8">
        <f t="shared" si="6"/>
        <v>1</v>
      </c>
      <c r="J62" s="8">
        <f t="shared" si="6"/>
        <v>0</v>
      </c>
      <c r="K62" s="8">
        <f t="shared" si="6"/>
        <v>0</v>
      </c>
      <c r="L62" s="7"/>
    </row>
    <row r="63" spans="1:12" ht="14.45" x14ac:dyDescent="0.3">
      <c r="A63" s="5">
        <f t="shared" si="0"/>
        <v>1.0059999999999993</v>
      </c>
      <c r="B63" s="62"/>
      <c r="C63" s="56" t="s">
        <v>174</v>
      </c>
      <c r="D63" s="7"/>
      <c r="E63" s="7"/>
      <c r="F63" s="60"/>
      <c r="G63" s="8">
        <f t="shared" si="6"/>
        <v>0</v>
      </c>
      <c r="H63" s="8">
        <f t="shared" si="6"/>
        <v>0</v>
      </c>
      <c r="I63" s="8">
        <f t="shared" si="6"/>
        <v>1</v>
      </c>
      <c r="J63" s="8">
        <f t="shared" si="6"/>
        <v>0</v>
      </c>
      <c r="K63" s="8">
        <f t="shared" si="6"/>
        <v>0</v>
      </c>
      <c r="L63" s="7"/>
    </row>
    <row r="64" spans="1:12" ht="14.45" x14ac:dyDescent="0.3">
      <c r="A64" s="5">
        <f t="shared" si="0"/>
        <v>1.0060999999999993</v>
      </c>
      <c r="B64" s="63"/>
      <c r="C64" s="6"/>
      <c r="D64" s="7"/>
      <c r="E64" s="7"/>
      <c r="F64" s="8"/>
      <c r="G64" s="8"/>
      <c r="H64" s="8"/>
      <c r="I64" s="8"/>
      <c r="J64" s="8"/>
      <c r="K64" s="8"/>
      <c r="L64" s="7"/>
    </row>
    <row r="65" spans="1:12" s="70" customFormat="1" ht="14.45" x14ac:dyDescent="0.3">
      <c r="A65" s="5">
        <f t="shared" si="0"/>
        <v>1.0061999999999993</v>
      </c>
      <c r="B65" s="55" t="s">
        <v>182</v>
      </c>
      <c r="C65" s="51"/>
      <c r="D65" s="68"/>
      <c r="E65" s="68"/>
      <c r="F65" s="69"/>
      <c r="G65" s="69"/>
      <c r="H65" s="69"/>
      <c r="I65" s="69"/>
      <c r="J65" s="69"/>
      <c r="K65" s="69"/>
      <c r="L65" s="68"/>
    </row>
    <row r="66" spans="1:12" ht="14.45" x14ac:dyDescent="0.3">
      <c r="A66" s="5">
        <f t="shared" si="0"/>
        <v>1.0062999999999993</v>
      </c>
      <c r="B66" s="25"/>
      <c r="C66" s="61"/>
      <c r="D66" s="7"/>
      <c r="E66" s="7"/>
      <c r="F66" s="8"/>
      <c r="G66" s="8"/>
      <c r="H66" s="8"/>
      <c r="I66" s="8"/>
      <c r="J66" s="8"/>
      <c r="K66" s="8"/>
      <c r="L66" s="7"/>
    </row>
    <row r="67" spans="1:12" ht="14.45" x14ac:dyDescent="0.3">
      <c r="A67" s="5">
        <f t="shared" si="0"/>
        <v>1.0063999999999993</v>
      </c>
      <c r="B67" s="66" t="s">
        <v>186</v>
      </c>
      <c r="C67" s="66"/>
      <c r="D67" s="7"/>
      <c r="E67" s="7"/>
      <c r="F67" s="8"/>
      <c r="G67" s="8"/>
      <c r="H67" s="8"/>
      <c r="I67" s="8"/>
      <c r="J67" s="8"/>
      <c r="K67" s="8"/>
      <c r="L67" s="7"/>
    </row>
    <row r="68" spans="1:12" ht="14.45" x14ac:dyDescent="0.3">
      <c r="A68" s="5">
        <f t="shared" si="0"/>
        <v>1.0064999999999993</v>
      </c>
      <c r="B68" s="25" t="s">
        <v>175</v>
      </c>
      <c r="C68" s="61" t="s">
        <v>163</v>
      </c>
      <c r="D68" s="7"/>
      <c r="E68" s="7"/>
      <c r="F68" s="8"/>
      <c r="G68" s="8">
        <f t="shared" ref="G68:K75" si="7">IF($F68=G$1,1,0)</f>
        <v>0</v>
      </c>
      <c r="H68" s="8">
        <f t="shared" si="7"/>
        <v>0</v>
      </c>
      <c r="I68" s="8">
        <f t="shared" si="7"/>
        <v>1</v>
      </c>
      <c r="J68" s="8">
        <f t="shared" si="7"/>
        <v>0</v>
      </c>
      <c r="K68" s="8">
        <f t="shared" si="7"/>
        <v>0</v>
      </c>
      <c r="L68" s="7"/>
    </row>
    <row r="69" spans="1:12" ht="14.45" x14ac:dyDescent="0.3">
      <c r="A69" s="5">
        <f t="shared" si="0"/>
        <v>1.0065999999999993</v>
      </c>
      <c r="B69" s="7" t="s">
        <v>172</v>
      </c>
      <c r="C69" s="61" t="s">
        <v>164</v>
      </c>
      <c r="D69" s="7"/>
      <c r="E69" s="7"/>
      <c r="F69" s="8"/>
      <c r="G69" s="8">
        <f t="shared" si="7"/>
        <v>0</v>
      </c>
      <c r="H69" s="8">
        <f t="shared" si="7"/>
        <v>0</v>
      </c>
      <c r="I69" s="8">
        <f t="shared" si="7"/>
        <v>1</v>
      </c>
      <c r="J69" s="8">
        <f t="shared" si="7"/>
        <v>0</v>
      </c>
      <c r="K69" s="8">
        <f t="shared" si="7"/>
        <v>0</v>
      </c>
      <c r="L69" s="7"/>
    </row>
    <row r="70" spans="1:12" ht="14.45" x14ac:dyDescent="0.3">
      <c r="A70" s="5">
        <f t="shared" si="0"/>
        <v>1.0066999999999993</v>
      </c>
      <c r="B70" s="62"/>
      <c r="C70" s="61" t="s">
        <v>165</v>
      </c>
      <c r="D70" s="7"/>
      <c r="E70" s="7"/>
      <c r="F70" s="8"/>
      <c r="G70" s="8">
        <f t="shared" si="7"/>
        <v>0</v>
      </c>
      <c r="H70" s="8">
        <f t="shared" si="7"/>
        <v>0</v>
      </c>
      <c r="I70" s="8">
        <f t="shared" si="7"/>
        <v>1</v>
      </c>
      <c r="J70" s="8">
        <f t="shared" si="7"/>
        <v>0</v>
      </c>
      <c r="K70" s="8">
        <f t="shared" si="7"/>
        <v>0</v>
      </c>
      <c r="L70" s="7"/>
    </row>
    <row r="71" spans="1:12" ht="14.45" x14ac:dyDescent="0.3">
      <c r="A71" s="5">
        <f t="shared" si="0"/>
        <v>1.0067999999999993</v>
      </c>
      <c r="B71" s="62"/>
      <c r="C71" s="61" t="s">
        <v>166</v>
      </c>
      <c r="D71" s="7"/>
      <c r="E71" s="7"/>
      <c r="F71" s="8"/>
      <c r="G71" s="8">
        <f t="shared" si="7"/>
        <v>0</v>
      </c>
      <c r="H71" s="8">
        <f t="shared" si="7"/>
        <v>0</v>
      </c>
      <c r="I71" s="8">
        <f t="shared" si="7"/>
        <v>1</v>
      </c>
      <c r="J71" s="8">
        <f t="shared" si="7"/>
        <v>0</v>
      </c>
      <c r="K71" s="8">
        <f t="shared" si="7"/>
        <v>0</v>
      </c>
      <c r="L71" s="7"/>
    </row>
    <row r="72" spans="1:12" ht="14.45" x14ac:dyDescent="0.3">
      <c r="A72" s="5">
        <f t="shared" si="0"/>
        <v>1.0068999999999992</v>
      </c>
      <c r="B72" s="62"/>
      <c r="C72" s="61" t="s">
        <v>171</v>
      </c>
      <c r="D72" s="7"/>
      <c r="E72" s="7"/>
      <c r="F72" s="8"/>
      <c r="G72" s="8">
        <f t="shared" si="7"/>
        <v>0</v>
      </c>
      <c r="H72" s="8">
        <f t="shared" si="7"/>
        <v>0</v>
      </c>
      <c r="I72" s="8">
        <f t="shared" si="7"/>
        <v>1</v>
      </c>
      <c r="J72" s="8">
        <f t="shared" si="7"/>
        <v>0</v>
      </c>
      <c r="K72" s="8">
        <f t="shared" si="7"/>
        <v>0</v>
      </c>
      <c r="L72" s="7"/>
    </row>
    <row r="73" spans="1:12" ht="14.45" x14ac:dyDescent="0.3">
      <c r="A73" s="5">
        <f t="shared" si="0"/>
        <v>1.0069999999999992</v>
      </c>
      <c r="B73" s="65" t="s">
        <v>184</v>
      </c>
      <c r="C73" s="49" t="s">
        <v>183</v>
      </c>
      <c r="D73" s="7"/>
      <c r="E73" s="7"/>
      <c r="F73" s="8"/>
      <c r="G73" s="8">
        <f t="shared" si="7"/>
        <v>0</v>
      </c>
      <c r="H73" s="8">
        <f t="shared" si="7"/>
        <v>0</v>
      </c>
      <c r="I73" s="8">
        <f t="shared" si="7"/>
        <v>1</v>
      </c>
      <c r="J73" s="8">
        <f t="shared" si="7"/>
        <v>0</v>
      </c>
      <c r="K73" s="8">
        <f t="shared" si="7"/>
        <v>0</v>
      </c>
      <c r="L73" s="7"/>
    </row>
    <row r="74" spans="1:12" ht="14.45" x14ac:dyDescent="0.3">
      <c r="A74" s="5">
        <f t="shared" si="0"/>
        <v>1.0070999999999992</v>
      </c>
      <c r="B74" s="62"/>
      <c r="C74" s="56" t="s">
        <v>189</v>
      </c>
      <c r="D74" s="7"/>
      <c r="E74" s="7"/>
      <c r="F74" s="8"/>
      <c r="G74" s="8">
        <f t="shared" si="7"/>
        <v>0</v>
      </c>
      <c r="H74" s="8">
        <f t="shared" si="7"/>
        <v>0</v>
      </c>
      <c r="I74" s="8">
        <f t="shared" si="7"/>
        <v>1</v>
      </c>
      <c r="J74" s="8">
        <f t="shared" si="7"/>
        <v>0</v>
      </c>
      <c r="K74" s="8">
        <f t="shared" si="7"/>
        <v>0</v>
      </c>
      <c r="L74" s="7"/>
    </row>
    <row r="75" spans="1:12" ht="14.45" x14ac:dyDescent="0.3">
      <c r="A75" s="5">
        <f t="shared" si="0"/>
        <v>1.0071999999999992</v>
      </c>
      <c r="B75" s="62" t="s">
        <v>191</v>
      </c>
      <c r="C75" s="56" t="s">
        <v>190</v>
      </c>
      <c r="D75" s="7"/>
      <c r="E75" s="7"/>
      <c r="F75" s="8"/>
      <c r="G75" s="8">
        <f t="shared" si="7"/>
        <v>0</v>
      </c>
      <c r="H75" s="8">
        <f t="shared" si="7"/>
        <v>0</v>
      </c>
      <c r="I75" s="8">
        <f t="shared" si="7"/>
        <v>1</v>
      </c>
      <c r="J75" s="8">
        <f t="shared" si="7"/>
        <v>0</v>
      </c>
      <c r="K75" s="8">
        <f t="shared" si="7"/>
        <v>0</v>
      </c>
      <c r="L75" s="7"/>
    </row>
    <row r="76" spans="1:12" ht="14.45" x14ac:dyDescent="0.3">
      <c r="A76" s="5">
        <f t="shared" si="0"/>
        <v>1.0072999999999992</v>
      </c>
      <c r="B76" s="62"/>
      <c r="C76" s="56"/>
      <c r="D76" s="7"/>
      <c r="E76" s="7"/>
      <c r="F76" s="8"/>
      <c r="G76" s="8"/>
      <c r="H76" s="8"/>
      <c r="I76" s="8"/>
      <c r="J76" s="8"/>
      <c r="K76" s="8"/>
      <c r="L76" s="7"/>
    </row>
    <row r="77" spans="1:12" ht="14.45" x14ac:dyDescent="0.3">
      <c r="A77" s="5">
        <f t="shared" si="0"/>
        <v>1.0073999999999992</v>
      </c>
      <c r="B77" s="67" t="s">
        <v>185</v>
      </c>
      <c r="C77" s="68"/>
      <c r="D77" s="7"/>
      <c r="E77" s="7"/>
      <c r="F77" s="8"/>
      <c r="G77" s="8"/>
      <c r="H77" s="8"/>
      <c r="I77" s="8"/>
      <c r="J77" s="8"/>
      <c r="K77" s="8"/>
      <c r="L77" s="7"/>
    </row>
    <row r="78" spans="1:12" ht="14.45" x14ac:dyDescent="0.3">
      <c r="A78" s="5">
        <f t="shared" si="0"/>
        <v>1.0074999999999992</v>
      </c>
      <c r="B78" s="64" t="s">
        <v>176</v>
      </c>
      <c r="C78" s="56" t="s">
        <v>177</v>
      </c>
      <c r="D78" s="7"/>
      <c r="E78" s="7"/>
      <c r="F78" s="8"/>
      <c r="G78" s="8"/>
      <c r="H78" s="8"/>
      <c r="I78" s="8"/>
      <c r="J78" s="8"/>
      <c r="K78" s="8"/>
      <c r="L78" s="7"/>
    </row>
    <row r="79" spans="1:12" ht="14.45" x14ac:dyDescent="0.3">
      <c r="A79" s="5">
        <f t="shared" si="0"/>
        <v>1.0075999999999992</v>
      </c>
      <c r="B79" s="7" t="s">
        <v>172</v>
      </c>
      <c r="C79" s="61" t="s">
        <v>164</v>
      </c>
      <c r="D79" s="7"/>
      <c r="E79" s="7"/>
      <c r="F79" s="8"/>
      <c r="G79" s="8">
        <f t="shared" ref="G79:K85" si="8">IF($F79=G$1,1,0)</f>
        <v>0</v>
      </c>
      <c r="H79" s="8">
        <f t="shared" si="8"/>
        <v>0</v>
      </c>
      <c r="I79" s="8">
        <f t="shared" si="8"/>
        <v>1</v>
      </c>
      <c r="J79" s="8">
        <f t="shared" si="8"/>
        <v>0</v>
      </c>
      <c r="K79" s="8">
        <f t="shared" si="8"/>
        <v>0</v>
      </c>
      <c r="L79" s="7"/>
    </row>
    <row r="80" spans="1:12" ht="14.45" x14ac:dyDescent="0.3">
      <c r="A80" s="5">
        <f t="shared" si="0"/>
        <v>1.0076999999999992</v>
      </c>
      <c r="B80" s="62"/>
      <c r="C80" s="61" t="s">
        <v>165</v>
      </c>
      <c r="D80" s="7"/>
      <c r="E80" s="7"/>
      <c r="F80" s="8"/>
      <c r="G80" s="8">
        <f t="shared" si="8"/>
        <v>0</v>
      </c>
      <c r="H80" s="8">
        <f t="shared" si="8"/>
        <v>0</v>
      </c>
      <c r="I80" s="8">
        <f t="shared" si="8"/>
        <v>1</v>
      </c>
      <c r="J80" s="8">
        <f t="shared" si="8"/>
        <v>0</v>
      </c>
      <c r="K80" s="8">
        <f t="shared" si="8"/>
        <v>0</v>
      </c>
      <c r="L80" s="7"/>
    </row>
    <row r="81" spans="1:12" ht="14.45" x14ac:dyDescent="0.3">
      <c r="A81" s="5">
        <f t="shared" si="0"/>
        <v>1.0077999999999991</v>
      </c>
      <c r="B81" s="62"/>
      <c r="C81" s="61" t="s">
        <v>166</v>
      </c>
      <c r="D81" s="7"/>
      <c r="E81" s="7"/>
      <c r="F81" s="8"/>
      <c r="G81" s="8">
        <f t="shared" si="8"/>
        <v>0</v>
      </c>
      <c r="H81" s="8">
        <f t="shared" si="8"/>
        <v>0</v>
      </c>
      <c r="I81" s="8">
        <f t="shared" si="8"/>
        <v>1</v>
      </c>
      <c r="J81" s="8">
        <f t="shared" si="8"/>
        <v>0</v>
      </c>
      <c r="K81" s="8">
        <f t="shared" si="8"/>
        <v>0</v>
      </c>
      <c r="L81" s="7"/>
    </row>
    <row r="82" spans="1:12" ht="14.45" x14ac:dyDescent="0.3">
      <c r="A82" s="5">
        <f t="shared" si="0"/>
        <v>1.0078999999999991</v>
      </c>
      <c r="B82" s="62"/>
      <c r="C82" s="61" t="s">
        <v>171</v>
      </c>
      <c r="D82" s="7"/>
      <c r="E82" s="7"/>
      <c r="F82" s="8"/>
      <c r="G82" s="8">
        <f t="shared" si="8"/>
        <v>0</v>
      </c>
      <c r="H82" s="8">
        <f t="shared" si="8"/>
        <v>0</v>
      </c>
      <c r="I82" s="8">
        <f t="shared" si="8"/>
        <v>1</v>
      </c>
      <c r="J82" s="8">
        <f t="shared" si="8"/>
        <v>0</v>
      </c>
      <c r="K82" s="8">
        <f t="shared" si="8"/>
        <v>0</v>
      </c>
      <c r="L82" s="7"/>
    </row>
    <row r="83" spans="1:12" ht="14.45" x14ac:dyDescent="0.3">
      <c r="A83" s="5">
        <f t="shared" si="0"/>
        <v>1.0079999999999991</v>
      </c>
      <c r="B83" s="65" t="s">
        <v>187</v>
      </c>
      <c r="C83" s="49" t="s">
        <v>183</v>
      </c>
      <c r="D83" s="7"/>
      <c r="E83" s="7"/>
      <c r="F83" s="8"/>
      <c r="G83" s="8">
        <f t="shared" si="8"/>
        <v>0</v>
      </c>
      <c r="H83" s="8">
        <f t="shared" si="8"/>
        <v>0</v>
      </c>
      <c r="I83" s="8">
        <f t="shared" si="8"/>
        <v>1</v>
      </c>
      <c r="J83" s="8">
        <f t="shared" si="8"/>
        <v>0</v>
      </c>
      <c r="K83" s="8">
        <f t="shared" si="8"/>
        <v>0</v>
      </c>
      <c r="L83" s="7"/>
    </row>
    <row r="84" spans="1:12" ht="14.45" x14ac:dyDescent="0.3">
      <c r="A84" s="5">
        <f t="shared" si="0"/>
        <v>1.0080999999999991</v>
      </c>
      <c r="B84" s="62"/>
      <c r="C84" s="56" t="s">
        <v>192</v>
      </c>
      <c r="D84" s="7"/>
      <c r="E84" s="7"/>
      <c r="F84" s="8"/>
      <c r="G84" s="8">
        <f t="shared" si="8"/>
        <v>0</v>
      </c>
      <c r="H84" s="8">
        <f t="shared" si="8"/>
        <v>0</v>
      </c>
      <c r="I84" s="8">
        <f t="shared" si="8"/>
        <v>1</v>
      </c>
      <c r="J84" s="8">
        <f t="shared" si="8"/>
        <v>0</v>
      </c>
      <c r="K84" s="8">
        <f t="shared" si="8"/>
        <v>0</v>
      </c>
      <c r="L84" s="7"/>
    </row>
    <row r="85" spans="1:12" ht="14.45" x14ac:dyDescent="0.3">
      <c r="A85" s="5">
        <f t="shared" si="0"/>
        <v>1.0081999999999991</v>
      </c>
      <c r="B85" s="62" t="s">
        <v>194</v>
      </c>
      <c r="C85" s="56" t="s">
        <v>193</v>
      </c>
      <c r="D85" s="7"/>
      <c r="E85" s="7"/>
      <c r="F85" s="8"/>
      <c r="G85" s="8">
        <f t="shared" si="8"/>
        <v>0</v>
      </c>
      <c r="H85" s="8">
        <f t="shared" si="8"/>
        <v>0</v>
      </c>
      <c r="I85" s="8">
        <f t="shared" si="8"/>
        <v>1</v>
      </c>
      <c r="J85" s="8">
        <f t="shared" si="8"/>
        <v>0</v>
      </c>
      <c r="K85" s="8">
        <f t="shared" si="8"/>
        <v>0</v>
      </c>
      <c r="L85" s="7"/>
    </row>
    <row r="86" spans="1:12" ht="14.45" x14ac:dyDescent="0.3">
      <c r="A86" s="5">
        <f t="shared" si="0"/>
        <v>1.0082999999999991</v>
      </c>
      <c r="B86" s="63"/>
      <c r="C86" s="6"/>
      <c r="D86" s="7"/>
      <c r="E86" s="7"/>
      <c r="F86" s="8"/>
      <c r="G86" s="8"/>
      <c r="H86" s="8"/>
      <c r="I86" s="8"/>
      <c r="J86" s="8"/>
      <c r="K86" s="8"/>
      <c r="L86" s="7"/>
    </row>
    <row r="87" spans="1:12" ht="14.45" x14ac:dyDescent="0.3">
      <c r="A87" s="5">
        <f t="shared" si="0"/>
        <v>1.0083999999999991</v>
      </c>
      <c r="B87" s="73" t="s">
        <v>196</v>
      </c>
      <c r="C87" s="74" t="s">
        <v>197</v>
      </c>
      <c r="D87" s="73"/>
      <c r="E87" s="7"/>
      <c r="F87" s="8"/>
      <c r="G87" s="8"/>
      <c r="H87" s="8"/>
      <c r="I87" s="8"/>
      <c r="J87" s="8"/>
      <c r="K87" s="8"/>
      <c r="L87" s="7"/>
    </row>
    <row r="88" spans="1:12" ht="52.9" x14ac:dyDescent="0.3">
      <c r="A88" s="5">
        <f t="shared" si="0"/>
        <v>1.0084999999999991</v>
      </c>
      <c r="B88" s="64" t="s">
        <v>200</v>
      </c>
      <c r="C88" s="75" t="s">
        <v>199</v>
      </c>
      <c r="D88" s="7" t="s">
        <v>198</v>
      </c>
      <c r="E88" s="7"/>
      <c r="F88" s="8" t="s">
        <v>8</v>
      </c>
      <c r="G88" s="8">
        <f t="shared" ref="G88:K89" si="9">IF($F88=G$1,1,0)</f>
        <v>0</v>
      </c>
      <c r="H88" s="8">
        <f t="shared" si="9"/>
        <v>0</v>
      </c>
      <c r="I88" s="8">
        <f t="shared" si="9"/>
        <v>0</v>
      </c>
      <c r="J88" s="8">
        <f t="shared" si="9"/>
        <v>0</v>
      </c>
      <c r="K88" s="8">
        <f t="shared" si="9"/>
        <v>1</v>
      </c>
      <c r="L88" s="7"/>
    </row>
    <row r="89" spans="1:12" ht="30" x14ac:dyDescent="0.25">
      <c r="A89" s="5">
        <f t="shared" si="0"/>
        <v>1.0085999999999991</v>
      </c>
      <c r="B89" s="64" t="s">
        <v>201</v>
      </c>
      <c r="C89" s="75" t="s">
        <v>202</v>
      </c>
      <c r="D89" s="7" t="s">
        <v>198</v>
      </c>
      <c r="E89" s="7"/>
      <c r="F89" s="8" t="s">
        <v>8</v>
      </c>
      <c r="G89" s="8">
        <f t="shared" si="9"/>
        <v>0</v>
      </c>
      <c r="H89" s="8">
        <f t="shared" si="9"/>
        <v>0</v>
      </c>
      <c r="I89" s="8">
        <f t="shared" si="9"/>
        <v>0</v>
      </c>
      <c r="J89" s="8">
        <f t="shared" si="9"/>
        <v>0</v>
      </c>
      <c r="K89" s="8">
        <f t="shared" si="9"/>
        <v>1</v>
      </c>
      <c r="L89" s="7"/>
    </row>
    <row r="90" spans="1:12" thickBot="1" x14ac:dyDescent="0.35">
      <c r="G90" s="2">
        <f>SUM(G2:G89)</f>
        <v>9</v>
      </c>
      <c r="H90" s="2">
        <f>SUM(H2:H89)</f>
        <v>0</v>
      </c>
      <c r="I90" s="2">
        <f>SUM(I2:I89)</f>
        <v>38</v>
      </c>
      <c r="J90" s="2">
        <f>SUM(J2:J89)</f>
        <v>0</v>
      </c>
      <c r="K90" s="2">
        <f>SUM(K2:K89)</f>
        <v>2</v>
      </c>
    </row>
    <row r="91" spans="1:12" thickTop="1" x14ac:dyDescent="0.3"/>
  </sheetData>
  <conditionalFormatting sqref="A90:K109 A2:K3 B8:K8 B86:K86 L41:L109 E87:K87 E88:F89 A6:A89 B6:E7 A4:E5 G4:K7">
    <cfRule type="expression" dxfId="66" priority="63">
      <formula>$F2="Fail"</formula>
    </cfRule>
  </conditionalFormatting>
  <conditionalFormatting sqref="B9:K9 B14:K15 B13:C13 B10:E11 B16:C16 B33:C33 B34:F34 B35:E40">
    <cfRule type="expression" dxfId="65" priority="62">
      <formula>$F9="Fail"</formula>
    </cfRule>
  </conditionalFormatting>
  <conditionalFormatting sqref="B42:K43 D44:K45 B54:K55 B46:B50 D57:E60 B64:K64 D65:K67 B41:E41 B49:E53 D46:F46 B61:E63 B56:E56 D76:K78 D47:E48 D68:F75 D79:F85">
    <cfRule type="expression" dxfId="64" priority="61">
      <formula>$F41="Fail"</formula>
    </cfRule>
  </conditionalFormatting>
  <conditionalFormatting sqref="B25:C25 B34:C34 B31:K32 B28:F28 B33:F33 B26:E27 B29:E30">
    <cfRule type="expression" dxfId="63" priority="60">
      <formula>$F25="Fail"</formula>
    </cfRule>
  </conditionalFormatting>
  <conditionalFormatting sqref="B16:K17 B15:C15 B20:C20 B19:F19 B18:E18">
    <cfRule type="expression" dxfId="62" priority="59">
      <formula>$F15="Fail"</formula>
    </cfRule>
  </conditionalFormatting>
  <conditionalFormatting sqref="D23:K25 E20 B19:C27 D21:F22">
    <cfRule type="expression" dxfId="61" priority="58">
      <formula>$F19="Fail"</formula>
    </cfRule>
  </conditionalFormatting>
  <conditionalFormatting sqref="B13:C13 E13">
    <cfRule type="expression" dxfId="60" priority="57">
      <formula>$F13="Fail"</formula>
    </cfRule>
  </conditionalFormatting>
  <conditionalFormatting sqref="B12:E12">
    <cfRule type="expression" dxfId="59" priority="56">
      <formula>$F12="Fail"</formula>
    </cfRule>
  </conditionalFormatting>
  <conditionalFormatting sqref="B12:C12">
    <cfRule type="expression" dxfId="58" priority="55">
      <formula>$F12="Fail"</formula>
    </cfRule>
  </conditionalFormatting>
  <conditionalFormatting sqref="F11">
    <cfRule type="expression" dxfId="57" priority="53">
      <formula>$F11="Fail"</formula>
    </cfRule>
  </conditionalFormatting>
  <conditionalFormatting sqref="L2:L8">
    <cfRule type="expression" dxfId="56" priority="52">
      <formula>$F2="Fail"</formula>
    </cfRule>
  </conditionalFormatting>
  <conditionalFormatting sqref="L34:L40 L14:L15 L9:L11">
    <cfRule type="expression" dxfId="55" priority="51">
      <formula>$F9="Fail"</formula>
    </cfRule>
  </conditionalFormatting>
  <conditionalFormatting sqref="L26:L33">
    <cfRule type="expression" dxfId="54" priority="49">
      <formula>$F26="Fail"</formula>
    </cfRule>
  </conditionalFormatting>
  <conditionalFormatting sqref="L16:L19">
    <cfRule type="expression" dxfId="53" priority="48">
      <formula>$F16="Fail"</formula>
    </cfRule>
  </conditionalFormatting>
  <conditionalFormatting sqref="L20:L25">
    <cfRule type="expression" dxfId="52" priority="47">
      <formula>$F20="Fail"</formula>
    </cfRule>
  </conditionalFormatting>
  <conditionalFormatting sqref="L13">
    <cfRule type="expression" dxfId="51" priority="46">
      <formula>$F13="Fail"</formula>
    </cfRule>
  </conditionalFormatting>
  <conditionalFormatting sqref="L12">
    <cfRule type="expression" dxfId="50" priority="45">
      <formula>$F12="Fail"</formula>
    </cfRule>
  </conditionalFormatting>
  <conditionalFormatting sqref="D13">
    <cfRule type="expression" dxfId="49" priority="44">
      <formula>$F13="Fail"</formula>
    </cfRule>
  </conditionalFormatting>
  <conditionalFormatting sqref="D20">
    <cfRule type="expression" dxfId="48" priority="43">
      <formula>$F20="Fail"</formula>
    </cfRule>
  </conditionalFormatting>
  <conditionalFormatting sqref="B44:C44">
    <cfRule type="expression" dxfId="47" priority="42">
      <formula>$F44="Fail"</formula>
    </cfRule>
  </conditionalFormatting>
  <conditionalFormatting sqref="B45:C45">
    <cfRule type="expression" dxfId="46" priority="41">
      <formula>$F45="Fail"</formula>
    </cfRule>
  </conditionalFormatting>
  <conditionalFormatting sqref="C46:C50">
    <cfRule type="expression" dxfId="45" priority="40">
      <formula>$F46="Fail"</formula>
    </cfRule>
  </conditionalFormatting>
  <conditionalFormatting sqref="B46:C46">
    <cfRule type="expression" dxfId="44" priority="39">
      <formula>$F46="Fail"</formula>
    </cfRule>
  </conditionalFormatting>
  <conditionalFormatting sqref="B47:C47">
    <cfRule type="expression" dxfId="43" priority="38">
      <formula>$F47="Fail"</formula>
    </cfRule>
  </conditionalFormatting>
  <conditionalFormatting sqref="B59:C60 B57:B58">
    <cfRule type="expression" dxfId="42" priority="37">
      <formula>$F57="Fail"</formula>
    </cfRule>
  </conditionalFormatting>
  <conditionalFormatting sqref="C57:C60">
    <cfRule type="expression" dxfId="41" priority="36">
      <formula>$F57="Fail"</formula>
    </cfRule>
  </conditionalFormatting>
  <conditionalFormatting sqref="B57:C57">
    <cfRule type="expression" dxfId="40" priority="35">
      <formula>$F57="Fail"</formula>
    </cfRule>
  </conditionalFormatting>
  <conditionalFormatting sqref="B65:C65 B71:C78 B68:B70 B83:C85">
    <cfRule type="expression" dxfId="39" priority="34">
      <formula>$F65="Fail"</formula>
    </cfRule>
  </conditionalFormatting>
  <conditionalFormatting sqref="B66:C66">
    <cfRule type="expression" dxfId="38" priority="33">
      <formula>$F66="Fail"</formula>
    </cfRule>
  </conditionalFormatting>
  <conditionalFormatting sqref="B67:C67">
    <cfRule type="expression" dxfId="37" priority="32">
      <formula>$F67="Fail"</formula>
    </cfRule>
  </conditionalFormatting>
  <conditionalFormatting sqref="C68:C72">
    <cfRule type="expression" dxfId="36" priority="31">
      <formula>$F68="Fail"</formula>
    </cfRule>
  </conditionalFormatting>
  <conditionalFormatting sqref="B68:C68">
    <cfRule type="expression" dxfId="35" priority="30">
      <formula>$F68="Fail"</formula>
    </cfRule>
  </conditionalFormatting>
  <conditionalFormatting sqref="B69:C69">
    <cfRule type="expression" dxfId="34" priority="29">
      <formula>$F69="Fail"</formula>
    </cfRule>
  </conditionalFormatting>
  <conditionalFormatting sqref="B81:C82 B79:B80">
    <cfRule type="expression" dxfId="33" priority="28">
      <formula>$F79="Fail"</formula>
    </cfRule>
  </conditionalFormatting>
  <conditionalFormatting sqref="C79:C82">
    <cfRule type="expression" dxfId="32" priority="27">
      <formula>$F79="Fail"</formula>
    </cfRule>
  </conditionalFormatting>
  <conditionalFormatting sqref="B79:C79">
    <cfRule type="expression" dxfId="31" priority="26">
      <formula>$F79="Fail"</formula>
    </cfRule>
  </conditionalFormatting>
  <conditionalFormatting sqref="G26:K30">
    <cfRule type="expression" dxfId="30" priority="25">
      <formula>$F26="Fail"</formula>
    </cfRule>
  </conditionalFormatting>
  <conditionalFormatting sqref="G33:K41">
    <cfRule type="expression" dxfId="29" priority="24">
      <formula>$F33="Fail"</formula>
    </cfRule>
  </conditionalFormatting>
  <conditionalFormatting sqref="G46:K53">
    <cfRule type="expression" dxfId="28" priority="23">
      <formula>$F46="Fail"</formula>
    </cfRule>
  </conditionalFormatting>
  <conditionalFormatting sqref="G56:K63">
    <cfRule type="expression" dxfId="27" priority="22">
      <formula>$F56="Fail"</formula>
    </cfRule>
  </conditionalFormatting>
  <conditionalFormatting sqref="G68:K75">
    <cfRule type="expression" dxfId="26" priority="21">
      <formula>$F68="Fail"</formula>
    </cfRule>
  </conditionalFormatting>
  <conditionalFormatting sqref="G79:K85">
    <cfRule type="expression" dxfId="25" priority="20">
      <formula>$F79="Fail"</formula>
    </cfRule>
  </conditionalFormatting>
  <conditionalFormatting sqref="G10:K13">
    <cfRule type="expression" dxfId="24" priority="19">
      <formula>$F10="Fail"</formula>
    </cfRule>
  </conditionalFormatting>
  <conditionalFormatting sqref="G18:K22">
    <cfRule type="expression" dxfId="23" priority="18">
      <formula>$F18="Fail"</formula>
    </cfRule>
  </conditionalFormatting>
  <conditionalFormatting sqref="B87:D87 B88:C88">
    <cfRule type="expression" dxfId="22" priority="17">
      <formula>$F87="Fail"</formula>
    </cfRule>
  </conditionalFormatting>
  <conditionalFormatting sqref="D88">
    <cfRule type="expression" dxfId="21" priority="16">
      <formula>$F88="Fail"</formula>
    </cfRule>
  </conditionalFormatting>
  <conditionalFormatting sqref="B89">
    <cfRule type="expression" dxfId="20" priority="15">
      <formula>$F89="Fail"</formula>
    </cfRule>
  </conditionalFormatting>
  <conditionalFormatting sqref="C89">
    <cfRule type="expression" dxfId="19" priority="14">
      <formula>$F89="Fail"</formula>
    </cfRule>
  </conditionalFormatting>
  <conditionalFormatting sqref="D89">
    <cfRule type="expression" dxfId="18" priority="13">
      <formula>$F89="Fail"</formula>
    </cfRule>
  </conditionalFormatting>
  <conditionalFormatting sqref="G88:K89">
    <cfRule type="expression" dxfId="17" priority="12">
      <formula>$F88="Fail"</formula>
    </cfRule>
  </conditionalFormatting>
  <conditionalFormatting sqref="F4:F7">
    <cfRule type="expression" dxfId="16" priority="11">
      <formula>$F4="Fail"</formula>
    </cfRule>
  </conditionalFormatting>
  <conditionalFormatting sqref="F10">
    <cfRule type="expression" dxfId="15" priority="10">
      <formula>$F10="Fail"</formula>
    </cfRule>
  </conditionalFormatting>
  <conditionalFormatting sqref="F35:F41">
    <cfRule type="expression" dxfId="14" priority="8">
      <formula>$F35="Fail"</formula>
    </cfRule>
  </conditionalFormatting>
  <conditionalFormatting sqref="F47:F53">
    <cfRule type="expression" dxfId="13" priority="7">
      <formula>$F47="Fail"</formula>
    </cfRule>
  </conditionalFormatting>
  <conditionalFormatting sqref="F56:F63">
    <cfRule type="expression" dxfId="12" priority="6">
      <formula>$F56="Fail"</formula>
    </cfRule>
  </conditionalFormatting>
  <conditionalFormatting sqref="F12:F13">
    <cfRule type="expression" dxfId="11" priority="5">
      <formula>$F12="Fail"</formula>
    </cfRule>
  </conditionalFormatting>
  <conditionalFormatting sqref="F20 F18">
    <cfRule type="expression" dxfId="10" priority="4">
      <formula>$F18="Fail"</formula>
    </cfRule>
  </conditionalFormatting>
  <conditionalFormatting sqref="F26:F27">
    <cfRule type="expression" dxfId="8" priority="2">
      <formula>$F26="Fail"</formula>
    </cfRule>
  </conditionalFormatting>
  <conditionalFormatting sqref="F29:F30">
    <cfRule type="expression" dxfId="6" priority="1">
      <formula>$F29="Fail"</formula>
    </cfRule>
  </conditionalFormatting>
  <dataValidations count="1">
    <dataValidation type="list" allowBlank="1" showInputMessage="1" showErrorMessage="1" sqref="F2:F89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7170" r:id="rId4">
          <objectPr defaultSize="0" autoPict="0" r:id="rId5">
            <anchor moveWithCells="1">
              <from>
                <xdr:col>3</xdr:col>
                <xdr:colOff>152400</xdr:colOff>
                <xdr:row>32</xdr:row>
                <xdr:rowOff>57150</xdr:rowOff>
              </from>
              <to>
                <xdr:col>3</xdr:col>
                <xdr:colOff>2609850</xdr:colOff>
                <xdr:row>34</xdr:row>
                <xdr:rowOff>171450</xdr:rowOff>
              </to>
            </anchor>
          </objectPr>
        </oleObject>
      </mc:Choice>
      <mc:Fallback>
        <oleObject progId="Packager Shell Object" dvAspect="DVASPECT_ICON" shapeId="7170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6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Batch Runs  - Daily </vt:lpstr>
      <vt:lpstr>Create Bank Account</vt:lpstr>
      <vt:lpstr>Adhoc - Merge Process</vt:lpstr>
      <vt:lpstr>Sheet1</vt:lpstr>
    </vt:vector>
  </TitlesOfParts>
  <Company>Sanlam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Riefat Dollie (SEB)</cp:lastModifiedBy>
  <dcterms:created xsi:type="dcterms:W3CDTF">2014-07-31T09:50:05Z</dcterms:created>
  <dcterms:modified xsi:type="dcterms:W3CDTF">2014-12-08T09:13:39Z</dcterms:modified>
</cp:coreProperties>
</file>