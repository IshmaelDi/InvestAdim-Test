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989124\Desktop\Test Documents\Test Cases\Test Cases\"/>
    </mc:Choice>
  </mc:AlternateContent>
  <bookViews>
    <workbookView xWindow="120" yWindow="285" windowWidth="20370" windowHeight="8445" firstSheet="1" activeTab="6"/>
  </bookViews>
  <sheets>
    <sheet name="Summary" sheetId="3" r:id="rId1"/>
    <sheet name="Test Case" sheetId="2" r:id="rId2"/>
    <sheet name="2" sheetId="4" r:id="rId3"/>
    <sheet name="3" sheetId="5" r:id="rId4"/>
    <sheet name="4" sheetId="6" r:id="rId5"/>
    <sheet name="Notes" sheetId="7" r:id="rId6"/>
    <sheet name="Monthly Batch - Inv Fees" sheetId="9" r:id="rId7"/>
    <sheet name="Monthly Batch-Cons Fees" sheetId="10" r:id="rId8"/>
  </sheets>
  <externalReferences>
    <externalReference r:id="rId9"/>
  </externalReferences>
  <calcPr calcId="162913"/>
</workbook>
</file>

<file path=xl/calcChain.xml><?xml version="1.0" encoding="utf-8"?>
<calcChain xmlns="http://schemas.openxmlformats.org/spreadsheetml/2006/main">
  <c r="L9" i="9" l="1"/>
  <c r="K9" i="9"/>
  <c r="J9" i="9"/>
  <c r="I9" i="9"/>
  <c r="H9" i="9"/>
  <c r="L5" i="9"/>
  <c r="K5" i="9"/>
  <c r="J5" i="9"/>
  <c r="I5" i="9"/>
  <c r="H5" i="9"/>
  <c r="L4" i="9"/>
  <c r="K4" i="9"/>
  <c r="J4" i="9"/>
  <c r="I4" i="9"/>
  <c r="H4" i="9"/>
  <c r="G14" i="2"/>
  <c r="H14" i="2"/>
  <c r="I14" i="2"/>
  <c r="J14" i="2"/>
  <c r="K14" i="2"/>
  <c r="A11" i="2"/>
  <c r="A12" i="2" s="1"/>
  <c r="L10" i="10" l="1"/>
  <c r="K10" i="10"/>
  <c r="J10" i="10"/>
  <c r="I10" i="10"/>
  <c r="H10" i="10"/>
  <c r="L9" i="10"/>
  <c r="K9" i="10"/>
  <c r="J9" i="10"/>
  <c r="I9" i="10"/>
  <c r="H9" i="10"/>
  <c r="L7" i="10"/>
  <c r="K7" i="10"/>
  <c r="J7" i="10"/>
  <c r="I7" i="10"/>
  <c r="H7" i="10"/>
  <c r="L5" i="10"/>
  <c r="K5" i="10"/>
  <c r="J5" i="10"/>
  <c r="I5" i="10"/>
  <c r="H5" i="10"/>
  <c r="L4" i="10"/>
  <c r="K4" i="10"/>
  <c r="J4" i="10"/>
  <c r="I4" i="10"/>
  <c r="H4" i="10"/>
  <c r="A4" i="10"/>
  <c r="A5" i="10" s="1"/>
  <c r="A7" i="10" s="1"/>
  <c r="A9" i="10" s="1"/>
  <c r="A10" i="10" s="1"/>
  <c r="A7" i="9"/>
  <c r="A9" i="9" s="1"/>
  <c r="L7" i="9"/>
  <c r="K7" i="9"/>
  <c r="K10" i="9" s="1"/>
  <c r="J7" i="9"/>
  <c r="J10" i="9" s="1"/>
  <c r="I7" i="9"/>
  <c r="I10" i="9" s="1"/>
  <c r="H7" i="9"/>
  <c r="H10" i="9" s="1"/>
  <c r="A4" i="9"/>
  <c r="A5" i="9" s="1"/>
  <c r="H11" i="10" l="1"/>
  <c r="L11" i="10"/>
  <c r="G7" i="3" s="1"/>
  <c r="K11" i="10"/>
  <c r="F7" i="3" s="1"/>
  <c r="J11" i="10"/>
  <c r="I11" i="10"/>
  <c r="D7" i="3" s="1"/>
  <c r="L10" i="9"/>
  <c r="G8" i="3" s="1"/>
  <c r="E8" i="3"/>
  <c r="E7" i="3"/>
  <c r="C7" i="3"/>
  <c r="C8" i="3"/>
  <c r="D8" i="3"/>
  <c r="F8" i="3"/>
  <c r="K3" i="5"/>
  <c r="J3" i="5"/>
  <c r="I3" i="5"/>
  <c r="H3" i="5"/>
  <c r="G3" i="5"/>
  <c r="K4" i="5"/>
  <c r="J4" i="5"/>
  <c r="I4" i="5"/>
  <c r="H4" i="5"/>
  <c r="G4" i="5"/>
  <c r="K15" i="5"/>
  <c r="J15" i="5"/>
  <c r="I15" i="5"/>
  <c r="H15" i="5"/>
  <c r="G15" i="5"/>
  <c r="K14" i="5"/>
  <c r="J14" i="5"/>
  <c r="I14" i="5"/>
  <c r="H14" i="5"/>
  <c r="G14" i="5"/>
  <c r="K13" i="5"/>
  <c r="J13" i="5"/>
  <c r="I13" i="5"/>
  <c r="H13" i="5"/>
  <c r="G13" i="5"/>
  <c r="K12" i="5"/>
  <c r="J12" i="5"/>
  <c r="I12" i="5"/>
  <c r="H12" i="5"/>
  <c r="G12" i="5"/>
  <c r="K11" i="5"/>
  <c r="J11" i="5"/>
  <c r="I11" i="5"/>
  <c r="H11" i="5"/>
  <c r="G11" i="5"/>
  <c r="K10" i="5"/>
  <c r="J10" i="5"/>
  <c r="I10" i="5"/>
  <c r="H10" i="5"/>
  <c r="G10" i="5"/>
  <c r="K9" i="5"/>
  <c r="J9" i="5"/>
  <c r="I9" i="5"/>
  <c r="H9" i="5"/>
  <c r="G9" i="5"/>
  <c r="K8" i="5"/>
  <c r="J8" i="5"/>
  <c r="I8" i="5"/>
  <c r="H8" i="5"/>
  <c r="G8" i="5"/>
  <c r="K7" i="5"/>
  <c r="J7" i="5"/>
  <c r="I7" i="5"/>
  <c r="H7" i="5"/>
  <c r="G7" i="5"/>
  <c r="K6" i="5"/>
  <c r="J6" i="5"/>
  <c r="I6" i="5"/>
  <c r="H6" i="5"/>
  <c r="G6" i="5"/>
  <c r="K5" i="5"/>
  <c r="J5" i="5"/>
  <c r="I5" i="5"/>
  <c r="H5" i="5"/>
  <c r="G5" i="5"/>
  <c r="H7" i="3" l="1"/>
  <c r="H8" i="3"/>
  <c r="K31" i="6"/>
  <c r="J31" i="6"/>
  <c r="I31" i="6"/>
  <c r="H31" i="6"/>
  <c r="G31" i="6"/>
  <c r="K30" i="6"/>
  <c r="J30" i="6"/>
  <c r="I30" i="6"/>
  <c r="H30" i="6"/>
  <c r="G30" i="6"/>
  <c r="K29" i="6"/>
  <c r="J29" i="6"/>
  <c r="I29" i="6"/>
  <c r="H29" i="6"/>
  <c r="G29" i="6"/>
  <c r="K28" i="6"/>
  <c r="J28" i="6"/>
  <c r="I28" i="6"/>
  <c r="H28" i="6"/>
  <c r="G28" i="6"/>
  <c r="K27" i="6"/>
  <c r="J27" i="6"/>
  <c r="I27" i="6"/>
  <c r="H27" i="6"/>
  <c r="G27" i="6"/>
  <c r="K26" i="6"/>
  <c r="J26" i="6"/>
  <c r="I26" i="6"/>
  <c r="H26" i="6"/>
  <c r="G26" i="6"/>
  <c r="K25" i="6"/>
  <c r="J25" i="6"/>
  <c r="I25" i="6"/>
  <c r="H25" i="6"/>
  <c r="G25" i="6"/>
  <c r="K24" i="6"/>
  <c r="J24" i="6"/>
  <c r="I24" i="6"/>
  <c r="H24" i="6"/>
  <c r="G24" i="6"/>
  <c r="K23" i="6"/>
  <c r="J23" i="6"/>
  <c r="I23" i="6"/>
  <c r="H23" i="6"/>
  <c r="G23" i="6"/>
  <c r="K22" i="6"/>
  <c r="J22" i="6"/>
  <c r="I22" i="6"/>
  <c r="H22" i="6"/>
  <c r="G22" i="6"/>
  <c r="K21" i="6"/>
  <c r="J21" i="6"/>
  <c r="I21" i="6"/>
  <c r="H21" i="6"/>
  <c r="G21" i="6"/>
  <c r="K20" i="6"/>
  <c r="J20" i="6"/>
  <c r="I20" i="6"/>
  <c r="H20" i="6"/>
  <c r="G20" i="6"/>
  <c r="K19" i="6"/>
  <c r="J19" i="6"/>
  <c r="I19" i="6"/>
  <c r="H19" i="6"/>
  <c r="G19" i="6"/>
  <c r="K18" i="6"/>
  <c r="J18" i="6"/>
  <c r="I18" i="6"/>
  <c r="H18" i="6"/>
  <c r="G18" i="6"/>
  <c r="K17" i="6"/>
  <c r="J17" i="6"/>
  <c r="I17" i="6"/>
  <c r="H17" i="6"/>
  <c r="G17" i="6"/>
  <c r="K16" i="6"/>
  <c r="J16" i="6"/>
  <c r="I16" i="6"/>
  <c r="H16" i="6"/>
  <c r="G16" i="6"/>
  <c r="K15" i="6"/>
  <c r="J15" i="6"/>
  <c r="I15" i="6"/>
  <c r="H15" i="6"/>
  <c r="G15" i="6"/>
  <c r="K14" i="6"/>
  <c r="J14" i="6"/>
  <c r="I14" i="6"/>
  <c r="H14" i="6"/>
  <c r="G14" i="6"/>
  <c r="K13" i="6"/>
  <c r="J13" i="6"/>
  <c r="I13" i="6"/>
  <c r="H13" i="6"/>
  <c r="G13" i="6"/>
  <c r="K12" i="6"/>
  <c r="J12" i="6"/>
  <c r="I12" i="6"/>
  <c r="H12" i="6"/>
  <c r="G12" i="6"/>
  <c r="K11" i="6"/>
  <c r="J11" i="6"/>
  <c r="I11" i="6"/>
  <c r="H11" i="6"/>
  <c r="G11" i="6"/>
  <c r="K10" i="6"/>
  <c r="J10" i="6"/>
  <c r="I10" i="6"/>
  <c r="H10" i="6"/>
  <c r="G10" i="6"/>
  <c r="K9" i="6"/>
  <c r="J9" i="6"/>
  <c r="I9" i="6"/>
  <c r="H9" i="6"/>
  <c r="G9" i="6"/>
  <c r="K8" i="6"/>
  <c r="J8" i="6"/>
  <c r="I8" i="6"/>
  <c r="H8" i="6"/>
  <c r="G8" i="6"/>
  <c r="K7" i="6"/>
  <c r="J7" i="6"/>
  <c r="I7" i="6"/>
  <c r="H7" i="6"/>
  <c r="G7" i="6"/>
  <c r="K6" i="6"/>
  <c r="J6" i="6"/>
  <c r="I6" i="6"/>
  <c r="H6" i="6"/>
  <c r="G6" i="6"/>
  <c r="K5" i="6"/>
  <c r="J5" i="6"/>
  <c r="I5" i="6"/>
  <c r="H5" i="6"/>
  <c r="G5" i="6"/>
  <c r="K4" i="6"/>
  <c r="J4" i="6"/>
  <c r="I4" i="6"/>
  <c r="H4" i="6"/>
  <c r="G4" i="6"/>
  <c r="K3" i="6"/>
  <c r="J3" i="6"/>
  <c r="I3" i="6"/>
  <c r="H3" i="6"/>
  <c r="G3" i="6"/>
  <c r="K48" i="6"/>
  <c r="J48" i="6"/>
  <c r="I48" i="6"/>
  <c r="H48" i="6"/>
  <c r="G48" i="6"/>
  <c r="K47" i="6"/>
  <c r="J47" i="6"/>
  <c r="I47" i="6"/>
  <c r="H47" i="6"/>
  <c r="G47" i="6"/>
  <c r="K46" i="6"/>
  <c r="J46" i="6"/>
  <c r="I46" i="6"/>
  <c r="H46" i="6"/>
  <c r="G46" i="6"/>
  <c r="K45" i="6"/>
  <c r="J45" i="6"/>
  <c r="I45" i="6"/>
  <c r="H45" i="6"/>
  <c r="G45" i="6"/>
  <c r="K44" i="6"/>
  <c r="J44" i="6"/>
  <c r="I44" i="6"/>
  <c r="H44" i="6"/>
  <c r="G44" i="6"/>
  <c r="K43" i="6"/>
  <c r="J43" i="6"/>
  <c r="I43" i="6"/>
  <c r="H43" i="6"/>
  <c r="G43" i="6"/>
  <c r="K42" i="6"/>
  <c r="J42" i="6"/>
  <c r="I42" i="6"/>
  <c r="H42" i="6"/>
  <c r="G42" i="6"/>
  <c r="K41" i="6"/>
  <c r="J41" i="6"/>
  <c r="I41" i="6"/>
  <c r="H41" i="6"/>
  <c r="G41" i="6"/>
  <c r="K40" i="6"/>
  <c r="J40" i="6"/>
  <c r="I40" i="6"/>
  <c r="H40" i="6"/>
  <c r="G40" i="6"/>
  <c r="K39" i="6"/>
  <c r="J39" i="6"/>
  <c r="I39" i="6"/>
  <c r="H39" i="6"/>
  <c r="G39" i="6"/>
  <c r="K38" i="6"/>
  <c r="J38" i="6"/>
  <c r="I38" i="6"/>
  <c r="H38" i="6"/>
  <c r="G38" i="6"/>
  <c r="K37" i="6"/>
  <c r="J37" i="6"/>
  <c r="I37" i="6"/>
  <c r="H37" i="6"/>
  <c r="G37" i="6"/>
  <c r="K36" i="6"/>
  <c r="J36" i="6"/>
  <c r="I36" i="6"/>
  <c r="H36" i="6"/>
  <c r="G36" i="6"/>
  <c r="K35" i="6"/>
  <c r="J35" i="6"/>
  <c r="I35" i="6"/>
  <c r="H35" i="6"/>
  <c r="G35" i="6"/>
  <c r="K34" i="6"/>
  <c r="J34" i="6"/>
  <c r="I34" i="6"/>
  <c r="H34" i="6"/>
  <c r="G34" i="6"/>
  <c r="K33" i="6"/>
  <c r="J33" i="6"/>
  <c r="I33" i="6"/>
  <c r="H33" i="6"/>
  <c r="G33" i="6"/>
  <c r="K67" i="6"/>
  <c r="J67" i="6"/>
  <c r="I67" i="6"/>
  <c r="H67" i="6"/>
  <c r="G67" i="6"/>
  <c r="K66" i="6"/>
  <c r="J66" i="6"/>
  <c r="I66" i="6"/>
  <c r="H66" i="6"/>
  <c r="G66" i="6"/>
  <c r="K65" i="6"/>
  <c r="J65" i="6"/>
  <c r="I65" i="6"/>
  <c r="H65" i="6"/>
  <c r="G65" i="6"/>
  <c r="K64" i="6"/>
  <c r="J64" i="6"/>
  <c r="I64" i="6"/>
  <c r="H64" i="6"/>
  <c r="G64" i="6"/>
  <c r="K63" i="6"/>
  <c r="J63" i="6"/>
  <c r="I63" i="6"/>
  <c r="H63" i="6"/>
  <c r="G63" i="6"/>
  <c r="K62" i="6"/>
  <c r="J62" i="6"/>
  <c r="I62" i="6"/>
  <c r="H62" i="6"/>
  <c r="G62" i="6"/>
  <c r="K61" i="6"/>
  <c r="J61" i="6"/>
  <c r="I61" i="6"/>
  <c r="H61" i="6"/>
  <c r="G61" i="6"/>
  <c r="K60" i="6"/>
  <c r="J60" i="6"/>
  <c r="I60" i="6"/>
  <c r="H60" i="6"/>
  <c r="G60" i="6"/>
  <c r="K59" i="6"/>
  <c r="J59" i="6"/>
  <c r="I59" i="6"/>
  <c r="H59" i="6"/>
  <c r="G59" i="6"/>
  <c r="K58" i="6"/>
  <c r="J58" i="6"/>
  <c r="I58" i="6"/>
  <c r="H58" i="6"/>
  <c r="G58" i="6"/>
  <c r="K57" i="6"/>
  <c r="J57" i="6"/>
  <c r="I57" i="6"/>
  <c r="H57" i="6"/>
  <c r="G57" i="6"/>
  <c r="K56" i="6"/>
  <c r="J56" i="6"/>
  <c r="I56" i="6"/>
  <c r="H56" i="6"/>
  <c r="G56" i="6"/>
  <c r="K55" i="6"/>
  <c r="J55" i="6"/>
  <c r="I55" i="6"/>
  <c r="H55" i="6"/>
  <c r="G55" i="6"/>
  <c r="K54" i="6"/>
  <c r="J54" i="6"/>
  <c r="I54" i="6"/>
  <c r="H54" i="6"/>
  <c r="G54" i="6"/>
  <c r="K53" i="6"/>
  <c r="J53" i="6"/>
  <c r="I53" i="6"/>
  <c r="H53" i="6"/>
  <c r="G53" i="6"/>
  <c r="K52" i="6"/>
  <c r="J52" i="6"/>
  <c r="I52" i="6"/>
  <c r="H52" i="6"/>
  <c r="G52" i="6"/>
  <c r="K51" i="6"/>
  <c r="J51" i="6"/>
  <c r="I51" i="6"/>
  <c r="H51" i="6"/>
  <c r="G51" i="6"/>
  <c r="K50" i="6"/>
  <c r="J50" i="6"/>
  <c r="I50" i="6"/>
  <c r="H50" i="6"/>
  <c r="G50" i="6"/>
  <c r="K82" i="6"/>
  <c r="J82" i="6"/>
  <c r="I82" i="6"/>
  <c r="H82" i="6"/>
  <c r="G82" i="6"/>
  <c r="K81" i="6"/>
  <c r="J81" i="6"/>
  <c r="I81" i="6"/>
  <c r="H81" i="6"/>
  <c r="G81" i="6"/>
  <c r="K80" i="6"/>
  <c r="J80" i="6"/>
  <c r="I80" i="6"/>
  <c r="H80" i="6"/>
  <c r="G80" i="6"/>
  <c r="K79" i="6"/>
  <c r="J79" i="6"/>
  <c r="I79" i="6"/>
  <c r="H79" i="6"/>
  <c r="G79" i="6"/>
  <c r="K78" i="6"/>
  <c r="J78" i="6"/>
  <c r="I78" i="6"/>
  <c r="H78" i="6"/>
  <c r="G78" i="6"/>
  <c r="K77" i="6"/>
  <c r="J77" i="6"/>
  <c r="I77" i="6"/>
  <c r="H77" i="6"/>
  <c r="G77" i="6"/>
  <c r="K76" i="6"/>
  <c r="J76" i="6"/>
  <c r="I76" i="6"/>
  <c r="H76" i="6"/>
  <c r="G76" i="6"/>
  <c r="K75" i="6"/>
  <c r="J75" i="6"/>
  <c r="I75" i="6"/>
  <c r="H75" i="6"/>
  <c r="G75" i="6"/>
  <c r="K74" i="6"/>
  <c r="J74" i="6"/>
  <c r="I74" i="6"/>
  <c r="H74" i="6"/>
  <c r="G74" i="6"/>
  <c r="K73" i="6"/>
  <c r="J73" i="6"/>
  <c r="I73" i="6"/>
  <c r="H73" i="6"/>
  <c r="G73" i="6"/>
  <c r="K72" i="6"/>
  <c r="J72" i="6"/>
  <c r="I72" i="6"/>
  <c r="H72" i="6"/>
  <c r="G72" i="6"/>
  <c r="K71" i="6"/>
  <c r="J71" i="6"/>
  <c r="I71" i="6"/>
  <c r="H71" i="6"/>
  <c r="G71" i="6"/>
  <c r="K70" i="6"/>
  <c r="J70" i="6"/>
  <c r="I70" i="6"/>
  <c r="H70" i="6"/>
  <c r="G70" i="6"/>
  <c r="K69" i="6"/>
  <c r="J69" i="6"/>
  <c r="I69" i="6"/>
  <c r="H69" i="6"/>
  <c r="G69" i="6"/>
  <c r="K50" i="4"/>
  <c r="J50" i="4"/>
  <c r="I50" i="4"/>
  <c r="H50" i="4"/>
  <c r="G50" i="4"/>
  <c r="K49" i="4"/>
  <c r="J49" i="4"/>
  <c r="I49" i="4"/>
  <c r="H49" i="4"/>
  <c r="G49" i="4"/>
  <c r="K48" i="4"/>
  <c r="J48" i="4"/>
  <c r="I48" i="4"/>
  <c r="H48" i="4"/>
  <c r="G48" i="4"/>
  <c r="K47" i="4"/>
  <c r="J47" i="4"/>
  <c r="I47" i="4"/>
  <c r="H47" i="4"/>
  <c r="G47" i="4"/>
  <c r="K46" i="4"/>
  <c r="J46" i="4"/>
  <c r="I46" i="4"/>
  <c r="H46" i="4"/>
  <c r="G46" i="4"/>
  <c r="K45" i="4"/>
  <c r="J45" i="4"/>
  <c r="I45" i="4"/>
  <c r="H45" i="4"/>
  <c r="G45" i="4"/>
  <c r="K44" i="4"/>
  <c r="J44" i="4"/>
  <c r="I44" i="4"/>
  <c r="H44" i="4"/>
  <c r="G44" i="4"/>
  <c r="K43" i="4"/>
  <c r="J43" i="4"/>
  <c r="I43" i="4"/>
  <c r="H43" i="4"/>
  <c r="G43" i="4"/>
  <c r="K42" i="4"/>
  <c r="J42" i="4"/>
  <c r="I42" i="4"/>
  <c r="H42" i="4"/>
  <c r="G42" i="4"/>
  <c r="K41" i="4"/>
  <c r="J41" i="4"/>
  <c r="I41" i="4"/>
  <c r="H41" i="4"/>
  <c r="G41" i="4"/>
  <c r="K40" i="4"/>
  <c r="J40" i="4"/>
  <c r="I40" i="4"/>
  <c r="H40" i="4"/>
  <c r="G40" i="4"/>
  <c r="K39" i="4"/>
  <c r="J39" i="4"/>
  <c r="I39" i="4"/>
  <c r="H39" i="4"/>
  <c r="G39" i="4"/>
  <c r="K38" i="4"/>
  <c r="J38" i="4"/>
  <c r="I38" i="4"/>
  <c r="H38" i="4"/>
  <c r="G38" i="4"/>
  <c r="K37" i="4"/>
  <c r="J37" i="4"/>
  <c r="I37" i="4"/>
  <c r="H37" i="4"/>
  <c r="G37" i="4"/>
  <c r="K36" i="4"/>
  <c r="J36" i="4"/>
  <c r="I36" i="4"/>
  <c r="H36" i="4"/>
  <c r="G36" i="4"/>
  <c r="K35" i="4"/>
  <c r="J35" i="4"/>
  <c r="I35" i="4"/>
  <c r="H35" i="4"/>
  <c r="G35" i="4"/>
  <c r="K34" i="4"/>
  <c r="J34" i="4"/>
  <c r="I34" i="4"/>
  <c r="H34" i="4"/>
  <c r="G34" i="4"/>
  <c r="K33" i="4"/>
  <c r="J33" i="4"/>
  <c r="I33" i="4"/>
  <c r="H33" i="4"/>
  <c r="G33" i="4"/>
  <c r="K32" i="4"/>
  <c r="J32" i="4"/>
  <c r="I32" i="4"/>
  <c r="H32" i="4"/>
  <c r="G32" i="4"/>
  <c r="K31" i="4"/>
  <c r="J31" i="4"/>
  <c r="I31" i="4"/>
  <c r="H31" i="4"/>
  <c r="G31" i="4"/>
  <c r="K30" i="4"/>
  <c r="J30" i="4"/>
  <c r="I30" i="4"/>
  <c r="H30" i="4"/>
  <c r="G30" i="4"/>
  <c r="K29" i="4"/>
  <c r="J29" i="4"/>
  <c r="I29" i="4"/>
  <c r="H29" i="4"/>
  <c r="G29" i="4"/>
  <c r="K28" i="4"/>
  <c r="J28" i="4"/>
  <c r="I28" i="4"/>
  <c r="H28" i="4"/>
  <c r="G28" i="4"/>
  <c r="K27" i="4"/>
  <c r="J27" i="4"/>
  <c r="I27" i="4"/>
  <c r="H27" i="4"/>
  <c r="G27" i="4"/>
  <c r="K26" i="4"/>
  <c r="J26" i="4"/>
  <c r="I26" i="4"/>
  <c r="H26" i="4"/>
  <c r="G26" i="4"/>
  <c r="K25" i="4"/>
  <c r="J25" i="4"/>
  <c r="I25" i="4"/>
  <c r="H25" i="4"/>
  <c r="G25" i="4"/>
  <c r="K24" i="4"/>
  <c r="J24" i="4"/>
  <c r="I24" i="4"/>
  <c r="H24" i="4"/>
  <c r="G24" i="4"/>
  <c r="K23" i="4"/>
  <c r="J23" i="4"/>
  <c r="I23" i="4"/>
  <c r="H23" i="4"/>
  <c r="G23" i="4"/>
  <c r="K22" i="4"/>
  <c r="J22" i="4"/>
  <c r="I22" i="4"/>
  <c r="H22" i="4"/>
  <c r="G22" i="4"/>
  <c r="K21" i="4"/>
  <c r="J21" i="4"/>
  <c r="I21" i="4"/>
  <c r="H21" i="4"/>
  <c r="G21" i="4"/>
  <c r="K20" i="4"/>
  <c r="J20" i="4"/>
  <c r="I20" i="4"/>
  <c r="H20" i="4"/>
  <c r="G20" i="4"/>
  <c r="K19" i="4"/>
  <c r="J19" i="4"/>
  <c r="I19" i="4"/>
  <c r="H19" i="4"/>
  <c r="G19" i="4"/>
  <c r="K18" i="4"/>
  <c r="J18" i="4"/>
  <c r="I18" i="4"/>
  <c r="H18" i="4"/>
  <c r="G18" i="4"/>
  <c r="K17" i="4"/>
  <c r="J17" i="4"/>
  <c r="I17" i="4"/>
  <c r="H17" i="4"/>
  <c r="G17" i="4"/>
  <c r="K16" i="4"/>
  <c r="J16" i="4"/>
  <c r="I16" i="4"/>
  <c r="H16" i="4"/>
  <c r="G16" i="4"/>
  <c r="K15" i="4"/>
  <c r="J15" i="4"/>
  <c r="I15" i="4"/>
  <c r="H15" i="4"/>
  <c r="G15" i="4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l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C97" i="2"/>
  <c r="K113" i="2"/>
  <c r="J113" i="2"/>
  <c r="I113" i="2"/>
  <c r="H113" i="2"/>
  <c r="G113" i="2"/>
  <c r="K112" i="2"/>
  <c r="J112" i="2"/>
  <c r="I112" i="2"/>
  <c r="H112" i="2"/>
  <c r="G112" i="2"/>
  <c r="K111" i="2"/>
  <c r="J111" i="2"/>
  <c r="I111" i="2"/>
  <c r="H111" i="2"/>
  <c r="G111" i="2"/>
  <c r="K110" i="2"/>
  <c r="J110" i="2"/>
  <c r="I110" i="2"/>
  <c r="H110" i="2"/>
  <c r="G110" i="2"/>
  <c r="K109" i="2"/>
  <c r="J109" i="2"/>
  <c r="I109" i="2"/>
  <c r="H109" i="2"/>
  <c r="G109" i="2"/>
  <c r="K108" i="2"/>
  <c r="J108" i="2"/>
  <c r="I108" i="2"/>
  <c r="H108" i="2"/>
  <c r="G108" i="2"/>
  <c r="K107" i="2"/>
  <c r="J107" i="2"/>
  <c r="I107" i="2"/>
  <c r="H107" i="2"/>
  <c r="G107" i="2"/>
  <c r="K106" i="2"/>
  <c r="J106" i="2"/>
  <c r="I106" i="2"/>
  <c r="H106" i="2"/>
  <c r="G106" i="2"/>
  <c r="K105" i="2"/>
  <c r="J105" i="2"/>
  <c r="I105" i="2"/>
  <c r="H105" i="2"/>
  <c r="G105" i="2"/>
  <c r="K104" i="2"/>
  <c r="J104" i="2"/>
  <c r="I104" i="2"/>
  <c r="H104" i="2"/>
  <c r="G104" i="2"/>
  <c r="K103" i="2"/>
  <c r="J103" i="2"/>
  <c r="I103" i="2"/>
  <c r="H103" i="2"/>
  <c r="G103" i="2"/>
  <c r="K102" i="2"/>
  <c r="J102" i="2"/>
  <c r="I102" i="2"/>
  <c r="H102" i="2"/>
  <c r="G102" i="2"/>
  <c r="K101" i="2"/>
  <c r="J101" i="2"/>
  <c r="I101" i="2"/>
  <c r="H101" i="2"/>
  <c r="G101" i="2"/>
  <c r="K100" i="2"/>
  <c r="J100" i="2"/>
  <c r="I100" i="2"/>
  <c r="H100" i="2"/>
  <c r="G100" i="2"/>
  <c r="K99" i="2"/>
  <c r="J99" i="2"/>
  <c r="I99" i="2"/>
  <c r="H99" i="2"/>
  <c r="G99" i="2"/>
  <c r="K98" i="2"/>
  <c r="J98" i="2"/>
  <c r="I98" i="2"/>
  <c r="H98" i="2"/>
  <c r="G98" i="2"/>
  <c r="K97" i="2"/>
  <c r="J97" i="2"/>
  <c r="I97" i="2"/>
  <c r="H97" i="2"/>
  <c r="G97" i="2"/>
  <c r="K96" i="2"/>
  <c r="J96" i="2"/>
  <c r="I96" i="2"/>
  <c r="H96" i="2"/>
  <c r="G96" i="2"/>
  <c r="K95" i="2"/>
  <c r="J95" i="2"/>
  <c r="I95" i="2"/>
  <c r="H95" i="2"/>
  <c r="G95" i="2"/>
  <c r="K94" i="2"/>
  <c r="J94" i="2"/>
  <c r="I94" i="2"/>
  <c r="H94" i="2"/>
  <c r="G94" i="2"/>
  <c r="K93" i="2"/>
  <c r="J93" i="2"/>
  <c r="I93" i="2"/>
  <c r="H93" i="2"/>
  <c r="G93" i="2"/>
  <c r="K92" i="2"/>
  <c r="J92" i="2"/>
  <c r="I92" i="2"/>
  <c r="H92" i="2"/>
  <c r="G92" i="2"/>
  <c r="K91" i="2"/>
  <c r="J91" i="2"/>
  <c r="I91" i="2"/>
  <c r="H91" i="2"/>
  <c r="G91" i="2"/>
  <c r="K90" i="2"/>
  <c r="J90" i="2"/>
  <c r="I90" i="2"/>
  <c r="H90" i="2"/>
  <c r="G90" i="2"/>
  <c r="K89" i="2"/>
  <c r="J89" i="2"/>
  <c r="I89" i="2"/>
  <c r="H89" i="2"/>
  <c r="G89" i="2"/>
  <c r="K88" i="2"/>
  <c r="J88" i="2"/>
  <c r="I88" i="2"/>
  <c r="H88" i="2"/>
  <c r="G88" i="2"/>
  <c r="K87" i="2"/>
  <c r="J87" i="2"/>
  <c r="I87" i="2"/>
  <c r="H87" i="2"/>
  <c r="G87" i="2"/>
  <c r="K86" i="2"/>
  <c r="J86" i="2"/>
  <c r="I86" i="2"/>
  <c r="H86" i="2"/>
  <c r="G86" i="2"/>
  <c r="K85" i="2"/>
  <c r="J85" i="2"/>
  <c r="I85" i="2"/>
  <c r="H85" i="2"/>
  <c r="G85" i="2"/>
  <c r="K84" i="2"/>
  <c r="J84" i="2"/>
  <c r="I84" i="2"/>
  <c r="H84" i="2"/>
  <c r="G84" i="2"/>
  <c r="K83" i="2"/>
  <c r="J83" i="2"/>
  <c r="I83" i="2"/>
  <c r="H83" i="2"/>
  <c r="G83" i="2"/>
  <c r="K82" i="2"/>
  <c r="J82" i="2"/>
  <c r="I82" i="2"/>
  <c r="H82" i="2"/>
  <c r="G82" i="2"/>
  <c r="C82" i="2"/>
  <c r="K81" i="2"/>
  <c r="J81" i="2"/>
  <c r="I81" i="2"/>
  <c r="H81" i="2"/>
  <c r="G81" i="2"/>
  <c r="K80" i="2"/>
  <c r="J80" i="2"/>
  <c r="I80" i="2"/>
  <c r="H80" i="2"/>
  <c r="G80" i="2"/>
  <c r="K79" i="2"/>
  <c r="J79" i="2"/>
  <c r="I79" i="2"/>
  <c r="H79" i="2"/>
  <c r="G79" i="2"/>
  <c r="K78" i="2"/>
  <c r="J78" i="2"/>
  <c r="I78" i="2"/>
  <c r="H78" i="2"/>
  <c r="G78" i="2"/>
  <c r="K77" i="2"/>
  <c r="J77" i="2"/>
  <c r="I77" i="2"/>
  <c r="H77" i="2"/>
  <c r="G77" i="2"/>
  <c r="K76" i="2"/>
  <c r="J76" i="2"/>
  <c r="I76" i="2"/>
  <c r="H76" i="2"/>
  <c r="G76" i="2"/>
  <c r="K75" i="2"/>
  <c r="J75" i="2"/>
  <c r="I75" i="2"/>
  <c r="H75" i="2"/>
  <c r="G75" i="2"/>
  <c r="K74" i="2"/>
  <c r="J74" i="2"/>
  <c r="I74" i="2"/>
  <c r="H74" i="2"/>
  <c r="G74" i="2"/>
  <c r="K73" i="2"/>
  <c r="J73" i="2"/>
  <c r="I73" i="2"/>
  <c r="H73" i="2"/>
  <c r="G73" i="2"/>
  <c r="K72" i="2"/>
  <c r="J72" i="2"/>
  <c r="I72" i="2"/>
  <c r="H72" i="2"/>
  <c r="G72" i="2"/>
  <c r="K71" i="2"/>
  <c r="J71" i="2"/>
  <c r="I71" i="2"/>
  <c r="H71" i="2"/>
  <c r="G71" i="2"/>
  <c r="K69" i="2"/>
  <c r="J69" i="2"/>
  <c r="I69" i="2"/>
  <c r="H69" i="2"/>
  <c r="G69" i="2"/>
  <c r="K68" i="2"/>
  <c r="J68" i="2"/>
  <c r="I68" i="2"/>
  <c r="H68" i="2"/>
  <c r="G68" i="2"/>
  <c r="A68" i="2"/>
  <c r="A69" i="2" s="1"/>
  <c r="K67" i="2"/>
  <c r="J67" i="2"/>
  <c r="I67" i="2"/>
  <c r="H67" i="2"/>
  <c r="G67" i="2"/>
  <c r="K65" i="2"/>
  <c r="J65" i="2"/>
  <c r="I65" i="2"/>
  <c r="H65" i="2"/>
  <c r="G65" i="2"/>
  <c r="K64" i="2"/>
  <c r="J64" i="2"/>
  <c r="I64" i="2"/>
  <c r="H64" i="2"/>
  <c r="G64" i="2"/>
  <c r="K63" i="2"/>
  <c r="J63" i="2"/>
  <c r="I63" i="2"/>
  <c r="H63" i="2"/>
  <c r="G63" i="2"/>
  <c r="K62" i="2"/>
  <c r="J62" i="2"/>
  <c r="I62" i="2"/>
  <c r="H62" i="2"/>
  <c r="G62" i="2"/>
  <c r="K61" i="2"/>
  <c r="J61" i="2"/>
  <c r="I61" i="2"/>
  <c r="H61" i="2"/>
  <c r="G61" i="2"/>
  <c r="A61" i="2"/>
  <c r="A62" i="2" s="1"/>
  <c r="A63" i="2" s="1"/>
  <c r="A64" i="2" s="1"/>
  <c r="A65" i="2" s="1"/>
  <c r="A67" i="2" s="1"/>
  <c r="K60" i="2"/>
  <c r="J60" i="2"/>
  <c r="I60" i="2"/>
  <c r="H60" i="2"/>
  <c r="G60" i="2"/>
  <c r="A60" i="2"/>
  <c r="K59" i="2"/>
  <c r="J59" i="2"/>
  <c r="I59" i="2"/>
  <c r="H59" i="2"/>
  <c r="G59" i="2"/>
  <c r="K13" i="4"/>
  <c r="J13" i="4"/>
  <c r="I13" i="4"/>
  <c r="H13" i="4"/>
  <c r="G13" i="4"/>
  <c r="K12" i="4"/>
  <c r="J12" i="4"/>
  <c r="I12" i="4"/>
  <c r="H12" i="4"/>
  <c r="G12" i="4"/>
  <c r="K11" i="4"/>
  <c r="J11" i="4"/>
  <c r="I11" i="4"/>
  <c r="H11" i="4"/>
  <c r="G11" i="4"/>
  <c r="K10" i="4"/>
  <c r="J10" i="4"/>
  <c r="I10" i="4"/>
  <c r="H10" i="4"/>
  <c r="G10" i="4"/>
  <c r="K9" i="4"/>
  <c r="J9" i="4"/>
  <c r="I9" i="4"/>
  <c r="H9" i="4"/>
  <c r="G9" i="4"/>
  <c r="K8" i="4"/>
  <c r="J8" i="4"/>
  <c r="I8" i="4"/>
  <c r="H8" i="4"/>
  <c r="G8" i="4"/>
  <c r="K7" i="4"/>
  <c r="J7" i="4"/>
  <c r="I7" i="4"/>
  <c r="H7" i="4"/>
  <c r="G7" i="4"/>
  <c r="K6" i="4"/>
  <c r="J6" i="4"/>
  <c r="I6" i="4"/>
  <c r="H6" i="4"/>
  <c r="G6" i="4"/>
  <c r="K5" i="4"/>
  <c r="J5" i="4"/>
  <c r="I5" i="4"/>
  <c r="H5" i="4"/>
  <c r="G5" i="4"/>
  <c r="K4" i="4"/>
  <c r="J4" i="4"/>
  <c r="I4" i="4"/>
  <c r="H4" i="4"/>
  <c r="G4" i="4"/>
  <c r="K3" i="4"/>
  <c r="J3" i="4"/>
  <c r="I3" i="4"/>
  <c r="H3" i="4"/>
  <c r="G3" i="4"/>
  <c r="K4" i="2"/>
  <c r="J4" i="2"/>
  <c r="I4" i="2"/>
  <c r="H4" i="2"/>
  <c r="G4" i="2"/>
  <c r="A4" i="2"/>
  <c r="A72" i="2" l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70" i="2"/>
  <c r="A71" i="2"/>
  <c r="K57" i="2"/>
  <c r="J57" i="2"/>
  <c r="I57" i="2"/>
  <c r="H57" i="2"/>
  <c r="G57" i="2"/>
  <c r="K56" i="2"/>
  <c r="J56" i="2"/>
  <c r="I56" i="2"/>
  <c r="H56" i="2"/>
  <c r="G56" i="2"/>
  <c r="K55" i="2"/>
  <c r="J55" i="2"/>
  <c r="I55" i="2"/>
  <c r="H55" i="2"/>
  <c r="G55" i="2"/>
  <c r="K54" i="2"/>
  <c r="J54" i="2"/>
  <c r="I54" i="2"/>
  <c r="H54" i="2"/>
  <c r="G54" i="2"/>
  <c r="K53" i="2"/>
  <c r="J53" i="2"/>
  <c r="I53" i="2"/>
  <c r="H53" i="2"/>
  <c r="G53" i="2"/>
  <c r="K52" i="2"/>
  <c r="J52" i="2"/>
  <c r="I52" i="2"/>
  <c r="H52" i="2"/>
  <c r="G52" i="2"/>
  <c r="K51" i="2"/>
  <c r="J51" i="2"/>
  <c r="I51" i="2"/>
  <c r="H51" i="2"/>
  <c r="G51" i="2"/>
  <c r="K50" i="2"/>
  <c r="J50" i="2"/>
  <c r="I50" i="2"/>
  <c r="H50" i="2"/>
  <c r="G50" i="2"/>
  <c r="K49" i="2"/>
  <c r="J49" i="2"/>
  <c r="I49" i="2"/>
  <c r="H49" i="2"/>
  <c r="G49" i="2"/>
  <c r="K48" i="2"/>
  <c r="J48" i="2"/>
  <c r="I48" i="2"/>
  <c r="H48" i="2"/>
  <c r="G48" i="2"/>
  <c r="K47" i="2"/>
  <c r="J47" i="2"/>
  <c r="I47" i="2"/>
  <c r="H47" i="2"/>
  <c r="G47" i="2"/>
  <c r="K46" i="2"/>
  <c r="J46" i="2"/>
  <c r="I46" i="2"/>
  <c r="H46" i="2"/>
  <c r="G46" i="2"/>
  <c r="K45" i="2"/>
  <c r="J45" i="2"/>
  <c r="I45" i="2"/>
  <c r="H45" i="2"/>
  <c r="G45" i="2"/>
  <c r="K44" i="2"/>
  <c r="J44" i="2"/>
  <c r="I44" i="2"/>
  <c r="H44" i="2"/>
  <c r="G44" i="2"/>
  <c r="K42" i="2"/>
  <c r="J42" i="2"/>
  <c r="I42" i="2"/>
  <c r="H42" i="2"/>
  <c r="G42" i="2"/>
  <c r="K41" i="2"/>
  <c r="J41" i="2"/>
  <c r="I41" i="2"/>
  <c r="H41" i="2"/>
  <c r="G41" i="2"/>
  <c r="K40" i="2"/>
  <c r="J40" i="2"/>
  <c r="I40" i="2"/>
  <c r="H40" i="2"/>
  <c r="G40" i="2"/>
  <c r="K39" i="2"/>
  <c r="J39" i="2"/>
  <c r="I39" i="2"/>
  <c r="H39" i="2"/>
  <c r="G39" i="2"/>
  <c r="K38" i="2"/>
  <c r="J38" i="2"/>
  <c r="I38" i="2"/>
  <c r="H38" i="2"/>
  <c r="G38" i="2"/>
  <c r="K37" i="2"/>
  <c r="J37" i="2"/>
  <c r="I37" i="2"/>
  <c r="H37" i="2"/>
  <c r="G37" i="2"/>
  <c r="K36" i="2"/>
  <c r="J36" i="2"/>
  <c r="I36" i="2"/>
  <c r="H36" i="2"/>
  <c r="G36" i="2"/>
  <c r="K35" i="2"/>
  <c r="J35" i="2"/>
  <c r="I35" i="2"/>
  <c r="H35" i="2"/>
  <c r="G35" i="2"/>
  <c r="K34" i="2"/>
  <c r="J34" i="2"/>
  <c r="I34" i="2"/>
  <c r="H34" i="2"/>
  <c r="G34" i="2"/>
  <c r="K33" i="2"/>
  <c r="J33" i="2"/>
  <c r="I33" i="2"/>
  <c r="H33" i="2"/>
  <c r="G33" i="2"/>
  <c r="K32" i="2"/>
  <c r="J32" i="2"/>
  <c r="I32" i="2"/>
  <c r="H32" i="2"/>
  <c r="G32" i="2"/>
  <c r="K31" i="2"/>
  <c r="J31" i="2"/>
  <c r="I31" i="2"/>
  <c r="H31" i="2"/>
  <c r="G31" i="2"/>
  <c r="K30" i="2"/>
  <c r="J30" i="2"/>
  <c r="I30" i="2"/>
  <c r="H30" i="2"/>
  <c r="G30" i="2"/>
  <c r="K29" i="2"/>
  <c r="J29" i="2"/>
  <c r="I29" i="2"/>
  <c r="H29" i="2"/>
  <c r="G29" i="2"/>
  <c r="K28" i="2"/>
  <c r="J28" i="2"/>
  <c r="I28" i="2"/>
  <c r="H28" i="2"/>
  <c r="G28" i="2"/>
  <c r="K27" i="2"/>
  <c r="J27" i="2"/>
  <c r="I27" i="2"/>
  <c r="H27" i="2"/>
  <c r="G27" i="2"/>
  <c r="K26" i="2"/>
  <c r="J26" i="2"/>
  <c r="I26" i="2"/>
  <c r="H26" i="2"/>
  <c r="G26" i="2"/>
  <c r="K25" i="2"/>
  <c r="J25" i="2"/>
  <c r="I25" i="2"/>
  <c r="H25" i="2"/>
  <c r="G25" i="2"/>
  <c r="K24" i="2"/>
  <c r="J24" i="2"/>
  <c r="I24" i="2"/>
  <c r="H24" i="2"/>
  <c r="G24" i="2"/>
  <c r="K23" i="2"/>
  <c r="J23" i="2"/>
  <c r="I23" i="2"/>
  <c r="H23" i="2"/>
  <c r="G23" i="2"/>
  <c r="K22" i="2"/>
  <c r="J22" i="2"/>
  <c r="I22" i="2"/>
  <c r="H22" i="2"/>
  <c r="G22" i="2"/>
  <c r="K21" i="2"/>
  <c r="J21" i="2"/>
  <c r="I21" i="2"/>
  <c r="H21" i="2"/>
  <c r="G21" i="2"/>
  <c r="K20" i="2"/>
  <c r="J20" i="2"/>
  <c r="I20" i="2"/>
  <c r="H20" i="2"/>
  <c r="G20" i="2"/>
  <c r="K19" i="2"/>
  <c r="J19" i="2"/>
  <c r="I19" i="2"/>
  <c r="H19" i="2"/>
  <c r="G19" i="2"/>
  <c r="K18" i="2"/>
  <c r="J18" i="2"/>
  <c r="I18" i="2"/>
  <c r="H18" i="2"/>
  <c r="G18" i="2"/>
  <c r="K17" i="2"/>
  <c r="J17" i="2"/>
  <c r="I17" i="2"/>
  <c r="H17" i="2"/>
  <c r="G17" i="2"/>
  <c r="K16" i="2"/>
  <c r="J16" i="2"/>
  <c r="I16" i="2"/>
  <c r="H16" i="2"/>
  <c r="G16" i="2"/>
  <c r="K43" i="2"/>
  <c r="J43" i="2"/>
  <c r="I43" i="2"/>
  <c r="H43" i="2"/>
  <c r="G43" i="2"/>
  <c r="K15" i="2"/>
  <c r="J15" i="2"/>
  <c r="I15" i="2"/>
  <c r="H15" i="2"/>
  <c r="G15" i="2"/>
  <c r="K13" i="2"/>
  <c r="J13" i="2"/>
  <c r="I13" i="2"/>
  <c r="H13" i="2"/>
  <c r="G13" i="2"/>
  <c r="K12" i="2"/>
  <c r="J12" i="2"/>
  <c r="I12" i="2"/>
  <c r="H12" i="2"/>
  <c r="G12" i="2"/>
  <c r="K11" i="2"/>
  <c r="J11" i="2"/>
  <c r="I11" i="2"/>
  <c r="H11" i="2"/>
  <c r="G11" i="2"/>
  <c r="K9" i="2"/>
  <c r="J9" i="2"/>
  <c r="I9" i="2"/>
  <c r="H9" i="2"/>
  <c r="G9" i="2"/>
  <c r="K8" i="2"/>
  <c r="J8" i="2"/>
  <c r="I8" i="2"/>
  <c r="H8" i="2"/>
  <c r="G8" i="2"/>
  <c r="K7" i="2"/>
  <c r="J7" i="2"/>
  <c r="I7" i="2"/>
  <c r="H7" i="2"/>
  <c r="G7" i="2"/>
  <c r="K6" i="2"/>
  <c r="J6" i="2"/>
  <c r="I6" i="2"/>
  <c r="H6" i="2"/>
  <c r="G6" i="2"/>
  <c r="K5" i="2"/>
  <c r="J5" i="2"/>
  <c r="I5" i="2"/>
  <c r="H5" i="2"/>
  <c r="G5" i="2"/>
  <c r="K3" i="2"/>
  <c r="J3" i="2"/>
  <c r="I3" i="2"/>
  <c r="H3" i="2"/>
  <c r="G3" i="2"/>
  <c r="C26" i="2"/>
  <c r="H83" i="6" l="1"/>
  <c r="D6" i="3" s="1"/>
  <c r="A33" i="6"/>
  <c r="A34" i="6" s="1"/>
  <c r="A36" i="6" s="1"/>
  <c r="K83" i="6"/>
  <c r="G6" i="3" s="1"/>
  <c r="J83" i="6"/>
  <c r="F6" i="3" s="1"/>
  <c r="I83" i="6"/>
  <c r="E6" i="3" s="1"/>
  <c r="G83" i="6"/>
  <c r="C6" i="3" s="1"/>
  <c r="H16" i="5"/>
  <c r="D5" i="3" s="1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4" i="5"/>
  <c r="K16" i="5"/>
  <c r="G5" i="3" s="1"/>
  <c r="J16" i="5"/>
  <c r="F5" i="3" s="1"/>
  <c r="I16" i="5"/>
  <c r="E5" i="3" s="1"/>
  <c r="G16" i="5"/>
  <c r="C5" i="3" s="1"/>
  <c r="K51" i="4"/>
  <c r="G4" i="3" s="1"/>
  <c r="J51" i="4"/>
  <c r="F4" i="3" s="1"/>
  <c r="I51" i="4"/>
  <c r="E4" i="3" s="1"/>
  <c r="H51" i="4"/>
  <c r="D4" i="3" s="1"/>
  <c r="G51" i="4"/>
  <c r="C4" i="3" s="1"/>
  <c r="A15" i="4"/>
  <c r="A16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4" i="4"/>
  <c r="A5" i="4" s="1"/>
  <c r="A6" i="4" s="1"/>
  <c r="A7" i="4" s="1"/>
  <c r="A8" i="4" s="1"/>
  <c r="A9" i="4" s="1"/>
  <c r="A10" i="4" s="1"/>
  <c r="A11" i="4" s="1"/>
  <c r="A12" i="4" s="1"/>
  <c r="A13" i="4" s="1"/>
  <c r="H5" i="3" l="1"/>
  <c r="H6" i="3"/>
  <c r="H4" i="3"/>
  <c r="A35" i="6"/>
  <c r="A37" i="6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18" i="4"/>
  <c r="A17" i="4"/>
  <c r="A13" i="2"/>
  <c r="A15" i="2" s="1"/>
  <c r="A69" i="6" l="1"/>
  <c r="A70" i="6" s="1"/>
  <c r="A67" i="6"/>
  <c r="A14" i="2"/>
  <c r="A16" i="2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" i="2"/>
  <c r="A6" i="2" s="1"/>
  <c r="A7" i="2" s="1"/>
  <c r="A8" i="2" s="1"/>
  <c r="A9" i="2" s="1"/>
  <c r="A71" i="6" l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G114" i="2"/>
  <c r="C3" i="3" s="1"/>
  <c r="H114" i="2" l="1"/>
  <c r="D3" i="3" s="1"/>
  <c r="I114" i="2" l="1"/>
  <c r="E3" i="3" s="1"/>
  <c r="H3" i="3" s="1"/>
  <c r="J114" i="2" l="1"/>
  <c r="F3" i="3" s="1"/>
  <c r="K114" i="2" l="1"/>
  <c r="G3" i="3" s="1"/>
</calcChain>
</file>

<file path=xl/sharedStrings.xml><?xml version="1.0" encoding="utf-8"?>
<sst xmlns="http://schemas.openxmlformats.org/spreadsheetml/2006/main" count="860" uniqueCount="330">
  <si>
    <t>Correct Y / N</t>
  </si>
  <si>
    <t>Test Case</t>
  </si>
  <si>
    <t>Expected Results</t>
  </si>
  <si>
    <t>Bug  ID</t>
  </si>
  <si>
    <t>Notes</t>
  </si>
  <si>
    <t>Pass</t>
  </si>
  <si>
    <t>Fail</t>
  </si>
  <si>
    <t>N/A</t>
  </si>
  <si>
    <t>Not Now</t>
  </si>
  <si>
    <t>To be Tested</t>
  </si>
  <si>
    <t>TOTAL</t>
  </si>
  <si>
    <t>Input data / Action / Field Name</t>
  </si>
  <si>
    <t>Data Dictionary</t>
  </si>
  <si>
    <t>Manage transfer of ownership</t>
  </si>
  <si>
    <t>Authorise</t>
  </si>
  <si>
    <t>Balance queries</t>
  </si>
  <si>
    <t>Automated instructions</t>
  </si>
  <si>
    <t>Section 14 can be done in varies ways</t>
  </si>
  <si>
    <t>Transfer</t>
  </si>
  <si>
    <t>Termination</t>
  </si>
  <si>
    <t>Client to Other - Same Portfolio</t>
  </si>
  <si>
    <t>All that is not Benefit Payment</t>
  </si>
  <si>
    <t>Market Linked = Withdrawel</t>
  </si>
  <si>
    <t>When transfer is between Existing Client = Ford to Sanlam Umbrella</t>
  </si>
  <si>
    <t>Then you don’t need to create the Client again</t>
  </si>
  <si>
    <t>If it's to Verso, then you need to create the client under Verso as a PE</t>
  </si>
  <si>
    <t>Only money move from existing portfolio to new portfolio</t>
  </si>
  <si>
    <t>If portfolio doesn't exist on Umbrella, it has to be created</t>
  </si>
  <si>
    <t>Get Client Investor Code from which the Transfer will be made</t>
  </si>
  <si>
    <t>Client should be found, and displayed on landing page</t>
  </si>
  <si>
    <t>Investor Code</t>
  </si>
  <si>
    <t>Get Client Investor Code To which the Transfer will be made</t>
  </si>
  <si>
    <r>
      <t xml:space="preserve">Search for Client - </t>
    </r>
    <r>
      <rPr>
        <b/>
        <sz val="10"/>
        <color theme="1"/>
        <rFont val="Arial"/>
        <family val="2"/>
      </rPr>
      <t>TEST CLIENT 004</t>
    </r>
  </si>
  <si>
    <t>10011594</t>
  </si>
  <si>
    <r>
      <t xml:space="preserve">Search for Client - </t>
    </r>
    <r>
      <rPr>
        <b/>
        <sz val="10"/>
        <color theme="1"/>
        <rFont val="Arial"/>
        <family val="2"/>
      </rPr>
      <t xml:space="preserve">TEST SANLAM UMBRELLA </t>
    </r>
  </si>
  <si>
    <t>Go to:
Unit  Transactions &gt; Transfers</t>
  </si>
  <si>
    <t>New window should be displayed</t>
  </si>
  <si>
    <t>Personal Details Tab</t>
  </si>
  <si>
    <t>Personal Details Tab should be displayed</t>
  </si>
  <si>
    <t>Country Registered</t>
  </si>
  <si>
    <t>Should be South Africa</t>
  </si>
  <si>
    <t>No need to change anything else as this page is already tested</t>
  </si>
  <si>
    <t>Process should move to Profile</t>
  </si>
  <si>
    <t>Click No Change / Proceed</t>
  </si>
  <si>
    <t>Profile Tab</t>
  </si>
  <si>
    <t>Primary Product</t>
  </si>
  <si>
    <t>Consolidation (same PSNID)</t>
  </si>
  <si>
    <t>Multiple Target</t>
  </si>
  <si>
    <t>Radio Button: Yes / No - Default Disabled</t>
  </si>
  <si>
    <t>Click Next</t>
  </si>
  <si>
    <t>Hidden Section should be displayed</t>
  </si>
  <si>
    <t>Price Date</t>
  </si>
  <si>
    <t>Single Target</t>
  </si>
  <si>
    <t>Reset</t>
  </si>
  <si>
    <t>Next</t>
  </si>
  <si>
    <t>Button</t>
  </si>
  <si>
    <t>Button - Disabled</t>
  </si>
  <si>
    <t>Blank</t>
  </si>
  <si>
    <t>Fund</t>
  </si>
  <si>
    <t>Avail Units</t>
  </si>
  <si>
    <t>Override</t>
  </si>
  <si>
    <t>Quantity Type</t>
  </si>
  <si>
    <t>Clear</t>
  </si>
  <si>
    <t>Select SMM 50 on Landing Page (Right window)</t>
  </si>
  <si>
    <t>SMM 50</t>
  </si>
  <si>
    <t>Numeric number</t>
  </si>
  <si>
    <t>Select ALL</t>
  </si>
  <si>
    <t>Quantity</t>
  </si>
  <si>
    <t>Should be all the available units</t>
  </si>
  <si>
    <t>Button, and once invoked, should clear everything captured againts the table</t>
  </si>
  <si>
    <t>Click Single Target</t>
  </si>
  <si>
    <t>Click Reset</t>
  </si>
  <si>
    <t>Transaction History</t>
  </si>
  <si>
    <t>Recurring Switches</t>
  </si>
  <si>
    <t>Recurring Repurchases</t>
  </si>
  <si>
    <t>Create / Alter Reroute</t>
  </si>
  <si>
    <t>Pop-up should be displayed, and reset you back to Initial State on the Profile tab</t>
  </si>
  <si>
    <t>Transfer Target Detail</t>
  </si>
  <si>
    <t>Transfer Target Detail Should be displayed</t>
  </si>
  <si>
    <t>Capture Investor Code of the destination Fund</t>
  </si>
  <si>
    <t>Changed Owner</t>
  </si>
  <si>
    <t>Radio Button: No / Yes - Default Disabled</t>
  </si>
  <si>
    <t>Agent Code</t>
  </si>
  <si>
    <t>80000S - Default</t>
  </si>
  <si>
    <t>Def Button</t>
  </si>
  <si>
    <t>Search Button</t>
  </si>
  <si>
    <t>Agent Name</t>
  </si>
  <si>
    <t>Biblife Code</t>
  </si>
  <si>
    <t>0</t>
  </si>
  <si>
    <t>Agent %</t>
  </si>
  <si>
    <t>100.00</t>
  </si>
  <si>
    <t>Total %</t>
  </si>
  <si>
    <t>Should be 100.00</t>
  </si>
  <si>
    <t>Click Submit</t>
  </si>
  <si>
    <t>Submit Button</t>
  </si>
  <si>
    <t>Reset Button</t>
  </si>
  <si>
    <t>Exit Button</t>
  </si>
  <si>
    <t>Should close without saving</t>
  </si>
  <si>
    <t>Should clear all modifications</t>
  </si>
  <si>
    <t>Should Save and close menu</t>
  </si>
  <si>
    <t>Should change to Green</t>
  </si>
  <si>
    <t>Next Button should be available</t>
  </si>
  <si>
    <t>Should move to Conclusion Tab</t>
  </si>
  <si>
    <t>Print Letter</t>
  </si>
  <si>
    <t>Go to:
Administrator &gt; Authorize Transactions &gt; Switches / Transfer</t>
  </si>
  <si>
    <t>Primary Product Name</t>
  </si>
  <si>
    <t>Should be the same for both Clients</t>
  </si>
  <si>
    <t>Successfully transferred!</t>
  </si>
  <si>
    <t>New Page should be displayed with the following Table Headings</t>
  </si>
  <si>
    <t>Heading</t>
  </si>
  <si>
    <t xml:space="preserve">Authorise Switches / Transfers </t>
  </si>
  <si>
    <t xml:space="preserve">Source investor </t>
  </si>
  <si>
    <t xml:space="preserve">Source fund </t>
  </si>
  <si>
    <t xml:space="preserve">Target investor </t>
  </si>
  <si>
    <t xml:space="preserve">Target fund </t>
  </si>
  <si>
    <t xml:space="preserve">Amount / Units </t>
  </si>
  <si>
    <t xml:space="preserve">Override charges </t>
  </si>
  <si>
    <t xml:space="preserve">Clerk </t>
  </si>
  <si>
    <t xml:space="preserve">Reject </t>
  </si>
  <si>
    <t xml:space="preserve">Authorise </t>
  </si>
  <si>
    <t>Colum 01</t>
  </si>
  <si>
    <t>Colum 02</t>
  </si>
  <si>
    <t>Colum 03</t>
  </si>
  <si>
    <t>Colum 04</t>
  </si>
  <si>
    <t>Colum 05</t>
  </si>
  <si>
    <t>Colum 06</t>
  </si>
  <si>
    <t>Colum 07</t>
  </si>
  <si>
    <t>Colum 08 - Tick Box</t>
  </si>
  <si>
    <t>Colum 09 - Tick Box</t>
  </si>
  <si>
    <t>SMM Vesting</t>
  </si>
  <si>
    <t>Stable Bonus</t>
  </si>
  <si>
    <t>Monthly Bonus</t>
  </si>
  <si>
    <t>Smoothed Bonus Portfolio</t>
  </si>
  <si>
    <t>Smooth Bonus</t>
  </si>
  <si>
    <t>Section 14 Transfer (Stand alone to Umbrella) - Smooth Bonus</t>
  </si>
  <si>
    <t>Process 001</t>
  </si>
  <si>
    <t>Process 002</t>
  </si>
  <si>
    <t>Yes</t>
  </si>
  <si>
    <t>Select Authorise</t>
  </si>
  <si>
    <t>Selected row should change to pink</t>
  </si>
  <si>
    <t>Additional Detail</t>
  </si>
  <si>
    <t>New Section should be displayed</t>
  </si>
  <si>
    <t>Following fields should be displayed</t>
  </si>
  <si>
    <t>Client Name</t>
  </si>
  <si>
    <t>ID Number</t>
  </si>
  <si>
    <t>Total Value</t>
  </si>
  <si>
    <t>Total Units</t>
  </si>
  <si>
    <t>Pledged Units</t>
  </si>
  <si>
    <t>FICA</t>
  </si>
  <si>
    <t>Frozen</t>
  </si>
  <si>
    <t>Available Value</t>
  </si>
  <si>
    <t>Available Units</t>
  </si>
  <si>
    <t>Uncleared Units</t>
  </si>
  <si>
    <t>Following buttons should be available</t>
  </si>
  <si>
    <t>Marketer Enquiry</t>
  </si>
  <si>
    <t>Audit Trail</t>
  </si>
  <si>
    <t>Bank Account</t>
  </si>
  <si>
    <t>Click Marketer Enquiry</t>
  </si>
  <si>
    <t>Click Transaction History</t>
  </si>
  <si>
    <t>Click Audit Trail</t>
  </si>
  <si>
    <t>Click Notes</t>
  </si>
  <si>
    <t>Click Person Details</t>
  </si>
  <si>
    <t>Click Bank Account</t>
  </si>
  <si>
    <t>New Window should appear</t>
  </si>
  <si>
    <t>Unselected</t>
  </si>
  <si>
    <t xml:space="preserve">Transactions processed successfully </t>
  </si>
  <si>
    <t>No more records to authorize on SHR_CONVERTER</t>
  </si>
  <si>
    <t>A. Scheduling of program</t>
  </si>
  <si>
    <t>• The program must be scheduled daily (12h00) to check if there are new files with investment information on the FTP server.</t>
  </si>
  <si>
    <t>• Scheduled by CA7 (must also be able to run program manually afterwards if errors occurred e.g. daily file not available when program is run).</t>
  </si>
  <si>
    <t>• Identify file</t>
  </si>
  <si>
    <t>The address is: ftp://ftp.coriscapital.com</t>
  </si>
  <si>
    <t>Username: sanlam</t>
  </si>
  <si>
    <t>Password: SanlamFTP ( Case sensitive)</t>
  </si>
  <si>
    <t>Directory: To Sanlam (The test environment is Test To Sanlam)</t>
  </si>
  <si>
    <t>File: INS.MV.SCI_01.ccyymmdd</t>
  </si>
  <si>
    <t>• If no file available on server or if the download of the file fail, send E-mail to Coris and CDA to confirm no file or failure of file download.</t>
  </si>
  <si>
    <t>Title: (RFA Name): No daily Instruction file / Download of Instruction file failed.</t>
  </si>
  <si>
    <t>To: Addresses as indicated on ‘Doc Address Maintenance’ for new document.</t>
  </si>
  <si>
    <t>From: sebaccountssystem@sanlam.co.za</t>
  </si>
  <si>
    <t>No attachment or body</t>
  </si>
  <si>
    <t>Coris will place the file daily (working days) on the FTP server:</t>
  </si>
  <si>
    <t>Where:
INS.MV.SCI
Will always be the same to enable us to identify file for SCI</t>
  </si>
  <si>
    <t>_01
Will increment if more than one file is supplied for the same day</t>
  </si>
  <si>
    <t>EEYYMMDD
Date when instruction is send (also price date on SUTUWA)
Date is a variable</t>
  </si>
  <si>
    <t>Rename old file in ftp directory to DONE.INS. MV.SCI_01.ccyymmdd</t>
  </si>
  <si>
    <t>First Header Line</t>
  </si>
  <si>
    <t>Coris;Transactions;2008-02-04</t>
  </si>
  <si>
    <t>Date is the only Variable (Date to be used as price date in transaction)</t>
  </si>
  <si>
    <t xml:space="preserve">Second Header Line </t>
  </si>
  <si>
    <t>Headings of columns</t>
  </si>
  <si>
    <t>Content to be described in the following rows</t>
  </si>
  <si>
    <t>Transaction Types</t>
  </si>
  <si>
    <t>I ; D or S  (at this stage)</t>
  </si>
  <si>
    <t>I = Investments; D = Disinvestments (repurchases); S = Switch</t>
  </si>
  <si>
    <t>Client Code</t>
  </si>
  <si>
    <t>Client Code on RFA's system</t>
  </si>
  <si>
    <t>This is the client code on the Coris Platform (not used by us)</t>
  </si>
  <si>
    <t>Client Name on RFA's system</t>
  </si>
  <si>
    <t>This is the client name on the Coris Platform (not used by us)</t>
  </si>
  <si>
    <t>From Portfolio</t>
  </si>
  <si>
    <t>Blank when n/a. SEB's portfolio code</t>
  </si>
  <si>
    <t>Will only be filled in case of a repurchase or From Switch</t>
  </si>
  <si>
    <t>Please note: Coris is going to make this field longer. We only use the first 4 positions to identify the portfolio. The first 4 position = HiPort on Asset.</t>
  </si>
  <si>
    <t>To Portfolio</t>
  </si>
  <si>
    <t>Will only be filled in case of a Investment or To Switch</t>
  </si>
  <si>
    <t>Please note: Coris is going to make this field longer. We only use the first 4 positions to identify the portfolio The first 4 position = HiPort on Asset.</t>
  </si>
  <si>
    <t>Amount</t>
  </si>
  <si>
    <t>No sign, no leading zeroes</t>
  </si>
  <si>
    <t>Amount for transaction</t>
  </si>
  <si>
    <t>Units</t>
  </si>
  <si>
    <t>No sign, no leading zeroes, maximum two decimals (Not applicable to Coris)</t>
  </si>
  <si>
    <t>Blank (not currently used by Coris - they only instruct in amounts. Other RFA using the functionality to instruct electronically might want to instruct disinvestments and switches in units)</t>
  </si>
  <si>
    <t>Deposit reference</t>
  </si>
  <si>
    <t xml:space="preserve">As provided by SEB, Different per Client </t>
  </si>
  <si>
    <t>Used to identify client on SUTUWA</t>
  </si>
  <si>
    <t>File Layout</t>
  </si>
  <si>
    <t>Capture Investments</t>
  </si>
  <si>
    <t xml:space="preserve">Field on File </t>
  </si>
  <si>
    <t>Content</t>
  </si>
  <si>
    <t>Description</t>
  </si>
  <si>
    <t>Price date</t>
  </si>
  <si>
    <t>In first Header line</t>
  </si>
  <si>
    <t xml:space="preserve">Date used in first header line (also in filename)  </t>
  </si>
  <si>
    <t>I (select I for investments)</t>
  </si>
  <si>
    <t>Unit transaction:</t>
  </si>
  <si>
    <t>Normal Investment</t>
  </si>
  <si>
    <t>Transaction 970 Oorsprong = 05 for Coris clients (primary product = 24)  and 18 for other clients</t>
  </si>
  <si>
    <t xml:space="preserve">The normal investment transaction must be created for each line with an 'I' in the first column. An unique 'oorsprong' code is applicable to Coris clients to initiate correct accounting.  </t>
  </si>
  <si>
    <t>Not used in transaction</t>
  </si>
  <si>
    <t>Must not be filled in case of an Investment instruction</t>
  </si>
  <si>
    <t>Code to identify portfolio</t>
  </si>
  <si>
    <t>The first 4 positions will be the same as the HiPort code used for the portfolio on SUTUWA</t>
  </si>
  <si>
    <t>Amount to be invested</t>
  </si>
  <si>
    <t>Not applicable for Investment instructions</t>
  </si>
  <si>
    <t>Code to identify client</t>
  </si>
  <si>
    <t>NME_AGTER</t>
  </si>
  <si>
    <t>On: SHR_REGNR</t>
  </si>
  <si>
    <t>Clerk code (not on file)</t>
  </si>
  <si>
    <t>Use same code to easily identify the electronically created instructions.</t>
  </si>
  <si>
    <t>Capture Repurchases</t>
  </si>
  <si>
    <t>D (select D for  disinvestments)</t>
  </si>
  <si>
    <t xml:space="preserve">Unit transaction: </t>
  </si>
  <si>
    <t>If amount repurchase = transaction 201</t>
  </si>
  <si>
    <t>If  unit repurchase = transaction 200</t>
  </si>
  <si>
    <t xml:space="preserve">An disinvestment  transaction must be created for each line with a  'D' in the first column  </t>
  </si>
  <si>
    <t>Must not be filled in case of an Disinvestment instruction</t>
  </si>
  <si>
    <t>Amount to be disinvested</t>
  </si>
  <si>
    <t>Disinvestment request in value (Amount)</t>
  </si>
  <si>
    <t>Number of unit to be disinvested</t>
  </si>
  <si>
    <t>Disinvestment request in units (not used by Coris but might be required by other RFA's</t>
  </si>
  <si>
    <t>Capture Switches</t>
  </si>
  <si>
    <t>Method of payment (not on file)</t>
  </si>
  <si>
    <t>LDC</t>
  </si>
  <si>
    <t>Use bank detail as captured for the client</t>
  </si>
  <si>
    <t>S (select investments for Switches)</t>
  </si>
  <si>
    <t>Unit transaction: Switch</t>
  </si>
  <si>
    <t xml:space="preserve">An Switch  transaction must be created for each line with a  'S' in the first column  </t>
  </si>
  <si>
    <t>Amount to be switched</t>
  </si>
  <si>
    <t>Clerk code</t>
  </si>
  <si>
    <t>Balances must be available on-line</t>
  </si>
  <si>
    <t>Market Link: Market Value at requested date</t>
  </si>
  <si>
    <t>Select Client</t>
  </si>
  <si>
    <t>Client Selected</t>
  </si>
  <si>
    <t>Funds</t>
  </si>
  <si>
    <t>Balances of Funds should be displayed</t>
  </si>
  <si>
    <t>Price</t>
  </si>
  <si>
    <t>Unit</t>
  </si>
  <si>
    <t>Curr</t>
  </si>
  <si>
    <t>Value</t>
  </si>
  <si>
    <t>Extra Info</t>
  </si>
  <si>
    <t>The following should be included in a table</t>
  </si>
  <si>
    <t>Section 14 Transfer (Stand alone to Umbrella) - Money Market</t>
  </si>
  <si>
    <t>10017100</t>
  </si>
  <si>
    <t>No</t>
  </si>
  <si>
    <r>
      <t xml:space="preserve">Go to:
</t>
    </r>
    <r>
      <rPr>
        <b/>
        <sz val="10"/>
        <color theme="1"/>
        <rFont val="Arial"/>
        <family val="2"/>
      </rPr>
      <t>Unit  Transactions &gt; Transfers</t>
    </r>
  </si>
  <si>
    <t>SEB RFA(24)</t>
  </si>
  <si>
    <t>By clicking on the No Change/Proceed</t>
  </si>
  <si>
    <t>From the Standalone fund: Select SMM 50 Fund</t>
  </si>
  <si>
    <t>Pop up "Transfer target detail"</t>
  </si>
  <si>
    <t>Blank - A price date needs to be captured</t>
  </si>
  <si>
    <r>
      <t xml:space="preserve">From the Standalone fund: Select </t>
    </r>
    <r>
      <rPr>
        <strike/>
        <sz val="10"/>
        <color theme="1"/>
        <rFont val="Arial"/>
        <family val="2"/>
      </rPr>
      <t>SMM 50 Fund</t>
    </r>
    <r>
      <rPr>
        <sz val="10"/>
        <color theme="1"/>
        <rFont val="Arial"/>
        <family val="2"/>
      </rPr>
      <t xml:space="preserve"> Monthly Bonus Fund (MBF)</t>
    </r>
  </si>
  <si>
    <r>
      <t xml:space="preserve">Select </t>
    </r>
    <r>
      <rPr>
        <b/>
        <sz val="10"/>
        <color theme="1"/>
        <rFont val="Arial"/>
        <family val="2"/>
      </rPr>
      <t>MBF</t>
    </r>
    <r>
      <rPr>
        <sz val="10"/>
        <color theme="1"/>
        <rFont val="Arial"/>
        <family val="2"/>
      </rPr>
      <t xml:space="preserve"> on Landing Page (Right window)</t>
    </r>
  </si>
  <si>
    <r>
      <t>Blank -</t>
    </r>
    <r>
      <rPr>
        <b/>
        <sz val="10"/>
        <color theme="1"/>
        <rFont val="Arial"/>
        <family val="2"/>
      </rPr>
      <t xml:space="preserve"> A price date needs to be captured</t>
    </r>
  </si>
  <si>
    <t>Single Target Button</t>
  </si>
  <si>
    <r>
      <t>Click Single Target</t>
    </r>
    <r>
      <rPr>
        <sz val="10"/>
        <color theme="1"/>
        <rFont val="Arial"/>
        <family val="2"/>
      </rPr>
      <t xml:space="preserve"> (ref to 2.1026)</t>
    </r>
  </si>
  <si>
    <t>Should change to Green after submit</t>
  </si>
  <si>
    <t>Unable to continue</t>
  </si>
  <si>
    <t>Available Funds should be listed on Landing Page</t>
  </si>
  <si>
    <t>INV-12 on Jira_resolved</t>
  </si>
  <si>
    <t>Linked to the previous test case- Manage Transfer of Ownership</t>
  </si>
  <si>
    <t>The amount indicated in the Amount/Units column</t>
  </si>
  <si>
    <t>$@</t>
  </si>
  <si>
    <t>date provided in previous test case</t>
  </si>
  <si>
    <t>Indication: "Not required"</t>
  </si>
  <si>
    <t>Indication: "No"</t>
  </si>
  <si>
    <t>Personal Details</t>
  </si>
  <si>
    <t>daphne</t>
  </si>
  <si>
    <t>Already covered see Automated Instruction under the Investments test case.</t>
  </si>
  <si>
    <t>Monthly Batch -Exclusive Fees</t>
  </si>
  <si>
    <t>Verification -  Accounting</t>
  </si>
  <si>
    <t xml:space="preserve"> Accounting Files - </t>
  </si>
  <si>
    <t>Refer to the Output file generated on the Walker System when Batch is completed</t>
  </si>
  <si>
    <t>6. Investment Fees on all SIM &amp; SMMI products</t>
  </si>
  <si>
    <t>Accounting Re 6.1</t>
  </si>
  <si>
    <t xml:space="preserve">Confirm that the Batch Process has Run </t>
  </si>
  <si>
    <t>Monthly Exclusive Fees</t>
  </si>
  <si>
    <t>Check the email notification to ensure that this process has executed</t>
  </si>
  <si>
    <t>This process will run on the last day of every month</t>
  </si>
  <si>
    <t xml:space="preserve">Check with Olga </t>
  </si>
  <si>
    <t>Verify that the Accounting Ouput has been Created</t>
  </si>
  <si>
    <t>Check the SEB IA Inbox</t>
  </si>
  <si>
    <t>Ensure that the Accounting output and Journals have been created</t>
  </si>
  <si>
    <r>
      <t xml:space="preserve"> Accouting Output must be verified : </t>
    </r>
    <r>
      <rPr>
        <b/>
        <sz val="10"/>
        <rFont val="Arial"/>
        <family val="2"/>
      </rPr>
      <t xml:space="preserve"> Dr WS871
Cr WS872,Dr GP003,Cr GP005,Dr  JE003,Cr  GH000</t>
    </r>
  </si>
  <si>
    <t>Processing of Exclusive Investment Fees across all schemes with relevant cost centre of either SIM or SMMI in Segment 4 field</t>
  </si>
  <si>
    <t>ABSA Broker fees for SMMI Matrix &amp; SMMI Absolute Return portfolios (Vat inclusive)</t>
  </si>
  <si>
    <r>
      <rPr>
        <sz val="7"/>
        <color theme="1"/>
        <rFont val="Times New Roman"/>
        <family val="1"/>
      </rPr>
      <t xml:space="preserve">   </t>
    </r>
    <r>
      <rPr>
        <sz val="10"/>
        <color theme="1"/>
        <rFont val="Comic Sans MS"/>
        <family val="4"/>
      </rPr>
      <t>Vat on ABSA Broker fees (14%)</t>
    </r>
  </si>
  <si>
    <t>Refer to the Output file generated on the Walker System when Batch is completed. This accounting output will be made available on the 1st day of the Month</t>
  </si>
  <si>
    <t>Monthly Consultancy Fees</t>
  </si>
  <si>
    <t>Monthly Batch-Cons Fees</t>
  </si>
  <si>
    <t>7. Broker Fees</t>
  </si>
  <si>
    <t>Accounting Re 7.2</t>
  </si>
  <si>
    <r>
      <t xml:space="preserve"> Accouting 7.2 Output must be verified : </t>
    </r>
    <r>
      <rPr>
        <b/>
        <sz val="10"/>
        <rFont val="Arial"/>
        <family val="2"/>
      </rPr>
      <t xml:space="preserve"> Dr WS871
Cr WS872,Dr GP003,Cr GP005,Dr  JE003,Cr  GH000</t>
    </r>
  </si>
  <si>
    <r>
      <t xml:space="preserve"> Accouting 7.3 Output must be verified : </t>
    </r>
    <r>
      <rPr>
        <b/>
        <sz val="10"/>
        <rFont val="Arial"/>
        <family val="2"/>
      </rPr>
      <t xml:space="preserve"> Dr YA071,Cr GM007
</t>
    </r>
  </si>
  <si>
    <r>
      <t xml:space="preserve">Search for Client - </t>
    </r>
    <r>
      <rPr>
        <b/>
        <sz val="10"/>
        <color theme="1"/>
        <rFont val="Arial"/>
        <family val="2"/>
      </rPr>
      <t>TEST BRITISH AMERICAN TOBACCO RETIREMENT FUND</t>
    </r>
  </si>
  <si>
    <r>
      <t>INV-13_</t>
    </r>
    <r>
      <rPr>
        <i/>
        <sz val="10"/>
        <color theme="1"/>
        <rFont val="Arial"/>
        <family val="2"/>
      </rPr>
      <t>Elize Basson said Marketer Enquiry is currently not applicable</t>
    </r>
  </si>
  <si>
    <t>I cant run this address, I don’t know how to</t>
  </si>
  <si>
    <t>Added Notes</t>
  </si>
  <si>
    <t>Don’t how to</t>
  </si>
  <si>
    <t>Don’t know How 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</si>
</sst>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2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strike/>
      <sz val="10"/>
      <color theme="1"/>
      <name val="Arial"/>
      <family val="2"/>
    </font>
    <font>
      <sz val="12"/>
      <color theme="1"/>
      <name val="Times New Roman"/>
      <family val="1"/>
    </font>
    <font>
      <i/>
      <sz val="10"/>
      <color theme="1"/>
      <name val="Arial"/>
      <family val="2"/>
    </font>
    <font>
      <b/>
      <strike/>
      <sz val="11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Comic Sans MS"/>
      <family val="4"/>
    </font>
    <font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11"/>
      <color rgb="FFFF0000"/>
      <name val="Arial"/>
      <family val="2"/>
    </font>
    <font>
      <b/>
      <sz val="11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0" xfId="0" applyAlignment="1">
      <alignment wrapText="1"/>
    </xf>
    <xf numFmtId="0" fontId="3" fillId="0" borderId="1" xfId="0" applyFont="1" applyBorder="1" applyAlignment="1">
      <alignment wrapText="1"/>
    </xf>
    <xf numFmtId="0" fontId="0" fillId="3" borderId="0" xfId="0" applyFill="1"/>
    <xf numFmtId="164" fontId="0" fillId="0" borderId="0" xfId="0" applyNumberFormat="1" applyAlignment="1">
      <alignment wrapText="1"/>
    </xf>
    <xf numFmtId="164" fontId="1" fillId="3" borderId="2" xfId="0" applyNumberFormat="1" applyFont="1" applyFill="1" applyBorder="1" applyAlignment="1">
      <alignment vertical="center" wrapText="1"/>
    </xf>
    <xf numFmtId="0" fontId="1" fillId="3" borderId="2" xfId="0" applyFont="1" applyFill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wrapText="1"/>
    </xf>
    <xf numFmtId="0" fontId="1" fillId="3" borderId="2" xfId="0" applyFont="1" applyFill="1" applyBorder="1" applyAlignment="1">
      <alignment horizontal="left" vertical="center" wrapText="1"/>
    </xf>
    <xf numFmtId="164" fontId="2" fillId="2" borderId="2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164" fontId="6" fillId="5" borderId="2" xfId="0" applyNumberFormat="1" applyFont="1" applyFill="1" applyBorder="1" applyAlignment="1">
      <alignment vertical="center" wrapText="1"/>
    </xf>
    <xf numFmtId="0" fontId="6" fillId="5" borderId="2" xfId="0" applyFont="1" applyFill="1" applyBorder="1" applyAlignment="1">
      <alignment vertical="center" wrapText="1"/>
    </xf>
    <xf numFmtId="0" fontId="6" fillId="5" borderId="2" xfId="0" applyFont="1" applyFill="1" applyBorder="1" applyAlignment="1">
      <alignment horizontal="left" vertical="center" wrapText="1"/>
    </xf>
    <xf numFmtId="0" fontId="5" fillId="5" borderId="2" xfId="0" applyFont="1" applyFill="1" applyBorder="1" applyAlignment="1">
      <alignment wrapText="1"/>
    </xf>
    <xf numFmtId="0" fontId="3" fillId="0" borderId="0" xfId="0" applyFont="1" applyAlignment="1">
      <alignment wrapText="1"/>
    </xf>
    <xf numFmtId="0" fontId="1" fillId="0" borderId="2" xfId="0" quotePrefix="1" applyFont="1" applyBorder="1" applyAlignment="1">
      <alignment vertical="center" wrapText="1"/>
    </xf>
    <xf numFmtId="0" fontId="2" fillId="2" borderId="2" xfId="0" applyFont="1" applyFill="1" applyBorder="1" applyAlignment="1">
      <alignment horizontal="center" vertical="center"/>
    </xf>
    <xf numFmtId="0" fontId="1" fillId="3" borderId="2" xfId="0" quotePrefix="1" applyFont="1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left" vertical="center" wrapText="1" indent="1"/>
    </xf>
    <xf numFmtId="164" fontId="1" fillId="3" borderId="4" xfId="0" applyNumberFormat="1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 wrapText="1"/>
    </xf>
    <xf numFmtId="0" fontId="1" fillId="3" borderId="5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horizontal="left" vertical="center" wrapText="1"/>
    </xf>
    <xf numFmtId="0" fontId="1" fillId="3" borderId="7" xfId="0" applyFont="1" applyFill="1" applyBorder="1" applyAlignment="1">
      <alignment vertical="center" wrapText="1"/>
    </xf>
    <xf numFmtId="0" fontId="1" fillId="3" borderId="6" xfId="0" applyFont="1" applyFill="1" applyBorder="1" applyAlignment="1">
      <alignment vertical="center" wrapText="1"/>
    </xf>
    <xf numFmtId="0" fontId="7" fillId="3" borderId="5" xfId="0" applyFont="1" applyFill="1" applyBorder="1" applyAlignment="1">
      <alignment vertical="center" wrapText="1"/>
    </xf>
    <xf numFmtId="0" fontId="1" fillId="3" borderId="5" xfId="0" applyFont="1" applyFill="1" applyBorder="1" applyAlignment="1">
      <alignment horizontal="left" vertical="center" wrapText="1" indent="1"/>
    </xf>
    <xf numFmtId="0" fontId="1" fillId="3" borderId="7" xfId="0" applyFont="1" applyFill="1" applyBorder="1" applyAlignment="1">
      <alignment horizontal="left" vertical="center" wrapText="1" indent="1"/>
    </xf>
    <xf numFmtId="0" fontId="1" fillId="3" borderId="3" xfId="0" quotePrefix="1" applyFont="1" applyFill="1" applyBorder="1" applyAlignment="1">
      <alignment vertical="center" wrapText="1"/>
    </xf>
    <xf numFmtId="0" fontId="1" fillId="6" borderId="2" xfId="0" quotePrefix="1" applyFont="1" applyFill="1" applyBorder="1" applyAlignment="1">
      <alignment horizontal="left" vertical="center" wrapText="1"/>
    </xf>
    <xf numFmtId="0" fontId="1" fillId="6" borderId="3" xfId="0" quotePrefix="1" applyFont="1" applyFill="1" applyBorder="1" applyAlignment="1">
      <alignment vertical="center" wrapText="1"/>
    </xf>
    <xf numFmtId="0" fontId="1" fillId="6" borderId="3" xfId="0" applyFont="1" applyFill="1" applyBorder="1" applyAlignment="1">
      <alignment vertical="center" wrapText="1"/>
    </xf>
    <xf numFmtId="0" fontId="6" fillId="5" borderId="2" xfId="0" applyFont="1" applyFill="1" applyBorder="1" applyAlignment="1">
      <alignment vertical="center"/>
    </xf>
    <xf numFmtId="0" fontId="6" fillId="5" borderId="5" xfId="0" applyFont="1" applyFill="1" applyBorder="1" applyAlignment="1">
      <alignment vertical="center" wrapText="1"/>
    </xf>
    <xf numFmtId="0" fontId="7" fillId="3" borderId="6" xfId="0" applyFont="1" applyFill="1" applyBorder="1" applyAlignment="1">
      <alignment vertical="center" wrapText="1"/>
    </xf>
    <xf numFmtId="0" fontId="7" fillId="3" borderId="2" xfId="0" applyFont="1" applyFill="1" applyBorder="1" applyAlignment="1">
      <alignment vertical="center" wrapText="1"/>
    </xf>
    <xf numFmtId="0" fontId="7" fillId="3" borderId="2" xfId="0" applyFont="1" applyFill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 indent="1"/>
    </xf>
    <xf numFmtId="0" fontId="8" fillId="0" borderId="2" xfId="0" applyFont="1" applyBorder="1" applyAlignment="1">
      <alignment vertical="center" wrapText="1"/>
    </xf>
    <xf numFmtId="0" fontId="10" fillId="0" borderId="0" xfId="0" applyFont="1"/>
    <xf numFmtId="0" fontId="7" fillId="3" borderId="3" xfId="0" applyFont="1" applyFill="1" applyBorder="1" applyAlignment="1">
      <alignment vertical="center" wrapText="1"/>
    </xf>
    <xf numFmtId="0" fontId="1" fillId="0" borderId="2" xfId="0" applyFont="1" applyBorder="1" applyAlignment="1">
      <alignment horizontal="left" vertical="center" wrapText="1"/>
    </xf>
    <xf numFmtId="2" fontId="1" fillId="0" borderId="2" xfId="0" applyNumberFormat="1" applyFont="1" applyBorder="1" applyAlignment="1">
      <alignment horizontal="left" vertical="center" wrapText="1"/>
    </xf>
    <xf numFmtId="0" fontId="12" fillId="2" borderId="2" xfId="0" applyFont="1" applyFill="1" applyBorder="1" applyAlignment="1">
      <alignment horizontal="center" vertical="center"/>
    </xf>
    <xf numFmtId="164" fontId="2" fillId="7" borderId="2" xfId="0" applyNumberFormat="1" applyFont="1" applyFill="1" applyBorder="1" applyAlignment="1">
      <alignment wrapText="1"/>
    </xf>
    <xf numFmtId="0" fontId="2" fillId="7" borderId="2" xfId="0" applyFont="1" applyFill="1" applyBorder="1" applyAlignment="1">
      <alignment horizontal="center" wrapText="1"/>
    </xf>
    <xf numFmtId="0" fontId="2" fillId="0" borderId="2" xfId="0" applyFont="1" applyFill="1" applyBorder="1" applyAlignment="1">
      <alignment horizontal="center" wrapText="1"/>
    </xf>
    <xf numFmtId="0" fontId="0" fillId="0" borderId="0" xfId="0" applyFill="1" applyAlignment="1">
      <alignment wrapText="1"/>
    </xf>
    <xf numFmtId="0" fontId="6" fillId="5" borderId="5" xfId="0" applyFont="1" applyFill="1" applyBorder="1" applyAlignment="1">
      <alignment horizontal="left" vertical="center" indent="1"/>
    </xf>
    <xf numFmtId="0" fontId="13" fillId="0" borderId="2" xfId="0" applyFont="1" applyFill="1" applyBorder="1" applyAlignment="1">
      <alignment horizontal="left" vertical="center" indent="1"/>
    </xf>
    <xf numFmtId="0" fontId="13" fillId="0" borderId="2" xfId="0" applyFont="1" applyFill="1" applyBorder="1" applyAlignment="1">
      <alignment horizontal="left" vertical="center" wrapText="1"/>
    </xf>
    <xf numFmtId="0" fontId="3" fillId="0" borderId="8" xfId="0" applyFont="1" applyBorder="1" applyAlignment="1">
      <alignment wrapText="1"/>
    </xf>
    <xf numFmtId="0" fontId="15" fillId="0" borderId="0" xfId="0" applyFont="1" applyAlignment="1">
      <alignment horizontal="left" vertical="center" wrapText="1"/>
    </xf>
    <xf numFmtId="0" fontId="15" fillId="0" borderId="2" xfId="0" applyFont="1" applyBorder="1" applyAlignment="1">
      <alignment horizontal="left" vertical="center" wrapText="1" indent="10"/>
    </xf>
    <xf numFmtId="0" fontId="12" fillId="3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center" vertical="center" wrapText="1"/>
    </xf>
    <xf numFmtId="0" fontId="18" fillId="0" borderId="2" xfId="0" applyFont="1" applyBorder="1" applyAlignment="1">
      <alignment vertical="center" wrapText="1"/>
    </xf>
    <xf numFmtId="0" fontId="8" fillId="0" borderId="2" xfId="0" quotePrefix="1" applyFont="1" applyBorder="1" applyAlignment="1">
      <alignment vertical="center" wrapText="1"/>
    </xf>
    <xf numFmtId="0" fontId="17" fillId="0" borderId="0" xfId="0" applyFont="1" applyAlignment="1">
      <alignment wrapText="1"/>
    </xf>
    <xf numFmtId="0" fontId="19" fillId="2" borderId="2" xfId="0" applyFont="1" applyFill="1" applyBorder="1" applyAlignment="1">
      <alignment horizontal="center" wrapText="1"/>
    </xf>
    <xf numFmtId="0" fontId="8" fillId="5" borderId="2" xfId="0" applyFont="1" applyFill="1" applyBorder="1" applyAlignment="1">
      <alignment vertical="center" wrapText="1"/>
    </xf>
    <xf numFmtId="0" fontId="2" fillId="7" borderId="4" xfId="0" applyFont="1" applyFill="1" applyBorder="1" applyAlignment="1">
      <alignment horizontal="center" wrapText="1"/>
    </xf>
    <xf numFmtId="0" fontId="2" fillId="7" borderId="3" xfId="0" applyFont="1" applyFill="1" applyBorder="1" applyAlignment="1">
      <alignment horizontal="center" wrapText="1"/>
    </xf>
    <xf numFmtId="0" fontId="20" fillId="2" borderId="2" xfId="0" applyFont="1" applyFill="1" applyBorder="1" applyAlignment="1">
      <alignment horizontal="center" wrapText="1"/>
    </xf>
    <xf numFmtId="0" fontId="20" fillId="7" borderId="2" xfId="0" applyFont="1" applyFill="1" applyBorder="1" applyAlignment="1">
      <alignment horizontal="center" wrapText="1"/>
    </xf>
    <xf numFmtId="0" fontId="18" fillId="5" borderId="2" xfId="0" applyFont="1" applyFill="1" applyBorder="1" applyAlignment="1">
      <alignment vertical="center" wrapText="1"/>
    </xf>
    <xf numFmtId="0" fontId="18" fillId="5" borderId="2" xfId="0" applyFont="1" applyFill="1" applyBorder="1" applyAlignment="1">
      <alignment horizontal="left" vertical="center" wrapText="1"/>
    </xf>
  </cellXfs>
  <cellStyles count="1">
    <cellStyle name="Normal" xfId="0" builtinId="0"/>
  </cellStyles>
  <dxfs count="170"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8</xdr:row>
          <xdr:rowOff>57150</xdr:rowOff>
        </xdr:from>
        <xdr:to>
          <xdr:col>0</xdr:col>
          <xdr:colOff>581025</xdr:colOff>
          <xdr:row>9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581025</xdr:colOff>
          <xdr:row>2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9525</xdr:rowOff>
        </xdr:from>
        <xdr:to>
          <xdr:col>0</xdr:col>
          <xdr:colOff>581025</xdr:colOff>
          <xdr:row>3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9525</xdr:rowOff>
        </xdr:from>
        <xdr:to>
          <xdr:col>0</xdr:col>
          <xdr:colOff>581025</xdr:colOff>
          <xdr:row>4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9525</xdr:rowOff>
        </xdr:from>
        <xdr:to>
          <xdr:col>0</xdr:col>
          <xdr:colOff>581025</xdr:colOff>
          <xdr:row>5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2114550</xdr:colOff>
          <xdr:row>0</xdr:row>
          <xdr:rowOff>57150</xdr:rowOff>
        </xdr:from>
        <xdr:to>
          <xdr:col>2</xdr:col>
          <xdr:colOff>2924175</xdr:colOff>
          <xdr:row>0</xdr:row>
          <xdr:rowOff>342900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2114550</xdr:colOff>
          <xdr:row>0</xdr:row>
          <xdr:rowOff>57150</xdr:rowOff>
        </xdr:from>
        <xdr:to>
          <xdr:col>2</xdr:col>
          <xdr:colOff>2924175</xdr:colOff>
          <xdr:row>0</xdr:row>
          <xdr:rowOff>342900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2114550</xdr:colOff>
          <xdr:row>0</xdr:row>
          <xdr:rowOff>57150</xdr:rowOff>
        </xdr:from>
        <xdr:to>
          <xdr:col>2</xdr:col>
          <xdr:colOff>2924175</xdr:colOff>
          <xdr:row>0</xdr:row>
          <xdr:rowOff>342900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B_InvestAdmin_Reversa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Internal - Repurchase Reversal"/>
      <sheetName val="External - Repurchase Reversal"/>
      <sheetName val="Internal Repurchase - Normal"/>
      <sheetName val="Repurchase Reversal - SCHE 5"/>
      <sheetName val="Repurchase Reversal - SCHE 6"/>
      <sheetName val="Investment Reversal"/>
      <sheetName val="Switch Reversal - Multiple"/>
      <sheetName val="SEB_InvestAdmin_Reversals"/>
    </sheetNames>
    <definedNames>
      <definedName name="Button5_Click"/>
    </definedNames>
    <sheetDataSet>
      <sheetData sheetId="0">
        <row r="7">
          <cell r="C7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H8"/>
  <sheetViews>
    <sheetView zoomScaleNormal="100" workbookViewId="0">
      <selection activeCell="C4" sqref="C4"/>
    </sheetView>
  </sheetViews>
  <sheetFormatPr defaultRowHeight="15" x14ac:dyDescent="0.25"/>
  <cols>
    <col min="1" max="1" width="9.140625" style="3"/>
    <col min="2" max="2" width="32" style="3" bestFit="1" customWidth="1"/>
    <col min="3" max="8" width="15" style="3" customWidth="1"/>
    <col min="9" max="16384" width="9.140625" style="3"/>
  </cols>
  <sheetData>
    <row r="2" spans="2:8" x14ac:dyDescent="0.25">
      <c r="B2" s="13"/>
      <c r="C2" s="13" t="s">
        <v>5</v>
      </c>
      <c r="D2" s="13" t="s">
        <v>6</v>
      </c>
      <c r="E2" s="13" t="s">
        <v>9</v>
      </c>
      <c r="F2" s="13" t="s">
        <v>7</v>
      </c>
      <c r="G2" s="13" t="s">
        <v>8</v>
      </c>
      <c r="H2" s="13" t="s">
        <v>10</v>
      </c>
    </row>
    <row r="3" spans="2:8" x14ac:dyDescent="0.25">
      <c r="B3" s="22" t="s">
        <v>13</v>
      </c>
      <c r="C3" s="14">
        <f>'Test Case'!G114</f>
        <v>107</v>
      </c>
      <c r="D3" s="14">
        <f>'Test Case'!H114</f>
        <v>0</v>
      </c>
      <c r="E3" s="14">
        <f>'Test Case'!I114</f>
        <v>0</v>
      </c>
      <c r="F3" s="15">
        <f>'Test Case'!J114</f>
        <v>0</v>
      </c>
      <c r="G3" s="15">
        <f>'Test Case'!K114</f>
        <v>0</v>
      </c>
      <c r="H3" s="14">
        <f>SUM(C3:E3)</f>
        <v>107</v>
      </c>
    </row>
    <row r="4" spans="2:8" x14ac:dyDescent="0.25">
      <c r="B4" s="22" t="s">
        <v>14</v>
      </c>
      <c r="C4" s="14">
        <f>'2'!G51</f>
        <v>39</v>
      </c>
      <c r="D4" s="14">
        <f>'2'!H51</f>
        <v>0</v>
      </c>
      <c r="E4" s="14">
        <f>'2'!I51</f>
        <v>0</v>
      </c>
      <c r="F4" s="15">
        <f>'2'!J51</f>
        <v>8</v>
      </c>
      <c r="G4" s="15">
        <f>'2'!K51</f>
        <v>0</v>
      </c>
      <c r="H4" s="14">
        <f t="shared" ref="H4:H8" si="0">SUM(C4:E4)</f>
        <v>39</v>
      </c>
    </row>
    <row r="5" spans="2:8" x14ac:dyDescent="0.25">
      <c r="B5" s="22" t="s">
        <v>15</v>
      </c>
      <c r="C5" s="14">
        <f>'3'!G16</f>
        <v>13</v>
      </c>
      <c r="D5" s="14">
        <f>'3'!H16</f>
        <v>0</v>
      </c>
      <c r="E5" s="14">
        <f>'3'!I16</f>
        <v>0</v>
      </c>
      <c r="F5" s="15">
        <f>'3'!J16</f>
        <v>0</v>
      </c>
      <c r="G5" s="15">
        <f>'3'!K16</f>
        <v>0</v>
      </c>
      <c r="H5" s="14">
        <f t="shared" si="0"/>
        <v>13</v>
      </c>
    </row>
    <row r="6" spans="2:8" x14ac:dyDescent="0.25">
      <c r="B6" s="49" t="s">
        <v>16</v>
      </c>
      <c r="C6" s="60">
        <f>'4'!G83</f>
        <v>0</v>
      </c>
      <c r="D6" s="60">
        <f>'4'!H83</f>
        <v>0</v>
      </c>
      <c r="E6" s="60">
        <f>'4'!I83</f>
        <v>0</v>
      </c>
      <c r="F6" s="61">
        <f>'4'!J83</f>
        <v>77</v>
      </c>
      <c r="G6" s="61">
        <f>'4'!K83</f>
        <v>0</v>
      </c>
      <c r="H6" s="60">
        <f t="shared" si="0"/>
        <v>0</v>
      </c>
    </row>
    <row r="7" spans="2:8" x14ac:dyDescent="0.25">
      <c r="B7" s="13" t="s">
        <v>319</v>
      </c>
      <c r="C7" s="14">
        <f>'Monthly Batch-Cons Fees'!H11</f>
        <v>0</v>
      </c>
      <c r="D7" s="14">
        <f>'Monthly Batch-Cons Fees'!I11</f>
        <v>0</v>
      </c>
      <c r="E7" s="14">
        <f>'Monthly Batch-Cons Fees'!J11</f>
        <v>0</v>
      </c>
      <c r="F7" s="15">
        <f>'Monthly Batch-Cons Fees'!K11</f>
        <v>3</v>
      </c>
      <c r="G7" s="15">
        <f>'Monthly Batch-Cons Fees'!L11</f>
        <v>2</v>
      </c>
      <c r="H7" s="14">
        <f t="shared" si="0"/>
        <v>0</v>
      </c>
    </row>
    <row r="8" spans="2:8" ht="14.25" customHeight="1" x14ac:dyDescent="0.25">
      <c r="B8" s="13" t="s">
        <v>299</v>
      </c>
      <c r="C8" s="14">
        <f>'Monthly Batch - Inv Fees'!H10</f>
        <v>0</v>
      </c>
      <c r="D8" s="14">
        <f>'Monthly Batch - Inv Fees'!I10</f>
        <v>0</v>
      </c>
      <c r="E8" s="14">
        <f>'Monthly Batch - Inv Fees'!J10</f>
        <v>0</v>
      </c>
      <c r="F8" s="15">
        <f>'Monthly Batch - Inv Fees'!K10</f>
        <v>3</v>
      </c>
      <c r="G8" s="15">
        <f>'Monthly Batch - Inv Fees'!L10</f>
        <v>1</v>
      </c>
      <c r="H8" s="14">
        <f t="shared" si="0"/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8</xdr:row>
                    <xdr:rowOff>57150</xdr:rowOff>
                  </from>
                  <to>
                    <xdr:col>0</xdr:col>
                    <xdr:colOff>581025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1_Click">
                <anchor moveWithCells="1">
                  <from>
                    <xdr:col>0</xdr:col>
                    <xdr:colOff>38100</xdr:colOff>
                    <xdr:row>2</xdr:row>
                    <xdr:rowOff>9525</xdr:rowOff>
                  </from>
                  <to>
                    <xdr:col>0</xdr:col>
                    <xdr:colOff>581025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2_Click">
                <anchor moveWithCells="1">
                  <from>
                    <xdr:col>0</xdr:col>
                    <xdr:colOff>38100</xdr:colOff>
                    <xdr:row>3</xdr:row>
                    <xdr:rowOff>9525</xdr:rowOff>
                  </from>
                  <to>
                    <xdr:col>0</xdr:col>
                    <xdr:colOff>581025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3_Click">
                <anchor moveWithCells="1">
                  <from>
                    <xdr:col>0</xdr:col>
                    <xdr:colOff>38100</xdr:colOff>
                    <xdr:row>4</xdr:row>
                    <xdr:rowOff>9525</xdr:rowOff>
                  </from>
                  <to>
                    <xdr:col>0</xdr:col>
                    <xdr:colOff>581025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_Click">
                <anchor moveWithCells="1">
                  <from>
                    <xdr:col>0</xdr:col>
                    <xdr:colOff>38100</xdr:colOff>
                    <xdr:row>5</xdr:row>
                    <xdr:rowOff>9525</xdr:rowOff>
                  </from>
                  <to>
                    <xdr:col>0</xdr:col>
                    <xdr:colOff>581025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15"/>
  <sheetViews>
    <sheetView zoomScaleNormal="100" workbookViewId="0">
      <pane ySplit="1" topLeftCell="A2" activePane="bottomLeft" state="frozen"/>
      <selection pane="bottomLeft" activeCell="C6" sqref="C6"/>
    </sheetView>
  </sheetViews>
  <sheetFormatPr defaultRowHeight="15" x14ac:dyDescent="0.25"/>
  <cols>
    <col min="1" max="1" width="11.28515625" style="4" bestFit="1" customWidth="1"/>
    <col min="2" max="2" width="48.5703125" style="1" customWidth="1"/>
    <col min="3" max="3" width="50.7109375" style="1" customWidth="1"/>
    <col min="4" max="4" width="39" style="1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2" width="39" style="1" customWidth="1"/>
    <col min="13" max="16384" width="9.140625" style="1"/>
  </cols>
  <sheetData>
    <row r="1" spans="1:12" ht="30" customHeight="1" x14ac:dyDescent="0.25">
      <c r="A1" s="10" t="s">
        <v>1</v>
      </c>
      <c r="B1" s="11" t="s">
        <v>11</v>
      </c>
      <c r="C1" s="11" t="s">
        <v>2</v>
      </c>
      <c r="D1" s="12" t="s">
        <v>4</v>
      </c>
      <c r="E1" s="12" t="s">
        <v>3</v>
      </c>
      <c r="F1" s="11" t="s">
        <v>0</v>
      </c>
      <c r="G1" s="12" t="s">
        <v>5</v>
      </c>
      <c r="H1" s="12" t="s">
        <v>6</v>
      </c>
      <c r="I1" s="12"/>
      <c r="J1" s="12" t="s">
        <v>7</v>
      </c>
      <c r="K1" s="12" t="s">
        <v>8</v>
      </c>
      <c r="L1" s="12" t="s">
        <v>12</v>
      </c>
    </row>
    <row r="2" spans="1:12" s="20" customFormat="1" x14ac:dyDescent="0.25">
      <c r="A2" s="16">
        <v>1</v>
      </c>
      <c r="B2" s="38" t="s">
        <v>272</v>
      </c>
      <c r="C2" s="18"/>
      <c r="D2" s="17"/>
      <c r="E2" s="17"/>
      <c r="F2" s="19"/>
      <c r="G2" s="19"/>
      <c r="H2" s="19"/>
      <c r="I2" s="19"/>
      <c r="J2" s="19"/>
      <c r="K2" s="19"/>
      <c r="L2" s="17"/>
    </row>
    <row r="3" spans="1:12" ht="25.5" x14ac:dyDescent="0.25">
      <c r="A3" s="5">
        <v>1</v>
      </c>
      <c r="B3" s="6" t="s">
        <v>28</v>
      </c>
      <c r="C3" s="9"/>
      <c r="D3" s="7"/>
      <c r="E3" s="6"/>
      <c r="F3" s="8" t="s">
        <v>5</v>
      </c>
      <c r="G3" s="8">
        <f t="shared" ref="G3:K9" si="0">IF($F3=G$1,1,0)</f>
        <v>1</v>
      </c>
      <c r="H3" s="8">
        <f t="shared" si="0"/>
        <v>0</v>
      </c>
      <c r="I3" s="8">
        <f t="shared" si="0"/>
        <v>0</v>
      </c>
      <c r="J3" s="8">
        <f t="shared" si="0"/>
        <v>0</v>
      </c>
      <c r="K3" s="8">
        <f t="shared" si="0"/>
        <v>0</v>
      </c>
      <c r="L3" s="7"/>
    </row>
    <row r="4" spans="1:12" x14ac:dyDescent="0.25">
      <c r="A4" s="5">
        <f>A2+0.0001</f>
        <v>1.0001</v>
      </c>
      <c r="B4" s="6" t="s">
        <v>105</v>
      </c>
      <c r="C4" s="9" t="s">
        <v>106</v>
      </c>
      <c r="D4" s="7"/>
      <c r="E4" s="6"/>
      <c r="F4" s="8" t="s">
        <v>5</v>
      </c>
      <c r="G4" s="8">
        <f t="shared" si="0"/>
        <v>1</v>
      </c>
      <c r="H4" s="8">
        <f t="shared" si="0"/>
        <v>0</v>
      </c>
      <c r="I4" s="8">
        <f t="shared" si="0"/>
        <v>0</v>
      </c>
      <c r="J4" s="8">
        <f t="shared" si="0"/>
        <v>0</v>
      </c>
      <c r="K4" s="8">
        <f t="shared" si="0"/>
        <v>0</v>
      </c>
      <c r="L4" s="7"/>
    </row>
    <row r="5" spans="1:12" x14ac:dyDescent="0.25">
      <c r="A5" s="5">
        <f>A3+0.0001</f>
        <v>1.0001</v>
      </c>
      <c r="B5" s="6" t="s">
        <v>32</v>
      </c>
      <c r="C5" s="9" t="s">
        <v>29</v>
      </c>
      <c r="D5" s="7"/>
      <c r="E5" s="6"/>
      <c r="F5" s="8" t="s">
        <v>5</v>
      </c>
      <c r="G5" s="8">
        <f t="shared" si="0"/>
        <v>1</v>
      </c>
      <c r="H5" s="8">
        <f t="shared" si="0"/>
        <v>0</v>
      </c>
      <c r="I5" s="8">
        <f t="shared" si="0"/>
        <v>0</v>
      </c>
      <c r="J5" s="8">
        <f t="shared" si="0"/>
        <v>0</v>
      </c>
      <c r="K5" s="8">
        <f t="shared" si="0"/>
        <v>0</v>
      </c>
      <c r="L5" s="7"/>
    </row>
    <row r="6" spans="1:12" x14ac:dyDescent="0.25">
      <c r="A6" s="5">
        <f t="shared" ref="A6:A113" si="1">A5+0.0001</f>
        <v>1.0002</v>
      </c>
      <c r="B6" s="24" t="s">
        <v>30</v>
      </c>
      <c r="C6" s="23" t="s">
        <v>273</v>
      </c>
      <c r="D6" s="7"/>
      <c r="E6" s="6"/>
      <c r="F6" s="8" t="s">
        <v>5</v>
      </c>
      <c r="G6" s="8">
        <f t="shared" si="0"/>
        <v>1</v>
      </c>
      <c r="H6" s="8">
        <f t="shared" si="0"/>
        <v>0</v>
      </c>
      <c r="I6" s="8">
        <f t="shared" si="0"/>
        <v>0</v>
      </c>
      <c r="J6" s="8">
        <f t="shared" si="0"/>
        <v>0</v>
      </c>
      <c r="K6" s="8">
        <f t="shared" si="0"/>
        <v>0</v>
      </c>
      <c r="L6" s="7"/>
    </row>
    <row r="7" spans="1:12" ht="25.5" x14ac:dyDescent="0.25">
      <c r="A7" s="5">
        <f t="shared" si="1"/>
        <v>1.0003</v>
      </c>
      <c r="B7" s="6" t="s">
        <v>31</v>
      </c>
      <c r="C7" s="9"/>
      <c r="D7" s="7"/>
      <c r="E7" s="7"/>
      <c r="F7" s="8" t="s">
        <v>5</v>
      </c>
      <c r="G7" s="8">
        <f t="shared" si="0"/>
        <v>1</v>
      </c>
      <c r="H7" s="8">
        <f t="shared" si="0"/>
        <v>0</v>
      </c>
      <c r="I7" s="8">
        <f t="shared" si="0"/>
        <v>0</v>
      </c>
      <c r="J7" s="8">
        <f t="shared" si="0"/>
        <v>0</v>
      </c>
      <c r="K7" s="8">
        <f t="shared" si="0"/>
        <v>0</v>
      </c>
      <c r="L7" s="7"/>
    </row>
    <row r="8" spans="1:12" x14ac:dyDescent="0.25">
      <c r="A8" s="5">
        <f t="shared" si="1"/>
        <v>1.0004</v>
      </c>
      <c r="B8" s="6" t="s">
        <v>34</v>
      </c>
      <c r="C8" s="9" t="s">
        <v>29</v>
      </c>
      <c r="D8" s="7"/>
      <c r="E8" s="7"/>
      <c r="F8" s="8" t="s">
        <v>5</v>
      </c>
      <c r="G8" s="8">
        <f t="shared" si="0"/>
        <v>1</v>
      </c>
      <c r="H8" s="8">
        <f t="shared" si="0"/>
        <v>0</v>
      </c>
      <c r="I8" s="8">
        <f t="shared" si="0"/>
        <v>0</v>
      </c>
      <c r="J8" s="8">
        <f t="shared" si="0"/>
        <v>0</v>
      </c>
      <c r="K8" s="8">
        <f t="shared" si="0"/>
        <v>0</v>
      </c>
      <c r="L8" s="7"/>
    </row>
    <row r="9" spans="1:12" x14ac:dyDescent="0.25">
      <c r="A9" s="5">
        <f t="shared" si="1"/>
        <v>1.0004999999999999</v>
      </c>
      <c r="B9" s="24" t="s">
        <v>30</v>
      </c>
      <c r="C9" s="23" t="s">
        <v>33</v>
      </c>
      <c r="D9" s="7"/>
      <c r="E9" s="7"/>
      <c r="F9" s="8" t="s">
        <v>5</v>
      </c>
      <c r="G9" s="8">
        <f t="shared" si="0"/>
        <v>1</v>
      </c>
      <c r="H9" s="8">
        <f t="shared" si="0"/>
        <v>0</v>
      </c>
      <c r="I9" s="8">
        <f t="shared" si="0"/>
        <v>0</v>
      </c>
      <c r="J9" s="8">
        <f t="shared" si="0"/>
        <v>0</v>
      </c>
      <c r="K9" s="8">
        <f t="shared" si="0"/>
        <v>0</v>
      </c>
      <c r="L9" s="7"/>
    </row>
    <row r="10" spans="1:12" s="20" customFormat="1" x14ac:dyDescent="0.25">
      <c r="A10" s="16">
        <v>2</v>
      </c>
      <c r="B10" s="17" t="s">
        <v>135</v>
      </c>
      <c r="C10" s="18"/>
      <c r="D10" s="17"/>
      <c r="E10" s="17"/>
      <c r="F10" s="19"/>
      <c r="G10" s="19"/>
      <c r="H10" s="19"/>
      <c r="I10" s="19"/>
      <c r="J10" s="19"/>
      <c r="K10" s="19"/>
      <c r="L10" s="17"/>
    </row>
    <row r="11" spans="1:12" x14ac:dyDescent="0.25">
      <c r="A11" s="5">
        <f>A10+0.0001</f>
        <v>2.0001000000000002</v>
      </c>
      <c r="B11" s="27" t="s">
        <v>63</v>
      </c>
      <c r="C11" s="9" t="s">
        <v>278</v>
      </c>
      <c r="D11" s="7"/>
      <c r="E11" s="6"/>
      <c r="F11" s="8" t="s">
        <v>5</v>
      </c>
      <c r="G11" s="8">
        <f t="shared" ref="G11:K14" si="2">IF($F11=G$1,1,0)</f>
        <v>1</v>
      </c>
      <c r="H11" s="8">
        <f t="shared" si="2"/>
        <v>0</v>
      </c>
      <c r="I11" s="8">
        <f t="shared" si="2"/>
        <v>0</v>
      </c>
      <c r="J11" s="8">
        <f t="shared" si="2"/>
        <v>0</v>
      </c>
      <c r="K11" s="8">
        <f t="shared" si="2"/>
        <v>0</v>
      </c>
      <c r="L11" s="7"/>
    </row>
    <row r="12" spans="1:12" ht="25.5" x14ac:dyDescent="0.25">
      <c r="A12" s="5">
        <f>A11+0.0001</f>
        <v>2.0002000000000004</v>
      </c>
      <c r="B12" s="27" t="s">
        <v>275</v>
      </c>
      <c r="C12" s="9" t="s">
        <v>36</v>
      </c>
      <c r="D12" s="7"/>
      <c r="E12" s="6"/>
      <c r="F12" s="8" t="s">
        <v>5</v>
      </c>
      <c r="G12" s="8">
        <f t="shared" si="2"/>
        <v>1</v>
      </c>
      <c r="H12" s="8">
        <f t="shared" si="2"/>
        <v>0</v>
      </c>
      <c r="I12" s="8">
        <f t="shared" si="2"/>
        <v>0</v>
      </c>
      <c r="J12" s="8">
        <f t="shared" si="2"/>
        <v>0</v>
      </c>
      <c r="K12" s="8">
        <f t="shared" si="2"/>
        <v>0</v>
      </c>
      <c r="L12" s="7"/>
    </row>
    <row r="13" spans="1:12" x14ac:dyDescent="0.25">
      <c r="A13" s="25">
        <f t="shared" si="1"/>
        <v>2.0003000000000006</v>
      </c>
      <c r="B13" s="31" t="s">
        <v>37</v>
      </c>
      <c r="C13" s="28" t="s">
        <v>38</v>
      </c>
      <c r="D13" s="7"/>
      <c r="E13" s="6"/>
      <c r="F13" s="8" t="s">
        <v>5</v>
      </c>
      <c r="G13" s="8">
        <f t="shared" si="2"/>
        <v>1</v>
      </c>
      <c r="H13" s="8">
        <f t="shared" si="2"/>
        <v>0</v>
      </c>
      <c r="I13" s="8">
        <f t="shared" si="2"/>
        <v>0</v>
      </c>
      <c r="J13" s="8">
        <f t="shared" si="2"/>
        <v>0</v>
      </c>
      <c r="K13" s="8">
        <f t="shared" si="2"/>
        <v>0</v>
      </c>
      <c r="L13" s="7"/>
    </row>
    <row r="14" spans="1:12" x14ac:dyDescent="0.25">
      <c r="A14" s="25">
        <f t="shared" si="1"/>
        <v>2.0004000000000008</v>
      </c>
      <c r="B14" s="29" t="s">
        <v>39</v>
      </c>
      <c r="C14" s="28" t="s">
        <v>40</v>
      </c>
      <c r="D14" s="7"/>
      <c r="E14" s="6"/>
      <c r="F14" s="8" t="s">
        <v>5</v>
      </c>
      <c r="G14" s="8">
        <f t="shared" si="2"/>
        <v>1</v>
      </c>
      <c r="H14" s="8">
        <f t="shared" si="2"/>
        <v>0</v>
      </c>
      <c r="I14" s="8">
        <f t="shared" si="2"/>
        <v>0</v>
      </c>
      <c r="J14" s="8">
        <f t="shared" si="2"/>
        <v>0</v>
      </c>
      <c r="K14" s="8">
        <f t="shared" si="2"/>
        <v>0</v>
      </c>
      <c r="L14" s="7"/>
    </row>
    <row r="15" spans="1:12" ht="25.5" x14ac:dyDescent="0.25">
      <c r="A15" s="25">
        <f>A13+0.0001</f>
        <v>2.0004000000000008</v>
      </c>
      <c r="B15" s="29"/>
      <c r="C15" s="28" t="s">
        <v>41</v>
      </c>
      <c r="D15" s="7"/>
      <c r="E15" s="6"/>
      <c r="F15" s="8" t="s">
        <v>5</v>
      </c>
      <c r="G15" s="8">
        <f t="shared" ref="G15:K30" si="3">IF($F15=G$1,1,0)</f>
        <v>1</v>
      </c>
      <c r="H15" s="8">
        <f t="shared" si="3"/>
        <v>0</v>
      </c>
      <c r="I15" s="8">
        <f t="shared" si="3"/>
        <v>0</v>
      </c>
      <c r="J15" s="8">
        <f t="shared" si="3"/>
        <v>0</v>
      </c>
      <c r="K15" s="8">
        <f t="shared" si="3"/>
        <v>0</v>
      </c>
      <c r="L15" s="7"/>
    </row>
    <row r="16" spans="1:12" x14ac:dyDescent="0.25">
      <c r="A16" s="25">
        <f>A13+0.0001</f>
        <v>2.0004000000000008</v>
      </c>
      <c r="B16" s="29" t="s">
        <v>43</v>
      </c>
      <c r="C16" s="26" t="s">
        <v>42</v>
      </c>
      <c r="D16" s="21" t="s">
        <v>277</v>
      </c>
      <c r="E16" s="6"/>
      <c r="F16" s="8" t="s">
        <v>5</v>
      </c>
      <c r="G16" s="8">
        <f t="shared" si="3"/>
        <v>1</v>
      </c>
      <c r="H16" s="8">
        <f t="shared" si="3"/>
        <v>0</v>
      </c>
      <c r="I16" s="8">
        <f t="shared" si="3"/>
        <v>0</v>
      </c>
      <c r="J16" s="8">
        <f t="shared" si="3"/>
        <v>0</v>
      </c>
      <c r="K16" s="8">
        <f t="shared" si="3"/>
        <v>0</v>
      </c>
      <c r="L16" s="7"/>
    </row>
    <row r="17" spans="1:12" x14ac:dyDescent="0.25">
      <c r="A17" s="25">
        <f t="shared" si="1"/>
        <v>2.0005000000000011</v>
      </c>
      <c r="B17" s="31" t="s">
        <v>44</v>
      </c>
      <c r="C17" s="26"/>
      <c r="D17" s="7"/>
      <c r="E17" s="7"/>
      <c r="F17" s="8" t="s">
        <v>5</v>
      </c>
      <c r="G17" s="8">
        <f t="shared" si="3"/>
        <v>1</v>
      </c>
      <c r="H17" s="8">
        <f t="shared" si="3"/>
        <v>0</v>
      </c>
      <c r="I17" s="8">
        <f t="shared" si="3"/>
        <v>0</v>
      </c>
      <c r="J17" s="8">
        <f t="shared" si="3"/>
        <v>0</v>
      </c>
      <c r="K17" s="8">
        <f t="shared" si="3"/>
        <v>0</v>
      </c>
      <c r="L17" s="7"/>
    </row>
    <row r="18" spans="1:12" x14ac:dyDescent="0.25">
      <c r="A18" s="25">
        <f t="shared" si="1"/>
        <v>2.0006000000000013</v>
      </c>
      <c r="B18" s="29" t="s">
        <v>45</v>
      </c>
      <c r="C18" s="26" t="s">
        <v>276</v>
      </c>
      <c r="D18" s="44"/>
      <c r="E18" s="7"/>
      <c r="F18" s="8" t="s">
        <v>5</v>
      </c>
      <c r="G18" s="8">
        <f t="shared" si="3"/>
        <v>1</v>
      </c>
      <c r="H18" s="8">
        <f t="shared" si="3"/>
        <v>0</v>
      </c>
      <c r="I18" s="8">
        <f t="shared" si="3"/>
        <v>0</v>
      </c>
      <c r="J18" s="8">
        <f t="shared" si="3"/>
        <v>0</v>
      </c>
      <c r="K18" s="8">
        <f t="shared" si="3"/>
        <v>0</v>
      </c>
      <c r="L18" s="7"/>
    </row>
    <row r="19" spans="1:12" x14ac:dyDescent="0.25">
      <c r="A19" s="25">
        <f t="shared" si="1"/>
        <v>2.0007000000000015</v>
      </c>
      <c r="B19" s="29" t="s">
        <v>46</v>
      </c>
      <c r="C19" s="26" t="s">
        <v>48</v>
      </c>
      <c r="D19" s="7" t="s">
        <v>274</v>
      </c>
      <c r="E19" s="7"/>
      <c r="F19" s="8" t="s">
        <v>5</v>
      </c>
      <c r="G19" s="8">
        <f t="shared" si="3"/>
        <v>1</v>
      </c>
      <c r="H19" s="8">
        <f t="shared" si="3"/>
        <v>0</v>
      </c>
      <c r="I19" s="8">
        <f t="shared" si="3"/>
        <v>0</v>
      </c>
      <c r="J19" s="8">
        <f t="shared" si="3"/>
        <v>0</v>
      </c>
      <c r="K19" s="8">
        <f t="shared" si="3"/>
        <v>0</v>
      </c>
      <c r="L19" s="7"/>
    </row>
    <row r="20" spans="1:12" x14ac:dyDescent="0.25">
      <c r="A20" s="25">
        <f t="shared" si="1"/>
        <v>2.0008000000000017</v>
      </c>
      <c r="B20" s="29" t="s">
        <v>47</v>
      </c>
      <c r="C20" s="26" t="s">
        <v>48</v>
      </c>
      <c r="D20" s="7" t="s">
        <v>274</v>
      </c>
      <c r="E20" s="7"/>
      <c r="F20" s="8" t="s">
        <v>5</v>
      </c>
      <c r="G20" s="8">
        <f t="shared" si="3"/>
        <v>1</v>
      </c>
      <c r="H20" s="8">
        <f t="shared" si="3"/>
        <v>0</v>
      </c>
      <c r="I20" s="8">
        <f t="shared" si="3"/>
        <v>0</v>
      </c>
      <c r="J20" s="8">
        <f t="shared" si="3"/>
        <v>0</v>
      </c>
      <c r="K20" s="8">
        <f t="shared" si="3"/>
        <v>0</v>
      </c>
      <c r="L20" s="7"/>
    </row>
    <row r="21" spans="1:12" x14ac:dyDescent="0.25">
      <c r="A21" s="25">
        <f t="shared" si="1"/>
        <v>2.0009000000000019</v>
      </c>
      <c r="B21" s="29" t="s">
        <v>49</v>
      </c>
      <c r="C21" s="26" t="s">
        <v>50</v>
      </c>
      <c r="D21" s="7"/>
      <c r="E21" s="7"/>
      <c r="F21" s="8" t="s">
        <v>5</v>
      </c>
      <c r="G21" s="8">
        <f t="shared" si="3"/>
        <v>1</v>
      </c>
      <c r="H21" s="8">
        <f t="shared" si="3"/>
        <v>0</v>
      </c>
      <c r="I21" s="8">
        <f t="shared" si="3"/>
        <v>0</v>
      </c>
      <c r="J21" s="8">
        <f t="shared" si="3"/>
        <v>0</v>
      </c>
      <c r="K21" s="8">
        <f t="shared" si="3"/>
        <v>0</v>
      </c>
      <c r="L21" s="7"/>
    </row>
    <row r="22" spans="1:12" x14ac:dyDescent="0.25">
      <c r="A22" s="25">
        <f t="shared" si="1"/>
        <v>2.0010000000000021</v>
      </c>
      <c r="B22" s="27" t="s">
        <v>51</v>
      </c>
      <c r="C22" s="26" t="s">
        <v>280</v>
      </c>
      <c r="D22" s="7"/>
      <c r="E22" s="7"/>
      <c r="F22" s="8" t="s">
        <v>5</v>
      </c>
      <c r="G22" s="8">
        <f t="shared" si="3"/>
        <v>1</v>
      </c>
      <c r="H22" s="8">
        <f t="shared" si="3"/>
        <v>0</v>
      </c>
      <c r="I22" s="8">
        <f t="shared" si="3"/>
        <v>0</v>
      </c>
      <c r="J22" s="8">
        <f t="shared" si="3"/>
        <v>0</v>
      </c>
      <c r="K22" s="8">
        <f t="shared" si="3"/>
        <v>0</v>
      </c>
      <c r="L22" s="7"/>
    </row>
    <row r="23" spans="1:12" x14ac:dyDescent="0.25">
      <c r="A23" s="25">
        <f t="shared" si="1"/>
        <v>2.0011000000000023</v>
      </c>
      <c r="B23" s="29" t="s">
        <v>52</v>
      </c>
      <c r="C23" s="26" t="s">
        <v>55</v>
      </c>
      <c r="D23" s="7"/>
      <c r="E23" s="7"/>
      <c r="F23" s="8" t="s">
        <v>5</v>
      </c>
      <c r="G23" s="8">
        <f t="shared" si="3"/>
        <v>1</v>
      </c>
      <c r="H23" s="8">
        <f t="shared" si="3"/>
        <v>0</v>
      </c>
      <c r="I23" s="8">
        <f t="shared" si="3"/>
        <v>0</v>
      </c>
      <c r="J23" s="8">
        <f t="shared" si="3"/>
        <v>0</v>
      </c>
      <c r="K23" s="8">
        <f t="shared" si="3"/>
        <v>0</v>
      </c>
      <c r="L23" s="7"/>
    </row>
    <row r="24" spans="1:12" x14ac:dyDescent="0.25">
      <c r="A24" s="25">
        <f t="shared" si="1"/>
        <v>2.0012000000000025</v>
      </c>
      <c r="B24" s="29" t="s">
        <v>53</v>
      </c>
      <c r="C24" s="26" t="s">
        <v>55</v>
      </c>
      <c r="D24" s="7"/>
      <c r="E24" s="7"/>
      <c r="F24" s="8" t="s">
        <v>5</v>
      </c>
      <c r="G24" s="8">
        <f t="shared" si="3"/>
        <v>1</v>
      </c>
      <c r="H24" s="8">
        <f t="shared" si="3"/>
        <v>0</v>
      </c>
      <c r="I24" s="8">
        <f t="shared" si="3"/>
        <v>0</v>
      </c>
      <c r="J24" s="8">
        <f t="shared" si="3"/>
        <v>0</v>
      </c>
      <c r="K24" s="8">
        <f t="shared" si="3"/>
        <v>0</v>
      </c>
      <c r="L24" s="7"/>
    </row>
    <row r="25" spans="1:12" x14ac:dyDescent="0.25">
      <c r="A25" s="25">
        <f t="shared" si="1"/>
        <v>2.0013000000000027</v>
      </c>
      <c r="B25" s="29" t="s">
        <v>54</v>
      </c>
      <c r="C25" s="26" t="s">
        <v>56</v>
      </c>
      <c r="D25" s="7"/>
      <c r="E25" s="7"/>
      <c r="F25" s="8" t="s">
        <v>5</v>
      </c>
      <c r="G25" s="8">
        <f t="shared" si="3"/>
        <v>1</v>
      </c>
      <c r="H25" s="8">
        <f t="shared" si="3"/>
        <v>0</v>
      </c>
      <c r="I25" s="8">
        <f t="shared" si="3"/>
        <v>0</v>
      </c>
      <c r="J25" s="8">
        <f t="shared" si="3"/>
        <v>0</v>
      </c>
      <c r="K25" s="8">
        <f t="shared" si="3"/>
        <v>0</v>
      </c>
      <c r="L25" s="7"/>
    </row>
    <row r="26" spans="1:12" x14ac:dyDescent="0.25">
      <c r="A26" s="25">
        <f t="shared" si="1"/>
        <v>2.001400000000003</v>
      </c>
      <c r="B26" s="32" t="s">
        <v>30</v>
      </c>
      <c r="C26" s="26" t="str">
        <f>C6</f>
        <v>10017100</v>
      </c>
      <c r="D26" s="7"/>
      <c r="E26" s="7"/>
      <c r="F26" s="8" t="s">
        <v>5</v>
      </c>
      <c r="G26" s="8">
        <f t="shared" si="3"/>
        <v>1</v>
      </c>
      <c r="H26" s="8">
        <f t="shared" si="3"/>
        <v>0</v>
      </c>
      <c r="I26" s="8">
        <f t="shared" si="3"/>
        <v>0</v>
      </c>
      <c r="J26" s="8">
        <f t="shared" si="3"/>
        <v>0</v>
      </c>
      <c r="K26" s="8">
        <f t="shared" si="3"/>
        <v>0</v>
      </c>
      <c r="L26" s="7"/>
    </row>
    <row r="27" spans="1:12" x14ac:dyDescent="0.25">
      <c r="A27" s="25">
        <f t="shared" si="1"/>
        <v>2.0015000000000032</v>
      </c>
      <c r="B27" s="33" t="s">
        <v>58</v>
      </c>
      <c r="C27" s="26" t="s">
        <v>64</v>
      </c>
      <c r="D27" s="7"/>
      <c r="E27" s="7"/>
      <c r="F27" s="8" t="s">
        <v>5</v>
      </c>
      <c r="G27" s="8">
        <f t="shared" si="3"/>
        <v>1</v>
      </c>
      <c r="H27" s="8">
        <f t="shared" si="3"/>
        <v>0</v>
      </c>
      <c r="I27" s="8">
        <f t="shared" si="3"/>
        <v>0</v>
      </c>
      <c r="J27" s="8">
        <f t="shared" si="3"/>
        <v>0</v>
      </c>
      <c r="K27" s="8">
        <f t="shared" si="3"/>
        <v>0</v>
      </c>
      <c r="L27" s="7"/>
    </row>
    <row r="28" spans="1:12" x14ac:dyDescent="0.25">
      <c r="A28" s="25">
        <f t="shared" si="1"/>
        <v>2.0016000000000034</v>
      </c>
      <c r="B28" s="33" t="s">
        <v>59</v>
      </c>
      <c r="C28" s="26" t="s">
        <v>65</v>
      </c>
      <c r="D28" s="7"/>
      <c r="E28" s="7"/>
      <c r="F28" s="8" t="s">
        <v>5</v>
      </c>
      <c r="G28" s="8">
        <f t="shared" si="3"/>
        <v>1</v>
      </c>
      <c r="H28" s="8">
        <f t="shared" si="3"/>
        <v>0</v>
      </c>
      <c r="I28" s="8">
        <f t="shared" si="3"/>
        <v>0</v>
      </c>
      <c r="J28" s="8">
        <f t="shared" si="3"/>
        <v>0</v>
      </c>
      <c r="K28" s="8">
        <f t="shared" si="3"/>
        <v>0</v>
      </c>
      <c r="L28" s="7"/>
    </row>
    <row r="29" spans="1:12" x14ac:dyDescent="0.25">
      <c r="A29" s="25">
        <f t="shared" si="1"/>
        <v>2.0017000000000036</v>
      </c>
      <c r="B29" s="33" t="s">
        <v>60</v>
      </c>
      <c r="C29" s="26" t="s">
        <v>57</v>
      </c>
      <c r="D29" s="44"/>
      <c r="E29" s="7"/>
      <c r="F29" s="8" t="s">
        <v>5</v>
      </c>
      <c r="G29" s="8">
        <f t="shared" si="3"/>
        <v>1</v>
      </c>
      <c r="H29" s="8">
        <f t="shared" si="3"/>
        <v>0</v>
      </c>
      <c r="I29" s="8">
        <f t="shared" si="3"/>
        <v>0</v>
      </c>
      <c r="J29" s="8">
        <f t="shared" si="3"/>
        <v>0</v>
      </c>
      <c r="K29" s="8">
        <f t="shared" si="3"/>
        <v>0</v>
      </c>
      <c r="L29" s="7"/>
    </row>
    <row r="30" spans="1:12" x14ac:dyDescent="0.25">
      <c r="A30" s="25">
        <f t="shared" si="1"/>
        <v>2.0018000000000038</v>
      </c>
      <c r="B30" s="33" t="s">
        <v>61</v>
      </c>
      <c r="C30" s="26" t="s">
        <v>66</v>
      </c>
      <c r="D30" s="7"/>
      <c r="E30" s="7"/>
      <c r="F30" s="8" t="s">
        <v>5</v>
      </c>
      <c r="G30" s="8">
        <f t="shared" si="3"/>
        <v>1</v>
      </c>
      <c r="H30" s="8">
        <f t="shared" si="3"/>
        <v>0</v>
      </c>
      <c r="I30" s="8">
        <f t="shared" si="3"/>
        <v>0</v>
      </c>
      <c r="J30" s="8">
        <f t="shared" si="3"/>
        <v>0</v>
      </c>
      <c r="K30" s="8">
        <f t="shared" si="3"/>
        <v>0</v>
      </c>
      <c r="L30" s="7"/>
    </row>
    <row r="31" spans="1:12" x14ac:dyDescent="0.25">
      <c r="A31" s="25">
        <f t="shared" si="1"/>
        <v>2.001900000000004</v>
      </c>
      <c r="B31" s="33" t="s">
        <v>67</v>
      </c>
      <c r="C31" s="26" t="s">
        <v>68</v>
      </c>
      <c r="D31" s="7"/>
      <c r="E31" s="7"/>
      <c r="F31" s="8" t="s">
        <v>5</v>
      </c>
      <c r="G31" s="8">
        <f t="shared" ref="G31:K42" si="4">IF($F31=G$1,1,0)</f>
        <v>1</v>
      </c>
      <c r="H31" s="8">
        <f t="shared" si="4"/>
        <v>0</v>
      </c>
      <c r="I31" s="8">
        <f t="shared" si="4"/>
        <v>0</v>
      </c>
      <c r="J31" s="8">
        <f t="shared" si="4"/>
        <v>0</v>
      </c>
      <c r="K31" s="8">
        <f t="shared" si="4"/>
        <v>0</v>
      </c>
      <c r="L31" s="7"/>
    </row>
    <row r="32" spans="1:12" ht="25.5" x14ac:dyDescent="0.25">
      <c r="A32" s="25">
        <f t="shared" si="1"/>
        <v>2.0020000000000042</v>
      </c>
      <c r="B32" s="33" t="s">
        <v>62</v>
      </c>
      <c r="C32" s="26" t="s">
        <v>69</v>
      </c>
      <c r="D32" s="7"/>
      <c r="E32" s="7"/>
      <c r="F32" s="8" t="s">
        <v>5</v>
      </c>
      <c r="G32" s="8">
        <f t="shared" si="4"/>
        <v>1</v>
      </c>
      <c r="H32" s="8">
        <f t="shared" si="4"/>
        <v>0</v>
      </c>
      <c r="I32" s="8">
        <f t="shared" si="4"/>
        <v>0</v>
      </c>
      <c r="J32" s="8">
        <f t="shared" si="4"/>
        <v>0</v>
      </c>
      <c r="K32" s="8">
        <f t="shared" si="4"/>
        <v>0</v>
      </c>
      <c r="L32" s="7"/>
    </row>
    <row r="33" spans="1:12" x14ac:dyDescent="0.25">
      <c r="A33" s="25">
        <f t="shared" si="1"/>
        <v>2.0021000000000044</v>
      </c>
      <c r="B33" s="31" t="s">
        <v>70</v>
      </c>
      <c r="C33" s="26" t="s">
        <v>78</v>
      </c>
      <c r="D33" s="7"/>
      <c r="E33" s="7"/>
      <c r="F33" s="8" t="s">
        <v>5</v>
      </c>
      <c r="G33" s="8">
        <f t="shared" si="4"/>
        <v>1</v>
      </c>
      <c r="H33" s="8">
        <f t="shared" si="4"/>
        <v>0</v>
      </c>
      <c r="I33" s="8">
        <f t="shared" si="4"/>
        <v>0</v>
      </c>
      <c r="J33" s="8">
        <f t="shared" si="4"/>
        <v>0</v>
      </c>
      <c r="K33" s="8">
        <f t="shared" si="4"/>
        <v>0</v>
      </c>
      <c r="L33" s="7"/>
    </row>
    <row r="34" spans="1:12" ht="25.5" x14ac:dyDescent="0.25">
      <c r="A34" s="25">
        <f t="shared" si="1"/>
        <v>2.0022000000000046</v>
      </c>
      <c r="B34" s="33" t="s">
        <v>71</v>
      </c>
      <c r="C34" s="26" t="s">
        <v>76</v>
      </c>
      <c r="D34" s="7"/>
      <c r="E34" s="7"/>
      <c r="F34" s="8" t="s">
        <v>5</v>
      </c>
      <c r="G34" s="8">
        <f t="shared" si="4"/>
        <v>1</v>
      </c>
      <c r="H34" s="8">
        <f t="shared" si="4"/>
        <v>0</v>
      </c>
      <c r="I34" s="8">
        <f t="shared" si="4"/>
        <v>0</v>
      </c>
      <c r="J34" s="8">
        <f t="shared" si="4"/>
        <v>0</v>
      </c>
      <c r="K34" s="8">
        <f t="shared" si="4"/>
        <v>0</v>
      </c>
      <c r="L34" s="7"/>
    </row>
    <row r="35" spans="1:12" x14ac:dyDescent="0.25">
      <c r="A35" s="25">
        <f t="shared" si="1"/>
        <v>2.0023000000000049</v>
      </c>
      <c r="B35" s="33" t="s">
        <v>72</v>
      </c>
      <c r="C35" s="26" t="s">
        <v>55</v>
      </c>
      <c r="D35" s="7"/>
      <c r="E35" s="7"/>
      <c r="F35" s="8" t="s">
        <v>5</v>
      </c>
      <c r="G35" s="8">
        <f t="shared" si="4"/>
        <v>1</v>
      </c>
      <c r="H35" s="8">
        <f t="shared" si="4"/>
        <v>0</v>
      </c>
      <c r="I35" s="8">
        <f t="shared" si="4"/>
        <v>0</v>
      </c>
      <c r="J35" s="8">
        <f t="shared" si="4"/>
        <v>0</v>
      </c>
      <c r="K35" s="8">
        <f t="shared" si="4"/>
        <v>0</v>
      </c>
      <c r="L35" s="7"/>
    </row>
    <row r="36" spans="1:12" x14ac:dyDescent="0.25">
      <c r="A36" s="25">
        <f t="shared" si="1"/>
        <v>2.0024000000000051</v>
      </c>
      <c r="B36" s="33" t="s">
        <v>73</v>
      </c>
      <c r="C36" s="26" t="s">
        <v>55</v>
      </c>
      <c r="D36" s="7"/>
      <c r="E36" s="7"/>
      <c r="F36" s="8" t="s">
        <v>5</v>
      </c>
      <c r="G36" s="8">
        <f t="shared" si="4"/>
        <v>1</v>
      </c>
      <c r="H36" s="8">
        <f t="shared" si="4"/>
        <v>0</v>
      </c>
      <c r="I36" s="8">
        <f t="shared" si="4"/>
        <v>0</v>
      </c>
      <c r="J36" s="8">
        <f t="shared" si="4"/>
        <v>0</v>
      </c>
      <c r="K36" s="8">
        <f t="shared" si="4"/>
        <v>0</v>
      </c>
      <c r="L36" s="7"/>
    </row>
    <row r="37" spans="1:12" x14ac:dyDescent="0.25">
      <c r="A37" s="25">
        <f t="shared" si="1"/>
        <v>2.0025000000000053</v>
      </c>
      <c r="B37" s="33" t="s">
        <v>74</v>
      </c>
      <c r="C37" s="26" t="s">
        <v>55</v>
      </c>
      <c r="D37" s="7"/>
      <c r="E37" s="7"/>
      <c r="F37" s="8" t="s">
        <v>5</v>
      </c>
      <c r="G37" s="8">
        <f t="shared" si="4"/>
        <v>1</v>
      </c>
      <c r="H37" s="8">
        <f t="shared" si="4"/>
        <v>0</v>
      </c>
      <c r="I37" s="8">
        <f t="shared" si="4"/>
        <v>0</v>
      </c>
      <c r="J37" s="8">
        <f t="shared" si="4"/>
        <v>0</v>
      </c>
      <c r="K37" s="8">
        <f t="shared" si="4"/>
        <v>0</v>
      </c>
      <c r="L37" s="7"/>
    </row>
    <row r="38" spans="1:12" x14ac:dyDescent="0.25">
      <c r="A38" s="25">
        <f t="shared" si="1"/>
        <v>2.0026000000000055</v>
      </c>
      <c r="B38" s="33" t="s">
        <v>75</v>
      </c>
      <c r="C38" s="26" t="s">
        <v>55</v>
      </c>
      <c r="D38" s="7"/>
      <c r="E38" s="7"/>
      <c r="F38" s="8" t="s">
        <v>5</v>
      </c>
      <c r="G38" s="8">
        <f t="shared" si="4"/>
        <v>1</v>
      </c>
      <c r="H38" s="8">
        <f t="shared" si="4"/>
        <v>0</v>
      </c>
      <c r="I38" s="8">
        <f t="shared" si="4"/>
        <v>0</v>
      </c>
      <c r="J38" s="8">
        <f t="shared" si="4"/>
        <v>0</v>
      </c>
      <c r="K38" s="8">
        <f t="shared" si="4"/>
        <v>0</v>
      </c>
      <c r="L38" s="7"/>
    </row>
    <row r="39" spans="1:12" x14ac:dyDescent="0.25">
      <c r="A39" s="25">
        <f t="shared" si="1"/>
        <v>2.0027000000000057</v>
      </c>
      <c r="B39" s="31" t="s">
        <v>77</v>
      </c>
      <c r="C39" s="26" t="s">
        <v>279</v>
      </c>
      <c r="D39" s="7"/>
      <c r="E39" s="7"/>
      <c r="F39" s="8" t="s">
        <v>5</v>
      </c>
      <c r="G39" s="8">
        <f t="shared" si="4"/>
        <v>1</v>
      </c>
      <c r="H39" s="8">
        <f t="shared" si="4"/>
        <v>0</v>
      </c>
      <c r="I39" s="8">
        <f t="shared" si="4"/>
        <v>0</v>
      </c>
      <c r="J39" s="8">
        <f t="shared" si="4"/>
        <v>0</v>
      </c>
      <c r="K39" s="8">
        <f t="shared" si="4"/>
        <v>0</v>
      </c>
      <c r="L39" s="7"/>
    </row>
    <row r="40" spans="1:12" x14ac:dyDescent="0.25">
      <c r="A40" s="25">
        <f t="shared" si="1"/>
        <v>2.0028000000000059</v>
      </c>
      <c r="B40" s="29" t="s">
        <v>30</v>
      </c>
      <c r="C40" s="26" t="s">
        <v>79</v>
      </c>
      <c r="D40" s="7"/>
      <c r="E40" s="7"/>
      <c r="F40" s="8" t="s">
        <v>5</v>
      </c>
      <c r="G40" s="8">
        <f t="shared" si="4"/>
        <v>1</v>
      </c>
      <c r="H40" s="8">
        <f t="shared" si="4"/>
        <v>0</v>
      </c>
      <c r="I40" s="8">
        <f t="shared" si="4"/>
        <v>0</v>
      </c>
      <c r="J40" s="8">
        <f t="shared" si="4"/>
        <v>0</v>
      </c>
      <c r="K40" s="8">
        <f t="shared" si="4"/>
        <v>0</v>
      </c>
      <c r="L40" s="7"/>
    </row>
    <row r="41" spans="1:12" x14ac:dyDescent="0.25">
      <c r="A41" s="25">
        <f t="shared" si="1"/>
        <v>2.0029000000000061</v>
      </c>
      <c r="B41" s="29"/>
      <c r="C41" s="34" t="s">
        <v>33</v>
      </c>
      <c r="D41" s="7"/>
      <c r="E41" s="7"/>
      <c r="F41" s="8" t="s">
        <v>5</v>
      </c>
      <c r="G41" s="8">
        <f t="shared" si="4"/>
        <v>1</v>
      </c>
      <c r="H41" s="8">
        <f t="shared" si="4"/>
        <v>0</v>
      </c>
      <c r="I41" s="8">
        <f t="shared" si="4"/>
        <v>0</v>
      </c>
      <c r="J41" s="8">
        <f t="shared" si="4"/>
        <v>0</v>
      </c>
      <c r="K41" s="8">
        <f t="shared" si="4"/>
        <v>0</v>
      </c>
      <c r="L41" s="7"/>
    </row>
    <row r="42" spans="1:12" x14ac:dyDescent="0.25">
      <c r="A42" s="25">
        <f t="shared" si="1"/>
        <v>2.0030000000000063</v>
      </c>
      <c r="B42" s="29" t="s">
        <v>80</v>
      </c>
      <c r="C42" s="26" t="s">
        <v>81</v>
      </c>
      <c r="D42" s="7"/>
      <c r="E42" s="7"/>
      <c r="F42" s="8" t="s">
        <v>5</v>
      </c>
      <c r="G42" s="8">
        <f t="shared" si="4"/>
        <v>1</v>
      </c>
      <c r="H42" s="8">
        <f t="shared" si="4"/>
        <v>0</v>
      </c>
      <c r="I42" s="8">
        <f t="shared" si="4"/>
        <v>0</v>
      </c>
      <c r="J42" s="8">
        <f t="shared" si="4"/>
        <v>0</v>
      </c>
      <c r="K42" s="8">
        <f t="shared" si="4"/>
        <v>0</v>
      </c>
      <c r="L42" s="7"/>
    </row>
    <row r="43" spans="1:12" x14ac:dyDescent="0.25">
      <c r="A43" s="25">
        <f t="shared" si="1"/>
        <v>2.0031000000000065</v>
      </c>
      <c r="B43" s="29" t="s">
        <v>82</v>
      </c>
      <c r="C43" s="26" t="s">
        <v>83</v>
      </c>
      <c r="D43" s="7"/>
      <c r="E43" s="7"/>
      <c r="F43" s="8" t="s">
        <v>5</v>
      </c>
      <c r="G43" s="8">
        <f t="shared" ref="G43:K113" si="5">IF($F43=G$1,1,0)</f>
        <v>1</v>
      </c>
      <c r="H43" s="8">
        <f t="shared" si="5"/>
        <v>0</v>
      </c>
      <c r="I43" s="8">
        <f t="shared" si="5"/>
        <v>0</v>
      </c>
      <c r="J43" s="8">
        <f t="shared" si="5"/>
        <v>0</v>
      </c>
      <c r="K43" s="8">
        <f t="shared" si="5"/>
        <v>0</v>
      </c>
      <c r="L43" s="7"/>
    </row>
    <row r="44" spans="1:12" x14ac:dyDescent="0.25">
      <c r="A44" s="25">
        <f t="shared" si="1"/>
        <v>2.0032000000000068</v>
      </c>
      <c r="B44" s="29" t="s">
        <v>84</v>
      </c>
      <c r="C44" s="26"/>
      <c r="D44" s="7"/>
      <c r="E44" s="7"/>
      <c r="F44" s="8" t="s">
        <v>5</v>
      </c>
      <c r="G44" s="8">
        <f t="shared" si="5"/>
        <v>1</v>
      </c>
      <c r="H44" s="8">
        <f t="shared" si="5"/>
        <v>0</v>
      </c>
      <c r="I44" s="8">
        <f t="shared" si="5"/>
        <v>0</v>
      </c>
      <c r="J44" s="8">
        <f t="shared" si="5"/>
        <v>0</v>
      </c>
      <c r="K44" s="8">
        <f t="shared" si="5"/>
        <v>0</v>
      </c>
      <c r="L44" s="7"/>
    </row>
    <row r="45" spans="1:12" x14ac:dyDescent="0.25">
      <c r="A45" s="25">
        <f t="shared" si="1"/>
        <v>2.003300000000007</v>
      </c>
      <c r="B45" s="29" t="s">
        <v>85</v>
      </c>
      <c r="C45" s="26"/>
      <c r="D45" s="7"/>
      <c r="E45" s="7"/>
      <c r="F45" s="8" t="s">
        <v>5</v>
      </c>
      <c r="G45" s="8">
        <f t="shared" si="5"/>
        <v>1</v>
      </c>
      <c r="H45" s="8">
        <f t="shared" si="5"/>
        <v>0</v>
      </c>
      <c r="I45" s="8">
        <f t="shared" si="5"/>
        <v>0</v>
      </c>
      <c r="J45" s="8">
        <f t="shared" si="5"/>
        <v>0</v>
      </c>
      <c r="K45" s="8">
        <f t="shared" si="5"/>
        <v>0</v>
      </c>
      <c r="L45" s="7"/>
    </row>
    <row r="46" spans="1:12" x14ac:dyDescent="0.25">
      <c r="A46" s="25">
        <f t="shared" si="1"/>
        <v>2.0034000000000072</v>
      </c>
      <c r="B46" s="29" t="s">
        <v>86</v>
      </c>
      <c r="C46" s="26" t="s">
        <v>57</v>
      </c>
      <c r="D46" s="7"/>
      <c r="E46" s="7"/>
      <c r="F46" s="8" t="s">
        <v>5</v>
      </c>
      <c r="G46" s="8">
        <f t="shared" si="5"/>
        <v>1</v>
      </c>
      <c r="H46" s="8">
        <f t="shared" si="5"/>
        <v>0</v>
      </c>
      <c r="I46" s="8">
        <f t="shared" si="5"/>
        <v>0</v>
      </c>
      <c r="J46" s="8">
        <f t="shared" si="5"/>
        <v>0</v>
      </c>
      <c r="K46" s="8">
        <f t="shared" si="5"/>
        <v>0</v>
      </c>
      <c r="L46" s="7"/>
    </row>
    <row r="47" spans="1:12" x14ac:dyDescent="0.25">
      <c r="A47" s="25">
        <f t="shared" si="1"/>
        <v>2.0035000000000074</v>
      </c>
      <c r="B47" s="29" t="s">
        <v>87</v>
      </c>
      <c r="C47" s="34" t="s">
        <v>88</v>
      </c>
      <c r="D47" s="7"/>
      <c r="E47" s="7"/>
      <c r="F47" s="8" t="s">
        <v>5</v>
      </c>
      <c r="G47" s="8">
        <f t="shared" si="5"/>
        <v>1</v>
      </c>
      <c r="H47" s="8">
        <f t="shared" si="5"/>
        <v>0</v>
      </c>
      <c r="I47" s="8">
        <f t="shared" si="5"/>
        <v>0</v>
      </c>
      <c r="J47" s="8">
        <f t="shared" si="5"/>
        <v>0</v>
      </c>
      <c r="K47" s="8">
        <f t="shared" si="5"/>
        <v>0</v>
      </c>
      <c r="L47" s="7"/>
    </row>
    <row r="48" spans="1:12" x14ac:dyDescent="0.25">
      <c r="A48" s="25">
        <f t="shared" si="1"/>
        <v>2.0036000000000076</v>
      </c>
      <c r="B48" s="29" t="s">
        <v>89</v>
      </c>
      <c r="C48" s="34" t="s">
        <v>90</v>
      </c>
      <c r="D48" s="7"/>
      <c r="E48" s="7"/>
      <c r="F48" s="8" t="s">
        <v>5</v>
      </c>
      <c r="G48" s="8">
        <f t="shared" si="5"/>
        <v>1</v>
      </c>
      <c r="H48" s="8">
        <f t="shared" si="5"/>
        <v>0</v>
      </c>
      <c r="I48" s="8">
        <f t="shared" si="5"/>
        <v>0</v>
      </c>
      <c r="J48" s="8">
        <f t="shared" si="5"/>
        <v>0</v>
      </c>
      <c r="K48" s="8">
        <f t="shared" si="5"/>
        <v>0</v>
      </c>
      <c r="L48" s="7"/>
    </row>
    <row r="49" spans="1:12" x14ac:dyDescent="0.25">
      <c r="A49" s="25">
        <f t="shared" si="1"/>
        <v>2.0037000000000078</v>
      </c>
      <c r="B49" s="29" t="s">
        <v>91</v>
      </c>
      <c r="C49" s="26" t="s">
        <v>92</v>
      </c>
      <c r="D49" s="7"/>
      <c r="E49" s="7"/>
      <c r="F49" s="8" t="s">
        <v>5</v>
      </c>
      <c r="G49" s="8">
        <f t="shared" si="5"/>
        <v>1</v>
      </c>
      <c r="H49" s="8">
        <f t="shared" si="5"/>
        <v>0</v>
      </c>
      <c r="I49" s="8">
        <f t="shared" si="5"/>
        <v>0</v>
      </c>
      <c r="J49" s="8">
        <f t="shared" si="5"/>
        <v>0</v>
      </c>
      <c r="K49" s="8">
        <f t="shared" si="5"/>
        <v>0</v>
      </c>
      <c r="L49" s="7"/>
    </row>
    <row r="50" spans="1:12" x14ac:dyDescent="0.25">
      <c r="A50" s="25">
        <f t="shared" si="1"/>
        <v>2.003800000000008</v>
      </c>
      <c r="B50" s="29" t="s">
        <v>94</v>
      </c>
      <c r="C50" s="26" t="s">
        <v>99</v>
      </c>
      <c r="D50" s="7"/>
      <c r="E50" s="7"/>
      <c r="F50" s="8" t="s">
        <v>5</v>
      </c>
      <c r="G50" s="8">
        <f t="shared" si="5"/>
        <v>1</v>
      </c>
      <c r="H50" s="8">
        <f t="shared" si="5"/>
        <v>0</v>
      </c>
      <c r="I50" s="8">
        <f t="shared" si="5"/>
        <v>0</v>
      </c>
      <c r="J50" s="8">
        <f t="shared" si="5"/>
        <v>0</v>
      </c>
      <c r="K50" s="8">
        <f t="shared" si="5"/>
        <v>0</v>
      </c>
      <c r="L50" s="7"/>
    </row>
    <row r="51" spans="1:12" x14ac:dyDescent="0.25">
      <c r="A51" s="25">
        <f t="shared" si="1"/>
        <v>2.0039000000000082</v>
      </c>
      <c r="B51" s="29" t="s">
        <v>95</v>
      </c>
      <c r="C51" s="26" t="s">
        <v>98</v>
      </c>
      <c r="D51" s="7"/>
      <c r="E51" s="7"/>
      <c r="F51" s="8" t="s">
        <v>5</v>
      </c>
      <c r="G51" s="8">
        <f t="shared" si="5"/>
        <v>1</v>
      </c>
      <c r="H51" s="8">
        <f t="shared" si="5"/>
        <v>0</v>
      </c>
      <c r="I51" s="8">
        <f t="shared" si="5"/>
        <v>0</v>
      </c>
      <c r="J51" s="8">
        <f t="shared" si="5"/>
        <v>0</v>
      </c>
      <c r="K51" s="8">
        <f t="shared" si="5"/>
        <v>0</v>
      </c>
      <c r="L51" s="7"/>
    </row>
    <row r="52" spans="1:12" x14ac:dyDescent="0.25">
      <c r="A52" s="25">
        <f t="shared" si="1"/>
        <v>2.0040000000000084</v>
      </c>
      <c r="B52" s="29" t="s">
        <v>96</v>
      </c>
      <c r="C52" s="26" t="s">
        <v>97</v>
      </c>
      <c r="D52" s="7"/>
      <c r="E52" s="7"/>
      <c r="F52" s="8" t="s">
        <v>5</v>
      </c>
      <c r="G52" s="8">
        <f t="shared" si="5"/>
        <v>1</v>
      </c>
      <c r="H52" s="8">
        <f t="shared" si="5"/>
        <v>0</v>
      </c>
      <c r="I52" s="8">
        <f t="shared" si="5"/>
        <v>0</v>
      </c>
      <c r="J52" s="8">
        <f t="shared" si="5"/>
        <v>0</v>
      </c>
      <c r="K52" s="8">
        <f t="shared" si="5"/>
        <v>0</v>
      </c>
      <c r="L52" s="7"/>
    </row>
    <row r="53" spans="1:12" x14ac:dyDescent="0.25">
      <c r="A53" s="25">
        <f t="shared" si="1"/>
        <v>2.0041000000000087</v>
      </c>
      <c r="B53" s="29" t="s">
        <v>52</v>
      </c>
      <c r="C53" s="26" t="s">
        <v>100</v>
      </c>
      <c r="D53" s="7"/>
      <c r="E53" s="7"/>
      <c r="F53" s="8" t="s">
        <v>5</v>
      </c>
      <c r="G53" s="8">
        <f t="shared" si="5"/>
        <v>1</v>
      </c>
      <c r="H53" s="8">
        <f t="shared" si="5"/>
        <v>0</v>
      </c>
      <c r="I53" s="8">
        <f t="shared" si="5"/>
        <v>0</v>
      </c>
      <c r="J53" s="8">
        <f t="shared" si="5"/>
        <v>0</v>
      </c>
      <c r="K53" s="8">
        <f t="shared" si="5"/>
        <v>0</v>
      </c>
      <c r="L53" s="7"/>
    </row>
    <row r="54" spans="1:12" x14ac:dyDescent="0.25">
      <c r="A54" s="25">
        <f t="shared" si="1"/>
        <v>2.0042000000000089</v>
      </c>
      <c r="B54" s="27" t="s">
        <v>49</v>
      </c>
      <c r="C54" s="26" t="s">
        <v>101</v>
      </c>
      <c r="D54" s="7"/>
      <c r="E54" s="7"/>
      <c r="F54" s="8" t="s">
        <v>5</v>
      </c>
      <c r="G54" s="8">
        <f t="shared" si="5"/>
        <v>1</v>
      </c>
      <c r="H54" s="8">
        <f t="shared" si="5"/>
        <v>0</v>
      </c>
      <c r="I54" s="8">
        <f t="shared" si="5"/>
        <v>0</v>
      </c>
      <c r="J54" s="8">
        <f t="shared" si="5"/>
        <v>0</v>
      </c>
      <c r="K54" s="8">
        <f t="shared" si="5"/>
        <v>0</v>
      </c>
      <c r="L54" s="7"/>
    </row>
    <row r="55" spans="1:12" x14ac:dyDescent="0.25">
      <c r="A55" s="25">
        <f t="shared" si="1"/>
        <v>2.0043000000000091</v>
      </c>
      <c r="B55" s="29"/>
      <c r="C55" s="26" t="s">
        <v>102</v>
      </c>
      <c r="D55" s="7"/>
      <c r="E55" s="7"/>
      <c r="F55" s="8" t="s">
        <v>5</v>
      </c>
      <c r="G55" s="8">
        <f t="shared" si="5"/>
        <v>1</v>
      </c>
      <c r="H55" s="8">
        <f t="shared" si="5"/>
        <v>0</v>
      </c>
      <c r="I55" s="8">
        <f t="shared" si="5"/>
        <v>0</v>
      </c>
      <c r="J55" s="8">
        <f t="shared" si="5"/>
        <v>0</v>
      </c>
      <c r="K55" s="8">
        <f t="shared" si="5"/>
        <v>0</v>
      </c>
      <c r="L55" s="7"/>
    </row>
    <row r="56" spans="1:12" x14ac:dyDescent="0.25">
      <c r="A56" s="25">
        <f t="shared" si="1"/>
        <v>2.0044000000000093</v>
      </c>
      <c r="B56" s="29" t="s">
        <v>103</v>
      </c>
      <c r="C56" s="26" t="s">
        <v>48</v>
      </c>
      <c r="D56" s="7"/>
      <c r="E56" s="7"/>
      <c r="F56" s="8" t="s">
        <v>5</v>
      </c>
      <c r="G56" s="8">
        <f t="shared" si="5"/>
        <v>1</v>
      </c>
      <c r="H56" s="8">
        <f t="shared" si="5"/>
        <v>0</v>
      </c>
      <c r="I56" s="8">
        <f t="shared" si="5"/>
        <v>0</v>
      </c>
      <c r="J56" s="8">
        <f t="shared" si="5"/>
        <v>0</v>
      </c>
      <c r="K56" s="8">
        <f t="shared" si="5"/>
        <v>0</v>
      </c>
      <c r="L56" s="7"/>
    </row>
    <row r="57" spans="1:12" x14ac:dyDescent="0.25">
      <c r="A57" s="25">
        <f t="shared" si="1"/>
        <v>2.0045000000000095</v>
      </c>
      <c r="B57" s="29" t="s">
        <v>93</v>
      </c>
      <c r="C57" s="26" t="s">
        <v>107</v>
      </c>
      <c r="D57" s="7"/>
      <c r="E57" s="7"/>
      <c r="F57" s="8" t="s">
        <v>5</v>
      </c>
      <c r="G57" s="8">
        <f t="shared" si="5"/>
        <v>1</v>
      </c>
      <c r="H57" s="8">
        <f t="shared" si="5"/>
        <v>0</v>
      </c>
      <c r="I57" s="8">
        <f t="shared" si="5"/>
        <v>0</v>
      </c>
      <c r="J57" s="8">
        <f t="shared" si="5"/>
        <v>0</v>
      </c>
      <c r="K57" s="8">
        <f t="shared" si="5"/>
        <v>0</v>
      </c>
      <c r="L57" s="7"/>
    </row>
    <row r="58" spans="1:12" s="20" customFormat="1" x14ac:dyDescent="0.25">
      <c r="A58" s="16">
        <v>2</v>
      </c>
      <c r="B58" s="38" t="s">
        <v>134</v>
      </c>
      <c r="C58" s="18"/>
      <c r="D58" s="17"/>
      <c r="E58" s="17"/>
      <c r="F58" s="19"/>
      <c r="G58" s="19"/>
      <c r="H58" s="19"/>
      <c r="I58" s="19"/>
      <c r="J58" s="19"/>
      <c r="K58" s="19"/>
      <c r="L58" s="17"/>
    </row>
    <row r="59" spans="1:12" ht="25.5" x14ac:dyDescent="0.25">
      <c r="A59" s="5">
        <v>1</v>
      </c>
      <c r="B59" s="6" t="s">
        <v>28</v>
      </c>
      <c r="C59" s="9"/>
      <c r="D59" s="7"/>
      <c r="E59" s="6"/>
      <c r="F59" s="8" t="s">
        <v>5</v>
      </c>
      <c r="G59" s="8">
        <f t="shared" ref="G59:K65" si="6">IF($F59=G$1,1,0)</f>
        <v>1</v>
      </c>
      <c r="H59" s="8">
        <f t="shared" si="6"/>
        <v>0</v>
      </c>
      <c r="I59" s="8">
        <f t="shared" si="6"/>
        <v>0</v>
      </c>
      <c r="J59" s="8">
        <f t="shared" si="6"/>
        <v>0</v>
      </c>
      <c r="K59" s="8">
        <f t="shared" si="6"/>
        <v>0</v>
      </c>
      <c r="L59" s="7"/>
    </row>
    <row r="60" spans="1:12" x14ac:dyDescent="0.25">
      <c r="A60" s="5">
        <f>A58+0.0001</f>
        <v>2.0001000000000002</v>
      </c>
      <c r="B60" s="6" t="s">
        <v>105</v>
      </c>
      <c r="C60" s="9" t="s">
        <v>106</v>
      </c>
      <c r="D60" s="7"/>
      <c r="E60" s="6"/>
      <c r="F60" s="8" t="s">
        <v>5</v>
      </c>
      <c r="G60" s="8">
        <f t="shared" si="6"/>
        <v>1</v>
      </c>
      <c r="H60" s="8">
        <f t="shared" si="6"/>
        <v>0</v>
      </c>
      <c r="I60" s="8">
        <f t="shared" si="6"/>
        <v>0</v>
      </c>
      <c r="J60" s="8">
        <f t="shared" si="6"/>
        <v>0</v>
      </c>
      <c r="K60" s="8">
        <f t="shared" si="6"/>
        <v>0</v>
      </c>
      <c r="L60" s="7"/>
    </row>
    <row r="61" spans="1:12" ht="25.5" x14ac:dyDescent="0.25">
      <c r="A61" s="5">
        <f>A59+0.0001</f>
        <v>1.0001</v>
      </c>
      <c r="B61" s="6" t="s">
        <v>324</v>
      </c>
      <c r="C61" s="9" t="s">
        <v>29</v>
      </c>
      <c r="D61" s="7"/>
      <c r="E61" s="6"/>
      <c r="F61" s="8" t="s">
        <v>5</v>
      </c>
      <c r="G61" s="8">
        <f t="shared" si="6"/>
        <v>1</v>
      </c>
      <c r="H61" s="8">
        <f t="shared" si="6"/>
        <v>0</v>
      </c>
      <c r="I61" s="8">
        <f t="shared" si="6"/>
        <v>0</v>
      </c>
      <c r="J61" s="8">
        <f t="shared" si="6"/>
        <v>0</v>
      </c>
      <c r="K61" s="8">
        <f t="shared" si="6"/>
        <v>0</v>
      </c>
      <c r="L61" s="7"/>
    </row>
    <row r="62" spans="1:12" ht="15.75" x14ac:dyDescent="0.25">
      <c r="A62" s="5">
        <f t="shared" si="1"/>
        <v>1.0002</v>
      </c>
      <c r="B62" s="24" t="s">
        <v>30</v>
      </c>
      <c r="C62" s="35">
        <v>10013120</v>
      </c>
      <c r="D62" s="45"/>
      <c r="E62" s="6"/>
      <c r="F62" s="8" t="s">
        <v>5</v>
      </c>
      <c r="G62" s="8">
        <f t="shared" si="6"/>
        <v>1</v>
      </c>
      <c r="H62" s="8">
        <f t="shared" si="6"/>
        <v>0</v>
      </c>
      <c r="I62" s="8">
        <f t="shared" si="6"/>
        <v>0</v>
      </c>
      <c r="J62" s="8">
        <f t="shared" si="6"/>
        <v>0</v>
      </c>
      <c r="K62" s="8">
        <f t="shared" si="6"/>
        <v>0</v>
      </c>
      <c r="L62" s="7"/>
    </row>
    <row r="63" spans="1:12" ht="25.5" x14ac:dyDescent="0.25">
      <c r="A63" s="5">
        <f t="shared" si="1"/>
        <v>1.0003</v>
      </c>
      <c r="B63" s="6" t="s">
        <v>31</v>
      </c>
      <c r="C63" s="9"/>
      <c r="D63" s="7"/>
      <c r="E63" s="7"/>
      <c r="F63" s="8" t="s">
        <v>5</v>
      </c>
      <c r="G63" s="8">
        <f t="shared" si="6"/>
        <v>1</v>
      </c>
      <c r="H63" s="8">
        <f t="shared" si="6"/>
        <v>0</v>
      </c>
      <c r="I63" s="8">
        <f t="shared" si="6"/>
        <v>0</v>
      </c>
      <c r="J63" s="8">
        <f t="shared" si="6"/>
        <v>0</v>
      </c>
      <c r="K63" s="8">
        <f t="shared" si="6"/>
        <v>0</v>
      </c>
      <c r="L63" s="7"/>
    </row>
    <row r="64" spans="1:12" x14ac:dyDescent="0.25">
      <c r="A64" s="5">
        <f t="shared" si="1"/>
        <v>1.0004</v>
      </c>
      <c r="B64" s="6" t="s">
        <v>34</v>
      </c>
      <c r="C64" s="9" t="s">
        <v>29</v>
      </c>
      <c r="D64" s="7"/>
      <c r="E64" s="7"/>
      <c r="F64" s="8" t="s">
        <v>5</v>
      </c>
      <c r="G64" s="8">
        <f t="shared" si="6"/>
        <v>1</v>
      </c>
      <c r="H64" s="8">
        <f t="shared" si="6"/>
        <v>0</v>
      </c>
      <c r="I64" s="8">
        <f t="shared" si="6"/>
        <v>0</v>
      </c>
      <c r="J64" s="8">
        <f t="shared" si="6"/>
        <v>0</v>
      </c>
      <c r="K64" s="8">
        <f t="shared" si="6"/>
        <v>0</v>
      </c>
      <c r="L64" s="7"/>
    </row>
    <row r="65" spans="1:12" x14ac:dyDescent="0.25">
      <c r="A65" s="5">
        <f t="shared" si="1"/>
        <v>1.0004999999999999</v>
      </c>
      <c r="B65" s="24" t="s">
        <v>30</v>
      </c>
      <c r="C65" s="35">
        <v>10011594</v>
      </c>
      <c r="D65" s="7"/>
      <c r="E65" s="7"/>
      <c r="F65" s="8" t="s">
        <v>5</v>
      </c>
      <c r="G65" s="8">
        <f t="shared" si="6"/>
        <v>1</v>
      </c>
      <c r="H65" s="8">
        <f t="shared" si="6"/>
        <v>0</v>
      </c>
      <c r="I65" s="8">
        <f t="shared" si="6"/>
        <v>0</v>
      </c>
      <c r="J65" s="8">
        <f t="shared" si="6"/>
        <v>0</v>
      </c>
      <c r="K65" s="8">
        <f t="shared" si="6"/>
        <v>0</v>
      </c>
      <c r="L65" s="7"/>
    </row>
    <row r="66" spans="1:12" s="20" customFormat="1" x14ac:dyDescent="0.25">
      <c r="A66" s="16">
        <v>2.1</v>
      </c>
      <c r="B66" s="17" t="s">
        <v>136</v>
      </c>
      <c r="C66" s="18"/>
      <c r="D66" s="17"/>
      <c r="E66" s="17"/>
      <c r="F66" s="19"/>
      <c r="G66" s="19"/>
      <c r="H66" s="19"/>
      <c r="I66" s="19"/>
      <c r="J66" s="19"/>
      <c r="K66" s="19"/>
      <c r="L66" s="17"/>
    </row>
    <row r="67" spans="1:12" ht="25.5" x14ac:dyDescent="0.25">
      <c r="A67" s="5">
        <f>A65+0.0001</f>
        <v>1.0005999999999999</v>
      </c>
      <c r="B67" s="27" t="s">
        <v>282</v>
      </c>
      <c r="C67" s="9" t="s">
        <v>281</v>
      </c>
      <c r="D67" s="7"/>
      <c r="E67" s="6"/>
      <c r="F67" s="8" t="s">
        <v>5</v>
      </c>
      <c r="G67" s="8">
        <f t="shared" ref="G67:K69" si="7">IF($F67=G$1,1,0)</f>
        <v>1</v>
      </c>
      <c r="H67" s="8">
        <f t="shared" si="7"/>
        <v>0</v>
      </c>
      <c r="I67" s="8">
        <f t="shared" si="7"/>
        <v>0</v>
      </c>
      <c r="J67" s="8">
        <f t="shared" si="7"/>
        <v>0</v>
      </c>
      <c r="K67" s="8">
        <f t="shared" si="7"/>
        <v>0</v>
      </c>
      <c r="L67" s="7"/>
    </row>
    <row r="68" spans="1:12" ht="25.5" x14ac:dyDescent="0.25">
      <c r="A68" s="5">
        <f>A66+0.0001</f>
        <v>2.1001000000000003</v>
      </c>
      <c r="B68" s="27" t="s">
        <v>35</v>
      </c>
      <c r="C68" s="9" t="s">
        <v>36</v>
      </c>
      <c r="D68" s="7"/>
      <c r="E68" s="6"/>
      <c r="F68" s="8" t="s">
        <v>5</v>
      </c>
      <c r="G68" s="8">
        <f t="shared" si="7"/>
        <v>1</v>
      </c>
      <c r="H68" s="8">
        <f t="shared" si="7"/>
        <v>0</v>
      </c>
      <c r="I68" s="8">
        <f t="shared" si="7"/>
        <v>0</v>
      </c>
      <c r="J68" s="8">
        <f t="shared" si="7"/>
        <v>0</v>
      </c>
      <c r="K68" s="8">
        <f t="shared" si="7"/>
        <v>0</v>
      </c>
      <c r="L68" s="7"/>
    </row>
    <row r="69" spans="1:12" x14ac:dyDescent="0.25">
      <c r="A69" s="25">
        <f t="shared" si="1"/>
        <v>2.1002000000000005</v>
      </c>
      <c r="B69" s="31" t="s">
        <v>37</v>
      </c>
      <c r="C69" s="28" t="s">
        <v>38</v>
      </c>
      <c r="D69" s="7"/>
      <c r="E69" s="6"/>
      <c r="F69" s="8" t="s">
        <v>5</v>
      </c>
      <c r="G69" s="8">
        <f t="shared" si="7"/>
        <v>1</v>
      </c>
      <c r="H69" s="8">
        <f t="shared" si="7"/>
        <v>0</v>
      </c>
      <c r="I69" s="8">
        <f t="shared" si="7"/>
        <v>0</v>
      </c>
      <c r="J69" s="8">
        <f t="shared" si="7"/>
        <v>0</v>
      </c>
      <c r="K69" s="8">
        <f t="shared" si="7"/>
        <v>0</v>
      </c>
      <c r="L69" s="7"/>
    </row>
    <row r="70" spans="1:12" x14ac:dyDescent="0.25">
      <c r="A70" s="25">
        <f t="shared" si="1"/>
        <v>2.1003000000000007</v>
      </c>
      <c r="B70" s="29" t="s">
        <v>39</v>
      </c>
      <c r="C70" s="28" t="s">
        <v>40</v>
      </c>
      <c r="D70" s="7"/>
      <c r="E70" s="6"/>
      <c r="F70" s="8" t="s">
        <v>5</v>
      </c>
      <c r="G70" s="8"/>
      <c r="H70" s="8"/>
      <c r="I70" s="8"/>
      <c r="J70" s="8"/>
      <c r="K70" s="8"/>
      <c r="L70" s="7"/>
    </row>
    <row r="71" spans="1:12" ht="25.5" x14ac:dyDescent="0.25">
      <c r="A71" s="25">
        <f>A69+0.0001</f>
        <v>2.1003000000000007</v>
      </c>
      <c r="B71" s="29"/>
      <c r="C71" s="28" t="s">
        <v>41</v>
      </c>
      <c r="D71" s="21" t="s">
        <v>277</v>
      </c>
      <c r="E71" s="6"/>
      <c r="F71" s="8" t="s">
        <v>5</v>
      </c>
      <c r="G71" s="8">
        <f t="shared" ref="G71:K86" si="8">IF($F71=G$1,1,0)</f>
        <v>1</v>
      </c>
      <c r="H71" s="8">
        <f t="shared" si="8"/>
        <v>0</v>
      </c>
      <c r="I71" s="8">
        <f t="shared" si="8"/>
        <v>0</v>
      </c>
      <c r="J71" s="8">
        <f t="shared" si="8"/>
        <v>0</v>
      </c>
      <c r="K71" s="8">
        <f t="shared" si="8"/>
        <v>0</v>
      </c>
      <c r="L71" s="7"/>
    </row>
    <row r="72" spans="1:12" x14ac:dyDescent="0.25">
      <c r="A72" s="25">
        <f>A69+0.0001</f>
        <v>2.1003000000000007</v>
      </c>
      <c r="B72" s="29" t="s">
        <v>43</v>
      </c>
      <c r="C72" s="26" t="s">
        <v>42</v>
      </c>
      <c r="D72" s="21"/>
      <c r="E72" s="6"/>
      <c r="F72" s="8" t="s">
        <v>5</v>
      </c>
      <c r="G72" s="8">
        <f t="shared" si="8"/>
        <v>1</v>
      </c>
      <c r="H72" s="8">
        <f t="shared" si="8"/>
        <v>0</v>
      </c>
      <c r="I72" s="8">
        <f t="shared" si="8"/>
        <v>0</v>
      </c>
      <c r="J72" s="8">
        <f t="shared" si="8"/>
        <v>0</v>
      </c>
      <c r="K72" s="8">
        <f t="shared" si="8"/>
        <v>0</v>
      </c>
      <c r="L72" s="7"/>
    </row>
    <row r="73" spans="1:12" x14ac:dyDescent="0.25">
      <c r="A73" s="25">
        <f t="shared" si="1"/>
        <v>2.1004000000000009</v>
      </c>
      <c r="B73" s="31" t="s">
        <v>44</v>
      </c>
      <c r="C73" s="26"/>
      <c r="D73" s="7"/>
      <c r="E73" s="7"/>
      <c r="F73" s="8" t="s">
        <v>5</v>
      </c>
      <c r="G73" s="8">
        <f t="shared" si="8"/>
        <v>1</v>
      </c>
      <c r="H73" s="8">
        <f t="shared" si="8"/>
        <v>0</v>
      </c>
      <c r="I73" s="8">
        <f t="shared" si="8"/>
        <v>0</v>
      </c>
      <c r="J73" s="8">
        <f t="shared" si="8"/>
        <v>0</v>
      </c>
      <c r="K73" s="8">
        <f t="shared" si="8"/>
        <v>0</v>
      </c>
      <c r="L73" s="7"/>
    </row>
    <row r="74" spans="1:12" x14ac:dyDescent="0.25">
      <c r="A74" s="25">
        <f t="shared" si="1"/>
        <v>2.1005000000000011</v>
      </c>
      <c r="B74" s="29" t="s">
        <v>45</v>
      </c>
      <c r="C74" s="46" t="s">
        <v>276</v>
      </c>
      <c r="D74" s="7"/>
      <c r="E74" s="7"/>
      <c r="F74" s="8" t="s">
        <v>5</v>
      </c>
      <c r="G74" s="8">
        <f t="shared" si="8"/>
        <v>1</v>
      </c>
      <c r="H74" s="8">
        <f t="shared" si="8"/>
        <v>0</v>
      </c>
      <c r="I74" s="8">
        <f t="shared" si="8"/>
        <v>0</v>
      </c>
      <c r="J74" s="8">
        <f t="shared" si="8"/>
        <v>0</v>
      </c>
      <c r="K74" s="8">
        <f t="shared" si="8"/>
        <v>0</v>
      </c>
      <c r="L74" s="7"/>
    </row>
    <row r="75" spans="1:12" x14ac:dyDescent="0.25">
      <c r="A75" s="25">
        <f t="shared" si="1"/>
        <v>2.1006000000000014</v>
      </c>
      <c r="B75" s="29" t="s">
        <v>46</v>
      </c>
      <c r="C75" s="26" t="s">
        <v>48</v>
      </c>
      <c r="D75" s="7"/>
      <c r="E75" s="7"/>
      <c r="F75" s="8" t="s">
        <v>5</v>
      </c>
      <c r="G75" s="8">
        <f t="shared" si="8"/>
        <v>1</v>
      </c>
      <c r="H75" s="8">
        <f t="shared" si="8"/>
        <v>0</v>
      </c>
      <c r="I75" s="8">
        <f t="shared" si="8"/>
        <v>0</v>
      </c>
      <c r="J75" s="8">
        <f t="shared" si="8"/>
        <v>0</v>
      </c>
      <c r="K75" s="8">
        <f t="shared" si="8"/>
        <v>0</v>
      </c>
      <c r="L75" s="7"/>
    </row>
    <row r="76" spans="1:12" x14ac:dyDescent="0.25">
      <c r="A76" s="25">
        <f t="shared" si="1"/>
        <v>2.1007000000000016</v>
      </c>
      <c r="B76" s="29" t="s">
        <v>47</v>
      </c>
      <c r="C76" s="26" t="s">
        <v>48</v>
      </c>
      <c r="D76" s="7"/>
      <c r="E76" s="7"/>
      <c r="F76" s="8" t="s">
        <v>5</v>
      </c>
      <c r="G76" s="8">
        <f t="shared" si="8"/>
        <v>1</v>
      </c>
      <c r="H76" s="8">
        <f t="shared" si="8"/>
        <v>0</v>
      </c>
      <c r="I76" s="8">
        <f t="shared" si="8"/>
        <v>0</v>
      </c>
      <c r="J76" s="8">
        <f t="shared" si="8"/>
        <v>0</v>
      </c>
      <c r="K76" s="8">
        <f t="shared" si="8"/>
        <v>0</v>
      </c>
      <c r="L76" s="7"/>
    </row>
    <row r="77" spans="1:12" x14ac:dyDescent="0.25">
      <c r="A77" s="25">
        <f t="shared" si="1"/>
        <v>2.1008000000000018</v>
      </c>
      <c r="B77" s="29" t="s">
        <v>49</v>
      </c>
      <c r="C77" s="26" t="s">
        <v>50</v>
      </c>
      <c r="D77" s="7"/>
      <c r="E77" s="7"/>
      <c r="F77" s="8" t="s">
        <v>5</v>
      </c>
      <c r="G77" s="8">
        <f t="shared" si="8"/>
        <v>1</v>
      </c>
      <c r="H77" s="8">
        <f t="shared" si="8"/>
        <v>0</v>
      </c>
      <c r="I77" s="8">
        <f t="shared" si="8"/>
        <v>0</v>
      </c>
      <c r="J77" s="8">
        <f t="shared" si="8"/>
        <v>0</v>
      </c>
      <c r="K77" s="8">
        <f t="shared" si="8"/>
        <v>0</v>
      </c>
      <c r="L77" s="7"/>
    </row>
    <row r="78" spans="1:12" x14ac:dyDescent="0.25">
      <c r="A78" s="25">
        <f t="shared" si="1"/>
        <v>2.100900000000002</v>
      </c>
      <c r="B78" s="27" t="s">
        <v>51</v>
      </c>
      <c r="C78" s="26" t="s">
        <v>283</v>
      </c>
      <c r="D78" s="7"/>
      <c r="E78" s="7"/>
      <c r="F78" s="8" t="s">
        <v>5</v>
      </c>
      <c r="G78" s="8">
        <f t="shared" si="8"/>
        <v>1</v>
      </c>
      <c r="H78" s="8">
        <f t="shared" si="8"/>
        <v>0</v>
      </c>
      <c r="I78" s="8">
        <f t="shared" si="8"/>
        <v>0</v>
      </c>
      <c r="J78" s="8">
        <f t="shared" si="8"/>
        <v>0</v>
      </c>
      <c r="K78" s="8">
        <f t="shared" si="8"/>
        <v>0</v>
      </c>
      <c r="L78" s="7"/>
    </row>
    <row r="79" spans="1:12" x14ac:dyDescent="0.25">
      <c r="A79" s="25">
        <f t="shared" si="1"/>
        <v>2.1010000000000022</v>
      </c>
      <c r="B79" s="29" t="s">
        <v>52</v>
      </c>
      <c r="C79" s="26" t="s">
        <v>55</v>
      </c>
      <c r="D79" s="7"/>
      <c r="E79" s="7"/>
      <c r="F79" s="8" t="s">
        <v>5</v>
      </c>
      <c r="G79" s="8">
        <f t="shared" si="8"/>
        <v>1</v>
      </c>
      <c r="H79" s="8">
        <f t="shared" si="8"/>
        <v>0</v>
      </c>
      <c r="I79" s="8">
        <f t="shared" si="8"/>
        <v>0</v>
      </c>
      <c r="J79" s="8">
        <f t="shared" si="8"/>
        <v>0</v>
      </c>
      <c r="K79" s="8">
        <f t="shared" si="8"/>
        <v>0</v>
      </c>
      <c r="L79" s="7"/>
    </row>
    <row r="80" spans="1:12" x14ac:dyDescent="0.25">
      <c r="A80" s="25">
        <f t="shared" si="1"/>
        <v>2.1011000000000024</v>
      </c>
      <c r="B80" s="29" t="s">
        <v>53</v>
      </c>
      <c r="C80" s="26" t="s">
        <v>55</v>
      </c>
      <c r="D80" s="7"/>
      <c r="E80" s="7"/>
      <c r="F80" s="8" t="s">
        <v>5</v>
      </c>
      <c r="G80" s="8">
        <f t="shared" si="8"/>
        <v>1</v>
      </c>
      <c r="H80" s="8">
        <f t="shared" si="8"/>
        <v>0</v>
      </c>
      <c r="I80" s="8">
        <f t="shared" si="8"/>
        <v>0</v>
      </c>
      <c r="J80" s="8">
        <f t="shared" si="8"/>
        <v>0</v>
      </c>
      <c r="K80" s="8">
        <f t="shared" si="8"/>
        <v>0</v>
      </c>
      <c r="L80" s="7"/>
    </row>
    <row r="81" spans="1:12" x14ac:dyDescent="0.25">
      <c r="A81" s="25">
        <f t="shared" si="1"/>
        <v>2.1012000000000026</v>
      </c>
      <c r="B81" s="29" t="s">
        <v>54</v>
      </c>
      <c r="C81" s="26" t="s">
        <v>56</v>
      </c>
      <c r="D81" s="7"/>
      <c r="E81" s="7"/>
      <c r="F81" s="8" t="s">
        <v>5</v>
      </c>
      <c r="G81" s="8">
        <f t="shared" si="8"/>
        <v>1</v>
      </c>
      <c r="H81" s="8">
        <f t="shared" si="8"/>
        <v>0</v>
      </c>
      <c r="I81" s="8">
        <f t="shared" si="8"/>
        <v>0</v>
      </c>
      <c r="J81" s="8">
        <f t="shared" si="8"/>
        <v>0</v>
      </c>
      <c r="K81" s="8">
        <f t="shared" si="8"/>
        <v>0</v>
      </c>
      <c r="L81" s="7"/>
    </row>
    <row r="82" spans="1:12" x14ac:dyDescent="0.25">
      <c r="A82" s="25">
        <f t="shared" si="1"/>
        <v>2.1013000000000028</v>
      </c>
      <c r="B82" s="32" t="s">
        <v>30</v>
      </c>
      <c r="C82" s="37">
        <f>C62</f>
        <v>10013120</v>
      </c>
      <c r="D82" s="7">
        <v>10014607</v>
      </c>
      <c r="E82" s="7"/>
      <c r="F82" s="8" t="s">
        <v>5</v>
      </c>
      <c r="G82" s="8">
        <f t="shared" si="8"/>
        <v>1</v>
      </c>
      <c r="H82" s="8">
        <f t="shared" si="8"/>
        <v>0</v>
      </c>
      <c r="I82" s="8">
        <f t="shared" si="8"/>
        <v>0</v>
      </c>
      <c r="J82" s="8">
        <f t="shared" si="8"/>
        <v>0</v>
      </c>
      <c r="K82" s="8">
        <f t="shared" si="8"/>
        <v>0</v>
      </c>
      <c r="L82" s="7"/>
    </row>
    <row r="83" spans="1:12" x14ac:dyDescent="0.25">
      <c r="A83" s="25">
        <f t="shared" si="1"/>
        <v>2.101400000000003</v>
      </c>
      <c r="B83" s="33" t="s">
        <v>58</v>
      </c>
      <c r="C83" s="37" t="s">
        <v>133</v>
      </c>
      <c r="D83" s="7"/>
      <c r="E83" s="7"/>
      <c r="F83" s="8" t="s">
        <v>5</v>
      </c>
      <c r="G83" s="8">
        <f t="shared" si="8"/>
        <v>1</v>
      </c>
      <c r="H83" s="8">
        <f t="shared" si="8"/>
        <v>0</v>
      </c>
      <c r="I83" s="8">
        <f t="shared" si="8"/>
        <v>0</v>
      </c>
      <c r="J83" s="8">
        <f t="shared" si="8"/>
        <v>0</v>
      </c>
      <c r="K83" s="8">
        <f t="shared" si="8"/>
        <v>0</v>
      </c>
      <c r="L83" s="7"/>
    </row>
    <row r="84" spans="1:12" x14ac:dyDescent="0.25">
      <c r="A84" s="25">
        <f t="shared" si="1"/>
        <v>2.1015000000000033</v>
      </c>
      <c r="B84" s="33" t="s">
        <v>59</v>
      </c>
      <c r="C84" s="26" t="s">
        <v>65</v>
      </c>
      <c r="D84" s="7"/>
      <c r="E84" s="7"/>
      <c r="F84" s="8" t="s">
        <v>5</v>
      </c>
      <c r="G84" s="8">
        <f t="shared" si="8"/>
        <v>1</v>
      </c>
      <c r="H84" s="8">
        <f t="shared" si="8"/>
        <v>0</v>
      </c>
      <c r="I84" s="8">
        <f t="shared" si="8"/>
        <v>0</v>
      </c>
      <c r="J84" s="8">
        <f t="shared" si="8"/>
        <v>0</v>
      </c>
      <c r="K84" s="8">
        <f t="shared" si="8"/>
        <v>0</v>
      </c>
      <c r="L84" s="7"/>
    </row>
    <row r="85" spans="1:12" x14ac:dyDescent="0.25">
      <c r="A85" s="25">
        <f t="shared" si="1"/>
        <v>2.1016000000000035</v>
      </c>
      <c r="B85" s="33" t="s">
        <v>60</v>
      </c>
      <c r="C85" s="26" t="s">
        <v>57</v>
      </c>
      <c r="D85" s="7"/>
      <c r="E85" s="7"/>
      <c r="F85" s="8" t="s">
        <v>5</v>
      </c>
      <c r="G85" s="8">
        <f t="shared" si="8"/>
        <v>1</v>
      </c>
      <c r="H85" s="8">
        <f t="shared" si="8"/>
        <v>0</v>
      </c>
      <c r="I85" s="8">
        <f t="shared" si="8"/>
        <v>0</v>
      </c>
      <c r="J85" s="8">
        <f t="shared" si="8"/>
        <v>0</v>
      </c>
      <c r="K85" s="8">
        <f t="shared" si="8"/>
        <v>0</v>
      </c>
      <c r="L85" s="7"/>
    </row>
    <row r="86" spans="1:12" x14ac:dyDescent="0.25">
      <c r="A86" s="25">
        <f t="shared" si="1"/>
        <v>2.1017000000000037</v>
      </c>
      <c r="B86" s="33" t="s">
        <v>61</v>
      </c>
      <c r="C86" s="26" t="s">
        <v>66</v>
      </c>
      <c r="D86" s="7"/>
      <c r="E86" s="7"/>
      <c r="F86" s="8" t="s">
        <v>5</v>
      </c>
      <c r="G86" s="8">
        <f t="shared" si="8"/>
        <v>1</v>
      </c>
      <c r="H86" s="8">
        <f t="shared" si="8"/>
        <v>0</v>
      </c>
      <c r="I86" s="8">
        <f t="shared" si="8"/>
        <v>0</v>
      </c>
      <c r="J86" s="8">
        <f t="shared" si="8"/>
        <v>0</v>
      </c>
      <c r="K86" s="8">
        <f t="shared" si="8"/>
        <v>0</v>
      </c>
      <c r="L86" s="7"/>
    </row>
    <row r="87" spans="1:12" x14ac:dyDescent="0.25">
      <c r="A87" s="25">
        <f t="shared" si="1"/>
        <v>2.1018000000000039</v>
      </c>
      <c r="B87" s="33" t="s">
        <v>67</v>
      </c>
      <c r="C87" s="26" t="s">
        <v>68</v>
      </c>
      <c r="D87" s="7"/>
      <c r="E87" s="7"/>
      <c r="F87" s="8" t="s">
        <v>5</v>
      </c>
      <c r="G87" s="8">
        <f t="shared" ref="G87:K98" si="9">IF($F87=G$1,1,0)</f>
        <v>1</v>
      </c>
      <c r="H87" s="8">
        <f t="shared" si="9"/>
        <v>0</v>
      </c>
      <c r="I87" s="8">
        <f t="shared" si="9"/>
        <v>0</v>
      </c>
      <c r="J87" s="8">
        <f t="shared" si="9"/>
        <v>0</v>
      </c>
      <c r="K87" s="8">
        <f t="shared" si="9"/>
        <v>0</v>
      </c>
      <c r="L87" s="7"/>
    </row>
    <row r="88" spans="1:12" ht="25.5" x14ac:dyDescent="0.25">
      <c r="A88" s="25">
        <f t="shared" si="1"/>
        <v>2.1019000000000041</v>
      </c>
      <c r="B88" s="33" t="s">
        <v>62</v>
      </c>
      <c r="C88" s="26" t="s">
        <v>69</v>
      </c>
      <c r="D88" s="7"/>
      <c r="E88" s="7"/>
      <c r="F88" s="8" t="s">
        <v>5</v>
      </c>
      <c r="G88" s="8">
        <f t="shared" si="9"/>
        <v>1</v>
      </c>
      <c r="H88" s="8">
        <f t="shared" si="9"/>
        <v>0</v>
      </c>
      <c r="I88" s="8">
        <f t="shared" si="9"/>
        <v>0</v>
      </c>
      <c r="J88" s="8">
        <f t="shared" si="9"/>
        <v>0</v>
      </c>
      <c r="K88" s="8">
        <f t="shared" si="9"/>
        <v>0</v>
      </c>
      <c r="L88" s="7"/>
    </row>
    <row r="89" spans="1:12" x14ac:dyDescent="0.25">
      <c r="A89" s="25">
        <f t="shared" si="1"/>
        <v>2.1020000000000043</v>
      </c>
      <c r="B89" s="31" t="s">
        <v>285</v>
      </c>
      <c r="C89" s="26" t="s">
        <v>78</v>
      </c>
      <c r="D89" s="7"/>
      <c r="E89" s="7"/>
      <c r="F89" s="8" t="s">
        <v>5</v>
      </c>
      <c r="G89" s="8">
        <f t="shared" si="9"/>
        <v>1</v>
      </c>
      <c r="H89" s="8">
        <f t="shared" si="9"/>
        <v>0</v>
      </c>
      <c r="I89" s="8">
        <f t="shared" si="9"/>
        <v>0</v>
      </c>
      <c r="J89" s="8">
        <f t="shared" si="9"/>
        <v>0</v>
      </c>
      <c r="K89" s="8">
        <f t="shared" si="9"/>
        <v>0</v>
      </c>
      <c r="L89" s="7"/>
    </row>
    <row r="90" spans="1:12" ht="25.5" x14ac:dyDescent="0.25">
      <c r="A90" s="25">
        <f t="shared" si="1"/>
        <v>2.1021000000000045</v>
      </c>
      <c r="B90" s="33" t="s">
        <v>71</v>
      </c>
      <c r="C90" s="26" t="s">
        <v>76</v>
      </c>
      <c r="D90" s="7"/>
      <c r="E90" s="7"/>
      <c r="F90" s="8" t="s">
        <v>5</v>
      </c>
      <c r="G90" s="8">
        <f t="shared" si="9"/>
        <v>1</v>
      </c>
      <c r="H90" s="8">
        <f t="shared" si="9"/>
        <v>0</v>
      </c>
      <c r="I90" s="8">
        <f t="shared" si="9"/>
        <v>0</v>
      </c>
      <c r="J90" s="8">
        <f t="shared" si="9"/>
        <v>0</v>
      </c>
      <c r="K90" s="8">
        <f t="shared" si="9"/>
        <v>0</v>
      </c>
      <c r="L90" s="7"/>
    </row>
    <row r="91" spans="1:12" x14ac:dyDescent="0.25">
      <c r="A91" s="25">
        <f t="shared" si="1"/>
        <v>2.1022000000000047</v>
      </c>
      <c r="B91" s="33" t="s">
        <v>72</v>
      </c>
      <c r="C91" s="26" t="s">
        <v>55</v>
      </c>
      <c r="D91" s="7"/>
      <c r="E91" s="7"/>
      <c r="F91" s="8" t="s">
        <v>5</v>
      </c>
      <c r="G91" s="8">
        <f t="shared" si="9"/>
        <v>1</v>
      </c>
      <c r="H91" s="8">
        <f t="shared" si="9"/>
        <v>0</v>
      </c>
      <c r="I91" s="8">
        <f t="shared" si="9"/>
        <v>0</v>
      </c>
      <c r="J91" s="8">
        <f t="shared" si="9"/>
        <v>0</v>
      </c>
      <c r="K91" s="8">
        <f t="shared" si="9"/>
        <v>0</v>
      </c>
      <c r="L91" s="7"/>
    </row>
    <row r="92" spans="1:12" x14ac:dyDescent="0.25">
      <c r="A92" s="25">
        <f t="shared" si="1"/>
        <v>2.1023000000000049</v>
      </c>
      <c r="B92" s="33" t="s">
        <v>73</v>
      </c>
      <c r="C92" s="26" t="s">
        <v>55</v>
      </c>
      <c r="D92" s="7"/>
      <c r="E92" s="7"/>
      <c r="F92" s="8" t="s">
        <v>5</v>
      </c>
      <c r="G92" s="8">
        <f t="shared" si="9"/>
        <v>1</v>
      </c>
      <c r="H92" s="8">
        <f t="shared" si="9"/>
        <v>0</v>
      </c>
      <c r="I92" s="8">
        <f t="shared" si="9"/>
        <v>0</v>
      </c>
      <c r="J92" s="8">
        <f t="shared" si="9"/>
        <v>0</v>
      </c>
      <c r="K92" s="8">
        <f t="shared" si="9"/>
        <v>0</v>
      </c>
      <c r="L92" s="7"/>
    </row>
    <row r="93" spans="1:12" x14ac:dyDescent="0.25">
      <c r="A93" s="25">
        <f t="shared" si="1"/>
        <v>2.1024000000000052</v>
      </c>
      <c r="B93" s="33" t="s">
        <v>74</v>
      </c>
      <c r="C93" s="26" t="s">
        <v>55</v>
      </c>
      <c r="D93" s="7"/>
      <c r="E93" s="7"/>
      <c r="F93" s="8" t="s">
        <v>5</v>
      </c>
      <c r="G93" s="8">
        <f t="shared" si="9"/>
        <v>1</v>
      </c>
      <c r="H93" s="8">
        <f t="shared" si="9"/>
        <v>0</v>
      </c>
      <c r="I93" s="8">
        <f t="shared" si="9"/>
        <v>0</v>
      </c>
      <c r="J93" s="8">
        <f t="shared" si="9"/>
        <v>0</v>
      </c>
      <c r="K93" s="8">
        <f t="shared" si="9"/>
        <v>0</v>
      </c>
      <c r="L93" s="7"/>
    </row>
    <row r="94" spans="1:12" x14ac:dyDescent="0.25">
      <c r="A94" s="25">
        <f t="shared" si="1"/>
        <v>2.1025000000000054</v>
      </c>
      <c r="B94" s="33" t="s">
        <v>75</v>
      </c>
      <c r="C94" s="26" t="s">
        <v>55</v>
      </c>
      <c r="D94" s="7"/>
      <c r="E94" s="7"/>
      <c r="F94" s="8" t="s">
        <v>5</v>
      </c>
      <c r="G94" s="8">
        <f t="shared" si="9"/>
        <v>1</v>
      </c>
      <c r="H94" s="8">
        <f t="shared" si="9"/>
        <v>0</v>
      </c>
      <c r="I94" s="8">
        <f t="shared" si="9"/>
        <v>0</v>
      </c>
      <c r="J94" s="8">
        <f t="shared" si="9"/>
        <v>0</v>
      </c>
      <c r="K94" s="8">
        <f t="shared" si="9"/>
        <v>0</v>
      </c>
      <c r="L94" s="7"/>
    </row>
    <row r="95" spans="1:12" x14ac:dyDescent="0.25">
      <c r="A95" s="25">
        <f t="shared" si="1"/>
        <v>2.1026000000000056</v>
      </c>
      <c r="B95" s="31" t="s">
        <v>77</v>
      </c>
      <c r="C95" s="26" t="s">
        <v>70</v>
      </c>
      <c r="D95" s="7"/>
      <c r="E95" s="7"/>
      <c r="F95" s="8" t="s">
        <v>5</v>
      </c>
      <c r="G95" s="8">
        <f t="shared" si="9"/>
        <v>1</v>
      </c>
      <c r="H95" s="8">
        <f t="shared" si="9"/>
        <v>0</v>
      </c>
      <c r="I95" s="8">
        <f t="shared" si="9"/>
        <v>0</v>
      </c>
      <c r="J95" s="8">
        <f t="shared" si="9"/>
        <v>0</v>
      </c>
      <c r="K95" s="8">
        <f t="shared" si="9"/>
        <v>0</v>
      </c>
      <c r="L95" s="7"/>
    </row>
    <row r="96" spans="1:12" x14ac:dyDescent="0.25">
      <c r="A96" s="25">
        <f t="shared" si="1"/>
        <v>2.1027000000000058</v>
      </c>
      <c r="B96" s="29" t="s">
        <v>30</v>
      </c>
      <c r="C96" s="26" t="s">
        <v>79</v>
      </c>
      <c r="D96" s="7"/>
      <c r="E96" s="7"/>
      <c r="F96" s="8" t="s">
        <v>5</v>
      </c>
      <c r="G96" s="8">
        <f t="shared" si="9"/>
        <v>1</v>
      </c>
      <c r="H96" s="8">
        <f t="shared" si="9"/>
        <v>0</v>
      </c>
      <c r="I96" s="8">
        <f t="shared" si="9"/>
        <v>0</v>
      </c>
      <c r="J96" s="8">
        <f t="shared" si="9"/>
        <v>0</v>
      </c>
      <c r="K96" s="8">
        <f t="shared" si="9"/>
        <v>0</v>
      </c>
      <c r="L96" s="7"/>
    </row>
    <row r="97" spans="1:12" x14ac:dyDescent="0.25">
      <c r="A97" s="25">
        <f t="shared" si="1"/>
        <v>2.102800000000006</v>
      </c>
      <c r="B97" s="29"/>
      <c r="C97" s="36">
        <f>C65</f>
        <v>10011594</v>
      </c>
      <c r="D97" s="7"/>
      <c r="E97" s="7"/>
      <c r="F97" s="8" t="s">
        <v>5</v>
      </c>
      <c r="G97" s="8">
        <f t="shared" si="9"/>
        <v>1</v>
      </c>
      <c r="H97" s="8">
        <f t="shared" si="9"/>
        <v>0</v>
      </c>
      <c r="I97" s="8">
        <f t="shared" si="9"/>
        <v>0</v>
      </c>
      <c r="J97" s="8">
        <f t="shared" si="9"/>
        <v>0</v>
      </c>
      <c r="K97" s="8">
        <f t="shared" si="9"/>
        <v>0</v>
      </c>
      <c r="L97" s="7"/>
    </row>
    <row r="98" spans="1:12" x14ac:dyDescent="0.25">
      <c r="A98" s="25">
        <f t="shared" si="1"/>
        <v>2.1029000000000062</v>
      </c>
      <c r="B98" s="29" t="s">
        <v>80</v>
      </c>
      <c r="C98" s="26" t="s">
        <v>81</v>
      </c>
      <c r="D98" s="7"/>
      <c r="E98" s="7"/>
      <c r="F98" s="8" t="s">
        <v>5</v>
      </c>
      <c r="G98" s="8">
        <f t="shared" si="9"/>
        <v>1</v>
      </c>
      <c r="H98" s="8">
        <f t="shared" si="9"/>
        <v>0</v>
      </c>
      <c r="I98" s="8">
        <f t="shared" si="9"/>
        <v>0</v>
      </c>
      <c r="J98" s="8">
        <f t="shared" si="9"/>
        <v>0</v>
      </c>
      <c r="K98" s="8">
        <f t="shared" si="9"/>
        <v>0</v>
      </c>
      <c r="L98" s="7"/>
    </row>
    <row r="99" spans="1:12" x14ac:dyDescent="0.25">
      <c r="A99" s="25">
        <f t="shared" si="1"/>
        <v>2.1030000000000064</v>
      </c>
      <c r="B99" s="29" t="s">
        <v>82</v>
      </c>
      <c r="C99" s="26" t="s">
        <v>83</v>
      </c>
      <c r="D99" s="7"/>
      <c r="E99" s="7"/>
      <c r="F99" s="8" t="s">
        <v>5</v>
      </c>
      <c r="G99" s="8">
        <f t="shared" si="5"/>
        <v>1</v>
      </c>
      <c r="H99" s="8">
        <f t="shared" si="5"/>
        <v>0</v>
      </c>
      <c r="I99" s="8">
        <f t="shared" si="5"/>
        <v>0</v>
      </c>
      <c r="J99" s="8">
        <f t="shared" si="5"/>
        <v>0</v>
      </c>
      <c r="K99" s="8">
        <f t="shared" si="5"/>
        <v>0</v>
      </c>
      <c r="L99" s="7"/>
    </row>
    <row r="100" spans="1:12" x14ac:dyDescent="0.25">
      <c r="A100" s="25">
        <f t="shared" si="1"/>
        <v>2.1031000000000066</v>
      </c>
      <c r="B100" s="29" t="s">
        <v>84</v>
      </c>
      <c r="C100" s="26"/>
      <c r="D100" s="7"/>
      <c r="E100" s="7"/>
      <c r="F100" s="8" t="s">
        <v>5</v>
      </c>
      <c r="G100" s="8">
        <f t="shared" si="5"/>
        <v>1</v>
      </c>
      <c r="H100" s="8">
        <f t="shared" si="5"/>
        <v>0</v>
      </c>
      <c r="I100" s="8">
        <f t="shared" si="5"/>
        <v>0</v>
      </c>
      <c r="J100" s="8">
        <f t="shared" si="5"/>
        <v>0</v>
      </c>
      <c r="K100" s="8">
        <f t="shared" si="5"/>
        <v>0</v>
      </c>
      <c r="L100" s="7"/>
    </row>
    <row r="101" spans="1:12" x14ac:dyDescent="0.25">
      <c r="A101" s="25">
        <f t="shared" si="1"/>
        <v>2.1032000000000068</v>
      </c>
      <c r="B101" s="29" t="s">
        <v>85</v>
      </c>
      <c r="C101" s="26"/>
      <c r="D101" s="7"/>
      <c r="E101" s="7"/>
      <c r="F101" s="8" t="s">
        <v>5</v>
      </c>
      <c r="G101" s="8">
        <f t="shared" si="5"/>
        <v>1</v>
      </c>
      <c r="H101" s="8">
        <f t="shared" si="5"/>
        <v>0</v>
      </c>
      <c r="I101" s="8">
        <f t="shared" si="5"/>
        <v>0</v>
      </c>
      <c r="J101" s="8">
        <f t="shared" si="5"/>
        <v>0</v>
      </c>
      <c r="K101" s="8">
        <f t="shared" si="5"/>
        <v>0</v>
      </c>
      <c r="L101" s="7"/>
    </row>
    <row r="102" spans="1:12" x14ac:dyDescent="0.25">
      <c r="A102" s="25">
        <f t="shared" si="1"/>
        <v>2.1033000000000071</v>
      </c>
      <c r="B102" s="29" t="s">
        <v>86</v>
      </c>
      <c r="C102" s="26" t="s">
        <v>57</v>
      </c>
      <c r="D102" s="7"/>
      <c r="E102" s="7"/>
      <c r="F102" s="8" t="s">
        <v>5</v>
      </c>
      <c r="G102" s="8">
        <f t="shared" si="5"/>
        <v>1</v>
      </c>
      <c r="H102" s="8">
        <f t="shared" si="5"/>
        <v>0</v>
      </c>
      <c r="I102" s="8">
        <f t="shared" si="5"/>
        <v>0</v>
      </c>
      <c r="J102" s="8">
        <f t="shared" si="5"/>
        <v>0</v>
      </c>
      <c r="K102" s="8">
        <f t="shared" si="5"/>
        <v>0</v>
      </c>
      <c r="L102" s="7"/>
    </row>
    <row r="103" spans="1:12" x14ac:dyDescent="0.25">
      <c r="A103" s="25">
        <f t="shared" si="1"/>
        <v>2.1034000000000073</v>
      </c>
      <c r="B103" s="29" t="s">
        <v>87</v>
      </c>
      <c r="C103" s="34" t="s">
        <v>88</v>
      </c>
      <c r="D103" s="7"/>
      <c r="E103" s="7"/>
      <c r="F103" s="8" t="s">
        <v>5</v>
      </c>
      <c r="G103" s="8">
        <f t="shared" si="5"/>
        <v>1</v>
      </c>
      <c r="H103" s="8">
        <f t="shared" si="5"/>
        <v>0</v>
      </c>
      <c r="I103" s="8">
        <f t="shared" si="5"/>
        <v>0</v>
      </c>
      <c r="J103" s="8">
        <f t="shared" si="5"/>
        <v>0</v>
      </c>
      <c r="K103" s="8">
        <f t="shared" si="5"/>
        <v>0</v>
      </c>
      <c r="L103" s="7"/>
    </row>
    <row r="104" spans="1:12" x14ac:dyDescent="0.25">
      <c r="A104" s="25">
        <f t="shared" si="1"/>
        <v>2.1035000000000075</v>
      </c>
      <c r="B104" s="29" t="s">
        <v>89</v>
      </c>
      <c r="C104" s="34" t="s">
        <v>90</v>
      </c>
      <c r="D104" s="7"/>
      <c r="E104" s="7"/>
      <c r="F104" s="8" t="s">
        <v>5</v>
      </c>
      <c r="G104" s="8">
        <f t="shared" si="5"/>
        <v>1</v>
      </c>
      <c r="H104" s="8">
        <f t="shared" si="5"/>
        <v>0</v>
      </c>
      <c r="I104" s="8">
        <f t="shared" si="5"/>
        <v>0</v>
      </c>
      <c r="J104" s="8">
        <f t="shared" si="5"/>
        <v>0</v>
      </c>
      <c r="K104" s="8">
        <f t="shared" si="5"/>
        <v>0</v>
      </c>
      <c r="L104" s="7"/>
    </row>
    <row r="105" spans="1:12" x14ac:dyDescent="0.25">
      <c r="A105" s="25">
        <f t="shared" si="1"/>
        <v>2.1036000000000077</v>
      </c>
      <c r="B105" s="29" t="s">
        <v>91</v>
      </c>
      <c r="C105" s="26" t="s">
        <v>92</v>
      </c>
      <c r="D105" s="7"/>
      <c r="E105" s="7"/>
      <c r="F105" s="8" t="s">
        <v>5</v>
      </c>
      <c r="G105" s="8">
        <f t="shared" si="5"/>
        <v>1</v>
      </c>
      <c r="H105" s="8">
        <f t="shared" si="5"/>
        <v>0</v>
      </c>
      <c r="I105" s="8">
        <f t="shared" si="5"/>
        <v>0</v>
      </c>
      <c r="J105" s="8">
        <f t="shared" si="5"/>
        <v>0</v>
      </c>
      <c r="K105" s="8">
        <f t="shared" si="5"/>
        <v>0</v>
      </c>
      <c r="L105" s="7"/>
    </row>
    <row r="106" spans="1:12" x14ac:dyDescent="0.25">
      <c r="A106" s="25">
        <f t="shared" si="1"/>
        <v>2.1037000000000079</v>
      </c>
      <c r="B106" s="29" t="s">
        <v>94</v>
      </c>
      <c r="C106" s="26" t="s">
        <v>99</v>
      </c>
      <c r="D106" s="7"/>
      <c r="E106" s="7"/>
      <c r="F106" s="8" t="s">
        <v>5</v>
      </c>
      <c r="G106" s="8">
        <f t="shared" si="5"/>
        <v>1</v>
      </c>
      <c r="H106" s="8">
        <f t="shared" si="5"/>
        <v>0</v>
      </c>
      <c r="I106" s="8">
        <f t="shared" si="5"/>
        <v>0</v>
      </c>
      <c r="J106" s="8">
        <f t="shared" si="5"/>
        <v>0</v>
      </c>
      <c r="K106" s="8">
        <f t="shared" si="5"/>
        <v>0</v>
      </c>
      <c r="L106" s="7"/>
    </row>
    <row r="107" spans="1:12" x14ac:dyDescent="0.25">
      <c r="A107" s="25">
        <f t="shared" si="1"/>
        <v>2.1038000000000081</v>
      </c>
      <c r="B107" s="29" t="s">
        <v>95</v>
      </c>
      <c r="C107" s="26" t="s">
        <v>98</v>
      </c>
      <c r="D107" s="7"/>
      <c r="E107" s="7"/>
      <c r="F107" s="8" t="s">
        <v>5</v>
      </c>
      <c r="G107" s="8">
        <f t="shared" si="5"/>
        <v>1</v>
      </c>
      <c r="H107" s="8">
        <f t="shared" si="5"/>
        <v>0</v>
      </c>
      <c r="I107" s="8">
        <f t="shared" si="5"/>
        <v>0</v>
      </c>
      <c r="J107" s="8">
        <f t="shared" si="5"/>
        <v>0</v>
      </c>
      <c r="K107" s="8">
        <f t="shared" si="5"/>
        <v>0</v>
      </c>
      <c r="L107" s="7"/>
    </row>
    <row r="108" spans="1:12" x14ac:dyDescent="0.25">
      <c r="A108" s="25">
        <f t="shared" si="1"/>
        <v>2.1039000000000083</v>
      </c>
      <c r="B108" s="29" t="s">
        <v>96</v>
      </c>
      <c r="C108" s="26" t="s">
        <v>97</v>
      </c>
      <c r="D108" s="7"/>
      <c r="E108" s="7"/>
      <c r="F108" s="8" t="s">
        <v>5</v>
      </c>
      <c r="G108" s="8">
        <f t="shared" si="5"/>
        <v>1</v>
      </c>
      <c r="H108" s="8">
        <f t="shared" si="5"/>
        <v>0</v>
      </c>
      <c r="I108" s="8">
        <f t="shared" si="5"/>
        <v>0</v>
      </c>
      <c r="J108" s="8">
        <f t="shared" si="5"/>
        <v>0</v>
      </c>
      <c r="K108" s="8">
        <f t="shared" si="5"/>
        <v>0</v>
      </c>
      <c r="L108" s="7"/>
    </row>
    <row r="109" spans="1:12" x14ac:dyDescent="0.25">
      <c r="A109" s="25">
        <f t="shared" si="1"/>
        <v>2.1040000000000085</v>
      </c>
      <c r="B109" s="29" t="s">
        <v>284</v>
      </c>
      <c r="C109" s="26" t="s">
        <v>286</v>
      </c>
      <c r="D109" s="7"/>
      <c r="E109" s="7"/>
      <c r="F109" s="8" t="s">
        <v>5</v>
      </c>
      <c r="G109" s="8">
        <f t="shared" si="5"/>
        <v>1</v>
      </c>
      <c r="H109" s="8">
        <f t="shared" si="5"/>
        <v>0</v>
      </c>
      <c r="I109" s="8">
        <f t="shared" si="5"/>
        <v>0</v>
      </c>
      <c r="J109" s="8">
        <f t="shared" si="5"/>
        <v>0</v>
      </c>
      <c r="K109" s="8">
        <f t="shared" si="5"/>
        <v>0</v>
      </c>
      <c r="L109" s="7"/>
    </row>
    <row r="110" spans="1:12" x14ac:dyDescent="0.25">
      <c r="A110" s="25">
        <f t="shared" si="1"/>
        <v>2.1041000000000087</v>
      </c>
      <c r="B110" s="27" t="s">
        <v>49</v>
      </c>
      <c r="C110" s="26" t="s">
        <v>101</v>
      </c>
      <c r="D110" s="7" t="s">
        <v>289</v>
      </c>
      <c r="E110" s="7"/>
      <c r="F110" s="8" t="s">
        <v>5</v>
      </c>
      <c r="G110" s="8">
        <f t="shared" si="5"/>
        <v>1</v>
      </c>
      <c r="H110" s="8">
        <f t="shared" si="5"/>
        <v>0</v>
      </c>
      <c r="I110" s="8">
        <f t="shared" si="5"/>
        <v>0</v>
      </c>
      <c r="J110" s="8">
        <f t="shared" si="5"/>
        <v>0</v>
      </c>
      <c r="K110" s="8">
        <f t="shared" si="5"/>
        <v>0</v>
      </c>
      <c r="L110" s="7"/>
    </row>
    <row r="111" spans="1:12" x14ac:dyDescent="0.25">
      <c r="A111" s="25">
        <f t="shared" si="1"/>
        <v>2.104200000000009</v>
      </c>
      <c r="B111" s="29"/>
      <c r="C111" s="26" t="s">
        <v>102</v>
      </c>
      <c r="D111" s="7" t="s">
        <v>287</v>
      </c>
      <c r="E111" s="7"/>
      <c r="F111" s="8" t="s">
        <v>5</v>
      </c>
      <c r="G111" s="8">
        <f t="shared" si="5"/>
        <v>1</v>
      </c>
      <c r="H111" s="8">
        <f t="shared" si="5"/>
        <v>0</v>
      </c>
      <c r="I111" s="8">
        <f t="shared" si="5"/>
        <v>0</v>
      </c>
      <c r="J111" s="8">
        <f t="shared" si="5"/>
        <v>0</v>
      </c>
      <c r="K111" s="8">
        <f t="shared" si="5"/>
        <v>0</v>
      </c>
      <c r="L111" s="7"/>
    </row>
    <row r="112" spans="1:12" x14ac:dyDescent="0.25">
      <c r="A112" s="25">
        <f t="shared" si="1"/>
        <v>2.1043000000000092</v>
      </c>
      <c r="B112" s="29" t="s">
        <v>103</v>
      </c>
      <c r="C112" s="26" t="s">
        <v>48</v>
      </c>
      <c r="D112" s="7"/>
      <c r="E112" s="7"/>
      <c r="F112" s="8" t="s">
        <v>5</v>
      </c>
      <c r="G112" s="8">
        <f t="shared" si="5"/>
        <v>1</v>
      </c>
      <c r="H112" s="8">
        <f t="shared" si="5"/>
        <v>0</v>
      </c>
      <c r="I112" s="8">
        <f t="shared" si="5"/>
        <v>0</v>
      </c>
      <c r="J112" s="8">
        <f t="shared" si="5"/>
        <v>0</v>
      </c>
      <c r="K112" s="8">
        <f t="shared" si="5"/>
        <v>0</v>
      </c>
      <c r="L112" s="7"/>
    </row>
    <row r="113" spans="1:12" x14ac:dyDescent="0.25">
      <c r="A113" s="25">
        <f t="shared" si="1"/>
        <v>2.1044000000000094</v>
      </c>
      <c r="B113" s="30" t="s">
        <v>93</v>
      </c>
      <c r="C113" s="26" t="s">
        <v>107</v>
      </c>
      <c r="D113" s="7"/>
      <c r="E113" s="7"/>
      <c r="F113" s="8" t="s">
        <v>5</v>
      </c>
      <c r="G113" s="8">
        <f t="shared" si="5"/>
        <v>1</v>
      </c>
      <c r="H113" s="8">
        <f t="shared" si="5"/>
        <v>0</v>
      </c>
      <c r="I113" s="8">
        <f t="shared" si="5"/>
        <v>0</v>
      </c>
      <c r="J113" s="8">
        <f t="shared" si="5"/>
        <v>0</v>
      </c>
      <c r="K113" s="8">
        <f t="shared" si="5"/>
        <v>0</v>
      </c>
      <c r="L113" s="7"/>
    </row>
    <row r="114" spans="1:12" ht="15.75" thickBot="1" x14ac:dyDescent="0.3">
      <c r="G114" s="2">
        <f>SUM(G2:G113)</f>
        <v>107</v>
      </c>
      <c r="H114" s="2">
        <f>SUM(H2:H113)</f>
        <v>0</v>
      </c>
      <c r="I114" s="2">
        <f>SUM(I2:I113)</f>
        <v>0</v>
      </c>
      <c r="J114" s="2">
        <f>SUM(J2:J113)</f>
        <v>0</v>
      </c>
      <c r="K114" s="2">
        <f>SUM(K2:K113)</f>
        <v>0</v>
      </c>
    </row>
    <row r="115" spans="1:12" ht="15.75" thickTop="1" x14ac:dyDescent="0.25"/>
  </sheetData>
  <conditionalFormatting sqref="B49:E55 B57:E57 B56 D56:E56 A2:K3 A5:E9 A72:A113 A114:L132 G5:K9 G49:K57">
    <cfRule type="expression" dxfId="169" priority="377">
      <formula>$F2="Fail"</formula>
    </cfRule>
  </conditionalFormatting>
  <conditionalFormatting sqref="A10:K10 B36:E42 B16:E17 B15:C16 A12:E13 B18:C18 B35:C42 A16:A57">
    <cfRule type="expression" dxfId="168" priority="72">
      <formula>$F10="Fail"</formula>
    </cfRule>
  </conditionalFormatting>
  <conditionalFormatting sqref="B43:E48 G44:K48">
    <cfRule type="expression" dxfId="167" priority="71">
      <formula>$F43="Fail"</formula>
    </cfRule>
  </conditionalFormatting>
  <conditionalFormatting sqref="B28:E35 B27:C36 C34:C38">
    <cfRule type="expression" dxfId="166" priority="70">
      <formula>$F27="Fail"</formula>
    </cfRule>
  </conditionalFormatting>
  <conditionalFormatting sqref="B18:E21 B17:C22">
    <cfRule type="expression" dxfId="165" priority="69">
      <formula>$F17="Fail"</formula>
    </cfRule>
  </conditionalFormatting>
  <conditionalFormatting sqref="B21:C28 B22:E27">
    <cfRule type="expression" dxfId="164" priority="68">
      <formula>$F21="Fail"</formula>
    </cfRule>
  </conditionalFormatting>
  <conditionalFormatting sqref="A15:E15">
    <cfRule type="expression" dxfId="163" priority="67">
      <formula>$F15="Fail"</formula>
    </cfRule>
  </conditionalFormatting>
  <conditionalFormatting sqref="A14:E14 G14:K14">
    <cfRule type="expression" dxfId="162" priority="66">
      <formula>$F14="Fail"</formula>
    </cfRule>
  </conditionalFormatting>
  <conditionalFormatting sqref="B14:C14">
    <cfRule type="expression" dxfId="161" priority="65">
      <formula>$F14="Fail"</formula>
    </cfRule>
  </conditionalFormatting>
  <conditionalFormatting sqref="L49:L57 L2:L3 L5:L9">
    <cfRule type="expression" dxfId="160" priority="62">
      <formula>$F2="Fail"</formula>
    </cfRule>
  </conditionalFormatting>
  <conditionalFormatting sqref="L36:L42 L16:L17 L10 L12:L13">
    <cfRule type="expression" dxfId="159" priority="61">
      <formula>$F10="Fail"</formula>
    </cfRule>
  </conditionalFormatting>
  <conditionalFormatting sqref="L43:L48">
    <cfRule type="expression" dxfId="158" priority="60">
      <formula>$F43="Fail"</formula>
    </cfRule>
  </conditionalFormatting>
  <conditionalFormatting sqref="L28:L35">
    <cfRule type="expression" dxfId="157" priority="59">
      <formula>$F28="Fail"</formula>
    </cfRule>
  </conditionalFormatting>
  <conditionalFormatting sqref="L18:L21">
    <cfRule type="expression" dxfId="156" priority="58">
      <formula>$F18="Fail"</formula>
    </cfRule>
  </conditionalFormatting>
  <conditionalFormatting sqref="L22:L27">
    <cfRule type="expression" dxfId="155" priority="57">
      <formula>$F22="Fail"</formula>
    </cfRule>
  </conditionalFormatting>
  <conditionalFormatting sqref="L15">
    <cfRule type="expression" dxfId="154" priority="56">
      <formula>$F15="Fail"</formula>
    </cfRule>
  </conditionalFormatting>
  <conditionalFormatting sqref="L14">
    <cfRule type="expression" dxfId="153" priority="55">
      <formula>$F14="Fail"</formula>
    </cfRule>
  </conditionalFormatting>
  <conditionalFormatting sqref="A11:E11">
    <cfRule type="expression" dxfId="152" priority="54">
      <formula>$F11="Fail"</formula>
    </cfRule>
  </conditionalFormatting>
  <conditionalFormatting sqref="L11">
    <cfRule type="expression" dxfId="151" priority="52">
      <formula>$F11="Fail"</formula>
    </cfRule>
  </conditionalFormatting>
  <conditionalFormatting sqref="C34">
    <cfRule type="expression" dxfId="150" priority="51">
      <formula>$F34="Fail"</formula>
    </cfRule>
  </conditionalFormatting>
  <conditionalFormatting sqref="C56">
    <cfRule type="expression" dxfId="149" priority="50">
      <formula>$F56="Fail"</formula>
    </cfRule>
  </conditionalFormatting>
  <conditionalFormatting sqref="G11:K13">
    <cfRule type="expression" dxfId="148" priority="49">
      <formula>$F11="Fail"</formula>
    </cfRule>
  </conditionalFormatting>
  <conditionalFormatting sqref="G15:K15">
    <cfRule type="expression" dxfId="147" priority="48">
      <formula>$F15="Fail"</formula>
    </cfRule>
  </conditionalFormatting>
  <conditionalFormatting sqref="G43:K57">
    <cfRule type="expression" dxfId="146" priority="47">
      <formula>$F43="Fail"</formula>
    </cfRule>
  </conditionalFormatting>
  <conditionalFormatting sqref="G16:K42">
    <cfRule type="expression" dxfId="145" priority="46">
      <formula>$F16="Fail"</formula>
    </cfRule>
  </conditionalFormatting>
  <conditionalFormatting sqref="A4:E4 G4:K4">
    <cfRule type="expression" dxfId="144" priority="43">
      <formula>$F4="Fail"</formula>
    </cfRule>
  </conditionalFormatting>
  <conditionalFormatting sqref="L4">
    <cfRule type="expression" dxfId="143" priority="42">
      <formula>$F4="Fail"</formula>
    </cfRule>
  </conditionalFormatting>
  <conditionalFormatting sqref="B105:E111 B113:E113 B112 D112:E112 A58:K58 A61:E61 G61:K65 A59:E59 G59:K59 G105:K113 A63:E65 A62:C62 E62">
    <cfRule type="expression" dxfId="142" priority="41">
      <formula>$F58="Fail"</formula>
    </cfRule>
  </conditionalFormatting>
  <conditionalFormatting sqref="A66:K66 B92:E98 B72:E73 B71:C71 A68:E69 B74:C74 B91:C91">
    <cfRule type="expression" dxfId="141" priority="40">
      <formula>$F66="Fail"</formula>
    </cfRule>
  </conditionalFormatting>
  <conditionalFormatting sqref="B99:E104 G100:K104">
    <cfRule type="expression" dxfId="140" priority="39">
      <formula>$F99="Fail"</formula>
    </cfRule>
  </conditionalFormatting>
  <conditionalFormatting sqref="B84:E91 B83:C83 B92:C92 C93:C94">
    <cfRule type="expression" dxfId="139" priority="38">
      <formula>$F83="Fail"</formula>
    </cfRule>
  </conditionalFormatting>
  <conditionalFormatting sqref="B74:E77 B73:C73 B78:C78">
    <cfRule type="expression" dxfId="138" priority="37">
      <formula>$F73="Fail"</formula>
    </cfRule>
  </conditionalFormatting>
  <conditionalFormatting sqref="B77:C84 D78:E83">
    <cfRule type="expression" dxfId="137" priority="36">
      <formula>$F77="Fail"</formula>
    </cfRule>
  </conditionalFormatting>
  <conditionalFormatting sqref="A71:C71 E71">
    <cfRule type="expression" dxfId="136" priority="35">
      <formula>$F71="Fail"</formula>
    </cfRule>
  </conditionalFormatting>
  <conditionalFormatting sqref="A70:E70 G70:K70">
    <cfRule type="expression" dxfId="135" priority="34">
      <formula>$F70="Fail"</formula>
    </cfRule>
  </conditionalFormatting>
  <conditionalFormatting sqref="B70:C70">
    <cfRule type="expression" dxfId="134" priority="33">
      <formula>$F70="Fail"</formula>
    </cfRule>
  </conditionalFormatting>
  <conditionalFormatting sqref="L105:L113 L58:L59 L61:L65">
    <cfRule type="expression" dxfId="133" priority="32">
      <formula>$F58="Fail"</formula>
    </cfRule>
  </conditionalFormatting>
  <conditionalFormatting sqref="L92:L98 L72:L73 L66 L68:L69">
    <cfRule type="expression" dxfId="132" priority="31">
      <formula>$F66="Fail"</formula>
    </cfRule>
  </conditionalFormatting>
  <conditionalFormatting sqref="L99:L104">
    <cfRule type="expression" dxfId="131" priority="30">
      <formula>$F99="Fail"</formula>
    </cfRule>
  </conditionalFormatting>
  <conditionalFormatting sqref="L84:L91">
    <cfRule type="expression" dxfId="130" priority="29">
      <formula>$F84="Fail"</formula>
    </cfRule>
  </conditionalFormatting>
  <conditionalFormatting sqref="L74:L77">
    <cfRule type="expression" dxfId="129" priority="28">
      <formula>$F74="Fail"</formula>
    </cfRule>
  </conditionalFormatting>
  <conditionalFormatting sqref="L78:L83">
    <cfRule type="expression" dxfId="128" priority="27">
      <formula>$F78="Fail"</formula>
    </cfRule>
  </conditionalFormatting>
  <conditionalFormatting sqref="L71">
    <cfRule type="expression" dxfId="127" priority="26">
      <formula>$F71="Fail"</formula>
    </cfRule>
  </conditionalFormatting>
  <conditionalFormatting sqref="L70">
    <cfRule type="expression" dxfId="126" priority="25">
      <formula>$F70="Fail"</formula>
    </cfRule>
  </conditionalFormatting>
  <conditionalFormatting sqref="A67:E67">
    <cfRule type="expression" dxfId="125" priority="24">
      <formula>$F67="Fail"</formula>
    </cfRule>
  </conditionalFormatting>
  <conditionalFormatting sqref="L67">
    <cfRule type="expression" dxfId="124" priority="23">
      <formula>$F67="Fail"</formula>
    </cfRule>
  </conditionalFormatting>
  <conditionalFormatting sqref="C90">
    <cfRule type="expression" dxfId="123" priority="22">
      <formula>$F90="Fail"</formula>
    </cfRule>
  </conditionalFormatting>
  <conditionalFormatting sqref="C112">
    <cfRule type="expression" dxfId="122" priority="21">
      <formula>$F112="Fail"</formula>
    </cfRule>
  </conditionalFormatting>
  <conditionalFormatting sqref="G67:K69">
    <cfRule type="expression" dxfId="121" priority="20">
      <formula>$F67="Fail"</formula>
    </cfRule>
  </conditionalFormatting>
  <conditionalFormatting sqref="G71:K71">
    <cfRule type="expression" dxfId="120" priority="19">
      <formula>$F71="Fail"</formula>
    </cfRule>
  </conditionalFormatting>
  <conditionalFormatting sqref="G99:K113">
    <cfRule type="expression" dxfId="119" priority="18">
      <formula>$F99="Fail"</formula>
    </cfRule>
  </conditionalFormatting>
  <conditionalFormatting sqref="G72:K98">
    <cfRule type="expression" dxfId="118" priority="17">
      <formula>$F72="Fail"</formula>
    </cfRule>
  </conditionalFormatting>
  <conditionalFormatting sqref="A60:E60 G60:K60">
    <cfRule type="expression" dxfId="117" priority="14">
      <formula>$F60="Fail"</formula>
    </cfRule>
  </conditionalFormatting>
  <conditionalFormatting sqref="L60">
    <cfRule type="expression" dxfId="116" priority="13">
      <formula>$F60="Fail"</formula>
    </cfRule>
  </conditionalFormatting>
  <conditionalFormatting sqref="D71">
    <cfRule type="expression" dxfId="115" priority="8">
      <formula>$F71="Fail"</formula>
    </cfRule>
  </conditionalFormatting>
  <conditionalFormatting sqref="F4:F9">
    <cfRule type="expression" dxfId="114" priority="7">
      <formula>$F4="Fail"</formula>
    </cfRule>
  </conditionalFormatting>
  <conditionalFormatting sqref="F11:F22">
    <cfRule type="expression" dxfId="113" priority="6">
      <formula>$F11="Fail"</formula>
    </cfRule>
  </conditionalFormatting>
  <conditionalFormatting sqref="F23:F32">
    <cfRule type="expression" dxfId="112" priority="5">
      <formula>$F23="Fail"</formula>
    </cfRule>
  </conditionalFormatting>
  <conditionalFormatting sqref="F33:F38">
    <cfRule type="expression" dxfId="111" priority="4">
      <formula>$F33="Fail"</formula>
    </cfRule>
  </conditionalFormatting>
  <conditionalFormatting sqref="F39:F57">
    <cfRule type="expression" dxfId="110" priority="3">
      <formula>$F39="Fail"</formula>
    </cfRule>
  </conditionalFormatting>
  <conditionalFormatting sqref="F59:F65">
    <cfRule type="expression" dxfId="109" priority="2">
      <formula>$F59="Fail"</formula>
    </cfRule>
  </conditionalFormatting>
  <conditionalFormatting sqref="F67:F113">
    <cfRule type="expression" dxfId="108" priority="1">
      <formula>$F67="Fail"</formula>
    </cfRule>
  </conditionalFormatting>
  <dataValidations count="1">
    <dataValidation type="list" allowBlank="1" showInputMessage="1" showErrorMessage="1" sqref="F2:F113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formatting">
                <anchor moveWithCells="1" sizeWithCells="1">
                  <from>
                    <xdr:col>2</xdr:col>
                    <xdr:colOff>2114550</xdr:colOff>
                    <xdr:row>0</xdr:row>
                    <xdr:rowOff>57150</xdr:rowOff>
                  </from>
                  <to>
                    <xdr:col>2</xdr:col>
                    <xdr:colOff>2924175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52"/>
  <sheetViews>
    <sheetView zoomScaleNormal="100" workbookViewId="0">
      <pane ySplit="1" topLeftCell="A2" activePane="bottomLeft" state="frozen"/>
      <selection pane="bottomLeft" activeCell="F54" sqref="F54"/>
    </sheetView>
  </sheetViews>
  <sheetFormatPr defaultRowHeight="15" x14ac:dyDescent="0.25"/>
  <cols>
    <col min="1" max="1" width="11.28515625" style="4" bestFit="1" customWidth="1"/>
    <col min="2" max="2" width="48.5703125" style="1" customWidth="1"/>
    <col min="3" max="3" width="50.7109375" style="1" customWidth="1"/>
    <col min="4" max="4" width="39" style="1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2" width="39" style="1" customWidth="1"/>
    <col min="13" max="16384" width="9.140625" style="1"/>
  </cols>
  <sheetData>
    <row r="1" spans="1:12" ht="30" customHeight="1" x14ac:dyDescent="0.25">
      <c r="A1" s="10" t="s">
        <v>1</v>
      </c>
      <c r="B1" s="11" t="s">
        <v>11</v>
      </c>
      <c r="C1" s="11" t="s">
        <v>2</v>
      </c>
      <c r="D1" s="12" t="s">
        <v>4</v>
      </c>
      <c r="E1" s="12" t="s">
        <v>3</v>
      </c>
      <c r="F1" s="11" t="s">
        <v>0</v>
      </c>
      <c r="G1" s="12" t="s">
        <v>5</v>
      </c>
      <c r="H1" s="12" t="s">
        <v>6</v>
      </c>
      <c r="I1" s="12"/>
      <c r="J1" s="12" t="s">
        <v>7</v>
      </c>
      <c r="K1" s="12" t="s">
        <v>8</v>
      </c>
      <c r="L1" s="12" t="s">
        <v>12</v>
      </c>
    </row>
    <row r="2" spans="1:12" s="20" customFormat="1" x14ac:dyDescent="0.25">
      <c r="A2" s="16">
        <v>1</v>
      </c>
      <c r="B2" s="17" t="s">
        <v>14</v>
      </c>
      <c r="C2" s="18"/>
      <c r="D2" s="17"/>
      <c r="E2" s="17"/>
      <c r="F2" s="19"/>
      <c r="G2" s="19"/>
      <c r="H2" s="19"/>
      <c r="I2" s="19"/>
      <c r="J2" s="19"/>
      <c r="K2" s="19"/>
      <c r="L2" s="17"/>
    </row>
    <row r="3" spans="1:12" ht="38.25" x14ac:dyDescent="0.25">
      <c r="A3" s="5">
        <v>1</v>
      </c>
      <c r="B3" s="6" t="s">
        <v>104</v>
      </c>
      <c r="C3" s="9" t="s">
        <v>108</v>
      </c>
      <c r="D3" s="7"/>
      <c r="E3" s="6"/>
      <c r="F3" s="8" t="s">
        <v>5</v>
      </c>
      <c r="G3" s="8">
        <f t="shared" ref="G3:K18" si="0">IF($F3=G$1,1,0)</f>
        <v>1</v>
      </c>
      <c r="H3" s="8">
        <f t="shared" si="0"/>
        <v>0</v>
      </c>
      <c r="I3" s="8">
        <f t="shared" si="0"/>
        <v>0</v>
      </c>
      <c r="J3" s="8">
        <f t="shared" si="0"/>
        <v>0</v>
      </c>
      <c r="K3" s="8">
        <f t="shared" si="0"/>
        <v>0</v>
      </c>
      <c r="L3" s="7"/>
    </row>
    <row r="4" spans="1:12" x14ac:dyDescent="0.25">
      <c r="A4" s="5">
        <f t="shared" ref="A4:A50" si="1">A3+0.0001</f>
        <v>1.0001</v>
      </c>
      <c r="B4" s="6" t="s">
        <v>109</v>
      </c>
      <c r="C4" s="9" t="s">
        <v>110</v>
      </c>
      <c r="D4" s="7"/>
      <c r="E4" s="6"/>
      <c r="F4" s="8" t="s">
        <v>5</v>
      </c>
      <c r="G4" s="8">
        <f t="shared" si="0"/>
        <v>1</v>
      </c>
      <c r="H4" s="8">
        <f t="shared" si="0"/>
        <v>0</v>
      </c>
      <c r="I4" s="8">
        <f t="shared" si="0"/>
        <v>0</v>
      </c>
      <c r="J4" s="8">
        <f t="shared" si="0"/>
        <v>0</v>
      </c>
      <c r="K4" s="8">
        <f t="shared" si="0"/>
        <v>0</v>
      </c>
      <c r="L4" s="7"/>
    </row>
    <row r="5" spans="1:12" x14ac:dyDescent="0.25">
      <c r="A5" s="5">
        <f t="shared" si="1"/>
        <v>1.0002</v>
      </c>
      <c r="B5" s="6" t="s">
        <v>120</v>
      </c>
      <c r="C5" s="9" t="s">
        <v>111</v>
      </c>
      <c r="D5" s="7"/>
      <c r="E5" s="6"/>
      <c r="F5" s="8" t="s">
        <v>5</v>
      </c>
      <c r="G5" s="8">
        <f t="shared" si="0"/>
        <v>1</v>
      </c>
      <c r="H5" s="8">
        <f t="shared" si="0"/>
        <v>0</v>
      </c>
      <c r="I5" s="8">
        <f t="shared" si="0"/>
        <v>0</v>
      </c>
      <c r="J5" s="8">
        <f t="shared" si="0"/>
        <v>0</v>
      </c>
      <c r="K5" s="8">
        <f t="shared" si="0"/>
        <v>0</v>
      </c>
      <c r="L5" s="7"/>
    </row>
    <row r="6" spans="1:12" x14ac:dyDescent="0.25">
      <c r="A6" s="5">
        <f t="shared" si="1"/>
        <v>1.0003</v>
      </c>
      <c r="B6" s="6" t="s">
        <v>121</v>
      </c>
      <c r="C6" s="6" t="s">
        <v>112</v>
      </c>
      <c r="D6" s="7"/>
      <c r="E6" s="7"/>
      <c r="F6" s="8" t="s">
        <v>5</v>
      </c>
      <c r="G6" s="8">
        <f t="shared" si="0"/>
        <v>1</v>
      </c>
      <c r="H6" s="8">
        <f t="shared" si="0"/>
        <v>0</v>
      </c>
      <c r="I6" s="8">
        <f t="shared" si="0"/>
        <v>0</v>
      </c>
      <c r="J6" s="8">
        <f t="shared" si="0"/>
        <v>0</v>
      </c>
      <c r="K6" s="8">
        <f t="shared" si="0"/>
        <v>0</v>
      </c>
      <c r="L6" s="7"/>
    </row>
    <row r="7" spans="1:12" x14ac:dyDescent="0.25">
      <c r="A7" s="5">
        <f t="shared" si="1"/>
        <v>1.0004</v>
      </c>
      <c r="B7" s="6" t="s">
        <v>122</v>
      </c>
      <c r="C7" s="6" t="s">
        <v>113</v>
      </c>
      <c r="D7" s="7"/>
      <c r="E7" s="7"/>
      <c r="F7" s="8" t="s">
        <v>5</v>
      </c>
      <c r="G7" s="8">
        <f t="shared" si="0"/>
        <v>1</v>
      </c>
      <c r="H7" s="8">
        <f t="shared" si="0"/>
        <v>0</v>
      </c>
      <c r="I7" s="8">
        <f t="shared" si="0"/>
        <v>0</v>
      </c>
      <c r="J7" s="8">
        <f t="shared" si="0"/>
        <v>0</v>
      </c>
      <c r="K7" s="8">
        <f t="shared" si="0"/>
        <v>0</v>
      </c>
      <c r="L7" s="7"/>
    </row>
    <row r="8" spans="1:12" x14ac:dyDescent="0.25">
      <c r="A8" s="5">
        <f t="shared" si="1"/>
        <v>1.0004999999999999</v>
      </c>
      <c r="B8" s="6" t="s">
        <v>123</v>
      </c>
      <c r="C8" s="6" t="s">
        <v>114</v>
      </c>
      <c r="D8" s="7"/>
      <c r="E8" s="7"/>
      <c r="F8" s="8" t="s">
        <v>5</v>
      </c>
      <c r="G8" s="8">
        <f t="shared" si="0"/>
        <v>1</v>
      </c>
      <c r="H8" s="8">
        <f t="shared" si="0"/>
        <v>0</v>
      </c>
      <c r="I8" s="8">
        <f t="shared" si="0"/>
        <v>0</v>
      </c>
      <c r="J8" s="8">
        <f t="shared" si="0"/>
        <v>0</v>
      </c>
      <c r="K8" s="8">
        <f t="shared" si="0"/>
        <v>0</v>
      </c>
      <c r="L8" s="7"/>
    </row>
    <row r="9" spans="1:12" x14ac:dyDescent="0.25">
      <c r="A9" s="5">
        <f t="shared" si="1"/>
        <v>1.0005999999999999</v>
      </c>
      <c r="B9" s="6" t="s">
        <v>124</v>
      </c>
      <c r="C9" s="6" t="s">
        <v>115</v>
      </c>
      <c r="D9" s="7"/>
      <c r="E9" s="7"/>
      <c r="F9" s="8" t="s">
        <v>5</v>
      </c>
      <c r="G9" s="8">
        <f t="shared" si="0"/>
        <v>1</v>
      </c>
      <c r="H9" s="8">
        <f t="shared" si="0"/>
        <v>0</v>
      </c>
      <c r="I9" s="8">
        <f t="shared" si="0"/>
        <v>0</v>
      </c>
      <c r="J9" s="8">
        <f t="shared" si="0"/>
        <v>0</v>
      </c>
      <c r="K9" s="8">
        <f t="shared" si="0"/>
        <v>0</v>
      </c>
      <c r="L9" s="7"/>
    </row>
    <row r="10" spans="1:12" x14ac:dyDescent="0.25">
      <c r="A10" s="5">
        <f t="shared" si="1"/>
        <v>1.0006999999999999</v>
      </c>
      <c r="B10" s="6" t="s">
        <v>125</v>
      </c>
      <c r="C10" s="6" t="s">
        <v>116</v>
      </c>
      <c r="D10" s="7"/>
      <c r="E10" s="7"/>
      <c r="F10" s="8" t="s">
        <v>5</v>
      </c>
      <c r="G10" s="8">
        <f t="shared" si="0"/>
        <v>1</v>
      </c>
      <c r="H10" s="8">
        <f t="shared" si="0"/>
        <v>0</v>
      </c>
      <c r="I10" s="8">
        <f t="shared" si="0"/>
        <v>0</v>
      </c>
      <c r="J10" s="8">
        <f t="shared" si="0"/>
        <v>0</v>
      </c>
      <c r="K10" s="8">
        <f t="shared" si="0"/>
        <v>0</v>
      </c>
      <c r="L10" s="7"/>
    </row>
    <row r="11" spans="1:12" x14ac:dyDescent="0.25">
      <c r="A11" s="5">
        <f t="shared" si="1"/>
        <v>1.0007999999999999</v>
      </c>
      <c r="B11" s="6" t="s">
        <v>126</v>
      </c>
      <c r="C11" s="6" t="s">
        <v>117</v>
      </c>
      <c r="D11" s="7"/>
      <c r="E11" s="7"/>
      <c r="F11" s="8" t="s">
        <v>5</v>
      </c>
      <c r="G11" s="8">
        <f t="shared" si="0"/>
        <v>1</v>
      </c>
      <c r="H11" s="8">
        <f t="shared" si="0"/>
        <v>0</v>
      </c>
      <c r="I11" s="8">
        <f t="shared" si="0"/>
        <v>0</v>
      </c>
      <c r="J11" s="8">
        <f t="shared" si="0"/>
        <v>0</v>
      </c>
      <c r="K11" s="8">
        <f t="shared" si="0"/>
        <v>0</v>
      </c>
      <c r="L11" s="7"/>
    </row>
    <row r="12" spans="1:12" x14ac:dyDescent="0.25">
      <c r="A12" s="5">
        <f t="shared" si="1"/>
        <v>1.0008999999999999</v>
      </c>
      <c r="B12" s="6" t="s">
        <v>127</v>
      </c>
      <c r="C12" s="6" t="s">
        <v>118</v>
      </c>
      <c r="D12" s="7"/>
      <c r="E12" s="7"/>
      <c r="F12" s="8" t="s">
        <v>5</v>
      </c>
      <c r="G12" s="8">
        <f t="shared" si="0"/>
        <v>1</v>
      </c>
      <c r="H12" s="8">
        <f t="shared" si="0"/>
        <v>0</v>
      </c>
      <c r="I12" s="8">
        <f t="shared" si="0"/>
        <v>0</v>
      </c>
      <c r="J12" s="8">
        <f t="shared" si="0"/>
        <v>0</v>
      </c>
      <c r="K12" s="8">
        <f t="shared" si="0"/>
        <v>0</v>
      </c>
      <c r="L12" s="7"/>
    </row>
    <row r="13" spans="1:12" x14ac:dyDescent="0.25">
      <c r="A13" s="5">
        <f t="shared" si="1"/>
        <v>1.0009999999999999</v>
      </c>
      <c r="B13" s="6" t="s">
        <v>128</v>
      </c>
      <c r="C13" s="6" t="s">
        <v>119</v>
      </c>
      <c r="D13" s="7"/>
      <c r="E13" s="7"/>
      <c r="F13" s="8" t="s">
        <v>5</v>
      </c>
      <c r="G13" s="8">
        <f t="shared" si="0"/>
        <v>1</v>
      </c>
      <c r="H13" s="8">
        <f t="shared" si="0"/>
        <v>0</v>
      </c>
      <c r="I13" s="8">
        <f t="shared" si="0"/>
        <v>0</v>
      </c>
      <c r="J13" s="8">
        <f t="shared" si="0"/>
        <v>0</v>
      </c>
      <c r="K13" s="8">
        <f t="shared" si="0"/>
        <v>0</v>
      </c>
      <c r="L13" s="7"/>
    </row>
    <row r="14" spans="1:12" s="20" customFormat="1" x14ac:dyDescent="0.25">
      <c r="A14" s="16">
        <v>2</v>
      </c>
      <c r="B14" s="39" t="s">
        <v>136</v>
      </c>
      <c r="C14" s="18"/>
      <c r="D14" s="17"/>
      <c r="E14" s="17"/>
      <c r="F14" s="19"/>
      <c r="G14" s="19"/>
      <c r="H14" s="19"/>
      <c r="I14" s="19"/>
      <c r="J14" s="19"/>
      <c r="K14" s="19"/>
      <c r="L14" s="17"/>
    </row>
    <row r="15" spans="1:12" ht="25.5" x14ac:dyDescent="0.25">
      <c r="A15" s="25">
        <f t="shared" si="1"/>
        <v>2.0001000000000002</v>
      </c>
      <c r="B15" s="27" t="s">
        <v>111</v>
      </c>
      <c r="C15" s="28">
        <v>10014607</v>
      </c>
      <c r="D15" s="7" t="s">
        <v>290</v>
      </c>
      <c r="E15" s="6"/>
      <c r="F15" s="8" t="s">
        <v>5</v>
      </c>
      <c r="G15" s="8">
        <f t="shared" si="0"/>
        <v>1</v>
      </c>
      <c r="H15" s="8">
        <f t="shared" si="0"/>
        <v>0</v>
      </c>
      <c r="I15" s="8">
        <f t="shared" si="0"/>
        <v>0</v>
      </c>
      <c r="J15" s="8">
        <f t="shared" si="0"/>
        <v>0</v>
      </c>
      <c r="K15" s="8">
        <f t="shared" si="0"/>
        <v>0</v>
      </c>
      <c r="L15" s="7"/>
    </row>
    <row r="16" spans="1:12" x14ac:dyDescent="0.25">
      <c r="A16" s="25">
        <f t="shared" si="1"/>
        <v>2.0002000000000004</v>
      </c>
      <c r="B16" s="29" t="s">
        <v>112</v>
      </c>
      <c r="C16" s="28" t="s">
        <v>130</v>
      </c>
      <c r="D16" s="7"/>
      <c r="E16" s="6"/>
      <c r="F16" s="8" t="s">
        <v>5</v>
      </c>
      <c r="G16" s="8">
        <f t="shared" si="0"/>
        <v>1</v>
      </c>
      <c r="H16" s="8">
        <f t="shared" si="0"/>
        <v>0</v>
      </c>
      <c r="I16" s="8">
        <f t="shared" si="0"/>
        <v>0</v>
      </c>
      <c r="J16" s="8">
        <f t="shared" si="0"/>
        <v>0</v>
      </c>
      <c r="K16" s="8">
        <f t="shared" si="0"/>
        <v>0</v>
      </c>
      <c r="L16" s="7"/>
    </row>
    <row r="17" spans="1:12" x14ac:dyDescent="0.25">
      <c r="A17" s="25">
        <f t="shared" si="1"/>
        <v>2.0003000000000006</v>
      </c>
      <c r="B17" s="29" t="s">
        <v>113</v>
      </c>
      <c r="C17" s="28">
        <v>10011594</v>
      </c>
      <c r="D17" s="7"/>
      <c r="E17" s="6"/>
      <c r="F17" s="8" t="s">
        <v>5</v>
      </c>
      <c r="G17" s="8">
        <f t="shared" si="0"/>
        <v>1</v>
      </c>
      <c r="H17" s="8">
        <f t="shared" si="0"/>
        <v>0</v>
      </c>
      <c r="I17" s="8">
        <f t="shared" si="0"/>
        <v>0</v>
      </c>
      <c r="J17" s="8">
        <f t="shared" si="0"/>
        <v>0</v>
      </c>
      <c r="K17" s="8">
        <f t="shared" si="0"/>
        <v>0</v>
      </c>
      <c r="L17" s="7"/>
    </row>
    <row r="18" spans="1:12" x14ac:dyDescent="0.25">
      <c r="A18" s="25">
        <f>A16+0.0001</f>
        <v>2.0003000000000006</v>
      </c>
      <c r="B18" s="29" t="s">
        <v>114</v>
      </c>
      <c r="C18" s="28" t="s">
        <v>130</v>
      </c>
      <c r="D18" s="7"/>
      <c r="E18" s="6"/>
      <c r="F18" s="8" t="s">
        <v>5</v>
      </c>
      <c r="G18" s="8">
        <f t="shared" si="0"/>
        <v>1</v>
      </c>
      <c r="H18" s="8">
        <f t="shared" si="0"/>
        <v>0</v>
      </c>
      <c r="I18" s="8">
        <f t="shared" si="0"/>
        <v>0</v>
      </c>
      <c r="J18" s="8">
        <f t="shared" si="0"/>
        <v>0</v>
      </c>
      <c r="K18" s="8">
        <f t="shared" si="0"/>
        <v>0</v>
      </c>
      <c r="L18" s="7"/>
    </row>
    <row r="19" spans="1:12" x14ac:dyDescent="0.25">
      <c r="A19" s="25">
        <f>A16+0.0001</f>
        <v>2.0003000000000006</v>
      </c>
      <c r="B19" s="29" t="s">
        <v>115</v>
      </c>
      <c r="C19" s="26" t="s">
        <v>291</v>
      </c>
      <c r="D19" s="21"/>
      <c r="E19" s="6"/>
      <c r="F19" s="8" t="s">
        <v>5</v>
      </c>
      <c r="G19" s="8">
        <f t="shared" ref="G19:K50" si="2">IF($F19=G$1,1,0)</f>
        <v>1</v>
      </c>
      <c r="H19" s="8">
        <f t="shared" si="2"/>
        <v>0</v>
      </c>
      <c r="I19" s="8">
        <f t="shared" si="2"/>
        <v>0</v>
      </c>
      <c r="J19" s="8">
        <f t="shared" si="2"/>
        <v>0</v>
      </c>
      <c r="K19" s="8">
        <f t="shared" si="2"/>
        <v>0</v>
      </c>
      <c r="L19" s="7"/>
    </row>
    <row r="20" spans="1:12" x14ac:dyDescent="0.25">
      <c r="A20" s="25">
        <f t="shared" si="1"/>
        <v>2.0004000000000008</v>
      </c>
      <c r="B20" s="29" t="s">
        <v>116</v>
      </c>
      <c r="C20" s="26" t="s">
        <v>137</v>
      </c>
      <c r="D20" s="7"/>
      <c r="E20" s="7"/>
      <c r="F20" s="8" t="s">
        <v>5</v>
      </c>
      <c r="G20" s="8">
        <f t="shared" si="2"/>
        <v>1</v>
      </c>
      <c r="H20" s="8">
        <f t="shared" si="2"/>
        <v>0</v>
      </c>
      <c r="I20" s="8">
        <f t="shared" si="2"/>
        <v>0</v>
      </c>
      <c r="J20" s="8">
        <f t="shared" si="2"/>
        <v>0</v>
      </c>
      <c r="K20" s="8">
        <f t="shared" si="2"/>
        <v>0</v>
      </c>
      <c r="L20" s="7"/>
    </row>
    <row r="21" spans="1:12" x14ac:dyDescent="0.25">
      <c r="A21" s="25">
        <f t="shared" si="1"/>
        <v>2.0005000000000011</v>
      </c>
      <c r="B21" s="29" t="s">
        <v>117</v>
      </c>
      <c r="C21" t="s">
        <v>292</v>
      </c>
      <c r="D21" s="7"/>
      <c r="E21" s="7"/>
      <c r="F21" s="8" t="s">
        <v>5</v>
      </c>
      <c r="G21" s="8">
        <f t="shared" si="2"/>
        <v>1</v>
      </c>
      <c r="H21" s="8">
        <f t="shared" si="2"/>
        <v>0</v>
      </c>
      <c r="I21" s="8">
        <f t="shared" si="2"/>
        <v>0</v>
      </c>
      <c r="J21" s="8">
        <f t="shared" si="2"/>
        <v>0</v>
      </c>
      <c r="K21" s="8">
        <f t="shared" si="2"/>
        <v>0</v>
      </c>
      <c r="L21" s="7"/>
    </row>
    <row r="22" spans="1:12" x14ac:dyDescent="0.25">
      <c r="A22" s="25">
        <f t="shared" si="1"/>
        <v>2.0006000000000013</v>
      </c>
      <c r="B22" s="29" t="s">
        <v>118</v>
      </c>
      <c r="C22" s="26" t="s">
        <v>164</v>
      </c>
      <c r="D22" s="7"/>
      <c r="E22" s="7"/>
      <c r="F22" s="8" t="s">
        <v>5</v>
      </c>
      <c r="G22" s="8">
        <f t="shared" si="2"/>
        <v>1</v>
      </c>
      <c r="H22" s="8">
        <f t="shared" si="2"/>
        <v>0</v>
      </c>
      <c r="I22" s="8">
        <f t="shared" si="2"/>
        <v>0</v>
      </c>
      <c r="J22" s="8">
        <f t="shared" si="2"/>
        <v>0</v>
      </c>
      <c r="K22" s="8">
        <f t="shared" si="2"/>
        <v>0</v>
      </c>
      <c r="L22" s="7"/>
    </row>
    <row r="23" spans="1:12" x14ac:dyDescent="0.25">
      <c r="A23" s="25">
        <f t="shared" si="1"/>
        <v>2.0007000000000015</v>
      </c>
      <c r="B23" s="30" t="s">
        <v>119</v>
      </c>
      <c r="C23" s="26" t="s">
        <v>164</v>
      </c>
      <c r="D23" s="7"/>
      <c r="E23" s="7"/>
      <c r="F23" s="8" t="s">
        <v>5</v>
      </c>
      <c r="G23" s="8">
        <f t="shared" si="2"/>
        <v>1</v>
      </c>
      <c r="H23" s="8">
        <f t="shared" si="2"/>
        <v>0</v>
      </c>
      <c r="I23" s="8">
        <f t="shared" si="2"/>
        <v>0</v>
      </c>
      <c r="J23" s="8">
        <f t="shared" si="2"/>
        <v>0</v>
      </c>
      <c r="K23" s="8">
        <f t="shared" si="2"/>
        <v>0</v>
      </c>
      <c r="L23" s="7"/>
    </row>
    <row r="24" spans="1:12" x14ac:dyDescent="0.25">
      <c r="A24" s="5">
        <f t="shared" si="1"/>
        <v>2.0008000000000017</v>
      </c>
      <c r="B24" s="40" t="s">
        <v>138</v>
      </c>
      <c r="C24" s="6" t="s">
        <v>139</v>
      </c>
      <c r="D24" s="7"/>
      <c r="E24" s="7"/>
      <c r="F24" s="8" t="s">
        <v>5</v>
      </c>
      <c r="G24" s="8">
        <f t="shared" si="2"/>
        <v>1</v>
      </c>
      <c r="H24" s="8">
        <f t="shared" si="2"/>
        <v>0</v>
      </c>
      <c r="I24" s="8">
        <f t="shared" si="2"/>
        <v>0</v>
      </c>
      <c r="J24" s="8">
        <f t="shared" si="2"/>
        <v>0</v>
      </c>
      <c r="K24" s="8">
        <f t="shared" si="2"/>
        <v>0</v>
      </c>
      <c r="L24" s="7"/>
    </row>
    <row r="25" spans="1:12" x14ac:dyDescent="0.25">
      <c r="A25" s="5">
        <f t="shared" si="1"/>
        <v>2.0009000000000019</v>
      </c>
      <c r="B25" s="27" t="s">
        <v>140</v>
      </c>
      <c r="C25" s="6" t="s">
        <v>141</v>
      </c>
      <c r="D25" s="7"/>
      <c r="E25" s="7"/>
      <c r="F25" s="8" t="s">
        <v>5</v>
      </c>
      <c r="G25" s="8">
        <f t="shared" si="2"/>
        <v>1</v>
      </c>
      <c r="H25" s="8">
        <f t="shared" si="2"/>
        <v>0</v>
      </c>
      <c r="I25" s="8">
        <f t="shared" si="2"/>
        <v>0</v>
      </c>
      <c r="J25" s="8">
        <f t="shared" si="2"/>
        <v>0</v>
      </c>
      <c r="K25" s="8">
        <f t="shared" si="2"/>
        <v>0</v>
      </c>
      <c r="L25" s="7"/>
    </row>
    <row r="26" spans="1:12" x14ac:dyDescent="0.25">
      <c r="A26" s="25">
        <f t="shared" si="1"/>
        <v>2.0010000000000021</v>
      </c>
      <c r="B26" s="27" t="s">
        <v>142</v>
      </c>
      <c r="C26" s="26" t="s">
        <v>143</v>
      </c>
      <c r="D26" s="7"/>
      <c r="E26" s="7"/>
      <c r="F26" s="8" t="s">
        <v>5</v>
      </c>
      <c r="G26" s="8">
        <f t="shared" si="2"/>
        <v>1</v>
      </c>
      <c r="H26" s="8">
        <f t="shared" si="2"/>
        <v>0</v>
      </c>
      <c r="I26" s="8">
        <f t="shared" si="2"/>
        <v>0</v>
      </c>
      <c r="J26" s="8">
        <f t="shared" si="2"/>
        <v>0</v>
      </c>
      <c r="K26" s="8">
        <f t="shared" si="2"/>
        <v>0</v>
      </c>
      <c r="L26" s="7"/>
    </row>
    <row r="27" spans="1:12" x14ac:dyDescent="0.25">
      <c r="A27" s="25">
        <f t="shared" si="1"/>
        <v>2.0011000000000023</v>
      </c>
      <c r="B27" s="29"/>
      <c r="C27" s="26" t="s">
        <v>144</v>
      </c>
      <c r="D27" s="47">
        <v>0</v>
      </c>
      <c r="E27" s="7"/>
      <c r="F27" s="8" t="s">
        <v>5</v>
      </c>
      <c r="G27" s="8">
        <f t="shared" si="2"/>
        <v>1</v>
      </c>
      <c r="H27" s="8">
        <f t="shared" si="2"/>
        <v>0</v>
      </c>
      <c r="I27" s="8">
        <f t="shared" si="2"/>
        <v>0</v>
      </c>
      <c r="J27" s="8">
        <f t="shared" si="2"/>
        <v>0</v>
      </c>
      <c r="K27" s="8">
        <f t="shared" si="2"/>
        <v>0</v>
      </c>
      <c r="L27" s="7"/>
    </row>
    <row r="28" spans="1:12" x14ac:dyDescent="0.25">
      <c r="A28" s="25">
        <f t="shared" si="1"/>
        <v>2.0012000000000025</v>
      </c>
      <c r="B28" s="29"/>
      <c r="C28" s="26" t="s">
        <v>51</v>
      </c>
      <c r="D28" s="7" t="s">
        <v>293</v>
      </c>
      <c r="E28" s="7"/>
      <c r="F28" s="8" t="s">
        <v>5</v>
      </c>
      <c r="G28" s="8">
        <f t="shared" si="2"/>
        <v>1</v>
      </c>
      <c r="H28" s="8">
        <f t="shared" si="2"/>
        <v>0</v>
      </c>
      <c r="I28" s="8">
        <f t="shared" si="2"/>
        <v>0</v>
      </c>
      <c r="J28" s="8">
        <f t="shared" si="2"/>
        <v>0</v>
      </c>
      <c r="K28" s="8">
        <f t="shared" si="2"/>
        <v>0</v>
      </c>
      <c r="L28" s="7"/>
    </row>
    <row r="29" spans="1:12" x14ac:dyDescent="0.25">
      <c r="A29" s="25">
        <f t="shared" si="1"/>
        <v>2.0013000000000027</v>
      </c>
      <c r="B29" s="29"/>
      <c r="C29" s="26" t="s">
        <v>145</v>
      </c>
      <c r="D29" s="7"/>
      <c r="E29" s="7"/>
      <c r="F29" s="8" t="s">
        <v>5</v>
      </c>
      <c r="G29" s="8">
        <f t="shared" si="2"/>
        <v>1</v>
      </c>
      <c r="H29" s="8">
        <f t="shared" si="2"/>
        <v>0</v>
      </c>
      <c r="I29" s="8">
        <f t="shared" si="2"/>
        <v>0</v>
      </c>
      <c r="J29" s="8">
        <f t="shared" si="2"/>
        <v>0</v>
      </c>
      <c r="K29" s="8">
        <f t="shared" si="2"/>
        <v>0</v>
      </c>
      <c r="L29" s="7"/>
    </row>
    <row r="30" spans="1:12" x14ac:dyDescent="0.25">
      <c r="A30" s="25">
        <f t="shared" si="1"/>
        <v>2.001400000000003</v>
      </c>
      <c r="B30" s="29"/>
      <c r="C30" s="26" t="s">
        <v>146</v>
      </c>
      <c r="D30" s="7"/>
      <c r="E30" s="7"/>
      <c r="F30" s="8" t="s">
        <v>5</v>
      </c>
      <c r="G30" s="8">
        <f t="shared" si="2"/>
        <v>1</v>
      </c>
      <c r="H30" s="8">
        <f t="shared" si="2"/>
        <v>0</v>
      </c>
      <c r="I30" s="8">
        <f t="shared" si="2"/>
        <v>0</v>
      </c>
      <c r="J30" s="8">
        <f t="shared" si="2"/>
        <v>0</v>
      </c>
      <c r="K30" s="8">
        <f t="shared" si="2"/>
        <v>0</v>
      </c>
      <c r="L30" s="7"/>
    </row>
    <row r="31" spans="1:12" x14ac:dyDescent="0.25">
      <c r="A31" s="25">
        <f t="shared" si="1"/>
        <v>2.0015000000000032</v>
      </c>
      <c r="B31" s="29"/>
      <c r="C31" s="26" t="s">
        <v>147</v>
      </c>
      <c r="D31" s="48">
        <v>0</v>
      </c>
      <c r="E31" s="7"/>
      <c r="F31" s="8" t="s">
        <v>5</v>
      </c>
      <c r="G31" s="8">
        <f t="shared" si="2"/>
        <v>1</v>
      </c>
      <c r="H31" s="8">
        <f t="shared" si="2"/>
        <v>0</v>
      </c>
      <c r="I31" s="8">
        <f t="shared" si="2"/>
        <v>0</v>
      </c>
      <c r="J31" s="8">
        <f t="shared" si="2"/>
        <v>0</v>
      </c>
      <c r="K31" s="8">
        <f t="shared" si="2"/>
        <v>0</v>
      </c>
      <c r="L31" s="7"/>
    </row>
    <row r="32" spans="1:12" x14ac:dyDescent="0.25">
      <c r="A32" s="25">
        <f t="shared" si="1"/>
        <v>2.0016000000000034</v>
      </c>
      <c r="B32" s="29"/>
      <c r="C32" s="26" t="s">
        <v>148</v>
      </c>
      <c r="D32" s="7" t="s">
        <v>294</v>
      </c>
      <c r="E32" s="7"/>
      <c r="F32" s="8" t="s">
        <v>5</v>
      </c>
      <c r="G32" s="8">
        <f t="shared" si="2"/>
        <v>1</v>
      </c>
      <c r="H32" s="8">
        <f t="shared" si="2"/>
        <v>0</v>
      </c>
      <c r="I32" s="8">
        <f t="shared" si="2"/>
        <v>0</v>
      </c>
      <c r="J32" s="8">
        <f t="shared" si="2"/>
        <v>0</v>
      </c>
      <c r="K32" s="8">
        <f t="shared" si="2"/>
        <v>0</v>
      </c>
      <c r="L32" s="7"/>
    </row>
    <row r="33" spans="1:12" x14ac:dyDescent="0.25">
      <c r="A33" s="25">
        <f t="shared" si="1"/>
        <v>2.0017000000000036</v>
      </c>
      <c r="B33" s="29"/>
      <c r="C33" s="26" t="s">
        <v>149</v>
      </c>
      <c r="D33" s="7" t="s">
        <v>295</v>
      </c>
      <c r="E33" s="7"/>
      <c r="F33" s="8" t="s">
        <v>5</v>
      </c>
      <c r="G33" s="8">
        <f t="shared" si="2"/>
        <v>1</v>
      </c>
      <c r="H33" s="8">
        <f t="shared" si="2"/>
        <v>0</v>
      </c>
      <c r="I33" s="8">
        <f t="shared" si="2"/>
        <v>0</v>
      </c>
      <c r="J33" s="8">
        <f t="shared" si="2"/>
        <v>0</v>
      </c>
      <c r="K33" s="8">
        <f t="shared" si="2"/>
        <v>0</v>
      </c>
      <c r="L33" s="7"/>
    </row>
    <row r="34" spans="1:12" x14ac:dyDescent="0.25">
      <c r="A34" s="25">
        <f t="shared" si="1"/>
        <v>2.0018000000000038</v>
      </c>
      <c r="B34" s="29"/>
      <c r="C34" s="26" t="s">
        <v>150</v>
      </c>
      <c r="D34" s="7"/>
      <c r="E34" s="7"/>
      <c r="F34" s="8" t="s">
        <v>5</v>
      </c>
      <c r="G34" s="8">
        <f t="shared" si="2"/>
        <v>1</v>
      </c>
      <c r="H34" s="8">
        <f t="shared" si="2"/>
        <v>0</v>
      </c>
      <c r="I34" s="8">
        <f t="shared" si="2"/>
        <v>0</v>
      </c>
      <c r="J34" s="8">
        <f t="shared" si="2"/>
        <v>0</v>
      </c>
      <c r="K34" s="8">
        <f t="shared" si="2"/>
        <v>0</v>
      </c>
      <c r="L34" s="7"/>
    </row>
    <row r="35" spans="1:12" x14ac:dyDescent="0.25">
      <c r="A35" s="25">
        <f t="shared" si="1"/>
        <v>2.001900000000004</v>
      </c>
      <c r="B35" s="29"/>
      <c r="C35" s="26" t="s">
        <v>151</v>
      </c>
      <c r="D35" s="7"/>
      <c r="E35" s="7"/>
      <c r="F35" s="8" t="s">
        <v>5</v>
      </c>
      <c r="G35" s="8">
        <f t="shared" si="2"/>
        <v>1</v>
      </c>
      <c r="H35" s="8">
        <f t="shared" si="2"/>
        <v>0</v>
      </c>
      <c r="I35" s="8">
        <f t="shared" si="2"/>
        <v>0</v>
      </c>
      <c r="J35" s="8">
        <f t="shared" si="2"/>
        <v>0</v>
      </c>
      <c r="K35" s="8">
        <f t="shared" si="2"/>
        <v>0</v>
      </c>
      <c r="L35" s="7"/>
    </row>
    <row r="36" spans="1:12" x14ac:dyDescent="0.25">
      <c r="A36" s="25">
        <f t="shared" si="1"/>
        <v>2.0020000000000042</v>
      </c>
      <c r="B36" s="29"/>
      <c r="C36" s="26" t="s">
        <v>152</v>
      </c>
      <c r="D36" s="48">
        <v>0</v>
      </c>
      <c r="E36" s="7"/>
      <c r="F36" s="8" t="s">
        <v>5</v>
      </c>
      <c r="G36" s="8">
        <f t="shared" si="2"/>
        <v>1</v>
      </c>
      <c r="H36" s="8">
        <f t="shared" si="2"/>
        <v>0</v>
      </c>
      <c r="I36" s="8">
        <f t="shared" si="2"/>
        <v>0</v>
      </c>
      <c r="J36" s="8">
        <f t="shared" si="2"/>
        <v>0</v>
      </c>
      <c r="K36" s="8">
        <f t="shared" si="2"/>
        <v>0</v>
      </c>
      <c r="L36" s="7"/>
    </row>
    <row r="37" spans="1:12" x14ac:dyDescent="0.25">
      <c r="A37" s="25">
        <f t="shared" si="1"/>
        <v>2.0021000000000044</v>
      </c>
      <c r="B37" s="27" t="s">
        <v>153</v>
      </c>
      <c r="C37" s="26" t="s">
        <v>154</v>
      </c>
      <c r="D37" s="7"/>
      <c r="E37" s="7"/>
      <c r="F37" s="8" t="s">
        <v>5</v>
      </c>
      <c r="G37" s="8">
        <f t="shared" si="2"/>
        <v>1</v>
      </c>
      <c r="H37" s="8">
        <f t="shared" si="2"/>
        <v>0</v>
      </c>
      <c r="I37" s="8">
        <f t="shared" si="2"/>
        <v>0</v>
      </c>
      <c r="J37" s="8">
        <f t="shared" si="2"/>
        <v>0</v>
      </c>
      <c r="K37" s="8">
        <f t="shared" si="2"/>
        <v>0</v>
      </c>
      <c r="L37" s="7"/>
    </row>
    <row r="38" spans="1:12" x14ac:dyDescent="0.25">
      <c r="A38" s="25">
        <f t="shared" si="1"/>
        <v>2.0022000000000046</v>
      </c>
      <c r="B38" s="29"/>
      <c r="C38" s="26" t="s">
        <v>72</v>
      </c>
      <c r="D38" s="7"/>
      <c r="E38" s="7"/>
      <c r="F38" s="8" t="s">
        <v>5</v>
      </c>
      <c r="G38" s="8">
        <f t="shared" si="2"/>
        <v>1</v>
      </c>
      <c r="H38" s="8">
        <f t="shared" si="2"/>
        <v>0</v>
      </c>
      <c r="I38" s="8">
        <f t="shared" si="2"/>
        <v>0</v>
      </c>
      <c r="J38" s="8">
        <f t="shared" si="2"/>
        <v>0</v>
      </c>
      <c r="K38" s="8">
        <f t="shared" si="2"/>
        <v>0</v>
      </c>
      <c r="L38" s="7"/>
    </row>
    <row r="39" spans="1:12" x14ac:dyDescent="0.25">
      <c r="A39" s="25">
        <f t="shared" si="1"/>
        <v>2.0023000000000049</v>
      </c>
      <c r="B39" s="29"/>
      <c r="C39" s="26" t="s">
        <v>155</v>
      </c>
      <c r="D39" s="7"/>
      <c r="E39" s="7"/>
      <c r="F39" s="8" t="s">
        <v>5</v>
      </c>
      <c r="G39" s="8">
        <f t="shared" si="2"/>
        <v>1</v>
      </c>
      <c r="H39" s="8">
        <f t="shared" si="2"/>
        <v>0</v>
      </c>
      <c r="I39" s="8">
        <f t="shared" si="2"/>
        <v>0</v>
      </c>
      <c r="J39" s="8">
        <f t="shared" si="2"/>
        <v>0</v>
      </c>
      <c r="K39" s="8">
        <f t="shared" si="2"/>
        <v>0</v>
      </c>
      <c r="L39" s="7"/>
    </row>
    <row r="40" spans="1:12" x14ac:dyDescent="0.25">
      <c r="A40" s="25">
        <f t="shared" si="1"/>
        <v>2.0024000000000051</v>
      </c>
      <c r="B40" s="29"/>
      <c r="C40" s="26" t="s">
        <v>4</v>
      </c>
      <c r="D40" s="7"/>
      <c r="E40" s="7"/>
      <c r="F40" s="8" t="s">
        <v>5</v>
      </c>
      <c r="G40" s="8">
        <f t="shared" si="2"/>
        <v>1</v>
      </c>
      <c r="H40" s="8">
        <f t="shared" si="2"/>
        <v>0</v>
      </c>
      <c r="I40" s="8">
        <f t="shared" si="2"/>
        <v>0</v>
      </c>
      <c r="J40" s="8">
        <f t="shared" si="2"/>
        <v>0</v>
      </c>
      <c r="K40" s="8">
        <f t="shared" si="2"/>
        <v>0</v>
      </c>
      <c r="L40" s="7"/>
    </row>
    <row r="41" spans="1:12" x14ac:dyDescent="0.25">
      <c r="A41" s="25">
        <f t="shared" si="1"/>
        <v>2.0025000000000053</v>
      </c>
      <c r="B41" s="29"/>
      <c r="C41" s="28" t="s">
        <v>296</v>
      </c>
      <c r="D41" s="7"/>
      <c r="E41" s="7"/>
      <c r="F41" s="8" t="s">
        <v>5</v>
      </c>
      <c r="G41" s="8">
        <f t="shared" si="2"/>
        <v>1</v>
      </c>
      <c r="H41" s="8">
        <f t="shared" si="2"/>
        <v>0</v>
      </c>
      <c r="I41" s="8">
        <f t="shared" si="2"/>
        <v>0</v>
      </c>
      <c r="J41" s="8">
        <f t="shared" si="2"/>
        <v>0</v>
      </c>
      <c r="K41" s="8">
        <f t="shared" si="2"/>
        <v>0</v>
      </c>
      <c r="L41" s="7"/>
    </row>
    <row r="42" spans="1:12" x14ac:dyDescent="0.25">
      <c r="A42" s="25">
        <f t="shared" si="1"/>
        <v>2.0026000000000055</v>
      </c>
      <c r="B42" s="30"/>
      <c r="C42" s="26" t="s">
        <v>156</v>
      </c>
      <c r="D42" s="7"/>
      <c r="E42" s="7"/>
      <c r="F42" s="8" t="s">
        <v>5</v>
      </c>
      <c r="G42" s="8">
        <f t="shared" si="2"/>
        <v>1</v>
      </c>
      <c r="H42" s="8">
        <f t="shared" si="2"/>
        <v>0</v>
      </c>
      <c r="I42" s="8">
        <f t="shared" si="2"/>
        <v>0</v>
      </c>
      <c r="J42" s="8">
        <f t="shared" si="2"/>
        <v>0</v>
      </c>
      <c r="K42" s="8">
        <f t="shared" si="2"/>
        <v>0</v>
      </c>
      <c r="L42" s="7"/>
    </row>
    <row r="43" spans="1:12" ht="51" x14ac:dyDescent="0.25">
      <c r="A43" s="5">
        <f t="shared" si="1"/>
        <v>2.0027000000000057</v>
      </c>
      <c r="B43" s="30" t="s">
        <v>157</v>
      </c>
      <c r="C43" s="6" t="s">
        <v>163</v>
      </c>
      <c r="D43" s="7"/>
      <c r="E43" s="7" t="s">
        <v>325</v>
      </c>
      <c r="F43" s="8" t="s">
        <v>7</v>
      </c>
      <c r="G43" s="8">
        <f t="shared" si="2"/>
        <v>0</v>
      </c>
      <c r="H43" s="8">
        <f t="shared" si="2"/>
        <v>0</v>
      </c>
      <c r="I43" s="8">
        <f t="shared" si="2"/>
        <v>0</v>
      </c>
      <c r="J43" s="8">
        <f t="shared" si="2"/>
        <v>1</v>
      </c>
      <c r="K43" s="8">
        <f t="shared" si="2"/>
        <v>0</v>
      </c>
      <c r="L43" s="7"/>
    </row>
    <row r="44" spans="1:12" x14ac:dyDescent="0.25">
      <c r="A44" s="5">
        <f t="shared" si="1"/>
        <v>2.0028000000000059</v>
      </c>
      <c r="B44" s="6" t="s">
        <v>158</v>
      </c>
      <c r="C44" s="6" t="s">
        <v>163</v>
      </c>
      <c r="D44" s="7"/>
      <c r="E44" s="7"/>
      <c r="F44" s="8" t="s">
        <v>7</v>
      </c>
      <c r="G44" s="8">
        <f t="shared" si="2"/>
        <v>0</v>
      </c>
      <c r="H44" s="8">
        <f t="shared" si="2"/>
        <v>0</v>
      </c>
      <c r="I44" s="8">
        <f t="shared" si="2"/>
        <v>0</v>
      </c>
      <c r="J44" s="8">
        <f t="shared" si="2"/>
        <v>1</v>
      </c>
      <c r="K44" s="8">
        <f t="shared" si="2"/>
        <v>0</v>
      </c>
      <c r="L44" s="7"/>
    </row>
    <row r="45" spans="1:12" x14ac:dyDescent="0.25">
      <c r="A45" s="5">
        <f t="shared" si="1"/>
        <v>2.0029000000000061</v>
      </c>
      <c r="B45" s="6" t="s">
        <v>159</v>
      </c>
      <c r="C45" s="6" t="s">
        <v>163</v>
      </c>
      <c r="D45" s="7"/>
      <c r="E45" s="7"/>
      <c r="F45" s="8" t="s">
        <v>7</v>
      </c>
      <c r="G45" s="8">
        <f t="shared" si="2"/>
        <v>0</v>
      </c>
      <c r="H45" s="8">
        <f t="shared" si="2"/>
        <v>0</v>
      </c>
      <c r="I45" s="8">
        <f t="shared" si="2"/>
        <v>0</v>
      </c>
      <c r="J45" s="8">
        <f t="shared" si="2"/>
        <v>1</v>
      </c>
      <c r="K45" s="8">
        <f t="shared" si="2"/>
        <v>0</v>
      </c>
      <c r="L45" s="7"/>
    </row>
    <row r="46" spans="1:12" x14ac:dyDescent="0.25">
      <c r="A46" s="5">
        <f t="shared" si="1"/>
        <v>2.0030000000000063</v>
      </c>
      <c r="B46" s="6" t="s">
        <v>160</v>
      </c>
      <c r="C46" s="6" t="s">
        <v>163</v>
      </c>
      <c r="D46" s="7"/>
      <c r="E46" s="7"/>
      <c r="F46" s="8" t="s">
        <v>7</v>
      </c>
      <c r="G46" s="8">
        <f t="shared" si="2"/>
        <v>0</v>
      </c>
      <c r="H46" s="8">
        <f t="shared" si="2"/>
        <v>0</v>
      </c>
      <c r="I46" s="8">
        <f t="shared" si="2"/>
        <v>0</v>
      </c>
      <c r="J46" s="8">
        <f t="shared" si="2"/>
        <v>1</v>
      </c>
      <c r="K46" s="8">
        <f t="shared" si="2"/>
        <v>0</v>
      </c>
      <c r="L46" s="7"/>
    </row>
    <row r="47" spans="1:12" x14ac:dyDescent="0.25">
      <c r="A47" s="5">
        <f t="shared" si="1"/>
        <v>2.0031000000000065</v>
      </c>
      <c r="B47" s="6" t="s">
        <v>161</v>
      </c>
      <c r="C47" s="6" t="s">
        <v>163</v>
      </c>
      <c r="D47" s="7"/>
      <c r="E47" s="7"/>
      <c r="F47" s="8" t="s">
        <v>7</v>
      </c>
      <c r="G47" s="8">
        <f t="shared" si="2"/>
        <v>0</v>
      </c>
      <c r="H47" s="8">
        <f t="shared" si="2"/>
        <v>0</v>
      </c>
      <c r="I47" s="8">
        <f t="shared" si="2"/>
        <v>0</v>
      </c>
      <c r="J47" s="8">
        <f t="shared" si="2"/>
        <v>1</v>
      </c>
      <c r="K47" s="8">
        <f t="shared" si="2"/>
        <v>0</v>
      </c>
      <c r="L47" s="7"/>
    </row>
    <row r="48" spans="1:12" x14ac:dyDescent="0.25">
      <c r="A48" s="5">
        <f t="shared" si="1"/>
        <v>2.0032000000000068</v>
      </c>
      <c r="B48" s="6" t="s">
        <v>162</v>
      </c>
      <c r="C48" s="6" t="s">
        <v>163</v>
      </c>
      <c r="D48" s="7"/>
      <c r="E48" s="7"/>
      <c r="F48" s="8" t="s">
        <v>7</v>
      </c>
      <c r="G48" s="8">
        <f t="shared" si="2"/>
        <v>0</v>
      </c>
      <c r="H48" s="8">
        <f t="shared" si="2"/>
        <v>0</v>
      </c>
      <c r="I48" s="8">
        <f t="shared" si="2"/>
        <v>0</v>
      </c>
      <c r="J48" s="8">
        <f t="shared" si="2"/>
        <v>1</v>
      </c>
      <c r="K48" s="8">
        <f t="shared" si="2"/>
        <v>0</v>
      </c>
      <c r="L48" s="7"/>
    </row>
    <row r="49" spans="1:12" x14ac:dyDescent="0.25">
      <c r="A49" s="5">
        <f t="shared" si="1"/>
        <v>2.003300000000007</v>
      </c>
      <c r="B49" s="41" t="s">
        <v>93</v>
      </c>
      <c r="C49" s="6" t="s">
        <v>165</v>
      </c>
      <c r="D49" s="7"/>
      <c r="E49" s="7"/>
      <c r="F49" s="8" t="s">
        <v>7</v>
      </c>
      <c r="G49" s="8">
        <f t="shared" si="2"/>
        <v>0</v>
      </c>
      <c r="H49" s="8">
        <f t="shared" si="2"/>
        <v>0</v>
      </c>
      <c r="I49" s="8">
        <f t="shared" si="2"/>
        <v>0</v>
      </c>
      <c r="J49" s="8">
        <f t="shared" si="2"/>
        <v>1</v>
      </c>
      <c r="K49" s="8">
        <f t="shared" si="2"/>
        <v>0</v>
      </c>
      <c r="L49" s="7"/>
    </row>
    <row r="50" spans="1:12" x14ac:dyDescent="0.25">
      <c r="A50" s="5">
        <f t="shared" si="1"/>
        <v>2.0034000000000072</v>
      </c>
      <c r="B50" s="6"/>
      <c r="C50" s="6" t="s">
        <v>166</v>
      </c>
      <c r="D50" s="7"/>
      <c r="E50" s="7"/>
      <c r="F50" s="8" t="s">
        <v>7</v>
      </c>
      <c r="G50" s="8">
        <f t="shared" si="2"/>
        <v>0</v>
      </c>
      <c r="H50" s="8">
        <f t="shared" si="2"/>
        <v>0</v>
      </c>
      <c r="I50" s="8">
        <f t="shared" si="2"/>
        <v>0</v>
      </c>
      <c r="J50" s="8">
        <f t="shared" si="2"/>
        <v>1</v>
      </c>
      <c r="K50" s="8">
        <f t="shared" si="2"/>
        <v>0</v>
      </c>
      <c r="L50" s="7"/>
    </row>
    <row r="51" spans="1:12" ht="15.75" thickBot="1" x14ac:dyDescent="0.3">
      <c r="G51" s="2">
        <f>SUM(G2:G50)</f>
        <v>39</v>
      </c>
      <c r="H51" s="2">
        <f>SUM(H2:H50)</f>
        <v>0</v>
      </c>
      <c r="I51" s="2">
        <f>SUM(I2:I50)</f>
        <v>0</v>
      </c>
      <c r="J51" s="2">
        <f>SUM(J2:J50)</f>
        <v>8</v>
      </c>
      <c r="K51" s="2">
        <f>SUM(K2:K50)</f>
        <v>0</v>
      </c>
    </row>
    <row r="52" spans="1:12" ht="15.75" thickTop="1" x14ac:dyDescent="0.25"/>
  </sheetData>
  <conditionalFormatting sqref="A2:L13 A19:A50 A51:K68 L46:L68">
    <cfRule type="expression" dxfId="107" priority="24">
      <formula>$F2="Fail"</formula>
    </cfRule>
  </conditionalFormatting>
  <conditionalFormatting sqref="A14:K14 B19:E20 B18:C18 A15:E16 B21:C21 B38:C38 C43:C48 B39:E45">
    <cfRule type="expression" dxfId="106" priority="23">
      <formula>$F14="Fail"</formula>
    </cfRule>
  </conditionalFormatting>
  <conditionalFormatting sqref="B46:E50">
    <cfRule type="expression" dxfId="105" priority="22">
      <formula>$F46="Fail"</formula>
    </cfRule>
  </conditionalFormatting>
  <conditionalFormatting sqref="B30:C30 B39:C39 B31:E38">
    <cfRule type="expression" dxfId="104" priority="21">
      <formula>$F30="Fail"</formula>
    </cfRule>
  </conditionalFormatting>
  <conditionalFormatting sqref="B20:C20 B25:C25 B21:E24">
    <cfRule type="expression" dxfId="103" priority="20">
      <formula>$F20="Fail"</formula>
    </cfRule>
  </conditionalFormatting>
  <conditionalFormatting sqref="B24:C31 D25:E30">
    <cfRule type="expression" dxfId="102" priority="19">
      <formula>$F24="Fail"</formula>
    </cfRule>
  </conditionalFormatting>
  <conditionalFormatting sqref="A18:E18">
    <cfRule type="expression" dxfId="101" priority="18">
      <formula>$F18="Fail"</formula>
    </cfRule>
  </conditionalFormatting>
  <conditionalFormatting sqref="A17:E17">
    <cfRule type="expression" dxfId="100" priority="17">
      <formula>$F17="Fail"</formula>
    </cfRule>
  </conditionalFormatting>
  <conditionalFormatting sqref="B17:C17">
    <cfRule type="expression" dxfId="99" priority="16">
      <formula>$F17="Fail"</formula>
    </cfRule>
  </conditionalFormatting>
  <conditionalFormatting sqref="L39:L45 L19:L20 L14:L16">
    <cfRule type="expression" dxfId="98" priority="12">
      <formula>$F14="Fail"</formula>
    </cfRule>
  </conditionalFormatting>
  <conditionalFormatting sqref="L31:L38">
    <cfRule type="expression" dxfId="97" priority="10">
      <formula>$F31="Fail"</formula>
    </cfRule>
  </conditionalFormatting>
  <conditionalFormatting sqref="L21:L24">
    <cfRule type="expression" dxfId="96" priority="9">
      <formula>$F21="Fail"</formula>
    </cfRule>
  </conditionalFormatting>
  <conditionalFormatting sqref="L25:L30">
    <cfRule type="expression" dxfId="95" priority="8">
      <formula>$F25="Fail"</formula>
    </cfRule>
  </conditionalFormatting>
  <conditionalFormatting sqref="L18">
    <cfRule type="expression" dxfId="94" priority="7">
      <formula>$F18="Fail"</formula>
    </cfRule>
  </conditionalFormatting>
  <conditionalFormatting sqref="L17">
    <cfRule type="expression" dxfId="93" priority="6">
      <formula>$F17="Fail"</formula>
    </cfRule>
  </conditionalFormatting>
  <conditionalFormatting sqref="F15">
    <cfRule type="expression" dxfId="92" priority="5">
      <formula>$F15="Fail"</formula>
    </cfRule>
  </conditionalFormatting>
  <conditionalFormatting sqref="G15:K50">
    <cfRule type="expression" dxfId="91" priority="2">
      <formula>$F15="Fail"</formula>
    </cfRule>
  </conditionalFormatting>
  <conditionalFormatting sqref="F16:F50">
    <cfRule type="expression" dxfId="90" priority="1">
      <formula>$F16="Fail"</formula>
    </cfRule>
  </conditionalFormatting>
  <dataValidations count="1">
    <dataValidation type="list" allowBlank="1" showInputMessage="1" showErrorMessage="1" sqref="F2:F50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formatting">
                <anchor moveWithCells="1" sizeWithCells="1">
                  <from>
                    <xdr:col>2</xdr:col>
                    <xdr:colOff>2114550</xdr:colOff>
                    <xdr:row>0</xdr:row>
                    <xdr:rowOff>57150</xdr:rowOff>
                  </from>
                  <to>
                    <xdr:col>2</xdr:col>
                    <xdr:colOff>2924175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17"/>
  <sheetViews>
    <sheetView zoomScaleNormal="100" workbookViewId="0">
      <pane ySplit="1" topLeftCell="A5" activePane="bottomLeft" state="frozen"/>
      <selection pane="bottomLeft" activeCell="F4" sqref="F4:F15"/>
    </sheetView>
  </sheetViews>
  <sheetFormatPr defaultRowHeight="15" x14ac:dyDescent="0.25"/>
  <cols>
    <col min="1" max="1" width="11.28515625" style="4" bestFit="1" customWidth="1"/>
    <col min="2" max="2" width="48.5703125" style="1" customWidth="1"/>
    <col min="3" max="3" width="50.7109375" style="1" customWidth="1"/>
    <col min="4" max="4" width="39" style="1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2" width="39" style="1" customWidth="1"/>
    <col min="13" max="16384" width="9.140625" style="1"/>
  </cols>
  <sheetData>
    <row r="1" spans="1:12" ht="30" customHeight="1" x14ac:dyDescent="0.25">
      <c r="A1" s="10" t="s">
        <v>1</v>
      </c>
      <c r="B1" s="11" t="s">
        <v>11</v>
      </c>
      <c r="C1" s="11" t="s">
        <v>2</v>
      </c>
      <c r="D1" s="12" t="s">
        <v>4</v>
      </c>
      <c r="E1" s="12" t="s">
        <v>3</v>
      </c>
      <c r="F1" s="11" t="s">
        <v>0</v>
      </c>
      <c r="G1" s="12" t="s">
        <v>5</v>
      </c>
      <c r="H1" s="12" t="s">
        <v>6</v>
      </c>
      <c r="I1" s="12"/>
      <c r="J1" s="12" t="s">
        <v>7</v>
      </c>
      <c r="K1" s="12" t="s">
        <v>8</v>
      </c>
      <c r="L1" s="12" t="s">
        <v>12</v>
      </c>
    </row>
    <row r="2" spans="1:12" s="20" customFormat="1" x14ac:dyDescent="0.25">
      <c r="A2" s="16">
        <v>1</v>
      </c>
      <c r="B2" s="17" t="s">
        <v>15</v>
      </c>
      <c r="C2" s="18"/>
      <c r="D2" s="17"/>
      <c r="E2" s="17"/>
      <c r="F2" s="19"/>
      <c r="G2" s="19"/>
      <c r="H2" s="19"/>
      <c r="I2" s="19"/>
      <c r="J2" s="19"/>
      <c r="K2" s="19"/>
      <c r="L2" s="17"/>
    </row>
    <row r="3" spans="1:12" x14ac:dyDescent="0.25">
      <c r="A3" s="5">
        <v>1</v>
      </c>
      <c r="B3" s="6" t="s">
        <v>260</v>
      </c>
      <c r="C3" s="9"/>
      <c r="D3" s="7"/>
      <c r="E3" s="6"/>
      <c r="F3" s="8" t="s">
        <v>5</v>
      </c>
      <c r="G3" s="8">
        <f t="shared" ref="G3:K15" si="0">IF($F3=G$1,1,0)</f>
        <v>1</v>
      </c>
      <c r="H3" s="8">
        <f t="shared" si="0"/>
        <v>0</v>
      </c>
      <c r="I3" s="8">
        <f t="shared" si="0"/>
        <v>0</v>
      </c>
      <c r="J3" s="8">
        <f t="shared" si="0"/>
        <v>0</v>
      </c>
      <c r="K3" s="8">
        <f t="shared" si="0"/>
        <v>0</v>
      </c>
      <c r="L3" s="7"/>
    </row>
    <row r="4" spans="1:12" x14ac:dyDescent="0.25">
      <c r="A4" s="5">
        <f t="shared" ref="A4:A15" si="1">A3+0.0001</f>
        <v>1.0001</v>
      </c>
      <c r="B4" s="6" t="s">
        <v>261</v>
      </c>
      <c r="C4" s="9"/>
      <c r="D4" s="7"/>
      <c r="E4" s="6"/>
      <c r="F4" s="8" t="s">
        <v>5</v>
      </c>
      <c r="G4" s="8">
        <f t="shared" si="0"/>
        <v>1</v>
      </c>
      <c r="H4" s="8">
        <f t="shared" si="0"/>
        <v>0</v>
      </c>
      <c r="I4" s="8">
        <f t="shared" si="0"/>
        <v>0</v>
      </c>
      <c r="J4" s="8">
        <f t="shared" si="0"/>
        <v>0</v>
      </c>
      <c r="K4" s="8">
        <f t="shared" si="0"/>
        <v>0</v>
      </c>
      <c r="L4" s="7"/>
    </row>
    <row r="5" spans="1:12" x14ac:dyDescent="0.25">
      <c r="A5" s="5">
        <f t="shared" si="1"/>
        <v>1.0002</v>
      </c>
      <c r="B5" s="6" t="s">
        <v>262</v>
      </c>
      <c r="C5" s="9" t="s">
        <v>263</v>
      </c>
      <c r="D5" s="7"/>
      <c r="E5" s="6"/>
      <c r="F5" s="8" t="s">
        <v>5</v>
      </c>
      <c r="G5" s="8">
        <f t="shared" si="0"/>
        <v>1</v>
      </c>
      <c r="H5" s="8">
        <f t="shared" si="0"/>
        <v>0</v>
      </c>
      <c r="I5" s="8">
        <f t="shared" si="0"/>
        <v>0</v>
      </c>
      <c r="J5" s="8">
        <f t="shared" si="0"/>
        <v>0</v>
      </c>
      <c r="K5" s="8">
        <f t="shared" si="0"/>
        <v>0</v>
      </c>
      <c r="L5" s="7"/>
    </row>
    <row r="6" spans="1:12" x14ac:dyDescent="0.25">
      <c r="A6" s="5">
        <f t="shared" si="1"/>
        <v>1.0003</v>
      </c>
      <c r="B6" s="7" t="s">
        <v>264</v>
      </c>
      <c r="C6" s="6" t="s">
        <v>288</v>
      </c>
      <c r="D6" s="7"/>
      <c r="E6" s="7"/>
      <c r="F6" s="8" t="s">
        <v>5</v>
      </c>
      <c r="G6" s="8">
        <f t="shared" si="0"/>
        <v>1</v>
      </c>
      <c r="H6" s="8">
        <f t="shared" si="0"/>
        <v>0</v>
      </c>
      <c r="I6" s="8">
        <f t="shared" si="0"/>
        <v>0</v>
      </c>
      <c r="J6" s="8">
        <f t="shared" si="0"/>
        <v>0</v>
      </c>
      <c r="K6" s="8">
        <f t="shared" si="0"/>
        <v>0</v>
      </c>
      <c r="L6" s="7"/>
    </row>
    <row r="7" spans="1:12" x14ac:dyDescent="0.25">
      <c r="A7" s="5">
        <f t="shared" si="1"/>
        <v>1.0004</v>
      </c>
      <c r="B7" s="6"/>
      <c r="C7" s="6" t="s">
        <v>265</v>
      </c>
      <c r="D7" s="7"/>
      <c r="E7" s="7"/>
      <c r="F7" s="8" t="s">
        <v>5</v>
      </c>
      <c r="G7" s="8">
        <f t="shared" si="0"/>
        <v>1</v>
      </c>
      <c r="H7" s="8">
        <f t="shared" si="0"/>
        <v>0</v>
      </c>
      <c r="I7" s="8">
        <f t="shared" si="0"/>
        <v>0</v>
      </c>
      <c r="J7" s="8">
        <f t="shared" si="0"/>
        <v>0</v>
      </c>
      <c r="K7" s="8">
        <f t="shared" si="0"/>
        <v>0</v>
      </c>
      <c r="L7" s="7"/>
    </row>
    <row r="8" spans="1:12" x14ac:dyDescent="0.25">
      <c r="A8" s="5">
        <f t="shared" si="1"/>
        <v>1.0004999999999999</v>
      </c>
      <c r="B8" s="7" t="s">
        <v>271</v>
      </c>
      <c r="C8" s="6"/>
      <c r="D8" s="7"/>
      <c r="E8" s="7"/>
      <c r="F8" s="8" t="s">
        <v>5</v>
      </c>
      <c r="G8" s="8">
        <f t="shared" si="0"/>
        <v>1</v>
      </c>
      <c r="H8" s="8">
        <f t="shared" si="0"/>
        <v>0</v>
      </c>
      <c r="I8" s="8">
        <f t="shared" si="0"/>
        <v>0</v>
      </c>
      <c r="J8" s="8">
        <f t="shared" si="0"/>
        <v>0</v>
      </c>
      <c r="K8" s="8">
        <f t="shared" si="0"/>
        <v>0</v>
      </c>
      <c r="L8" s="7"/>
    </row>
    <row r="9" spans="1:12" x14ac:dyDescent="0.25">
      <c r="A9" s="5">
        <f t="shared" si="1"/>
        <v>1.0005999999999999</v>
      </c>
      <c r="B9" s="43" t="s">
        <v>30</v>
      </c>
      <c r="C9" s="9"/>
      <c r="D9" s="7"/>
      <c r="E9" s="6"/>
      <c r="F9" s="8" t="s">
        <v>5</v>
      </c>
      <c r="G9" s="8">
        <f t="shared" si="0"/>
        <v>1</v>
      </c>
      <c r="H9" s="8">
        <f t="shared" si="0"/>
        <v>0</v>
      </c>
      <c r="I9" s="8">
        <f t="shared" si="0"/>
        <v>0</v>
      </c>
      <c r="J9" s="8">
        <f t="shared" si="0"/>
        <v>0</v>
      </c>
      <c r="K9" s="8">
        <f t="shared" si="0"/>
        <v>0</v>
      </c>
      <c r="L9" s="7"/>
    </row>
    <row r="10" spans="1:12" x14ac:dyDescent="0.25">
      <c r="A10" s="5">
        <f t="shared" si="1"/>
        <v>1.0006999999999999</v>
      </c>
      <c r="B10" s="24" t="s">
        <v>58</v>
      </c>
      <c r="C10" s="9"/>
      <c r="D10" s="7"/>
      <c r="E10" s="6"/>
      <c r="F10" s="8" t="s">
        <v>5</v>
      </c>
      <c r="G10" s="8">
        <f t="shared" si="0"/>
        <v>1</v>
      </c>
      <c r="H10" s="8">
        <f t="shared" si="0"/>
        <v>0</v>
      </c>
      <c r="I10" s="8">
        <f t="shared" si="0"/>
        <v>0</v>
      </c>
      <c r="J10" s="8">
        <f t="shared" si="0"/>
        <v>0</v>
      </c>
      <c r="K10" s="8">
        <f t="shared" si="0"/>
        <v>0</v>
      </c>
      <c r="L10" s="7"/>
    </row>
    <row r="11" spans="1:12" x14ac:dyDescent="0.25">
      <c r="A11" s="5">
        <f t="shared" si="1"/>
        <v>1.0007999999999999</v>
      </c>
      <c r="B11" s="24" t="s">
        <v>266</v>
      </c>
      <c r="C11" s="6"/>
      <c r="D11" s="21"/>
      <c r="E11" s="6"/>
      <c r="F11" s="8" t="s">
        <v>5</v>
      </c>
      <c r="G11" s="8">
        <f t="shared" si="0"/>
        <v>1</v>
      </c>
      <c r="H11" s="8">
        <f t="shared" si="0"/>
        <v>0</v>
      </c>
      <c r="I11" s="8">
        <f t="shared" si="0"/>
        <v>0</v>
      </c>
      <c r="J11" s="8">
        <f t="shared" si="0"/>
        <v>0</v>
      </c>
      <c r="K11" s="8">
        <f t="shared" si="0"/>
        <v>0</v>
      </c>
      <c r="L11" s="7"/>
    </row>
    <row r="12" spans="1:12" x14ac:dyDescent="0.25">
      <c r="A12" s="5">
        <f t="shared" si="1"/>
        <v>1.0008999999999999</v>
      </c>
      <c r="B12" s="43" t="s">
        <v>267</v>
      </c>
      <c r="C12" s="6"/>
      <c r="D12" s="7"/>
      <c r="E12" s="7"/>
      <c r="F12" s="8" t="s">
        <v>5</v>
      </c>
      <c r="G12" s="8">
        <f t="shared" si="0"/>
        <v>1</v>
      </c>
      <c r="H12" s="8">
        <f t="shared" si="0"/>
        <v>0</v>
      </c>
      <c r="I12" s="8">
        <f t="shared" si="0"/>
        <v>0</v>
      </c>
      <c r="J12" s="8">
        <f t="shared" si="0"/>
        <v>0</v>
      </c>
      <c r="K12" s="8">
        <f t="shared" si="0"/>
        <v>0</v>
      </c>
      <c r="L12" s="7"/>
    </row>
    <row r="13" spans="1:12" x14ac:dyDescent="0.25">
      <c r="A13" s="5">
        <f t="shared" si="1"/>
        <v>1.0009999999999999</v>
      </c>
      <c r="B13" s="43" t="s">
        <v>268</v>
      </c>
      <c r="C13" s="6"/>
      <c r="D13" s="7"/>
      <c r="E13" s="7"/>
      <c r="F13" s="8" t="s">
        <v>5</v>
      </c>
      <c r="G13" s="8">
        <f t="shared" si="0"/>
        <v>1</v>
      </c>
      <c r="H13" s="8">
        <f t="shared" si="0"/>
        <v>0</v>
      </c>
      <c r="I13" s="8">
        <f t="shared" si="0"/>
        <v>0</v>
      </c>
      <c r="J13" s="8">
        <f t="shared" si="0"/>
        <v>0</v>
      </c>
      <c r="K13" s="8">
        <f t="shared" si="0"/>
        <v>0</v>
      </c>
      <c r="L13" s="7"/>
    </row>
    <row r="14" spans="1:12" x14ac:dyDescent="0.25">
      <c r="A14" s="5">
        <f t="shared" si="1"/>
        <v>1.0010999999999999</v>
      </c>
      <c r="B14" s="43" t="s">
        <v>269</v>
      </c>
      <c r="C14" s="6"/>
      <c r="D14" s="7"/>
      <c r="E14" s="7"/>
      <c r="F14" s="8" t="s">
        <v>5</v>
      </c>
      <c r="G14" s="8">
        <f t="shared" si="0"/>
        <v>1</v>
      </c>
      <c r="H14" s="8">
        <f t="shared" si="0"/>
        <v>0</v>
      </c>
      <c r="I14" s="8">
        <f t="shared" si="0"/>
        <v>0</v>
      </c>
      <c r="J14" s="8">
        <f t="shared" si="0"/>
        <v>0</v>
      </c>
      <c r="K14" s="8">
        <f t="shared" si="0"/>
        <v>0</v>
      </c>
      <c r="L14" s="7"/>
    </row>
    <row r="15" spans="1:12" x14ac:dyDescent="0.25">
      <c r="A15" s="5">
        <f t="shared" si="1"/>
        <v>1.0011999999999999</v>
      </c>
      <c r="B15" s="24" t="s">
        <v>270</v>
      </c>
      <c r="C15" s="6"/>
      <c r="D15" s="7"/>
      <c r="E15" s="7"/>
      <c r="F15" s="8" t="s">
        <v>5</v>
      </c>
      <c r="G15" s="8">
        <f t="shared" si="0"/>
        <v>1</v>
      </c>
      <c r="H15" s="8">
        <f t="shared" si="0"/>
        <v>0</v>
      </c>
      <c r="I15" s="8">
        <f t="shared" si="0"/>
        <v>0</v>
      </c>
      <c r="J15" s="8">
        <f t="shared" si="0"/>
        <v>0</v>
      </c>
      <c r="K15" s="8">
        <f t="shared" si="0"/>
        <v>0</v>
      </c>
      <c r="L15" s="7"/>
    </row>
    <row r="16" spans="1:12" ht="15.75" thickBot="1" x14ac:dyDescent="0.3">
      <c r="G16" s="2">
        <f>SUM(G2:G15)</f>
        <v>13</v>
      </c>
      <c r="H16" s="2">
        <f>SUM(H2:H15)</f>
        <v>0</v>
      </c>
      <c r="I16" s="2">
        <f>SUM(I2:I15)</f>
        <v>0</v>
      </c>
      <c r="J16" s="2">
        <f>SUM(J2:J15)</f>
        <v>0</v>
      </c>
      <c r="K16" s="2">
        <f>SUM(K2:K15)</f>
        <v>0</v>
      </c>
    </row>
    <row r="17" ht="15.75" thickTop="1" x14ac:dyDescent="0.25"/>
  </sheetData>
  <conditionalFormatting sqref="A16:K35 A2:K2 A8:A15 L13:L35 B13:E15 A3:F3 A4:E8 G6:K8 G13:K15">
    <cfRule type="expression" dxfId="89" priority="28">
      <formula>$F2="Fail"</formula>
    </cfRule>
  </conditionalFormatting>
  <conditionalFormatting sqref="B11:E12 B10:C10 B13:C13 B11:B14 G11:K12">
    <cfRule type="expression" dxfId="88" priority="27">
      <formula>$F10="Fail"</formula>
    </cfRule>
  </conditionalFormatting>
  <conditionalFormatting sqref="B12:C12">
    <cfRule type="expression" dxfId="87" priority="24">
      <formula>$F12="Fail"</formula>
    </cfRule>
  </conditionalFormatting>
  <conditionalFormatting sqref="A10:E10 G10:K10">
    <cfRule type="expression" dxfId="86" priority="22">
      <formula>$F10="Fail"</formula>
    </cfRule>
  </conditionalFormatting>
  <conditionalFormatting sqref="A9:E9 G9:K9">
    <cfRule type="expression" dxfId="85" priority="21">
      <formula>$F9="Fail"</formula>
    </cfRule>
  </conditionalFormatting>
  <conditionalFormatting sqref="B9:C9">
    <cfRule type="expression" dxfId="84" priority="20">
      <formula>$F9="Fail"</formula>
    </cfRule>
  </conditionalFormatting>
  <conditionalFormatting sqref="L2:L8">
    <cfRule type="expression" dxfId="83" priority="17">
      <formula>$F2="Fail"</formula>
    </cfRule>
  </conditionalFormatting>
  <conditionalFormatting sqref="L11:L12">
    <cfRule type="expression" dxfId="82" priority="16">
      <formula>$F11="Fail"</formula>
    </cfRule>
  </conditionalFormatting>
  <conditionalFormatting sqref="L10">
    <cfRule type="expression" dxfId="81" priority="11">
      <formula>$F10="Fail"</formula>
    </cfRule>
  </conditionalFormatting>
  <conditionalFormatting sqref="L9">
    <cfRule type="expression" dxfId="80" priority="10">
      <formula>$F9="Fail"</formula>
    </cfRule>
  </conditionalFormatting>
  <conditionalFormatting sqref="B9">
    <cfRule type="expression" dxfId="79" priority="9">
      <formula>$F9="Fail"</formula>
    </cfRule>
  </conditionalFormatting>
  <conditionalFormatting sqref="B11">
    <cfRule type="expression" dxfId="78" priority="8">
      <formula>$F11="Fail"</formula>
    </cfRule>
  </conditionalFormatting>
  <conditionalFormatting sqref="B10">
    <cfRule type="expression" dxfId="77" priority="7">
      <formula>$F10="Fail"</formula>
    </cfRule>
  </conditionalFormatting>
  <conditionalFormatting sqref="B10">
    <cfRule type="expression" dxfId="76" priority="6">
      <formula>$F10="Fail"</formula>
    </cfRule>
  </conditionalFormatting>
  <conditionalFormatting sqref="G5:K15">
    <cfRule type="expression" dxfId="75" priority="5">
      <formula>$F5="Fail"</formula>
    </cfRule>
  </conditionalFormatting>
  <conditionalFormatting sqref="G4:K4">
    <cfRule type="expression" dxfId="74" priority="4">
      <formula>$F4="Fail"</formula>
    </cfRule>
  </conditionalFormatting>
  <conditionalFormatting sqref="G3:K3">
    <cfRule type="expression" dxfId="73" priority="3">
      <formula>$F3="Fail"</formula>
    </cfRule>
  </conditionalFormatting>
  <conditionalFormatting sqref="F4:F15">
    <cfRule type="expression" dxfId="72" priority="1">
      <formula>$F4="Fail"</formula>
    </cfRule>
  </conditionalFormatting>
  <dataValidations count="1">
    <dataValidation type="list" allowBlank="1" showInputMessage="1" showErrorMessage="1" sqref="F2:F15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L84"/>
  <sheetViews>
    <sheetView topLeftCell="C1" zoomScaleNormal="100" workbookViewId="0">
      <pane ySplit="1" topLeftCell="A68" activePane="bottomLeft" state="frozen"/>
      <selection pane="bottomLeft" activeCell="D1" sqref="D1:D1048576"/>
    </sheetView>
  </sheetViews>
  <sheetFormatPr defaultRowHeight="15" x14ac:dyDescent="0.25"/>
  <cols>
    <col min="1" max="1" width="11.28515625" style="4" bestFit="1" customWidth="1"/>
    <col min="2" max="2" width="48.5703125" style="1" customWidth="1"/>
    <col min="3" max="3" width="50.7109375" style="1" customWidth="1"/>
    <col min="4" max="4" width="39" style="64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2" width="39" style="1" customWidth="1"/>
    <col min="13" max="16384" width="9.140625" style="1"/>
  </cols>
  <sheetData>
    <row r="1" spans="1:12" ht="30" customHeight="1" x14ac:dyDescent="0.25">
      <c r="A1" s="10" t="s">
        <v>1</v>
      </c>
      <c r="B1" s="11" t="s">
        <v>11</v>
      </c>
      <c r="C1" s="11" t="s">
        <v>2</v>
      </c>
      <c r="D1" s="65" t="s">
        <v>4</v>
      </c>
      <c r="E1" s="12" t="s">
        <v>3</v>
      </c>
      <c r="F1" s="11" t="s">
        <v>0</v>
      </c>
      <c r="G1" s="12" t="s">
        <v>5</v>
      </c>
      <c r="H1" s="12" t="s">
        <v>6</v>
      </c>
      <c r="I1" s="12"/>
      <c r="J1" s="12" t="s">
        <v>7</v>
      </c>
      <c r="K1" s="12" t="s">
        <v>8</v>
      </c>
      <c r="L1" s="12" t="s">
        <v>12</v>
      </c>
    </row>
    <row r="2" spans="1:12" s="20" customFormat="1" x14ac:dyDescent="0.25">
      <c r="A2" s="16">
        <v>1</v>
      </c>
      <c r="B2" s="17" t="s">
        <v>167</v>
      </c>
      <c r="C2" s="18"/>
      <c r="D2" s="66"/>
      <c r="E2" s="17"/>
      <c r="F2" s="19"/>
      <c r="G2" s="19"/>
      <c r="H2" s="19"/>
      <c r="I2" s="19"/>
      <c r="J2" s="19"/>
      <c r="K2" s="19"/>
      <c r="L2" s="17"/>
    </row>
    <row r="3" spans="1:12" ht="38.25" x14ac:dyDescent="0.25">
      <c r="A3" s="5">
        <f t="shared" ref="A3:A82" si="0">A2+0.0001</f>
        <v>1.0001</v>
      </c>
      <c r="B3" s="6" t="s">
        <v>168</v>
      </c>
      <c r="C3" s="9"/>
      <c r="D3" s="44" t="s">
        <v>298</v>
      </c>
      <c r="E3" s="6"/>
      <c r="F3" s="8" t="s">
        <v>7</v>
      </c>
      <c r="G3" s="8">
        <f t="shared" ref="G3:K31" si="1">IF($F3=G$1,1,0)</f>
        <v>0</v>
      </c>
      <c r="H3" s="8">
        <f t="shared" si="1"/>
        <v>0</v>
      </c>
      <c r="I3" s="8">
        <f t="shared" si="1"/>
        <v>0</v>
      </c>
      <c r="J3" s="8">
        <f t="shared" si="1"/>
        <v>1</v>
      </c>
      <c r="K3" s="8">
        <f t="shared" si="1"/>
        <v>0</v>
      </c>
      <c r="L3" s="7"/>
    </row>
    <row r="4" spans="1:12" ht="38.25" x14ac:dyDescent="0.25">
      <c r="A4" s="5">
        <f t="shared" si="0"/>
        <v>1.0002</v>
      </c>
      <c r="B4" s="27" t="s">
        <v>169</v>
      </c>
      <c r="C4" s="9" t="s">
        <v>297</v>
      </c>
      <c r="D4" s="44"/>
      <c r="E4" s="6"/>
      <c r="F4" s="8" t="s">
        <v>7</v>
      </c>
      <c r="G4" s="8">
        <f t="shared" si="1"/>
        <v>0</v>
      </c>
      <c r="H4" s="8">
        <f t="shared" si="1"/>
        <v>0</v>
      </c>
      <c r="I4" s="8">
        <f t="shared" si="1"/>
        <v>0</v>
      </c>
      <c r="J4" s="8">
        <f t="shared" si="1"/>
        <v>1</v>
      </c>
      <c r="K4" s="8">
        <f t="shared" si="1"/>
        <v>0</v>
      </c>
      <c r="L4" s="7"/>
    </row>
    <row r="5" spans="1:12" x14ac:dyDescent="0.25">
      <c r="A5" s="25">
        <f t="shared" si="0"/>
        <v>1.0003</v>
      </c>
      <c r="B5" s="27" t="s">
        <v>170</v>
      </c>
      <c r="C5" s="28" t="s">
        <v>171</v>
      </c>
      <c r="D5" s="44" t="s">
        <v>326</v>
      </c>
      <c r="E5" s="6"/>
      <c r="F5" s="8" t="s">
        <v>7</v>
      </c>
      <c r="G5" s="8">
        <f t="shared" si="1"/>
        <v>0</v>
      </c>
      <c r="H5" s="8">
        <f t="shared" si="1"/>
        <v>0</v>
      </c>
      <c r="I5" s="8">
        <f t="shared" si="1"/>
        <v>0</v>
      </c>
      <c r="J5" s="8">
        <f t="shared" si="1"/>
        <v>1</v>
      </c>
      <c r="K5" s="8">
        <f t="shared" si="1"/>
        <v>0</v>
      </c>
      <c r="L5" s="7"/>
    </row>
    <row r="6" spans="1:12" x14ac:dyDescent="0.25">
      <c r="A6" s="25">
        <f t="shared" si="0"/>
        <v>1.0004</v>
      </c>
      <c r="B6" s="29"/>
      <c r="C6" s="28" t="s">
        <v>172</v>
      </c>
      <c r="D6" s="44" t="s">
        <v>326</v>
      </c>
      <c r="E6" s="6"/>
      <c r="F6" s="8" t="s">
        <v>7</v>
      </c>
      <c r="G6" s="8">
        <f t="shared" si="1"/>
        <v>0</v>
      </c>
      <c r="H6" s="8">
        <f t="shared" si="1"/>
        <v>0</v>
      </c>
      <c r="I6" s="8">
        <f t="shared" si="1"/>
        <v>0</v>
      </c>
      <c r="J6" s="8">
        <f t="shared" si="1"/>
        <v>1</v>
      </c>
      <c r="K6" s="8">
        <f t="shared" si="1"/>
        <v>0</v>
      </c>
      <c r="L6" s="7"/>
    </row>
    <row r="7" spans="1:12" x14ac:dyDescent="0.25">
      <c r="A7" s="25">
        <f t="shared" si="0"/>
        <v>1.0004999999999999</v>
      </c>
      <c r="B7" s="29"/>
      <c r="C7" s="28" t="s">
        <v>173</v>
      </c>
      <c r="D7" s="44" t="s">
        <v>326</v>
      </c>
      <c r="E7" s="6"/>
      <c r="F7" s="8" t="s">
        <v>7</v>
      </c>
      <c r="G7" s="8">
        <f t="shared" si="1"/>
        <v>0</v>
      </c>
      <c r="H7" s="8">
        <f t="shared" si="1"/>
        <v>0</v>
      </c>
      <c r="I7" s="8">
        <f t="shared" si="1"/>
        <v>0</v>
      </c>
      <c r="J7" s="8">
        <f t="shared" si="1"/>
        <v>1</v>
      </c>
      <c r="K7" s="8">
        <f t="shared" si="1"/>
        <v>0</v>
      </c>
      <c r="L7" s="7"/>
    </row>
    <row r="8" spans="1:12" ht="25.5" x14ac:dyDescent="0.25">
      <c r="A8" s="25">
        <f t="shared" si="0"/>
        <v>1.0005999999999999</v>
      </c>
      <c r="B8" s="29"/>
      <c r="C8" s="28" t="s">
        <v>174</v>
      </c>
      <c r="D8" s="44" t="s">
        <v>326</v>
      </c>
      <c r="E8" s="6"/>
      <c r="F8" s="8" t="s">
        <v>7</v>
      </c>
      <c r="G8" s="8">
        <f t="shared" si="1"/>
        <v>0</v>
      </c>
      <c r="H8" s="8">
        <f t="shared" si="1"/>
        <v>0</v>
      </c>
      <c r="I8" s="8">
        <f t="shared" si="1"/>
        <v>0</v>
      </c>
      <c r="J8" s="8">
        <f t="shared" si="1"/>
        <v>1</v>
      </c>
      <c r="K8" s="8">
        <f t="shared" si="1"/>
        <v>0</v>
      </c>
      <c r="L8" s="7"/>
    </row>
    <row r="9" spans="1:12" x14ac:dyDescent="0.25">
      <c r="A9" s="25">
        <f t="shared" si="0"/>
        <v>1.0006999999999999</v>
      </c>
      <c r="B9" s="29"/>
      <c r="C9" s="28" t="s">
        <v>175</v>
      </c>
      <c r="D9" s="44" t="s">
        <v>326</v>
      </c>
      <c r="E9" s="6"/>
      <c r="F9" s="8" t="s">
        <v>7</v>
      </c>
      <c r="G9" s="8">
        <f t="shared" si="1"/>
        <v>0</v>
      </c>
      <c r="H9" s="8">
        <f t="shared" si="1"/>
        <v>0</v>
      </c>
      <c r="I9" s="8">
        <f t="shared" si="1"/>
        <v>0</v>
      </c>
      <c r="J9" s="8">
        <f t="shared" si="1"/>
        <v>1</v>
      </c>
      <c r="K9" s="8">
        <f t="shared" si="1"/>
        <v>0</v>
      </c>
      <c r="L9" s="7"/>
    </row>
    <row r="10" spans="1:12" ht="25.5" x14ac:dyDescent="0.25">
      <c r="A10" s="25">
        <f t="shared" si="0"/>
        <v>1.0007999999999999</v>
      </c>
      <c r="B10" s="29"/>
      <c r="C10" s="28" t="s">
        <v>181</v>
      </c>
      <c r="D10" s="44" t="s">
        <v>326</v>
      </c>
      <c r="E10" s="6"/>
      <c r="F10" s="8" t="s">
        <v>7</v>
      </c>
      <c r="G10" s="8">
        <f t="shared" si="1"/>
        <v>0</v>
      </c>
      <c r="H10" s="8">
        <f t="shared" si="1"/>
        <v>0</v>
      </c>
      <c r="I10" s="8">
        <f t="shared" si="1"/>
        <v>0</v>
      </c>
      <c r="J10" s="8">
        <f t="shared" si="1"/>
        <v>1</v>
      </c>
      <c r="K10" s="8">
        <f t="shared" si="1"/>
        <v>0</v>
      </c>
      <c r="L10" s="7"/>
    </row>
    <row r="11" spans="1:12" ht="51" x14ac:dyDescent="0.25">
      <c r="A11" s="25">
        <f t="shared" si="0"/>
        <v>1.0008999999999999</v>
      </c>
      <c r="B11" s="29"/>
      <c r="C11" s="28" t="s">
        <v>182</v>
      </c>
      <c r="D11" s="44" t="s">
        <v>326</v>
      </c>
      <c r="E11" s="6"/>
      <c r="F11" s="8" t="s">
        <v>7</v>
      </c>
      <c r="G11" s="8">
        <f t="shared" si="1"/>
        <v>0</v>
      </c>
      <c r="H11" s="8">
        <f t="shared" si="1"/>
        <v>0</v>
      </c>
      <c r="I11" s="8">
        <f t="shared" si="1"/>
        <v>0</v>
      </c>
      <c r="J11" s="8">
        <f t="shared" si="1"/>
        <v>1</v>
      </c>
      <c r="K11" s="8">
        <f t="shared" si="1"/>
        <v>0</v>
      </c>
      <c r="L11" s="7"/>
    </row>
    <row r="12" spans="1:12" ht="38.25" x14ac:dyDescent="0.25">
      <c r="A12" s="25">
        <f t="shared" si="0"/>
        <v>1.0009999999999999</v>
      </c>
      <c r="B12" s="29"/>
      <c r="C12" s="28" t="s">
        <v>183</v>
      </c>
      <c r="D12" s="44" t="s">
        <v>326</v>
      </c>
      <c r="E12" s="6"/>
      <c r="F12" s="8" t="s">
        <v>7</v>
      </c>
      <c r="G12" s="8">
        <f t="shared" si="1"/>
        <v>0</v>
      </c>
      <c r="H12" s="8">
        <f t="shared" si="1"/>
        <v>0</v>
      </c>
      <c r="I12" s="8">
        <f t="shared" si="1"/>
        <v>0</v>
      </c>
      <c r="J12" s="8">
        <f t="shared" si="1"/>
        <v>1</v>
      </c>
      <c r="K12" s="8">
        <f t="shared" si="1"/>
        <v>0</v>
      </c>
      <c r="L12" s="7"/>
    </row>
    <row r="13" spans="1:12" ht="51" x14ac:dyDescent="0.25">
      <c r="A13" s="25">
        <f t="shared" si="0"/>
        <v>1.0010999999999999</v>
      </c>
      <c r="B13" s="29"/>
      <c r="C13" s="28" t="s">
        <v>184</v>
      </c>
      <c r="D13" s="44" t="s">
        <v>326</v>
      </c>
      <c r="E13" s="6"/>
      <c r="F13" s="8" t="s">
        <v>7</v>
      </c>
      <c r="G13" s="8">
        <f t="shared" si="1"/>
        <v>0</v>
      </c>
      <c r="H13" s="8">
        <f t="shared" si="1"/>
        <v>0</v>
      </c>
      <c r="I13" s="8">
        <f t="shared" si="1"/>
        <v>0</v>
      </c>
      <c r="J13" s="8">
        <f t="shared" si="1"/>
        <v>1</v>
      </c>
      <c r="K13" s="8">
        <f t="shared" si="1"/>
        <v>0</v>
      </c>
      <c r="L13" s="7"/>
    </row>
    <row r="14" spans="1:12" ht="38.25" x14ac:dyDescent="0.25">
      <c r="A14" s="25">
        <f t="shared" si="0"/>
        <v>1.0011999999999999</v>
      </c>
      <c r="B14" s="27" t="s">
        <v>176</v>
      </c>
      <c r="C14" s="28" t="s">
        <v>177</v>
      </c>
      <c r="D14" s="44" t="s">
        <v>326</v>
      </c>
      <c r="E14" s="6"/>
      <c r="F14" s="8" t="s">
        <v>7</v>
      </c>
      <c r="G14" s="8">
        <f t="shared" si="1"/>
        <v>0</v>
      </c>
      <c r="H14" s="8">
        <f t="shared" si="1"/>
        <v>0</v>
      </c>
      <c r="I14" s="8">
        <f t="shared" si="1"/>
        <v>0</v>
      </c>
      <c r="J14" s="8">
        <f t="shared" si="1"/>
        <v>1</v>
      </c>
      <c r="K14" s="8">
        <f t="shared" si="1"/>
        <v>0</v>
      </c>
      <c r="L14" s="7"/>
    </row>
    <row r="15" spans="1:12" ht="25.5" x14ac:dyDescent="0.25">
      <c r="A15" s="25">
        <f t="shared" si="0"/>
        <v>1.0012999999999999</v>
      </c>
      <c r="B15" s="29"/>
      <c r="C15" s="28" t="s">
        <v>178</v>
      </c>
      <c r="D15" s="44" t="s">
        <v>326</v>
      </c>
      <c r="E15" s="6"/>
      <c r="F15" s="8" t="s">
        <v>7</v>
      </c>
      <c r="G15" s="8">
        <f t="shared" si="1"/>
        <v>0</v>
      </c>
      <c r="H15" s="8">
        <f t="shared" si="1"/>
        <v>0</v>
      </c>
      <c r="I15" s="8">
        <f t="shared" si="1"/>
        <v>0</v>
      </c>
      <c r="J15" s="8">
        <f t="shared" si="1"/>
        <v>1</v>
      </c>
      <c r="K15" s="8">
        <f t="shared" si="1"/>
        <v>0</v>
      </c>
      <c r="L15" s="7"/>
    </row>
    <row r="16" spans="1:12" x14ac:dyDescent="0.25">
      <c r="A16" s="25">
        <f t="shared" si="0"/>
        <v>1.0013999999999998</v>
      </c>
      <c r="B16" s="29"/>
      <c r="C16" s="28" t="s">
        <v>179</v>
      </c>
      <c r="D16" s="44" t="s">
        <v>326</v>
      </c>
      <c r="E16" s="6"/>
      <c r="F16" s="8" t="s">
        <v>7</v>
      </c>
      <c r="G16" s="8">
        <f t="shared" si="1"/>
        <v>0</v>
      </c>
      <c r="H16" s="8">
        <f t="shared" si="1"/>
        <v>0</v>
      </c>
      <c r="I16" s="8">
        <f t="shared" si="1"/>
        <v>0</v>
      </c>
      <c r="J16" s="8">
        <f t="shared" si="1"/>
        <v>1</v>
      </c>
      <c r="K16" s="8">
        <f t="shared" si="1"/>
        <v>0</v>
      </c>
      <c r="L16" s="7"/>
    </row>
    <row r="17" spans="1:12" x14ac:dyDescent="0.25">
      <c r="A17" s="25">
        <f t="shared" si="0"/>
        <v>1.0014999999999998</v>
      </c>
      <c r="B17" s="30"/>
      <c r="C17" s="28" t="s">
        <v>180</v>
      </c>
      <c r="D17" s="44" t="s">
        <v>326</v>
      </c>
      <c r="E17" s="6"/>
      <c r="F17" s="8" t="s">
        <v>7</v>
      </c>
      <c r="G17" s="8">
        <f t="shared" si="1"/>
        <v>0</v>
      </c>
      <c r="H17" s="8">
        <f t="shared" si="1"/>
        <v>0</v>
      </c>
      <c r="I17" s="8">
        <f t="shared" si="1"/>
        <v>0</v>
      </c>
      <c r="J17" s="8">
        <f t="shared" si="1"/>
        <v>1</v>
      </c>
      <c r="K17" s="8">
        <f t="shared" si="1"/>
        <v>0</v>
      </c>
      <c r="L17" s="7"/>
    </row>
    <row r="18" spans="1:12" ht="25.5" x14ac:dyDescent="0.25">
      <c r="A18" s="5">
        <f t="shared" si="0"/>
        <v>1.0015999999999998</v>
      </c>
      <c r="B18" s="29" t="s">
        <v>185</v>
      </c>
      <c r="C18" s="9"/>
      <c r="D18" s="44"/>
      <c r="E18" s="6"/>
      <c r="F18" s="8" t="s">
        <v>7</v>
      </c>
      <c r="G18" s="8">
        <f t="shared" si="1"/>
        <v>0</v>
      </c>
      <c r="H18" s="8">
        <f t="shared" si="1"/>
        <v>0</v>
      </c>
      <c r="I18" s="8">
        <f t="shared" si="1"/>
        <v>0</v>
      </c>
      <c r="J18" s="8">
        <f t="shared" si="1"/>
        <v>1</v>
      </c>
      <c r="K18" s="8">
        <f t="shared" si="1"/>
        <v>0</v>
      </c>
      <c r="L18" s="7"/>
    </row>
    <row r="19" spans="1:12" x14ac:dyDescent="0.25">
      <c r="A19" s="25">
        <f t="shared" si="0"/>
        <v>1.0016999999999998</v>
      </c>
      <c r="B19" s="31" t="s">
        <v>216</v>
      </c>
      <c r="C19" s="28"/>
      <c r="D19" s="44"/>
      <c r="E19" s="6"/>
      <c r="F19" s="8" t="s">
        <v>7</v>
      </c>
      <c r="G19" s="8">
        <f t="shared" si="1"/>
        <v>0</v>
      </c>
      <c r="H19" s="8">
        <f t="shared" si="1"/>
        <v>0</v>
      </c>
      <c r="I19" s="8">
        <f t="shared" si="1"/>
        <v>0</v>
      </c>
      <c r="J19" s="8">
        <f t="shared" si="1"/>
        <v>1</v>
      </c>
      <c r="K19" s="8">
        <f t="shared" si="1"/>
        <v>0</v>
      </c>
      <c r="L19" s="7"/>
    </row>
    <row r="20" spans="1:12" ht="25.5" x14ac:dyDescent="0.25">
      <c r="A20" s="25">
        <f t="shared" si="0"/>
        <v>1.0017999999999998</v>
      </c>
      <c r="B20" s="29" t="s">
        <v>186</v>
      </c>
      <c r="C20" s="28" t="s">
        <v>187</v>
      </c>
      <c r="D20" s="44" t="s">
        <v>188</v>
      </c>
      <c r="E20" s="6"/>
      <c r="F20" s="8" t="s">
        <v>7</v>
      </c>
      <c r="G20" s="8">
        <f t="shared" si="1"/>
        <v>0</v>
      </c>
      <c r="H20" s="8">
        <f t="shared" si="1"/>
        <v>0</v>
      </c>
      <c r="I20" s="8">
        <f t="shared" si="1"/>
        <v>0</v>
      </c>
      <c r="J20" s="8">
        <f t="shared" si="1"/>
        <v>1</v>
      </c>
      <c r="K20" s="8">
        <f t="shared" si="1"/>
        <v>0</v>
      </c>
      <c r="L20" s="7"/>
    </row>
    <row r="21" spans="1:12" x14ac:dyDescent="0.25">
      <c r="A21" s="25">
        <f t="shared" si="0"/>
        <v>1.0018999999999998</v>
      </c>
      <c r="B21" s="29" t="s">
        <v>189</v>
      </c>
      <c r="C21" s="28" t="s">
        <v>190</v>
      </c>
      <c r="D21" s="44" t="s">
        <v>191</v>
      </c>
      <c r="E21" s="6"/>
      <c r="F21" s="8" t="s">
        <v>7</v>
      </c>
      <c r="G21" s="8">
        <f t="shared" si="1"/>
        <v>0</v>
      </c>
      <c r="H21" s="8">
        <f t="shared" si="1"/>
        <v>0</v>
      </c>
      <c r="I21" s="8">
        <f t="shared" si="1"/>
        <v>0</v>
      </c>
      <c r="J21" s="8">
        <f t="shared" si="1"/>
        <v>1</v>
      </c>
      <c r="K21" s="8">
        <f t="shared" si="1"/>
        <v>0</v>
      </c>
      <c r="L21" s="7"/>
    </row>
    <row r="22" spans="1:12" ht="25.5" x14ac:dyDescent="0.25">
      <c r="A22" s="25">
        <f t="shared" si="0"/>
        <v>1.0019999999999998</v>
      </c>
      <c r="B22" s="29" t="s">
        <v>192</v>
      </c>
      <c r="C22" s="28" t="s">
        <v>193</v>
      </c>
      <c r="D22" s="44" t="s">
        <v>194</v>
      </c>
      <c r="E22" s="6"/>
      <c r="F22" s="8" t="s">
        <v>7</v>
      </c>
      <c r="G22" s="8">
        <f t="shared" si="1"/>
        <v>0</v>
      </c>
      <c r="H22" s="8">
        <f t="shared" si="1"/>
        <v>0</v>
      </c>
      <c r="I22" s="8">
        <f t="shared" si="1"/>
        <v>0</v>
      </c>
      <c r="J22" s="8">
        <f t="shared" si="1"/>
        <v>1</v>
      </c>
      <c r="K22" s="8">
        <f t="shared" si="1"/>
        <v>0</v>
      </c>
      <c r="L22" s="7"/>
    </row>
    <row r="23" spans="1:12" ht="25.5" x14ac:dyDescent="0.25">
      <c r="A23" s="25">
        <f t="shared" si="0"/>
        <v>1.0020999999999998</v>
      </c>
      <c r="B23" s="29" t="s">
        <v>195</v>
      </c>
      <c r="C23" s="28" t="s">
        <v>196</v>
      </c>
      <c r="D23" s="44" t="s">
        <v>197</v>
      </c>
      <c r="E23" s="6"/>
      <c r="F23" s="8" t="s">
        <v>7</v>
      </c>
      <c r="G23" s="8">
        <f t="shared" si="1"/>
        <v>0</v>
      </c>
      <c r="H23" s="8">
        <f t="shared" si="1"/>
        <v>0</v>
      </c>
      <c r="I23" s="8">
        <f t="shared" si="1"/>
        <v>0</v>
      </c>
      <c r="J23" s="8">
        <f t="shared" si="1"/>
        <v>1</v>
      </c>
      <c r="K23" s="8">
        <f t="shared" si="1"/>
        <v>0</v>
      </c>
      <c r="L23" s="7"/>
    </row>
    <row r="24" spans="1:12" ht="25.5" x14ac:dyDescent="0.25">
      <c r="A24" s="25">
        <f t="shared" si="0"/>
        <v>1.0021999999999998</v>
      </c>
      <c r="B24" s="29" t="s">
        <v>143</v>
      </c>
      <c r="C24" s="28" t="s">
        <v>198</v>
      </c>
      <c r="D24" s="44" t="s">
        <v>199</v>
      </c>
      <c r="E24" s="6"/>
      <c r="F24" s="8" t="s">
        <v>7</v>
      </c>
      <c r="G24" s="8">
        <f t="shared" si="1"/>
        <v>0</v>
      </c>
      <c r="H24" s="8">
        <f t="shared" si="1"/>
        <v>0</v>
      </c>
      <c r="I24" s="8">
        <f t="shared" si="1"/>
        <v>0</v>
      </c>
      <c r="J24" s="8">
        <f t="shared" si="1"/>
        <v>1</v>
      </c>
      <c r="K24" s="8">
        <f t="shared" si="1"/>
        <v>0</v>
      </c>
      <c r="L24" s="7"/>
    </row>
    <row r="25" spans="1:12" ht="25.5" x14ac:dyDescent="0.25">
      <c r="A25" s="25">
        <f t="shared" si="0"/>
        <v>1.0022999999999997</v>
      </c>
      <c r="B25" s="29" t="s">
        <v>200</v>
      </c>
      <c r="C25" s="28" t="s">
        <v>201</v>
      </c>
      <c r="D25" s="44" t="s">
        <v>202</v>
      </c>
      <c r="E25" s="6"/>
      <c r="F25" s="8" t="s">
        <v>7</v>
      </c>
      <c r="G25" s="8">
        <f t="shared" si="1"/>
        <v>0</v>
      </c>
      <c r="H25" s="8">
        <f t="shared" si="1"/>
        <v>0</v>
      </c>
      <c r="I25" s="8">
        <f t="shared" si="1"/>
        <v>0</v>
      </c>
      <c r="J25" s="8">
        <f t="shared" si="1"/>
        <v>1</v>
      </c>
      <c r="K25" s="8">
        <f t="shared" si="1"/>
        <v>0</v>
      </c>
      <c r="L25" s="7"/>
    </row>
    <row r="26" spans="1:12" ht="38.25" x14ac:dyDescent="0.25">
      <c r="A26" s="25">
        <f t="shared" si="0"/>
        <v>1.0023999999999997</v>
      </c>
      <c r="B26" s="29" t="s">
        <v>203</v>
      </c>
      <c r="C26" s="28"/>
      <c r="D26" s="44"/>
      <c r="E26" s="6"/>
      <c r="F26" s="8" t="s">
        <v>7</v>
      </c>
      <c r="G26" s="8">
        <f t="shared" si="1"/>
        <v>0</v>
      </c>
      <c r="H26" s="8">
        <f t="shared" si="1"/>
        <v>0</v>
      </c>
      <c r="I26" s="8">
        <f t="shared" si="1"/>
        <v>0</v>
      </c>
      <c r="J26" s="8">
        <f t="shared" si="1"/>
        <v>1</v>
      </c>
      <c r="K26" s="8">
        <f t="shared" si="1"/>
        <v>0</v>
      </c>
      <c r="L26" s="7"/>
    </row>
    <row r="27" spans="1:12" ht="25.5" x14ac:dyDescent="0.25">
      <c r="A27" s="25">
        <f t="shared" si="0"/>
        <v>1.0024999999999997</v>
      </c>
      <c r="B27" s="29" t="s">
        <v>204</v>
      </c>
      <c r="C27" s="28" t="s">
        <v>201</v>
      </c>
      <c r="D27" s="44" t="s">
        <v>205</v>
      </c>
      <c r="E27" s="6"/>
      <c r="F27" s="8" t="s">
        <v>7</v>
      </c>
      <c r="G27" s="8">
        <f t="shared" si="1"/>
        <v>0</v>
      </c>
      <c r="H27" s="8">
        <f t="shared" si="1"/>
        <v>0</v>
      </c>
      <c r="I27" s="8">
        <f t="shared" si="1"/>
        <v>0</v>
      </c>
      <c r="J27" s="8">
        <f t="shared" si="1"/>
        <v>1</v>
      </c>
      <c r="K27" s="8">
        <f t="shared" si="1"/>
        <v>0</v>
      </c>
      <c r="L27" s="7"/>
    </row>
    <row r="28" spans="1:12" ht="38.25" x14ac:dyDescent="0.25">
      <c r="A28" s="25">
        <f t="shared" si="0"/>
        <v>1.0025999999999997</v>
      </c>
      <c r="B28" s="29" t="s">
        <v>206</v>
      </c>
      <c r="C28" s="28"/>
      <c r="D28" s="44"/>
      <c r="E28" s="6"/>
      <c r="F28" s="8" t="s">
        <v>7</v>
      </c>
      <c r="G28" s="8">
        <f t="shared" si="1"/>
        <v>0</v>
      </c>
      <c r="H28" s="8">
        <f t="shared" si="1"/>
        <v>0</v>
      </c>
      <c r="I28" s="8">
        <f t="shared" si="1"/>
        <v>0</v>
      </c>
      <c r="J28" s="8">
        <f t="shared" si="1"/>
        <v>1</v>
      </c>
      <c r="K28" s="8">
        <f t="shared" si="1"/>
        <v>0</v>
      </c>
      <c r="L28" s="7"/>
    </row>
    <row r="29" spans="1:12" x14ac:dyDescent="0.25">
      <c r="A29" s="25">
        <f t="shared" si="0"/>
        <v>1.0026999999999997</v>
      </c>
      <c r="B29" s="29" t="s">
        <v>207</v>
      </c>
      <c r="C29" s="28" t="s">
        <v>208</v>
      </c>
      <c r="D29" s="44" t="s">
        <v>209</v>
      </c>
      <c r="E29" s="6"/>
      <c r="F29" s="8" t="s">
        <v>7</v>
      </c>
      <c r="G29" s="8">
        <f t="shared" si="1"/>
        <v>0</v>
      </c>
      <c r="H29" s="8">
        <f t="shared" si="1"/>
        <v>0</v>
      </c>
      <c r="I29" s="8">
        <f t="shared" si="1"/>
        <v>0</v>
      </c>
      <c r="J29" s="8">
        <f t="shared" si="1"/>
        <v>1</v>
      </c>
      <c r="K29" s="8">
        <f t="shared" si="1"/>
        <v>0</v>
      </c>
      <c r="L29" s="7"/>
    </row>
    <row r="30" spans="1:12" ht="63.75" x14ac:dyDescent="0.25">
      <c r="A30" s="25">
        <f t="shared" si="0"/>
        <v>1.0027999999999997</v>
      </c>
      <c r="B30" s="29" t="s">
        <v>210</v>
      </c>
      <c r="C30" s="28" t="s">
        <v>211</v>
      </c>
      <c r="D30" s="44" t="s">
        <v>212</v>
      </c>
      <c r="E30" s="6"/>
      <c r="F30" s="8" t="s">
        <v>7</v>
      </c>
      <c r="G30" s="8">
        <f t="shared" si="1"/>
        <v>0</v>
      </c>
      <c r="H30" s="8">
        <f t="shared" si="1"/>
        <v>0</v>
      </c>
      <c r="I30" s="8">
        <f t="shared" si="1"/>
        <v>0</v>
      </c>
      <c r="J30" s="8">
        <f t="shared" si="1"/>
        <v>1</v>
      </c>
      <c r="K30" s="8">
        <f t="shared" si="1"/>
        <v>0</v>
      </c>
      <c r="L30" s="7"/>
    </row>
    <row r="31" spans="1:12" x14ac:dyDescent="0.25">
      <c r="A31" s="25">
        <f t="shared" si="0"/>
        <v>1.0028999999999997</v>
      </c>
      <c r="B31" s="30" t="s">
        <v>213</v>
      </c>
      <c r="C31" s="28" t="s">
        <v>214</v>
      </c>
      <c r="D31" s="44" t="s">
        <v>215</v>
      </c>
      <c r="E31" s="6"/>
      <c r="F31" s="8" t="s">
        <v>7</v>
      </c>
      <c r="G31" s="8">
        <f t="shared" si="1"/>
        <v>0</v>
      </c>
      <c r="H31" s="8">
        <f t="shared" si="1"/>
        <v>0</v>
      </c>
      <c r="I31" s="8">
        <f t="shared" si="1"/>
        <v>0</v>
      </c>
      <c r="J31" s="8">
        <f t="shared" si="1"/>
        <v>1</v>
      </c>
      <c r="K31" s="8">
        <f t="shared" si="1"/>
        <v>0</v>
      </c>
      <c r="L31" s="7"/>
    </row>
    <row r="32" spans="1:12" s="20" customFormat="1" x14ac:dyDescent="0.25">
      <c r="A32" s="16">
        <v>2</v>
      </c>
      <c r="B32" s="17" t="s">
        <v>217</v>
      </c>
      <c r="C32" s="18"/>
      <c r="D32" s="66"/>
      <c r="E32" s="17"/>
      <c r="F32" s="19"/>
      <c r="G32" s="19"/>
      <c r="H32" s="19"/>
      <c r="I32" s="19"/>
      <c r="J32" s="19"/>
      <c r="K32" s="19"/>
      <c r="L32" s="17"/>
    </row>
    <row r="33" spans="1:12" x14ac:dyDescent="0.25">
      <c r="A33" s="5">
        <f t="shared" si="0"/>
        <v>2.0001000000000002</v>
      </c>
      <c r="B33" s="41" t="s">
        <v>218</v>
      </c>
      <c r="C33" s="42" t="s">
        <v>219</v>
      </c>
      <c r="D33" s="44" t="s">
        <v>220</v>
      </c>
      <c r="E33" s="6"/>
      <c r="F33" s="8" t="s">
        <v>7</v>
      </c>
      <c r="G33" s="8">
        <f t="shared" ref="G33:K48" si="2">IF($F33=G$1,1,0)</f>
        <v>0</v>
      </c>
      <c r="H33" s="8">
        <f t="shared" si="2"/>
        <v>0</v>
      </c>
      <c r="I33" s="8">
        <f t="shared" si="2"/>
        <v>0</v>
      </c>
      <c r="J33" s="8">
        <f t="shared" si="2"/>
        <v>1</v>
      </c>
      <c r="K33" s="8">
        <f t="shared" si="2"/>
        <v>0</v>
      </c>
      <c r="L33" s="7"/>
    </row>
    <row r="34" spans="1:12" ht="25.5" x14ac:dyDescent="0.25">
      <c r="A34" s="5">
        <f t="shared" si="0"/>
        <v>2.0002000000000004</v>
      </c>
      <c r="B34" s="6" t="s">
        <v>221</v>
      </c>
      <c r="C34" s="9" t="s">
        <v>222</v>
      </c>
      <c r="D34" s="44" t="s">
        <v>223</v>
      </c>
      <c r="E34" s="6"/>
      <c r="F34" s="8" t="s">
        <v>7</v>
      </c>
      <c r="G34" s="8">
        <f t="shared" si="2"/>
        <v>0</v>
      </c>
      <c r="H34" s="8">
        <f t="shared" si="2"/>
        <v>0</v>
      </c>
      <c r="I34" s="8">
        <f t="shared" si="2"/>
        <v>0</v>
      </c>
      <c r="J34" s="8">
        <f t="shared" si="2"/>
        <v>1</v>
      </c>
      <c r="K34" s="8">
        <f t="shared" si="2"/>
        <v>0</v>
      </c>
      <c r="L34" s="7"/>
    </row>
    <row r="35" spans="1:12" x14ac:dyDescent="0.25">
      <c r="A35" s="5">
        <f t="shared" si="0"/>
        <v>2.0003000000000006</v>
      </c>
      <c r="B35" s="6" t="s">
        <v>192</v>
      </c>
      <c r="C35" s="9" t="s">
        <v>224</v>
      </c>
      <c r="D35" s="44" t="s">
        <v>225</v>
      </c>
      <c r="E35" s="6"/>
      <c r="F35" s="8" t="s">
        <v>7</v>
      </c>
      <c r="G35" s="8">
        <f t="shared" si="2"/>
        <v>0</v>
      </c>
      <c r="H35" s="8">
        <f t="shared" si="2"/>
        <v>0</v>
      </c>
      <c r="I35" s="8">
        <f t="shared" si="2"/>
        <v>0</v>
      </c>
      <c r="J35" s="8">
        <f t="shared" si="2"/>
        <v>1</v>
      </c>
      <c r="K35" s="8">
        <f t="shared" si="2"/>
        <v>0</v>
      </c>
      <c r="L35" s="7"/>
    </row>
    <row r="36" spans="1:12" x14ac:dyDescent="0.25">
      <c r="A36" s="5">
        <f>A34+0.0001</f>
        <v>2.0003000000000006</v>
      </c>
      <c r="B36" s="6" t="s">
        <v>226</v>
      </c>
      <c r="C36" s="9"/>
      <c r="D36" s="44"/>
      <c r="E36" s="6"/>
      <c r="F36" s="8" t="s">
        <v>7</v>
      </c>
      <c r="G36" s="8">
        <f t="shared" si="2"/>
        <v>0</v>
      </c>
      <c r="H36" s="8">
        <f t="shared" si="2"/>
        <v>0</v>
      </c>
      <c r="I36" s="8">
        <f t="shared" si="2"/>
        <v>0</v>
      </c>
      <c r="J36" s="8">
        <f t="shared" si="2"/>
        <v>1</v>
      </c>
      <c r="K36" s="8">
        <f t="shared" si="2"/>
        <v>0</v>
      </c>
      <c r="L36" s="7"/>
    </row>
    <row r="37" spans="1:12" ht="25.5" x14ac:dyDescent="0.25">
      <c r="A37" s="5">
        <f>A34+0.0001</f>
        <v>2.0003000000000006</v>
      </c>
      <c r="B37" s="7" t="s">
        <v>227</v>
      </c>
      <c r="C37" s="6"/>
      <c r="D37" s="63"/>
      <c r="E37" s="6"/>
      <c r="F37" s="8" t="s">
        <v>7</v>
      </c>
      <c r="G37" s="8">
        <f t="shared" si="2"/>
        <v>0</v>
      </c>
      <c r="H37" s="8">
        <f t="shared" si="2"/>
        <v>0</v>
      </c>
      <c r="I37" s="8">
        <f t="shared" si="2"/>
        <v>0</v>
      </c>
      <c r="J37" s="8">
        <f t="shared" si="2"/>
        <v>1</v>
      </c>
      <c r="K37" s="8">
        <f t="shared" si="2"/>
        <v>0</v>
      </c>
      <c r="L37" s="7"/>
    </row>
    <row r="38" spans="1:12" ht="51" x14ac:dyDescent="0.25">
      <c r="A38" s="5">
        <f t="shared" si="0"/>
        <v>2.0004000000000008</v>
      </c>
      <c r="B38" s="7" t="s">
        <v>228</v>
      </c>
      <c r="C38" s="6"/>
      <c r="D38" s="44"/>
      <c r="E38" s="7"/>
      <c r="F38" s="8" t="s">
        <v>7</v>
      </c>
      <c r="G38" s="8">
        <f t="shared" si="2"/>
        <v>0</v>
      </c>
      <c r="H38" s="8">
        <f t="shared" si="2"/>
        <v>0</v>
      </c>
      <c r="I38" s="8">
        <f t="shared" si="2"/>
        <v>0</v>
      </c>
      <c r="J38" s="8">
        <f t="shared" si="2"/>
        <v>1</v>
      </c>
      <c r="K38" s="8">
        <f t="shared" si="2"/>
        <v>0</v>
      </c>
      <c r="L38" s="7"/>
    </row>
    <row r="39" spans="1:12" x14ac:dyDescent="0.25">
      <c r="A39" s="5">
        <f t="shared" si="0"/>
        <v>2.0005000000000011</v>
      </c>
      <c r="B39" s="7" t="s">
        <v>195</v>
      </c>
      <c r="C39" s="6" t="s">
        <v>229</v>
      </c>
      <c r="D39" s="44"/>
      <c r="E39" s="7"/>
      <c r="F39" s="8" t="s">
        <v>7</v>
      </c>
      <c r="G39" s="8">
        <f t="shared" si="2"/>
        <v>0</v>
      </c>
      <c r="H39" s="8">
        <f t="shared" si="2"/>
        <v>0</v>
      </c>
      <c r="I39" s="8">
        <f t="shared" si="2"/>
        <v>0</v>
      </c>
      <c r="J39" s="8">
        <f t="shared" si="2"/>
        <v>1</v>
      </c>
      <c r="K39" s="8">
        <f t="shared" si="2"/>
        <v>0</v>
      </c>
      <c r="L39" s="7"/>
    </row>
    <row r="40" spans="1:12" x14ac:dyDescent="0.25">
      <c r="A40" s="5">
        <f t="shared" si="0"/>
        <v>2.0006000000000013</v>
      </c>
      <c r="B40" s="6" t="s">
        <v>143</v>
      </c>
      <c r="C40" s="6" t="s">
        <v>229</v>
      </c>
      <c r="D40" s="44"/>
      <c r="E40" s="7"/>
      <c r="F40" s="8" t="s">
        <v>7</v>
      </c>
      <c r="G40" s="8">
        <f t="shared" si="2"/>
        <v>0</v>
      </c>
      <c r="H40" s="8">
        <f t="shared" si="2"/>
        <v>0</v>
      </c>
      <c r="I40" s="8">
        <f t="shared" si="2"/>
        <v>0</v>
      </c>
      <c r="J40" s="8">
        <f t="shared" si="2"/>
        <v>1</v>
      </c>
      <c r="K40" s="8">
        <f t="shared" si="2"/>
        <v>0</v>
      </c>
      <c r="L40" s="7"/>
    </row>
    <row r="41" spans="1:12" x14ac:dyDescent="0.25">
      <c r="A41" s="5">
        <f t="shared" si="0"/>
        <v>2.0007000000000015</v>
      </c>
      <c r="B41" s="6" t="s">
        <v>200</v>
      </c>
      <c r="C41" s="6" t="s">
        <v>230</v>
      </c>
      <c r="D41" s="44"/>
      <c r="E41" s="7"/>
      <c r="F41" s="8" t="s">
        <v>7</v>
      </c>
      <c r="G41" s="8">
        <f t="shared" si="2"/>
        <v>0</v>
      </c>
      <c r="H41" s="8">
        <f t="shared" si="2"/>
        <v>0</v>
      </c>
      <c r="I41" s="8">
        <f t="shared" si="2"/>
        <v>0</v>
      </c>
      <c r="J41" s="8">
        <f t="shared" si="2"/>
        <v>1</v>
      </c>
      <c r="K41" s="8">
        <f t="shared" si="2"/>
        <v>0</v>
      </c>
      <c r="L41" s="7"/>
    </row>
    <row r="42" spans="1:12" ht="38.25" x14ac:dyDescent="0.25">
      <c r="A42" s="5">
        <f t="shared" si="0"/>
        <v>2.0008000000000017</v>
      </c>
      <c r="B42" s="6" t="s">
        <v>204</v>
      </c>
      <c r="C42" s="6" t="s">
        <v>231</v>
      </c>
      <c r="D42" s="44" t="s">
        <v>232</v>
      </c>
      <c r="E42" s="7"/>
      <c r="F42" s="8" t="s">
        <v>7</v>
      </c>
      <c r="G42" s="8">
        <f t="shared" si="2"/>
        <v>0</v>
      </c>
      <c r="H42" s="8">
        <f t="shared" si="2"/>
        <v>0</v>
      </c>
      <c r="I42" s="8">
        <f t="shared" si="2"/>
        <v>0</v>
      </c>
      <c r="J42" s="8">
        <f t="shared" si="2"/>
        <v>1</v>
      </c>
      <c r="K42" s="8">
        <f t="shared" si="2"/>
        <v>0</v>
      </c>
      <c r="L42" s="7"/>
    </row>
    <row r="43" spans="1:12" x14ac:dyDescent="0.25">
      <c r="A43" s="5">
        <f t="shared" si="0"/>
        <v>2.0009000000000019</v>
      </c>
      <c r="B43" s="6" t="s">
        <v>207</v>
      </c>
      <c r="C43" s="6" t="s">
        <v>233</v>
      </c>
      <c r="D43" s="44"/>
      <c r="E43" s="7"/>
      <c r="F43" s="8" t="s">
        <v>7</v>
      </c>
      <c r="G43" s="8">
        <f t="shared" si="2"/>
        <v>0</v>
      </c>
      <c r="H43" s="8">
        <f t="shared" si="2"/>
        <v>0</v>
      </c>
      <c r="I43" s="8">
        <f t="shared" si="2"/>
        <v>0</v>
      </c>
      <c r="J43" s="8">
        <f t="shared" si="2"/>
        <v>1</v>
      </c>
      <c r="K43" s="8">
        <f t="shared" si="2"/>
        <v>0</v>
      </c>
      <c r="L43" s="7"/>
    </row>
    <row r="44" spans="1:12" x14ac:dyDescent="0.25">
      <c r="A44" s="5">
        <f t="shared" si="0"/>
        <v>2.0010000000000021</v>
      </c>
      <c r="B44" s="6" t="s">
        <v>210</v>
      </c>
      <c r="C44" s="6" t="s">
        <v>234</v>
      </c>
      <c r="D44" s="44"/>
      <c r="E44" s="7"/>
      <c r="F44" s="8" t="s">
        <v>7</v>
      </c>
      <c r="G44" s="8">
        <f t="shared" si="2"/>
        <v>0</v>
      </c>
      <c r="H44" s="8">
        <f t="shared" si="2"/>
        <v>0</v>
      </c>
      <c r="I44" s="8">
        <f t="shared" si="2"/>
        <v>0</v>
      </c>
      <c r="J44" s="8">
        <f t="shared" si="2"/>
        <v>1</v>
      </c>
      <c r="K44" s="8">
        <f t="shared" si="2"/>
        <v>0</v>
      </c>
      <c r="L44" s="7"/>
    </row>
    <row r="45" spans="1:12" x14ac:dyDescent="0.25">
      <c r="A45" s="5">
        <f t="shared" si="0"/>
        <v>2.0011000000000023</v>
      </c>
      <c r="B45" s="6" t="s">
        <v>213</v>
      </c>
      <c r="C45" s="6" t="s">
        <v>235</v>
      </c>
      <c r="D45" s="44" t="s">
        <v>236</v>
      </c>
      <c r="E45" s="7"/>
      <c r="F45" s="8" t="s">
        <v>7</v>
      </c>
      <c r="G45" s="8">
        <f t="shared" si="2"/>
        <v>0</v>
      </c>
      <c r="H45" s="8">
        <f t="shared" si="2"/>
        <v>0</v>
      </c>
      <c r="I45" s="8">
        <f t="shared" si="2"/>
        <v>0</v>
      </c>
      <c r="J45" s="8">
        <f t="shared" si="2"/>
        <v>1</v>
      </c>
      <c r="K45" s="8">
        <f t="shared" si="2"/>
        <v>0</v>
      </c>
      <c r="L45" s="7"/>
    </row>
    <row r="46" spans="1:12" x14ac:dyDescent="0.25">
      <c r="A46" s="5">
        <f t="shared" si="0"/>
        <v>2.0012000000000025</v>
      </c>
      <c r="B46" s="6" t="s">
        <v>237</v>
      </c>
      <c r="C46" s="6"/>
      <c r="D46" s="44"/>
      <c r="E46" s="7"/>
      <c r="F46" s="8" t="s">
        <v>7</v>
      </c>
      <c r="G46" s="8">
        <f t="shared" si="2"/>
        <v>0</v>
      </c>
      <c r="H46" s="8">
        <f t="shared" si="2"/>
        <v>0</v>
      </c>
      <c r="I46" s="8">
        <f t="shared" si="2"/>
        <v>0</v>
      </c>
      <c r="J46" s="8">
        <f t="shared" si="2"/>
        <v>1</v>
      </c>
      <c r="K46" s="8">
        <f t="shared" si="2"/>
        <v>0</v>
      </c>
      <c r="L46" s="7"/>
    </row>
    <row r="47" spans="1:12" x14ac:dyDescent="0.25">
      <c r="A47" s="5">
        <f t="shared" si="0"/>
        <v>2.0013000000000027</v>
      </c>
      <c r="B47" s="6"/>
      <c r="C47" s="6"/>
      <c r="D47" s="44"/>
      <c r="E47" s="7"/>
      <c r="F47" s="8" t="s">
        <v>7</v>
      </c>
      <c r="G47" s="8">
        <f t="shared" si="2"/>
        <v>0</v>
      </c>
      <c r="H47" s="8">
        <f t="shared" si="2"/>
        <v>0</v>
      </c>
      <c r="I47" s="8">
        <f t="shared" si="2"/>
        <v>0</v>
      </c>
      <c r="J47" s="8">
        <f t="shared" si="2"/>
        <v>1</v>
      </c>
      <c r="K47" s="8">
        <f t="shared" si="2"/>
        <v>0</v>
      </c>
      <c r="L47" s="7"/>
    </row>
    <row r="48" spans="1:12" ht="25.5" x14ac:dyDescent="0.25">
      <c r="A48" s="5">
        <f t="shared" si="0"/>
        <v>2.001400000000003</v>
      </c>
      <c r="B48" s="7" t="s">
        <v>238</v>
      </c>
      <c r="C48" s="6">
        <v>0</v>
      </c>
      <c r="D48" s="44" t="s">
        <v>239</v>
      </c>
      <c r="E48" s="7"/>
      <c r="F48" s="8" t="s">
        <v>7</v>
      </c>
      <c r="G48" s="8">
        <f t="shared" si="2"/>
        <v>0</v>
      </c>
      <c r="H48" s="8">
        <f t="shared" si="2"/>
        <v>0</v>
      </c>
      <c r="I48" s="8">
        <f t="shared" si="2"/>
        <v>0</v>
      </c>
      <c r="J48" s="8">
        <f t="shared" si="2"/>
        <v>1</v>
      </c>
      <c r="K48" s="8">
        <f t="shared" si="2"/>
        <v>0</v>
      </c>
      <c r="L48" s="7"/>
    </row>
    <row r="49" spans="1:12" s="20" customFormat="1" x14ac:dyDescent="0.25">
      <c r="A49" s="16">
        <v>3</v>
      </c>
      <c r="B49" s="17" t="s">
        <v>240</v>
      </c>
      <c r="C49" s="18"/>
      <c r="D49" s="66"/>
      <c r="E49" s="17"/>
      <c r="F49" s="19"/>
      <c r="G49" s="19"/>
      <c r="H49" s="19"/>
      <c r="I49" s="19"/>
      <c r="J49" s="19"/>
      <c r="K49" s="19"/>
      <c r="L49" s="17"/>
    </row>
    <row r="50" spans="1:12" x14ac:dyDescent="0.25">
      <c r="A50" s="5">
        <f t="shared" si="0"/>
        <v>3.0001000000000002</v>
      </c>
      <c r="B50" s="41" t="s">
        <v>218</v>
      </c>
      <c r="C50" s="41" t="s">
        <v>219</v>
      </c>
      <c r="D50" s="44" t="s">
        <v>220</v>
      </c>
      <c r="E50" s="7"/>
      <c r="F50" s="8" t="s">
        <v>7</v>
      </c>
      <c r="G50" s="8">
        <f t="shared" ref="G50:K67" si="3">IF($F50=G$1,1,0)</f>
        <v>0</v>
      </c>
      <c r="H50" s="8">
        <f t="shared" si="3"/>
        <v>0</v>
      </c>
      <c r="I50" s="8">
        <f t="shared" si="3"/>
        <v>0</v>
      </c>
      <c r="J50" s="8">
        <f t="shared" si="3"/>
        <v>1</v>
      </c>
      <c r="K50" s="8">
        <f t="shared" si="3"/>
        <v>0</v>
      </c>
      <c r="L50" s="7"/>
    </row>
    <row r="51" spans="1:12" ht="25.5" x14ac:dyDescent="0.25">
      <c r="A51" s="5">
        <f t="shared" si="0"/>
        <v>3.0002000000000004</v>
      </c>
      <c r="B51" s="6" t="s">
        <v>221</v>
      </c>
      <c r="C51" s="6" t="s">
        <v>222</v>
      </c>
      <c r="D51" s="44" t="s">
        <v>223</v>
      </c>
      <c r="E51" s="7"/>
      <c r="F51" s="8" t="s">
        <v>7</v>
      </c>
      <c r="G51" s="8">
        <f t="shared" si="3"/>
        <v>0</v>
      </c>
      <c r="H51" s="8">
        <f t="shared" si="3"/>
        <v>0</v>
      </c>
      <c r="I51" s="8">
        <f t="shared" si="3"/>
        <v>0</v>
      </c>
      <c r="J51" s="8">
        <f t="shared" si="3"/>
        <v>1</v>
      </c>
      <c r="K51" s="8">
        <f t="shared" si="3"/>
        <v>0</v>
      </c>
      <c r="L51" s="7"/>
    </row>
    <row r="52" spans="1:12" x14ac:dyDescent="0.25">
      <c r="A52" s="5">
        <f t="shared" si="0"/>
        <v>3.0003000000000006</v>
      </c>
      <c r="B52" s="6" t="s">
        <v>192</v>
      </c>
      <c r="C52" s="6" t="s">
        <v>241</v>
      </c>
      <c r="D52" s="44" t="s">
        <v>242</v>
      </c>
      <c r="E52" s="7"/>
      <c r="F52" s="8" t="s">
        <v>7</v>
      </c>
      <c r="G52" s="8">
        <f t="shared" si="3"/>
        <v>0</v>
      </c>
      <c r="H52" s="8">
        <f t="shared" si="3"/>
        <v>0</v>
      </c>
      <c r="I52" s="8">
        <f t="shared" si="3"/>
        <v>0</v>
      </c>
      <c r="J52" s="8">
        <f t="shared" si="3"/>
        <v>1</v>
      </c>
      <c r="K52" s="8">
        <f t="shared" si="3"/>
        <v>0</v>
      </c>
      <c r="L52" s="7"/>
    </row>
    <row r="53" spans="1:12" x14ac:dyDescent="0.25">
      <c r="A53" s="5">
        <f t="shared" si="0"/>
        <v>3.0004000000000008</v>
      </c>
      <c r="B53" s="6" t="s">
        <v>243</v>
      </c>
      <c r="C53" s="6"/>
      <c r="D53" s="44"/>
      <c r="E53" s="7"/>
      <c r="F53" s="8" t="s">
        <v>7</v>
      </c>
      <c r="G53" s="8">
        <f t="shared" si="3"/>
        <v>0</v>
      </c>
      <c r="H53" s="8">
        <f t="shared" si="3"/>
        <v>0</v>
      </c>
      <c r="I53" s="8">
        <f t="shared" si="3"/>
        <v>0</v>
      </c>
      <c r="J53" s="8">
        <f t="shared" si="3"/>
        <v>1</v>
      </c>
      <c r="K53" s="8">
        <f t="shared" si="3"/>
        <v>0</v>
      </c>
      <c r="L53" s="7"/>
    </row>
    <row r="54" spans="1:12" x14ac:dyDescent="0.25">
      <c r="A54" s="5">
        <f t="shared" si="0"/>
        <v>3.0005000000000011</v>
      </c>
      <c r="B54" s="7" t="s">
        <v>244</v>
      </c>
      <c r="C54" s="6"/>
      <c r="D54" s="44"/>
      <c r="E54" s="7"/>
      <c r="F54" s="8" t="s">
        <v>7</v>
      </c>
      <c r="G54" s="8">
        <f t="shared" si="3"/>
        <v>0</v>
      </c>
      <c r="H54" s="8">
        <f t="shared" si="3"/>
        <v>0</v>
      </c>
      <c r="I54" s="8">
        <f t="shared" si="3"/>
        <v>0</v>
      </c>
      <c r="J54" s="8">
        <f t="shared" si="3"/>
        <v>1</v>
      </c>
      <c r="K54" s="8">
        <f t="shared" si="3"/>
        <v>0</v>
      </c>
      <c r="L54" s="7"/>
    </row>
    <row r="55" spans="1:12" x14ac:dyDescent="0.25">
      <c r="A55" s="5">
        <f t="shared" si="0"/>
        <v>3.0006000000000013</v>
      </c>
      <c r="B55" s="7"/>
      <c r="C55" s="6"/>
      <c r="D55" s="44"/>
      <c r="E55" s="7"/>
      <c r="F55" s="8" t="s">
        <v>7</v>
      </c>
      <c r="G55" s="8">
        <f t="shared" si="3"/>
        <v>0</v>
      </c>
      <c r="H55" s="8">
        <f t="shared" si="3"/>
        <v>0</v>
      </c>
      <c r="I55" s="8">
        <f t="shared" si="3"/>
        <v>0</v>
      </c>
      <c r="J55" s="8">
        <f t="shared" si="3"/>
        <v>1</v>
      </c>
      <c r="K55" s="8">
        <f t="shared" si="3"/>
        <v>0</v>
      </c>
      <c r="L55" s="7"/>
    </row>
    <row r="56" spans="1:12" ht="25.5" x14ac:dyDescent="0.25">
      <c r="A56" s="5">
        <f t="shared" si="0"/>
        <v>3.0007000000000015</v>
      </c>
      <c r="B56" s="7" t="s">
        <v>245</v>
      </c>
      <c r="C56" s="6"/>
      <c r="D56" s="44"/>
      <c r="E56" s="7"/>
      <c r="F56" s="8" t="s">
        <v>7</v>
      </c>
      <c r="G56" s="8">
        <f t="shared" si="3"/>
        <v>0</v>
      </c>
      <c r="H56" s="8">
        <f t="shared" si="3"/>
        <v>0</v>
      </c>
      <c r="I56" s="8">
        <f t="shared" si="3"/>
        <v>0</v>
      </c>
      <c r="J56" s="8">
        <f t="shared" si="3"/>
        <v>1</v>
      </c>
      <c r="K56" s="8">
        <f t="shared" si="3"/>
        <v>0</v>
      </c>
      <c r="L56" s="7"/>
    </row>
    <row r="57" spans="1:12" x14ac:dyDescent="0.25">
      <c r="A57" s="5">
        <f t="shared" si="0"/>
        <v>3.0008000000000017</v>
      </c>
      <c r="B57" s="6" t="s">
        <v>195</v>
      </c>
      <c r="C57" s="6" t="s">
        <v>229</v>
      </c>
      <c r="D57" s="44"/>
      <c r="E57" s="7"/>
      <c r="F57" s="8" t="s">
        <v>7</v>
      </c>
      <c r="G57" s="8">
        <f t="shared" si="3"/>
        <v>0</v>
      </c>
      <c r="H57" s="8">
        <f t="shared" si="3"/>
        <v>0</v>
      </c>
      <c r="I57" s="8">
        <f t="shared" si="3"/>
        <v>0</v>
      </c>
      <c r="J57" s="8">
        <f t="shared" si="3"/>
        <v>1</v>
      </c>
      <c r="K57" s="8">
        <f t="shared" si="3"/>
        <v>0</v>
      </c>
      <c r="L57" s="7"/>
    </row>
    <row r="58" spans="1:12" x14ac:dyDescent="0.25">
      <c r="A58" s="5">
        <f t="shared" si="0"/>
        <v>3.0009000000000019</v>
      </c>
      <c r="B58" s="7" t="s">
        <v>143</v>
      </c>
      <c r="C58" s="6" t="s">
        <v>229</v>
      </c>
      <c r="D58" s="44"/>
      <c r="E58" s="7"/>
      <c r="F58" s="8" t="s">
        <v>7</v>
      </c>
      <c r="G58" s="8">
        <f t="shared" si="3"/>
        <v>0</v>
      </c>
      <c r="H58" s="8">
        <f t="shared" si="3"/>
        <v>0</v>
      </c>
      <c r="I58" s="8">
        <f t="shared" si="3"/>
        <v>0</v>
      </c>
      <c r="J58" s="8">
        <f t="shared" si="3"/>
        <v>1</v>
      </c>
      <c r="K58" s="8">
        <f t="shared" si="3"/>
        <v>0</v>
      </c>
      <c r="L58" s="7"/>
    </row>
    <row r="59" spans="1:12" ht="38.25" x14ac:dyDescent="0.25">
      <c r="A59" s="5">
        <f t="shared" si="0"/>
        <v>3.0010000000000021</v>
      </c>
      <c r="B59" s="6" t="s">
        <v>200</v>
      </c>
      <c r="C59" s="9" t="s">
        <v>231</v>
      </c>
      <c r="D59" s="44" t="s">
        <v>232</v>
      </c>
      <c r="E59" s="7"/>
      <c r="F59" s="8" t="s">
        <v>7</v>
      </c>
      <c r="G59" s="8">
        <f t="shared" si="3"/>
        <v>0</v>
      </c>
      <c r="H59" s="8">
        <f t="shared" si="3"/>
        <v>0</v>
      </c>
      <c r="I59" s="8">
        <f t="shared" si="3"/>
        <v>0</v>
      </c>
      <c r="J59" s="8">
        <f t="shared" si="3"/>
        <v>1</v>
      </c>
      <c r="K59" s="8">
        <f t="shared" si="3"/>
        <v>0</v>
      </c>
      <c r="L59" s="7"/>
    </row>
    <row r="60" spans="1:12" x14ac:dyDescent="0.25">
      <c r="A60" s="5">
        <f t="shared" si="0"/>
        <v>3.0011000000000023</v>
      </c>
      <c r="B60" s="7" t="s">
        <v>204</v>
      </c>
      <c r="C60" s="6" t="s">
        <v>246</v>
      </c>
      <c r="D60" s="44"/>
      <c r="E60" s="7"/>
      <c r="F60" s="8" t="s">
        <v>7</v>
      </c>
      <c r="G60" s="8">
        <f t="shared" si="3"/>
        <v>0</v>
      </c>
      <c r="H60" s="8">
        <f t="shared" si="3"/>
        <v>0</v>
      </c>
      <c r="I60" s="8">
        <f t="shared" si="3"/>
        <v>0</v>
      </c>
      <c r="J60" s="8">
        <f t="shared" si="3"/>
        <v>1</v>
      </c>
      <c r="K60" s="8">
        <f t="shared" si="3"/>
        <v>0</v>
      </c>
      <c r="L60" s="7"/>
    </row>
    <row r="61" spans="1:12" x14ac:dyDescent="0.25">
      <c r="A61" s="5">
        <f t="shared" si="0"/>
        <v>3.0012000000000025</v>
      </c>
      <c r="B61" s="6" t="s">
        <v>207</v>
      </c>
      <c r="C61" s="6" t="s">
        <v>247</v>
      </c>
      <c r="D61" s="44" t="s">
        <v>248</v>
      </c>
      <c r="E61" s="7"/>
      <c r="F61" s="8" t="s">
        <v>7</v>
      </c>
      <c r="G61" s="8">
        <f t="shared" si="3"/>
        <v>0</v>
      </c>
      <c r="H61" s="8">
        <f t="shared" si="3"/>
        <v>0</v>
      </c>
      <c r="I61" s="8">
        <f t="shared" si="3"/>
        <v>0</v>
      </c>
      <c r="J61" s="8">
        <f t="shared" si="3"/>
        <v>1</v>
      </c>
      <c r="K61" s="8">
        <f t="shared" si="3"/>
        <v>0</v>
      </c>
      <c r="L61" s="7"/>
    </row>
    <row r="62" spans="1:12" ht="25.5" x14ac:dyDescent="0.25">
      <c r="A62" s="5">
        <f t="shared" si="0"/>
        <v>3.0013000000000027</v>
      </c>
      <c r="B62" s="6" t="s">
        <v>210</v>
      </c>
      <c r="C62" s="6" t="s">
        <v>249</v>
      </c>
      <c r="D62" s="44" t="s">
        <v>250</v>
      </c>
      <c r="E62" s="7"/>
      <c r="F62" s="8" t="s">
        <v>7</v>
      </c>
      <c r="G62" s="8">
        <f t="shared" si="3"/>
        <v>0</v>
      </c>
      <c r="H62" s="8">
        <f t="shared" si="3"/>
        <v>0</v>
      </c>
      <c r="I62" s="8">
        <f t="shared" si="3"/>
        <v>0</v>
      </c>
      <c r="J62" s="8">
        <f t="shared" si="3"/>
        <v>1</v>
      </c>
      <c r="K62" s="8">
        <f t="shared" si="3"/>
        <v>0</v>
      </c>
      <c r="L62" s="7"/>
    </row>
    <row r="63" spans="1:12" x14ac:dyDescent="0.25">
      <c r="A63" s="5">
        <f t="shared" si="0"/>
        <v>3.001400000000003</v>
      </c>
      <c r="B63" s="6" t="s">
        <v>213</v>
      </c>
      <c r="C63" s="6" t="s">
        <v>235</v>
      </c>
      <c r="D63" s="44" t="s">
        <v>236</v>
      </c>
      <c r="E63" s="7"/>
      <c r="F63" s="8" t="s">
        <v>7</v>
      </c>
      <c r="G63" s="8">
        <f t="shared" si="3"/>
        <v>0</v>
      </c>
      <c r="H63" s="8">
        <f t="shared" si="3"/>
        <v>0</v>
      </c>
      <c r="I63" s="8">
        <f t="shared" si="3"/>
        <v>0</v>
      </c>
      <c r="J63" s="8">
        <f t="shared" si="3"/>
        <v>1</v>
      </c>
      <c r="K63" s="8">
        <f t="shared" si="3"/>
        <v>0</v>
      </c>
      <c r="L63" s="7"/>
    </row>
    <row r="64" spans="1:12" x14ac:dyDescent="0.25">
      <c r="A64" s="5">
        <f t="shared" si="0"/>
        <v>3.0015000000000032</v>
      </c>
      <c r="B64" s="6" t="s">
        <v>237</v>
      </c>
      <c r="C64" s="6"/>
      <c r="D64" s="44"/>
      <c r="E64" s="7"/>
      <c r="F64" s="8" t="s">
        <v>7</v>
      </c>
      <c r="G64" s="8">
        <f t="shared" si="3"/>
        <v>0</v>
      </c>
      <c r="H64" s="8">
        <f t="shared" si="3"/>
        <v>0</v>
      </c>
      <c r="I64" s="8">
        <f t="shared" si="3"/>
        <v>0</v>
      </c>
      <c r="J64" s="8">
        <f t="shared" si="3"/>
        <v>1</v>
      </c>
      <c r="K64" s="8">
        <f t="shared" si="3"/>
        <v>0</v>
      </c>
      <c r="L64" s="7"/>
    </row>
    <row r="65" spans="1:12" x14ac:dyDescent="0.25">
      <c r="A65" s="5">
        <f t="shared" si="0"/>
        <v>3.0016000000000034</v>
      </c>
      <c r="B65" s="6"/>
      <c r="C65" s="6"/>
      <c r="D65" s="44"/>
      <c r="E65" s="7"/>
      <c r="F65" s="8" t="s">
        <v>7</v>
      </c>
      <c r="G65" s="8">
        <f t="shared" si="3"/>
        <v>0</v>
      </c>
      <c r="H65" s="8">
        <f t="shared" si="3"/>
        <v>0</v>
      </c>
      <c r="I65" s="8">
        <f t="shared" si="3"/>
        <v>0</v>
      </c>
      <c r="J65" s="8">
        <f t="shared" si="3"/>
        <v>1</v>
      </c>
      <c r="K65" s="8">
        <f t="shared" si="3"/>
        <v>0</v>
      </c>
      <c r="L65" s="7"/>
    </row>
    <row r="66" spans="1:12" ht="25.5" x14ac:dyDescent="0.25">
      <c r="A66" s="5">
        <f t="shared" si="0"/>
        <v>3.0017000000000036</v>
      </c>
      <c r="B66" s="6" t="s">
        <v>238</v>
      </c>
      <c r="C66" s="6">
        <v>0</v>
      </c>
      <c r="D66" s="44" t="s">
        <v>239</v>
      </c>
      <c r="E66" s="7"/>
      <c r="F66" s="8" t="s">
        <v>7</v>
      </c>
      <c r="G66" s="8">
        <f t="shared" si="3"/>
        <v>0</v>
      </c>
      <c r="H66" s="8">
        <f t="shared" si="3"/>
        <v>0</v>
      </c>
      <c r="I66" s="8">
        <f t="shared" si="3"/>
        <v>0</v>
      </c>
      <c r="J66" s="8">
        <f t="shared" si="3"/>
        <v>1</v>
      </c>
      <c r="K66" s="8">
        <f t="shared" si="3"/>
        <v>0</v>
      </c>
      <c r="L66" s="7"/>
    </row>
    <row r="67" spans="1:12" x14ac:dyDescent="0.25">
      <c r="A67" s="5">
        <f t="shared" si="0"/>
        <v>3.0018000000000038</v>
      </c>
      <c r="B67" s="6" t="s">
        <v>252</v>
      </c>
      <c r="C67" s="6" t="s">
        <v>253</v>
      </c>
      <c r="D67" s="44" t="s">
        <v>254</v>
      </c>
      <c r="E67" s="7"/>
      <c r="F67" s="8" t="s">
        <v>7</v>
      </c>
      <c r="G67" s="8">
        <f t="shared" si="3"/>
        <v>0</v>
      </c>
      <c r="H67" s="8">
        <f t="shared" si="3"/>
        <v>0</v>
      </c>
      <c r="I67" s="8">
        <f t="shared" si="3"/>
        <v>0</v>
      </c>
      <c r="J67" s="8">
        <f t="shared" si="3"/>
        <v>1</v>
      </c>
      <c r="K67" s="8">
        <f t="shared" si="3"/>
        <v>0</v>
      </c>
      <c r="L67" s="7"/>
    </row>
    <row r="68" spans="1:12" s="20" customFormat="1" x14ac:dyDescent="0.25">
      <c r="A68" s="16">
        <v>4</v>
      </c>
      <c r="B68" s="17" t="s">
        <v>251</v>
      </c>
      <c r="C68" s="18"/>
      <c r="D68" s="66"/>
      <c r="E68" s="17"/>
      <c r="F68" s="19"/>
      <c r="G68" s="19"/>
      <c r="H68" s="19"/>
      <c r="I68" s="19"/>
      <c r="J68" s="19"/>
      <c r="K68" s="19"/>
      <c r="L68" s="17"/>
    </row>
    <row r="69" spans="1:12" ht="25.5" x14ac:dyDescent="0.25">
      <c r="A69" s="5">
        <f t="shared" si="0"/>
        <v>4.0000999999999998</v>
      </c>
      <c r="B69" s="6" t="s">
        <v>221</v>
      </c>
      <c r="C69" s="6" t="s">
        <v>222</v>
      </c>
      <c r="D69" s="44" t="s">
        <v>223</v>
      </c>
      <c r="E69" s="7"/>
      <c r="F69" s="8" t="s">
        <v>7</v>
      </c>
      <c r="G69" s="8">
        <f t="shared" ref="G69:K82" si="4">IF($F69=G$1,1,0)</f>
        <v>0</v>
      </c>
      <c r="H69" s="8">
        <f t="shared" si="4"/>
        <v>0</v>
      </c>
      <c r="I69" s="8">
        <f t="shared" si="4"/>
        <v>0</v>
      </c>
      <c r="J69" s="8">
        <f t="shared" si="4"/>
        <v>1</v>
      </c>
      <c r="K69" s="8">
        <f t="shared" si="4"/>
        <v>0</v>
      </c>
      <c r="L69" s="7"/>
    </row>
    <row r="70" spans="1:12" x14ac:dyDescent="0.25">
      <c r="A70" s="5">
        <f t="shared" si="0"/>
        <v>4.0001999999999995</v>
      </c>
      <c r="B70" s="7" t="s">
        <v>192</v>
      </c>
      <c r="C70" s="6" t="s">
        <v>255</v>
      </c>
      <c r="D70" s="44" t="s">
        <v>256</v>
      </c>
      <c r="E70" s="7"/>
      <c r="F70" s="8" t="s">
        <v>7</v>
      </c>
      <c r="G70" s="8">
        <f t="shared" si="4"/>
        <v>0</v>
      </c>
      <c r="H70" s="8">
        <f t="shared" si="4"/>
        <v>0</v>
      </c>
      <c r="I70" s="8">
        <f t="shared" si="4"/>
        <v>0</v>
      </c>
      <c r="J70" s="8">
        <f t="shared" si="4"/>
        <v>1</v>
      </c>
      <c r="K70" s="8">
        <f t="shared" si="4"/>
        <v>0</v>
      </c>
      <c r="L70" s="7"/>
    </row>
    <row r="71" spans="1:12" ht="25.5" x14ac:dyDescent="0.25">
      <c r="A71" s="5">
        <f t="shared" si="0"/>
        <v>4.0002999999999993</v>
      </c>
      <c r="B71" s="6" t="s">
        <v>257</v>
      </c>
      <c r="C71" s="6"/>
      <c r="D71" s="44"/>
      <c r="E71" s="7"/>
      <c r="F71" s="8" t="s">
        <v>7</v>
      </c>
      <c r="G71" s="8">
        <f t="shared" si="4"/>
        <v>0</v>
      </c>
      <c r="H71" s="8">
        <f t="shared" si="4"/>
        <v>0</v>
      </c>
      <c r="I71" s="8">
        <f t="shared" si="4"/>
        <v>0</v>
      </c>
      <c r="J71" s="8">
        <f t="shared" si="4"/>
        <v>1</v>
      </c>
      <c r="K71" s="8">
        <f t="shared" si="4"/>
        <v>0</v>
      </c>
      <c r="L71" s="7"/>
    </row>
    <row r="72" spans="1:12" x14ac:dyDescent="0.25">
      <c r="A72" s="5">
        <f t="shared" si="0"/>
        <v>4.0003999999999991</v>
      </c>
      <c r="B72" s="6" t="s">
        <v>195</v>
      </c>
      <c r="C72" s="6" t="s">
        <v>229</v>
      </c>
      <c r="D72" s="44"/>
      <c r="E72" s="7"/>
      <c r="F72" s="8" t="s">
        <v>7</v>
      </c>
      <c r="G72" s="8">
        <f t="shared" si="4"/>
        <v>0</v>
      </c>
      <c r="H72" s="8">
        <f t="shared" si="4"/>
        <v>0</v>
      </c>
      <c r="I72" s="8">
        <f t="shared" si="4"/>
        <v>0</v>
      </c>
      <c r="J72" s="8">
        <f t="shared" si="4"/>
        <v>1</v>
      </c>
      <c r="K72" s="8">
        <f t="shared" si="4"/>
        <v>0</v>
      </c>
      <c r="L72" s="7"/>
    </row>
    <row r="73" spans="1:12" x14ac:dyDescent="0.25">
      <c r="A73" s="5">
        <f t="shared" si="0"/>
        <v>4.0004999999999988</v>
      </c>
      <c r="B73" s="6" t="s">
        <v>143</v>
      </c>
      <c r="C73" s="6" t="s">
        <v>229</v>
      </c>
      <c r="D73" s="44"/>
      <c r="E73" s="7"/>
      <c r="F73" s="8" t="s">
        <v>7</v>
      </c>
      <c r="G73" s="8">
        <f t="shared" si="4"/>
        <v>0</v>
      </c>
      <c r="H73" s="8">
        <f t="shared" si="4"/>
        <v>0</v>
      </c>
      <c r="I73" s="8">
        <f t="shared" si="4"/>
        <v>0</v>
      </c>
      <c r="J73" s="8">
        <f t="shared" si="4"/>
        <v>1</v>
      </c>
      <c r="K73" s="8">
        <f t="shared" si="4"/>
        <v>0</v>
      </c>
      <c r="L73" s="7"/>
    </row>
    <row r="74" spans="1:12" ht="38.25" x14ac:dyDescent="0.25">
      <c r="A74" s="5">
        <f t="shared" si="0"/>
        <v>4.0005999999999986</v>
      </c>
      <c r="B74" s="6" t="s">
        <v>200</v>
      </c>
      <c r="C74" s="6" t="s">
        <v>231</v>
      </c>
      <c r="D74" s="44" t="s">
        <v>232</v>
      </c>
      <c r="E74" s="7"/>
      <c r="F74" s="8" t="s">
        <v>7</v>
      </c>
      <c r="G74" s="8">
        <f t="shared" si="4"/>
        <v>0</v>
      </c>
      <c r="H74" s="8">
        <f t="shared" si="4"/>
        <v>0</v>
      </c>
      <c r="I74" s="8">
        <f t="shared" si="4"/>
        <v>0</v>
      </c>
      <c r="J74" s="8">
        <f t="shared" si="4"/>
        <v>1</v>
      </c>
      <c r="K74" s="8">
        <f t="shared" si="4"/>
        <v>0</v>
      </c>
      <c r="L74" s="7"/>
    </row>
    <row r="75" spans="1:12" ht="38.25" x14ac:dyDescent="0.25">
      <c r="A75" s="5">
        <f t="shared" si="0"/>
        <v>4.0006999999999984</v>
      </c>
      <c r="B75" s="6" t="s">
        <v>204</v>
      </c>
      <c r="C75" s="6" t="s">
        <v>231</v>
      </c>
      <c r="D75" s="44" t="s">
        <v>232</v>
      </c>
      <c r="E75" s="7"/>
      <c r="F75" s="8" t="s">
        <v>7</v>
      </c>
      <c r="G75" s="8">
        <f t="shared" si="4"/>
        <v>0</v>
      </c>
      <c r="H75" s="8">
        <f t="shared" si="4"/>
        <v>0</v>
      </c>
      <c r="I75" s="8">
        <f t="shared" si="4"/>
        <v>0</v>
      </c>
      <c r="J75" s="8">
        <f t="shared" si="4"/>
        <v>1</v>
      </c>
      <c r="K75" s="8">
        <f t="shared" si="4"/>
        <v>0</v>
      </c>
      <c r="L75" s="7"/>
    </row>
    <row r="76" spans="1:12" x14ac:dyDescent="0.25">
      <c r="A76" s="5">
        <f t="shared" si="0"/>
        <v>4.0007999999999981</v>
      </c>
      <c r="B76" s="6" t="s">
        <v>207</v>
      </c>
      <c r="C76" s="6" t="s">
        <v>258</v>
      </c>
      <c r="D76" s="44"/>
      <c r="E76" s="7"/>
      <c r="F76" s="8" t="s">
        <v>7</v>
      </c>
      <c r="G76" s="8">
        <f t="shared" si="4"/>
        <v>0</v>
      </c>
      <c r="H76" s="8">
        <f t="shared" si="4"/>
        <v>0</v>
      </c>
      <c r="I76" s="8">
        <f t="shared" si="4"/>
        <v>0</v>
      </c>
      <c r="J76" s="8">
        <f t="shared" si="4"/>
        <v>1</v>
      </c>
      <c r="K76" s="8">
        <f t="shared" si="4"/>
        <v>0</v>
      </c>
      <c r="L76" s="7"/>
    </row>
    <row r="77" spans="1:12" x14ac:dyDescent="0.25">
      <c r="A77" s="5">
        <f t="shared" si="0"/>
        <v>4.0008999999999979</v>
      </c>
      <c r="B77" s="6" t="s">
        <v>210</v>
      </c>
      <c r="C77" s="6" t="s">
        <v>234</v>
      </c>
      <c r="D77" s="44"/>
      <c r="E77" s="7"/>
      <c r="F77" s="8" t="s">
        <v>7</v>
      </c>
      <c r="G77" s="8">
        <f t="shared" si="4"/>
        <v>0</v>
      </c>
      <c r="H77" s="8">
        <f t="shared" si="4"/>
        <v>0</v>
      </c>
      <c r="I77" s="8">
        <f t="shared" si="4"/>
        <v>0</v>
      </c>
      <c r="J77" s="8">
        <f t="shared" si="4"/>
        <v>1</v>
      </c>
      <c r="K77" s="8">
        <f t="shared" si="4"/>
        <v>0</v>
      </c>
      <c r="L77" s="7"/>
    </row>
    <row r="78" spans="1:12" x14ac:dyDescent="0.25">
      <c r="A78" s="5">
        <f t="shared" si="0"/>
        <v>4.0009999999999977</v>
      </c>
      <c r="B78" s="6" t="s">
        <v>213</v>
      </c>
      <c r="C78" s="6" t="s">
        <v>235</v>
      </c>
      <c r="D78" s="44" t="s">
        <v>236</v>
      </c>
      <c r="E78" s="7"/>
      <c r="F78" s="8" t="s">
        <v>7</v>
      </c>
      <c r="G78" s="8">
        <f t="shared" si="4"/>
        <v>0</v>
      </c>
      <c r="H78" s="8">
        <f t="shared" si="4"/>
        <v>0</v>
      </c>
      <c r="I78" s="8">
        <f t="shared" si="4"/>
        <v>0</v>
      </c>
      <c r="J78" s="8">
        <f t="shared" si="4"/>
        <v>1</v>
      </c>
      <c r="K78" s="8">
        <f t="shared" si="4"/>
        <v>0</v>
      </c>
      <c r="L78" s="7"/>
    </row>
    <row r="79" spans="1:12" x14ac:dyDescent="0.25">
      <c r="A79" s="5">
        <f t="shared" si="0"/>
        <v>4.0010999999999974</v>
      </c>
      <c r="B79" s="6" t="s">
        <v>237</v>
      </c>
      <c r="C79" s="6"/>
      <c r="D79" s="44"/>
      <c r="E79" s="7"/>
      <c r="F79" s="8" t="s">
        <v>7</v>
      </c>
      <c r="G79" s="8">
        <f t="shared" si="4"/>
        <v>0</v>
      </c>
      <c r="H79" s="8">
        <f t="shared" si="4"/>
        <v>0</v>
      </c>
      <c r="I79" s="8">
        <f t="shared" si="4"/>
        <v>0</v>
      </c>
      <c r="J79" s="8">
        <f t="shared" si="4"/>
        <v>1</v>
      </c>
      <c r="K79" s="8">
        <f t="shared" si="4"/>
        <v>0</v>
      </c>
      <c r="L79" s="7"/>
    </row>
    <row r="80" spans="1:12" x14ac:dyDescent="0.25">
      <c r="A80" s="5">
        <f t="shared" si="0"/>
        <v>4.0011999999999972</v>
      </c>
      <c r="B80" s="7"/>
      <c r="C80" s="6"/>
      <c r="D80" s="44"/>
      <c r="E80" s="7"/>
      <c r="F80" s="8" t="s">
        <v>7</v>
      </c>
      <c r="G80" s="8">
        <f t="shared" si="4"/>
        <v>0</v>
      </c>
      <c r="H80" s="8">
        <f t="shared" si="4"/>
        <v>0</v>
      </c>
      <c r="I80" s="8">
        <f t="shared" si="4"/>
        <v>0</v>
      </c>
      <c r="J80" s="8">
        <f t="shared" si="4"/>
        <v>1</v>
      </c>
      <c r="K80" s="8">
        <f t="shared" si="4"/>
        <v>0</v>
      </c>
      <c r="L80" s="7"/>
    </row>
    <row r="81" spans="1:12" ht="25.5" x14ac:dyDescent="0.25">
      <c r="A81" s="5">
        <f t="shared" si="0"/>
        <v>4.001299999999997</v>
      </c>
      <c r="B81" s="7" t="s">
        <v>259</v>
      </c>
      <c r="C81" s="6">
        <v>0</v>
      </c>
      <c r="D81" s="44" t="s">
        <v>239</v>
      </c>
      <c r="E81" s="7"/>
      <c r="F81" s="8" t="s">
        <v>7</v>
      </c>
      <c r="G81" s="8">
        <f t="shared" si="4"/>
        <v>0</v>
      </c>
      <c r="H81" s="8">
        <f t="shared" si="4"/>
        <v>0</v>
      </c>
      <c r="I81" s="8">
        <f t="shared" si="4"/>
        <v>0</v>
      </c>
      <c r="J81" s="8">
        <f t="shared" si="4"/>
        <v>1</v>
      </c>
      <c r="K81" s="8">
        <f t="shared" si="4"/>
        <v>0</v>
      </c>
      <c r="L81" s="7"/>
    </row>
    <row r="82" spans="1:12" x14ac:dyDescent="0.25">
      <c r="A82" s="5">
        <f t="shared" si="0"/>
        <v>4.0013999999999967</v>
      </c>
      <c r="B82" s="7"/>
      <c r="C82" s="6"/>
      <c r="D82" s="44"/>
      <c r="E82" s="7"/>
      <c r="F82" s="8" t="s">
        <v>7</v>
      </c>
      <c r="G82" s="8">
        <f t="shared" si="4"/>
        <v>0</v>
      </c>
      <c r="H82" s="8">
        <f t="shared" si="4"/>
        <v>0</v>
      </c>
      <c r="I82" s="8">
        <f t="shared" si="4"/>
        <v>0</v>
      </c>
      <c r="J82" s="8">
        <f t="shared" si="4"/>
        <v>1</v>
      </c>
      <c r="K82" s="8">
        <f t="shared" si="4"/>
        <v>0</v>
      </c>
      <c r="L82" s="7"/>
    </row>
    <row r="83" spans="1:12" ht="15.75" thickBot="1" x14ac:dyDescent="0.3">
      <c r="G83" s="2">
        <f>SUM(G2:G82)</f>
        <v>0</v>
      </c>
      <c r="H83" s="2">
        <f>SUM(H2:H82)</f>
        <v>0</v>
      </c>
      <c r="I83" s="2">
        <f>SUM(I2:I82)</f>
        <v>0</v>
      </c>
      <c r="J83" s="2">
        <f>SUM(J2:J82)</f>
        <v>77</v>
      </c>
      <c r="K83" s="2">
        <f>SUM(K2:K82)</f>
        <v>0</v>
      </c>
    </row>
    <row r="84" spans="1:12" ht="15.75" thickTop="1" x14ac:dyDescent="0.25"/>
  </sheetData>
  <conditionalFormatting sqref="A83:K102 B82:F82 A2:L2 L3:L31 B71:E81 A3:F31">
    <cfRule type="expression" dxfId="71" priority="33">
      <formula>$F2="Fail"</formula>
    </cfRule>
  </conditionalFormatting>
  <conditionalFormatting sqref="A32:K32 B57:E63 B37:F38 A37:A48 B36:C36 A33:E34 B39:C39 B56:C56 A50:A66 A69:A82">
    <cfRule type="expression" dxfId="70" priority="32">
      <formula>$F32="Fail"</formula>
    </cfRule>
  </conditionalFormatting>
  <conditionalFormatting sqref="B64:E66 B69:E70">
    <cfRule type="expression" dxfId="69" priority="31">
      <formula>$F64="Fail"</formula>
    </cfRule>
  </conditionalFormatting>
  <conditionalFormatting sqref="B50:E56 B48:C48 B57:C57">
    <cfRule type="expression" dxfId="68" priority="30">
      <formula>$F48="Fail"</formula>
    </cfRule>
  </conditionalFormatting>
  <conditionalFormatting sqref="B39:F39 B38:C38 B43:C43 B40:E42">
    <cfRule type="expression" dxfId="67" priority="29">
      <formula>$F38="Fail"</formula>
    </cfRule>
  </conditionalFormatting>
  <conditionalFormatting sqref="B42:C48 D43:E48">
    <cfRule type="expression" dxfId="66" priority="28">
      <formula>$F42="Fail"</formula>
    </cfRule>
  </conditionalFormatting>
  <conditionalFormatting sqref="A36:F36">
    <cfRule type="expression" dxfId="65" priority="27">
      <formula>$F36="Fail"</formula>
    </cfRule>
  </conditionalFormatting>
  <conditionalFormatting sqref="A35:F35">
    <cfRule type="expression" dxfId="64" priority="26">
      <formula>$F35="Fail"</formula>
    </cfRule>
  </conditionalFormatting>
  <conditionalFormatting sqref="B35:C35">
    <cfRule type="expression" dxfId="63" priority="25">
      <formula>$F35="Fail"</formula>
    </cfRule>
  </conditionalFormatting>
  <conditionalFormatting sqref="F33">
    <cfRule type="expression" dxfId="62" priority="24">
      <formula>$F33="Fail"</formula>
    </cfRule>
  </conditionalFormatting>
  <conditionalFormatting sqref="F34">
    <cfRule type="expression" dxfId="61" priority="23">
      <formula>$F34="Fail"</formula>
    </cfRule>
  </conditionalFormatting>
  <conditionalFormatting sqref="L71:L102">
    <cfRule type="expression" dxfId="60" priority="22">
      <formula>$F71="Fail"</formula>
    </cfRule>
  </conditionalFormatting>
  <conditionalFormatting sqref="L57:L63 L37:L38 L32:L34">
    <cfRule type="expression" dxfId="59" priority="21">
      <formula>$F32="Fail"</formula>
    </cfRule>
  </conditionalFormatting>
  <conditionalFormatting sqref="L64:L66 L69:L70">
    <cfRule type="expression" dxfId="58" priority="20">
      <formula>$F64="Fail"</formula>
    </cfRule>
  </conditionalFormatting>
  <conditionalFormatting sqref="L50:L56">
    <cfRule type="expression" dxfId="57" priority="19">
      <formula>$F50="Fail"</formula>
    </cfRule>
  </conditionalFormatting>
  <conditionalFormatting sqref="L39:L42">
    <cfRule type="expression" dxfId="56" priority="18">
      <formula>$F39="Fail"</formula>
    </cfRule>
  </conditionalFormatting>
  <conditionalFormatting sqref="L43:L48">
    <cfRule type="expression" dxfId="55" priority="17">
      <formula>$F43="Fail"</formula>
    </cfRule>
  </conditionalFormatting>
  <conditionalFormatting sqref="L36">
    <cfRule type="expression" dxfId="54" priority="16">
      <formula>$F36="Fail"</formula>
    </cfRule>
  </conditionalFormatting>
  <conditionalFormatting sqref="L35">
    <cfRule type="expression" dxfId="53" priority="15">
      <formula>$F35="Fail"</formula>
    </cfRule>
  </conditionalFormatting>
  <conditionalFormatting sqref="A49:K49">
    <cfRule type="expression" dxfId="52" priority="14">
      <formula>$F49="Fail"</formula>
    </cfRule>
  </conditionalFormatting>
  <conditionalFormatting sqref="L49">
    <cfRule type="expression" dxfId="51" priority="13">
      <formula>$F49="Fail"</formula>
    </cfRule>
  </conditionalFormatting>
  <conditionalFormatting sqref="A68:K68">
    <cfRule type="expression" dxfId="50" priority="12">
      <formula>$F68="Fail"</formula>
    </cfRule>
  </conditionalFormatting>
  <conditionalFormatting sqref="L68">
    <cfRule type="expression" dxfId="49" priority="11">
      <formula>$F68="Fail"</formula>
    </cfRule>
  </conditionalFormatting>
  <conditionalFormatting sqref="A67">
    <cfRule type="expression" dxfId="48" priority="10">
      <formula>$F67="Fail"</formula>
    </cfRule>
  </conditionalFormatting>
  <conditionalFormatting sqref="B67:E67">
    <cfRule type="expression" dxfId="47" priority="9">
      <formula>$F67="Fail"</formula>
    </cfRule>
  </conditionalFormatting>
  <conditionalFormatting sqref="L67">
    <cfRule type="expression" dxfId="46" priority="8">
      <formula>$F67="Fail"</formula>
    </cfRule>
  </conditionalFormatting>
  <conditionalFormatting sqref="G69:K82">
    <cfRule type="expression" dxfId="45" priority="7">
      <formula>$F69="Fail"</formula>
    </cfRule>
  </conditionalFormatting>
  <conditionalFormatting sqref="G50:K67">
    <cfRule type="expression" dxfId="44" priority="6">
      <formula>$F50="Fail"</formula>
    </cfRule>
  </conditionalFormatting>
  <conditionalFormatting sqref="G33:K48">
    <cfRule type="expression" dxfId="43" priority="5">
      <formula>$F33="Fail"</formula>
    </cfRule>
  </conditionalFormatting>
  <conditionalFormatting sqref="G3:K31">
    <cfRule type="expression" dxfId="42" priority="4">
      <formula>$F3="Fail"</formula>
    </cfRule>
  </conditionalFormatting>
  <conditionalFormatting sqref="F40:F48">
    <cfRule type="expression" dxfId="41" priority="3">
      <formula>$F40="Fail"</formula>
    </cfRule>
  </conditionalFormatting>
  <conditionalFormatting sqref="F50:F67">
    <cfRule type="expression" dxfId="40" priority="2">
      <formula>$F50="Fail"</formula>
    </cfRule>
  </conditionalFormatting>
  <conditionalFormatting sqref="F69:F81">
    <cfRule type="expression" dxfId="39" priority="1">
      <formula>$F69="Fail"</formula>
    </cfRule>
  </conditionalFormatting>
  <dataValidations count="1">
    <dataValidation type="list" allowBlank="1" showInputMessage="1" showErrorMessage="1" sqref="F2:F82">
      <formula1>$G$1:$K$1</formula1>
    </dataValidation>
  </dataValidations>
  <pageMargins left="0.70866141732283472" right="0.70866141732283472" top="0.74803149606299213" bottom="0.74803149606299213" header="0.31496062992125984" footer="0.31496062992125984"/>
  <pageSetup paperSize="9"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formatting">
                <anchor moveWithCells="1" sizeWithCells="1">
                  <from>
                    <xdr:col>2</xdr:col>
                    <xdr:colOff>2114550</xdr:colOff>
                    <xdr:row>0</xdr:row>
                    <xdr:rowOff>57150</xdr:rowOff>
                  </from>
                  <to>
                    <xdr:col>2</xdr:col>
                    <xdr:colOff>2924175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3"/>
  <sheetViews>
    <sheetView workbookViewId="0">
      <selection activeCell="J27" sqref="J27"/>
    </sheetView>
  </sheetViews>
  <sheetFormatPr defaultRowHeight="15" x14ac:dyDescent="0.25"/>
  <cols>
    <col min="2" max="2" width="11.85546875" bestFit="1" customWidth="1"/>
    <col min="10" max="10" width="14.42578125" bestFit="1" customWidth="1"/>
  </cols>
  <sheetData>
    <row r="1" spans="1:11" x14ac:dyDescent="0.25">
      <c r="A1" t="s">
        <v>17</v>
      </c>
      <c r="J1" t="s">
        <v>129</v>
      </c>
      <c r="K1" t="s">
        <v>132</v>
      </c>
    </row>
    <row r="2" spans="1:11" x14ac:dyDescent="0.25">
      <c r="B2" t="s">
        <v>18</v>
      </c>
      <c r="C2" t="s">
        <v>20</v>
      </c>
      <c r="J2" t="s">
        <v>130</v>
      </c>
      <c r="K2" t="s">
        <v>132</v>
      </c>
    </row>
    <row r="3" spans="1:11" x14ac:dyDescent="0.25">
      <c r="B3" t="s">
        <v>19</v>
      </c>
      <c r="C3" t="s">
        <v>21</v>
      </c>
      <c r="J3" t="s">
        <v>131</v>
      </c>
      <c r="K3" t="s">
        <v>132</v>
      </c>
    </row>
    <row r="4" spans="1:11" x14ac:dyDescent="0.25">
      <c r="C4" t="s">
        <v>22</v>
      </c>
    </row>
    <row r="7" spans="1:11" x14ac:dyDescent="0.25">
      <c r="B7" t="s">
        <v>23</v>
      </c>
    </row>
    <row r="8" spans="1:11" x14ac:dyDescent="0.25">
      <c r="C8" t="s">
        <v>24</v>
      </c>
    </row>
    <row r="10" spans="1:11" x14ac:dyDescent="0.25">
      <c r="B10" t="s">
        <v>25</v>
      </c>
    </row>
    <row r="12" spans="1:11" x14ac:dyDescent="0.25">
      <c r="B12" t="s">
        <v>26</v>
      </c>
    </row>
    <row r="13" spans="1:11" x14ac:dyDescent="0.25">
      <c r="B13" t="s">
        <v>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M11"/>
  <sheetViews>
    <sheetView tabSelected="1" topLeftCell="C1" zoomScaleNormal="100" workbookViewId="0">
      <pane ySplit="1" topLeftCell="A2" activePane="bottomLeft" state="frozen"/>
      <selection pane="bottomLeft" activeCell="E1" sqref="E1:E1048576"/>
    </sheetView>
  </sheetViews>
  <sheetFormatPr defaultRowHeight="15" x14ac:dyDescent="0.25"/>
  <cols>
    <col min="1" max="1" width="11.28515625" style="4" bestFit="1" customWidth="1"/>
    <col min="2" max="2" width="56.7109375" style="1" customWidth="1"/>
    <col min="3" max="3" width="58.7109375" style="1" bestFit="1" customWidth="1"/>
    <col min="4" max="4" width="21.42578125" style="1" customWidth="1"/>
    <col min="5" max="5" width="21.42578125" style="64" customWidth="1"/>
    <col min="6" max="6" width="7.85546875" style="1" customWidth="1"/>
    <col min="7" max="7" width="9.7109375" style="1" customWidth="1"/>
    <col min="8" max="11" width="9.140625" style="1"/>
    <col min="12" max="12" width="16.5703125" style="1" customWidth="1"/>
    <col min="13" max="13" width="39" style="1" customWidth="1"/>
    <col min="14" max="16384" width="9.140625" style="1"/>
  </cols>
  <sheetData>
    <row r="1" spans="1:13" ht="30" customHeight="1" x14ac:dyDescent="0.25">
      <c r="A1" s="10" t="s">
        <v>1</v>
      </c>
      <c r="B1" s="11" t="s">
        <v>11</v>
      </c>
      <c r="C1" s="11" t="s">
        <v>2</v>
      </c>
      <c r="D1" s="12" t="s">
        <v>4</v>
      </c>
      <c r="E1" s="69" t="s">
        <v>327</v>
      </c>
      <c r="F1" s="12" t="s">
        <v>3</v>
      </c>
      <c r="G1" s="11" t="s">
        <v>0</v>
      </c>
      <c r="H1" s="12" t="s">
        <v>5</v>
      </c>
      <c r="I1" s="12" t="s">
        <v>6</v>
      </c>
      <c r="J1" s="12"/>
      <c r="K1" s="12" t="s">
        <v>7</v>
      </c>
      <c r="L1" s="12" t="s">
        <v>8</v>
      </c>
      <c r="M1" s="12" t="s">
        <v>12</v>
      </c>
    </row>
    <row r="2" spans="1:13" s="53" customFormat="1" ht="30" customHeight="1" x14ac:dyDescent="0.25">
      <c r="A2" s="50"/>
      <c r="B2" s="67" t="s">
        <v>303</v>
      </c>
      <c r="C2" s="68"/>
      <c r="D2" s="51" t="s">
        <v>304</v>
      </c>
      <c r="E2" s="70"/>
      <c r="F2" s="51"/>
      <c r="G2" s="51"/>
      <c r="H2" s="51"/>
      <c r="I2" s="51"/>
      <c r="J2" s="51"/>
      <c r="K2" s="51"/>
      <c r="L2" s="51"/>
      <c r="M2" s="52"/>
    </row>
    <row r="3" spans="1:13" s="20" customFormat="1" x14ac:dyDescent="0.25">
      <c r="A3" s="16">
        <v>2</v>
      </c>
      <c r="B3" s="17" t="s">
        <v>305</v>
      </c>
      <c r="C3" s="18"/>
      <c r="D3" s="17"/>
      <c r="E3" s="71"/>
      <c r="F3" s="17"/>
      <c r="G3" s="19"/>
      <c r="H3" s="19"/>
      <c r="I3" s="19"/>
      <c r="J3" s="19"/>
      <c r="K3" s="19"/>
      <c r="L3" s="19"/>
      <c r="M3" s="17"/>
    </row>
    <row r="4" spans="1:13" ht="25.5" x14ac:dyDescent="0.25">
      <c r="A4" s="5">
        <f t="shared" ref="A4:A9" si="0">A3+0.0001</f>
        <v>2.0001000000000002</v>
      </c>
      <c r="B4" s="6" t="s">
        <v>306</v>
      </c>
      <c r="C4" s="9" t="s">
        <v>307</v>
      </c>
      <c r="D4" s="7" t="s">
        <v>309</v>
      </c>
      <c r="E4" s="44" t="s">
        <v>328</v>
      </c>
      <c r="F4" s="6"/>
      <c r="G4" s="8" t="s">
        <v>7</v>
      </c>
      <c r="H4" s="8">
        <f t="shared" ref="H4:L5" si="1">IF($G4=H$1,1,0)</f>
        <v>0</v>
      </c>
      <c r="I4" s="8">
        <f t="shared" si="1"/>
        <v>0</v>
      </c>
      <c r="J4" s="8">
        <f t="shared" si="1"/>
        <v>0</v>
      </c>
      <c r="K4" s="8">
        <f t="shared" si="1"/>
        <v>1</v>
      </c>
      <c r="L4" s="8">
        <f t="shared" si="1"/>
        <v>0</v>
      </c>
      <c r="M4" s="7"/>
    </row>
    <row r="5" spans="1:13" x14ac:dyDescent="0.25">
      <c r="A5" s="5">
        <f t="shared" si="0"/>
        <v>2.0002000000000004</v>
      </c>
      <c r="B5" s="41"/>
      <c r="C5" s="9" t="s">
        <v>308</v>
      </c>
      <c r="D5" s="7"/>
      <c r="E5" s="44" t="s">
        <v>328</v>
      </c>
      <c r="F5" s="6"/>
      <c r="G5" s="8" t="s">
        <v>7</v>
      </c>
      <c r="H5" s="8">
        <f t="shared" si="1"/>
        <v>0</v>
      </c>
      <c r="I5" s="8">
        <f t="shared" si="1"/>
        <v>0</v>
      </c>
      <c r="J5" s="8">
        <f t="shared" si="1"/>
        <v>0</v>
      </c>
      <c r="K5" s="8">
        <f t="shared" si="1"/>
        <v>1</v>
      </c>
      <c r="L5" s="8">
        <f t="shared" si="1"/>
        <v>0</v>
      </c>
      <c r="M5" s="7"/>
    </row>
    <row r="6" spans="1:13" x14ac:dyDescent="0.25">
      <c r="A6" s="5">
        <v>3</v>
      </c>
      <c r="B6" s="54" t="s">
        <v>310</v>
      </c>
      <c r="C6" s="18"/>
      <c r="D6" s="18"/>
      <c r="E6" s="72"/>
      <c r="F6" s="8"/>
      <c r="G6" s="8"/>
      <c r="H6" s="8"/>
      <c r="I6" s="8"/>
      <c r="J6" s="8"/>
      <c r="K6" s="8"/>
      <c r="L6" s="8"/>
    </row>
    <row r="7" spans="1:13" x14ac:dyDescent="0.25">
      <c r="A7" s="5">
        <f t="shared" si="0"/>
        <v>3.0001000000000002</v>
      </c>
      <c r="B7" s="41" t="s">
        <v>311</v>
      </c>
      <c r="C7" s="55" t="s">
        <v>312</v>
      </c>
      <c r="D7" s="47"/>
      <c r="E7" s="44" t="s">
        <v>328</v>
      </c>
      <c r="F7" s="8"/>
      <c r="G7" s="8" t="s">
        <v>7</v>
      </c>
      <c r="H7" s="8">
        <f t="shared" ref="H7:L9" si="2">IF($G7=H$1,1,0)</f>
        <v>0</v>
      </c>
      <c r="I7" s="8">
        <f t="shared" si="2"/>
        <v>0</v>
      </c>
      <c r="J7" s="8">
        <f t="shared" si="2"/>
        <v>0</v>
      </c>
      <c r="K7" s="8">
        <f t="shared" si="2"/>
        <v>1</v>
      </c>
      <c r="L7" s="8">
        <f t="shared" si="2"/>
        <v>0</v>
      </c>
    </row>
    <row r="8" spans="1:13" x14ac:dyDescent="0.25">
      <c r="A8" s="5">
        <v>4</v>
      </c>
      <c r="B8" s="17" t="s">
        <v>300</v>
      </c>
      <c r="C8" s="18" t="s">
        <v>301</v>
      </c>
      <c r="D8" s="17"/>
      <c r="E8" s="71"/>
      <c r="F8" s="8"/>
      <c r="G8" s="8"/>
      <c r="H8" s="8"/>
      <c r="I8" s="8"/>
      <c r="J8" s="8"/>
      <c r="K8" s="8"/>
      <c r="L8" s="8"/>
    </row>
    <row r="9" spans="1:13" ht="51" x14ac:dyDescent="0.25">
      <c r="A9" s="5">
        <f t="shared" si="0"/>
        <v>4.0000999999999998</v>
      </c>
      <c r="B9" s="58" t="s">
        <v>314</v>
      </c>
      <c r="C9" s="56" t="s">
        <v>313</v>
      </c>
      <c r="D9" s="7" t="s">
        <v>302</v>
      </c>
      <c r="E9" s="62" t="s">
        <v>328</v>
      </c>
      <c r="F9" s="8"/>
      <c r="G9" s="8" t="s">
        <v>8</v>
      </c>
      <c r="H9" s="8">
        <f t="shared" si="2"/>
        <v>0</v>
      </c>
      <c r="I9" s="8">
        <f t="shared" si="2"/>
        <v>0</v>
      </c>
      <c r="J9" s="8">
        <f t="shared" si="2"/>
        <v>0</v>
      </c>
      <c r="K9" s="8">
        <f t="shared" si="2"/>
        <v>0</v>
      </c>
      <c r="L9" s="8">
        <f t="shared" si="2"/>
        <v>1</v>
      </c>
    </row>
    <row r="10" spans="1:13" ht="15.75" thickBot="1" x14ac:dyDescent="0.3">
      <c r="H10" s="57">
        <f>SUM(H4:H9)</f>
        <v>0</v>
      </c>
      <c r="I10" s="57">
        <f t="shared" ref="I10:L10" si="3">SUM(I4:I9)</f>
        <v>0</v>
      </c>
      <c r="J10" s="57">
        <f t="shared" si="3"/>
        <v>0</v>
      </c>
      <c r="K10" s="57">
        <f t="shared" si="3"/>
        <v>3</v>
      </c>
      <c r="L10" s="57">
        <f t="shared" si="3"/>
        <v>1</v>
      </c>
    </row>
    <row r="11" spans="1:13" ht="15.75" thickTop="1" x14ac:dyDescent="0.25"/>
  </sheetData>
  <mergeCells count="1">
    <mergeCell ref="B2:C2"/>
  </mergeCells>
  <conditionalFormatting sqref="B5:C5 A4:A9 H4:L5 G6:L6 G8:L9 H7:L7 C9 D4:F5">
    <cfRule type="expression" dxfId="38" priority="121">
      <formula>$G4="Fail"</formula>
    </cfRule>
  </conditionalFormatting>
  <conditionalFormatting sqref="A3:L3">
    <cfRule type="expression" dxfId="37" priority="120">
      <formula>$G3="Fail"</formula>
    </cfRule>
  </conditionalFormatting>
  <conditionalFormatting sqref="G4">
    <cfRule type="expression" dxfId="36" priority="117">
      <formula>$G4="Fail"</formula>
    </cfRule>
  </conditionalFormatting>
  <conditionalFormatting sqref="M3:M5">
    <cfRule type="expression" dxfId="35" priority="116">
      <formula>$G3="Fail"</formula>
    </cfRule>
  </conditionalFormatting>
  <conditionalFormatting sqref="H10:L10">
    <cfRule type="expression" dxfId="34" priority="113">
      <formula>$G10="Fail"</formula>
    </cfRule>
  </conditionalFormatting>
  <conditionalFormatting sqref="B8:E8">
    <cfRule type="expression" dxfId="33" priority="101">
      <formula>$G8="Fail"</formula>
    </cfRule>
  </conditionalFormatting>
  <conditionalFormatting sqref="D9">
    <cfRule type="expression" dxfId="32" priority="100">
      <formula>$G9="Fail"</formula>
    </cfRule>
  </conditionalFormatting>
  <conditionalFormatting sqref="C4">
    <cfRule type="expression" dxfId="31" priority="98">
      <formula>$G4="Fail"</formula>
    </cfRule>
  </conditionalFormatting>
  <conditionalFormatting sqref="B4">
    <cfRule type="expression" dxfId="30" priority="97">
      <formula>$G4="Fail"</formula>
    </cfRule>
  </conditionalFormatting>
  <conditionalFormatting sqref="D7">
    <cfRule type="expression" dxfId="29" priority="94">
      <formula>$G7="Fail"</formula>
    </cfRule>
  </conditionalFormatting>
  <conditionalFormatting sqref="B6:C6">
    <cfRule type="expression" dxfId="28" priority="93">
      <formula>$G6="Fail"</formula>
    </cfRule>
  </conditionalFormatting>
  <conditionalFormatting sqref="B7">
    <cfRule type="expression" dxfId="27" priority="92">
      <formula>$G7="Fail"</formula>
    </cfRule>
  </conditionalFormatting>
  <conditionalFormatting sqref="C7">
    <cfRule type="expression" dxfId="26" priority="91">
      <formula>$G7="Fail"</formula>
    </cfRule>
  </conditionalFormatting>
  <conditionalFormatting sqref="D6:E6">
    <cfRule type="expression" dxfId="25" priority="88">
      <formula>$G6="Fail"</formula>
    </cfRule>
  </conditionalFormatting>
  <conditionalFormatting sqref="G5">
    <cfRule type="expression" dxfId="24" priority="4">
      <formula>$G5="Fail"</formula>
    </cfRule>
  </conditionalFormatting>
  <conditionalFormatting sqref="G7">
    <cfRule type="expression" dxfId="23" priority="3">
      <formula>$G7="Fail"</formula>
    </cfRule>
  </conditionalFormatting>
  <conditionalFormatting sqref="E7">
    <cfRule type="expression" dxfId="22" priority="2">
      <formula>$G7="Fail"</formula>
    </cfRule>
  </conditionalFormatting>
  <conditionalFormatting sqref="E9">
    <cfRule type="expression" dxfId="21" priority="1">
      <formula>$G9="Fail"</formula>
    </cfRule>
  </conditionalFormatting>
  <dataValidations count="1">
    <dataValidation type="list" allowBlank="1" showInputMessage="1" showErrorMessage="1" sqref="G3:G9">
      <formula1>$H$1:$L$1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Button5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M12"/>
  <sheetViews>
    <sheetView zoomScaleNormal="100" workbookViewId="0">
      <pane ySplit="1" topLeftCell="A5" activePane="bottomLeft" state="frozen"/>
      <selection pane="bottomLeft" activeCell="E4" sqref="E4"/>
    </sheetView>
  </sheetViews>
  <sheetFormatPr defaultRowHeight="15" x14ac:dyDescent="0.25"/>
  <cols>
    <col min="1" max="1" width="11.28515625" style="4" bestFit="1" customWidth="1"/>
    <col min="2" max="2" width="56.7109375" style="1" customWidth="1"/>
    <col min="3" max="3" width="58.7109375" style="1" bestFit="1" customWidth="1"/>
    <col min="4" max="5" width="21.42578125" style="1" customWidth="1"/>
    <col min="6" max="6" width="7.85546875" style="1" customWidth="1"/>
    <col min="7" max="7" width="9.7109375" style="1" customWidth="1"/>
    <col min="8" max="11" width="9.140625" style="1"/>
    <col min="12" max="12" width="16.5703125" style="1" customWidth="1"/>
    <col min="13" max="13" width="39" style="1" customWidth="1"/>
    <col min="14" max="16384" width="9.140625" style="1"/>
  </cols>
  <sheetData>
    <row r="1" spans="1:13" ht="30" customHeight="1" x14ac:dyDescent="0.25">
      <c r="A1" s="10" t="s">
        <v>1</v>
      </c>
      <c r="B1" s="11" t="s">
        <v>11</v>
      </c>
      <c r="C1" s="11" t="s">
        <v>2</v>
      </c>
      <c r="D1" s="12" t="s">
        <v>4</v>
      </c>
      <c r="E1" s="12" t="s">
        <v>327</v>
      </c>
      <c r="F1" s="12" t="s">
        <v>3</v>
      </c>
      <c r="G1" s="11" t="s">
        <v>0</v>
      </c>
      <c r="H1" s="12" t="s">
        <v>5</v>
      </c>
      <c r="I1" s="12" t="s">
        <v>6</v>
      </c>
      <c r="J1" s="12"/>
      <c r="K1" s="12" t="s">
        <v>7</v>
      </c>
      <c r="L1" s="12" t="s">
        <v>8</v>
      </c>
      <c r="M1" s="12" t="s">
        <v>12</v>
      </c>
    </row>
    <row r="2" spans="1:13" s="53" customFormat="1" ht="30" customHeight="1" x14ac:dyDescent="0.25">
      <c r="A2" s="50"/>
      <c r="B2" s="67" t="s">
        <v>320</v>
      </c>
      <c r="C2" s="68"/>
      <c r="D2" s="51" t="s">
        <v>321</v>
      </c>
      <c r="E2" s="51"/>
      <c r="F2" s="51"/>
      <c r="G2" s="51"/>
      <c r="H2" s="51"/>
      <c r="I2" s="51"/>
      <c r="J2" s="51"/>
      <c r="K2" s="51"/>
      <c r="L2" s="51"/>
      <c r="M2" s="52"/>
    </row>
    <row r="3" spans="1:13" s="20" customFormat="1" x14ac:dyDescent="0.25">
      <c r="A3" s="16">
        <v>1</v>
      </c>
      <c r="B3" s="17" t="s">
        <v>305</v>
      </c>
      <c r="C3" s="18"/>
      <c r="D3" s="17"/>
      <c r="E3" s="17"/>
      <c r="F3" s="17"/>
      <c r="G3" s="19"/>
      <c r="H3" s="19"/>
      <c r="I3" s="19"/>
      <c r="J3" s="19"/>
      <c r="K3" s="19"/>
      <c r="L3" s="19"/>
      <c r="M3" s="17"/>
    </row>
    <row r="4" spans="1:13" ht="25.5" x14ac:dyDescent="0.25">
      <c r="A4" s="5">
        <f t="shared" ref="A4:A9" si="0">A3+0.0001</f>
        <v>1.0001</v>
      </c>
      <c r="B4" s="6" t="s">
        <v>318</v>
      </c>
      <c r="C4" s="9" t="s">
        <v>307</v>
      </c>
      <c r="D4" s="7" t="s">
        <v>309</v>
      </c>
      <c r="E4" s="62" t="s">
        <v>329</v>
      </c>
      <c r="F4" s="6"/>
      <c r="G4" s="8" t="s">
        <v>7</v>
      </c>
      <c r="H4" s="8">
        <f t="shared" ref="H4:L5" si="1">IF($G4=H$1,1,0)</f>
        <v>0</v>
      </c>
      <c r="I4" s="8">
        <f t="shared" si="1"/>
        <v>0</v>
      </c>
      <c r="J4" s="8">
        <f t="shared" si="1"/>
        <v>0</v>
      </c>
      <c r="K4" s="8">
        <f t="shared" si="1"/>
        <v>1</v>
      </c>
      <c r="L4" s="8">
        <f t="shared" si="1"/>
        <v>0</v>
      </c>
      <c r="M4" s="7"/>
    </row>
    <row r="5" spans="1:13" x14ac:dyDescent="0.25">
      <c r="A5" s="5">
        <f t="shared" si="0"/>
        <v>1.0002</v>
      </c>
      <c r="B5" s="41"/>
      <c r="C5" s="9" t="s">
        <v>308</v>
      </c>
      <c r="D5" s="7"/>
      <c r="E5" s="7"/>
      <c r="F5" s="6"/>
      <c r="G5" s="8" t="s">
        <v>7</v>
      </c>
      <c r="H5" s="8">
        <f t="shared" si="1"/>
        <v>0</v>
      </c>
      <c r="I5" s="8">
        <f t="shared" si="1"/>
        <v>0</v>
      </c>
      <c r="J5" s="8">
        <f t="shared" si="1"/>
        <v>0</v>
      </c>
      <c r="K5" s="8">
        <f t="shared" si="1"/>
        <v>1</v>
      </c>
      <c r="L5" s="8">
        <f t="shared" si="1"/>
        <v>0</v>
      </c>
      <c r="M5" s="7"/>
    </row>
    <row r="6" spans="1:13" x14ac:dyDescent="0.25">
      <c r="A6" s="5">
        <v>2</v>
      </c>
      <c r="B6" s="54" t="s">
        <v>310</v>
      </c>
      <c r="C6" s="18"/>
      <c r="D6" s="18"/>
      <c r="E6" s="18"/>
      <c r="F6" s="8"/>
      <c r="G6" s="8"/>
      <c r="H6" s="8"/>
      <c r="I6" s="8"/>
      <c r="J6" s="8"/>
      <c r="K6" s="8"/>
      <c r="L6" s="8"/>
    </row>
    <row r="7" spans="1:13" x14ac:dyDescent="0.25">
      <c r="A7" s="5">
        <f t="shared" si="0"/>
        <v>2.0001000000000002</v>
      </c>
      <c r="B7" s="41" t="s">
        <v>311</v>
      </c>
      <c r="C7" s="55" t="s">
        <v>312</v>
      </c>
      <c r="D7" s="47"/>
      <c r="E7" s="62" t="s">
        <v>329</v>
      </c>
      <c r="F7" s="8"/>
      <c r="G7" s="8" t="s">
        <v>7</v>
      </c>
      <c r="H7" s="8">
        <f t="shared" ref="H7:L10" si="2">IF($G7=H$1,1,0)</f>
        <v>0</v>
      </c>
      <c r="I7" s="8">
        <f t="shared" si="2"/>
        <v>0</v>
      </c>
      <c r="J7" s="8">
        <f t="shared" si="2"/>
        <v>0</v>
      </c>
      <c r="K7" s="8">
        <f t="shared" si="2"/>
        <v>1</v>
      </c>
      <c r="L7" s="8">
        <f t="shared" si="2"/>
        <v>0</v>
      </c>
    </row>
    <row r="8" spans="1:13" x14ac:dyDescent="0.25">
      <c r="A8" s="5">
        <v>3</v>
      </c>
      <c r="B8" s="17" t="s">
        <v>300</v>
      </c>
      <c r="C8" s="18" t="s">
        <v>301</v>
      </c>
      <c r="D8" s="17"/>
      <c r="E8" s="17"/>
      <c r="F8" s="8"/>
      <c r="G8" s="8"/>
      <c r="H8" s="8"/>
      <c r="I8" s="8"/>
      <c r="J8" s="8"/>
      <c r="K8" s="8"/>
      <c r="L8" s="8"/>
    </row>
    <row r="9" spans="1:13" ht="102" x14ac:dyDescent="0.25">
      <c r="A9" s="5">
        <f t="shared" si="0"/>
        <v>3.0001000000000002</v>
      </c>
      <c r="B9" s="59" t="s">
        <v>315</v>
      </c>
      <c r="C9" s="56" t="s">
        <v>322</v>
      </c>
      <c r="D9" s="7" t="s">
        <v>317</v>
      </c>
      <c r="E9" s="62" t="s">
        <v>329</v>
      </c>
      <c r="F9" s="8"/>
      <c r="G9" s="8" t="s">
        <v>8</v>
      </c>
      <c r="H9" s="8">
        <f t="shared" si="2"/>
        <v>0</v>
      </c>
      <c r="I9" s="8">
        <f t="shared" si="2"/>
        <v>0</v>
      </c>
      <c r="J9" s="8">
        <f t="shared" si="2"/>
        <v>0</v>
      </c>
      <c r="K9" s="8">
        <f t="shared" si="2"/>
        <v>0</v>
      </c>
      <c r="L9" s="8">
        <f t="shared" si="2"/>
        <v>1</v>
      </c>
    </row>
    <row r="10" spans="1:13" ht="102" x14ac:dyDescent="0.25">
      <c r="A10" s="5">
        <f>A9+0.0001</f>
        <v>3.0002000000000004</v>
      </c>
      <c r="B10" s="59" t="s">
        <v>316</v>
      </c>
      <c r="C10" s="56" t="s">
        <v>323</v>
      </c>
      <c r="D10" s="7" t="s">
        <v>317</v>
      </c>
      <c r="E10" s="62" t="s">
        <v>329</v>
      </c>
      <c r="F10" s="8"/>
      <c r="G10" s="8" t="s">
        <v>8</v>
      </c>
      <c r="H10" s="8">
        <f t="shared" si="2"/>
        <v>0</v>
      </c>
      <c r="I10" s="8">
        <f t="shared" si="2"/>
        <v>0</v>
      </c>
      <c r="J10" s="8">
        <f t="shared" si="2"/>
        <v>0</v>
      </c>
      <c r="K10" s="8">
        <f t="shared" si="2"/>
        <v>0</v>
      </c>
      <c r="L10" s="8">
        <f t="shared" si="2"/>
        <v>1</v>
      </c>
    </row>
    <row r="11" spans="1:13" ht="15.75" thickBot="1" x14ac:dyDescent="0.3">
      <c r="H11" s="57">
        <f>SUM(H4:H10)</f>
        <v>0</v>
      </c>
      <c r="I11" s="57">
        <f t="shared" ref="I11:L11" si="3">SUM(I4:I10)</f>
        <v>0</v>
      </c>
      <c r="J11" s="57">
        <f t="shared" si="3"/>
        <v>0</v>
      </c>
      <c r="K11" s="57">
        <f t="shared" si="3"/>
        <v>3</v>
      </c>
      <c r="L11" s="57">
        <f t="shared" si="3"/>
        <v>2</v>
      </c>
    </row>
    <row r="12" spans="1:13" ht="15.75" thickTop="1" x14ac:dyDescent="0.25"/>
  </sheetData>
  <mergeCells count="1">
    <mergeCell ref="B2:C2"/>
  </mergeCells>
  <conditionalFormatting sqref="H4:L5 B5:C5 G6:L6 A4:A10 G8:L10 H7:L7 D4:F5 C9">
    <cfRule type="expression" dxfId="20" priority="29">
      <formula>$G4="Fail"</formula>
    </cfRule>
  </conditionalFormatting>
  <conditionalFormatting sqref="A3:L3">
    <cfRule type="expression" dxfId="19" priority="28">
      <formula>$G3="Fail"</formula>
    </cfRule>
  </conditionalFormatting>
  <conditionalFormatting sqref="M3:M5">
    <cfRule type="expression" dxfId="18" priority="24">
      <formula>$G3="Fail"</formula>
    </cfRule>
  </conditionalFormatting>
  <conditionalFormatting sqref="H11:L11">
    <cfRule type="expression" dxfId="17" priority="21">
      <formula>$G11="Fail"</formula>
    </cfRule>
  </conditionalFormatting>
  <conditionalFormatting sqref="B8:E8">
    <cfRule type="expression" dxfId="16" priority="19">
      <formula>$G8="Fail"</formula>
    </cfRule>
  </conditionalFormatting>
  <conditionalFormatting sqref="D9">
    <cfRule type="expression" dxfId="15" priority="18">
      <formula>$G9="Fail"</formula>
    </cfRule>
  </conditionalFormatting>
  <conditionalFormatting sqref="C4">
    <cfRule type="expression" dxfId="14" priority="16">
      <formula>$G4="Fail"</formula>
    </cfRule>
  </conditionalFormatting>
  <conditionalFormatting sqref="B4">
    <cfRule type="expression" dxfId="13" priority="15">
      <formula>$G4="Fail"</formula>
    </cfRule>
  </conditionalFormatting>
  <conditionalFormatting sqref="D7">
    <cfRule type="expression" dxfId="12" priority="14">
      <formula>$G7="Fail"</formula>
    </cfRule>
  </conditionalFormatting>
  <conditionalFormatting sqref="B6:C6">
    <cfRule type="expression" dxfId="11" priority="13">
      <formula>$G6="Fail"</formula>
    </cfRule>
  </conditionalFormatting>
  <conditionalFormatting sqref="B7">
    <cfRule type="expression" dxfId="10" priority="12">
      <formula>$G7="Fail"</formula>
    </cfRule>
  </conditionalFormatting>
  <conditionalFormatting sqref="C7">
    <cfRule type="expression" dxfId="9" priority="11">
      <formula>$G7="Fail"</formula>
    </cfRule>
  </conditionalFormatting>
  <conditionalFormatting sqref="D6:E6">
    <cfRule type="expression" dxfId="8" priority="10">
      <formula>$G6="Fail"</formula>
    </cfRule>
  </conditionalFormatting>
  <conditionalFormatting sqref="C10">
    <cfRule type="expression" dxfId="7" priority="9">
      <formula>$G10="Fail"</formula>
    </cfRule>
  </conditionalFormatting>
  <conditionalFormatting sqref="D10">
    <cfRule type="expression" dxfId="6" priority="7">
      <formula>$G10="Fail"</formula>
    </cfRule>
  </conditionalFormatting>
  <conditionalFormatting sqref="G4">
    <cfRule type="expression" dxfId="5" priority="6">
      <formula>$G4="Fail"</formula>
    </cfRule>
  </conditionalFormatting>
  <conditionalFormatting sqref="G5">
    <cfRule type="expression" dxfId="4" priority="5">
      <formula>$G5="Fail"</formula>
    </cfRule>
  </conditionalFormatting>
  <conditionalFormatting sqref="G7">
    <cfRule type="expression" dxfId="3" priority="4">
      <formula>$G7="Fail"</formula>
    </cfRule>
  </conditionalFormatting>
  <conditionalFormatting sqref="E7">
    <cfRule type="expression" dxfId="2" priority="3">
      <formula>$G7="Fail"</formula>
    </cfRule>
  </conditionalFormatting>
  <conditionalFormatting sqref="E9">
    <cfRule type="expression" dxfId="1" priority="2">
      <formula>$G9="Fail"</formula>
    </cfRule>
  </conditionalFormatting>
  <conditionalFormatting sqref="E10">
    <cfRule type="expression" dxfId="0" priority="1">
      <formula>$G10="Fail"</formula>
    </cfRule>
  </conditionalFormatting>
  <dataValidations count="1">
    <dataValidation type="list" allowBlank="1" showInputMessage="1" showErrorMessage="1" sqref="G3:G10">
      <formula1>$H$1:$L$1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Button5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Test Case</vt:lpstr>
      <vt:lpstr>2</vt:lpstr>
      <vt:lpstr>3</vt:lpstr>
      <vt:lpstr>4</vt:lpstr>
      <vt:lpstr>Notes</vt:lpstr>
      <vt:lpstr>Monthly Batch - Inv Fees</vt:lpstr>
      <vt:lpstr>Monthly Batch-Cons Fees</vt:lpstr>
    </vt:vector>
  </TitlesOfParts>
  <Company>Sanlam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Jannie Basson (SEB)</dc:creator>
  <cp:lastModifiedBy>Direro Ishmael (SC)</cp:lastModifiedBy>
  <cp:lastPrinted>2014-09-19T10:20:30Z</cp:lastPrinted>
  <dcterms:created xsi:type="dcterms:W3CDTF">2014-07-31T09:50:05Z</dcterms:created>
  <dcterms:modified xsi:type="dcterms:W3CDTF">2020-07-08T12:15:23Z</dcterms:modified>
</cp:coreProperties>
</file>