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6.xml" ContentType="application/vnd.ms-excel.controlproperties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65" windowWidth="20370" windowHeight="8565" activeTab="1"/>
  </bookViews>
  <sheets>
    <sheet name="Summary" sheetId="3" r:id="rId1"/>
    <sheet name="Migration Audit Certificate" sheetId="2" r:id="rId2"/>
    <sheet name="2" sheetId="4" r:id="rId3"/>
    <sheet name="4" sheetId="6" r:id="rId4"/>
    <sheet name="Sheet1" sheetId="7" r:id="rId5"/>
  </sheets>
  <calcPr calcId="145621"/>
</workbook>
</file>

<file path=xl/calcChain.xml><?xml version="1.0" encoding="utf-8"?>
<calcChain xmlns="http://schemas.openxmlformats.org/spreadsheetml/2006/main">
  <c r="A5" i="2" l="1"/>
  <c r="A6" i="2"/>
  <c r="A7" i="2"/>
  <c r="A8" i="2"/>
  <c r="A9" i="2" s="1"/>
  <c r="A10" i="2" s="1"/>
  <c r="A11" i="2" s="1"/>
  <c r="A12" i="2" s="1"/>
  <c r="A13" i="2" s="1"/>
  <c r="A14" i="2" s="1"/>
  <c r="A15" i="2" s="1"/>
  <c r="A16" i="2" s="1"/>
  <c r="K11" i="2"/>
  <c r="J11" i="2"/>
  <c r="I11" i="2"/>
  <c r="H11" i="2"/>
  <c r="G11" i="2"/>
  <c r="K10" i="2"/>
  <c r="J10" i="2"/>
  <c r="I10" i="2"/>
  <c r="H10" i="2"/>
  <c r="G10" i="2"/>
  <c r="K5" i="2"/>
  <c r="J5" i="2"/>
  <c r="I5" i="2"/>
  <c r="H5" i="2"/>
  <c r="G5" i="2"/>
  <c r="K4" i="2"/>
  <c r="J4" i="2"/>
  <c r="I4" i="2"/>
  <c r="H4" i="2"/>
  <c r="G4" i="2"/>
  <c r="K3" i="2"/>
  <c r="J3" i="2"/>
  <c r="I3" i="2"/>
  <c r="H3" i="2"/>
  <c r="G3" i="2"/>
  <c r="K5" i="4" l="1"/>
  <c r="J5" i="4"/>
  <c r="I5" i="4"/>
  <c r="H5" i="4"/>
  <c r="G5" i="4"/>
  <c r="K4" i="4"/>
  <c r="J4" i="4"/>
  <c r="I4" i="4"/>
  <c r="H4" i="4"/>
  <c r="G4" i="4"/>
  <c r="K3" i="4"/>
  <c r="J3" i="4"/>
  <c r="I3" i="4"/>
  <c r="H3" i="4"/>
  <c r="G3" i="4"/>
  <c r="K7" i="4"/>
  <c r="J7" i="4"/>
  <c r="I7" i="4"/>
  <c r="H7" i="4"/>
  <c r="G7" i="4"/>
  <c r="K9" i="4"/>
  <c r="J9" i="4"/>
  <c r="I9" i="4"/>
  <c r="H9" i="4"/>
  <c r="G9" i="4"/>
  <c r="K13" i="4"/>
  <c r="J13" i="4"/>
  <c r="I13" i="4"/>
  <c r="H13" i="4"/>
  <c r="G13" i="4"/>
  <c r="K12" i="4"/>
  <c r="J12" i="4"/>
  <c r="I12" i="4"/>
  <c r="H12" i="4"/>
  <c r="G12" i="4"/>
  <c r="K11" i="4"/>
  <c r="J11" i="4"/>
  <c r="I11" i="4"/>
  <c r="H11" i="4"/>
  <c r="G11" i="4"/>
  <c r="K22" i="4"/>
  <c r="J22" i="4"/>
  <c r="I22" i="4"/>
  <c r="H22" i="4"/>
  <c r="G22" i="4"/>
  <c r="K21" i="4"/>
  <c r="J21" i="4"/>
  <c r="I21" i="4"/>
  <c r="H21" i="4"/>
  <c r="G21" i="4"/>
  <c r="K20" i="4"/>
  <c r="J20" i="4"/>
  <c r="I20" i="4"/>
  <c r="H20" i="4"/>
  <c r="G20" i="4"/>
  <c r="K19" i="4"/>
  <c r="J19" i="4"/>
  <c r="I19" i="4"/>
  <c r="H19" i="4"/>
  <c r="G19" i="4"/>
  <c r="K18" i="4"/>
  <c r="J18" i="4"/>
  <c r="I18" i="4"/>
  <c r="H18" i="4"/>
  <c r="G18" i="4"/>
  <c r="K17" i="4"/>
  <c r="J17" i="4"/>
  <c r="I17" i="4"/>
  <c r="H17" i="4"/>
  <c r="G17" i="4"/>
  <c r="K16" i="4"/>
  <c r="J16" i="4"/>
  <c r="I16" i="4"/>
  <c r="H16" i="4"/>
  <c r="G16" i="4"/>
  <c r="K15" i="4"/>
  <c r="J15" i="4"/>
  <c r="I15" i="4"/>
  <c r="H15" i="4"/>
  <c r="G15" i="4"/>
  <c r="K24" i="4"/>
  <c r="J24" i="4"/>
  <c r="I24" i="4"/>
  <c r="H24" i="4"/>
  <c r="G24" i="4"/>
  <c r="K26" i="4"/>
  <c r="J26" i="4"/>
  <c r="I26" i="4"/>
  <c r="H26" i="4"/>
  <c r="G26" i="4"/>
  <c r="K27" i="4"/>
  <c r="J27" i="4"/>
  <c r="I27" i="4"/>
  <c r="H27" i="4"/>
  <c r="G27" i="4"/>
  <c r="A26" i="4"/>
  <c r="A11" i="4"/>
  <c r="K19" i="2" l="1"/>
  <c r="J19" i="2"/>
  <c r="I19" i="2"/>
  <c r="H19" i="2"/>
  <c r="G19" i="2"/>
  <c r="K30" i="4"/>
  <c r="J30" i="4"/>
  <c r="I30" i="4"/>
  <c r="H30" i="4"/>
  <c r="G30" i="4"/>
  <c r="H55" i="6"/>
  <c r="A11" i="6"/>
  <c r="A13" i="6" s="1"/>
  <c r="A10" i="6"/>
  <c r="A4" i="6"/>
  <c r="A5" i="6" s="1"/>
  <c r="A6" i="6" s="1"/>
  <c r="A7" i="6" s="1"/>
  <c r="A8" i="6" s="1"/>
  <c r="K55" i="6"/>
  <c r="J55" i="6"/>
  <c r="I55" i="6"/>
  <c r="G55" i="6"/>
  <c r="K28" i="4"/>
  <c r="J28" i="4"/>
  <c r="I28" i="4"/>
  <c r="H28" i="4"/>
  <c r="G28" i="4"/>
  <c r="A12" i="4"/>
  <c r="A13" i="4" s="1"/>
  <c r="A15" i="4" s="1"/>
  <c r="A16" i="4" s="1"/>
  <c r="A17" i="4" s="1"/>
  <c r="A7" i="4"/>
  <c r="A5" i="4"/>
  <c r="A4" i="4"/>
  <c r="A22" i="4" l="1"/>
  <c r="A24" i="4" s="1"/>
  <c r="A27" i="4" s="1"/>
  <c r="A18" i="4"/>
  <c r="A19" i="4" s="1"/>
  <c r="A20" i="4" s="1"/>
  <c r="A21" i="4" s="1"/>
  <c r="A12" i="6"/>
  <c r="A14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9" i="4"/>
  <c r="A4" i="2" l="1"/>
  <c r="G17" i="2" l="1"/>
  <c r="C2" i="3" s="1"/>
  <c r="H17" i="2" l="1"/>
  <c r="D2" i="3" s="1"/>
  <c r="I17" i="2" l="1"/>
  <c r="E2" i="3" s="1"/>
  <c r="H2" i="3" s="1"/>
  <c r="J17" i="2" l="1"/>
  <c r="F2" i="3" s="1"/>
  <c r="K17" i="2" l="1"/>
  <c r="G2" i="3" s="1"/>
</calcChain>
</file>

<file path=xl/sharedStrings.xml><?xml version="1.0" encoding="utf-8"?>
<sst xmlns="http://schemas.openxmlformats.org/spreadsheetml/2006/main" count="123" uniqueCount="64">
  <si>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</si>
  <si>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</si>
  <si>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</si>
  <si>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</si>
  <si>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</si>
  <si>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</si>
  <si>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</si>
  <si>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</si>
  <si>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</si>
  <si>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Input data / Action / Field Name</t>
  </si>
  <si>
    <t>Data Dictionary</t>
  </si>
  <si>
    <t>Import Prices from CURO</t>
  </si>
  <si>
    <r>
      <rPr>
        <b/>
        <sz val="10"/>
        <rFont val="Arial"/>
        <family val="2"/>
      </rPr>
      <t>Batch Runs</t>
    </r>
    <r>
      <rPr>
        <b/>
        <sz val="10"/>
        <color theme="0"/>
        <rFont val="Arial"/>
        <family val="2"/>
      </rPr>
      <t xml:space="preserve">  - Daily - 18h00 - 21h00</t>
    </r>
  </si>
  <si>
    <t>Validate and upload prices</t>
  </si>
  <si>
    <t xml:space="preserve">Batch Runs kicks off </t>
  </si>
  <si>
    <t>File to multidata</t>
  </si>
  <si>
    <t>File created for multidata</t>
  </si>
  <si>
    <t>File created successfully</t>
  </si>
  <si>
    <t>Interface to Walker</t>
  </si>
  <si>
    <t>Transactions interface to Walker</t>
  </si>
  <si>
    <t>Walker entries created in Walker file</t>
  </si>
  <si>
    <t>Price (apply) transaction successful</t>
  </si>
  <si>
    <t>Reports</t>
  </si>
  <si>
    <t>Walker unprocced / error report</t>
  </si>
  <si>
    <t>Checked before 12pm the next day</t>
  </si>
  <si>
    <t>Control Report - Acceptance and Rejection Reports</t>
  </si>
  <si>
    <t>Multidata Payment - Acceptance and Rejection Reports</t>
  </si>
  <si>
    <r>
      <rPr>
        <b/>
        <sz val="10"/>
        <rFont val="Arial"/>
        <family val="2"/>
      </rPr>
      <t>Batch Runs</t>
    </r>
    <r>
      <rPr>
        <b/>
        <sz val="10"/>
        <color theme="0"/>
        <rFont val="Arial"/>
        <family val="2"/>
      </rPr>
      <t xml:space="preserve">  - Monthly - Last working Day of the month</t>
    </r>
  </si>
  <si>
    <t>Exclusive Fee Batch run</t>
  </si>
  <si>
    <t>Calculate Fees</t>
  </si>
  <si>
    <t>Record and Process disinvestments</t>
  </si>
  <si>
    <t>Generate reports</t>
  </si>
  <si>
    <t>Calculate Bonus &amp; Fees</t>
  </si>
  <si>
    <t>Generate reports Book Value transaction</t>
  </si>
  <si>
    <t>Smoothed Bonus Guarantee fee Batch Run</t>
  </si>
  <si>
    <t>Portfolio level</t>
  </si>
  <si>
    <t>Smoothed Bonus and Fees Batch Run</t>
  </si>
  <si>
    <t>Run on 31 December</t>
  </si>
  <si>
    <r>
      <rPr>
        <b/>
        <sz val="10"/>
        <rFont val="Arial"/>
        <family val="2"/>
      </rPr>
      <t>Batch Runs</t>
    </r>
    <r>
      <rPr>
        <b/>
        <sz val="10"/>
        <color theme="0"/>
        <rFont val="Arial"/>
        <family val="2"/>
      </rPr>
      <t xml:space="preserve">  - Annually 31 December</t>
    </r>
  </si>
  <si>
    <r>
      <rPr>
        <b/>
        <sz val="10"/>
        <rFont val="Arial"/>
        <family val="2"/>
      </rPr>
      <t>Batch Runs</t>
    </r>
    <r>
      <rPr>
        <b/>
        <sz val="10"/>
        <color theme="0"/>
        <rFont val="Arial"/>
        <family val="2"/>
      </rPr>
      <t xml:space="preserve">  - Adhoc </t>
    </r>
  </si>
  <si>
    <t>Smoothed Bonus Merge (run when 2 portfolios merge)</t>
  </si>
  <si>
    <t>Run as required</t>
  </si>
  <si>
    <t>Cancel non-vested bonuses</t>
  </si>
  <si>
    <t>Smoothed Bonus Vesting of non-vested bonuses</t>
  </si>
  <si>
    <t>Cannot be tested now</t>
  </si>
  <si>
    <t xml:space="preserve">acb vir betaaling </t>
  </si>
  <si>
    <t>batch job</t>
  </si>
  <si>
    <t xml:space="preserve">skryf acb </t>
  </si>
  <si>
    <t>Mail Box :bookkeeping rsa</t>
  </si>
  <si>
    <t>No payment via Multi data</t>
  </si>
  <si>
    <t>When Repurchase is done the payment type must be ACB and when Batch job is run, it creates a file for multidata
Mail Box :CORRESPONDENCE/KORRESPONDENSIE</t>
  </si>
  <si>
    <t>Refer to Reports Test Case</t>
  </si>
  <si>
    <t>Betsie - Not to be tested</t>
  </si>
  <si>
    <t>This Program is pending as has not been take over to CDA Yet. Please view email attachment</t>
  </si>
  <si>
    <t>Audit Certificates</t>
  </si>
  <si>
    <t>Perform Migration Test</t>
  </si>
  <si>
    <t>Prerequsite</t>
  </si>
  <si>
    <t>Make reference to the migration Test Case</t>
  </si>
  <si>
    <t>Perform a  Migration Test</t>
  </si>
  <si>
    <t>Audit Certificate is sent to the Users Email Account</t>
  </si>
  <si>
    <t>Verify that Audit Certificate is Produced</t>
  </si>
  <si>
    <t>Verify output</t>
  </si>
  <si>
    <t>The system gernerates a Migration audit certifcate</t>
  </si>
  <si>
    <t>A Certificate is generated for each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</si>
</sst>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64" fontId="6" fillId="5" borderId="2" xfId="0" applyNumberFormat="1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1" fillId="0" borderId="2" xfId="0" quotePrefix="1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vertical="center" wrapText="1"/>
    </xf>
  </cellXfs>
  <cellStyles count="1">
    <cellStyle name="Normal" xfId="0" builtinId="0"/>
  </cellStyles>
  <dxfs count="82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57150</xdr:rowOff>
        </xdr:from>
        <xdr:to>
          <xdr:col>0</xdr:col>
          <xdr:colOff>581025</xdr:colOff>
          <xdr:row>4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581025</xdr:colOff>
          <xdr:row>1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581025</xdr:colOff>
          <xdr:row>1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9525</xdr:rowOff>
        </xdr:from>
        <xdr:to>
          <xdr:col>0</xdr:col>
          <xdr:colOff>581025</xdr:colOff>
          <xdr:row>1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0</xdr:rowOff>
        </xdr:from>
        <xdr:to>
          <xdr:col>0</xdr:col>
          <xdr:colOff>581025</xdr:colOff>
          <xdr:row>2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11</xdr:row>
          <xdr:rowOff>104775</xdr:rowOff>
        </xdr:from>
        <xdr:to>
          <xdr:col>2</xdr:col>
          <xdr:colOff>3019425</xdr:colOff>
          <xdr:row>14</xdr:row>
          <xdr:rowOff>47625</xdr:rowOff>
        </xdr:to>
        <xdr:sp macro="" textlink="">
          <xdr:nvSpPr>
            <xdr:cNvPr id="4103" name="Object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19050</xdr:rowOff>
        </xdr:from>
        <xdr:to>
          <xdr:col>12</xdr:col>
          <xdr:colOff>85725</xdr:colOff>
          <xdr:row>26</xdr:row>
          <xdr:rowOff>47625</xdr:rowOff>
        </xdr:to>
        <xdr:sp macro="" textlink="">
          <xdr:nvSpPr>
            <xdr:cNvPr id="5123" name="Object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3"/>
  <sheetViews>
    <sheetView zoomScaleNormal="100" workbookViewId="0">
      <selection activeCell="E4" sqref="E4"/>
    </sheetView>
  </sheetViews>
  <sheetFormatPr defaultRowHeight="15" x14ac:dyDescent="0.25"/>
  <cols>
    <col min="1" max="1" width="9.140625" style="3"/>
    <col min="2" max="2" width="23.42578125" style="3" bestFit="1" customWidth="1"/>
    <col min="3" max="8" width="15" style="3" customWidth="1"/>
    <col min="9" max="16384" width="9.140625" style="3"/>
  </cols>
  <sheetData>
    <row r="2" spans="2:8" x14ac:dyDescent="0.25">
      <c r="B2" s="22" t="s">
        <v>54</v>
      </c>
      <c r="C2" s="14">
        <f>'Migration Audit Certificate'!G17</f>
        <v>5</v>
      </c>
      <c r="D2" s="14">
        <f>'Migration Audit Certificate'!H17</f>
        <v>0</v>
      </c>
      <c r="E2" s="14">
        <f>'Migration Audit Certificate'!I17</f>
        <v>0</v>
      </c>
      <c r="F2" s="15">
        <f>'Migration Audit Certificate'!J17</f>
        <v>0</v>
      </c>
      <c r="G2" s="15">
        <f>'Migration Audit Certificate'!K17</f>
        <v>0</v>
      </c>
      <c r="H2" s="14">
        <f t="shared" ref="H2" si="0">SUM(C2:E2)</f>
        <v>5</v>
      </c>
    </row>
    <row r="3" spans="2:8" x14ac:dyDescent="0.25">
      <c r="B3" s="13"/>
      <c r="C3" s="14"/>
      <c r="D3" s="14"/>
      <c r="E3" s="14"/>
      <c r="F3" s="15"/>
      <c r="G3" s="15"/>
      <c r="H3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3</xdr:row>
                    <xdr:rowOff>57150</xdr:rowOff>
                  </from>
                  <to>
                    <xdr:col>0</xdr:col>
                    <xdr:colOff>581025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_Click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581025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2_Click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581025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_Click">
                <anchor moveWithCells="1">
                  <from>
                    <xdr:col>0</xdr:col>
                    <xdr:colOff>38100</xdr:colOff>
                    <xdr:row>1</xdr:row>
                    <xdr:rowOff>9525</xdr:rowOff>
                  </from>
                  <to>
                    <xdr:col>0</xdr:col>
                    <xdr:colOff>581025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_Click">
                <anchor moveWithCells="1">
                  <from>
                    <xdr:col>0</xdr:col>
                    <xdr:colOff>38100</xdr:colOff>
                    <xdr:row>2</xdr:row>
                    <xdr:rowOff>0</xdr:rowOff>
                  </from>
                  <to>
                    <xdr:col>0</xdr:col>
                    <xdr:colOff>581025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9"/>
  <sheetViews>
    <sheetView tabSelected="1" zoomScaleNormal="100" workbookViewId="0">
      <pane ySplit="1" topLeftCell="A2" activePane="bottomLeft" state="frozen"/>
      <selection pane="bottomLeft" activeCell="B15" sqref="B15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10.85546875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9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10</v>
      </c>
    </row>
    <row r="2" spans="1:12" s="20" customFormat="1" x14ac:dyDescent="0.25">
      <c r="A2" s="16">
        <v>1</v>
      </c>
      <c r="B2" s="17" t="s">
        <v>55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23" t="s">
        <v>56</v>
      </c>
      <c r="C3" s="9"/>
      <c r="D3" s="7"/>
      <c r="E3" s="6"/>
      <c r="F3" s="8" t="s">
        <v>5</v>
      </c>
      <c r="G3" s="8">
        <f t="shared" ref="G3:K5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7"/>
    </row>
    <row r="4" spans="1:12" x14ac:dyDescent="0.25">
      <c r="A4" s="5">
        <f t="shared" ref="A4:A16" si="1">A3+0.0001</f>
        <v>1.0001</v>
      </c>
      <c r="B4" s="6" t="s">
        <v>57</v>
      </c>
      <c r="C4" s="9"/>
      <c r="D4" s="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7"/>
    </row>
    <row r="5" spans="1:12" x14ac:dyDescent="0.25">
      <c r="A5" s="5">
        <f t="shared" si="1"/>
        <v>1.0002</v>
      </c>
      <c r="B5" s="6" t="s">
        <v>58</v>
      </c>
      <c r="C5" s="9" t="s">
        <v>61</v>
      </c>
      <c r="D5" s="7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7"/>
    </row>
    <row r="6" spans="1:12" x14ac:dyDescent="0.25">
      <c r="A6" s="5">
        <f t="shared" si="1"/>
        <v>1.0003</v>
      </c>
      <c r="B6" s="7"/>
      <c r="C6" s="6"/>
      <c r="D6" s="7"/>
      <c r="E6" s="7"/>
      <c r="F6" s="8"/>
      <c r="G6" s="8"/>
      <c r="H6" s="8"/>
      <c r="I6" s="8"/>
      <c r="J6" s="8"/>
      <c r="K6" s="8"/>
      <c r="L6" s="7"/>
    </row>
    <row r="7" spans="1:12" x14ac:dyDescent="0.25">
      <c r="A7" s="5">
        <f t="shared" si="1"/>
        <v>1.0004</v>
      </c>
      <c r="B7" s="6"/>
      <c r="C7" s="6"/>
      <c r="D7" s="7"/>
      <c r="E7" s="7"/>
      <c r="F7" s="8"/>
      <c r="G7" s="8"/>
      <c r="H7" s="8"/>
      <c r="I7" s="8"/>
      <c r="J7" s="8"/>
      <c r="K7" s="8"/>
      <c r="L7" s="7"/>
    </row>
    <row r="8" spans="1:12" x14ac:dyDescent="0.25">
      <c r="A8" s="5">
        <f t="shared" si="1"/>
        <v>1.0004999999999999</v>
      </c>
      <c r="B8" s="7"/>
      <c r="C8" s="6"/>
      <c r="D8" s="7"/>
      <c r="E8" s="7"/>
      <c r="F8" s="8"/>
      <c r="G8" s="8"/>
      <c r="H8" s="8"/>
      <c r="I8" s="8"/>
      <c r="J8" s="8"/>
      <c r="K8" s="8"/>
      <c r="L8" s="7"/>
    </row>
    <row r="9" spans="1:12" s="20" customFormat="1" x14ac:dyDescent="0.25">
      <c r="A9" s="5">
        <f t="shared" si="1"/>
        <v>1.0005999999999999</v>
      </c>
      <c r="B9" s="17" t="s">
        <v>60</v>
      </c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x14ac:dyDescent="0.25">
      <c r="A10" s="5">
        <f t="shared" si="1"/>
        <v>1.0006999999999999</v>
      </c>
      <c r="B10" s="9" t="s">
        <v>59</v>
      </c>
      <c r="C10" s="9" t="s">
        <v>62</v>
      </c>
      <c r="D10" s="7"/>
      <c r="E10" s="6"/>
      <c r="F10" s="8" t="s">
        <v>5</v>
      </c>
      <c r="G10" s="8">
        <f t="shared" ref="G10:K11" si="2">IF($F10=G$1,1,0)</f>
        <v>1</v>
      </c>
      <c r="H10" s="8">
        <f t="shared" si="2"/>
        <v>0</v>
      </c>
      <c r="I10" s="8">
        <f t="shared" si="2"/>
        <v>0</v>
      </c>
      <c r="J10" s="8">
        <f t="shared" si="2"/>
        <v>0</v>
      </c>
      <c r="K10" s="8">
        <f t="shared" si="2"/>
        <v>0</v>
      </c>
      <c r="L10" s="7"/>
    </row>
    <row r="11" spans="1:12" x14ac:dyDescent="0.25">
      <c r="A11" s="5">
        <f t="shared" si="1"/>
        <v>1.0007999999999999</v>
      </c>
      <c r="B11" s="6"/>
      <c r="C11" s="9" t="s">
        <v>63</v>
      </c>
      <c r="D11" s="7"/>
      <c r="E11" s="6"/>
      <c r="F11" s="8" t="s">
        <v>5</v>
      </c>
      <c r="G11" s="8">
        <f t="shared" si="2"/>
        <v>1</v>
      </c>
      <c r="H11" s="8">
        <f t="shared" si="2"/>
        <v>0</v>
      </c>
      <c r="I11" s="8">
        <f t="shared" si="2"/>
        <v>0</v>
      </c>
      <c r="J11" s="8">
        <f t="shared" si="2"/>
        <v>0</v>
      </c>
      <c r="K11" s="8">
        <f t="shared" si="2"/>
        <v>0</v>
      </c>
      <c r="L11" s="7"/>
    </row>
    <row r="12" spans="1:12" x14ac:dyDescent="0.25">
      <c r="A12" s="5">
        <f t="shared" si="1"/>
        <v>1.0008999999999999</v>
      </c>
      <c r="B12" s="6"/>
      <c r="C12" s="9"/>
      <c r="D12" s="7"/>
      <c r="E12" s="6"/>
      <c r="F12" s="8"/>
      <c r="G12" s="8"/>
      <c r="H12" s="8"/>
      <c r="I12" s="8"/>
      <c r="J12" s="8"/>
      <c r="K12" s="8"/>
      <c r="L12" s="7"/>
    </row>
    <row r="13" spans="1:12" x14ac:dyDescent="0.25">
      <c r="A13" s="5">
        <f t="shared" si="1"/>
        <v>1.0009999999999999</v>
      </c>
      <c r="B13" s="6"/>
      <c r="C13" s="9"/>
      <c r="D13" s="7"/>
      <c r="E13" s="6"/>
      <c r="F13" s="8"/>
      <c r="G13" s="8"/>
      <c r="H13" s="8"/>
      <c r="I13" s="8"/>
      <c r="J13" s="8"/>
      <c r="K13" s="8"/>
      <c r="L13" s="7"/>
    </row>
    <row r="14" spans="1:12" x14ac:dyDescent="0.25">
      <c r="A14" s="5">
        <f t="shared" si="1"/>
        <v>1.0010999999999999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x14ac:dyDescent="0.25">
      <c r="A15" s="5">
        <f t="shared" si="1"/>
        <v>1.0011999999999999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x14ac:dyDescent="0.25">
      <c r="A16" s="5">
        <f t="shared" si="1"/>
        <v>1.0012999999999999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7:11" ht="15.75" thickBot="1" x14ac:dyDescent="0.3">
      <c r="G17" s="2">
        <f>SUM(G2:G16)</f>
        <v>5</v>
      </c>
      <c r="H17" s="2">
        <f>SUM(H2:H16)</f>
        <v>0</v>
      </c>
      <c r="I17" s="2">
        <f>SUM(I2:I16)</f>
        <v>0</v>
      </c>
      <c r="J17" s="2">
        <f>SUM(J2:J16)</f>
        <v>0</v>
      </c>
      <c r="K17" s="2">
        <f>SUM(K2:K16)</f>
        <v>0</v>
      </c>
    </row>
    <row r="18" spans="7:11" ht="15.75" thickTop="1" x14ac:dyDescent="0.25"/>
    <row r="19" spans="7:11" x14ac:dyDescent="0.25">
      <c r="G19" s="8">
        <f t="shared" ref="G19:K19" si="3">IF($F19=G$1,1,0)</f>
        <v>0</v>
      </c>
      <c r="H19" s="8">
        <f t="shared" si="3"/>
        <v>0</v>
      </c>
      <c r="I19" s="8">
        <f t="shared" si="3"/>
        <v>1</v>
      </c>
      <c r="J19" s="8">
        <f t="shared" si="3"/>
        <v>0</v>
      </c>
      <c r="K19" s="8">
        <f t="shared" si="3"/>
        <v>0</v>
      </c>
    </row>
  </sheetData>
  <conditionalFormatting sqref="A2:K2 B8:K8 A17:L36 A3:F4 B5:F7 B14:L16 A5:A16">
    <cfRule type="expression" dxfId="81" priority="327">
      <formula>$F2="Fail"</formula>
    </cfRule>
  </conditionalFormatting>
  <conditionalFormatting sqref="B9:K9 B13:C14 B11:E11 C10:E10">
    <cfRule type="expression" dxfId="80" priority="22">
      <formula>$F9="Fail"</formula>
    </cfRule>
  </conditionalFormatting>
  <conditionalFormatting sqref="B13:F13">
    <cfRule type="expression" dxfId="79" priority="17">
      <formula>$F13="Fail"</formula>
    </cfRule>
  </conditionalFormatting>
  <conditionalFormatting sqref="B12:F12">
    <cfRule type="expression" dxfId="78" priority="16">
      <formula>$F12="Fail"</formula>
    </cfRule>
  </conditionalFormatting>
  <conditionalFormatting sqref="B12:C12">
    <cfRule type="expression" dxfId="77" priority="15">
      <formula>$F12="Fail"</formula>
    </cfRule>
  </conditionalFormatting>
  <conditionalFormatting sqref="L2:L8">
    <cfRule type="expression" dxfId="76" priority="12">
      <formula>$F2="Fail"</formula>
    </cfRule>
  </conditionalFormatting>
  <conditionalFormatting sqref="L9:L11">
    <cfRule type="expression" dxfId="75" priority="11">
      <formula>$F9="Fail"</formula>
    </cfRule>
  </conditionalFormatting>
  <conditionalFormatting sqref="L13">
    <cfRule type="expression" dxfId="74" priority="6">
      <formula>$F13="Fail"</formula>
    </cfRule>
  </conditionalFormatting>
  <conditionalFormatting sqref="L12">
    <cfRule type="expression" dxfId="73" priority="5">
      <formula>$F12="Fail"</formula>
    </cfRule>
  </conditionalFormatting>
  <conditionalFormatting sqref="B10">
    <cfRule type="expression" dxfId="72" priority="4">
      <formula>$F10="Fail"</formula>
    </cfRule>
  </conditionalFormatting>
  <conditionalFormatting sqref="G3:K7">
    <cfRule type="expression" dxfId="71" priority="3">
      <formula>$F3="Fail"</formula>
    </cfRule>
  </conditionalFormatting>
  <conditionalFormatting sqref="G10:K13">
    <cfRule type="expression" dxfId="70" priority="2">
      <formula>$F10="Fail"</formula>
    </cfRule>
  </conditionalFormatting>
  <conditionalFormatting sqref="F10:F11">
    <cfRule type="expression" dxfId="69" priority="1">
      <formula>$F10="Fail"</formula>
    </cfRule>
  </conditionalFormatting>
  <dataValidations count="1">
    <dataValidation type="list" allowBlank="1" showInputMessage="1" showErrorMessage="1" sqref="F2:F16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4103" r:id="rId4">
          <objectPr defaultSize="0" r:id="rId5">
            <anchor moveWithCells="1">
              <from>
                <xdr:col>2</xdr:col>
                <xdr:colOff>1019175</xdr:colOff>
                <xdr:row>11</xdr:row>
                <xdr:rowOff>104775</xdr:rowOff>
              </from>
              <to>
                <xdr:col>2</xdr:col>
                <xdr:colOff>3019425</xdr:colOff>
                <xdr:row>14</xdr:row>
                <xdr:rowOff>47625</xdr:rowOff>
              </to>
            </anchor>
          </objectPr>
        </oleObject>
      </mc:Choice>
      <mc:Fallback>
        <oleObject progId="Packager Shell Object" dvAspect="DVASPECT_ICON" shapeId="4103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5"/>
  <sheetViews>
    <sheetView zoomScaleNormal="100" workbookViewId="0">
      <pane ySplit="1" topLeftCell="A32" activePane="bottomLeft" state="frozen"/>
      <selection pane="bottomLeft" activeCell="H13" sqref="H13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9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10</v>
      </c>
    </row>
    <row r="2" spans="1:12" s="20" customFormat="1" x14ac:dyDescent="0.25">
      <c r="A2" s="16">
        <v>1</v>
      </c>
      <c r="B2" s="17" t="s">
        <v>12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 t="s">
        <v>11</v>
      </c>
      <c r="C3" s="9"/>
      <c r="D3" s="6"/>
      <c r="E3" s="6"/>
      <c r="F3" s="8" t="s">
        <v>5</v>
      </c>
      <c r="G3" s="8">
        <f t="shared" ref="G3:K5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7"/>
    </row>
    <row r="4" spans="1:12" x14ac:dyDescent="0.25">
      <c r="A4" s="5">
        <f t="shared" ref="A4:A27" si="1">A3+0.0001</f>
        <v>1.0001</v>
      </c>
      <c r="B4" s="9" t="s">
        <v>13</v>
      </c>
      <c r="C4" s="9"/>
      <c r="D4" s="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7"/>
    </row>
    <row r="5" spans="1:12" x14ac:dyDescent="0.25">
      <c r="A5" s="5">
        <f t="shared" si="1"/>
        <v>1.0002</v>
      </c>
      <c r="B5" s="6" t="s">
        <v>14</v>
      </c>
      <c r="C5" s="6" t="s">
        <v>21</v>
      </c>
      <c r="D5" s="6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7"/>
    </row>
    <row r="6" spans="1:12" s="20" customFormat="1" x14ac:dyDescent="0.25">
      <c r="A6" s="16">
        <v>2</v>
      </c>
      <c r="B6" s="17" t="s">
        <v>15</v>
      </c>
      <c r="C6" s="18"/>
      <c r="D6" s="17"/>
      <c r="E6" s="17"/>
      <c r="F6" s="19"/>
      <c r="G6" s="19"/>
      <c r="H6" s="19"/>
      <c r="I6" s="19"/>
      <c r="J6" s="19"/>
      <c r="K6" s="19"/>
      <c r="L6" s="17"/>
    </row>
    <row r="7" spans="1:12" ht="76.5" x14ac:dyDescent="0.25">
      <c r="A7" s="5">
        <f t="shared" si="1"/>
        <v>2.0001000000000002</v>
      </c>
      <c r="B7" s="6" t="s">
        <v>16</v>
      </c>
      <c r="C7" s="7" t="s">
        <v>17</v>
      </c>
      <c r="D7" s="7" t="s">
        <v>50</v>
      </c>
      <c r="E7" s="6"/>
      <c r="F7" s="8" t="s">
        <v>5</v>
      </c>
      <c r="G7" s="8">
        <f t="shared" ref="G7:K13" si="2">IF($F7=G$1,1,0)</f>
        <v>1</v>
      </c>
      <c r="H7" s="8">
        <f t="shared" si="2"/>
        <v>0</v>
      </c>
      <c r="I7" s="8">
        <f t="shared" si="2"/>
        <v>0</v>
      </c>
      <c r="J7" s="8">
        <f t="shared" si="2"/>
        <v>0</v>
      </c>
      <c r="K7" s="8">
        <f t="shared" si="2"/>
        <v>0</v>
      </c>
      <c r="L7" s="7"/>
    </row>
    <row r="8" spans="1:12" s="20" customFormat="1" x14ac:dyDescent="0.25">
      <c r="A8" s="16">
        <v>3</v>
      </c>
      <c r="B8" s="17" t="s">
        <v>18</v>
      </c>
      <c r="C8" s="18"/>
      <c r="D8" s="17"/>
      <c r="E8" s="17"/>
      <c r="F8" s="19"/>
      <c r="G8" s="19"/>
      <c r="H8" s="19"/>
      <c r="I8" s="19"/>
      <c r="J8" s="19"/>
      <c r="K8" s="19"/>
      <c r="L8" s="17"/>
    </row>
    <row r="9" spans="1:12" x14ac:dyDescent="0.25">
      <c r="A9" s="5">
        <f t="shared" si="1"/>
        <v>3.0001000000000002</v>
      </c>
      <c r="B9" s="6" t="s">
        <v>19</v>
      </c>
      <c r="C9" s="9" t="s">
        <v>20</v>
      </c>
      <c r="D9" s="7" t="s">
        <v>48</v>
      </c>
      <c r="E9" s="6"/>
      <c r="F9" s="8" t="s">
        <v>5</v>
      </c>
      <c r="G9" s="8">
        <f t="shared" si="2"/>
        <v>1</v>
      </c>
      <c r="H9" s="8">
        <f t="shared" si="2"/>
        <v>0</v>
      </c>
      <c r="I9" s="8">
        <f t="shared" si="2"/>
        <v>0</v>
      </c>
      <c r="J9" s="8">
        <f t="shared" si="2"/>
        <v>0</v>
      </c>
      <c r="K9" s="8">
        <f t="shared" si="2"/>
        <v>0</v>
      </c>
      <c r="L9" s="7"/>
    </row>
    <row r="10" spans="1:12" s="20" customFormat="1" x14ac:dyDescent="0.25">
      <c r="A10" s="16">
        <v>4</v>
      </c>
      <c r="B10" s="17" t="s">
        <v>22</v>
      </c>
      <c r="C10" s="18"/>
      <c r="D10" s="17"/>
      <c r="E10" s="17"/>
      <c r="F10" s="19"/>
      <c r="G10" s="19"/>
      <c r="H10" s="19"/>
      <c r="I10" s="19"/>
      <c r="J10" s="19"/>
      <c r="K10" s="19"/>
      <c r="L10" s="17"/>
    </row>
    <row r="11" spans="1:12" ht="25.5" x14ac:dyDescent="0.25">
      <c r="A11" s="5">
        <f>A10+0.0001</f>
        <v>4.0000999999999998</v>
      </c>
      <c r="B11" s="6" t="s">
        <v>25</v>
      </c>
      <c r="C11" s="6" t="s">
        <v>24</v>
      </c>
      <c r="D11" s="21"/>
      <c r="E11" s="6" t="s">
        <v>51</v>
      </c>
      <c r="F11" s="8" t="s">
        <v>7</v>
      </c>
      <c r="G11" s="8">
        <f t="shared" si="2"/>
        <v>0</v>
      </c>
      <c r="H11" s="8">
        <f t="shared" si="2"/>
        <v>0</v>
      </c>
      <c r="I11" s="8">
        <f t="shared" si="2"/>
        <v>0</v>
      </c>
      <c r="J11" s="8">
        <f t="shared" si="2"/>
        <v>1</v>
      </c>
      <c r="K11" s="8">
        <f t="shared" si="2"/>
        <v>0</v>
      </c>
      <c r="L11" s="7"/>
    </row>
    <row r="12" spans="1:12" ht="25.5" x14ac:dyDescent="0.25">
      <c r="A12" s="5">
        <f t="shared" si="1"/>
        <v>4.0001999999999995</v>
      </c>
      <c r="B12" s="7" t="s">
        <v>23</v>
      </c>
      <c r="C12" s="6"/>
      <c r="D12" s="7"/>
      <c r="E12" s="6" t="s">
        <v>51</v>
      </c>
      <c r="F12" s="8" t="s">
        <v>7</v>
      </c>
      <c r="G12" s="8">
        <f t="shared" si="2"/>
        <v>0</v>
      </c>
      <c r="H12" s="8">
        <f t="shared" si="2"/>
        <v>0</v>
      </c>
      <c r="I12" s="8">
        <f t="shared" si="2"/>
        <v>0</v>
      </c>
      <c r="J12" s="8">
        <f t="shared" si="2"/>
        <v>1</v>
      </c>
      <c r="K12" s="8">
        <f t="shared" si="2"/>
        <v>0</v>
      </c>
      <c r="L12" s="7"/>
    </row>
    <row r="13" spans="1:12" ht="25.5" x14ac:dyDescent="0.25">
      <c r="A13" s="5">
        <f t="shared" si="1"/>
        <v>4.0002999999999993</v>
      </c>
      <c r="B13" s="6" t="s">
        <v>26</v>
      </c>
      <c r="C13" s="6"/>
      <c r="D13" s="7"/>
      <c r="E13" s="7" t="s">
        <v>49</v>
      </c>
      <c r="F13" s="8" t="s">
        <v>8</v>
      </c>
      <c r="G13" s="8">
        <f t="shared" si="2"/>
        <v>0</v>
      </c>
      <c r="H13" s="8">
        <f t="shared" si="2"/>
        <v>0</v>
      </c>
      <c r="I13" s="8">
        <f t="shared" si="2"/>
        <v>0</v>
      </c>
      <c r="J13" s="8">
        <f t="shared" si="2"/>
        <v>0</v>
      </c>
      <c r="K13" s="8">
        <f t="shared" si="2"/>
        <v>1</v>
      </c>
      <c r="L13" s="7"/>
    </row>
    <row r="14" spans="1:12" s="20" customFormat="1" ht="25.5" x14ac:dyDescent="0.25">
      <c r="A14" s="16">
        <v>5</v>
      </c>
      <c r="B14" s="17" t="s">
        <v>27</v>
      </c>
      <c r="C14" s="18"/>
      <c r="D14" s="17"/>
      <c r="E14" s="17"/>
      <c r="F14" s="19"/>
      <c r="G14" s="19"/>
      <c r="H14" s="19"/>
      <c r="I14" s="19"/>
      <c r="J14" s="19"/>
      <c r="K14" s="19"/>
      <c r="L14" s="17"/>
    </row>
    <row r="15" spans="1:12" x14ac:dyDescent="0.25">
      <c r="A15" s="5">
        <f t="shared" si="1"/>
        <v>5.0000999999999998</v>
      </c>
      <c r="B15" s="6" t="s">
        <v>28</v>
      </c>
      <c r="C15" s="6" t="s">
        <v>29</v>
      </c>
      <c r="D15" s="7"/>
      <c r="E15" s="7" t="s">
        <v>44</v>
      </c>
      <c r="F15" s="8" t="s">
        <v>8</v>
      </c>
      <c r="G15" s="8">
        <f t="shared" ref="G15:K22" si="3">IF($F15=G$1,1,0)</f>
        <v>0</v>
      </c>
      <c r="H15" s="8">
        <f t="shared" si="3"/>
        <v>0</v>
      </c>
      <c r="I15" s="8">
        <f t="shared" si="3"/>
        <v>0</v>
      </c>
      <c r="J15" s="8">
        <f t="shared" si="3"/>
        <v>0</v>
      </c>
      <c r="K15" s="8">
        <f t="shared" si="3"/>
        <v>1</v>
      </c>
      <c r="L15" s="7"/>
    </row>
    <row r="16" spans="1:12" x14ac:dyDescent="0.25">
      <c r="A16" s="5">
        <f t="shared" si="1"/>
        <v>5.0001999999999995</v>
      </c>
      <c r="B16" s="6"/>
      <c r="C16" s="6" t="s">
        <v>30</v>
      </c>
      <c r="D16" s="7"/>
      <c r="E16" s="7" t="s">
        <v>44</v>
      </c>
      <c r="F16" s="8" t="s">
        <v>8</v>
      </c>
      <c r="G16" s="8">
        <f t="shared" si="3"/>
        <v>0</v>
      </c>
      <c r="H16" s="8">
        <f t="shared" si="3"/>
        <v>0</v>
      </c>
      <c r="I16" s="8">
        <f t="shared" si="3"/>
        <v>0</v>
      </c>
      <c r="J16" s="8">
        <f t="shared" si="3"/>
        <v>0</v>
      </c>
      <c r="K16" s="8">
        <f t="shared" si="3"/>
        <v>1</v>
      </c>
      <c r="L16" s="7"/>
    </row>
    <row r="17" spans="1:12" x14ac:dyDescent="0.25">
      <c r="A17" s="5">
        <f t="shared" si="1"/>
        <v>5.0002999999999993</v>
      </c>
      <c r="B17" s="6"/>
      <c r="C17" s="6" t="s">
        <v>31</v>
      </c>
      <c r="D17" s="7"/>
      <c r="E17" s="7" t="s">
        <v>44</v>
      </c>
      <c r="F17" s="8" t="s">
        <v>8</v>
      </c>
      <c r="G17" s="8">
        <f t="shared" si="3"/>
        <v>0</v>
      </c>
      <c r="H17" s="8">
        <f t="shared" si="3"/>
        <v>0</v>
      </c>
      <c r="I17" s="8">
        <f t="shared" si="3"/>
        <v>0</v>
      </c>
      <c r="J17" s="8">
        <f t="shared" si="3"/>
        <v>0</v>
      </c>
      <c r="K17" s="8">
        <f t="shared" si="3"/>
        <v>1</v>
      </c>
      <c r="L17" s="7"/>
    </row>
    <row r="18" spans="1:12" x14ac:dyDescent="0.25">
      <c r="A18" s="5">
        <f t="shared" si="1"/>
        <v>5.0003999999999991</v>
      </c>
      <c r="B18" s="6" t="s">
        <v>36</v>
      </c>
      <c r="C18" s="6" t="s">
        <v>32</v>
      </c>
      <c r="D18" s="7"/>
      <c r="E18" s="7" t="s">
        <v>44</v>
      </c>
      <c r="F18" s="8" t="s">
        <v>8</v>
      </c>
      <c r="G18" s="8">
        <f t="shared" si="3"/>
        <v>0</v>
      </c>
      <c r="H18" s="8">
        <f t="shared" si="3"/>
        <v>0</v>
      </c>
      <c r="I18" s="8">
        <f t="shared" si="3"/>
        <v>0</v>
      </c>
      <c r="J18" s="8">
        <f t="shared" si="3"/>
        <v>0</v>
      </c>
      <c r="K18" s="8">
        <f t="shared" si="3"/>
        <v>1</v>
      </c>
      <c r="L18" s="7"/>
    </row>
    <row r="19" spans="1:12" x14ac:dyDescent="0.25">
      <c r="A19" s="5">
        <f t="shared" si="1"/>
        <v>5.0004999999999988</v>
      </c>
      <c r="B19" s="6"/>
      <c r="C19" s="6" t="s">
        <v>33</v>
      </c>
      <c r="D19" s="7"/>
      <c r="E19" s="7" t="s">
        <v>44</v>
      </c>
      <c r="F19" s="8" t="s">
        <v>8</v>
      </c>
      <c r="G19" s="8">
        <f t="shared" si="3"/>
        <v>0</v>
      </c>
      <c r="H19" s="8">
        <f t="shared" si="3"/>
        <v>0</v>
      </c>
      <c r="I19" s="8">
        <f t="shared" si="3"/>
        <v>0</v>
      </c>
      <c r="J19" s="8">
        <f t="shared" si="3"/>
        <v>0</v>
      </c>
      <c r="K19" s="8">
        <f t="shared" si="3"/>
        <v>1</v>
      </c>
      <c r="L19" s="7"/>
    </row>
    <row r="20" spans="1:12" x14ac:dyDescent="0.25">
      <c r="A20" s="5">
        <f t="shared" si="1"/>
        <v>5.0005999999999986</v>
      </c>
      <c r="B20" s="6"/>
      <c r="C20" s="6" t="s">
        <v>31</v>
      </c>
      <c r="D20" s="7"/>
      <c r="E20" s="7" t="s">
        <v>44</v>
      </c>
      <c r="F20" s="8" t="s">
        <v>8</v>
      </c>
      <c r="G20" s="8">
        <f t="shared" si="3"/>
        <v>0</v>
      </c>
      <c r="H20" s="8">
        <f t="shared" si="3"/>
        <v>0</v>
      </c>
      <c r="I20" s="8">
        <f t="shared" si="3"/>
        <v>0</v>
      </c>
      <c r="J20" s="8">
        <f t="shared" si="3"/>
        <v>0</v>
      </c>
      <c r="K20" s="8">
        <f t="shared" si="3"/>
        <v>1</v>
      </c>
      <c r="L20" s="7"/>
    </row>
    <row r="21" spans="1:12" x14ac:dyDescent="0.25">
      <c r="A21" s="5">
        <f t="shared" si="1"/>
        <v>5.0006999999999984</v>
      </c>
      <c r="B21" s="6" t="s">
        <v>34</v>
      </c>
      <c r="C21" s="6" t="s">
        <v>35</v>
      </c>
      <c r="D21" s="7"/>
      <c r="E21" s="7" t="s">
        <v>44</v>
      </c>
      <c r="F21" s="8" t="s">
        <v>8</v>
      </c>
      <c r="G21" s="8">
        <f t="shared" si="3"/>
        <v>0</v>
      </c>
      <c r="H21" s="8">
        <f t="shared" si="3"/>
        <v>0</v>
      </c>
      <c r="I21" s="8">
        <f t="shared" si="3"/>
        <v>0</v>
      </c>
      <c r="J21" s="8">
        <f t="shared" si="3"/>
        <v>0</v>
      </c>
      <c r="K21" s="8">
        <f t="shared" si="3"/>
        <v>1</v>
      </c>
      <c r="L21" s="7"/>
    </row>
    <row r="22" spans="1:12" x14ac:dyDescent="0.25">
      <c r="A22" s="5">
        <f t="shared" si="1"/>
        <v>5.0007999999999981</v>
      </c>
      <c r="B22" s="7"/>
      <c r="C22" s="6" t="s">
        <v>31</v>
      </c>
      <c r="D22" s="7"/>
      <c r="E22" s="7" t="s">
        <v>44</v>
      </c>
      <c r="F22" s="8" t="s">
        <v>8</v>
      </c>
      <c r="G22" s="8">
        <f t="shared" si="3"/>
        <v>0</v>
      </c>
      <c r="H22" s="8">
        <f t="shared" si="3"/>
        <v>0</v>
      </c>
      <c r="I22" s="8">
        <f t="shared" si="3"/>
        <v>0</v>
      </c>
      <c r="J22" s="8">
        <f t="shared" si="3"/>
        <v>0</v>
      </c>
      <c r="K22" s="8">
        <f t="shared" si="3"/>
        <v>1</v>
      </c>
      <c r="L22" s="7"/>
    </row>
    <row r="23" spans="1:12" s="20" customFormat="1" x14ac:dyDescent="0.25">
      <c r="A23" s="16">
        <v>5</v>
      </c>
      <c r="B23" s="17" t="s">
        <v>38</v>
      </c>
      <c r="C23" s="18"/>
      <c r="D23" s="17"/>
      <c r="E23" s="17"/>
      <c r="F23" s="19"/>
      <c r="G23" s="19"/>
      <c r="H23" s="19"/>
      <c r="I23" s="19"/>
      <c r="J23" s="19"/>
      <c r="K23" s="19"/>
      <c r="L23" s="17"/>
    </row>
    <row r="24" spans="1:12" x14ac:dyDescent="0.25">
      <c r="A24" s="5">
        <f t="shared" si="1"/>
        <v>5.0000999999999998</v>
      </c>
      <c r="B24" s="6" t="s">
        <v>43</v>
      </c>
      <c r="C24" s="6" t="s">
        <v>37</v>
      </c>
      <c r="D24" s="7"/>
      <c r="E24" s="7" t="s">
        <v>44</v>
      </c>
      <c r="F24" s="8" t="s">
        <v>8</v>
      </c>
      <c r="G24" s="8">
        <f t="shared" ref="G24:K27" si="4">IF($F24=G$1,1,0)</f>
        <v>0</v>
      </c>
      <c r="H24" s="8">
        <f t="shared" si="4"/>
        <v>0</v>
      </c>
      <c r="I24" s="8">
        <f t="shared" si="4"/>
        <v>0</v>
      </c>
      <c r="J24" s="8">
        <f t="shared" si="4"/>
        <v>0</v>
      </c>
      <c r="K24" s="8">
        <f t="shared" si="4"/>
        <v>1</v>
      </c>
      <c r="L24" s="7"/>
    </row>
    <row r="25" spans="1:12" s="20" customFormat="1" x14ac:dyDescent="0.25">
      <c r="A25" s="16">
        <v>6</v>
      </c>
      <c r="B25" s="17" t="s">
        <v>39</v>
      </c>
      <c r="C25" s="18"/>
      <c r="D25" s="17"/>
      <c r="E25" s="17"/>
      <c r="F25" s="19"/>
      <c r="G25" s="19"/>
      <c r="H25" s="19"/>
      <c r="I25" s="19"/>
      <c r="J25" s="19"/>
      <c r="K25" s="19"/>
      <c r="L25" s="17"/>
    </row>
    <row r="26" spans="1:12" ht="38.25" x14ac:dyDescent="0.25">
      <c r="A26" s="5">
        <f t="shared" si="1"/>
        <v>6.0000999999999998</v>
      </c>
      <c r="B26" s="6" t="s">
        <v>42</v>
      </c>
      <c r="C26" s="6" t="s">
        <v>41</v>
      </c>
      <c r="D26" s="7" t="s">
        <v>53</v>
      </c>
      <c r="E26" s="7" t="s">
        <v>44</v>
      </c>
      <c r="F26" s="8" t="s">
        <v>8</v>
      </c>
      <c r="G26" s="8">
        <f t="shared" si="4"/>
        <v>0</v>
      </c>
      <c r="H26" s="8">
        <f t="shared" si="4"/>
        <v>0</v>
      </c>
      <c r="I26" s="8">
        <f t="shared" si="4"/>
        <v>0</v>
      </c>
      <c r="J26" s="8">
        <f t="shared" si="4"/>
        <v>0</v>
      </c>
      <c r="K26" s="8">
        <f t="shared" si="4"/>
        <v>1</v>
      </c>
      <c r="L26" s="7"/>
    </row>
    <row r="27" spans="1:12" ht="25.5" x14ac:dyDescent="0.25">
      <c r="A27" s="5">
        <f t="shared" si="1"/>
        <v>6.0001999999999995</v>
      </c>
      <c r="B27" s="6" t="s">
        <v>40</v>
      </c>
      <c r="C27" s="6" t="s">
        <v>41</v>
      </c>
      <c r="D27" s="7"/>
      <c r="E27" s="7" t="s">
        <v>52</v>
      </c>
      <c r="F27" s="8" t="s">
        <v>7</v>
      </c>
      <c r="G27" s="8">
        <f t="shared" si="4"/>
        <v>0</v>
      </c>
      <c r="H27" s="8">
        <f t="shared" si="4"/>
        <v>0</v>
      </c>
      <c r="I27" s="8">
        <f t="shared" si="4"/>
        <v>0</v>
      </c>
      <c r="J27" s="8">
        <f t="shared" si="4"/>
        <v>1</v>
      </c>
      <c r="K27" s="8">
        <f t="shared" si="4"/>
        <v>0</v>
      </c>
      <c r="L27" s="7"/>
    </row>
    <row r="28" spans="1:12" ht="15.75" thickBot="1" x14ac:dyDescent="0.3">
      <c r="G28" s="2">
        <f>SUM(G2:G27)</f>
        <v>5</v>
      </c>
      <c r="H28" s="2">
        <f>SUM(H2:H27)</f>
        <v>0</v>
      </c>
      <c r="I28" s="2">
        <f>SUM(I2:I27)</f>
        <v>0</v>
      </c>
      <c r="J28" s="2">
        <f>SUM(J2:J27)</f>
        <v>3</v>
      </c>
      <c r="K28" s="2">
        <f>SUM(K2:K27)</f>
        <v>11</v>
      </c>
    </row>
    <row r="29" spans="1:12" ht="15.75" thickTop="1" x14ac:dyDescent="0.25"/>
    <row r="30" spans="1:12" x14ac:dyDescent="0.25">
      <c r="G30" s="8">
        <f t="shared" ref="G30:K30" si="5">IF($F30=G$1,1,0)</f>
        <v>0</v>
      </c>
      <c r="H30" s="8">
        <f t="shared" si="5"/>
        <v>0</v>
      </c>
      <c r="I30" s="8">
        <f t="shared" si="5"/>
        <v>1</v>
      </c>
      <c r="J30" s="8">
        <f t="shared" si="5"/>
        <v>0</v>
      </c>
      <c r="K30" s="8">
        <f t="shared" si="5"/>
        <v>0</v>
      </c>
    </row>
    <row r="43" spans="2:2" x14ac:dyDescent="0.25">
      <c r="B43" s="1" t="s">
        <v>45</v>
      </c>
    </row>
    <row r="44" spans="2:2" x14ac:dyDescent="0.25">
      <c r="B44" s="1" t="s">
        <v>46</v>
      </c>
    </row>
    <row r="45" spans="2:2" x14ac:dyDescent="0.25">
      <c r="B45" s="1" t="s">
        <v>47</v>
      </c>
    </row>
  </sheetData>
  <conditionalFormatting sqref="A28:K47 A2:L2 A27 L27:L47 A3:F5 L3:L5">
    <cfRule type="expression" dxfId="68" priority="56">
      <formula>$F2="Fail"</formula>
    </cfRule>
  </conditionalFormatting>
  <conditionalFormatting sqref="A6:K6 A11:A13 A7:E7 B13:C13 A15:A17 A22 A24 B11:F12">
    <cfRule type="expression" dxfId="67" priority="55">
      <formula>$F6="Fail"</formula>
    </cfRule>
  </conditionalFormatting>
  <conditionalFormatting sqref="B22 C24:D24 D27:F27">
    <cfRule type="expression" dxfId="66" priority="53">
      <formula>$F22="Fail"</formula>
    </cfRule>
  </conditionalFormatting>
  <conditionalFormatting sqref="B13:F13 B12:C12 B17:C17 B15:F16 E15:F22">
    <cfRule type="expression" dxfId="65" priority="52">
      <formula>$F12="Fail"</formula>
    </cfRule>
  </conditionalFormatting>
  <conditionalFormatting sqref="B16:C17 D17:F17 D21:F22 B22">
    <cfRule type="expression" dxfId="64" priority="51">
      <formula>$F16="Fail"</formula>
    </cfRule>
  </conditionalFormatting>
  <conditionalFormatting sqref="C20">
    <cfRule type="expression" dxfId="63" priority="26">
      <formula>$F20="Fail"</formula>
    </cfRule>
  </conditionalFormatting>
  <conditionalFormatting sqref="A9:F9">
    <cfRule type="expression" dxfId="62" priority="49">
      <formula>$F9="Fail"</formula>
    </cfRule>
  </conditionalFormatting>
  <conditionalFormatting sqref="B9:C9">
    <cfRule type="expression" dxfId="61" priority="48">
      <formula>$F9="Fail"</formula>
    </cfRule>
  </conditionalFormatting>
  <conditionalFormatting sqref="F7">
    <cfRule type="expression" dxfId="60" priority="47">
      <formula>$F7="Fail"</formula>
    </cfRule>
  </conditionalFormatting>
  <conditionalFormatting sqref="B24">
    <cfRule type="expression" dxfId="59" priority="20">
      <formula>$F24="Fail"</formula>
    </cfRule>
  </conditionalFormatting>
  <conditionalFormatting sqref="L11:L12 L6:L7">
    <cfRule type="expression" dxfId="58" priority="44">
      <formula>$F6="Fail"</formula>
    </cfRule>
  </conditionalFormatting>
  <conditionalFormatting sqref="L24">
    <cfRule type="expression" dxfId="57" priority="42">
      <formula>$F24="Fail"</formula>
    </cfRule>
  </conditionalFormatting>
  <conditionalFormatting sqref="L13 L15:L16">
    <cfRule type="expression" dxfId="56" priority="41">
      <formula>$F13="Fail"</formula>
    </cfRule>
  </conditionalFormatting>
  <conditionalFormatting sqref="L17 L21:L22">
    <cfRule type="expression" dxfId="55" priority="40">
      <formula>$F17="Fail"</formula>
    </cfRule>
  </conditionalFormatting>
  <conditionalFormatting sqref="A25:L25">
    <cfRule type="expression" dxfId="54" priority="15">
      <formula>$F25="Fail"</formula>
    </cfRule>
  </conditionalFormatting>
  <conditionalFormatting sqref="L9">
    <cfRule type="expression" dxfId="53" priority="38">
      <formula>$F9="Fail"</formula>
    </cfRule>
  </conditionalFormatting>
  <conditionalFormatting sqref="A8:K8">
    <cfRule type="expression" dxfId="52" priority="37">
      <formula>$F8="Fail"</formula>
    </cfRule>
  </conditionalFormatting>
  <conditionalFormatting sqref="L8">
    <cfRule type="expression" dxfId="51" priority="36">
      <formula>$F8="Fail"</formula>
    </cfRule>
  </conditionalFormatting>
  <conditionalFormatting sqref="A10:K10">
    <cfRule type="expression" dxfId="50" priority="35">
      <formula>$F10="Fail"</formula>
    </cfRule>
  </conditionalFormatting>
  <conditionalFormatting sqref="L10">
    <cfRule type="expression" dxfId="49" priority="34">
      <formula>$F10="Fail"</formula>
    </cfRule>
  </conditionalFormatting>
  <conditionalFormatting sqref="A14:L14">
    <cfRule type="expression" dxfId="48" priority="33">
      <formula>$F14="Fail"</formula>
    </cfRule>
  </conditionalFormatting>
  <conditionalFormatting sqref="A18:A20">
    <cfRule type="expression" dxfId="47" priority="32">
      <formula>$F18="Fail"</formula>
    </cfRule>
  </conditionalFormatting>
  <conditionalFormatting sqref="B20 B19:F19 C18:F18">
    <cfRule type="expression" dxfId="46" priority="31">
      <formula>$F18="Fail"</formula>
    </cfRule>
  </conditionalFormatting>
  <conditionalFormatting sqref="B19:C19 D20:F20 B20">
    <cfRule type="expression" dxfId="45" priority="30">
      <formula>$F19="Fail"</formula>
    </cfRule>
  </conditionalFormatting>
  <conditionalFormatting sqref="L18:L19">
    <cfRule type="expression" dxfId="44" priority="29">
      <formula>$F18="Fail"</formula>
    </cfRule>
  </conditionalFormatting>
  <conditionalFormatting sqref="L20">
    <cfRule type="expression" dxfId="43" priority="28">
      <formula>$F20="Fail"</formula>
    </cfRule>
  </conditionalFormatting>
  <conditionalFormatting sqref="C20">
    <cfRule type="expression" dxfId="42" priority="27">
      <formula>$F20="Fail"</formula>
    </cfRule>
  </conditionalFormatting>
  <conditionalFormatting sqref="A21">
    <cfRule type="expression" dxfId="41" priority="25">
      <formula>$F21="Fail"</formula>
    </cfRule>
  </conditionalFormatting>
  <conditionalFormatting sqref="B21:C21">
    <cfRule type="expression" dxfId="40" priority="24">
      <formula>$F21="Fail"</formula>
    </cfRule>
  </conditionalFormatting>
  <conditionalFormatting sqref="C22">
    <cfRule type="expression" dxfId="39" priority="23">
      <formula>$F22="Fail"</formula>
    </cfRule>
  </conditionalFormatting>
  <conditionalFormatting sqref="C22">
    <cfRule type="expression" dxfId="38" priority="22">
      <formula>$F22="Fail"</formula>
    </cfRule>
  </conditionalFormatting>
  <conditionalFormatting sqref="A23:L23">
    <cfRule type="expression" dxfId="37" priority="21">
      <formula>$F23="Fail"</formula>
    </cfRule>
  </conditionalFormatting>
  <conditionalFormatting sqref="B18">
    <cfRule type="expression" dxfId="36" priority="19">
      <formula>$F18="Fail"</formula>
    </cfRule>
  </conditionalFormatting>
  <conditionalFormatting sqref="A26">
    <cfRule type="expression" dxfId="35" priority="18">
      <formula>$F26="Fail"</formula>
    </cfRule>
  </conditionalFormatting>
  <conditionalFormatting sqref="C26:D26 F26">
    <cfRule type="expression" dxfId="34" priority="17">
      <formula>$F26="Fail"</formula>
    </cfRule>
  </conditionalFormatting>
  <conditionalFormatting sqref="L26">
    <cfRule type="expression" dxfId="33" priority="16">
      <formula>$F26="Fail"</formula>
    </cfRule>
  </conditionalFormatting>
  <conditionalFormatting sqref="B26">
    <cfRule type="expression" dxfId="32" priority="14">
      <formula>$F26="Fail"</formula>
    </cfRule>
  </conditionalFormatting>
  <conditionalFormatting sqref="C27">
    <cfRule type="expression" dxfId="31" priority="13">
      <formula>$F27="Fail"</formula>
    </cfRule>
  </conditionalFormatting>
  <conditionalFormatting sqref="B27">
    <cfRule type="expression" dxfId="30" priority="12">
      <formula>$F27="Fail"</formula>
    </cfRule>
  </conditionalFormatting>
  <conditionalFormatting sqref="G27:K27">
    <cfRule type="expression" dxfId="29" priority="11">
      <formula>$F27="Fail"</formula>
    </cfRule>
  </conditionalFormatting>
  <conditionalFormatting sqref="G26:K26">
    <cfRule type="expression" dxfId="28" priority="10">
      <formula>$F26="Fail"</formula>
    </cfRule>
  </conditionalFormatting>
  <conditionalFormatting sqref="G24:K24">
    <cfRule type="expression" dxfId="27" priority="9">
      <formula>$F24="Fail"</formula>
    </cfRule>
  </conditionalFormatting>
  <conditionalFormatting sqref="G15:K22">
    <cfRule type="expression" dxfId="26" priority="8">
      <formula>$F15="Fail"</formula>
    </cfRule>
  </conditionalFormatting>
  <conditionalFormatting sqref="G11:K13">
    <cfRule type="expression" dxfId="25" priority="7">
      <formula>$F11="Fail"</formula>
    </cfRule>
  </conditionalFormatting>
  <conditionalFormatting sqref="G9:K9">
    <cfRule type="expression" dxfId="24" priority="6">
      <formula>$F9="Fail"</formula>
    </cfRule>
  </conditionalFormatting>
  <conditionalFormatting sqref="G7:K7">
    <cfRule type="expression" dxfId="23" priority="5">
      <formula>$F7="Fail"</formula>
    </cfRule>
  </conditionalFormatting>
  <conditionalFormatting sqref="G3:K5">
    <cfRule type="expression" dxfId="22" priority="4">
      <formula>$F3="Fail"</formula>
    </cfRule>
  </conditionalFormatting>
  <conditionalFormatting sqref="F24">
    <cfRule type="expression" dxfId="21" priority="3">
      <formula>$F24="Fail"</formula>
    </cfRule>
  </conditionalFormatting>
  <conditionalFormatting sqref="E24">
    <cfRule type="expression" dxfId="20" priority="2">
      <formula>$F24="Fail"</formula>
    </cfRule>
  </conditionalFormatting>
  <conditionalFormatting sqref="E26">
    <cfRule type="expression" dxfId="19" priority="1">
      <formula>$F26="Fail"</formula>
    </cfRule>
  </conditionalFormatting>
  <dataValidations count="1">
    <dataValidation type="list" allowBlank="1" showInputMessage="1" showErrorMessage="1" sqref="F2:F27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5123" r:id="rId4">
          <objectPr defaultSize="0" r:id="rId5">
            <anchor moveWithCells="1">
              <from>
                <xdr:col>11</xdr:col>
                <xdr:colOff>47625</xdr:colOff>
                <xdr:row>25</xdr:row>
                <xdr:rowOff>19050</xdr:rowOff>
              </from>
              <to>
                <xdr:col>12</xdr:col>
                <xdr:colOff>85725</xdr:colOff>
                <xdr:row>26</xdr:row>
                <xdr:rowOff>47625</xdr:rowOff>
              </to>
            </anchor>
          </objectPr>
        </oleObject>
      </mc:Choice>
      <mc:Fallback>
        <oleObject progId="Packager Shell Object" dvAspect="DVASPECT_ICON" shapeId="5123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56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9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10</v>
      </c>
    </row>
    <row r="2" spans="1:12" s="20" customFormat="1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/>
      <c r="C3" s="9"/>
      <c r="D3" s="7"/>
      <c r="E3" s="6"/>
      <c r="F3" s="8"/>
      <c r="G3" s="8"/>
      <c r="H3" s="8"/>
      <c r="I3" s="8"/>
      <c r="J3" s="8"/>
      <c r="K3" s="8"/>
      <c r="L3" s="7"/>
    </row>
    <row r="4" spans="1:12" x14ac:dyDescent="0.25">
      <c r="A4" s="5">
        <f t="shared" ref="A4:A54" si="0">A3+0.0001</f>
        <v>1.0001</v>
      </c>
      <c r="B4" s="6"/>
      <c r="C4" s="9"/>
      <c r="D4" s="7"/>
      <c r="E4" s="6"/>
      <c r="F4" s="8"/>
      <c r="G4" s="8"/>
      <c r="H4" s="8"/>
      <c r="I4" s="8"/>
      <c r="J4" s="8"/>
      <c r="K4" s="8"/>
      <c r="L4" s="7"/>
    </row>
    <row r="5" spans="1:12" x14ac:dyDescent="0.25">
      <c r="A5" s="5">
        <f t="shared" si="0"/>
        <v>1.0002</v>
      </c>
      <c r="B5" s="6"/>
      <c r="C5" s="9"/>
      <c r="D5" s="7"/>
      <c r="E5" s="6"/>
      <c r="F5" s="8"/>
      <c r="G5" s="8"/>
      <c r="H5" s="8"/>
      <c r="I5" s="8"/>
      <c r="J5" s="8"/>
      <c r="K5" s="8"/>
      <c r="L5" s="7"/>
    </row>
    <row r="6" spans="1:12" x14ac:dyDescent="0.25">
      <c r="A6" s="5">
        <f t="shared" si="0"/>
        <v>1.0003</v>
      </c>
      <c r="B6" s="7"/>
      <c r="C6" s="6"/>
      <c r="D6" s="7"/>
      <c r="E6" s="7"/>
      <c r="F6" s="8"/>
      <c r="G6" s="8"/>
      <c r="H6" s="8"/>
      <c r="I6" s="8"/>
      <c r="J6" s="8"/>
      <c r="K6" s="8"/>
      <c r="L6" s="7"/>
    </row>
    <row r="7" spans="1:12" x14ac:dyDescent="0.25">
      <c r="A7" s="5">
        <f t="shared" si="0"/>
        <v>1.0004</v>
      </c>
      <c r="B7" s="6"/>
      <c r="C7" s="6"/>
      <c r="D7" s="7"/>
      <c r="E7" s="7"/>
      <c r="F7" s="8"/>
      <c r="G7" s="8"/>
      <c r="H7" s="8"/>
      <c r="I7" s="8"/>
      <c r="J7" s="8"/>
      <c r="K7" s="8"/>
      <c r="L7" s="7"/>
    </row>
    <row r="8" spans="1:12" x14ac:dyDescent="0.25">
      <c r="A8" s="5">
        <f t="shared" si="0"/>
        <v>1.0004999999999999</v>
      </c>
      <c r="B8" s="7"/>
      <c r="C8" s="6"/>
      <c r="D8" s="7"/>
      <c r="E8" s="7"/>
      <c r="F8" s="8"/>
      <c r="G8" s="8"/>
      <c r="H8" s="8"/>
      <c r="I8" s="8"/>
      <c r="J8" s="8"/>
      <c r="K8" s="8"/>
      <c r="L8" s="7"/>
    </row>
    <row r="9" spans="1:12" s="20" customFormat="1" x14ac:dyDescent="0.25">
      <c r="A9" s="16">
        <v>2</v>
      </c>
      <c r="B9" s="17"/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x14ac:dyDescent="0.25">
      <c r="A10" s="5">
        <f t="shared" si="0"/>
        <v>2.0001000000000002</v>
      </c>
      <c r="B10" s="6"/>
      <c r="C10" s="9"/>
      <c r="D10" s="7"/>
      <c r="E10" s="6"/>
      <c r="F10" s="8"/>
      <c r="G10" s="8"/>
      <c r="H10" s="8"/>
      <c r="I10" s="8"/>
      <c r="J10" s="8"/>
      <c r="K10" s="8"/>
      <c r="L10" s="7"/>
    </row>
    <row r="11" spans="1:12" x14ac:dyDescent="0.25">
      <c r="A11" s="5">
        <f t="shared" si="0"/>
        <v>2.0002000000000004</v>
      </c>
      <c r="B11" s="6"/>
      <c r="C11" s="9"/>
      <c r="D11" s="7"/>
      <c r="E11" s="6"/>
      <c r="F11" s="8"/>
      <c r="G11" s="8"/>
      <c r="H11" s="8"/>
      <c r="I11" s="8"/>
      <c r="J11" s="8"/>
      <c r="K11" s="8"/>
      <c r="L11" s="7"/>
    </row>
    <row r="12" spans="1:12" x14ac:dyDescent="0.25">
      <c r="A12" s="5">
        <f t="shared" si="0"/>
        <v>2.0003000000000006</v>
      </c>
      <c r="B12" s="6"/>
      <c r="C12" s="9"/>
      <c r="D12" s="7"/>
      <c r="E12" s="6"/>
      <c r="F12" s="8"/>
      <c r="G12" s="8"/>
      <c r="H12" s="8"/>
      <c r="I12" s="8"/>
      <c r="J12" s="8"/>
      <c r="K12" s="8"/>
      <c r="L12" s="7"/>
    </row>
    <row r="13" spans="1:12" x14ac:dyDescent="0.25">
      <c r="A13" s="5">
        <f>A11+0.0001</f>
        <v>2.0003000000000006</v>
      </c>
      <c r="B13" s="6"/>
      <c r="C13" s="9"/>
      <c r="D13" s="7"/>
      <c r="E13" s="6"/>
      <c r="F13" s="8"/>
      <c r="G13" s="8"/>
      <c r="H13" s="8"/>
      <c r="I13" s="8"/>
      <c r="J13" s="8"/>
      <c r="K13" s="8"/>
      <c r="L13" s="7"/>
    </row>
    <row r="14" spans="1:12" x14ac:dyDescent="0.25">
      <c r="A14" s="5">
        <f>A11+0.0001</f>
        <v>2.0003000000000006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x14ac:dyDescent="0.25">
      <c r="A15" s="5">
        <f t="shared" si="0"/>
        <v>2.0004000000000008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x14ac:dyDescent="0.25">
      <c r="A16" s="5">
        <f t="shared" si="0"/>
        <v>2.0005000000000011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1:12" x14ac:dyDescent="0.25">
      <c r="A17" s="5">
        <f t="shared" si="0"/>
        <v>2.0006000000000013</v>
      </c>
      <c r="B17" s="6"/>
      <c r="C17" s="6"/>
      <c r="D17" s="7"/>
      <c r="E17" s="7"/>
      <c r="F17" s="8"/>
      <c r="G17" s="8"/>
      <c r="H17" s="8"/>
      <c r="I17" s="8"/>
      <c r="J17" s="8"/>
      <c r="K17" s="8"/>
      <c r="L17" s="7"/>
    </row>
    <row r="18" spans="1:12" x14ac:dyDescent="0.25">
      <c r="A18" s="5">
        <f t="shared" si="0"/>
        <v>2.0007000000000015</v>
      </c>
      <c r="B18" s="6"/>
      <c r="C18" s="6"/>
      <c r="D18" s="7"/>
      <c r="E18" s="7"/>
      <c r="F18" s="8"/>
      <c r="G18" s="8"/>
      <c r="H18" s="8"/>
      <c r="I18" s="8"/>
      <c r="J18" s="8"/>
      <c r="K18" s="8"/>
      <c r="L18" s="7"/>
    </row>
    <row r="19" spans="1:12" x14ac:dyDescent="0.25">
      <c r="A19" s="5">
        <f t="shared" si="0"/>
        <v>2.0008000000000017</v>
      </c>
      <c r="B19" s="6"/>
      <c r="C19" s="6"/>
      <c r="D19" s="7"/>
      <c r="E19" s="7"/>
      <c r="F19" s="8"/>
      <c r="G19" s="8"/>
      <c r="H19" s="8"/>
      <c r="I19" s="8"/>
      <c r="J19" s="8"/>
      <c r="K19" s="8"/>
      <c r="L19" s="7"/>
    </row>
    <row r="20" spans="1:12" x14ac:dyDescent="0.25">
      <c r="A20" s="5">
        <f t="shared" si="0"/>
        <v>2.0009000000000019</v>
      </c>
      <c r="B20" s="6"/>
      <c r="C20" s="6"/>
      <c r="D20" s="7"/>
      <c r="E20" s="7"/>
      <c r="F20" s="8"/>
      <c r="G20" s="8"/>
      <c r="H20" s="8"/>
      <c r="I20" s="8"/>
      <c r="J20" s="8"/>
      <c r="K20" s="8"/>
      <c r="L20" s="7"/>
    </row>
    <row r="21" spans="1:12" x14ac:dyDescent="0.25">
      <c r="A21" s="5">
        <f t="shared" si="0"/>
        <v>2.0010000000000021</v>
      </c>
      <c r="B21" s="6"/>
      <c r="C21" s="6"/>
      <c r="D21" s="7"/>
      <c r="E21" s="7"/>
      <c r="F21" s="8"/>
      <c r="G21" s="8"/>
      <c r="H21" s="8"/>
      <c r="I21" s="8"/>
      <c r="J21" s="8"/>
      <c r="K21" s="8"/>
      <c r="L21" s="7"/>
    </row>
    <row r="22" spans="1:12" x14ac:dyDescent="0.25">
      <c r="A22" s="5">
        <f t="shared" si="0"/>
        <v>2.0011000000000023</v>
      </c>
      <c r="B22" s="6"/>
      <c r="C22" s="6"/>
      <c r="D22" s="7"/>
      <c r="E22" s="7"/>
      <c r="F22" s="8"/>
      <c r="G22" s="8"/>
      <c r="H22" s="8"/>
      <c r="I22" s="8"/>
      <c r="J22" s="8"/>
      <c r="K22" s="8"/>
      <c r="L22" s="7"/>
    </row>
    <row r="23" spans="1:12" x14ac:dyDescent="0.25">
      <c r="A23" s="5">
        <f t="shared" si="0"/>
        <v>2.0012000000000025</v>
      </c>
      <c r="B23" s="6"/>
      <c r="C23" s="6"/>
      <c r="D23" s="7"/>
      <c r="E23" s="7"/>
      <c r="F23" s="8"/>
      <c r="G23" s="8"/>
      <c r="H23" s="8"/>
      <c r="I23" s="8"/>
      <c r="J23" s="8"/>
      <c r="K23" s="8"/>
      <c r="L23" s="7"/>
    </row>
    <row r="24" spans="1:12" x14ac:dyDescent="0.25">
      <c r="A24" s="5">
        <f t="shared" si="0"/>
        <v>2.0013000000000027</v>
      </c>
      <c r="B24" s="6"/>
      <c r="C24" s="6"/>
      <c r="D24" s="7"/>
      <c r="E24" s="7"/>
      <c r="F24" s="8"/>
      <c r="G24" s="8"/>
      <c r="H24" s="8"/>
      <c r="I24" s="8"/>
      <c r="J24" s="8"/>
      <c r="K24" s="8"/>
      <c r="L24" s="7"/>
    </row>
    <row r="25" spans="1:12" x14ac:dyDescent="0.25">
      <c r="A25" s="5">
        <f t="shared" si="0"/>
        <v>2.001400000000003</v>
      </c>
      <c r="B25" s="7"/>
      <c r="C25" s="6"/>
      <c r="D25" s="7"/>
      <c r="E25" s="7"/>
      <c r="F25" s="8"/>
      <c r="G25" s="8"/>
      <c r="H25" s="8"/>
      <c r="I25" s="8"/>
      <c r="J25" s="8"/>
      <c r="K25" s="8"/>
      <c r="L25" s="7"/>
    </row>
    <row r="26" spans="1:12" x14ac:dyDescent="0.25">
      <c r="A26" s="5">
        <f t="shared" si="0"/>
        <v>2.0015000000000032</v>
      </c>
      <c r="B26" s="6"/>
      <c r="C26" s="6"/>
      <c r="D26" s="7"/>
      <c r="E26" s="7"/>
      <c r="F26" s="8"/>
      <c r="G26" s="8"/>
      <c r="H26" s="8"/>
      <c r="I26" s="8"/>
      <c r="J26" s="8"/>
      <c r="K26" s="8"/>
      <c r="L26" s="7"/>
    </row>
    <row r="27" spans="1:12" x14ac:dyDescent="0.25">
      <c r="A27" s="5">
        <f t="shared" si="0"/>
        <v>2.0016000000000034</v>
      </c>
      <c r="B27" s="6"/>
      <c r="C27" s="6"/>
      <c r="D27" s="7"/>
      <c r="E27" s="7"/>
      <c r="F27" s="8"/>
      <c r="G27" s="8"/>
      <c r="H27" s="8"/>
      <c r="I27" s="8"/>
      <c r="J27" s="8"/>
      <c r="K27" s="8"/>
      <c r="L27" s="7"/>
    </row>
    <row r="28" spans="1:12" x14ac:dyDescent="0.25">
      <c r="A28" s="5">
        <f t="shared" si="0"/>
        <v>2.0017000000000036</v>
      </c>
      <c r="B28" s="6"/>
      <c r="C28" s="6"/>
      <c r="D28" s="7"/>
      <c r="E28" s="7"/>
      <c r="F28" s="8"/>
      <c r="G28" s="8"/>
      <c r="H28" s="8"/>
      <c r="I28" s="8"/>
      <c r="J28" s="8"/>
      <c r="K28" s="8"/>
      <c r="L28" s="7"/>
    </row>
    <row r="29" spans="1:12" x14ac:dyDescent="0.25">
      <c r="A29" s="5">
        <f t="shared" si="0"/>
        <v>2.0018000000000038</v>
      </c>
      <c r="B29" s="6"/>
      <c r="C29" s="6"/>
      <c r="D29" s="7"/>
      <c r="E29" s="7"/>
      <c r="F29" s="8"/>
      <c r="G29" s="8"/>
      <c r="H29" s="8"/>
      <c r="I29" s="8"/>
      <c r="J29" s="8"/>
      <c r="K29" s="8"/>
      <c r="L29" s="7"/>
    </row>
    <row r="30" spans="1:12" x14ac:dyDescent="0.25">
      <c r="A30" s="5">
        <f t="shared" si="0"/>
        <v>2.001900000000004</v>
      </c>
      <c r="B30" s="6"/>
      <c r="C30" s="6"/>
      <c r="D30" s="7"/>
      <c r="E30" s="7"/>
      <c r="F30" s="8"/>
      <c r="G30" s="8"/>
      <c r="H30" s="8"/>
      <c r="I30" s="8"/>
      <c r="J30" s="8"/>
      <c r="K30" s="8"/>
      <c r="L30" s="7"/>
    </row>
    <row r="31" spans="1:12" x14ac:dyDescent="0.25">
      <c r="A31" s="5">
        <f t="shared" si="0"/>
        <v>2.0020000000000042</v>
      </c>
      <c r="B31" s="7"/>
      <c r="C31" s="6"/>
      <c r="D31" s="7"/>
      <c r="E31" s="7"/>
      <c r="F31" s="8"/>
      <c r="G31" s="8"/>
      <c r="H31" s="8"/>
      <c r="I31" s="8"/>
      <c r="J31" s="8"/>
      <c r="K31" s="8"/>
      <c r="L31" s="7"/>
    </row>
    <row r="32" spans="1:12" x14ac:dyDescent="0.25">
      <c r="A32" s="5">
        <f t="shared" si="0"/>
        <v>2.0021000000000044</v>
      </c>
      <c r="B32" s="7"/>
      <c r="C32" s="6"/>
      <c r="D32" s="7"/>
      <c r="E32" s="7"/>
      <c r="F32" s="8"/>
      <c r="G32" s="8"/>
      <c r="H32" s="8"/>
      <c r="I32" s="8"/>
      <c r="J32" s="8"/>
      <c r="K32" s="8"/>
      <c r="L32" s="7"/>
    </row>
    <row r="33" spans="1:12" x14ac:dyDescent="0.25">
      <c r="A33" s="5">
        <f t="shared" si="0"/>
        <v>2.0022000000000046</v>
      </c>
      <c r="B33" s="7"/>
      <c r="C33" s="6"/>
      <c r="D33" s="7"/>
      <c r="E33" s="7"/>
      <c r="F33" s="8"/>
      <c r="G33" s="8"/>
      <c r="H33" s="8"/>
      <c r="I33" s="8"/>
      <c r="J33" s="8"/>
      <c r="K33" s="8"/>
      <c r="L33" s="7"/>
    </row>
    <row r="34" spans="1:12" x14ac:dyDescent="0.25">
      <c r="A34" s="5">
        <f t="shared" si="0"/>
        <v>2.0023000000000049</v>
      </c>
      <c r="B34" s="6"/>
      <c r="C34" s="6"/>
      <c r="D34" s="7"/>
      <c r="E34" s="7"/>
      <c r="F34" s="8"/>
      <c r="G34" s="8"/>
      <c r="H34" s="8"/>
      <c r="I34" s="8"/>
      <c r="J34" s="8"/>
      <c r="K34" s="8"/>
      <c r="L34" s="7"/>
    </row>
    <row r="35" spans="1:12" x14ac:dyDescent="0.25">
      <c r="A35" s="5">
        <f t="shared" si="0"/>
        <v>2.0024000000000051</v>
      </c>
      <c r="B35" s="7"/>
      <c r="C35" s="6"/>
      <c r="D35" s="7"/>
      <c r="E35" s="7"/>
      <c r="F35" s="8"/>
      <c r="G35" s="8"/>
      <c r="H35" s="8"/>
      <c r="I35" s="8"/>
      <c r="J35" s="8"/>
      <c r="K35" s="8"/>
      <c r="L35" s="7"/>
    </row>
    <row r="36" spans="1:12" x14ac:dyDescent="0.25">
      <c r="A36" s="5">
        <f t="shared" si="0"/>
        <v>2.0025000000000053</v>
      </c>
      <c r="B36" s="6"/>
      <c r="C36" s="9"/>
      <c r="D36" s="7"/>
      <c r="E36" s="7"/>
      <c r="F36" s="8"/>
      <c r="G36" s="8"/>
      <c r="H36" s="8"/>
      <c r="I36" s="8"/>
      <c r="J36" s="8"/>
      <c r="K36" s="8"/>
      <c r="L36" s="7"/>
    </row>
    <row r="37" spans="1:12" x14ac:dyDescent="0.25">
      <c r="A37" s="5">
        <f t="shared" si="0"/>
        <v>2.0026000000000055</v>
      </c>
      <c r="B37" s="7"/>
      <c r="C37" s="6"/>
      <c r="D37" s="7"/>
      <c r="E37" s="7"/>
      <c r="F37" s="8"/>
      <c r="G37" s="8"/>
      <c r="H37" s="8"/>
      <c r="I37" s="8"/>
      <c r="J37" s="8"/>
      <c r="K37" s="8"/>
      <c r="L37" s="7"/>
    </row>
    <row r="38" spans="1:12" x14ac:dyDescent="0.25">
      <c r="A38" s="5">
        <f t="shared" si="0"/>
        <v>2.0027000000000057</v>
      </c>
      <c r="B38" s="6"/>
      <c r="C38" s="6"/>
      <c r="D38" s="7"/>
      <c r="E38" s="7"/>
      <c r="F38" s="8"/>
      <c r="G38" s="8"/>
      <c r="H38" s="8"/>
      <c r="I38" s="8"/>
      <c r="J38" s="8"/>
      <c r="K38" s="8"/>
      <c r="L38" s="7"/>
    </row>
    <row r="39" spans="1:12" x14ac:dyDescent="0.25">
      <c r="A39" s="5">
        <f t="shared" si="0"/>
        <v>2.0028000000000059</v>
      </c>
      <c r="B39" s="6"/>
      <c r="C39" s="6"/>
      <c r="D39" s="7"/>
      <c r="E39" s="7"/>
      <c r="F39" s="8"/>
      <c r="G39" s="8"/>
      <c r="H39" s="8"/>
      <c r="I39" s="8"/>
      <c r="J39" s="8"/>
      <c r="K39" s="8"/>
      <c r="L39" s="7"/>
    </row>
    <row r="40" spans="1:12" x14ac:dyDescent="0.25">
      <c r="A40" s="5">
        <f t="shared" si="0"/>
        <v>2.0029000000000061</v>
      </c>
      <c r="B40" s="6"/>
      <c r="C40" s="6"/>
      <c r="D40" s="7"/>
      <c r="E40" s="7"/>
      <c r="F40" s="8"/>
      <c r="G40" s="8"/>
      <c r="H40" s="8"/>
      <c r="I40" s="8"/>
      <c r="J40" s="8"/>
      <c r="K40" s="8"/>
      <c r="L40" s="7"/>
    </row>
    <row r="41" spans="1:12" x14ac:dyDescent="0.25">
      <c r="A41" s="5">
        <f t="shared" si="0"/>
        <v>2.0030000000000063</v>
      </c>
      <c r="B41" s="6"/>
      <c r="C41" s="6"/>
      <c r="D41" s="7"/>
      <c r="E41" s="7"/>
      <c r="F41" s="8"/>
      <c r="G41" s="8"/>
      <c r="H41" s="8"/>
      <c r="I41" s="8"/>
      <c r="J41" s="8"/>
      <c r="K41" s="8"/>
      <c r="L41" s="7"/>
    </row>
    <row r="42" spans="1:12" x14ac:dyDescent="0.25">
      <c r="A42" s="5">
        <f t="shared" si="0"/>
        <v>2.0031000000000065</v>
      </c>
      <c r="B42" s="6"/>
      <c r="C42" s="6"/>
      <c r="D42" s="7"/>
      <c r="E42" s="7"/>
      <c r="F42" s="8"/>
      <c r="G42" s="8"/>
      <c r="H42" s="8"/>
      <c r="I42" s="8"/>
      <c r="J42" s="8"/>
      <c r="K42" s="8"/>
      <c r="L42" s="7"/>
    </row>
    <row r="43" spans="1:12" x14ac:dyDescent="0.25">
      <c r="A43" s="5">
        <f t="shared" si="0"/>
        <v>2.0032000000000068</v>
      </c>
      <c r="B43" s="6"/>
      <c r="C43" s="6"/>
      <c r="D43" s="7"/>
      <c r="E43" s="7"/>
      <c r="F43" s="8"/>
      <c r="G43" s="8"/>
      <c r="H43" s="8"/>
      <c r="I43" s="8"/>
      <c r="J43" s="8"/>
      <c r="K43" s="8"/>
      <c r="L43" s="7"/>
    </row>
    <row r="44" spans="1:12" x14ac:dyDescent="0.25">
      <c r="A44" s="5">
        <f t="shared" si="0"/>
        <v>2.003300000000007</v>
      </c>
      <c r="B44" s="6"/>
      <c r="C44" s="6"/>
      <c r="D44" s="7"/>
      <c r="E44" s="7"/>
      <c r="F44" s="8"/>
      <c r="G44" s="8"/>
      <c r="H44" s="8"/>
      <c r="I44" s="8"/>
      <c r="J44" s="8"/>
      <c r="K44" s="8"/>
      <c r="L44" s="7"/>
    </row>
    <row r="45" spans="1:12" x14ac:dyDescent="0.25">
      <c r="A45" s="5">
        <f t="shared" si="0"/>
        <v>2.0034000000000072</v>
      </c>
      <c r="B45" s="6"/>
      <c r="C45" s="6"/>
      <c r="D45" s="7"/>
      <c r="E45" s="7"/>
      <c r="F45" s="8"/>
      <c r="G45" s="8"/>
      <c r="H45" s="8"/>
      <c r="I45" s="8"/>
      <c r="J45" s="8"/>
      <c r="K45" s="8"/>
      <c r="L45" s="7"/>
    </row>
    <row r="46" spans="1:12" x14ac:dyDescent="0.25">
      <c r="A46" s="5">
        <f t="shared" si="0"/>
        <v>2.0035000000000074</v>
      </c>
      <c r="B46" s="7"/>
      <c r="C46" s="6"/>
      <c r="D46" s="7"/>
      <c r="E46" s="7"/>
      <c r="F46" s="8"/>
      <c r="G46" s="8"/>
      <c r="H46" s="8"/>
      <c r="I46" s="8"/>
      <c r="J46" s="8"/>
      <c r="K46" s="8"/>
      <c r="L46" s="7"/>
    </row>
    <row r="47" spans="1:12" x14ac:dyDescent="0.25">
      <c r="A47" s="5">
        <f t="shared" si="0"/>
        <v>2.0036000000000076</v>
      </c>
      <c r="B47" s="6"/>
      <c r="C47" s="6"/>
      <c r="D47" s="7"/>
      <c r="E47" s="7"/>
      <c r="F47" s="8"/>
      <c r="G47" s="8"/>
      <c r="H47" s="8"/>
      <c r="I47" s="8"/>
      <c r="J47" s="8"/>
      <c r="K47" s="8"/>
      <c r="L47" s="7"/>
    </row>
    <row r="48" spans="1:12" x14ac:dyDescent="0.25">
      <c r="A48" s="5">
        <f t="shared" si="0"/>
        <v>2.0037000000000078</v>
      </c>
      <c r="B48" s="6"/>
      <c r="C48" s="6"/>
      <c r="D48" s="7"/>
      <c r="E48" s="7"/>
      <c r="F48" s="8"/>
      <c r="G48" s="8"/>
      <c r="H48" s="8"/>
      <c r="I48" s="8"/>
      <c r="J48" s="8"/>
      <c r="K48" s="8"/>
      <c r="L48" s="7"/>
    </row>
    <row r="49" spans="1:12" x14ac:dyDescent="0.25">
      <c r="A49" s="5">
        <f t="shared" si="0"/>
        <v>2.003800000000008</v>
      </c>
      <c r="B49" s="6"/>
      <c r="C49" s="6"/>
      <c r="D49" s="7"/>
      <c r="E49" s="7"/>
      <c r="F49" s="8"/>
      <c r="G49" s="8"/>
      <c r="H49" s="8"/>
      <c r="I49" s="8"/>
      <c r="J49" s="8"/>
      <c r="K49" s="8"/>
      <c r="L49" s="7"/>
    </row>
    <row r="50" spans="1:12" x14ac:dyDescent="0.25">
      <c r="A50" s="5">
        <f t="shared" si="0"/>
        <v>2.0039000000000082</v>
      </c>
      <c r="B50" s="6"/>
      <c r="C50" s="6"/>
      <c r="D50" s="7"/>
      <c r="E50" s="7"/>
      <c r="F50" s="8"/>
      <c r="G50" s="8"/>
      <c r="H50" s="8"/>
      <c r="I50" s="8"/>
      <c r="J50" s="8"/>
      <c r="K50" s="8"/>
      <c r="L50" s="7"/>
    </row>
    <row r="51" spans="1:12" x14ac:dyDescent="0.25">
      <c r="A51" s="5">
        <f t="shared" si="0"/>
        <v>2.0040000000000084</v>
      </c>
      <c r="B51" s="6"/>
      <c r="C51" s="6"/>
      <c r="D51" s="7"/>
      <c r="E51" s="7"/>
      <c r="F51" s="8"/>
      <c r="G51" s="8"/>
      <c r="H51" s="8"/>
      <c r="I51" s="8"/>
      <c r="J51" s="8"/>
      <c r="K51" s="8"/>
      <c r="L51" s="7"/>
    </row>
    <row r="52" spans="1:12" x14ac:dyDescent="0.25">
      <c r="A52" s="5">
        <f t="shared" si="0"/>
        <v>2.0041000000000087</v>
      </c>
      <c r="B52" s="7"/>
      <c r="C52" s="6"/>
      <c r="D52" s="7"/>
      <c r="E52" s="7"/>
      <c r="F52" s="8"/>
      <c r="G52" s="8"/>
      <c r="H52" s="8"/>
      <c r="I52" s="8"/>
      <c r="J52" s="8"/>
      <c r="K52" s="8"/>
      <c r="L52" s="7"/>
    </row>
    <row r="53" spans="1:12" x14ac:dyDescent="0.25">
      <c r="A53" s="5">
        <f t="shared" si="0"/>
        <v>2.0042000000000089</v>
      </c>
      <c r="B53" s="7"/>
      <c r="C53" s="6"/>
      <c r="D53" s="7"/>
      <c r="E53" s="7"/>
      <c r="F53" s="8"/>
      <c r="G53" s="8"/>
      <c r="H53" s="8"/>
      <c r="I53" s="8"/>
      <c r="J53" s="8"/>
      <c r="K53" s="8"/>
      <c r="L53" s="7"/>
    </row>
    <row r="54" spans="1:12" x14ac:dyDescent="0.25">
      <c r="A54" s="5">
        <f t="shared" si="0"/>
        <v>2.0043000000000091</v>
      </c>
      <c r="B54" s="7"/>
      <c r="C54" s="6"/>
      <c r="D54" s="7"/>
      <c r="E54" s="7"/>
      <c r="F54" s="8"/>
      <c r="G54" s="8"/>
      <c r="H54" s="8"/>
      <c r="I54" s="8"/>
      <c r="J54" s="8"/>
      <c r="K54" s="8"/>
      <c r="L54" s="7"/>
    </row>
    <row r="55" spans="1:12" ht="15.75" thickBot="1" x14ac:dyDescent="0.3">
      <c r="G55" s="2">
        <f>SUM(G2:G54)</f>
        <v>0</v>
      </c>
      <c r="H55" s="2">
        <f>SUM(H2:H54)</f>
        <v>0</v>
      </c>
      <c r="I55" s="2">
        <f>SUM(I2:I54)</f>
        <v>0</v>
      </c>
      <c r="J55" s="2">
        <f>SUM(J2:J54)</f>
        <v>0</v>
      </c>
      <c r="K55" s="2">
        <f>SUM(K2:K54)</f>
        <v>0</v>
      </c>
    </row>
    <row r="56" spans="1:12" ht="15.75" thickTop="1" x14ac:dyDescent="0.25"/>
  </sheetData>
  <conditionalFormatting sqref="A55:K74 B47:K54 A2:K8">
    <cfRule type="expression" dxfId="18" priority="19">
      <formula>$F2="Fail"</formula>
    </cfRule>
  </conditionalFormatting>
  <conditionalFormatting sqref="A9:K9 B34:K40 B14:K15 A14:A54 B13:C13 A10:E11 G10:K11 B16:C16 B33:C33">
    <cfRule type="expression" dxfId="17" priority="18">
      <formula>$F9="Fail"</formula>
    </cfRule>
  </conditionalFormatting>
  <conditionalFormatting sqref="B41:K46">
    <cfRule type="expression" dxfId="16" priority="17">
      <formula>$F41="Fail"</formula>
    </cfRule>
  </conditionalFormatting>
  <conditionalFormatting sqref="B26:K33 B25:C25 B34:C34">
    <cfRule type="expression" dxfId="15" priority="16">
      <formula>$F25="Fail"</formula>
    </cfRule>
  </conditionalFormatting>
  <conditionalFormatting sqref="B16:K19 B15:C15 B20:C20">
    <cfRule type="expression" dxfId="14" priority="15">
      <formula>$F15="Fail"</formula>
    </cfRule>
  </conditionalFormatting>
  <conditionalFormatting sqref="B19:C26 D20:K25">
    <cfRule type="expression" dxfId="13" priority="14">
      <formula>$F19="Fail"</formula>
    </cfRule>
  </conditionalFormatting>
  <conditionalFormatting sqref="A13:K13">
    <cfRule type="expression" dxfId="12" priority="13">
      <formula>$F13="Fail"</formula>
    </cfRule>
  </conditionalFormatting>
  <conditionalFormatting sqref="A12:K12">
    <cfRule type="expression" dxfId="11" priority="12">
      <formula>$F12="Fail"</formula>
    </cfRule>
  </conditionalFormatting>
  <conditionalFormatting sqref="B12:C12">
    <cfRule type="expression" dxfId="10" priority="11">
      <formula>$F12="Fail"</formula>
    </cfRule>
  </conditionalFormatting>
  <conditionalFormatting sqref="F10">
    <cfRule type="expression" dxfId="9" priority="10">
      <formula>$F10="Fail"</formula>
    </cfRule>
  </conditionalFormatting>
  <conditionalFormatting sqref="F11">
    <cfRule type="expression" dxfId="8" priority="9">
      <formula>$F11="Fail"</formula>
    </cfRule>
  </conditionalFormatting>
  <conditionalFormatting sqref="L47:L74 L2:L8">
    <cfRule type="expression" dxfId="7" priority="8">
      <formula>$F2="Fail"</formula>
    </cfRule>
  </conditionalFormatting>
  <conditionalFormatting sqref="L34:L40 L14:L15 L9:L11">
    <cfRule type="expression" dxfId="6" priority="7">
      <formula>$F9="Fail"</formula>
    </cfRule>
  </conditionalFormatting>
  <conditionalFormatting sqref="L41:L46">
    <cfRule type="expression" dxfId="5" priority="6">
      <formula>$F41="Fail"</formula>
    </cfRule>
  </conditionalFormatting>
  <conditionalFormatting sqref="L26:L33">
    <cfRule type="expression" dxfId="4" priority="5">
      <formula>$F26="Fail"</formula>
    </cfRule>
  </conditionalFormatting>
  <conditionalFormatting sqref="L16:L19">
    <cfRule type="expression" dxfId="3" priority="4">
      <formula>$F16="Fail"</formula>
    </cfRule>
  </conditionalFormatting>
  <conditionalFormatting sqref="L20:L25">
    <cfRule type="expression" dxfId="2" priority="3">
      <formula>$F20="Fail"</formula>
    </cfRule>
  </conditionalFormatting>
  <conditionalFormatting sqref="L13">
    <cfRule type="expression" dxfId="1" priority="2">
      <formula>$F13="Fail"</formula>
    </cfRule>
  </conditionalFormatting>
  <conditionalFormatting sqref="L12">
    <cfRule type="expression" dxfId="0" priority="1">
      <formula>$F12="Fail"</formula>
    </cfRule>
  </conditionalFormatting>
  <dataValidations count="1">
    <dataValidation type="list" allowBlank="1" showInputMessage="1" showErrorMessage="1" sqref="F2:F54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Migration Audit Certificate</vt:lpstr>
      <vt:lpstr>2</vt:lpstr>
      <vt:lpstr>4</vt:lpstr>
      <vt:lpstr>Sheet1</vt:lpstr>
    </vt:vector>
  </TitlesOfParts>
  <Company>Sanlam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Riefat Dollie (SEB)</cp:lastModifiedBy>
  <dcterms:created xsi:type="dcterms:W3CDTF">2014-07-31T09:50:05Z</dcterms:created>
  <dcterms:modified xsi:type="dcterms:W3CDTF">2014-10-27T13:16:41Z</dcterms:modified>
</cp:coreProperties>
</file>