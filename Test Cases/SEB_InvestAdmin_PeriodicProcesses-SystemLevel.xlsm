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105" windowWidth="20370" windowHeight="11880" activeTab="3"/>
  </bookViews>
  <sheets>
    <sheet name="Summary" sheetId="3" r:id="rId1"/>
    <sheet name="Test Case" sheetId="2" r:id="rId2"/>
    <sheet name="2" sheetId="4" r:id="rId3"/>
    <sheet name="3" sheetId="5" r:id="rId4"/>
    <sheet name="4" sheetId="6" r:id="rId5"/>
  </sheets>
  <calcPr calcId="162913"/>
</workbook>
</file>

<file path=xl/calcChain.xml><?xml version="1.0" encoding="utf-8"?>
<calcChain xmlns="http://schemas.openxmlformats.org/spreadsheetml/2006/main">
  <c r="G18" i="2" l="1"/>
  <c r="H18" i="2"/>
  <c r="I18" i="2"/>
  <c r="J18" i="2"/>
  <c r="K18" i="2"/>
  <c r="A4" i="4" l="1"/>
  <c r="G56" i="2" l="1"/>
  <c r="H56" i="2"/>
  <c r="I56" i="2"/>
  <c r="J56" i="2"/>
  <c r="K56" i="2"/>
  <c r="G45" i="2"/>
  <c r="H45" i="2"/>
  <c r="I45" i="2"/>
  <c r="J45" i="2"/>
  <c r="K45" i="2"/>
  <c r="G35" i="2"/>
  <c r="H35" i="2"/>
  <c r="I35" i="2"/>
  <c r="J35" i="2"/>
  <c r="K35" i="2"/>
  <c r="G26" i="2"/>
  <c r="H26" i="2"/>
  <c r="I26" i="2"/>
  <c r="J26" i="2"/>
  <c r="K26" i="2"/>
  <c r="G27" i="2"/>
  <c r="H27" i="2"/>
  <c r="I27" i="2"/>
  <c r="J27" i="2"/>
  <c r="K27" i="2"/>
  <c r="G28" i="2"/>
  <c r="H28" i="2"/>
  <c r="I28" i="2"/>
  <c r="J28" i="2"/>
  <c r="K28" i="2"/>
  <c r="G29" i="2"/>
  <c r="H29" i="2"/>
  <c r="I29" i="2"/>
  <c r="J29" i="2"/>
  <c r="K29" i="2"/>
  <c r="G7" i="2"/>
  <c r="H7" i="2"/>
  <c r="I7" i="2"/>
  <c r="J7" i="2"/>
  <c r="K7" i="2"/>
  <c r="G8" i="2"/>
  <c r="H8" i="2"/>
  <c r="I8" i="2"/>
  <c r="J8" i="2"/>
  <c r="K8" i="2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G68" i="5"/>
  <c r="H68" i="5"/>
  <c r="I68" i="5"/>
  <c r="J68" i="5"/>
  <c r="K68" i="5"/>
  <c r="G67" i="5"/>
  <c r="H67" i="5"/>
  <c r="I67" i="5"/>
  <c r="J67" i="5"/>
  <c r="K67" i="5"/>
  <c r="G66" i="5"/>
  <c r="H66" i="5"/>
  <c r="I66" i="5"/>
  <c r="J66" i="5"/>
  <c r="K66" i="5"/>
  <c r="G65" i="5"/>
  <c r="H65" i="5"/>
  <c r="I65" i="5"/>
  <c r="J65" i="5"/>
  <c r="K65" i="5"/>
  <c r="G64" i="5"/>
  <c r="H64" i="5"/>
  <c r="I64" i="5"/>
  <c r="J64" i="5"/>
  <c r="K64" i="5"/>
  <c r="G63" i="5"/>
  <c r="H63" i="5"/>
  <c r="I63" i="5"/>
  <c r="J63" i="5"/>
  <c r="K63" i="5"/>
  <c r="G62" i="5"/>
  <c r="H62" i="5"/>
  <c r="I62" i="5"/>
  <c r="J62" i="5"/>
  <c r="K62" i="5"/>
  <c r="G61" i="5"/>
  <c r="H61" i="5"/>
  <c r="I61" i="5"/>
  <c r="J61" i="5"/>
  <c r="K61" i="5"/>
  <c r="G60" i="5"/>
  <c r="H60" i="5"/>
  <c r="I60" i="5"/>
  <c r="J60" i="5"/>
  <c r="K60" i="5"/>
  <c r="G59" i="5"/>
  <c r="H59" i="5"/>
  <c r="I59" i="5"/>
  <c r="J59" i="5"/>
  <c r="K59" i="5"/>
  <c r="G58" i="5"/>
  <c r="H58" i="5"/>
  <c r="I58" i="5"/>
  <c r="J58" i="5"/>
  <c r="K58" i="5"/>
  <c r="G57" i="5"/>
  <c r="H57" i="5"/>
  <c r="I57" i="5"/>
  <c r="J57" i="5"/>
  <c r="K57" i="5"/>
  <c r="G56" i="5"/>
  <c r="H56" i="5"/>
  <c r="I56" i="5"/>
  <c r="J56" i="5"/>
  <c r="K56" i="5"/>
  <c r="G55" i="5"/>
  <c r="H55" i="5"/>
  <c r="I55" i="5"/>
  <c r="J55" i="5"/>
  <c r="K55" i="5"/>
  <c r="G53" i="5"/>
  <c r="H53" i="5"/>
  <c r="I53" i="5"/>
  <c r="J53" i="5"/>
  <c r="K53" i="5"/>
  <c r="G52" i="5"/>
  <c r="H52" i="5"/>
  <c r="I52" i="5"/>
  <c r="J52" i="5"/>
  <c r="K52" i="5"/>
  <c r="G51" i="5"/>
  <c r="H51" i="5"/>
  <c r="I51" i="5"/>
  <c r="J51" i="5"/>
  <c r="K51" i="5"/>
  <c r="G50" i="5"/>
  <c r="H50" i="5"/>
  <c r="I50" i="5"/>
  <c r="J50" i="5"/>
  <c r="K50" i="5"/>
  <c r="G49" i="5"/>
  <c r="H49" i="5"/>
  <c r="I49" i="5"/>
  <c r="J49" i="5"/>
  <c r="K49" i="5"/>
  <c r="G48" i="5"/>
  <c r="H48" i="5"/>
  <c r="I48" i="5"/>
  <c r="J48" i="5"/>
  <c r="K48" i="5"/>
  <c r="G47" i="5"/>
  <c r="H47" i="5"/>
  <c r="I47" i="5"/>
  <c r="J47" i="5"/>
  <c r="K47" i="5"/>
  <c r="G46" i="5"/>
  <c r="H46" i="5"/>
  <c r="I46" i="5"/>
  <c r="J46" i="5"/>
  <c r="K46" i="5"/>
  <c r="G45" i="5"/>
  <c r="H45" i="5"/>
  <c r="I45" i="5"/>
  <c r="J45" i="5"/>
  <c r="K45" i="5"/>
  <c r="G44" i="5"/>
  <c r="H44" i="5"/>
  <c r="I44" i="5"/>
  <c r="J44" i="5"/>
  <c r="K44" i="5"/>
  <c r="G43" i="5"/>
  <c r="H43" i="5"/>
  <c r="I43" i="5"/>
  <c r="J43" i="5"/>
  <c r="K43" i="5"/>
  <c r="G42" i="5"/>
  <c r="H42" i="5"/>
  <c r="I42" i="5"/>
  <c r="J42" i="5"/>
  <c r="K42" i="5"/>
  <c r="G41" i="5"/>
  <c r="H41" i="5"/>
  <c r="I41" i="5"/>
  <c r="J41" i="5"/>
  <c r="K41" i="5"/>
  <c r="G40" i="5"/>
  <c r="H40" i="5"/>
  <c r="I40" i="5"/>
  <c r="J40" i="5"/>
  <c r="K40" i="5"/>
  <c r="G39" i="5"/>
  <c r="H39" i="5"/>
  <c r="I39" i="5"/>
  <c r="J39" i="5"/>
  <c r="K39" i="5"/>
  <c r="G18" i="5"/>
  <c r="H18" i="5"/>
  <c r="I18" i="5"/>
  <c r="J18" i="5"/>
  <c r="K18" i="5"/>
  <c r="G17" i="5"/>
  <c r="H17" i="5"/>
  <c r="I17" i="5"/>
  <c r="J17" i="5"/>
  <c r="K17" i="5"/>
  <c r="G16" i="5"/>
  <c r="H16" i="5"/>
  <c r="I16" i="5"/>
  <c r="J16" i="5"/>
  <c r="K16" i="5"/>
  <c r="G15" i="5"/>
  <c r="H15" i="5"/>
  <c r="I15" i="5"/>
  <c r="J15" i="5"/>
  <c r="K15" i="5"/>
  <c r="G14" i="5"/>
  <c r="H14" i="5"/>
  <c r="I14" i="5"/>
  <c r="J14" i="5"/>
  <c r="K14" i="5"/>
  <c r="G13" i="5"/>
  <c r="H13" i="5"/>
  <c r="I13" i="5"/>
  <c r="J13" i="5"/>
  <c r="K13" i="5"/>
  <c r="G12" i="5"/>
  <c r="H12" i="5"/>
  <c r="I12" i="5"/>
  <c r="J12" i="5"/>
  <c r="K12" i="5"/>
  <c r="G11" i="5"/>
  <c r="H11" i="5"/>
  <c r="I11" i="5"/>
  <c r="J11" i="5"/>
  <c r="K11" i="5"/>
  <c r="G10" i="5"/>
  <c r="H10" i="5"/>
  <c r="I10" i="5"/>
  <c r="J10" i="5"/>
  <c r="K10" i="5"/>
  <c r="G9" i="5"/>
  <c r="H9" i="5"/>
  <c r="I9" i="5"/>
  <c r="J9" i="5"/>
  <c r="K9" i="5"/>
  <c r="G8" i="5"/>
  <c r="H8" i="5"/>
  <c r="I8" i="5"/>
  <c r="J8" i="5"/>
  <c r="K8" i="5"/>
  <c r="G51" i="6" l="1"/>
  <c r="H51" i="6"/>
  <c r="I51" i="6"/>
  <c r="J51" i="6"/>
  <c r="K51" i="6"/>
  <c r="G50" i="6"/>
  <c r="H50" i="6"/>
  <c r="I50" i="6"/>
  <c r="J50" i="6"/>
  <c r="K50" i="6"/>
  <c r="G49" i="6"/>
  <c r="H49" i="6"/>
  <c r="I49" i="6"/>
  <c r="J49" i="6"/>
  <c r="K49" i="6"/>
  <c r="G39" i="6"/>
  <c r="H39" i="6"/>
  <c r="I39" i="6"/>
  <c r="J39" i="6"/>
  <c r="K39" i="6"/>
  <c r="K37" i="6"/>
  <c r="J37" i="6"/>
  <c r="I37" i="6"/>
  <c r="H37" i="6"/>
  <c r="G37" i="6"/>
  <c r="G34" i="6"/>
  <c r="H34" i="6"/>
  <c r="I34" i="6"/>
  <c r="J34" i="6"/>
  <c r="K34" i="6"/>
  <c r="G35" i="6"/>
  <c r="H35" i="6"/>
  <c r="I35" i="6"/>
  <c r="J35" i="6"/>
  <c r="K35" i="6"/>
  <c r="G36" i="6"/>
  <c r="H36" i="6"/>
  <c r="I36" i="6"/>
  <c r="J36" i="6"/>
  <c r="K36" i="6"/>
  <c r="G38" i="6"/>
  <c r="H38" i="6"/>
  <c r="I38" i="6"/>
  <c r="J38" i="6"/>
  <c r="K38" i="6"/>
  <c r="G40" i="6"/>
  <c r="H40" i="6"/>
  <c r="I40" i="6"/>
  <c r="J40" i="6"/>
  <c r="K40" i="6"/>
  <c r="G41" i="6"/>
  <c r="H41" i="6"/>
  <c r="I41" i="6"/>
  <c r="J41" i="6"/>
  <c r="K41" i="6"/>
  <c r="G42" i="6"/>
  <c r="H42" i="6"/>
  <c r="I42" i="6"/>
  <c r="J42" i="6"/>
  <c r="K42" i="6"/>
  <c r="G43" i="6"/>
  <c r="H43" i="6"/>
  <c r="I43" i="6"/>
  <c r="J43" i="6"/>
  <c r="K43" i="6"/>
  <c r="G44" i="6"/>
  <c r="H44" i="6"/>
  <c r="I44" i="6"/>
  <c r="J44" i="6"/>
  <c r="K44" i="6"/>
  <c r="G45" i="6"/>
  <c r="H45" i="6"/>
  <c r="I45" i="6"/>
  <c r="J45" i="6"/>
  <c r="K45" i="6"/>
  <c r="G46" i="6"/>
  <c r="H46" i="6"/>
  <c r="I46" i="6"/>
  <c r="J46" i="6"/>
  <c r="K46" i="6"/>
  <c r="G20" i="6"/>
  <c r="H20" i="6"/>
  <c r="I20" i="6"/>
  <c r="J20" i="6"/>
  <c r="K20" i="6"/>
  <c r="G19" i="6"/>
  <c r="H19" i="6"/>
  <c r="I19" i="6"/>
  <c r="J19" i="6"/>
  <c r="K19" i="6"/>
  <c r="G18" i="6"/>
  <c r="H18" i="6"/>
  <c r="I18" i="6"/>
  <c r="J18" i="6"/>
  <c r="K18" i="6"/>
  <c r="G17" i="6"/>
  <c r="H17" i="6"/>
  <c r="I17" i="6"/>
  <c r="J17" i="6"/>
  <c r="K17" i="6"/>
  <c r="G16" i="6"/>
  <c r="H16" i="6"/>
  <c r="I16" i="6"/>
  <c r="J16" i="6"/>
  <c r="K16" i="6"/>
  <c r="G15" i="6"/>
  <c r="H15" i="6"/>
  <c r="I15" i="6"/>
  <c r="J15" i="6"/>
  <c r="K15" i="6"/>
  <c r="G14" i="6"/>
  <c r="H14" i="6"/>
  <c r="I14" i="6"/>
  <c r="J14" i="6"/>
  <c r="K14" i="6"/>
  <c r="G13" i="6"/>
  <c r="H13" i="6"/>
  <c r="I13" i="6"/>
  <c r="J13" i="6"/>
  <c r="K13" i="6"/>
  <c r="G12" i="6"/>
  <c r="H12" i="6"/>
  <c r="I12" i="6"/>
  <c r="J12" i="6"/>
  <c r="K12" i="6"/>
  <c r="G11" i="6"/>
  <c r="H11" i="6"/>
  <c r="I11" i="6"/>
  <c r="J11" i="6"/>
  <c r="K11" i="6"/>
  <c r="G10" i="6"/>
  <c r="H10" i="6"/>
  <c r="I10" i="6"/>
  <c r="J10" i="6"/>
  <c r="K10" i="6"/>
  <c r="K48" i="6"/>
  <c r="J48" i="6"/>
  <c r="I48" i="6"/>
  <c r="H48" i="6"/>
  <c r="G48" i="6"/>
  <c r="K47" i="6"/>
  <c r="J47" i="6"/>
  <c r="I47" i="6"/>
  <c r="H47" i="6"/>
  <c r="G47" i="6"/>
  <c r="K33" i="6"/>
  <c r="J33" i="6"/>
  <c r="I33" i="6"/>
  <c r="H33" i="6"/>
  <c r="G33" i="6"/>
  <c r="K32" i="6"/>
  <c r="J32" i="6"/>
  <c r="I32" i="6"/>
  <c r="H32" i="6"/>
  <c r="G32" i="6"/>
  <c r="K31" i="6"/>
  <c r="J31" i="6"/>
  <c r="I31" i="6"/>
  <c r="H31" i="6"/>
  <c r="G31" i="6"/>
  <c r="K30" i="6"/>
  <c r="J30" i="6"/>
  <c r="I30" i="6"/>
  <c r="H30" i="6"/>
  <c r="G30" i="6"/>
  <c r="K29" i="6"/>
  <c r="J29" i="6"/>
  <c r="I29" i="6"/>
  <c r="H29" i="6"/>
  <c r="G29" i="6"/>
  <c r="K28" i="6"/>
  <c r="J28" i="6"/>
  <c r="I28" i="6"/>
  <c r="H28" i="6"/>
  <c r="G28" i="6"/>
  <c r="K27" i="6"/>
  <c r="J27" i="6"/>
  <c r="I27" i="6"/>
  <c r="H27" i="6"/>
  <c r="G27" i="6"/>
  <c r="A27" i="6"/>
  <c r="A28" i="6" s="1"/>
  <c r="A29" i="6" s="1"/>
  <c r="A30" i="6" s="1"/>
  <c r="A31" i="6" s="1"/>
  <c r="A32" i="6" s="1"/>
  <c r="A33" i="6" s="1"/>
  <c r="A34" i="6" s="1"/>
  <c r="A35" i="6" s="1"/>
  <c r="A36" i="6" s="1"/>
  <c r="G32" i="5"/>
  <c r="H32" i="5"/>
  <c r="I32" i="5"/>
  <c r="J32" i="5"/>
  <c r="K32" i="5"/>
  <c r="G31" i="5"/>
  <c r="H31" i="5"/>
  <c r="I31" i="5"/>
  <c r="J31" i="5"/>
  <c r="K31" i="5"/>
  <c r="G30" i="5"/>
  <c r="H30" i="5"/>
  <c r="I30" i="5"/>
  <c r="J30" i="5"/>
  <c r="K30" i="5"/>
  <c r="G29" i="5"/>
  <c r="H29" i="5"/>
  <c r="I29" i="5"/>
  <c r="J29" i="5"/>
  <c r="K29" i="5"/>
  <c r="G28" i="5"/>
  <c r="H28" i="5"/>
  <c r="I28" i="5"/>
  <c r="J28" i="5"/>
  <c r="K28" i="5"/>
  <c r="G27" i="5"/>
  <c r="H27" i="5"/>
  <c r="I27" i="5"/>
  <c r="J27" i="5"/>
  <c r="K27" i="5"/>
  <c r="G26" i="5"/>
  <c r="H26" i="5"/>
  <c r="I26" i="5"/>
  <c r="J26" i="5"/>
  <c r="K26" i="5"/>
  <c r="G25" i="5"/>
  <c r="H25" i="5"/>
  <c r="I25" i="5"/>
  <c r="J25" i="5"/>
  <c r="K25" i="5"/>
  <c r="G24" i="5"/>
  <c r="H24" i="5"/>
  <c r="I24" i="5"/>
  <c r="J24" i="5"/>
  <c r="K24" i="5"/>
  <c r="G22" i="5"/>
  <c r="H22" i="5"/>
  <c r="I22" i="5"/>
  <c r="J22" i="5"/>
  <c r="K22" i="5"/>
  <c r="G52" i="6" l="1"/>
  <c r="H52" i="6"/>
  <c r="K52" i="6"/>
  <c r="I52" i="6"/>
  <c r="J52" i="6"/>
  <c r="A37" i="6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" i="4"/>
  <c r="A6" i="4" s="1"/>
  <c r="A7" i="4" s="1"/>
  <c r="G4" i="6" l="1"/>
  <c r="H4" i="6"/>
  <c r="I4" i="6"/>
  <c r="J4" i="6"/>
  <c r="K4" i="6"/>
  <c r="G5" i="6"/>
  <c r="H5" i="6"/>
  <c r="I5" i="6"/>
  <c r="J5" i="6"/>
  <c r="K5" i="6"/>
  <c r="G6" i="6"/>
  <c r="H6" i="6"/>
  <c r="I6" i="6"/>
  <c r="J6" i="6"/>
  <c r="K6" i="6"/>
  <c r="G7" i="6"/>
  <c r="H7" i="6"/>
  <c r="I7" i="6"/>
  <c r="J7" i="6"/>
  <c r="K7" i="6"/>
  <c r="G8" i="6"/>
  <c r="H8" i="6"/>
  <c r="I8" i="6"/>
  <c r="J8" i="6"/>
  <c r="K8" i="6"/>
  <c r="G9" i="6"/>
  <c r="H9" i="6"/>
  <c r="I9" i="6"/>
  <c r="J9" i="6"/>
  <c r="K9" i="6"/>
  <c r="G21" i="6"/>
  <c r="H21" i="6"/>
  <c r="I21" i="6"/>
  <c r="J21" i="6"/>
  <c r="K21" i="6"/>
  <c r="G22" i="6"/>
  <c r="H22" i="6"/>
  <c r="I22" i="6"/>
  <c r="J22" i="6"/>
  <c r="K22" i="6"/>
  <c r="G23" i="6"/>
  <c r="H23" i="6"/>
  <c r="I23" i="6"/>
  <c r="J23" i="6"/>
  <c r="K23" i="6"/>
  <c r="G24" i="6"/>
  <c r="H24" i="6"/>
  <c r="I24" i="6"/>
  <c r="J24" i="6"/>
  <c r="K24" i="6"/>
  <c r="G25" i="6"/>
  <c r="H25" i="6"/>
  <c r="I25" i="6"/>
  <c r="J25" i="6"/>
  <c r="K25" i="6"/>
  <c r="K3" i="6"/>
  <c r="J3" i="6"/>
  <c r="I3" i="6"/>
  <c r="H3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J26" i="6" l="1"/>
  <c r="J53" i="6" s="1"/>
  <c r="F6" i="3" s="1"/>
  <c r="G26" i="6"/>
  <c r="G53" i="6" s="1"/>
  <c r="C6" i="3" s="1"/>
  <c r="H26" i="6"/>
  <c r="H53" i="6" s="1"/>
  <c r="D6" i="3" s="1"/>
  <c r="K26" i="6"/>
  <c r="K53" i="6" s="1"/>
  <c r="G6" i="3" s="1"/>
  <c r="I26" i="6"/>
  <c r="I53" i="6" s="1"/>
  <c r="E6" i="3" s="1"/>
  <c r="G4" i="5"/>
  <c r="H4" i="5"/>
  <c r="I4" i="5"/>
  <c r="J4" i="5"/>
  <c r="K4" i="5"/>
  <c r="G5" i="5"/>
  <c r="H5" i="5"/>
  <c r="I5" i="5"/>
  <c r="J5" i="5"/>
  <c r="K5" i="5"/>
  <c r="G6" i="5"/>
  <c r="H6" i="5"/>
  <c r="I6" i="5"/>
  <c r="J6" i="5"/>
  <c r="K6" i="5"/>
  <c r="G7" i="5"/>
  <c r="H7" i="5"/>
  <c r="I7" i="5"/>
  <c r="J7" i="5"/>
  <c r="K7" i="5"/>
  <c r="G19" i="5"/>
  <c r="H19" i="5"/>
  <c r="I19" i="5"/>
  <c r="J19" i="5"/>
  <c r="K19" i="5"/>
  <c r="G20" i="5"/>
  <c r="H20" i="5"/>
  <c r="I20" i="5"/>
  <c r="J20" i="5"/>
  <c r="K20" i="5"/>
  <c r="G21" i="5"/>
  <c r="H21" i="5"/>
  <c r="I21" i="5"/>
  <c r="J21" i="5"/>
  <c r="K21" i="5"/>
  <c r="G23" i="5"/>
  <c r="H23" i="5"/>
  <c r="I23" i="5"/>
  <c r="J23" i="5"/>
  <c r="K23" i="5"/>
  <c r="G33" i="5"/>
  <c r="H33" i="5"/>
  <c r="I33" i="5"/>
  <c r="J33" i="5"/>
  <c r="K33" i="5"/>
  <c r="G34" i="5"/>
  <c r="H34" i="5"/>
  <c r="I34" i="5"/>
  <c r="J34" i="5"/>
  <c r="K34" i="5"/>
  <c r="G35" i="5"/>
  <c r="H35" i="5"/>
  <c r="I35" i="5"/>
  <c r="J35" i="5"/>
  <c r="K35" i="5"/>
  <c r="G36" i="5"/>
  <c r="H36" i="5"/>
  <c r="I36" i="5"/>
  <c r="J36" i="5"/>
  <c r="K36" i="5"/>
  <c r="G37" i="5"/>
  <c r="H37" i="5"/>
  <c r="I37" i="5"/>
  <c r="J37" i="5"/>
  <c r="K37" i="5"/>
  <c r="G38" i="5"/>
  <c r="H38" i="5"/>
  <c r="I38" i="5"/>
  <c r="J38" i="5"/>
  <c r="K38" i="5"/>
  <c r="G54" i="5"/>
  <c r="H54" i="5"/>
  <c r="I54" i="5"/>
  <c r="J54" i="5"/>
  <c r="K54" i="5"/>
  <c r="K3" i="5"/>
  <c r="J3" i="5"/>
  <c r="I3" i="5"/>
  <c r="H3" i="5"/>
  <c r="G3" i="5"/>
  <c r="G33" i="4"/>
  <c r="H33" i="4"/>
  <c r="I33" i="4"/>
  <c r="J33" i="4"/>
  <c r="K33" i="4"/>
  <c r="G34" i="4"/>
  <c r="H34" i="4"/>
  <c r="I34" i="4"/>
  <c r="J34" i="4"/>
  <c r="K34" i="4"/>
  <c r="G35" i="4"/>
  <c r="H35" i="4"/>
  <c r="I35" i="4"/>
  <c r="J35" i="4"/>
  <c r="K35" i="4"/>
  <c r="G36" i="4"/>
  <c r="H36" i="4"/>
  <c r="I36" i="4"/>
  <c r="J36" i="4"/>
  <c r="K36" i="4"/>
  <c r="G37" i="4"/>
  <c r="H37" i="4"/>
  <c r="I37" i="4"/>
  <c r="J37" i="4"/>
  <c r="K37" i="4"/>
  <c r="K32" i="4"/>
  <c r="J32" i="4"/>
  <c r="I32" i="4"/>
  <c r="H32" i="4"/>
  <c r="G32" i="4"/>
  <c r="G25" i="4"/>
  <c r="H25" i="4"/>
  <c r="I25" i="4"/>
  <c r="J25" i="4"/>
  <c r="K25" i="4"/>
  <c r="G26" i="4"/>
  <c r="H26" i="4"/>
  <c r="I26" i="4"/>
  <c r="J26" i="4"/>
  <c r="K26" i="4"/>
  <c r="G27" i="4"/>
  <c r="H27" i="4"/>
  <c r="I27" i="4"/>
  <c r="J27" i="4"/>
  <c r="K27" i="4"/>
  <c r="G30" i="4"/>
  <c r="H30" i="4"/>
  <c r="I30" i="4"/>
  <c r="J30" i="4"/>
  <c r="K30" i="4"/>
  <c r="G28" i="4"/>
  <c r="H28" i="4"/>
  <c r="I28" i="4"/>
  <c r="J28" i="4"/>
  <c r="K28" i="4"/>
  <c r="G29" i="4"/>
  <c r="H29" i="4"/>
  <c r="I29" i="4"/>
  <c r="J29" i="4"/>
  <c r="K29" i="4"/>
  <c r="K24" i="4"/>
  <c r="J24" i="4"/>
  <c r="I24" i="4"/>
  <c r="H24" i="4"/>
  <c r="G24" i="4"/>
  <c r="G17" i="4"/>
  <c r="H17" i="4"/>
  <c r="I17" i="4"/>
  <c r="J17" i="4"/>
  <c r="K17" i="4"/>
  <c r="G18" i="4"/>
  <c r="H18" i="4"/>
  <c r="I18" i="4"/>
  <c r="J18" i="4"/>
  <c r="K18" i="4"/>
  <c r="G19" i="4"/>
  <c r="H19" i="4"/>
  <c r="I19" i="4"/>
  <c r="J19" i="4"/>
  <c r="K19" i="4"/>
  <c r="G20" i="4"/>
  <c r="H20" i="4"/>
  <c r="I20" i="4"/>
  <c r="J20" i="4"/>
  <c r="K20" i="4"/>
  <c r="G21" i="4"/>
  <c r="H21" i="4"/>
  <c r="I21" i="4"/>
  <c r="J21" i="4"/>
  <c r="K21" i="4"/>
  <c r="G22" i="4"/>
  <c r="H22" i="4"/>
  <c r="I22" i="4"/>
  <c r="J22" i="4"/>
  <c r="K22" i="4"/>
  <c r="K16" i="4"/>
  <c r="J16" i="4"/>
  <c r="I16" i="4"/>
  <c r="H16" i="4"/>
  <c r="G16" i="4"/>
  <c r="G4" i="4" l="1"/>
  <c r="H4" i="4"/>
  <c r="I4" i="4"/>
  <c r="J4" i="4"/>
  <c r="G5" i="4"/>
  <c r="H5" i="4"/>
  <c r="I5" i="4"/>
  <c r="J5" i="4"/>
  <c r="G7" i="4"/>
  <c r="H7" i="4"/>
  <c r="I7" i="4"/>
  <c r="J7" i="4"/>
  <c r="G8" i="4"/>
  <c r="H8" i="4"/>
  <c r="I8" i="4"/>
  <c r="J8" i="4"/>
  <c r="G9" i="4"/>
  <c r="H9" i="4"/>
  <c r="I9" i="4"/>
  <c r="J9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J10" i="4"/>
  <c r="I10" i="4"/>
  <c r="H10" i="4"/>
  <c r="G10" i="4"/>
  <c r="K66" i="6" l="1"/>
  <c r="J66" i="6"/>
  <c r="I66" i="6"/>
  <c r="H66" i="6"/>
  <c r="G66" i="6"/>
  <c r="K69" i="5"/>
  <c r="G5" i="3" s="1"/>
  <c r="J69" i="5"/>
  <c r="F5" i="3" s="1"/>
  <c r="I69" i="5"/>
  <c r="E5" i="3" s="1"/>
  <c r="H69" i="5"/>
  <c r="D5" i="3" s="1"/>
  <c r="G69" i="5"/>
  <c r="C5" i="3" s="1"/>
  <c r="A32" i="4"/>
  <c r="A33" i="4" s="1"/>
  <c r="A34" i="4" s="1"/>
  <c r="A35" i="4" s="1"/>
  <c r="A36" i="4" s="1"/>
  <c r="A37" i="4" s="1"/>
  <c r="A24" i="4"/>
  <c r="A25" i="4" s="1"/>
  <c r="A26" i="4" s="1"/>
  <c r="A27" i="4" s="1"/>
  <c r="A28" i="4" s="1"/>
  <c r="A29" i="4" s="1"/>
  <c r="A30" i="4" s="1"/>
  <c r="A16" i="4"/>
  <c r="A17" i="4" s="1"/>
  <c r="A18" i="4" s="1"/>
  <c r="A19" i="4" s="1"/>
  <c r="A20" i="4" s="1"/>
  <c r="A8" i="4"/>
  <c r="A9" i="4" s="1"/>
  <c r="A10" i="4" s="1"/>
  <c r="A11" i="4" s="1"/>
  <c r="A12" i="4" s="1"/>
  <c r="A13" i="4" s="1"/>
  <c r="A14" i="4" s="1"/>
  <c r="I39" i="4"/>
  <c r="E4" i="3" s="1"/>
  <c r="A21" i="4" l="1"/>
  <c r="A22" i="4" s="1"/>
  <c r="H6" i="3"/>
  <c r="H5" i="3"/>
  <c r="G39" i="4"/>
  <c r="C4" i="3" s="1"/>
  <c r="K39" i="4"/>
  <c r="G4" i="3" s="1"/>
  <c r="J39" i="4"/>
  <c r="F4" i="3" s="1"/>
  <c r="H39" i="4"/>
  <c r="D4" i="3" s="1"/>
  <c r="G17" i="2"/>
  <c r="H17" i="2"/>
  <c r="I17" i="2"/>
  <c r="J17" i="2"/>
  <c r="K17" i="2"/>
  <c r="G16" i="2"/>
  <c r="H16" i="2"/>
  <c r="I16" i="2"/>
  <c r="J16" i="2"/>
  <c r="K16" i="2"/>
  <c r="G15" i="2"/>
  <c r="H15" i="2"/>
  <c r="I15" i="2"/>
  <c r="J15" i="2"/>
  <c r="K15" i="2"/>
  <c r="G14" i="2"/>
  <c r="H14" i="2"/>
  <c r="I14" i="2"/>
  <c r="J14" i="2"/>
  <c r="K14" i="2"/>
  <c r="G13" i="2"/>
  <c r="H13" i="2"/>
  <c r="I13" i="2"/>
  <c r="J13" i="2"/>
  <c r="K13" i="2"/>
  <c r="G11" i="2"/>
  <c r="H11" i="2"/>
  <c r="I11" i="2"/>
  <c r="J11" i="2"/>
  <c r="K11" i="2"/>
  <c r="H4" i="3" l="1"/>
  <c r="K21" i="2"/>
  <c r="J21" i="2"/>
  <c r="I21" i="2"/>
  <c r="H21" i="2"/>
  <c r="G21" i="2"/>
  <c r="K22" i="2"/>
  <c r="J22" i="2"/>
  <c r="I22" i="2"/>
  <c r="H22" i="2"/>
  <c r="G22" i="2"/>
  <c r="K48" i="2"/>
  <c r="J48" i="2"/>
  <c r="I48" i="2"/>
  <c r="H48" i="2"/>
  <c r="G48" i="2"/>
  <c r="K47" i="2"/>
  <c r="J47" i="2"/>
  <c r="I47" i="2"/>
  <c r="H47" i="2"/>
  <c r="G47" i="2"/>
  <c r="K46" i="2"/>
  <c r="J46" i="2"/>
  <c r="I46" i="2"/>
  <c r="H46" i="2"/>
  <c r="G46" i="2"/>
  <c r="K44" i="2"/>
  <c r="J44" i="2"/>
  <c r="I44" i="2"/>
  <c r="H44" i="2"/>
  <c r="G44" i="2"/>
  <c r="K43" i="2"/>
  <c r="J43" i="2"/>
  <c r="I43" i="2"/>
  <c r="H43" i="2"/>
  <c r="G43" i="2"/>
  <c r="K42" i="2"/>
  <c r="J42" i="2"/>
  <c r="I42" i="2"/>
  <c r="H42" i="2"/>
  <c r="G42" i="2"/>
  <c r="K40" i="2"/>
  <c r="J40" i="2"/>
  <c r="I40" i="2"/>
  <c r="H40" i="2"/>
  <c r="G40" i="2"/>
  <c r="K39" i="2"/>
  <c r="J39" i="2"/>
  <c r="I39" i="2"/>
  <c r="H39" i="2"/>
  <c r="G39" i="2"/>
  <c r="K38" i="2"/>
  <c r="J38" i="2"/>
  <c r="I38" i="2"/>
  <c r="H38" i="2"/>
  <c r="G38" i="2"/>
  <c r="K37" i="2"/>
  <c r="J37" i="2"/>
  <c r="I37" i="2"/>
  <c r="H37" i="2"/>
  <c r="G37" i="2"/>
  <c r="K36" i="2"/>
  <c r="J36" i="2"/>
  <c r="I36" i="2"/>
  <c r="H36" i="2"/>
  <c r="G36" i="2"/>
  <c r="K34" i="2"/>
  <c r="J34" i="2"/>
  <c r="I34" i="2"/>
  <c r="H34" i="2"/>
  <c r="G34" i="2"/>
  <c r="K33" i="2"/>
  <c r="J33" i="2"/>
  <c r="I33" i="2"/>
  <c r="H33" i="2"/>
  <c r="G33" i="2"/>
  <c r="K32" i="2"/>
  <c r="J32" i="2"/>
  <c r="I32" i="2"/>
  <c r="H32" i="2"/>
  <c r="G32" i="2"/>
  <c r="K30" i="2"/>
  <c r="J30" i="2"/>
  <c r="I30" i="2"/>
  <c r="H30" i="2"/>
  <c r="G30" i="2"/>
  <c r="K25" i="2"/>
  <c r="J25" i="2"/>
  <c r="I25" i="2"/>
  <c r="H25" i="2"/>
  <c r="G25" i="2"/>
  <c r="K60" i="2"/>
  <c r="J60" i="2"/>
  <c r="I60" i="2"/>
  <c r="H60" i="2"/>
  <c r="G60" i="2"/>
  <c r="K59" i="2"/>
  <c r="J59" i="2"/>
  <c r="I59" i="2"/>
  <c r="H59" i="2"/>
  <c r="G59" i="2"/>
  <c r="K58" i="2"/>
  <c r="J58" i="2"/>
  <c r="I58" i="2"/>
  <c r="H58" i="2"/>
  <c r="G58" i="2"/>
  <c r="K57" i="2"/>
  <c r="J57" i="2"/>
  <c r="I57" i="2"/>
  <c r="H57" i="2"/>
  <c r="G57" i="2"/>
  <c r="A19" i="2"/>
  <c r="A20" i="2" s="1"/>
  <c r="A22" i="2" s="1"/>
  <c r="K55" i="2"/>
  <c r="J55" i="2"/>
  <c r="I55" i="2"/>
  <c r="H55" i="2"/>
  <c r="G55" i="2"/>
  <c r="K54" i="2"/>
  <c r="J54" i="2"/>
  <c r="I54" i="2"/>
  <c r="H54" i="2"/>
  <c r="G54" i="2"/>
  <c r="K53" i="2"/>
  <c r="J53" i="2"/>
  <c r="I53" i="2"/>
  <c r="H53" i="2"/>
  <c r="G53" i="2"/>
  <c r="K52" i="2"/>
  <c r="J52" i="2"/>
  <c r="I52" i="2"/>
  <c r="H52" i="2"/>
  <c r="G52" i="2"/>
  <c r="K50" i="2"/>
  <c r="J50" i="2"/>
  <c r="I50" i="2"/>
  <c r="H50" i="2"/>
  <c r="G50" i="2"/>
  <c r="K49" i="2"/>
  <c r="J49" i="2"/>
  <c r="I49" i="2"/>
  <c r="H49" i="2"/>
  <c r="G49" i="2"/>
  <c r="K24" i="2"/>
  <c r="J24" i="2"/>
  <c r="I24" i="2"/>
  <c r="H24" i="2"/>
  <c r="G24" i="2"/>
  <c r="K23" i="2"/>
  <c r="J23" i="2"/>
  <c r="I23" i="2"/>
  <c r="H23" i="2"/>
  <c r="G23" i="2"/>
  <c r="K20" i="2"/>
  <c r="J20" i="2"/>
  <c r="I20" i="2"/>
  <c r="H20" i="2"/>
  <c r="G20" i="2"/>
  <c r="K19" i="2"/>
  <c r="J19" i="2"/>
  <c r="I19" i="2"/>
  <c r="H19" i="2"/>
  <c r="G19" i="2"/>
  <c r="A21" i="2" l="1"/>
  <c r="A23" i="2"/>
  <c r="A24" i="2" s="1"/>
  <c r="A25" i="2" s="1"/>
  <c r="A5" i="2"/>
  <c r="A6" i="2" s="1"/>
  <c r="A7" i="2" l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32" i="2"/>
  <c r="A33" i="2" s="1"/>
  <c r="A34" i="2" s="1"/>
  <c r="A26" i="2"/>
  <c r="A27" i="2" s="1"/>
  <c r="A28" i="2" s="1"/>
  <c r="A29" i="2" s="1"/>
  <c r="A30" i="2" s="1"/>
  <c r="K62" i="2"/>
  <c r="J62" i="2"/>
  <c r="I62" i="2"/>
  <c r="H62" i="2"/>
  <c r="G62" i="2"/>
  <c r="K61" i="2"/>
  <c r="J61" i="2"/>
  <c r="I61" i="2"/>
  <c r="H61" i="2"/>
  <c r="G61" i="2"/>
  <c r="A35" i="2" l="1"/>
  <c r="A36" i="2" s="1"/>
  <c r="A37" i="2" s="1"/>
  <c r="A38" i="2" s="1"/>
  <c r="A39" i="2" s="1"/>
  <c r="A40" i="2" s="1"/>
  <c r="A42" i="2" s="1"/>
  <c r="A43" i="2" s="1"/>
  <c r="A44" i="2" s="1"/>
  <c r="K12" i="2"/>
  <c r="J12" i="2"/>
  <c r="I12" i="2"/>
  <c r="H12" i="2"/>
  <c r="G12" i="2"/>
  <c r="K10" i="2"/>
  <c r="J10" i="2"/>
  <c r="I10" i="2"/>
  <c r="H10" i="2"/>
  <c r="G10" i="2"/>
  <c r="K9" i="2"/>
  <c r="J9" i="2"/>
  <c r="I9" i="2"/>
  <c r="H9" i="2"/>
  <c r="G9" i="2"/>
  <c r="K6" i="2"/>
  <c r="J6" i="2"/>
  <c r="I6" i="2"/>
  <c r="H6" i="2"/>
  <c r="G6" i="2"/>
  <c r="K5" i="2"/>
  <c r="J5" i="2"/>
  <c r="I5" i="2"/>
  <c r="H5" i="2"/>
  <c r="G5" i="2"/>
  <c r="K4" i="2"/>
  <c r="J4" i="2"/>
  <c r="I4" i="2"/>
  <c r="H4" i="2"/>
  <c r="G4" i="2"/>
  <c r="A45" i="2" l="1"/>
  <c r="A46" i="2" s="1"/>
  <c r="A47" i="2" s="1"/>
  <c r="A48" i="2" s="1"/>
  <c r="A49" i="2" s="1"/>
  <c r="A50" i="2" s="1"/>
  <c r="A52" i="2" s="1"/>
  <c r="A53" i="2" s="1"/>
  <c r="A54" i="2" s="1"/>
  <c r="A55" i="2" s="1"/>
  <c r="G63" i="2"/>
  <c r="C3" i="3" s="1"/>
  <c r="A56" i="2" l="1"/>
  <c r="A57" i="2" s="1"/>
  <c r="A58" i="2" s="1"/>
  <c r="A59" i="2" s="1"/>
  <c r="A60" i="2" s="1"/>
  <c r="A61" i="2" s="1"/>
  <c r="A62" i="2" s="1"/>
  <c r="H63" i="2"/>
  <c r="D3" i="3" s="1"/>
  <c r="I63" i="2" l="1"/>
  <c r="E3" i="3" s="1"/>
  <c r="H3" i="3" s="1"/>
  <c r="J63" i="2" l="1"/>
  <c r="F3" i="3" s="1"/>
  <c r="K63" i="2" l="1"/>
  <c r="G3" i="3" s="1"/>
</calcChain>
</file>

<file path=xl/sharedStrings.xml><?xml version="1.0" encoding="utf-8"?>
<sst xmlns="http://schemas.openxmlformats.org/spreadsheetml/2006/main" count="663" uniqueCount="193">
  <si>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</si>
  <si>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</si>
  <si>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</si>
  <si>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</si>
  <si>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</si>
  <si>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</si>
  <si>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</si>
  <si>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</si>
  <si>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</si>
  <si>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</si>
  <si>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</si>
  <si>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</si>
  <si>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</si>
  <si>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Administrator</t>
  </si>
  <si>
    <t>Asset Maintenance</t>
  </si>
  <si>
    <t>Maintain assets</t>
  </si>
  <si>
    <t>A list of all the funds should appear</t>
  </si>
  <si>
    <t>Enter fund name in "Search for a fund name" and click on SEARCH button</t>
  </si>
  <si>
    <t>The selected fund must be highlighted and CREATE / UPDATE / ADD A CLASS / RING FENCE A FUND / VIEW buttons must become activated</t>
  </si>
  <si>
    <t>Click on update</t>
  </si>
  <si>
    <t>The Asset detail parameters screen should open</t>
  </si>
  <si>
    <t>Submit</t>
  </si>
  <si>
    <t>Amend detail</t>
  </si>
  <si>
    <t>Amended detail should be entered in specific field</t>
  </si>
  <si>
    <t>Amended detail should be saved</t>
  </si>
  <si>
    <t>Exit</t>
  </si>
  <si>
    <t>User must be redirected to Administration of Existing and New Funds screen</t>
  </si>
  <si>
    <t>Create asset</t>
  </si>
  <si>
    <t>Click on create</t>
  </si>
  <si>
    <t>Search and Reset buttons not to be used</t>
  </si>
  <si>
    <t>UPDATE / ADD A CLASS / RING FENCE A FUND / VIEW buttons must be inactive.  Only CREATE button must be activated</t>
  </si>
  <si>
    <t>Enter details in all required fields</t>
  </si>
  <si>
    <t>Entered detail should display in fields as entered</t>
  </si>
  <si>
    <t>Created detail must be saved and fund must appear on list of funds</t>
  </si>
  <si>
    <t>Add a class</t>
  </si>
  <si>
    <t>Click on add a class</t>
  </si>
  <si>
    <t>Ring fence a fund</t>
  </si>
  <si>
    <t>Click on ring fence a fund</t>
  </si>
  <si>
    <t xml:space="preserve">Radio buttons for Active / Inactive Funds </t>
  </si>
  <si>
    <t>The Asset detail parameters tab should open</t>
  </si>
  <si>
    <t>Click on Cost tab</t>
  </si>
  <si>
    <t>Click on Indicators tab</t>
  </si>
  <si>
    <t>Entered detail should be entered in specific field</t>
  </si>
  <si>
    <t>Entered detail should be saved</t>
  </si>
  <si>
    <t>View a fund</t>
  </si>
  <si>
    <t>Click on view</t>
  </si>
  <si>
    <t>No fields can be edited</t>
  </si>
  <si>
    <t>Create / maintain new portfolios</t>
  </si>
  <si>
    <t>Create / maintain smoothed bonus detail, eg rules, bonusses, funding level, fee structure</t>
  </si>
  <si>
    <t>Set up, maintain exclusive fees</t>
  </si>
  <si>
    <t>Create / maintain retirement fund administrators</t>
  </si>
  <si>
    <t>Create / amend smooth bonus detail</t>
  </si>
  <si>
    <t>Create / amend portfolio (fund)</t>
  </si>
  <si>
    <t xml:space="preserve">Administration </t>
  </si>
  <si>
    <t>Smoothed Bonus</t>
  </si>
  <si>
    <t>Maintain Smoothed Bonus</t>
  </si>
  <si>
    <t>Dropdown with all Smoothed Bonus Funds will appear</t>
  </si>
  <si>
    <t xml:space="preserve">Select Smoothed Bonus Fund </t>
  </si>
  <si>
    <t>Click Next</t>
  </si>
  <si>
    <t>Smoothed Bonus Product Maintenance screen will appear</t>
  </si>
  <si>
    <t>Do necessary changes</t>
  </si>
  <si>
    <t>Changes display</t>
  </si>
  <si>
    <t>Restart and Next buttons active</t>
  </si>
  <si>
    <t>User can press Restart at any time and data will clear up to point where user must select a smoothed bonus fund</t>
  </si>
  <si>
    <t>History button can be used to view any history (if there is no history, no history window will open)</t>
  </si>
  <si>
    <t>Reset button</t>
  </si>
  <si>
    <t>SB Investment admin fee start date</t>
  </si>
  <si>
    <t>No fields are editable</t>
  </si>
  <si>
    <t>Update SB Bonusses</t>
  </si>
  <si>
    <t>Smoothed Bonus Enquiry</t>
  </si>
  <si>
    <t>Screen with the following fields will apprear: Bonus month / Gross monthly bonus% / Gross monthly CBS bonus% / Total monthly bonus%</t>
  </si>
  <si>
    <t>Enter relevant information</t>
  </si>
  <si>
    <t>Takes user back to selection screen</t>
  </si>
  <si>
    <t>Entered info displays</t>
  </si>
  <si>
    <t>Update SB Funding Level</t>
  </si>
  <si>
    <t>Screen with the following fields will apprear: start date / end date / funding level%</t>
  </si>
  <si>
    <t>Start date cannot be more than 2 days in the future and cannot be in the past</t>
  </si>
  <si>
    <t>Smoothed Bonus funding level saved successfully</t>
  </si>
  <si>
    <t>Exclusive Fees</t>
  </si>
  <si>
    <t>Exclusive Fee Maintenance</t>
  </si>
  <si>
    <t>Dropdown of all funds appear</t>
  </si>
  <si>
    <t>Dropdown of all asset groups appear</t>
  </si>
  <si>
    <t>Select from 2 dropdowns</t>
  </si>
  <si>
    <t>Asset Split, Inv Manager Fee Scales, Consultant Fee Scales, Admin Fee Scales buttons are activated</t>
  </si>
  <si>
    <t>Select Asset Split button</t>
  </si>
  <si>
    <t>Asset Split Maintenance screen for selected pfo appears</t>
  </si>
  <si>
    <t>Click on create button</t>
  </si>
  <si>
    <t>Entered data must display</t>
  </si>
  <si>
    <t>Clears entered data</t>
  </si>
  <si>
    <t>Submit button</t>
  </si>
  <si>
    <t>Exit button</t>
  </si>
  <si>
    <t>The asset split was successfully created</t>
  </si>
  <si>
    <t>User directed back to exclusive fee maintenance screen</t>
  </si>
  <si>
    <t>Enter start date and click on next</t>
  </si>
  <si>
    <t>Enter scale amount and fee%, enter Min and Max and select radio button yes/no for pricing</t>
  </si>
  <si>
    <t>Successful creation of fee scales</t>
  </si>
  <si>
    <t>Click on Consultant Fee scales button</t>
  </si>
  <si>
    <t>Broker Manager fee Scales Maintenance for selected pfo screen appears</t>
  </si>
  <si>
    <t>Select consultant and click on next</t>
  </si>
  <si>
    <t>Click on Admin Fee scales button</t>
  </si>
  <si>
    <t>Administration fee Scales Maintenance for selected pfo screen appears</t>
  </si>
  <si>
    <t>Maintain RFA's (Primary Products)</t>
  </si>
  <si>
    <t>Maintain asset owners</t>
  </si>
  <si>
    <t>Maintain asset owner screen appears with ASSET OWNER and PRIMARY PRODUCT buttons</t>
  </si>
  <si>
    <t>Select Asset Owner button</t>
  </si>
  <si>
    <t>List of asset owners appears and VIEW / CREATE / UPDATE buttons are active</t>
  </si>
  <si>
    <t>Select an asset owner and click VIEW</t>
  </si>
  <si>
    <t>Details of asset owner appears (read only)</t>
  </si>
  <si>
    <t>Click exit</t>
  </si>
  <si>
    <t>User directed back to maintain asset owner screen</t>
  </si>
  <si>
    <t>User able to enter details of new asset owner</t>
  </si>
  <si>
    <t>Select an asset owner and click update</t>
  </si>
  <si>
    <t xml:space="preserve">User able to change details </t>
  </si>
  <si>
    <t>Select a button (defaults to active / inactive funds)</t>
  </si>
  <si>
    <t>Enter fund code in "Search for a fund code" and click on search button</t>
  </si>
  <si>
    <t>The Asset detail parameters tab should open and submit and exit buttons activated</t>
  </si>
  <si>
    <t>User must be redirected to Administration of Existing and New Funds screen and new fund must appear in list</t>
  </si>
  <si>
    <t>Date may not change to a smaller date and dd defaults to 01. Date may also not be smaller than the current bookmonth</t>
  </si>
  <si>
    <t>Smooth Bonus Product successfully saved</t>
  </si>
  <si>
    <t>Enter relevant information (date and percentage)</t>
  </si>
  <si>
    <t>Smoothed Bonus updated successfully and total field filled</t>
  </si>
  <si>
    <t>Select fund</t>
  </si>
  <si>
    <t>INV-21</t>
  </si>
  <si>
    <t>ok</t>
  </si>
  <si>
    <t>Update button</t>
  </si>
  <si>
    <t>Must be disabled</t>
  </si>
  <si>
    <t>Inv Manager Fee Scales Maintenance for selected pfo appears</t>
  </si>
  <si>
    <t>End date</t>
  </si>
  <si>
    <t>Domestic assets %</t>
  </si>
  <si>
    <t>Foreign Cash %</t>
  </si>
  <si>
    <t>Foreign equities &amp;</t>
  </si>
  <si>
    <t>Foreign other %</t>
  </si>
  <si>
    <t>Foreign bonds %</t>
  </si>
  <si>
    <t>Foreign Africa %</t>
  </si>
  <si>
    <t>Start date</t>
  </si>
  <si>
    <t>The following fields must be displayed</t>
  </si>
  <si>
    <t xml:space="preserve">Start position </t>
  </si>
  <si>
    <t>must be between 1 and 999</t>
  </si>
  <si>
    <t>Lines per page</t>
  </si>
  <si>
    <t>must be greater than 0 and less than 56</t>
  </si>
  <si>
    <t>Asset owner name</t>
  </si>
  <si>
    <t>Create successful</t>
  </si>
  <si>
    <t>Own Printing</t>
  </si>
  <si>
    <t>Flash printing</t>
  </si>
  <si>
    <t>View</t>
  </si>
  <si>
    <t>Transactions</t>
  </si>
  <si>
    <t xml:space="preserve">Flash   </t>
  </si>
  <si>
    <t>Print Name</t>
  </si>
  <si>
    <t>Signature Name</t>
  </si>
  <si>
    <t>Signature code</t>
  </si>
  <si>
    <t>Free text and Mandatory</t>
  </si>
  <si>
    <t>Select yes or no radio buttons (defaults to no)</t>
  </si>
  <si>
    <t>Free text and not mandatory</t>
  </si>
  <si>
    <t>Update successful</t>
  </si>
  <si>
    <t>Maintain Asset Owners</t>
  </si>
  <si>
    <t>List of primary products appears and VIEW / CREATE / UPDATE / LISP LINK / FUND LINK buttons are active</t>
  </si>
  <si>
    <t>Select primary product button</t>
  </si>
  <si>
    <t>Select a primary product and click VIEW</t>
  </si>
  <si>
    <t>Details of primary product appears (read only)</t>
  </si>
  <si>
    <t>User able to enter details of new primary product</t>
  </si>
  <si>
    <t>primary product name</t>
  </si>
  <si>
    <t>Debit Card</t>
  </si>
  <si>
    <t>Select yes or no radio buttons (defaults to yes)</t>
  </si>
  <si>
    <t xml:space="preserve">Asset Owner  </t>
  </si>
  <si>
    <t>Select from dropdown</t>
  </si>
  <si>
    <t>Select a primary product and click on UPDATE</t>
  </si>
  <si>
    <t xml:space="preserve">User able to edit Primary product name, debit card radio button and asset owner details </t>
  </si>
  <si>
    <t>primary product code</t>
  </si>
  <si>
    <t>Cannot be edited</t>
  </si>
  <si>
    <t>Select a primary product and click on LISP LINK</t>
  </si>
  <si>
    <t>A dropdown with all primary products is displayed</t>
  </si>
  <si>
    <t>Select a primary product from dropdown and submit</t>
  </si>
  <si>
    <t>INV-22</t>
  </si>
  <si>
    <t>Select an primary product and click Fund Link</t>
  </si>
  <si>
    <t>Primary Product selected is displayed in dropdown, user able to reselect primary product</t>
  </si>
  <si>
    <t>A list of all funds appear</t>
  </si>
  <si>
    <t>Select yes / no next to applicable fund (radio button) and submit</t>
  </si>
  <si>
    <t>Update funds successful</t>
  </si>
  <si>
    <t>User directed back to maintain asset owners screen</t>
  </si>
  <si>
    <t>The following fields must be displayed with history of asset splits, if applicable</t>
  </si>
  <si>
    <t xml:space="preserve">Enter start date </t>
  </si>
  <si>
    <t>Enter percentages for split - must add up to 100%</t>
  </si>
  <si>
    <t>Click on submit button</t>
  </si>
  <si>
    <t>Cancels all changes made (before submit) and reverts back to old values)</t>
  </si>
  <si>
    <t>Select required smoothed bonus fund</t>
  </si>
  <si>
    <t>Click next</t>
  </si>
  <si>
    <t>Update SB Bonuses</t>
  </si>
  <si>
    <t>Click on Investment Manager Fee Scales button</t>
  </si>
  <si>
    <t>What it is Add a class and Ring fence a fund and how do they work?</t>
  </si>
  <si>
    <t>I don’t know how it works, and why it was implemented</t>
  </si>
  <si>
    <t>How will I know to % to add up to 100%</t>
  </si>
  <si>
    <t>What it is LISP LINK and FUND LINK?</t>
  </si>
  <si>
    <t>Notes/Added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</si>
</sst>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1" xfId="0" applyNumberFormat="1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1" fillId="3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6" fillId="5" borderId="1" xfId="0" applyNumberFormat="1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64" fontId="1" fillId="3" borderId="0" xfId="0" applyNumberFormat="1" applyFont="1" applyFill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3" borderId="0" xfId="0" applyFont="1" applyFill="1" applyBorder="1" applyAlignment="1">
      <alignment vertical="center" wrapText="1"/>
    </xf>
    <xf numFmtId="0" fontId="0" fillId="0" borderId="0" xfId="0" applyBorder="1" applyAlignment="1">
      <alignment wrapText="1"/>
    </xf>
    <xf numFmtId="164" fontId="1" fillId="5" borderId="0" xfId="0" applyNumberFormat="1" applyFont="1" applyFill="1" applyBorder="1" applyAlignment="1">
      <alignment vertical="center" wrapText="1"/>
    </xf>
    <xf numFmtId="0" fontId="1" fillId="5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3" fillId="5" borderId="0" xfId="0" applyFont="1" applyFill="1" applyBorder="1" applyAlignment="1">
      <alignment wrapText="1"/>
    </xf>
    <xf numFmtId="0" fontId="8" fillId="2" borderId="1" xfId="0" applyFont="1" applyFill="1" applyBorder="1" applyAlignment="1">
      <alignment horizontal="center" wrapText="1"/>
    </xf>
    <xf numFmtId="0" fontId="9" fillId="5" borderId="1" xfId="0" applyFont="1" applyFill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5" borderId="0" xfId="0" applyFont="1" applyFill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10" fillId="0" borderId="1" xfId="0" quotePrefix="1" applyFont="1" applyBorder="1" applyAlignment="1">
      <alignment vertical="center" wrapText="1"/>
    </xf>
  </cellXfs>
  <cellStyles count="1">
    <cellStyle name="Normal" xfId="0" builtinId="0"/>
  </cellStyles>
  <dxfs count="14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57150</xdr:rowOff>
        </xdr:from>
        <xdr:to>
          <xdr:col>0</xdr:col>
          <xdr:colOff>581025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180975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180975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104775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228600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zoomScaleNormal="100" workbookViewId="0">
      <selection activeCell="C31" sqref="C31"/>
    </sheetView>
  </sheetViews>
  <sheetFormatPr defaultRowHeight="15" x14ac:dyDescent="0.25"/>
  <cols>
    <col min="1" max="1" width="9.140625" style="2"/>
    <col min="2" max="2" width="62.5703125" style="2" customWidth="1"/>
    <col min="3" max="8" width="15" style="2" customWidth="1"/>
    <col min="9" max="16384" width="9.140625" style="2"/>
  </cols>
  <sheetData>
    <row r="2" spans="2:8" x14ac:dyDescent="0.25">
      <c r="B2" s="12"/>
      <c r="C2" s="12" t="s">
        <v>5</v>
      </c>
      <c r="D2" s="12" t="s">
        <v>6</v>
      </c>
      <c r="E2" s="12" t="s">
        <v>9</v>
      </c>
      <c r="F2" s="12" t="s">
        <v>7</v>
      </c>
      <c r="G2" s="12" t="s">
        <v>8</v>
      </c>
      <c r="H2" s="12" t="s">
        <v>10</v>
      </c>
    </row>
    <row r="3" spans="2:8" x14ac:dyDescent="0.25">
      <c r="B3" s="21" t="s">
        <v>47</v>
      </c>
      <c r="C3" s="13">
        <f>'Test Case'!G63</f>
        <v>37</v>
      </c>
      <c r="D3" s="13">
        <f>'Test Case'!H63</f>
        <v>0</v>
      </c>
      <c r="E3" s="13">
        <f>'Test Case'!I63</f>
        <v>1</v>
      </c>
      <c r="F3" s="14">
        <f>'Test Case'!J63</f>
        <v>18</v>
      </c>
      <c r="G3" s="14">
        <f>'Test Case'!K63</f>
        <v>0</v>
      </c>
      <c r="H3" s="13">
        <f>SUM(C3:E3)</f>
        <v>38</v>
      </c>
    </row>
    <row r="4" spans="2:8" ht="30" x14ac:dyDescent="0.25">
      <c r="B4" s="21" t="s">
        <v>48</v>
      </c>
      <c r="C4" s="13">
        <f>'2'!G39</f>
        <v>30</v>
      </c>
      <c r="D4" s="13">
        <f>'2'!H39</f>
        <v>0</v>
      </c>
      <c r="E4" s="13">
        <f>'2'!I39</f>
        <v>0</v>
      </c>
      <c r="F4" s="14">
        <f>'2'!J39</f>
        <v>0</v>
      </c>
      <c r="G4" s="14">
        <f>'2'!K39</f>
        <v>0</v>
      </c>
      <c r="H4" s="13">
        <f t="shared" ref="H4:H6" si="0">SUM(C4:E4)</f>
        <v>30</v>
      </c>
    </row>
    <row r="5" spans="2:8" x14ac:dyDescent="0.25">
      <c r="B5" s="21" t="s">
        <v>49</v>
      </c>
      <c r="C5" s="13">
        <f>'3'!G69</f>
        <v>66</v>
      </c>
      <c r="D5" s="13">
        <f>'3'!H69</f>
        <v>0</v>
      </c>
      <c r="E5" s="13">
        <f>'3'!I69</f>
        <v>0</v>
      </c>
      <c r="F5" s="14">
        <f>'3'!J69</f>
        <v>0</v>
      </c>
      <c r="G5" s="14">
        <f>'3'!K69</f>
        <v>0</v>
      </c>
      <c r="H5" s="13">
        <f t="shared" si="0"/>
        <v>66</v>
      </c>
    </row>
    <row r="6" spans="2:8" x14ac:dyDescent="0.25">
      <c r="B6" s="21" t="s">
        <v>50</v>
      </c>
      <c r="C6" s="13">
        <f>'4'!G53</f>
        <v>41</v>
      </c>
      <c r="D6" s="13">
        <f>'4'!H53</f>
        <v>0</v>
      </c>
      <c r="E6" s="13">
        <f>'4'!I53</f>
        <v>0</v>
      </c>
      <c r="F6" s="13">
        <f>'4'!J53</f>
        <v>7</v>
      </c>
      <c r="G6" s="13">
        <f>'4'!K53</f>
        <v>0</v>
      </c>
      <c r="H6" s="13">
        <f t="shared" si="0"/>
        <v>41</v>
      </c>
    </row>
    <row r="7" spans="2:8" x14ac:dyDescent="0.25">
      <c r="B7" s="12"/>
      <c r="C7" s="13"/>
      <c r="D7" s="13"/>
      <c r="E7" s="13"/>
      <c r="F7" s="14"/>
      <c r="G7" s="14"/>
      <c r="H7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581025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4"/>
  <sheetViews>
    <sheetView zoomScaleNormal="100" workbookViewId="0">
      <pane ySplit="1" topLeftCell="A44" activePane="bottomLeft" state="frozen"/>
      <selection pane="bottomLeft" activeCell="D1" sqref="D1:D1048576"/>
    </sheetView>
  </sheetViews>
  <sheetFormatPr defaultRowHeight="15" x14ac:dyDescent="0.25"/>
  <cols>
    <col min="1" max="1" width="7.5703125" style="3" customWidth="1"/>
    <col min="2" max="2" width="41.5703125" style="1" customWidth="1"/>
    <col min="3" max="3" width="37.28515625" style="1" customWidth="1"/>
    <col min="4" max="4" width="39" style="39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34" t="s">
        <v>192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ht="30" customHeight="1" x14ac:dyDescent="0.25">
      <c r="A2" s="9"/>
      <c r="B2" s="10" t="s">
        <v>52</v>
      </c>
      <c r="C2" s="10"/>
      <c r="D2" s="34"/>
      <c r="E2" s="11"/>
      <c r="F2" s="10"/>
      <c r="G2" s="11"/>
      <c r="H2" s="11"/>
      <c r="I2" s="11"/>
      <c r="J2" s="11"/>
      <c r="K2" s="11"/>
      <c r="L2" s="11"/>
    </row>
    <row r="3" spans="1:12" s="19" customFormat="1" x14ac:dyDescent="0.25">
      <c r="A3" s="15">
        <v>1</v>
      </c>
      <c r="B3" s="16" t="s">
        <v>15</v>
      </c>
      <c r="C3" s="17"/>
      <c r="D3" s="35"/>
      <c r="E3" s="16"/>
      <c r="F3" s="18"/>
      <c r="G3" s="18"/>
      <c r="H3" s="18"/>
      <c r="I3" s="18"/>
      <c r="J3" s="18"/>
      <c r="K3" s="18"/>
      <c r="L3" s="16"/>
    </row>
    <row r="4" spans="1:12" x14ac:dyDescent="0.25">
      <c r="A4" s="4">
        <v>1</v>
      </c>
      <c r="B4" s="5" t="s">
        <v>13</v>
      </c>
      <c r="C4" s="8"/>
      <c r="D4" s="36"/>
      <c r="E4" s="5"/>
      <c r="F4" s="7" t="s">
        <v>5</v>
      </c>
      <c r="G4" s="7">
        <f t="shared" ref="G4:K18" si="0">IF($F4=G$1,1,0)</f>
        <v>1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>
        <f t="shared" si="0"/>
        <v>0</v>
      </c>
      <c r="L4" s="6"/>
    </row>
    <row r="5" spans="1:12" x14ac:dyDescent="0.25">
      <c r="A5" s="4">
        <f t="shared" ref="A5:A62" si="1">A4+0.0001</f>
        <v>1.0001</v>
      </c>
      <c r="B5" s="5" t="s">
        <v>14</v>
      </c>
      <c r="C5" s="8"/>
      <c r="D5" s="36"/>
      <c r="E5" s="5"/>
      <c r="F5" s="7" t="s">
        <v>5</v>
      </c>
      <c r="G5" s="7">
        <f t="shared" si="0"/>
        <v>1</v>
      </c>
      <c r="H5" s="7">
        <f t="shared" si="0"/>
        <v>0</v>
      </c>
      <c r="I5" s="7">
        <f t="shared" si="0"/>
        <v>0</v>
      </c>
      <c r="J5" s="7">
        <f t="shared" si="0"/>
        <v>0</v>
      </c>
      <c r="K5" s="7">
        <f t="shared" si="0"/>
        <v>0</v>
      </c>
      <c r="L5" s="6"/>
    </row>
    <row r="6" spans="1:12" x14ac:dyDescent="0.25">
      <c r="A6" s="4">
        <f t="shared" si="1"/>
        <v>1.0002</v>
      </c>
      <c r="B6" s="5" t="s">
        <v>15</v>
      </c>
      <c r="C6" s="8" t="s">
        <v>16</v>
      </c>
      <c r="D6" s="36"/>
      <c r="E6" s="5"/>
      <c r="F6" s="7" t="s">
        <v>5</v>
      </c>
      <c r="G6" s="7">
        <f t="shared" si="0"/>
        <v>1</v>
      </c>
      <c r="H6" s="7">
        <f t="shared" si="0"/>
        <v>0</v>
      </c>
      <c r="I6" s="7">
        <f t="shared" si="0"/>
        <v>0</v>
      </c>
      <c r="J6" s="7">
        <f t="shared" si="0"/>
        <v>0</v>
      </c>
      <c r="K6" s="7">
        <f t="shared" si="0"/>
        <v>0</v>
      </c>
      <c r="L6" s="6"/>
    </row>
    <row r="7" spans="1:12" ht="25.5" x14ac:dyDescent="0.25">
      <c r="A7" s="4">
        <f>A6+0.0001</f>
        <v>1.0003</v>
      </c>
      <c r="B7" s="5" t="s">
        <v>38</v>
      </c>
      <c r="C7" s="8" t="s">
        <v>113</v>
      </c>
      <c r="D7" s="36"/>
      <c r="E7" s="5"/>
      <c r="F7" s="7" t="s">
        <v>5</v>
      </c>
      <c r="G7" s="7">
        <f t="shared" si="0"/>
        <v>1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>
        <f t="shared" si="0"/>
        <v>0</v>
      </c>
      <c r="L7" s="6"/>
    </row>
    <row r="8" spans="1:12" ht="51" x14ac:dyDescent="0.25">
      <c r="A8" s="4">
        <f>A7+0.0001</f>
        <v>1.0004</v>
      </c>
      <c r="B8" s="5" t="s">
        <v>114</v>
      </c>
      <c r="C8" s="5" t="s">
        <v>18</v>
      </c>
      <c r="D8" s="36" t="s">
        <v>188</v>
      </c>
      <c r="E8" s="5"/>
      <c r="F8" s="7" t="s">
        <v>5</v>
      </c>
      <c r="G8" s="7">
        <f t="shared" si="0"/>
        <v>1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>
        <f t="shared" si="0"/>
        <v>0</v>
      </c>
      <c r="L8" s="6"/>
    </row>
    <row r="9" spans="1:12" ht="51" x14ac:dyDescent="0.25">
      <c r="A9" s="4">
        <f>A8+0.0001</f>
        <v>1.0004999999999999</v>
      </c>
      <c r="B9" s="6" t="s">
        <v>17</v>
      </c>
      <c r="C9" s="5" t="s">
        <v>18</v>
      </c>
      <c r="D9" s="36" t="s">
        <v>188</v>
      </c>
      <c r="E9" s="6"/>
      <c r="F9" s="7" t="s">
        <v>5</v>
      </c>
      <c r="G9" s="7">
        <f t="shared" si="0"/>
        <v>1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>
        <f t="shared" si="0"/>
        <v>0</v>
      </c>
      <c r="L9" s="6"/>
    </row>
    <row r="10" spans="1:12" ht="25.5" x14ac:dyDescent="0.25">
      <c r="A10" s="4">
        <f t="shared" si="1"/>
        <v>1.0005999999999999</v>
      </c>
      <c r="B10" s="5" t="s">
        <v>19</v>
      </c>
      <c r="C10" s="5" t="s">
        <v>115</v>
      </c>
      <c r="D10" s="36"/>
      <c r="E10" s="6"/>
      <c r="F10" s="7" t="s">
        <v>5</v>
      </c>
      <c r="G10" s="7">
        <f t="shared" si="0"/>
        <v>1</v>
      </c>
      <c r="H10" s="7">
        <f t="shared" si="0"/>
        <v>0</v>
      </c>
      <c r="I10" s="7">
        <f t="shared" si="0"/>
        <v>0</v>
      </c>
      <c r="J10" s="7">
        <f t="shared" si="0"/>
        <v>0</v>
      </c>
      <c r="K10" s="7">
        <f t="shared" si="0"/>
        <v>0</v>
      </c>
      <c r="L10" s="6"/>
    </row>
    <row r="11" spans="1:12" ht="25.5" x14ac:dyDescent="0.25">
      <c r="A11" s="4">
        <f t="shared" ref="A11:A17" si="2">A10+0.0001</f>
        <v>1.0006999999999999</v>
      </c>
      <c r="B11" s="5" t="s">
        <v>22</v>
      </c>
      <c r="C11" s="5" t="s">
        <v>23</v>
      </c>
      <c r="D11" s="36"/>
      <c r="E11" s="6"/>
      <c r="F11" s="7" t="s">
        <v>5</v>
      </c>
      <c r="G11" s="7">
        <f t="shared" si="0"/>
        <v>1</v>
      </c>
      <c r="H11" s="7">
        <f t="shared" si="0"/>
        <v>0</v>
      </c>
      <c r="I11" s="7">
        <f t="shared" si="0"/>
        <v>0</v>
      </c>
      <c r="J11" s="7">
        <f t="shared" si="0"/>
        <v>0</v>
      </c>
      <c r="K11" s="7">
        <f t="shared" si="0"/>
        <v>0</v>
      </c>
      <c r="L11" s="6"/>
    </row>
    <row r="12" spans="1:12" x14ac:dyDescent="0.25">
      <c r="A12" s="4">
        <f t="shared" si="2"/>
        <v>1.0007999999999999</v>
      </c>
      <c r="B12" s="6" t="s">
        <v>21</v>
      </c>
      <c r="C12" s="7" t="s">
        <v>24</v>
      </c>
      <c r="D12" s="36"/>
      <c r="E12" s="6"/>
      <c r="F12" s="7" t="s">
        <v>5</v>
      </c>
      <c r="G12" s="7">
        <f t="shared" si="0"/>
        <v>1</v>
      </c>
      <c r="H12" s="7">
        <f t="shared" si="0"/>
        <v>0</v>
      </c>
      <c r="I12" s="7">
        <f t="shared" si="0"/>
        <v>0</v>
      </c>
      <c r="J12" s="7">
        <f t="shared" si="0"/>
        <v>0</v>
      </c>
      <c r="K12" s="7">
        <f t="shared" si="0"/>
        <v>0</v>
      </c>
      <c r="L12" s="6"/>
    </row>
    <row r="13" spans="1:12" ht="25.5" x14ac:dyDescent="0.25">
      <c r="A13" s="4">
        <f t="shared" si="2"/>
        <v>1.0008999999999999</v>
      </c>
      <c r="B13" s="6" t="s">
        <v>40</v>
      </c>
      <c r="C13" s="5" t="s">
        <v>23</v>
      </c>
      <c r="D13" s="36"/>
      <c r="E13" s="6"/>
      <c r="F13" s="7" t="s">
        <v>5</v>
      </c>
      <c r="G13" s="7">
        <f t="shared" si="0"/>
        <v>1</v>
      </c>
      <c r="H13" s="7">
        <f t="shared" si="0"/>
        <v>0</v>
      </c>
      <c r="I13" s="7">
        <f t="shared" si="0"/>
        <v>0</v>
      </c>
      <c r="J13" s="7">
        <f t="shared" si="0"/>
        <v>0</v>
      </c>
      <c r="K13" s="7">
        <f t="shared" si="0"/>
        <v>0</v>
      </c>
      <c r="L13" s="6"/>
    </row>
    <row r="14" spans="1:12" x14ac:dyDescent="0.25">
      <c r="A14" s="4">
        <f t="shared" si="2"/>
        <v>1.0009999999999999</v>
      </c>
      <c r="B14" s="6" t="s">
        <v>21</v>
      </c>
      <c r="C14" s="7" t="s">
        <v>24</v>
      </c>
      <c r="D14" s="36"/>
      <c r="E14" s="6"/>
      <c r="F14" s="7" t="s">
        <v>5</v>
      </c>
      <c r="G14" s="7">
        <f t="shared" si="0"/>
        <v>1</v>
      </c>
      <c r="H14" s="7">
        <f t="shared" si="0"/>
        <v>0</v>
      </c>
      <c r="I14" s="7">
        <f t="shared" si="0"/>
        <v>0</v>
      </c>
      <c r="J14" s="7">
        <f t="shared" si="0"/>
        <v>0</v>
      </c>
      <c r="K14" s="7">
        <f t="shared" si="0"/>
        <v>0</v>
      </c>
      <c r="L14" s="6"/>
    </row>
    <row r="15" spans="1:12" ht="25.5" x14ac:dyDescent="0.25">
      <c r="A15" s="4">
        <f t="shared" si="2"/>
        <v>1.0010999999999999</v>
      </c>
      <c r="B15" s="6" t="s">
        <v>41</v>
      </c>
      <c r="C15" s="5" t="s">
        <v>23</v>
      </c>
      <c r="D15" s="36"/>
      <c r="E15" s="6"/>
      <c r="F15" s="7" t="s">
        <v>5</v>
      </c>
      <c r="G15" s="7">
        <f t="shared" si="0"/>
        <v>1</v>
      </c>
      <c r="H15" s="7">
        <f t="shared" si="0"/>
        <v>0</v>
      </c>
      <c r="I15" s="7">
        <f t="shared" si="0"/>
        <v>0</v>
      </c>
      <c r="J15" s="7">
        <f t="shared" si="0"/>
        <v>0</v>
      </c>
      <c r="K15" s="7">
        <f t="shared" si="0"/>
        <v>0</v>
      </c>
      <c r="L15" s="6"/>
    </row>
    <row r="16" spans="1:12" x14ac:dyDescent="0.25">
      <c r="A16" s="4">
        <f t="shared" si="2"/>
        <v>1.0011999999999999</v>
      </c>
      <c r="B16" s="6" t="s">
        <v>21</v>
      </c>
      <c r="C16" s="7" t="s">
        <v>24</v>
      </c>
      <c r="D16" s="36"/>
      <c r="E16" s="6"/>
      <c r="F16" s="7" t="s">
        <v>5</v>
      </c>
      <c r="G16" s="7">
        <f t="shared" si="0"/>
        <v>1</v>
      </c>
      <c r="H16" s="7">
        <f t="shared" si="0"/>
        <v>0</v>
      </c>
      <c r="I16" s="7">
        <f t="shared" si="0"/>
        <v>0</v>
      </c>
      <c r="J16" s="7">
        <f t="shared" si="0"/>
        <v>0</v>
      </c>
      <c r="K16" s="7">
        <f t="shared" si="0"/>
        <v>0</v>
      </c>
      <c r="L16" s="6"/>
    </row>
    <row r="17" spans="1:12" ht="45" x14ac:dyDescent="0.25">
      <c r="A17" s="4">
        <f t="shared" si="2"/>
        <v>1.0012999999999999</v>
      </c>
      <c r="B17" s="6" t="s">
        <v>25</v>
      </c>
      <c r="C17" s="7" t="s">
        <v>26</v>
      </c>
      <c r="D17" s="36"/>
      <c r="E17" s="6"/>
      <c r="F17" s="7" t="s">
        <v>5</v>
      </c>
      <c r="G17" s="7">
        <f t="shared" si="0"/>
        <v>1</v>
      </c>
      <c r="H17" s="7">
        <f t="shared" si="0"/>
        <v>0</v>
      </c>
      <c r="I17" s="7">
        <f t="shared" si="0"/>
        <v>0</v>
      </c>
      <c r="J17" s="7">
        <f t="shared" si="0"/>
        <v>0</v>
      </c>
      <c r="K17" s="7">
        <f t="shared" si="0"/>
        <v>0</v>
      </c>
      <c r="L17" s="6"/>
    </row>
    <row r="18" spans="1:12" s="19" customFormat="1" x14ac:dyDescent="0.25">
      <c r="A18" s="15">
        <v>2</v>
      </c>
      <c r="B18" s="16" t="s">
        <v>27</v>
      </c>
      <c r="C18" s="17"/>
      <c r="D18" s="35"/>
      <c r="E18" s="16"/>
      <c r="F18" s="18"/>
      <c r="G18" s="18">
        <f t="shared" si="0"/>
        <v>0</v>
      </c>
      <c r="H18" s="18">
        <f t="shared" si="0"/>
        <v>0</v>
      </c>
      <c r="I18" s="18">
        <f t="shared" si="0"/>
        <v>1</v>
      </c>
      <c r="J18" s="18">
        <f t="shared" si="0"/>
        <v>0</v>
      </c>
      <c r="K18" s="18">
        <f t="shared" si="0"/>
        <v>0</v>
      </c>
      <c r="L18" s="16"/>
    </row>
    <row r="19" spans="1:12" x14ac:dyDescent="0.25">
      <c r="A19" s="4">
        <f t="shared" si="1"/>
        <v>2.0001000000000002</v>
      </c>
      <c r="B19" s="5" t="s">
        <v>13</v>
      </c>
      <c r="C19" s="8"/>
      <c r="D19" s="36"/>
      <c r="E19" s="5"/>
      <c r="F19" s="7" t="s">
        <v>5</v>
      </c>
      <c r="G19" s="7">
        <f t="shared" ref="G19:K50" si="3">IF($F19=G$1,1,0)</f>
        <v>1</v>
      </c>
      <c r="H19" s="7">
        <f t="shared" si="3"/>
        <v>0</v>
      </c>
      <c r="I19" s="7">
        <f t="shared" si="3"/>
        <v>0</v>
      </c>
      <c r="J19" s="7">
        <f t="shared" si="3"/>
        <v>0</v>
      </c>
      <c r="K19" s="7">
        <f t="shared" si="3"/>
        <v>0</v>
      </c>
      <c r="L19" s="6"/>
    </row>
    <row r="20" spans="1:12" x14ac:dyDescent="0.25">
      <c r="A20" s="4">
        <f t="shared" si="1"/>
        <v>2.0002000000000004</v>
      </c>
      <c r="B20" s="5" t="s">
        <v>14</v>
      </c>
      <c r="C20" s="8"/>
      <c r="D20" s="36"/>
      <c r="E20" s="5"/>
      <c r="F20" s="7" t="s">
        <v>5</v>
      </c>
      <c r="G20" s="7">
        <f t="shared" si="3"/>
        <v>1</v>
      </c>
      <c r="H20" s="7">
        <f t="shared" si="3"/>
        <v>0</v>
      </c>
      <c r="I20" s="7">
        <f t="shared" si="3"/>
        <v>0</v>
      </c>
      <c r="J20" s="7">
        <f t="shared" si="3"/>
        <v>0</v>
      </c>
      <c r="K20" s="7">
        <f t="shared" si="3"/>
        <v>0</v>
      </c>
      <c r="L20" s="6"/>
    </row>
    <row r="21" spans="1:12" x14ac:dyDescent="0.25">
      <c r="A21" s="4">
        <f t="shared" si="1"/>
        <v>2.0003000000000006</v>
      </c>
      <c r="B21" s="5" t="s">
        <v>15</v>
      </c>
      <c r="C21" s="8" t="s">
        <v>16</v>
      </c>
      <c r="D21" s="36"/>
      <c r="E21" s="5"/>
      <c r="F21" s="7" t="s">
        <v>5</v>
      </c>
      <c r="G21" s="7">
        <f t="shared" si="3"/>
        <v>1</v>
      </c>
      <c r="H21" s="7">
        <f t="shared" si="3"/>
        <v>0</v>
      </c>
      <c r="I21" s="7">
        <f t="shared" si="3"/>
        <v>0</v>
      </c>
      <c r="J21" s="7">
        <f t="shared" si="3"/>
        <v>0</v>
      </c>
      <c r="K21" s="7">
        <f t="shared" si="3"/>
        <v>0</v>
      </c>
      <c r="L21" s="6"/>
    </row>
    <row r="22" spans="1:12" ht="38.25" x14ac:dyDescent="0.25">
      <c r="A22" s="4">
        <f>A20+0.0001</f>
        <v>2.0003000000000006</v>
      </c>
      <c r="B22" s="6" t="s">
        <v>29</v>
      </c>
      <c r="C22" s="5" t="s">
        <v>30</v>
      </c>
      <c r="D22" s="36"/>
      <c r="E22" s="5"/>
      <c r="F22" s="7" t="s">
        <v>5</v>
      </c>
      <c r="G22" s="7">
        <f t="shared" si="3"/>
        <v>1</v>
      </c>
      <c r="H22" s="7">
        <f t="shared" si="3"/>
        <v>0</v>
      </c>
      <c r="I22" s="7">
        <f t="shared" si="3"/>
        <v>0</v>
      </c>
      <c r="J22" s="7">
        <f t="shared" si="3"/>
        <v>0</v>
      </c>
      <c r="K22" s="7">
        <f t="shared" si="3"/>
        <v>0</v>
      </c>
      <c r="L22" s="6"/>
    </row>
    <row r="23" spans="1:12" ht="25.5" x14ac:dyDescent="0.25">
      <c r="A23" s="4">
        <f>A20+0.0001</f>
        <v>2.0003000000000006</v>
      </c>
      <c r="B23" s="5" t="s">
        <v>28</v>
      </c>
      <c r="C23" s="5" t="s">
        <v>20</v>
      </c>
      <c r="D23" s="40"/>
      <c r="E23" s="5"/>
      <c r="F23" s="7" t="s">
        <v>5</v>
      </c>
      <c r="G23" s="7">
        <f t="shared" si="3"/>
        <v>1</v>
      </c>
      <c r="H23" s="7">
        <f t="shared" si="3"/>
        <v>0</v>
      </c>
      <c r="I23" s="7">
        <f t="shared" si="3"/>
        <v>0</v>
      </c>
      <c r="J23" s="7">
        <f t="shared" si="3"/>
        <v>0</v>
      </c>
      <c r="K23" s="7">
        <f t="shared" si="3"/>
        <v>0</v>
      </c>
      <c r="L23" s="6"/>
    </row>
    <row r="24" spans="1:12" ht="25.5" x14ac:dyDescent="0.25">
      <c r="A24" s="4">
        <f t="shared" si="1"/>
        <v>2.0004000000000008</v>
      </c>
      <c r="B24" s="5" t="s">
        <v>31</v>
      </c>
      <c r="C24" s="5" t="s">
        <v>32</v>
      </c>
      <c r="D24" s="36"/>
      <c r="E24" s="6"/>
      <c r="F24" s="7" t="s">
        <v>5</v>
      </c>
      <c r="G24" s="7">
        <f t="shared" si="3"/>
        <v>1</v>
      </c>
      <c r="H24" s="7">
        <f t="shared" si="3"/>
        <v>0</v>
      </c>
      <c r="I24" s="7">
        <f t="shared" si="3"/>
        <v>0</v>
      </c>
      <c r="J24" s="7">
        <f t="shared" si="3"/>
        <v>0</v>
      </c>
      <c r="K24" s="7">
        <f t="shared" si="3"/>
        <v>0</v>
      </c>
      <c r="L24" s="6"/>
    </row>
    <row r="25" spans="1:12" ht="30" x14ac:dyDescent="0.25">
      <c r="A25" s="4">
        <f t="shared" si="1"/>
        <v>2.0005000000000011</v>
      </c>
      <c r="B25" s="6" t="s">
        <v>21</v>
      </c>
      <c r="C25" s="7" t="s">
        <v>33</v>
      </c>
      <c r="D25" s="36"/>
      <c r="E25" s="6"/>
      <c r="F25" s="7" t="s">
        <v>5</v>
      </c>
      <c r="G25" s="7">
        <f t="shared" ref="G25:K62" si="4">IF($F25=G$1,1,0)</f>
        <v>1</v>
      </c>
      <c r="H25" s="7">
        <f t="shared" si="4"/>
        <v>0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6"/>
    </row>
    <row r="26" spans="1:12" ht="25.5" x14ac:dyDescent="0.25">
      <c r="A26" s="4">
        <f>A25+0.0001</f>
        <v>2.0006000000000013</v>
      </c>
      <c r="B26" s="6" t="s">
        <v>40</v>
      </c>
      <c r="C26" s="5" t="s">
        <v>42</v>
      </c>
      <c r="D26" s="36"/>
      <c r="E26" s="6"/>
      <c r="F26" s="7" t="s">
        <v>5</v>
      </c>
      <c r="G26" s="7">
        <f t="shared" si="4"/>
        <v>1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6"/>
    </row>
    <row r="27" spans="1:12" x14ac:dyDescent="0.25">
      <c r="A27" s="4">
        <f>A26+0.0001</f>
        <v>2.0007000000000015</v>
      </c>
      <c r="B27" s="6" t="s">
        <v>21</v>
      </c>
      <c r="C27" s="7" t="s">
        <v>43</v>
      </c>
      <c r="D27" s="36"/>
      <c r="E27" s="6"/>
      <c r="F27" s="7" t="s">
        <v>5</v>
      </c>
      <c r="G27" s="7">
        <f t="shared" si="4"/>
        <v>1</v>
      </c>
      <c r="H27" s="7">
        <f t="shared" si="4"/>
        <v>0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6"/>
    </row>
    <row r="28" spans="1:12" ht="25.5" x14ac:dyDescent="0.25">
      <c r="A28" s="4">
        <f>A27+0.0001</f>
        <v>2.0008000000000017</v>
      </c>
      <c r="B28" s="6" t="s">
        <v>41</v>
      </c>
      <c r="C28" s="5" t="s">
        <v>42</v>
      </c>
      <c r="D28" s="36"/>
      <c r="E28" s="6"/>
      <c r="F28" s="7" t="s">
        <v>5</v>
      </c>
      <c r="G28" s="7">
        <f t="shared" si="4"/>
        <v>1</v>
      </c>
      <c r="H28" s="7">
        <f t="shared" si="4"/>
        <v>0</v>
      </c>
      <c r="I28" s="7">
        <f t="shared" si="4"/>
        <v>0</v>
      </c>
      <c r="J28" s="7">
        <f t="shared" si="4"/>
        <v>0</v>
      </c>
      <c r="K28" s="7">
        <f t="shared" si="4"/>
        <v>0</v>
      </c>
      <c r="L28" s="6"/>
    </row>
    <row r="29" spans="1:12" x14ac:dyDescent="0.25">
      <c r="A29" s="4">
        <f>A28+0.0001</f>
        <v>2.0009000000000019</v>
      </c>
      <c r="B29" s="6" t="s">
        <v>21</v>
      </c>
      <c r="C29" s="7" t="s">
        <v>43</v>
      </c>
      <c r="D29" s="36"/>
      <c r="E29" s="6"/>
      <c r="F29" s="7" t="s">
        <v>5</v>
      </c>
      <c r="G29" s="7">
        <f t="shared" si="4"/>
        <v>1</v>
      </c>
      <c r="H29" s="7">
        <f t="shared" si="4"/>
        <v>0</v>
      </c>
      <c r="I29" s="7">
        <f t="shared" si="4"/>
        <v>0</v>
      </c>
      <c r="J29" s="7">
        <f t="shared" si="4"/>
        <v>0</v>
      </c>
      <c r="K29" s="7">
        <f t="shared" si="4"/>
        <v>0</v>
      </c>
      <c r="L29" s="6"/>
    </row>
    <row r="30" spans="1:12" ht="60" x14ac:dyDescent="0.25">
      <c r="A30" s="4">
        <f>A29+0.0001</f>
        <v>2.0010000000000021</v>
      </c>
      <c r="B30" s="6" t="s">
        <v>25</v>
      </c>
      <c r="C30" s="7" t="s">
        <v>116</v>
      </c>
      <c r="D30" s="36"/>
      <c r="E30" s="6"/>
      <c r="F30" s="7" t="s">
        <v>5</v>
      </c>
      <c r="G30" s="7">
        <f t="shared" si="4"/>
        <v>1</v>
      </c>
      <c r="H30" s="7">
        <f t="shared" si="4"/>
        <v>0</v>
      </c>
      <c r="I30" s="7">
        <f t="shared" si="4"/>
        <v>0</v>
      </c>
      <c r="J30" s="7">
        <f t="shared" si="4"/>
        <v>0</v>
      </c>
      <c r="K30" s="7">
        <f t="shared" si="4"/>
        <v>0</v>
      </c>
      <c r="L30" s="6"/>
    </row>
    <row r="31" spans="1:12" x14ac:dyDescent="0.25">
      <c r="A31" s="15">
        <v>3</v>
      </c>
      <c r="B31" s="16" t="s">
        <v>34</v>
      </c>
      <c r="C31" s="17"/>
      <c r="D31" s="35"/>
      <c r="E31" s="16"/>
      <c r="F31" s="18"/>
      <c r="G31" s="18"/>
      <c r="H31" s="18"/>
      <c r="I31" s="18"/>
      <c r="J31" s="18"/>
      <c r="K31" s="18"/>
      <c r="L31" s="16"/>
    </row>
    <row r="32" spans="1:12" x14ac:dyDescent="0.25">
      <c r="A32" s="4">
        <f t="shared" si="1"/>
        <v>3.0001000000000002</v>
      </c>
      <c r="B32" s="5" t="s">
        <v>13</v>
      </c>
      <c r="C32" s="8"/>
      <c r="D32" s="36"/>
      <c r="E32" s="6"/>
      <c r="F32" s="7" t="s">
        <v>7</v>
      </c>
      <c r="G32" s="7">
        <f t="shared" si="4"/>
        <v>0</v>
      </c>
      <c r="H32" s="7">
        <f t="shared" si="4"/>
        <v>0</v>
      </c>
      <c r="I32" s="7">
        <f t="shared" si="4"/>
        <v>0</v>
      </c>
      <c r="J32" s="7">
        <f t="shared" si="4"/>
        <v>1</v>
      </c>
      <c r="K32" s="7">
        <f t="shared" si="4"/>
        <v>0</v>
      </c>
      <c r="L32" s="6"/>
    </row>
    <row r="33" spans="1:12" x14ac:dyDescent="0.25">
      <c r="A33" s="4">
        <f t="shared" si="1"/>
        <v>3.0002000000000004</v>
      </c>
      <c r="B33" s="5" t="s">
        <v>14</v>
      </c>
      <c r="C33" s="8"/>
      <c r="D33" s="36"/>
      <c r="E33" s="6"/>
      <c r="F33" s="7" t="s">
        <v>7</v>
      </c>
      <c r="G33" s="7">
        <f t="shared" si="4"/>
        <v>0</v>
      </c>
      <c r="H33" s="7">
        <f t="shared" si="4"/>
        <v>0</v>
      </c>
      <c r="I33" s="7">
        <f t="shared" si="4"/>
        <v>0</v>
      </c>
      <c r="J33" s="7">
        <f t="shared" si="4"/>
        <v>1</v>
      </c>
      <c r="K33" s="7">
        <f t="shared" si="4"/>
        <v>0</v>
      </c>
      <c r="L33" s="6"/>
    </row>
    <row r="34" spans="1:12" x14ac:dyDescent="0.25">
      <c r="A34" s="4">
        <f t="shared" si="1"/>
        <v>3.0003000000000006</v>
      </c>
      <c r="B34" s="5" t="s">
        <v>15</v>
      </c>
      <c r="C34" s="8" t="s">
        <v>16</v>
      </c>
      <c r="D34" s="36"/>
      <c r="E34" s="6"/>
      <c r="F34" s="7" t="s">
        <v>7</v>
      </c>
      <c r="G34" s="7">
        <f t="shared" si="4"/>
        <v>0</v>
      </c>
      <c r="H34" s="7">
        <f t="shared" si="4"/>
        <v>0</v>
      </c>
      <c r="I34" s="7">
        <f t="shared" si="4"/>
        <v>0</v>
      </c>
      <c r="J34" s="7">
        <f t="shared" si="4"/>
        <v>1</v>
      </c>
      <c r="K34" s="7">
        <f t="shared" si="4"/>
        <v>0</v>
      </c>
      <c r="L34" s="6"/>
    </row>
    <row r="35" spans="1:12" ht="51" x14ac:dyDescent="0.25">
      <c r="A35" s="4">
        <f>A34+0.0001</f>
        <v>3.0004000000000008</v>
      </c>
      <c r="B35" s="5" t="s">
        <v>114</v>
      </c>
      <c r="C35" s="5" t="s">
        <v>18</v>
      </c>
      <c r="D35" s="36" t="s">
        <v>188</v>
      </c>
      <c r="E35" s="5"/>
      <c r="F35" s="7" t="s">
        <v>7</v>
      </c>
      <c r="G35" s="7">
        <f t="shared" si="4"/>
        <v>0</v>
      </c>
      <c r="H35" s="7">
        <f t="shared" si="4"/>
        <v>0</v>
      </c>
      <c r="I35" s="7">
        <f t="shared" si="4"/>
        <v>0</v>
      </c>
      <c r="J35" s="7">
        <f t="shared" si="4"/>
        <v>1</v>
      </c>
      <c r="K35" s="7">
        <f t="shared" si="4"/>
        <v>0</v>
      </c>
      <c r="L35" s="6"/>
    </row>
    <row r="36" spans="1:12" ht="51" x14ac:dyDescent="0.25">
      <c r="A36" s="4">
        <f>A35+0.0001</f>
        <v>3.0005000000000011</v>
      </c>
      <c r="B36" s="6" t="s">
        <v>17</v>
      </c>
      <c r="C36" s="5" t="s">
        <v>18</v>
      </c>
      <c r="D36" s="36" t="s">
        <v>188</v>
      </c>
      <c r="E36" s="6"/>
      <c r="F36" s="7" t="s">
        <v>7</v>
      </c>
      <c r="G36" s="7">
        <f t="shared" si="4"/>
        <v>0</v>
      </c>
      <c r="H36" s="7">
        <f t="shared" si="4"/>
        <v>0</v>
      </c>
      <c r="I36" s="7">
        <f t="shared" si="4"/>
        <v>0</v>
      </c>
      <c r="J36" s="7">
        <f t="shared" si="4"/>
        <v>1</v>
      </c>
      <c r="K36" s="7">
        <f t="shared" si="4"/>
        <v>0</v>
      </c>
      <c r="L36" s="6"/>
    </row>
    <row r="37" spans="1:12" ht="25.5" x14ac:dyDescent="0.25">
      <c r="A37" s="4">
        <f t="shared" si="1"/>
        <v>3.0006000000000013</v>
      </c>
      <c r="B37" s="5" t="s">
        <v>35</v>
      </c>
      <c r="C37" s="5" t="s">
        <v>20</v>
      </c>
      <c r="D37" s="36"/>
      <c r="E37" s="6"/>
      <c r="F37" s="7" t="s">
        <v>7</v>
      </c>
      <c r="G37" s="7">
        <f t="shared" si="4"/>
        <v>0</v>
      </c>
      <c r="H37" s="7">
        <f t="shared" si="4"/>
        <v>0</v>
      </c>
      <c r="I37" s="7">
        <f t="shared" si="4"/>
        <v>0</v>
      </c>
      <c r="J37" s="7">
        <f t="shared" si="4"/>
        <v>1</v>
      </c>
      <c r="K37" s="7">
        <f t="shared" si="4"/>
        <v>0</v>
      </c>
      <c r="L37" s="6"/>
    </row>
    <row r="38" spans="1:12" ht="25.5" x14ac:dyDescent="0.25">
      <c r="A38" s="4">
        <f t="shared" si="1"/>
        <v>3.0007000000000015</v>
      </c>
      <c r="B38" s="5" t="s">
        <v>22</v>
      </c>
      <c r="C38" s="5" t="s">
        <v>23</v>
      </c>
      <c r="D38" s="36"/>
      <c r="E38" s="6"/>
      <c r="F38" s="7" t="s">
        <v>7</v>
      </c>
      <c r="G38" s="7">
        <f t="shared" si="4"/>
        <v>0</v>
      </c>
      <c r="H38" s="7">
        <f t="shared" si="4"/>
        <v>0</v>
      </c>
      <c r="I38" s="7">
        <f t="shared" si="4"/>
        <v>0</v>
      </c>
      <c r="J38" s="7">
        <f t="shared" si="4"/>
        <v>1</v>
      </c>
      <c r="K38" s="7">
        <f t="shared" si="4"/>
        <v>0</v>
      </c>
      <c r="L38" s="6"/>
    </row>
    <row r="39" spans="1:12" x14ac:dyDescent="0.25">
      <c r="A39" s="4">
        <f t="shared" si="1"/>
        <v>3.0008000000000017</v>
      </c>
      <c r="B39" s="6" t="s">
        <v>21</v>
      </c>
      <c r="C39" s="7" t="s">
        <v>24</v>
      </c>
      <c r="D39" s="36"/>
      <c r="E39" s="6"/>
      <c r="F39" s="7" t="s">
        <v>7</v>
      </c>
      <c r="G39" s="7">
        <f t="shared" si="4"/>
        <v>0</v>
      </c>
      <c r="H39" s="7">
        <f t="shared" si="4"/>
        <v>0</v>
      </c>
      <c r="I39" s="7">
        <f t="shared" si="4"/>
        <v>0</v>
      </c>
      <c r="J39" s="7">
        <f t="shared" si="4"/>
        <v>1</v>
      </c>
      <c r="K39" s="7">
        <f t="shared" si="4"/>
        <v>0</v>
      </c>
      <c r="L39" s="6"/>
    </row>
    <row r="40" spans="1:12" ht="45" x14ac:dyDescent="0.25">
      <c r="A40" s="4">
        <f t="shared" si="1"/>
        <v>3.0009000000000019</v>
      </c>
      <c r="B40" s="6" t="s">
        <v>25</v>
      </c>
      <c r="C40" s="7" t="s">
        <v>26</v>
      </c>
      <c r="D40" s="36"/>
      <c r="E40" s="6"/>
      <c r="F40" s="7" t="s">
        <v>7</v>
      </c>
      <c r="G40" s="7">
        <f t="shared" si="4"/>
        <v>0</v>
      </c>
      <c r="H40" s="7">
        <f t="shared" si="4"/>
        <v>0</v>
      </c>
      <c r="I40" s="7">
        <f t="shared" si="4"/>
        <v>0</v>
      </c>
      <c r="J40" s="7">
        <f t="shared" si="4"/>
        <v>1</v>
      </c>
      <c r="K40" s="7">
        <f t="shared" si="4"/>
        <v>0</v>
      </c>
      <c r="L40" s="6"/>
    </row>
    <row r="41" spans="1:12" x14ac:dyDescent="0.25">
      <c r="A41" s="15">
        <v>4</v>
      </c>
      <c r="B41" s="16" t="s">
        <v>36</v>
      </c>
      <c r="C41" s="17"/>
      <c r="D41" s="35"/>
      <c r="E41" s="16"/>
      <c r="F41" s="18"/>
      <c r="G41" s="18"/>
      <c r="H41" s="18"/>
      <c r="I41" s="18"/>
      <c r="J41" s="18"/>
      <c r="K41" s="18"/>
      <c r="L41" s="16"/>
    </row>
    <row r="42" spans="1:12" x14ac:dyDescent="0.25">
      <c r="A42" s="4">
        <f t="shared" si="1"/>
        <v>4.0000999999999998</v>
      </c>
      <c r="B42" s="5" t="s">
        <v>13</v>
      </c>
      <c r="C42" s="8"/>
      <c r="D42" s="36"/>
      <c r="E42" s="6"/>
      <c r="F42" s="7" t="s">
        <v>7</v>
      </c>
      <c r="G42" s="7">
        <f t="shared" si="4"/>
        <v>0</v>
      </c>
      <c r="H42" s="7">
        <f t="shared" si="4"/>
        <v>0</v>
      </c>
      <c r="I42" s="7">
        <f t="shared" si="4"/>
        <v>0</v>
      </c>
      <c r="J42" s="7">
        <f t="shared" si="4"/>
        <v>1</v>
      </c>
      <c r="K42" s="7">
        <f t="shared" si="4"/>
        <v>0</v>
      </c>
      <c r="L42" s="6"/>
    </row>
    <row r="43" spans="1:12" x14ac:dyDescent="0.25">
      <c r="A43" s="4">
        <f t="shared" si="1"/>
        <v>4.0001999999999995</v>
      </c>
      <c r="B43" s="5" t="s">
        <v>14</v>
      </c>
      <c r="C43" s="8"/>
      <c r="D43" s="36"/>
      <c r="E43" s="6"/>
      <c r="F43" s="7" t="s">
        <v>7</v>
      </c>
      <c r="G43" s="7">
        <f t="shared" si="4"/>
        <v>0</v>
      </c>
      <c r="H43" s="7">
        <f t="shared" si="4"/>
        <v>0</v>
      </c>
      <c r="I43" s="7">
        <f t="shared" si="4"/>
        <v>0</v>
      </c>
      <c r="J43" s="7">
        <f t="shared" si="4"/>
        <v>1</v>
      </c>
      <c r="K43" s="7">
        <f t="shared" si="4"/>
        <v>0</v>
      </c>
      <c r="L43" s="6"/>
    </row>
    <row r="44" spans="1:12" x14ac:dyDescent="0.25">
      <c r="A44" s="4">
        <f t="shared" si="1"/>
        <v>4.0002999999999993</v>
      </c>
      <c r="B44" s="5" t="s">
        <v>15</v>
      </c>
      <c r="C44" s="8" t="s">
        <v>16</v>
      </c>
      <c r="D44" s="36"/>
      <c r="E44" s="6"/>
      <c r="F44" s="7" t="s">
        <v>7</v>
      </c>
      <c r="G44" s="7">
        <f t="shared" si="4"/>
        <v>0</v>
      </c>
      <c r="H44" s="7">
        <f t="shared" si="4"/>
        <v>0</v>
      </c>
      <c r="I44" s="7">
        <f t="shared" si="4"/>
        <v>0</v>
      </c>
      <c r="J44" s="7">
        <f t="shared" si="4"/>
        <v>1</v>
      </c>
      <c r="K44" s="7">
        <f t="shared" si="4"/>
        <v>0</v>
      </c>
      <c r="L44" s="6"/>
    </row>
    <row r="45" spans="1:12" ht="51" x14ac:dyDescent="0.25">
      <c r="A45" s="4">
        <f>A44+0.0001</f>
        <v>4.0003999999999991</v>
      </c>
      <c r="B45" s="5" t="s">
        <v>114</v>
      </c>
      <c r="C45" s="5" t="s">
        <v>18</v>
      </c>
      <c r="D45" s="36"/>
      <c r="E45" s="5"/>
      <c r="F45" s="7" t="s">
        <v>7</v>
      </c>
      <c r="G45" s="7">
        <f t="shared" si="4"/>
        <v>0</v>
      </c>
      <c r="H45" s="7">
        <f t="shared" si="4"/>
        <v>0</v>
      </c>
      <c r="I45" s="7">
        <f t="shared" si="4"/>
        <v>0</v>
      </c>
      <c r="J45" s="7">
        <f t="shared" si="4"/>
        <v>1</v>
      </c>
      <c r="K45" s="7">
        <f t="shared" si="4"/>
        <v>0</v>
      </c>
      <c r="L45" s="6"/>
    </row>
    <row r="46" spans="1:12" ht="51" x14ac:dyDescent="0.25">
      <c r="A46" s="4">
        <f>A45+0.0001</f>
        <v>4.0004999999999988</v>
      </c>
      <c r="B46" s="6" t="s">
        <v>17</v>
      </c>
      <c r="C46" s="5" t="s">
        <v>18</v>
      </c>
      <c r="D46" s="36"/>
      <c r="E46" s="6"/>
      <c r="F46" s="7" t="s">
        <v>7</v>
      </c>
      <c r="G46" s="7">
        <f t="shared" si="4"/>
        <v>0</v>
      </c>
      <c r="H46" s="7">
        <f t="shared" si="4"/>
        <v>0</v>
      </c>
      <c r="I46" s="7">
        <f t="shared" si="4"/>
        <v>0</v>
      </c>
      <c r="J46" s="7">
        <f t="shared" si="4"/>
        <v>1</v>
      </c>
      <c r="K46" s="7">
        <f t="shared" si="4"/>
        <v>0</v>
      </c>
      <c r="L46" s="6"/>
    </row>
    <row r="47" spans="1:12" ht="25.5" x14ac:dyDescent="0.25">
      <c r="A47" s="4">
        <f t="shared" si="1"/>
        <v>4.0005999999999986</v>
      </c>
      <c r="B47" s="5" t="s">
        <v>37</v>
      </c>
      <c r="C47" s="5" t="s">
        <v>20</v>
      </c>
      <c r="D47" s="36" t="s">
        <v>189</v>
      </c>
      <c r="E47" s="6"/>
      <c r="F47" s="7" t="s">
        <v>7</v>
      </c>
      <c r="G47" s="7">
        <f t="shared" si="4"/>
        <v>0</v>
      </c>
      <c r="H47" s="7">
        <f t="shared" si="4"/>
        <v>0</v>
      </c>
      <c r="I47" s="7">
        <f t="shared" si="4"/>
        <v>0</v>
      </c>
      <c r="J47" s="7">
        <f t="shared" si="4"/>
        <v>1</v>
      </c>
      <c r="K47" s="7">
        <f t="shared" si="4"/>
        <v>0</v>
      </c>
      <c r="L47" s="6"/>
    </row>
    <row r="48" spans="1:12" ht="25.5" x14ac:dyDescent="0.25">
      <c r="A48" s="4">
        <f t="shared" si="1"/>
        <v>4.0006999999999984</v>
      </c>
      <c r="B48" s="5" t="s">
        <v>22</v>
      </c>
      <c r="C48" s="5" t="s">
        <v>23</v>
      </c>
      <c r="D48" s="36"/>
      <c r="E48" s="6"/>
      <c r="F48" s="7" t="s">
        <v>7</v>
      </c>
      <c r="G48" s="7">
        <f t="shared" si="4"/>
        <v>0</v>
      </c>
      <c r="H48" s="7">
        <f t="shared" si="4"/>
        <v>0</v>
      </c>
      <c r="I48" s="7">
        <f t="shared" si="4"/>
        <v>0</v>
      </c>
      <c r="J48" s="7">
        <f t="shared" si="4"/>
        <v>1</v>
      </c>
      <c r="K48" s="7">
        <f t="shared" si="4"/>
        <v>0</v>
      </c>
      <c r="L48" s="6"/>
    </row>
    <row r="49" spans="1:12" x14ac:dyDescent="0.25">
      <c r="A49" s="4">
        <f t="shared" si="1"/>
        <v>4.0007999999999981</v>
      </c>
      <c r="B49" s="6" t="s">
        <v>21</v>
      </c>
      <c r="C49" s="7" t="s">
        <v>24</v>
      </c>
      <c r="D49" s="36"/>
      <c r="E49" s="6"/>
      <c r="F49" s="7" t="s">
        <v>7</v>
      </c>
      <c r="G49" s="7">
        <f t="shared" si="3"/>
        <v>0</v>
      </c>
      <c r="H49" s="7">
        <f t="shared" si="3"/>
        <v>0</v>
      </c>
      <c r="I49" s="7">
        <f t="shared" si="3"/>
        <v>0</v>
      </c>
      <c r="J49" s="7">
        <f t="shared" si="3"/>
        <v>1</v>
      </c>
      <c r="K49" s="7">
        <f t="shared" si="3"/>
        <v>0</v>
      </c>
      <c r="L49" s="6"/>
    </row>
    <row r="50" spans="1:12" ht="45" x14ac:dyDescent="0.25">
      <c r="A50" s="4">
        <f t="shared" si="1"/>
        <v>4.0008999999999979</v>
      </c>
      <c r="B50" s="6" t="s">
        <v>25</v>
      </c>
      <c r="C50" s="7" t="s">
        <v>26</v>
      </c>
      <c r="D50" s="36"/>
      <c r="E50" s="6"/>
      <c r="F50" s="7" t="s">
        <v>7</v>
      </c>
      <c r="G50" s="7">
        <f t="shared" si="3"/>
        <v>0</v>
      </c>
      <c r="H50" s="7">
        <f t="shared" si="3"/>
        <v>0</v>
      </c>
      <c r="I50" s="7">
        <f t="shared" si="3"/>
        <v>0</v>
      </c>
      <c r="J50" s="7">
        <f t="shared" si="3"/>
        <v>1</v>
      </c>
      <c r="K50" s="7">
        <f t="shared" si="3"/>
        <v>0</v>
      </c>
      <c r="L50" s="6"/>
    </row>
    <row r="51" spans="1:12" x14ac:dyDescent="0.25">
      <c r="A51" s="15">
        <v>5</v>
      </c>
      <c r="B51" s="16" t="s">
        <v>44</v>
      </c>
      <c r="C51" s="17"/>
      <c r="D51" s="35"/>
      <c r="E51" s="16"/>
      <c r="F51" s="18"/>
      <c r="G51" s="18"/>
      <c r="H51" s="18"/>
      <c r="I51" s="18"/>
      <c r="J51" s="18"/>
      <c r="K51" s="18"/>
      <c r="L51" s="16"/>
    </row>
    <row r="52" spans="1:12" x14ac:dyDescent="0.25">
      <c r="A52" s="4">
        <f t="shared" si="1"/>
        <v>5.0000999999999998</v>
      </c>
      <c r="B52" s="5" t="s">
        <v>13</v>
      </c>
      <c r="C52" s="8"/>
      <c r="D52" s="36"/>
      <c r="E52" s="6"/>
      <c r="F52" s="7" t="s">
        <v>5</v>
      </c>
      <c r="G52" s="7">
        <f t="shared" si="4"/>
        <v>1</v>
      </c>
      <c r="H52" s="7">
        <f t="shared" si="4"/>
        <v>0</v>
      </c>
      <c r="I52" s="7">
        <f t="shared" si="4"/>
        <v>0</v>
      </c>
      <c r="J52" s="7">
        <f t="shared" si="4"/>
        <v>0</v>
      </c>
      <c r="K52" s="7">
        <f t="shared" si="4"/>
        <v>0</v>
      </c>
      <c r="L52" s="6"/>
    </row>
    <row r="53" spans="1:12" x14ac:dyDescent="0.25">
      <c r="A53" s="4">
        <f t="shared" si="1"/>
        <v>5.0001999999999995</v>
      </c>
      <c r="B53" s="5" t="s">
        <v>14</v>
      </c>
      <c r="C53" s="8"/>
      <c r="D53" s="36"/>
      <c r="E53" s="6"/>
      <c r="F53" s="7" t="s">
        <v>5</v>
      </c>
      <c r="G53" s="7">
        <f t="shared" si="4"/>
        <v>1</v>
      </c>
      <c r="H53" s="7">
        <f t="shared" si="4"/>
        <v>0</v>
      </c>
      <c r="I53" s="7">
        <f t="shared" si="4"/>
        <v>0</v>
      </c>
      <c r="J53" s="7">
        <f t="shared" si="4"/>
        <v>0</v>
      </c>
      <c r="K53" s="7">
        <f t="shared" si="4"/>
        <v>0</v>
      </c>
      <c r="L53" s="6"/>
    </row>
    <row r="54" spans="1:12" x14ac:dyDescent="0.25">
      <c r="A54" s="4">
        <f t="shared" si="1"/>
        <v>5.0002999999999993</v>
      </c>
      <c r="B54" s="5" t="s">
        <v>15</v>
      </c>
      <c r="C54" s="8" t="s">
        <v>16</v>
      </c>
      <c r="D54" s="36"/>
      <c r="E54" s="6"/>
      <c r="F54" s="7" t="s">
        <v>5</v>
      </c>
      <c r="G54" s="7">
        <f t="shared" si="4"/>
        <v>1</v>
      </c>
      <c r="H54" s="7">
        <f t="shared" si="4"/>
        <v>0</v>
      </c>
      <c r="I54" s="7">
        <f t="shared" si="4"/>
        <v>0</v>
      </c>
      <c r="J54" s="7">
        <f t="shared" si="4"/>
        <v>0</v>
      </c>
      <c r="K54" s="7">
        <f t="shared" si="4"/>
        <v>0</v>
      </c>
      <c r="L54" s="6"/>
    </row>
    <row r="55" spans="1:12" ht="25.5" x14ac:dyDescent="0.25">
      <c r="A55" s="4">
        <f t="shared" si="1"/>
        <v>5.0003999999999991</v>
      </c>
      <c r="B55" s="5" t="s">
        <v>38</v>
      </c>
      <c r="C55" s="8" t="s">
        <v>113</v>
      </c>
      <c r="D55" s="36"/>
      <c r="E55" s="6"/>
      <c r="F55" s="7" t="s">
        <v>5</v>
      </c>
      <c r="G55" s="7">
        <f t="shared" si="4"/>
        <v>1</v>
      </c>
      <c r="H55" s="7">
        <f t="shared" si="4"/>
        <v>0</v>
      </c>
      <c r="I55" s="7">
        <f t="shared" si="4"/>
        <v>0</v>
      </c>
      <c r="J55" s="7">
        <f t="shared" si="4"/>
        <v>0</v>
      </c>
      <c r="K55" s="7">
        <f t="shared" si="4"/>
        <v>0</v>
      </c>
      <c r="L55" s="6"/>
    </row>
    <row r="56" spans="1:12" ht="51" x14ac:dyDescent="0.25">
      <c r="A56" s="4">
        <f>A55+0.0001</f>
        <v>5.0004999999999988</v>
      </c>
      <c r="B56" s="5" t="s">
        <v>114</v>
      </c>
      <c r="C56" s="5" t="s">
        <v>18</v>
      </c>
      <c r="D56" s="36" t="s">
        <v>188</v>
      </c>
      <c r="E56" s="5"/>
      <c r="F56" s="7" t="s">
        <v>5</v>
      </c>
      <c r="G56" s="7">
        <f t="shared" si="4"/>
        <v>1</v>
      </c>
      <c r="H56" s="7">
        <f t="shared" si="4"/>
        <v>0</v>
      </c>
      <c r="I56" s="7">
        <f t="shared" si="4"/>
        <v>0</v>
      </c>
      <c r="J56" s="7">
        <f t="shared" si="4"/>
        <v>0</v>
      </c>
      <c r="K56" s="7">
        <f t="shared" si="4"/>
        <v>0</v>
      </c>
      <c r="L56" s="6"/>
    </row>
    <row r="57" spans="1:12" ht="51" x14ac:dyDescent="0.25">
      <c r="A57" s="4">
        <f>A56+0.0001</f>
        <v>5.0005999999999986</v>
      </c>
      <c r="B57" s="6" t="s">
        <v>17</v>
      </c>
      <c r="C57" s="5" t="s">
        <v>18</v>
      </c>
      <c r="D57" s="36" t="s">
        <v>188</v>
      </c>
      <c r="E57" s="6"/>
      <c r="F57" s="7" t="s">
        <v>5</v>
      </c>
      <c r="G57" s="7">
        <f t="shared" si="4"/>
        <v>1</v>
      </c>
      <c r="H57" s="7">
        <f t="shared" si="4"/>
        <v>0</v>
      </c>
      <c r="I57" s="7">
        <f t="shared" si="4"/>
        <v>0</v>
      </c>
      <c r="J57" s="7">
        <f t="shared" si="4"/>
        <v>0</v>
      </c>
      <c r="K57" s="7">
        <f t="shared" si="4"/>
        <v>0</v>
      </c>
      <c r="L57" s="6"/>
    </row>
    <row r="58" spans="1:12" ht="25.5" x14ac:dyDescent="0.25">
      <c r="A58" s="4">
        <f t="shared" si="1"/>
        <v>5.0006999999999984</v>
      </c>
      <c r="B58" s="5" t="s">
        <v>45</v>
      </c>
      <c r="C58" s="5" t="s">
        <v>39</v>
      </c>
      <c r="D58" s="36"/>
      <c r="E58" s="6"/>
      <c r="F58" s="7" t="s">
        <v>5</v>
      </c>
      <c r="G58" s="7">
        <f t="shared" si="4"/>
        <v>1</v>
      </c>
      <c r="H58" s="7">
        <f t="shared" si="4"/>
        <v>0</v>
      </c>
      <c r="I58" s="7">
        <f t="shared" si="4"/>
        <v>0</v>
      </c>
      <c r="J58" s="7">
        <f t="shared" si="4"/>
        <v>0</v>
      </c>
      <c r="K58" s="7">
        <f t="shared" si="4"/>
        <v>0</v>
      </c>
      <c r="L58" s="6"/>
    </row>
    <row r="59" spans="1:12" x14ac:dyDescent="0.25">
      <c r="A59" s="4">
        <f t="shared" si="1"/>
        <v>5.0007999999999981</v>
      </c>
      <c r="B59" s="5"/>
      <c r="C59" s="5" t="s">
        <v>46</v>
      </c>
      <c r="D59" s="36"/>
      <c r="E59" s="6"/>
      <c r="F59" s="7" t="s">
        <v>5</v>
      </c>
      <c r="G59" s="7">
        <f t="shared" si="4"/>
        <v>1</v>
      </c>
      <c r="H59" s="7">
        <f t="shared" si="4"/>
        <v>0</v>
      </c>
      <c r="I59" s="7">
        <f t="shared" si="4"/>
        <v>0</v>
      </c>
      <c r="J59" s="7">
        <f t="shared" si="4"/>
        <v>0</v>
      </c>
      <c r="K59" s="7">
        <f t="shared" si="4"/>
        <v>0</v>
      </c>
      <c r="L59" s="6"/>
    </row>
    <row r="60" spans="1:12" x14ac:dyDescent="0.25">
      <c r="A60" s="4">
        <f t="shared" si="1"/>
        <v>5.0008999999999979</v>
      </c>
      <c r="B60" s="6" t="s">
        <v>40</v>
      </c>
      <c r="C60" s="5" t="s">
        <v>46</v>
      </c>
      <c r="D60" s="36"/>
      <c r="E60" s="6"/>
      <c r="F60" s="7" t="s">
        <v>5</v>
      </c>
      <c r="G60" s="7">
        <f t="shared" si="4"/>
        <v>1</v>
      </c>
      <c r="H60" s="7">
        <f t="shared" si="4"/>
        <v>0</v>
      </c>
      <c r="I60" s="7">
        <f t="shared" si="4"/>
        <v>0</v>
      </c>
      <c r="J60" s="7">
        <f t="shared" si="4"/>
        <v>0</v>
      </c>
      <c r="K60" s="7">
        <f t="shared" si="4"/>
        <v>0</v>
      </c>
      <c r="L60" s="6"/>
    </row>
    <row r="61" spans="1:12" x14ac:dyDescent="0.25">
      <c r="A61" s="4">
        <f t="shared" si="1"/>
        <v>5.0009999999999977</v>
      </c>
      <c r="B61" s="6" t="s">
        <v>41</v>
      </c>
      <c r="C61" s="5" t="s">
        <v>46</v>
      </c>
      <c r="D61" s="36"/>
      <c r="E61" s="6"/>
      <c r="F61" s="7" t="s">
        <v>5</v>
      </c>
      <c r="G61" s="7">
        <f t="shared" si="4"/>
        <v>1</v>
      </c>
      <c r="H61" s="7">
        <f t="shared" si="4"/>
        <v>0</v>
      </c>
      <c r="I61" s="7">
        <f t="shared" si="4"/>
        <v>0</v>
      </c>
      <c r="J61" s="7">
        <f t="shared" si="4"/>
        <v>0</v>
      </c>
      <c r="K61" s="7">
        <f t="shared" si="4"/>
        <v>0</v>
      </c>
      <c r="L61" s="6"/>
    </row>
    <row r="62" spans="1:12" ht="45" x14ac:dyDescent="0.25">
      <c r="A62" s="4">
        <f t="shared" si="1"/>
        <v>5.0010999999999974</v>
      </c>
      <c r="B62" s="6" t="s">
        <v>25</v>
      </c>
      <c r="C62" s="7" t="s">
        <v>26</v>
      </c>
      <c r="D62" s="36"/>
      <c r="E62" s="6"/>
      <c r="F62" s="7" t="s">
        <v>5</v>
      </c>
      <c r="G62" s="7">
        <f t="shared" si="4"/>
        <v>1</v>
      </c>
      <c r="H62" s="7">
        <f t="shared" si="4"/>
        <v>0</v>
      </c>
      <c r="I62" s="7">
        <f t="shared" si="4"/>
        <v>0</v>
      </c>
      <c r="J62" s="7">
        <f t="shared" si="4"/>
        <v>0</v>
      </c>
      <c r="K62" s="7">
        <f t="shared" si="4"/>
        <v>0</v>
      </c>
      <c r="L62" s="6"/>
    </row>
    <row r="63" spans="1:12" ht="15.75" thickBot="1" x14ac:dyDescent="0.3">
      <c r="G63" s="20">
        <f>SUM(G3:G62)</f>
        <v>37</v>
      </c>
      <c r="H63" s="20">
        <f>SUM(H3:H62)</f>
        <v>0</v>
      </c>
      <c r="I63" s="20">
        <f>SUM(I3:I62)</f>
        <v>1</v>
      </c>
      <c r="J63" s="20">
        <f>SUM(J3:J62)</f>
        <v>18</v>
      </c>
      <c r="K63" s="20">
        <f>SUM(K3:K62)</f>
        <v>0</v>
      </c>
    </row>
    <row r="64" spans="1:12" ht="15.75" thickTop="1" x14ac:dyDescent="0.25"/>
  </sheetData>
  <conditionalFormatting sqref="A18:K18 A23:A30 A19:A20 G19:K20 D52:K55 D19:E20 D23:K24 A32:A34 A42:A44 D49:K50 A46:A50 G56:K56 F53:F62">
    <cfRule type="expression" dxfId="148" priority="57">
      <formula>$F18="Fail"</formula>
    </cfRule>
  </conditionalFormatting>
  <conditionalFormatting sqref="D42:K44 D40:K40 D46:K48 G45:K45">
    <cfRule type="expression" dxfId="147" priority="55">
      <formula>$F40="Fail"</formula>
    </cfRule>
  </conditionalFormatting>
  <conditionalFormatting sqref="D32:K32 D25:K30">
    <cfRule type="expression" dxfId="146" priority="54">
      <formula>$F25="Fail"</formula>
    </cfRule>
  </conditionalFormatting>
  <conditionalFormatting sqref="D33:K34 G35:K35">
    <cfRule type="expression" dxfId="145" priority="53">
      <formula>$F33="Fail"</formula>
    </cfRule>
  </conditionalFormatting>
  <conditionalFormatting sqref="A22 D22:K22">
    <cfRule type="expression" dxfId="144" priority="52">
      <formula>$F22="Fail"</formula>
    </cfRule>
  </conditionalFormatting>
  <conditionalFormatting sqref="A21 D21:K21">
    <cfRule type="expression" dxfId="143" priority="51">
      <formula>$F21="Fail"</formula>
    </cfRule>
  </conditionalFormatting>
  <conditionalFormatting sqref="C22">
    <cfRule type="expression" dxfId="142" priority="37">
      <formula>$F22="Fail"</formula>
    </cfRule>
  </conditionalFormatting>
  <conditionalFormatting sqref="F19">
    <cfRule type="expression" dxfId="141" priority="49">
      <formula>$F19="Fail"</formula>
    </cfRule>
  </conditionalFormatting>
  <conditionalFormatting sqref="F20">
    <cfRule type="expression" dxfId="140" priority="48">
      <formula>$F20="Fail"</formula>
    </cfRule>
  </conditionalFormatting>
  <conditionalFormatting sqref="L3:L17">
    <cfRule type="expression" dxfId="139" priority="47">
      <formula>$F3="Fail"</formula>
    </cfRule>
  </conditionalFormatting>
  <conditionalFormatting sqref="L49:L50 L23:L24 L18:L20 L52:L55">
    <cfRule type="expression" dxfId="138" priority="46">
      <formula>$F18="Fail"</formula>
    </cfRule>
  </conditionalFormatting>
  <conditionalFormatting sqref="L40 L42:L44 L46:L48">
    <cfRule type="expression" dxfId="137" priority="44">
      <formula>$F40="Fail"</formula>
    </cfRule>
  </conditionalFormatting>
  <conditionalFormatting sqref="L25:L30 L32">
    <cfRule type="expression" dxfId="136" priority="43">
      <formula>$F25="Fail"</formula>
    </cfRule>
  </conditionalFormatting>
  <conditionalFormatting sqref="L33:L34">
    <cfRule type="expression" dxfId="135" priority="42">
      <formula>$F33="Fail"</formula>
    </cfRule>
  </conditionalFormatting>
  <conditionalFormatting sqref="L22">
    <cfRule type="expression" dxfId="134" priority="41">
      <formula>$F22="Fail"</formula>
    </cfRule>
  </conditionalFormatting>
  <conditionalFormatting sqref="L21">
    <cfRule type="expression" dxfId="133" priority="40">
      <formula>$F21="Fail"</formula>
    </cfRule>
  </conditionalFormatting>
  <conditionalFormatting sqref="C11">
    <cfRule type="expression" dxfId="132" priority="364">
      <formula>$F12="Fail"</formula>
    </cfRule>
  </conditionalFormatting>
  <conditionalFormatting sqref="B19:C21 B24:B25 B23:C23 B22 B30">
    <cfRule type="expression" dxfId="131" priority="38">
      <formula>$F19="Fail"</formula>
    </cfRule>
  </conditionalFormatting>
  <conditionalFormatting sqref="C24">
    <cfRule type="expression" dxfId="130" priority="39">
      <formula>$F25="Fail"</formula>
    </cfRule>
  </conditionalFormatting>
  <conditionalFormatting sqref="A31:K31">
    <cfRule type="expression" dxfId="129" priority="36">
      <formula>$F31="Fail"</formula>
    </cfRule>
  </conditionalFormatting>
  <conditionalFormatting sqref="L31">
    <cfRule type="expression" dxfId="128" priority="35">
      <formula>$F31="Fail"</formula>
    </cfRule>
  </conditionalFormatting>
  <conditionalFormatting sqref="B32:C34 B38:B40">
    <cfRule type="expression" dxfId="127" priority="33">
      <formula>$F32="Fail"</formula>
    </cfRule>
  </conditionalFormatting>
  <conditionalFormatting sqref="C38">
    <cfRule type="expression" dxfId="126" priority="34">
      <formula>$F39="Fail"</formula>
    </cfRule>
  </conditionalFormatting>
  <conditionalFormatting sqref="A41:K41">
    <cfRule type="expression" dxfId="125" priority="32">
      <formula>$F41="Fail"</formula>
    </cfRule>
  </conditionalFormatting>
  <conditionalFormatting sqref="L41">
    <cfRule type="expression" dxfId="124" priority="31">
      <formula>$F41="Fail"</formula>
    </cfRule>
  </conditionalFormatting>
  <conditionalFormatting sqref="B42:C44 B48:B50 B46:C47">
    <cfRule type="expression" dxfId="123" priority="29">
      <formula>$F42="Fail"</formula>
    </cfRule>
  </conditionalFormatting>
  <conditionalFormatting sqref="C48">
    <cfRule type="expression" dxfId="122" priority="30">
      <formula>$F49="Fail"</formula>
    </cfRule>
  </conditionalFormatting>
  <conditionalFormatting sqref="C13">
    <cfRule type="expression" dxfId="121" priority="28">
      <formula>$F14="Fail"</formula>
    </cfRule>
  </conditionalFormatting>
  <conditionalFormatting sqref="B14">
    <cfRule type="expression" dxfId="120" priority="27">
      <formula>$F14="Fail"</formula>
    </cfRule>
  </conditionalFormatting>
  <conditionalFormatting sqref="B15">
    <cfRule type="expression" dxfId="119" priority="26">
      <formula>$F15="Fail"</formula>
    </cfRule>
  </conditionalFormatting>
  <conditionalFormatting sqref="C15">
    <cfRule type="expression" dxfId="118" priority="25">
      <formula>$F16="Fail"</formula>
    </cfRule>
  </conditionalFormatting>
  <conditionalFormatting sqref="B16">
    <cfRule type="expression" dxfId="117" priority="24">
      <formula>$F16="Fail"</formula>
    </cfRule>
  </conditionalFormatting>
  <conditionalFormatting sqref="B26">
    <cfRule type="expression" dxfId="116" priority="23">
      <formula>$F26="Fail"</formula>
    </cfRule>
  </conditionalFormatting>
  <conditionalFormatting sqref="C26">
    <cfRule type="expression" dxfId="115" priority="22">
      <formula>$F27="Fail"</formula>
    </cfRule>
  </conditionalFormatting>
  <conditionalFormatting sqref="B27">
    <cfRule type="expression" dxfId="114" priority="21">
      <formula>$F27="Fail"</formula>
    </cfRule>
  </conditionalFormatting>
  <conditionalFormatting sqref="B28">
    <cfRule type="expression" dxfId="113" priority="20">
      <formula>$F28="Fail"</formula>
    </cfRule>
  </conditionalFormatting>
  <conditionalFormatting sqref="C28">
    <cfRule type="expression" dxfId="112" priority="19">
      <formula>$F29="Fail"</formula>
    </cfRule>
  </conditionalFormatting>
  <conditionalFormatting sqref="B29">
    <cfRule type="expression" dxfId="111" priority="18">
      <formula>$F29="Fail"</formula>
    </cfRule>
  </conditionalFormatting>
  <conditionalFormatting sqref="A51:K51">
    <cfRule type="expression" dxfId="110" priority="17">
      <formula>$F51="Fail"</formula>
    </cfRule>
  </conditionalFormatting>
  <conditionalFormatting sqref="L51">
    <cfRule type="expression" dxfId="109" priority="16">
      <formula>$F51="Fail"</formula>
    </cfRule>
  </conditionalFormatting>
  <conditionalFormatting sqref="B52:C55 B62 B57:C58">
    <cfRule type="expression" dxfId="108" priority="14">
      <formula>$F52="Fail"</formula>
    </cfRule>
  </conditionalFormatting>
  <conditionalFormatting sqref="B61">
    <cfRule type="expression" dxfId="107" priority="11">
      <formula>$F61="Fail"</formula>
    </cfRule>
  </conditionalFormatting>
  <conditionalFormatting sqref="C59:C60">
    <cfRule type="expression" dxfId="106" priority="373">
      <formula>#REF!="Fail"</formula>
    </cfRule>
  </conditionalFormatting>
  <conditionalFormatting sqref="C61">
    <cfRule type="expression" dxfId="105" priority="8">
      <formula>#REF!="Fail"</formula>
    </cfRule>
  </conditionalFormatting>
  <conditionalFormatting sqref="A35:K35">
    <cfRule type="expression" dxfId="104" priority="7">
      <formula>$F35="Fail"</formula>
    </cfRule>
  </conditionalFormatting>
  <conditionalFormatting sqref="L35">
    <cfRule type="expression" dxfId="103" priority="6">
      <formula>$F35="Fail"</formula>
    </cfRule>
  </conditionalFormatting>
  <conditionalFormatting sqref="A45:K45">
    <cfRule type="expression" dxfId="102" priority="5">
      <formula>$F45="Fail"</formula>
    </cfRule>
  </conditionalFormatting>
  <conditionalFormatting sqref="L45">
    <cfRule type="expression" dxfId="101" priority="4">
      <formula>$F45="Fail"</formula>
    </cfRule>
  </conditionalFormatting>
  <conditionalFormatting sqref="A56:K56 D57">
    <cfRule type="expression" dxfId="100" priority="3">
      <formula>$F56="Fail"</formula>
    </cfRule>
  </conditionalFormatting>
  <conditionalFormatting sqref="L56">
    <cfRule type="expression" dxfId="99" priority="2">
      <formula>$F56="Fail"</formula>
    </cfRule>
  </conditionalFormatting>
  <conditionalFormatting sqref="A4:K62">
    <cfRule type="expression" dxfId="98" priority="1">
      <formula>$F4="Fail"</formula>
    </cfRule>
  </conditionalFormatting>
  <dataValidations count="1">
    <dataValidation type="list" allowBlank="1" showInputMessage="1" showErrorMessage="1" sqref="F3:F62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180975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0"/>
  <sheetViews>
    <sheetView zoomScaleNormal="100" workbookViewId="0">
      <pane ySplit="1" topLeftCell="A23" activePane="bottomLeft" state="frozen"/>
      <selection pane="bottomLeft" activeCell="E32" sqref="E32"/>
    </sheetView>
  </sheetViews>
  <sheetFormatPr defaultRowHeight="15" x14ac:dyDescent="0.25"/>
  <cols>
    <col min="1" max="1" width="7.5703125" style="3" customWidth="1"/>
    <col min="2" max="2" width="31.140625" style="1" customWidth="1"/>
    <col min="3" max="3" width="38.14062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11" t="s">
        <v>4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ht="30" customHeight="1" x14ac:dyDescent="0.25">
      <c r="A2" s="9"/>
      <c r="B2" s="10" t="s">
        <v>51</v>
      </c>
      <c r="C2" s="10"/>
      <c r="D2" s="11"/>
      <c r="E2" s="11"/>
      <c r="F2" s="10"/>
      <c r="G2" s="11"/>
      <c r="H2" s="11"/>
      <c r="I2" s="11"/>
      <c r="J2" s="11"/>
      <c r="K2" s="11"/>
      <c r="L2" s="11"/>
    </row>
    <row r="3" spans="1:12" s="19" customFormat="1" x14ac:dyDescent="0.25">
      <c r="A3" s="15">
        <v>1</v>
      </c>
      <c r="B3" s="16" t="s">
        <v>55</v>
      </c>
      <c r="C3" s="17"/>
      <c r="D3" s="16"/>
      <c r="E3" s="16"/>
      <c r="F3" s="18"/>
      <c r="G3" s="18"/>
      <c r="H3" s="18"/>
      <c r="I3" s="18"/>
      <c r="J3" s="18"/>
      <c r="K3" s="18"/>
      <c r="L3" s="16"/>
    </row>
    <row r="4" spans="1:12" x14ac:dyDescent="0.25">
      <c r="A4" s="4">
        <f>A3+0.0001</f>
        <v>1.0001</v>
      </c>
      <c r="B4" s="5" t="s">
        <v>53</v>
      </c>
      <c r="C4" s="8"/>
      <c r="D4" s="6"/>
      <c r="E4" s="5"/>
      <c r="F4" s="7" t="s">
        <v>5</v>
      </c>
      <c r="G4" s="7">
        <f t="shared" ref="G4:J9" si="0">IF($F4=G$1,1,0)</f>
        <v>1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/>
      <c r="L4" s="6"/>
    </row>
    <row r="5" spans="1:12" x14ac:dyDescent="0.25">
      <c r="A5" s="4">
        <f t="shared" ref="A5:A37" si="1">A4+0.0001</f>
        <v>1.0002</v>
      </c>
      <c r="B5" s="5" t="s">
        <v>54</v>
      </c>
      <c r="C5" s="8"/>
      <c r="D5" s="6"/>
      <c r="E5" s="5"/>
      <c r="F5" s="7" t="s">
        <v>5</v>
      </c>
      <c r="G5" s="7">
        <f t="shared" si="0"/>
        <v>1</v>
      </c>
      <c r="H5" s="7">
        <f t="shared" si="0"/>
        <v>0</v>
      </c>
      <c r="I5" s="7">
        <f t="shared" si="0"/>
        <v>0</v>
      </c>
      <c r="J5" s="7">
        <f t="shared" si="0"/>
        <v>0</v>
      </c>
      <c r="K5" s="7"/>
      <c r="L5" s="6"/>
    </row>
    <row r="6" spans="1:12" x14ac:dyDescent="0.25">
      <c r="A6" s="4">
        <f>A5+0.0001</f>
        <v>1.0003</v>
      </c>
      <c r="B6" s="5" t="s">
        <v>55</v>
      </c>
      <c r="C6" s="8"/>
      <c r="D6" s="6"/>
      <c r="E6" s="5"/>
      <c r="F6" s="7" t="s">
        <v>5</v>
      </c>
      <c r="G6" s="7"/>
      <c r="H6" s="7"/>
      <c r="I6" s="7"/>
      <c r="J6" s="7"/>
      <c r="K6" s="7"/>
      <c r="L6" s="6"/>
    </row>
    <row r="7" spans="1:12" x14ac:dyDescent="0.25">
      <c r="A7" s="4">
        <f>A6+0.0001</f>
        <v>1.0004</v>
      </c>
      <c r="B7" s="5" t="s">
        <v>57</v>
      </c>
      <c r="C7" s="8" t="s">
        <v>58</v>
      </c>
      <c r="D7" s="6"/>
      <c r="E7" s="6"/>
      <c r="F7" s="7" t="s">
        <v>5</v>
      </c>
      <c r="G7" s="7">
        <f t="shared" si="0"/>
        <v>1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/>
      <c r="L7" s="6"/>
    </row>
    <row r="8" spans="1:12" ht="25.5" x14ac:dyDescent="0.25">
      <c r="A8" s="4">
        <f t="shared" si="1"/>
        <v>1.0004999999999999</v>
      </c>
      <c r="B8" s="6"/>
      <c r="C8" s="8" t="s">
        <v>59</v>
      </c>
      <c r="D8" s="6"/>
      <c r="E8" s="6"/>
      <c r="F8" s="7" t="s">
        <v>5</v>
      </c>
      <c r="G8" s="7">
        <f t="shared" si="0"/>
        <v>1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/>
      <c r="L8" s="6"/>
    </row>
    <row r="9" spans="1:12" ht="38.25" x14ac:dyDescent="0.25">
      <c r="A9" s="4">
        <f t="shared" si="1"/>
        <v>1.0005999999999999</v>
      </c>
      <c r="B9" s="6"/>
      <c r="C9" s="8" t="s">
        <v>64</v>
      </c>
      <c r="D9" s="6"/>
      <c r="E9" s="6"/>
      <c r="F9" s="7" t="s">
        <v>5</v>
      </c>
      <c r="G9" s="7">
        <f t="shared" si="0"/>
        <v>1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/>
      <c r="L9" s="6"/>
    </row>
    <row r="10" spans="1:12" ht="38.25" x14ac:dyDescent="0.25">
      <c r="A10" s="4">
        <f t="shared" si="1"/>
        <v>1.0006999999999999</v>
      </c>
      <c r="B10" s="6"/>
      <c r="C10" s="8" t="s">
        <v>63</v>
      </c>
      <c r="D10" s="6"/>
      <c r="E10" s="6"/>
      <c r="F10" s="7" t="s">
        <v>5</v>
      </c>
      <c r="G10" s="7">
        <f t="shared" ref="G10:J14" si="2">IF($F10=G$1,1,0)</f>
        <v>1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/>
      <c r="L10" s="6"/>
    </row>
    <row r="11" spans="1:12" x14ac:dyDescent="0.25">
      <c r="A11" s="4">
        <f t="shared" si="1"/>
        <v>1.0007999999999999</v>
      </c>
      <c r="B11" s="5" t="s">
        <v>60</v>
      </c>
      <c r="C11" s="5" t="s">
        <v>61</v>
      </c>
      <c r="D11" s="6"/>
      <c r="E11" s="6"/>
      <c r="F11" s="7" t="s">
        <v>5</v>
      </c>
      <c r="G11" s="7">
        <f t="shared" si="2"/>
        <v>1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/>
      <c r="L11" s="6"/>
    </row>
    <row r="12" spans="1:12" ht="45" x14ac:dyDescent="0.25">
      <c r="A12" s="4">
        <f t="shared" si="1"/>
        <v>1.0008999999999999</v>
      </c>
      <c r="B12" s="5" t="s">
        <v>66</v>
      </c>
      <c r="C12" s="23" t="s">
        <v>117</v>
      </c>
      <c r="D12" s="6"/>
      <c r="E12" s="6"/>
      <c r="F12" s="7" t="s">
        <v>5</v>
      </c>
      <c r="G12" s="7">
        <f t="shared" si="2"/>
        <v>1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/>
      <c r="L12" s="6"/>
    </row>
    <row r="13" spans="1:12" ht="30" x14ac:dyDescent="0.25">
      <c r="A13" s="4">
        <f t="shared" si="1"/>
        <v>1.0009999999999999</v>
      </c>
      <c r="B13" s="6" t="s">
        <v>65</v>
      </c>
      <c r="C13" s="7" t="s">
        <v>183</v>
      </c>
      <c r="D13" s="6"/>
      <c r="E13" s="6"/>
      <c r="F13" s="7" t="s">
        <v>5</v>
      </c>
      <c r="G13" s="7">
        <f t="shared" si="2"/>
        <v>1</v>
      </c>
      <c r="H13" s="7">
        <f t="shared" si="2"/>
        <v>0</v>
      </c>
      <c r="I13" s="7">
        <f t="shared" si="2"/>
        <v>0</v>
      </c>
      <c r="J13" s="7">
        <f t="shared" si="2"/>
        <v>0</v>
      </c>
      <c r="K13" s="7"/>
      <c r="L13" s="6"/>
    </row>
    <row r="14" spans="1:12" ht="30" x14ac:dyDescent="0.25">
      <c r="A14" s="4">
        <f t="shared" si="1"/>
        <v>1.0010999999999999</v>
      </c>
      <c r="B14" s="6" t="s">
        <v>21</v>
      </c>
      <c r="C14" s="7" t="s">
        <v>118</v>
      </c>
      <c r="D14" s="6"/>
      <c r="E14" s="6"/>
      <c r="F14" s="7" t="s">
        <v>5</v>
      </c>
      <c r="G14" s="7">
        <f t="shared" si="2"/>
        <v>1</v>
      </c>
      <c r="H14" s="7">
        <f t="shared" si="2"/>
        <v>0</v>
      </c>
      <c r="I14" s="7">
        <f t="shared" si="2"/>
        <v>0</v>
      </c>
      <c r="J14" s="7">
        <f t="shared" si="2"/>
        <v>0</v>
      </c>
      <c r="K14" s="7"/>
      <c r="L14" s="6"/>
    </row>
    <row r="15" spans="1:12" s="19" customFormat="1" x14ac:dyDescent="0.25">
      <c r="A15" s="15">
        <v>2</v>
      </c>
      <c r="B15" s="16" t="s">
        <v>69</v>
      </c>
      <c r="C15" s="17"/>
      <c r="D15" s="16"/>
      <c r="E15" s="16"/>
      <c r="F15" s="18"/>
      <c r="G15" s="22"/>
      <c r="H15" s="22"/>
      <c r="I15" s="22"/>
      <c r="J15" s="22"/>
      <c r="K15" s="18"/>
      <c r="L15" s="16"/>
    </row>
    <row r="16" spans="1:12" x14ac:dyDescent="0.25">
      <c r="A16" s="4">
        <f t="shared" si="1"/>
        <v>2.0001000000000002</v>
      </c>
      <c r="B16" s="5" t="s">
        <v>53</v>
      </c>
      <c r="C16" s="8"/>
      <c r="D16" s="6"/>
      <c r="E16" s="5"/>
      <c r="F16" s="7" t="s">
        <v>5</v>
      </c>
      <c r="G16" s="7">
        <f t="shared" ref="G16:K28" si="3">IF($F16=G$1,1,0)</f>
        <v>1</v>
      </c>
      <c r="H16" s="7">
        <f t="shared" si="3"/>
        <v>0</v>
      </c>
      <c r="I16" s="7">
        <f t="shared" si="3"/>
        <v>0</v>
      </c>
      <c r="J16" s="7">
        <f t="shared" si="3"/>
        <v>0</v>
      </c>
      <c r="K16" s="7">
        <f t="shared" si="3"/>
        <v>0</v>
      </c>
      <c r="L16" s="6"/>
    </row>
    <row r="17" spans="1:12" x14ac:dyDescent="0.25">
      <c r="A17" s="4">
        <f t="shared" si="1"/>
        <v>2.0002000000000004</v>
      </c>
      <c r="B17" s="5" t="s">
        <v>54</v>
      </c>
      <c r="C17" s="8"/>
      <c r="D17" s="6"/>
      <c r="E17" s="5"/>
      <c r="F17" s="7" t="s">
        <v>5</v>
      </c>
      <c r="G17" s="7">
        <f t="shared" si="3"/>
        <v>1</v>
      </c>
      <c r="H17" s="7">
        <f t="shared" si="3"/>
        <v>0</v>
      </c>
      <c r="I17" s="7">
        <f t="shared" si="3"/>
        <v>0</v>
      </c>
      <c r="J17" s="7">
        <f t="shared" si="3"/>
        <v>0</v>
      </c>
      <c r="K17" s="7">
        <f t="shared" si="3"/>
        <v>0</v>
      </c>
      <c r="L17" s="6"/>
    </row>
    <row r="18" spans="1:12" ht="25.5" x14ac:dyDescent="0.25">
      <c r="A18" s="4">
        <f t="shared" si="1"/>
        <v>2.0003000000000006</v>
      </c>
      <c r="B18" s="5" t="s">
        <v>69</v>
      </c>
      <c r="C18" s="8" t="s">
        <v>56</v>
      </c>
      <c r="D18" s="6"/>
      <c r="E18" s="5"/>
      <c r="F18" s="7" t="s">
        <v>5</v>
      </c>
      <c r="G18" s="7">
        <f t="shared" si="3"/>
        <v>1</v>
      </c>
      <c r="H18" s="7">
        <f t="shared" si="3"/>
        <v>0</v>
      </c>
      <c r="I18" s="7">
        <f t="shared" si="3"/>
        <v>0</v>
      </c>
      <c r="J18" s="7">
        <f t="shared" si="3"/>
        <v>0</v>
      </c>
      <c r="K18" s="7">
        <f t="shared" si="3"/>
        <v>0</v>
      </c>
      <c r="L18" s="6"/>
    </row>
    <row r="19" spans="1:12" ht="25.5" x14ac:dyDescent="0.25">
      <c r="A19" s="4">
        <f t="shared" si="1"/>
        <v>2.0004000000000008</v>
      </c>
      <c r="B19" s="6" t="s">
        <v>184</v>
      </c>
      <c r="C19" s="7" t="s">
        <v>62</v>
      </c>
      <c r="D19" s="6"/>
      <c r="E19" s="5"/>
      <c r="F19" s="7" t="s">
        <v>5</v>
      </c>
      <c r="G19" s="7">
        <f t="shared" si="3"/>
        <v>1</v>
      </c>
      <c r="H19" s="7">
        <f t="shared" si="3"/>
        <v>0</v>
      </c>
      <c r="I19" s="7">
        <f t="shared" si="3"/>
        <v>0</v>
      </c>
      <c r="J19" s="7">
        <f t="shared" si="3"/>
        <v>0</v>
      </c>
      <c r="K19" s="7">
        <f t="shared" si="3"/>
        <v>0</v>
      </c>
      <c r="L19" s="6"/>
    </row>
    <row r="20" spans="1:12" ht="38.25" x14ac:dyDescent="0.25">
      <c r="A20" s="4">
        <f>A19+0.0001</f>
        <v>2.0005000000000011</v>
      </c>
      <c r="B20" s="6" t="s">
        <v>185</v>
      </c>
      <c r="C20" s="8" t="s">
        <v>64</v>
      </c>
      <c r="D20" s="6"/>
      <c r="E20" s="6"/>
      <c r="F20" s="7" t="s">
        <v>5</v>
      </c>
      <c r="G20" s="7">
        <f t="shared" si="3"/>
        <v>1</v>
      </c>
      <c r="H20" s="7">
        <f t="shared" si="3"/>
        <v>0</v>
      </c>
      <c r="I20" s="7">
        <f t="shared" si="3"/>
        <v>0</v>
      </c>
      <c r="J20" s="7">
        <f t="shared" si="3"/>
        <v>0</v>
      </c>
      <c r="K20" s="7">
        <f t="shared" si="3"/>
        <v>0</v>
      </c>
      <c r="L20" s="6"/>
    </row>
    <row r="21" spans="1:12" ht="38.25" x14ac:dyDescent="0.25">
      <c r="A21" s="4">
        <f t="shared" si="1"/>
        <v>2.0006000000000013</v>
      </c>
      <c r="B21" s="6"/>
      <c r="C21" s="8" t="s">
        <v>63</v>
      </c>
      <c r="D21" s="6"/>
      <c r="E21" s="6"/>
      <c r="F21" s="7" t="s">
        <v>5</v>
      </c>
      <c r="G21" s="7">
        <f t="shared" si="3"/>
        <v>1</v>
      </c>
      <c r="H21" s="7">
        <f t="shared" si="3"/>
        <v>0</v>
      </c>
      <c r="I21" s="7">
        <f t="shared" si="3"/>
        <v>0</v>
      </c>
      <c r="J21" s="7">
        <f t="shared" si="3"/>
        <v>0</v>
      </c>
      <c r="K21" s="7">
        <f t="shared" si="3"/>
        <v>0</v>
      </c>
      <c r="L21" s="6"/>
    </row>
    <row r="22" spans="1:12" x14ac:dyDescent="0.25">
      <c r="A22" s="4">
        <f t="shared" si="1"/>
        <v>2.0007000000000015</v>
      </c>
      <c r="B22" s="6"/>
      <c r="C22" s="7" t="s">
        <v>67</v>
      </c>
      <c r="D22" s="6"/>
      <c r="E22" s="6"/>
      <c r="F22" s="7" t="s">
        <v>5</v>
      </c>
      <c r="G22" s="7">
        <f t="shared" si="3"/>
        <v>1</v>
      </c>
      <c r="H22" s="7">
        <f t="shared" si="3"/>
        <v>0</v>
      </c>
      <c r="I22" s="7">
        <f t="shared" si="3"/>
        <v>0</v>
      </c>
      <c r="J22" s="7">
        <f t="shared" si="3"/>
        <v>0</v>
      </c>
      <c r="K22" s="7">
        <f t="shared" si="3"/>
        <v>0</v>
      </c>
      <c r="L22" s="6"/>
    </row>
    <row r="23" spans="1:12" x14ac:dyDescent="0.25">
      <c r="A23" s="15">
        <v>3</v>
      </c>
      <c r="B23" s="16" t="s">
        <v>186</v>
      </c>
      <c r="C23" s="17"/>
      <c r="D23" s="16"/>
      <c r="E23" s="16"/>
      <c r="F23" s="18"/>
      <c r="G23" s="18"/>
      <c r="H23" s="18"/>
      <c r="I23" s="18"/>
      <c r="J23" s="18"/>
      <c r="K23" s="18"/>
      <c r="L23" s="16"/>
    </row>
    <row r="24" spans="1:12" x14ac:dyDescent="0.25">
      <c r="A24" s="4">
        <f t="shared" si="1"/>
        <v>3.0001000000000002</v>
      </c>
      <c r="B24" s="5" t="s">
        <v>53</v>
      </c>
      <c r="C24" s="8"/>
      <c r="D24" s="6"/>
      <c r="E24" s="6"/>
      <c r="F24" s="7" t="s">
        <v>5</v>
      </c>
      <c r="G24" s="7">
        <f t="shared" si="3"/>
        <v>1</v>
      </c>
      <c r="H24" s="7">
        <f t="shared" si="3"/>
        <v>0</v>
      </c>
      <c r="I24" s="7">
        <f t="shared" si="3"/>
        <v>0</v>
      </c>
      <c r="J24" s="7">
        <f t="shared" si="3"/>
        <v>0</v>
      </c>
      <c r="K24" s="7">
        <f t="shared" si="3"/>
        <v>0</v>
      </c>
      <c r="L24" s="6"/>
    </row>
    <row r="25" spans="1:12" x14ac:dyDescent="0.25">
      <c r="A25" s="4">
        <f t="shared" si="1"/>
        <v>3.0002000000000004</v>
      </c>
      <c r="B25" s="5" t="s">
        <v>54</v>
      </c>
      <c r="C25" s="8"/>
      <c r="D25" s="6"/>
      <c r="E25" s="6"/>
      <c r="F25" s="7" t="s">
        <v>5</v>
      </c>
      <c r="G25" s="7">
        <f t="shared" si="3"/>
        <v>1</v>
      </c>
      <c r="H25" s="7">
        <f t="shared" si="3"/>
        <v>0</v>
      </c>
      <c r="I25" s="7">
        <f t="shared" si="3"/>
        <v>0</v>
      </c>
      <c r="J25" s="7">
        <f t="shared" si="3"/>
        <v>0</v>
      </c>
      <c r="K25" s="7">
        <f t="shared" si="3"/>
        <v>0</v>
      </c>
      <c r="L25" s="6"/>
    </row>
    <row r="26" spans="1:12" ht="25.5" x14ac:dyDescent="0.25">
      <c r="A26" s="4">
        <f t="shared" si="1"/>
        <v>3.0003000000000006</v>
      </c>
      <c r="B26" s="5" t="s">
        <v>68</v>
      </c>
      <c r="C26" s="8" t="s">
        <v>56</v>
      </c>
      <c r="D26" s="6"/>
      <c r="E26" s="6"/>
      <c r="F26" s="7" t="s">
        <v>5</v>
      </c>
      <c r="G26" s="7">
        <f t="shared" si="3"/>
        <v>1</v>
      </c>
      <c r="H26" s="7">
        <f t="shared" si="3"/>
        <v>0</v>
      </c>
      <c r="I26" s="7">
        <f t="shared" si="3"/>
        <v>0</v>
      </c>
      <c r="J26" s="7">
        <f t="shared" si="3"/>
        <v>0</v>
      </c>
      <c r="K26" s="7">
        <f t="shared" si="3"/>
        <v>0</v>
      </c>
      <c r="L26" s="6"/>
    </row>
    <row r="27" spans="1:12" ht="60" x14ac:dyDescent="0.25">
      <c r="A27" s="4">
        <f t="shared" si="1"/>
        <v>3.0004000000000008</v>
      </c>
      <c r="B27" s="6" t="s">
        <v>57</v>
      </c>
      <c r="C27" s="24" t="s">
        <v>70</v>
      </c>
      <c r="D27" s="6"/>
      <c r="E27" s="6"/>
      <c r="F27" s="7" t="s">
        <v>5</v>
      </c>
      <c r="G27" s="7">
        <f t="shared" si="3"/>
        <v>1</v>
      </c>
      <c r="H27" s="7">
        <f t="shared" si="3"/>
        <v>0</v>
      </c>
      <c r="I27" s="7">
        <f t="shared" si="3"/>
        <v>0</v>
      </c>
      <c r="J27" s="7">
        <f t="shared" si="3"/>
        <v>0</v>
      </c>
      <c r="K27" s="7">
        <f t="shared" si="3"/>
        <v>0</v>
      </c>
      <c r="L27" s="6"/>
    </row>
    <row r="28" spans="1:12" ht="25.5" x14ac:dyDescent="0.25">
      <c r="A28" s="4">
        <f>A27+0.0001</f>
        <v>3.0005000000000011</v>
      </c>
      <c r="B28" s="5" t="s">
        <v>119</v>
      </c>
      <c r="C28" s="8" t="s">
        <v>73</v>
      </c>
      <c r="D28" s="6"/>
      <c r="E28" s="6"/>
      <c r="F28" s="7" t="s">
        <v>5</v>
      </c>
      <c r="G28" s="7">
        <f t="shared" si="3"/>
        <v>1</v>
      </c>
      <c r="H28" s="7">
        <f t="shared" si="3"/>
        <v>0</v>
      </c>
      <c r="I28" s="7">
        <f t="shared" si="3"/>
        <v>0</v>
      </c>
      <c r="J28" s="7">
        <f t="shared" si="3"/>
        <v>0</v>
      </c>
      <c r="K28" s="7">
        <f t="shared" si="3"/>
        <v>0</v>
      </c>
      <c r="L28" s="6"/>
    </row>
    <row r="29" spans="1:12" ht="25.5" x14ac:dyDescent="0.25">
      <c r="A29" s="4">
        <f>A28+0.0001</f>
        <v>3.0006000000000013</v>
      </c>
      <c r="B29" s="5" t="s">
        <v>21</v>
      </c>
      <c r="C29" s="8" t="s">
        <v>120</v>
      </c>
      <c r="D29" s="6"/>
      <c r="E29" s="6"/>
      <c r="F29" s="7" t="s">
        <v>5</v>
      </c>
      <c r="G29" s="7">
        <f t="shared" ref="G29:K37" si="4">IF($F29=G$1,1,0)</f>
        <v>1</v>
      </c>
      <c r="H29" s="7">
        <f t="shared" si="4"/>
        <v>0</v>
      </c>
      <c r="I29" s="7">
        <f t="shared" si="4"/>
        <v>0</v>
      </c>
      <c r="J29" s="7">
        <f t="shared" si="4"/>
        <v>0</v>
      </c>
      <c r="K29" s="7">
        <f t="shared" si="4"/>
        <v>0</v>
      </c>
      <c r="L29" s="6"/>
    </row>
    <row r="30" spans="1:12" x14ac:dyDescent="0.25">
      <c r="A30" s="4">
        <f>A29+0.0001</f>
        <v>3.0007000000000015</v>
      </c>
      <c r="B30" s="6" t="s">
        <v>65</v>
      </c>
      <c r="C30" s="23" t="s">
        <v>72</v>
      </c>
      <c r="D30" s="6"/>
      <c r="E30" s="6"/>
      <c r="F30" s="7" t="s">
        <v>5</v>
      </c>
      <c r="G30" s="7">
        <f>IF($F30=G$1,1,0)</f>
        <v>1</v>
      </c>
      <c r="H30" s="7">
        <f>IF($F30=H$1,1,0)</f>
        <v>0</v>
      </c>
      <c r="I30" s="7">
        <f>IF($F30=I$1,1,0)</f>
        <v>0</v>
      </c>
      <c r="J30" s="7">
        <f>IF($F30=J$1,1,0)</f>
        <v>0</v>
      </c>
      <c r="K30" s="7">
        <f>IF($F30=K$1,1,0)</f>
        <v>0</v>
      </c>
      <c r="L30" s="6"/>
    </row>
    <row r="31" spans="1:12" x14ac:dyDescent="0.25">
      <c r="A31" s="15">
        <v>4</v>
      </c>
      <c r="B31" s="16" t="s">
        <v>74</v>
      </c>
      <c r="C31" s="17"/>
      <c r="D31" s="16"/>
      <c r="E31" s="16"/>
      <c r="F31" s="18"/>
      <c r="G31" s="18"/>
      <c r="H31" s="18"/>
      <c r="I31" s="18"/>
      <c r="J31" s="18"/>
      <c r="K31" s="18"/>
      <c r="L31" s="16"/>
    </row>
    <row r="32" spans="1:12" x14ac:dyDescent="0.25">
      <c r="A32" s="4">
        <f t="shared" si="1"/>
        <v>4.0000999999999998</v>
      </c>
      <c r="B32" s="5" t="s">
        <v>53</v>
      </c>
      <c r="C32" s="8"/>
      <c r="D32" s="6"/>
      <c r="E32" s="6"/>
      <c r="F32" s="7" t="s">
        <v>5</v>
      </c>
      <c r="G32" s="7">
        <f t="shared" si="4"/>
        <v>1</v>
      </c>
      <c r="H32" s="7">
        <f t="shared" si="4"/>
        <v>0</v>
      </c>
      <c r="I32" s="7">
        <f t="shared" si="4"/>
        <v>0</v>
      </c>
      <c r="J32" s="7">
        <f t="shared" si="4"/>
        <v>0</v>
      </c>
      <c r="K32" s="7">
        <f t="shared" si="4"/>
        <v>0</v>
      </c>
      <c r="L32" s="6"/>
    </row>
    <row r="33" spans="1:12" x14ac:dyDescent="0.25">
      <c r="A33" s="4">
        <f t="shared" si="1"/>
        <v>4.0001999999999995</v>
      </c>
      <c r="B33" s="5" t="s">
        <v>54</v>
      </c>
      <c r="C33" s="8"/>
      <c r="D33" s="6"/>
      <c r="E33" s="6"/>
      <c r="F33" s="7" t="s">
        <v>5</v>
      </c>
      <c r="G33" s="7">
        <f t="shared" si="4"/>
        <v>1</v>
      </c>
      <c r="H33" s="7">
        <f t="shared" si="4"/>
        <v>0</v>
      </c>
      <c r="I33" s="7">
        <f t="shared" si="4"/>
        <v>0</v>
      </c>
      <c r="J33" s="7">
        <f t="shared" si="4"/>
        <v>0</v>
      </c>
      <c r="K33" s="7">
        <f t="shared" si="4"/>
        <v>0</v>
      </c>
      <c r="L33" s="6"/>
    </row>
    <row r="34" spans="1:12" ht="25.5" x14ac:dyDescent="0.25">
      <c r="A34" s="4">
        <f t="shared" si="1"/>
        <v>4.0002999999999993</v>
      </c>
      <c r="B34" s="5" t="s">
        <v>74</v>
      </c>
      <c r="C34" s="8" t="s">
        <v>56</v>
      </c>
      <c r="D34" s="6"/>
      <c r="E34" s="6"/>
      <c r="F34" s="7" t="s">
        <v>5</v>
      </c>
      <c r="G34" s="7">
        <f t="shared" si="4"/>
        <v>1</v>
      </c>
      <c r="H34" s="7">
        <f t="shared" si="4"/>
        <v>0</v>
      </c>
      <c r="I34" s="7">
        <f t="shared" si="4"/>
        <v>0</v>
      </c>
      <c r="J34" s="7">
        <f t="shared" si="4"/>
        <v>0</v>
      </c>
      <c r="K34" s="7">
        <f t="shared" si="4"/>
        <v>0</v>
      </c>
      <c r="L34" s="6"/>
    </row>
    <row r="35" spans="1:12" ht="25.5" x14ac:dyDescent="0.25">
      <c r="A35" s="4">
        <f t="shared" si="1"/>
        <v>4.0003999999999991</v>
      </c>
      <c r="B35" s="6" t="s">
        <v>121</v>
      </c>
      <c r="C35" s="5" t="s">
        <v>75</v>
      </c>
      <c r="D35" s="6"/>
      <c r="E35" s="6"/>
      <c r="F35" s="7" t="s">
        <v>5</v>
      </c>
      <c r="G35" s="7">
        <f t="shared" si="4"/>
        <v>1</v>
      </c>
      <c r="H35" s="7">
        <f t="shared" si="4"/>
        <v>0</v>
      </c>
      <c r="I35" s="7">
        <f t="shared" si="4"/>
        <v>0</v>
      </c>
      <c r="J35" s="7">
        <f t="shared" si="4"/>
        <v>0</v>
      </c>
      <c r="K35" s="7">
        <f t="shared" si="4"/>
        <v>0</v>
      </c>
      <c r="L35" s="6"/>
    </row>
    <row r="36" spans="1:12" ht="25.5" x14ac:dyDescent="0.25">
      <c r="A36" s="4">
        <f t="shared" si="1"/>
        <v>4.0004999999999988</v>
      </c>
      <c r="B36" s="5" t="s">
        <v>71</v>
      </c>
      <c r="C36" s="8" t="s">
        <v>76</v>
      </c>
      <c r="D36" s="6"/>
      <c r="E36" s="6"/>
      <c r="F36" s="7" t="s">
        <v>5</v>
      </c>
      <c r="G36" s="7">
        <f t="shared" si="4"/>
        <v>1</v>
      </c>
      <c r="H36" s="7">
        <f t="shared" si="4"/>
        <v>0</v>
      </c>
      <c r="I36" s="7">
        <f t="shared" si="4"/>
        <v>0</v>
      </c>
      <c r="J36" s="7">
        <f t="shared" si="4"/>
        <v>0</v>
      </c>
      <c r="K36" s="7">
        <f t="shared" si="4"/>
        <v>0</v>
      </c>
      <c r="L36" s="6"/>
    </row>
    <row r="37" spans="1:12" ht="25.5" x14ac:dyDescent="0.25">
      <c r="A37" s="4">
        <f t="shared" si="1"/>
        <v>4.0005999999999986</v>
      </c>
      <c r="B37" s="5" t="s">
        <v>21</v>
      </c>
      <c r="C37" s="8" t="s">
        <v>77</v>
      </c>
      <c r="D37" s="6"/>
      <c r="E37" s="6"/>
      <c r="F37" s="7" t="s">
        <v>5</v>
      </c>
      <c r="G37" s="7">
        <f t="shared" si="4"/>
        <v>1</v>
      </c>
      <c r="H37" s="7">
        <f t="shared" si="4"/>
        <v>0</v>
      </c>
      <c r="I37" s="7">
        <f t="shared" si="4"/>
        <v>0</v>
      </c>
      <c r="J37" s="7">
        <f t="shared" si="4"/>
        <v>0</v>
      </c>
      <c r="K37" s="7">
        <f t="shared" si="4"/>
        <v>0</v>
      </c>
      <c r="L37" s="6"/>
    </row>
    <row r="38" spans="1:12" x14ac:dyDescent="0.25">
      <c r="A38" s="15"/>
      <c r="B38" s="16"/>
      <c r="C38" s="17"/>
      <c r="D38" s="16"/>
      <c r="E38" s="16"/>
      <c r="F38" s="18"/>
      <c r="G38" s="18"/>
      <c r="H38" s="18"/>
      <c r="I38" s="18"/>
      <c r="J38" s="18"/>
      <c r="K38" s="18"/>
      <c r="L38" s="16"/>
    </row>
    <row r="39" spans="1:12" ht="15.75" thickBot="1" x14ac:dyDescent="0.3">
      <c r="G39" s="20">
        <f>SUM(G3:G38)</f>
        <v>30</v>
      </c>
      <c r="H39" s="20">
        <f>SUM(H3:H38)</f>
        <v>0</v>
      </c>
      <c r="I39" s="20">
        <f>SUM(I3:I38)</f>
        <v>0</v>
      </c>
      <c r="J39" s="20">
        <f>SUM(J3:J38)</f>
        <v>0</v>
      </c>
      <c r="K39" s="20">
        <f>SUM(K3:K38)</f>
        <v>0</v>
      </c>
    </row>
    <row r="40" spans="1:12" ht="15.75" thickTop="1" x14ac:dyDescent="0.25"/>
  </sheetData>
  <conditionalFormatting sqref="A15:F15 D16:E17 K15 G4:J9 G16:K22">
    <cfRule type="expression" dxfId="97" priority="62">
      <formula>$F4="Fail"</formula>
    </cfRule>
  </conditionalFormatting>
  <conditionalFormatting sqref="D32:F37">
    <cfRule type="expression" dxfId="96" priority="61">
      <formula>$F32="Fail"</formula>
    </cfRule>
  </conditionalFormatting>
  <conditionalFormatting sqref="D24:F24">
    <cfRule type="expression" dxfId="95" priority="60">
      <formula>$F24="Fail"</formula>
    </cfRule>
  </conditionalFormatting>
  <conditionalFormatting sqref="D19:F19">
    <cfRule type="expression" dxfId="94" priority="58">
      <formula>$F19="Fail"</formula>
    </cfRule>
  </conditionalFormatting>
  <conditionalFormatting sqref="D18:F18">
    <cfRule type="expression" dxfId="93" priority="57">
      <formula>$F18="Fail"</formula>
    </cfRule>
  </conditionalFormatting>
  <conditionalFormatting sqref="B28:C28 C24:C25">
    <cfRule type="expression" dxfId="92" priority="41">
      <formula>$F24="Fail"</formula>
    </cfRule>
  </conditionalFormatting>
  <conditionalFormatting sqref="F16">
    <cfRule type="expression" dxfId="91" priority="56">
      <formula>$F16="Fail"</formula>
    </cfRule>
  </conditionalFormatting>
  <conditionalFormatting sqref="F17">
    <cfRule type="expression" dxfId="90" priority="55">
      <formula>$F17="Fail"</formula>
    </cfRule>
  </conditionalFormatting>
  <conditionalFormatting sqref="L15:L17">
    <cfRule type="expression" dxfId="89" priority="53">
      <formula>$F15="Fail"</formula>
    </cfRule>
  </conditionalFormatting>
  <conditionalFormatting sqref="L32:L37">
    <cfRule type="expression" dxfId="88" priority="52">
      <formula>$F32="Fail"</formula>
    </cfRule>
  </conditionalFormatting>
  <conditionalFormatting sqref="L24">
    <cfRule type="expression" dxfId="87" priority="51">
      <formula>$F24="Fail"</formula>
    </cfRule>
  </conditionalFormatting>
  <conditionalFormatting sqref="L19">
    <cfRule type="expression" dxfId="86" priority="49">
      <formula>$F19="Fail"</formula>
    </cfRule>
  </conditionalFormatting>
  <conditionalFormatting sqref="L18">
    <cfRule type="expression" dxfId="85" priority="48">
      <formula>$F18="Fail"</formula>
    </cfRule>
  </conditionalFormatting>
  <conditionalFormatting sqref="B18:B20 C16:C17">
    <cfRule type="expression" dxfId="84" priority="46">
      <formula>$F16="Fail"</formula>
    </cfRule>
  </conditionalFormatting>
  <conditionalFormatting sqref="A23:K23">
    <cfRule type="expression" dxfId="83" priority="44">
      <formula>$F23="Fail"</formula>
    </cfRule>
  </conditionalFormatting>
  <conditionalFormatting sqref="L23">
    <cfRule type="expression" dxfId="82" priority="43">
      <formula>$F23="Fail"</formula>
    </cfRule>
  </conditionalFormatting>
  <conditionalFormatting sqref="A31:F31 K31">
    <cfRule type="expression" dxfId="81" priority="40">
      <formula>$F31="Fail"</formula>
    </cfRule>
  </conditionalFormatting>
  <conditionalFormatting sqref="L31">
    <cfRule type="expression" dxfId="80" priority="39">
      <formula>$F31="Fail"</formula>
    </cfRule>
  </conditionalFormatting>
  <conditionalFormatting sqref="B35:C36 C32:C33 B34">
    <cfRule type="expression" dxfId="79" priority="37">
      <formula>$F32="Fail"</formula>
    </cfRule>
  </conditionalFormatting>
  <conditionalFormatting sqref="B21">
    <cfRule type="expression" dxfId="78" priority="31">
      <formula>$F21="Fail"</formula>
    </cfRule>
  </conditionalFormatting>
  <conditionalFormatting sqref="B22">
    <cfRule type="expression" dxfId="77" priority="29">
      <formula>$F22="Fail"</formula>
    </cfRule>
  </conditionalFormatting>
  <conditionalFormatting sqref="A38:K38">
    <cfRule type="expression" dxfId="76" priority="25">
      <formula>$F38="Fail"</formula>
    </cfRule>
  </conditionalFormatting>
  <conditionalFormatting sqref="L38">
    <cfRule type="expression" dxfId="75" priority="24">
      <formula>$F38="Fail"</formula>
    </cfRule>
  </conditionalFormatting>
  <conditionalFormatting sqref="B8:C9">
    <cfRule type="expression" dxfId="74" priority="388">
      <formula>$F7="Fail"</formula>
    </cfRule>
  </conditionalFormatting>
  <conditionalFormatting sqref="B11:C11 B12">
    <cfRule type="expression" dxfId="73" priority="390">
      <formula>$F8="Fail"</formula>
    </cfRule>
  </conditionalFormatting>
  <conditionalFormatting sqref="B10:C10 B7:C7">
    <cfRule type="expression" dxfId="72" priority="392">
      <formula>$F5="Fail"</formula>
    </cfRule>
  </conditionalFormatting>
  <conditionalFormatting sqref="C29 C37">
    <cfRule type="expression" dxfId="71" priority="396">
      <formula>#REF!="Fail"</formula>
    </cfRule>
  </conditionalFormatting>
  <conditionalFormatting sqref="B16:B17">
    <cfRule type="expression" dxfId="70" priority="20">
      <formula>$F16="Fail"</formula>
    </cfRule>
  </conditionalFormatting>
  <conditionalFormatting sqref="C18">
    <cfRule type="expression" dxfId="69" priority="19">
      <formula>$F18="Fail"</formula>
    </cfRule>
  </conditionalFormatting>
  <conditionalFormatting sqref="C20">
    <cfRule type="expression" dxfId="68" priority="16">
      <formula>#REF!="Fail"</formula>
    </cfRule>
  </conditionalFormatting>
  <conditionalFormatting sqref="C21">
    <cfRule type="expression" dxfId="67" priority="17">
      <formula>#REF!="Fail"</formula>
    </cfRule>
  </conditionalFormatting>
  <conditionalFormatting sqref="B24:B25">
    <cfRule type="expression" dxfId="66" priority="15">
      <formula>$F24="Fail"</formula>
    </cfRule>
  </conditionalFormatting>
  <conditionalFormatting sqref="C26">
    <cfRule type="expression" dxfId="65" priority="14">
      <formula>$F26="Fail"</formula>
    </cfRule>
  </conditionalFormatting>
  <conditionalFormatting sqref="B32:B33">
    <cfRule type="expression" dxfId="64" priority="13">
      <formula>$F32="Fail"</formula>
    </cfRule>
  </conditionalFormatting>
  <conditionalFormatting sqref="C34">
    <cfRule type="expression" dxfId="63" priority="12">
      <formula>$F34="Fail"</formula>
    </cfRule>
  </conditionalFormatting>
  <conditionalFormatting sqref="G31:J31">
    <cfRule type="expression" dxfId="62" priority="8">
      <formula>$F31="Fail"</formula>
    </cfRule>
  </conditionalFormatting>
  <conditionalFormatting sqref="G32:K37">
    <cfRule type="expression" dxfId="61" priority="5">
      <formula>$F32="Fail"</formula>
    </cfRule>
  </conditionalFormatting>
  <conditionalFormatting sqref="A4:C6">
    <cfRule type="expression" dxfId="60" priority="4">
      <formula>$F4="Fail"</formula>
    </cfRule>
  </conditionalFormatting>
  <conditionalFormatting sqref="A4:K37">
    <cfRule type="expression" dxfId="59" priority="1">
      <formula>$F4="Fail"</formula>
    </cfRule>
  </conditionalFormatting>
  <dataValidations count="1">
    <dataValidation type="list" allowBlank="1" showInputMessage="1" showErrorMessage="1" sqref="F3:F38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180975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0"/>
  <sheetViews>
    <sheetView tabSelected="1" zoomScaleNormal="100" workbookViewId="0">
      <pane ySplit="1" topLeftCell="A77" activePane="bottomLeft" state="frozen"/>
      <selection pane="bottomLeft" activeCell="D1" sqref="D1:D1048576"/>
    </sheetView>
  </sheetViews>
  <sheetFormatPr defaultRowHeight="15" x14ac:dyDescent="0.25"/>
  <cols>
    <col min="1" max="1" width="8.7109375" style="3" customWidth="1"/>
    <col min="2" max="2" width="38.140625" style="1" customWidth="1"/>
    <col min="3" max="3" width="42.85546875" style="1" customWidth="1"/>
    <col min="4" max="4" width="39" style="39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34" t="s">
        <v>192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19" customFormat="1" x14ac:dyDescent="0.25">
      <c r="A2" s="15">
        <v>1</v>
      </c>
      <c r="B2" s="16" t="s">
        <v>78</v>
      </c>
      <c r="C2" s="17"/>
      <c r="D2" s="35"/>
      <c r="E2" s="16"/>
      <c r="F2" s="18"/>
      <c r="G2" s="22"/>
      <c r="H2" s="22"/>
      <c r="I2" s="22"/>
      <c r="J2" s="22"/>
      <c r="K2" s="18"/>
      <c r="L2" s="16"/>
    </row>
    <row r="3" spans="1:12" x14ac:dyDescent="0.25">
      <c r="A3" s="4">
        <f>A2+0.0001</f>
        <v>1.0001</v>
      </c>
      <c r="B3" s="5" t="s">
        <v>13</v>
      </c>
      <c r="C3" s="8"/>
      <c r="D3" s="36"/>
      <c r="E3" s="5"/>
      <c r="F3" s="7" t="s">
        <v>5</v>
      </c>
      <c r="G3" s="7">
        <f t="shared" ref="G3:K37" si="0">IF($F3=G$1,1,0)</f>
        <v>1</v>
      </c>
      <c r="H3" s="7">
        <f t="shared" si="0"/>
        <v>0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6"/>
    </row>
    <row r="4" spans="1:12" x14ac:dyDescent="0.25">
      <c r="A4" s="4">
        <f>A3+0.0001</f>
        <v>1.0002</v>
      </c>
      <c r="B4" s="5" t="s">
        <v>79</v>
      </c>
      <c r="C4" s="8" t="s">
        <v>80</v>
      </c>
      <c r="D4" s="36"/>
      <c r="E4" s="5"/>
      <c r="F4" s="7" t="s">
        <v>5</v>
      </c>
      <c r="G4" s="7">
        <f t="shared" si="0"/>
        <v>1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>
        <f t="shared" si="0"/>
        <v>0</v>
      </c>
      <c r="L4" s="6"/>
    </row>
    <row r="5" spans="1:12" x14ac:dyDescent="0.25">
      <c r="A5" s="4">
        <f t="shared" ref="A5:A68" si="1">A4+0.0001</f>
        <v>1.0003</v>
      </c>
      <c r="B5" s="5"/>
      <c r="C5" s="8" t="s">
        <v>81</v>
      </c>
      <c r="D5" s="36"/>
      <c r="E5" s="5"/>
      <c r="F5" s="7" t="s">
        <v>5</v>
      </c>
      <c r="G5" s="7">
        <f t="shared" si="0"/>
        <v>1</v>
      </c>
      <c r="H5" s="7">
        <f t="shared" si="0"/>
        <v>0</v>
      </c>
      <c r="I5" s="7">
        <f t="shared" si="0"/>
        <v>0</v>
      </c>
      <c r="J5" s="7">
        <f t="shared" si="0"/>
        <v>0</v>
      </c>
      <c r="K5" s="7">
        <f t="shared" si="0"/>
        <v>0</v>
      </c>
      <c r="L5" s="6"/>
    </row>
    <row r="6" spans="1:12" ht="39.950000000000003" customHeight="1" x14ac:dyDescent="0.25">
      <c r="A6" s="4">
        <f t="shared" si="1"/>
        <v>1.0004</v>
      </c>
      <c r="B6" s="5" t="s">
        <v>82</v>
      </c>
      <c r="C6" s="8" t="s">
        <v>83</v>
      </c>
      <c r="D6" s="36"/>
      <c r="E6" s="5"/>
      <c r="F6" s="7" t="s">
        <v>5</v>
      </c>
      <c r="G6" s="7">
        <f t="shared" si="0"/>
        <v>1</v>
      </c>
      <c r="H6" s="7">
        <f t="shared" si="0"/>
        <v>0</v>
      </c>
      <c r="I6" s="7">
        <f t="shared" si="0"/>
        <v>0</v>
      </c>
      <c r="J6" s="7">
        <f t="shared" si="0"/>
        <v>0</v>
      </c>
      <c r="K6" s="7">
        <f t="shared" si="0"/>
        <v>0</v>
      </c>
      <c r="L6" s="6"/>
    </row>
    <row r="7" spans="1:12" ht="25.5" x14ac:dyDescent="0.25">
      <c r="A7" s="4">
        <f t="shared" si="1"/>
        <v>1.0004999999999999</v>
      </c>
      <c r="B7" s="6" t="s">
        <v>84</v>
      </c>
      <c r="C7" s="5" t="s">
        <v>85</v>
      </c>
      <c r="D7" s="36"/>
      <c r="E7" s="6"/>
      <c r="F7" s="7" t="s">
        <v>5</v>
      </c>
      <c r="G7" s="7">
        <f t="shared" si="0"/>
        <v>1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>
        <f t="shared" si="0"/>
        <v>0</v>
      </c>
      <c r="L7" s="6"/>
    </row>
    <row r="8" spans="1:12" ht="25.5" x14ac:dyDescent="0.25">
      <c r="A8" s="4">
        <f t="shared" si="1"/>
        <v>1.0005999999999999</v>
      </c>
      <c r="B8" s="6" t="s">
        <v>179</v>
      </c>
      <c r="C8" s="5" t="s">
        <v>134</v>
      </c>
      <c r="D8" s="36"/>
      <c r="E8" s="6"/>
      <c r="F8" s="7" t="s">
        <v>5</v>
      </c>
      <c r="G8" s="7">
        <f t="shared" si="0"/>
        <v>1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>
        <f t="shared" si="0"/>
        <v>0</v>
      </c>
      <c r="L8" s="6"/>
    </row>
    <row r="9" spans="1:12" x14ac:dyDescent="0.25">
      <c r="A9" s="4">
        <f t="shared" si="1"/>
        <v>1.0006999999999999</v>
      </c>
      <c r="B9" s="6"/>
      <c r="C9" s="5" t="s">
        <v>127</v>
      </c>
      <c r="D9" s="36"/>
      <c r="E9" s="6"/>
      <c r="F9" s="7" t="s">
        <v>5</v>
      </c>
      <c r="G9" s="7">
        <f t="shared" si="0"/>
        <v>1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>
        <f t="shared" si="0"/>
        <v>0</v>
      </c>
      <c r="L9" s="6"/>
    </row>
    <row r="10" spans="1:12" x14ac:dyDescent="0.25">
      <c r="A10" s="4">
        <f t="shared" si="1"/>
        <v>1.0007999999999999</v>
      </c>
      <c r="B10" s="6"/>
      <c r="C10" s="5" t="s">
        <v>128</v>
      </c>
      <c r="D10" s="36"/>
      <c r="E10" s="6"/>
      <c r="F10" s="7" t="s">
        <v>5</v>
      </c>
      <c r="G10" s="7">
        <f t="shared" si="0"/>
        <v>1</v>
      </c>
      <c r="H10" s="7">
        <f t="shared" si="0"/>
        <v>0</v>
      </c>
      <c r="I10" s="7">
        <f t="shared" si="0"/>
        <v>0</v>
      </c>
      <c r="J10" s="7">
        <f t="shared" si="0"/>
        <v>0</v>
      </c>
      <c r="K10" s="7">
        <f t="shared" si="0"/>
        <v>0</v>
      </c>
      <c r="L10" s="6"/>
    </row>
    <row r="11" spans="1:12" x14ac:dyDescent="0.25">
      <c r="A11" s="4">
        <f t="shared" si="1"/>
        <v>1.0008999999999999</v>
      </c>
      <c r="B11" s="6"/>
      <c r="C11" s="5" t="s">
        <v>129</v>
      </c>
      <c r="D11" s="36"/>
      <c r="E11" s="6"/>
      <c r="F11" s="7" t="s">
        <v>5</v>
      </c>
      <c r="G11" s="7">
        <f t="shared" si="0"/>
        <v>1</v>
      </c>
      <c r="H11" s="7">
        <f t="shared" si="0"/>
        <v>0</v>
      </c>
      <c r="I11" s="7">
        <f t="shared" si="0"/>
        <v>0</v>
      </c>
      <c r="J11" s="7">
        <f t="shared" si="0"/>
        <v>0</v>
      </c>
      <c r="K11" s="7">
        <f t="shared" si="0"/>
        <v>0</v>
      </c>
      <c r="L11" s="6"/>
    </row>
    <row r="12" spans="1:12" x14ac:dyDescent="0.25">
      <c r="A12" s="4">
        <f t="shared" si="1"/>
        <v>1.0009999999999999</v>
      </c>
      <c r="B12" s="6"/>
      <c r="C12" s="5" t="s">
        <v>130</v>
      </c>
      <c r="D12" s="36"/>
      <c r="E12" s="6"/>
      <c r="F12" s="7" t="s">
        <v>5</v>
      </c>
      <c r="G12" s="7">
        <f t="shared" si="0"/>
        <v>1</v>
      </c>
      <c r="H12" s="7">
        <f t="shared" si="0"/>
        <v>0</v>
      </c>
      <c r="I12" s="7">
        <f t="shared" si="0"/>
        <v>0</v>
      </c>
      <c r="J12" s="7">
        <f t="shared" si="0"/>
        <v>0</v>
      </c>
      <c r="K12" s="7">
        <f t="shared" si="0"/>
        <v>0</v>
      </c>
      <c r="L12" s="6"/>
    </row>
    <row r="13" spans="1:12" x14ac:dyDescent="0.25">
      <c r="A13" s="4">
        <f t="shared" si="1"/>
        <v>1.0010999999999999</v>
      </c>
      <c r="B13" s="6"/>
      <c r="C13" s="5" t="s">
        <v>131</v>
      </c>
      <c r="D13" s="36"/>
      <c r="E13" s="6"/>
      <c r="F13" s="7" t="s">
        <v>5</v>
      </c>
      <c r="G13" s="7">
        <f t="shared" si="0"/>
        <v>1</v>
      </c>
      <c r="H13" s="7">
        <f t="shared" si="0"/>
        <v>0</v>
      </c>
      <c r="I13" s="7">
        <f t="shared" si="0"/>
        <v>0</v>
      </c>
      <c r="J13" s="7">
        <f t="shared" si="0"/>
        <v>0</v>
      </c>
      <c r="K13" s="7">
        <f t="shared" si="0"/>
        <v>0</v>
      </c>
      <c r="L13" s="6"/>
    </row>
    <row r="14" spans="1:12" x14ac:dyDescent="0.25">
      <c r="A14" s="4">
        <f t="shared" si="1"/>
        <v>1.0011999999999999</v>
      </c>
      <c r="B14" s="6"/>
      <c r="C14" s="5" t="s">
        <v>132</v>
      </c>
      <c r="D14" s="36"/>
      <c r="E14" s="6"/>
      <c r="F14" s="7" t="s">
        <v>5</v>
      </c>
      <c r="G14" s="7">
        <f t="shared" si="0"/>
        <v>1</v>
      </c>
      <c r="H14" s="7">
        <f t="shared" si="0"/>
        <v>0</v>
      </c>
      <c r="I14" s="7">
        <f t="shared" si="0"/>
        <v>0</v>
      </c>
      <c r="J14" s="7">
        <f t="shared" si="0"/>
        <v>0</v>
      </c>
      <c r="K14" s="7">
        <f t="shared" si="0"/>
        <v>0</v>
      </c>
      <c r="L14" s="6"/>
    </row>
    <row r="15" spans="1:12" x14ac:dyDescent="0.25">
      <c r="A15" s="4">
        <f t="shared" si="1"/>
        <v>1.0012999999999999</v>
      </c>
      <c r="B15" s="6"/>
      <c r="C15" s="5" t="s">
        <v>133</v>
      </c>
      <c r="D15" s="36"/>
      <c r="E15" s="6"/>
      <c r="F15" s="7" t="s">
        <v>5</v>
      </c>
      <c r="G15" s="7">
        <f t="shared" si="0"/>
        <v>1</v>
      </c>
      <c r="H15" s="7">
        <f t="shared" si="0"/>
        <v>0</v>
      </c>
      <c r="I15" s="7">
        <f t="shared" si="0"/>
        <v>0</v>
      </c>
      <c r="J15" s="7">
        <f t="shared" si="0"/>
        <v>0</v>
      </c>
      <c r="K15" s="7">
        <f t="shared" si="0"/>
        <v>0</v>
      </c>
      <c r="L15" s="6"/>
    </row>
    <row r="16" spans="1:12" x14ac:dyDescent="0.25">
      <c r="A16" s="4">
        <f t="shared" si="1"/>
        <v>1.0013999999999998</v>
      </c>
      <c r="B16" s="6" t="s">
        <v>124</v>
      </c>
      <c r="C16" s="5" t="s">
        <v>125</v>
      </c>
      <c r="D16" s="36"/>
      <c r="E16" s="6"/>
      <c r="F16" s="7" t="s">
        <v>5</v>
      </c>
      <c r="G16" s="7">
        <f t="shared" si="0"/>
        <v>1</v>
      </c>
      <c r="H16" s="7">
        <f t="shared" si="0"/>
        <v>0</v>
      </c>
      <c r="I16" s="7">
        <f t="shared" si="0"/>
        <v>0</v>
      </c>
      <c r="J16" s="7">
        <f t="shared" si="0"/>
        <v>0</v>
      </c>
      <c r="K16" s="7">
        <f t="shared" si="0"/>
        <v>0</v>
      </c>
      <c r="L16" s="6"/>
    </row>
    <row r="17" spans="1:12" x14ac:dyDescent="0.25">
      <c r="A17" s="4">
        <f t="shared" si="1"/>
        <v>1.0014999999999998</v>
      </c>
      <c r="B17" s="5" t="s">
        <v>86</v>
      </c>
      <c r="C17" s="7" t="s">
        <v>180</v>
      </c>
      <c r="D17" s="36"/>
      <c r="E17" s="6"/>
      <c r="F17" s="7" t="s">
        <v>5</v>
      </c>
      <c r="G17" s="7">
        <f t="shared" si="0"/>
        <v>1</v>
      </c>
      <c r="H17" s="7">
        <f t="shared" si="0"/>
        <v>0</v>
      </c>
      <c r="I17" s="7">
        <f t="shared" si="0"/>
        <v>0</v>
      </c>
      <c r="J17" s="7">
        <f t="shared" si="0"/>
        <v>0</v>
      </c>
      <c r="K17" s="7">
        <f t="shared" si="0"/>
        <v>0</v>
      </c>
      <c r="L17" s="6"/>
    </row>
    <row r="18" spans="1:12" ht="25.5" x14ac:dyDescent="0.25">
      <c r="A18" s="4">
        <f t="shared" si="1"/>
        <v>1.0015999999999998</v>
      </c>
      <c r="B18" s="6"/>
      <c r="C18" s="5" t="s">
        <v>181</v>
      </c>
      <c r="D18" s="36" t="s">
        <v>190</v>
      </c>
      <c r="E18" s="6"/>
      <c r="F18" s="7" t="s">
        <v>5</v>
      </c>
      <c r="G18" s="7">
        <f t="shared" si="0"/>
        <v>1</v>
      </c>
      <c r="H18" s="7">
        <f t="shared" si="0"/>
        <v>0</v>
      </c>
      <c r="I18" s="7">
        <f t="shared" si="0"/>
        <v>0</v>
      </c>
      <c r="J18" s="7">
        <f t="shared" si="0"/>
        <v>0</v>
      </c>
      <c r="K18" s="7">
        <f t="shared" si="0"/>
        <v>0</v>
      </c>
      <c r="L18" s="6"/>
    </row>
    <row r="19" spans="1:12" x14ac:dyDescent="0.25">
      <c r="A19" s="4">
        <f t="shared" si="1"/>
        <v>1.0016999999999998</v>
      </c>
      <c r="B19" s="5" t="s">
        <v>182</v>
      </c>
      <c r="C19" s="5" t="s">
        <v>91</v>
      </c>
      <c r="D19" s="36"/>
      <c r="E19" s="6" t="s">
        <v>122</v>
      </c>
      <c r="F19" s="7" t="s">
        <v>5</v>
      </c>
      <c r="G19" s="7">
        <f t="shared" si="0"/>
        <v>1</v>
      </c>
      <c r="H19" s="7">
        <f t="shared" si="0"/>
        <v>0</v>
      </c>
      <c r="I19" s="7">
        <f t="shared" si="0"/>
        <v>0</v>
      </c>
      <c r="J19" s="7">
        <f t="shared" si="0"/>
        <v>0</v>
      </c>
      <c r="K19" s="7">
        <f t="shared" si="0"/>
        <v>0</v>
      </c>
      <c r="L19" s="6"/>
    </row>
    <row r="20" spans="1:12" x14ac:dyDescent="0.25">
      <c r="A20" s="4">
        <f t="shared" si="1"/>
        <v>1.0017999999999998</v>
      </c>
      <c r="B20" s="6" t="s">
        <v>65</v>
      </c>
      <c r="C20" s="7" t="s">
        <v>88</v>
      </c>
      <c r="D20" s="36"/>
      <c r="E20" s="6" t="s">
        <v>122</v>
      </c>
      <c r="F20" s="7" t="s">
        <v>5</v>
      </c>
      <c r="G20" s="7">
        <f t="shared" si="0"/>
        <v>1</v>
      </c>
      <c r="H20" s="7">
        <f t="shared" si="0"/>
        <v>0</v>
      </c>
      <c r="I20" s="7">
        <f t="shared" si="0"/>
        <v>0</v>
      </c>
      <c r="J20" s="7">
        <f t="shared" si="0"/>
        <v>0</v>
      </c>
      <c r="K20" s="7">
        <f t="shared" si="0"/>
        <v>0</v>
      </c>
      <c r="L20" s="6"/>
    </row>
    <row r="21" spans="1:12" ht="30" x14ac:dyDescent="0.25">
      <c r="A21" s="4">
        <f t="shared" si="1"/>
        <v>1.0018999999999998</v>
      </c>
      <c r="B21" s="6" t="s">
        <v>90</v>
      </c>
      <c r="C21" s="7" t="s">
        <v>92</v>
      </c>
      <c r="D21" s="36" t="s">
        <v>123</v>
      </c>
      <c r="E21" s="6" t="s">
        <v>122</v>
      </c>
      <c r="F21" s="7" t="s">
        <v>5</v>
      </c>
      <c r="G21" s="7">
        <f t="shared" si="0"/>
        <v>1</v>
      </c>
      <c r="H21" s="7">
        <f t="shared" si="0"/>
        <v>0</v>
      </c>
      <c r="I21" s="7">
        <f t="shared" si="0"/>
        <v>0</v>
      </c>
      <c r="J21" s="7">
        <f t="shared" si="0"/>
        <v>0</v>
      </c>
      <c r="K21" s="7">
        <f t="shared" si="0"/>
        <v>0</v>
      </c>
      <c r="L21" s="6"/>
    </row>
    <row r="22" spans="1:12" x14ac:dyDescent="0.25">
      <c r="A22" s="4">
        <f t="shared" si="1"/>
        <v>1.0019999999999998</v>
      </c>
      <c r="B22" s="6" t="s">
        <v>124</v>
      </c>
      <c r="C22" s="7" t="s">
        <v>125</v>
      </c>
      <c r="D22" s="36"/>
      <c r="E22" s="6" t="s">
        <v>122</v>
      </c>
      <c r="F22" s="7" t="s">
        <v>5</v>
      </c>
      <c r="G22" s="7">
        <f t="shared" si="0"/>
        <v>1</v>
      </c>
      <c r="H22" s="7">
        <f t="shared" si="0"/>
        <v>0</v>
      </c>
      <c r="I22" s="7">
        <f t="shared" si="0"/>
        <v>0</v>
      </c>
      <c r="J22" s="7">
        <f t="shared" si="0"/>
        <v>0</v>
      </c>
      <c r="K22" s="7">
        <f t="shared" si="0"/>
        <v>0</v>
      </c>
      <c r="L22" s="6"/>
    </row>
    <row r="23" spans="1:12" ht="25.5" x14ac:dyDescent="0.25">
      <c r="A23" s="4">
        <f t="shared" si="1"/>
        <v>1.0020999999999998</v>
      </c>
      <c r="B23" s="6" t="s">
        <v>187</v>
      </c>
      <c r="C23" s="5" t="s">
        <v>126</v>
      </c>
      <c r="D23" s="36"/>
      <c r="E23" s="6" t="s">
        <v>122</v>
      </c>
      <c r="F23" s="7" t="s">
        <v>5</v>
      </c>
      <c r="G23" s="7">
        <f t="shared" si="0"/>
        <v>1</v>
      </c>
      <c r="H23" s="7">
        <f t="shared" si="0"/>
        <v>0</v>
      </c>
      <c r="I23" s="7">
        <f t="shared" si="0"/>
        <v>0</v>
      </c>
      <c r="J23" s="7">
        <f t="shared" si="0"/>
        <v>0</v>
      </c>
      <c r="K23" s="7">
        <f t="shared" si="0"/>
        <v>0</v>
      </c>
      <c r="L23" s="6"/>
    </row>
    <row r="24" spans="1:12" x14ac:dyDescent="0.25">
      <c r="A24" s="4">
        <f t="shared" si="1"/>
        <v>1.0021999999999998</v>
      </c>
      <c r="B24" s="6" t="s">
        <v>135</v>
      </c>
      <c r="C24" s="5" t="s">
        <v>134</v>
      </c>
      <c r="D24" s="36"/>
      <c r="E24" s="6" t="s">
        <v>122</v>
      </c>
      <c r="F24" s="7" t="s">
        <v>5</v>
      </c>
      <c r="G24" s="7">
        <f t="shared" si="0"/>
        <v>1</v>
      </c>
      <c r="H24" s="7">
        <f t="shared" si="0"/>
        <v>0</v>
      </c>
      <c r="I24" s="7">
        <f t="shared" si="0"/>
        <v>0</v>
      </c>
      <c r="J24" s="7">
        <f t="shared" si="0"/>
        <v>0</v>
      </c>
      <c r="K24" s="7">
        <f t="shared" si="0"/>
        <v>0</v>
      </c>
      <c r="L24" s="6"/>
    </row>
    <row r="25" spans="1:12" x14ac:dyDescent="0.25">
      <c r="A25" s="4">
        <f t="shared" si="1"/>
        <v>1.0022999999999997</v>
      </c>
      <c r="B25" s="6"/>
      <c r="C25" s="5" t="s">
        <v>127</v>
      </c>
      <c r="D25" s="36"/>
      <c r="E25" s="6" t="s">
        <v>122</v>
      </c>
      <c r="F25" s="7" t="s">
        <v>5</v>
      </c>
      <c r="G25" s="7">
        <f t="shared" si="0"/>
        <v>1</v>
      </c>
      <c r="H25" s="7">
        <f t="shared" si="0"/>
        <v>0</v>
      </c>
      <c r="I25" s="7">
        <f t="shared" si="0"/>
        <v>0</v>
      </c>
      <c r="J25" s="7">
        <f t="shared" si="0"/>
        <v>0</v>
      </c>
      <c r="K25" s="7">
        <f t="shared" si="0"/>
        <v>0</v>
      </c>
      <c r="L25" s="6"/>
    </row>
    <row r="26" spans="1:12" x14ac:dyDescent="0.25">
      <c r="A26" s="4">
        <f t="shared" si="1"/>
        <v>1.0023999999999997</v>
      </c>
      <c r="B26" s="6"/>
      <c r="C26" s="5" t="s">
        <v>128</v>
      </c>
      <c r="D26" s="36"/>
      <c r="E26" s="6" t="s">
        <v>122</v>
      </c>
      <c r="F26" s="7" t="s">
        <v>5</v>
      </c>
      <c r="G26" s="7">
        <f t="shared" si="0"/>
        <v>1</v>
      </c>
      <c r="H26" s="7">
        <f t="shared" si="0"/>
        <v>0</v>
      </c>
      <c r="I26" s="7">
        <f t="shared" si="0"/>
        <v>0</v>
      </c>
      <c r="J26" s="7">
        <f t="shared" si="0"/>
        <v>0</v>
      </c>
      <c r="K26" s="7">
        <f t="shared" si="0"/>
        <v>0</v>
      </c>
      <c r="L26" s="6"/>
    </row>
    <row r="27" spans="1:12" x14ac:dyDescent="0.25">
      <c r="A27" s="4">
        <f t="shared" si="1"/>
        <v>1.0024999999999997</v>
      </c>
      <c r="B27" s="6"/>
      <c r="C27" s="5" t="s">
        <v>129</v>
      </c>
      <c r="D27" s="36"/>
      <c r="E27" s="6" t="s">
        <v>122</v>
      </c>
      <c r="F27" s="7" t="s">
        <v>5</v>
      </c>
      <c r="G27" s="7">
        <f t="shared" si="0"/>
        <v>1</v>
      </c>
      <c r="H27" s="7">
        <f t="shared" si="0"/>
        <v>0</v>
      </c>
      <c r="I27" s="7">
        <f t="shared" si="0"/>
        <v>0</v>
      </c>
      <c r="J27" s="7">
        <f t="shared" si="0"/>
        <v>0</v>
      </c>
      <c r="K27" s="7">
        <f t="shared" si="0"/>
        <v>0</v>
      </c>
      <c r="L27" s="6"/>
    </row>
    <row r="28" spans="1:12" x14ac:dyDescent="0.25">
      <c r="A28" s="4">
        <f t="shared" si="1"/>
        <v>1.0025999999999997</v>
      </c>
      <c r="B28" s="6"/>
      <c r="C28" s="5" t="s">
        <v>130</v>
      </c>
      <c r="D28" s="36"/>
      <c r="E28" s="6" t="s">
        <v>122</v>
      </c>
      <c r="F28" s="7" t="s">
        <v>5</v>
      </c>
      <c r="G28" s="7">
        <f t="shared" si="0"/>
        <v>1</v>
      </c>
      <c r="H28" s="7">
        <f t="shared" si="0"/>
        <v>0</v>
      </c>
      <c r="I28" s="7">
        <f t="shared" si="0"/>
        <v>0</v>
      </c>
      <c r="J28" s="7">
        <f t="shared" si="0"/>
        <v>0</v>
      </c>
      <c r="K28" s="7">
        <f t="shared" si="0"/>
        <v>0</v>
      </c>
      <c r="L28" s="6"/>
    </row>
    <row r="29" spans="1:12" x14ac:dyDescent="0.25">
      <c r="A29" s="4">
        <f t="shared" si="1"/>
        <v>1.0026999999999997</v>
      </c>
      <c r="B29" s="6"/>
      <c r="C29" s="5" t="s">
        <v>131</v>
      </c>
      <c r="D29" s="36"/>
      <c r="E29" s="6" t="s">
        <v>122</v>
      </c>
      <c r="F29" s="7" t="s">
        <v>5</v>
      </c>
      <c r="G29" s="7">
        <f t="shared" si="0"/>
        <v>1</v>
      </c>
      <c r="H29" s="7">
        <f t="shared" si="0"/>
        <v>0</v>
      </c>
      <c r="I29" s="7">
        <f t="shared" si="0"/>
        <v>0</v>
      </c>
      <c r="J29" s="7">
        <f t="shared" si="0"/>
        <v>0</v>
      </c>
      <c r="K29" s="7">
        <f t="shared" si="0"/>
        <v>0</v>
      </c>
      <c r="L29" s="6"/>
    </row>
    <row r="30" spans="1:12" x14ac:dyDescent="0.25">
      <c r="A30" s="4">
        <f t="shared" si="1"/>
        <v>1.0027999999999997</v>
      </c>
      <c r="B30" s="6"/>
      <c r="C30" s="5" t="s">
        <v>132</v>
      </c>
      <c r="D30" s="36"/>
      <c r="E30" s="6" t="s">
        <v>122</v>
      </c>
      <c r="F30" s="7" t="s">
        <v>5</v>
      </c>
      <c r="G30" s="7">
        <f t="shared" si="0"/>
        <v>1</v>
      </c>
      <c r="H30" s="7">
        <f t="shared" si="0"/>
        <v>0</v>
      </c>
      <c r="I30" s="7">
        <f t="shared" si="0"/>
        <v>0</v>
      </c>
      <c r="J30" s="7">
        <f t="shared" si="0"/>
        <v>0</v>
      </c>
      <c r="K30" s="7">
        <f t="shared" si="0"/>
        <v>0</v>
      </c>
      <c r="L30" s="6"/>
    </row>
    <row r="31" spans="1:12" x14ac:dyDescent="0.25">
      <c r="A31" s="4">
        <f t="shared" si="1"/>
        <v>1.0028999999999997</v>
      </c>
      <c r="B31" s="6"/>
      <c r="C31" s="5" t="s">
        <v>133</v>
      </c>
      <c r="D31" s="36"/>
      <c r="E31" s="6" t="s">
        <v>122</v>
      </c>
      <c r="F31" s="7" t="s">
        <v>5</v>
      </c>
      <c r="G31" s="7">
        <f t="shared" si="0"/>
        <v>1</v>
      </c>
      <c r="H31" s="7">
        <f t="shared" si="0"/>
        <v>0</v>
      </c>
      <c r="I31" s="7">
        <f t="shared" si="0"/>
        <v>0</v>
      </c>
      <c r="J31" s="7">
        <f t="shared" si="0"/>
        <v>0</v>
      </c>
      <c r="K31" s="7">
        <f t="shared" si="0"/>
        <v>0</v>
      </c>
      <c r="L31" s="6"/>
    </row>
    <row r="32" spans="1:12" x14ac:dyDescent="0.25">
      <c r="A32" s="4">
        <f t="shared" si="1"/>
        <v>1.0029999999999997</v>
      </c>
      <c r="B32" s="6" t="s">
        <v>124</v>
      </c>
      <c r="C32" s="5" t="s">
        <v>125</v>
      </c>
      <c r="D32" s="36"/>
      <c r="E32" s="6" t="s">
        <v>122</v>
      </c>
      <c r="F32" s="7" t="s">
        <v>5</v>
      </c>
      <c r="G32" s="7">
        <f t="shared" si="0"/>
        <v>1</v>
      </c>
      <c r="H32" s="7">
        <f t="shared" si="0"/>
        <v>0</v>
      </c>
      <c r="I32" s="7">
        <f t="shared" si="0"/>
        <v>0</v>
      </c>
      <c r="J32" s="7">
        <f t="shared" si="0"/>
        <v>0</v>
      </c>
      <c r="K32" s="7">
        <f t="shared" si="0"/>
        <v>0</v>
      </c>
      <c r="L32" s="6"/>
    </row>
    <row r="33" spans="1:12" x14ac:dyDescent="0.25">
      <c r="A33" s="4">
        <f t="shared" si="1"/>
        <v>1.0030999999999997</v>
      </c>
      <c r="B33" s="5" t="s">
        <v>86</v>
      </c>
      <c r="C33" s="7" t="s">
        <v>93</v>
      </c>
      <c r="D33" s="36"/>
      <c r="E33" s="6" t="s">
        <v>122</v>
      </c>
      <c r="F33" s="7" t="s">
        <v>5</v>
      </c>
      <c r="G33" s="7">
        <f t="shared" si="0"/>
        <v>1</v>
      </c>
      <c r="H33" s="7">
        <f t="shared" si="0"/>
        <v>0</v>
      </c>
      <c r="I33" s="7">
        <f t="shared" si="0"/>
        <v>0</v>
      </c>
      <c r="J33" s="7">
        <f t="shared" si="0"/>
        <v>0</v>
      </c>
      <c r="K33" s="7">
        <f t="shared" si="0"/>
        <v>0</v>
      </c>
      <c r="L33" s="6"/>
    </row>
    <row r="34" spans="1:12" ht="38.25" x14ac:dyDescent="0.25">
      <c r="A34" s="4">
        <f t="shared" si="1"/>
        <v>1.0031999999999996</v>
      </c>
      <c r="B34" s="6" t="s">
        <v>94</v>
      </c>
      <c r="C34" s="7" t="s">
        <v>87</v>
      </c>
      <c r="D34" s="36"/>
      <c r="E34" s="6" t="s">
        <v>122</v>
      </c>
      <c r="F34" s="7" t="s">
        <v>5</v>
      </c>
      <c r="G34" s="7">
        <f t="shared" si="0"/>
        <v>1</v>
      </c>
      <c r="H34" s="7">
        <f t="shared" si="0"/>
        <v>0</v>
      </c>
      <c r="I34" s="7">
        <f t="shared" si="0"/>
        <v>0</v>
      </c>
      <c r="J34" s="7">
        <f t="shared" si="0"/>
        <v>0</v>
      </c>
      <c r="K34" s="7">
        <f t="shared" si="0"/>
        <v>0</v>
      </c>
      <c r="L34" s="6"/>
    </row>
    <row r="35" spans="1:12" x14ac:dyDescent="0.25">
      <c r="A35" s="4">
        <f t="shared" si="1"/>
        <v>1.0032999999999996</v>
      </c>
      <c r="B35" s="6" t="s">
        <v>65</v>
      </c>
      <c r="C35" s="7" t="s">
        <v>88</v>
      </c>
      <c r="D35" s="36"/>
      <c r="E35" s="6" t="s">
        <v>122</v>
      </c>
      <c r="F35" s="7" t="s">
        <v>5</v>
      </c>
      <c r="G35" s="7">
        <f t="shared" si="0"/>
        <v>1</v>
      </c>
      <c r="H35" s="7">
        <f t="shared" si="0"/>
        <v>0</v>
      </c>
      <c r="I35" s="7">
        <f t="shared" si="0"/>
        <v>0</v>
      </c>
      <c r="J35" s="7">
        <f t="shared" si="0"/>
        <v>0</v>
      </c>
      <c r="K35" s="7">
        <f t="shared" si="0"/>
        <v>0</v>
      </c>
      <c r="L35" s="6"/>
    </row>
    <row r="36" spans="1:12" x14ac:dyDescent="0.25">
      <c r="A36" s="4">
        <f t="shared" si="1"/>
        <v>1.0033999999999996</v>
      </c>
      <c r="B36" s="6" t="s">
        <v>89</v>
      </c>
      <c r="C36" s="5" t="s">
        <v>95</v>
      </c>
      <c r="D36" s="36"/>
      <c r="E36" s="6" t="s">
        <v>122</v>
      </c>
      <c r="F36" s="7" t="s">
        <v>5</v>
      </c>
      <c r="G36" s="7">
        <f t="shared" si="0"/>
        <v>1</v>
      </c>
      <c r="H36" s="7">
        <f t="shared" si="0"/>
        <v>0</v>
      </c>
      <c r="I36" s="7">
        <f t="shared" si="0"/>
        <v>0</v>
      </c>
      <c r="J36" s="7">
        <f t="shared" si="0"/>
        <v>0</v>
      </c>
      <c r="K36" s="7">
        <f t="shared" si="0"/>
        <v>0</v>
      </c>
      <c r="L36" s="6"/>
    </row>
    <row r="37" spans="1:12" ht="30" x14ac:dyDescent="0.25">
      <c r="A37" s="4">
        <f t="shared" si="1"/>
        <v>1.0034999999999996</v>
      </c>
      <c r="B37" s="6" t="s">
        <v>90</v>
      </c>
      <c r="C37" s="7" t="s">
        <v>92</v>
      </c>
      <c r="D37" s="36"/>
      <c r="E37" s="6" t="s">
        <v>122</v>
      </c>
      <c r="F37" s="7" t="s">
        <v>5</v>
      </c>
      <c r="G37" s="7">
        <f t="shared" si="0"/>
        <v>1</v>
      </c>
      <c r="H37" s="7">
        <f t="shared" si="0"/>
        <v>0</v>
      </c>
      <c r="I37" s="7">
        <f t="shared" si="0"/>
        <v>0</v>
      </c>
      <c r="J37" s="7">
        <f t="shared" si="0"/>
        <v>0</v>
      </c>
      <c r="K37" s="7">
        <f t="shared" si="0"/>
        <v>0</v>
      </c>
      <c r="L37" s="6"/>
    </row>
    <row r="38" spans="1:12" ht="30" x14ac:dyDescent="0.25">
      <c r="A38" s="4">
        <f t="shared" si="1"/>
        <v>1.0035999999999996</v>
      </c>
      <c r="B38" s="6" t="s">
        <v>96</v>
      </c>
      <c r="C38" s="7" t="s">
        <v>97</v>
      </c>
      <c r="D38" s="36"/>
      <c r="E38" s="6" t="s">
        <v>122</v>
      </c>
      <c r="F38" s="7" t="s">
        <v>5</v>
      </c>
      <c r="G38" s="7">
        <f t="shared" ref="G38:K68" si="2">IF($F38=G$1,1,0)</f>
        <v>1</v>
      </c>
      <c r="H38" s="7">
        <f t="shared" si="2"/>
        <v>0</v>
      </c>
      <c r="I38" s="7">
        <f t="shared" si="2"/>
        <v>0</v>
      </c>
      <c r="J38" s="7">
        <f t="shared" si="2"/>
        <v>0</v>
      </c>
      <c r="K38" s="7">
        <f t="shared" si="2"/>
        <v>0</v>
      </c>
      <c r="L38" s="6"/>
    </row>
    <row r="39" spans="1:12" x14ac:dyDescent="0.25">
      <c r="A39" s="4">
        <f t="shared" si="1"/>
        <v>1.0036999999999996</v>
      </c>
      <c r="B39" s="6" t="s">
        <v>98</v>
      </c>
      <c r="C39" s="7" t="s">
        <v>28</v>
      </c>
      <c r="D39" s="36"/>
      <c r="E39" s="6" t="s">
        <v>122</v>
      </c>
      <c r="F39" s="7" t="s">
        <v>5</v>
      </c>
      <c r="G39" s="7">
        <f t="shared" si="2"/>
        <v>1</v>
      </c>
      <c r="H39" s="7">
        <f t="shared" si="2"/>
        <v>0</v>
      </c>
      <c r="I39" s="7">
        <f t="shared" si="2"/>
        <v>0</v>
      </c>
      <c r="J39" s="7">
        <f t="shared" si="2"/>
        <v>0</v>
      </c>
      <c r="K39" s="7">
        <f t="shared" si="2"/>
        <v>0</v>
      </c>
      <c r="L39" s="6"/>
    </row>
    <row r="40" spans="1:12" x14ac:dyDescent="0.25">
      <c r="A40" s="4">
        <f t="shared" si="1"/>
        <v>1.0037999999999996</v>
      </c>
      <c r="B40" s="6" t="s">
        <v>135</v>
      </c>
      <c r="C40" s="5" t="s">
        <v>134</v>
      </c>
      <c r="D40" s="36"/>
      <c r="E40" s="6" t="s">
        <v>122</v>
      </c>
      <c r="F40" s="7" t="s">
        <v>5</v>
      </c>
      <c r="G40" s="7">
        <f t="shared" si="2"/>
        <v>1</v>
      </c>
      <c r="H40" s="7">
        <f t="shared" si="2"/>
        <v>0</v>
      </c>
      <c r="I40" s="7">
        <f t="shared" si="2"/>
        <v>0</v>
      </c>
      <c r="J40" s="7">
        <f t="shared" si="2"/>
        <v>0</v>
      </c>
      <c r="K40" s="7">
        <f t="shared" si="2"/>
        <v>0</v>
      </c>
      <c r="L40" s="6"/>
    </row>
    <row r="41" spans="1:12" x14ac:dyDescent="0.25">
      <c r="A41" s="4">
        <f t="shared" si="1"/>
        <v>1.0038999999999996</v>
      </c>
      <c r="B41" s="6"/>
      <c r="C41" s="5" t="s">
        <v>127</v>
      </c>
      <c r="D41" s="36"/>
      <c r="E41" s="6" t="s">
        <v>122</v>
      </c>
      <c r="F41" s="7" t="s">
        <v>5</v>
      </c>
      <c r="G41" s="7">
        <f t="shared" si="2"/>
        <v>1</v>
      </c>
      <c r="H41" s="7">
        <f t="shared" si="2"/>
        <v>0</v>
      </c>
      <c r="I41" s="7">
        <f t="shared" si="2"/>
        <v>0</v>
      </c>
      <c r="J41" s="7">
        <f t="shared" si="2"/>
        <v>0</v>
      </c>
      <c r="K41" s="7">
        <f t="shared" si="2"/>
        <v>0</v>
      </c>
      <c r="L41" s="6"/>
    </row>
    <row r="42" spans="1:12" x14ac:dyDescent="0.25">
      <c r="A42" s="4">
        <f t="shared" si="1"/>
        <v>1.0039999999999996</v>
      </c>
      <c r="B42" s="6"/>
      <c r="C42" s="5" t="s">
        <v>128</v>
      </c>
      <c r="D42" s="36"/>
      <c r="E42" s="6" t="s">
        <v>122</v>
      </c>
      <c r="F42" s="7" t="s">
        <v>5</v>
      </c>
      <c r="G42" s="7">
        <f t="shared" si="2"/>
        <v>1</v>
      </c>
      <c r="H42" s="7">
        <f t="shared" si="2"/>
        <v>0</v>
      </c>
      <c r="I42" s="7">
        <f t="shared" si="2"/>
        <v>0</v>
      </c>
      <c r="J42" s="7">
        <f t="shared" si="2"/>
        <v>0</v>
      </c>
      <c r="K42" s="7">
        <f t="shared" si="2"/>
        <v>0</v>
      </c>
      <c r="L42" s="6"/>
    </row>
    <row r="43" spans="1:12" x14ac:dyDescent="0.25">
      <c r="A43" s="4">
        <f t="shared" si="1"/>
        <v>1.0040999999999995</v>
      </c>
      <c r="B43" s="6"/>
      <c r="C43" s="5" t="s">
        <v>129</v>
      </c>
      <c r="D43" s="36"/>
      <c r="E43" s="6" t="s">
        <v>122</v>
      </c>
      <c r="F43" s="7" t="s">
        <v>5</v>
      </c>
      <c r="G43" s="7">
        <f t="shared" si="2"/>
        <v>1</v>
      </c>
      <c r="H43" s="7">
        <f t="shared" si="2"/>
        <v>0</v>
      </c>
      <c r="I43" s="7">
        <f t="shared" si="2"/>
        <v>0</v>
      </c>
      <c r="J43" s="7">
        <f t="shared" si="2"/>
        <v>0</v>
      </c>
      <c r="K43" s="7">
        <f t="shared" si="2"/>
        <v>0</v>
      </c>
      <c r="L43" s="6"/>
    </row>
    <row r="44" spans="1:12" x14ac:dyDescent="0.25">
      <c r="A44" s="4">
        <f t="shared" si="1"/>
        <v>1.0041999999999995</v>
      </c>
      <c r="B44" s="6"/>
      <c r="C44" s="5" t="s">
        <v>130</v>
      </c>
      <c r="D44" s="36"/>
      <c r="E44" s="6" t="s">
        <v>122</v>
      </c>
      <c r="F44" s="7" t="s">
        <v>5</v>
      </c>
      <c r="G44" s="7">
        <f t="shared" si="2"/>
        <v>1</v>
      </c>
      <c r="H44" s="7">
        <f t="shared" si="2"/>
        <v>0</v>
      </c>
      <c r="I44" s="7">
        <f t="shared" si="2"/>
        <v>0</v>
      </c>
      <c r="J44" s="7">
        <f t="shared" si="2"/>
        <v>0</v>
      </c>
      <c r="K44" s="7">
        <f t="shared" si="2"/>
        <v>0</v>
      </c>
      <c r="L44" s="6"/>
    </row>
    <row r="45" spans="1:12" x14ac:dyDescent="0.25">
      <c r="A45" s="4">
        <f t="shared" si="1"/>
        <v>1.0042999999999995</v>
      </c>
      <c r="B45" s="6"/>
      <c r="C45" s="5" t="s">
        <v>131</v>
      </c>
      <c r="D45" s="36"/>
      <c r="E45" s="6" t="s">
        <v>122</v>
      </c>
      <c r="F45" s="7" t="s">
        <v>5</v>
      </c>
      <c r="G45" s="7">
        <f t="shared" si="2"/>
        <v>1</v>
      </c>
      <c r="H45" s="7">
        <f t="shared" si="2"/>
        <v>0</v>
      </c>
      <c r="I45" s="7">
        <f t="shared" si="2"/>
        <v>0</v>
      </c>
      <c r="J45" s="7">
        <f t="shared" si="2"/>
        <v>0</v>
      </c>
      <c r="K45" s="7">
        <f t="shared" si="2"/>
        <v>0</v>
      </c>
      <c r="L45" s="6"/>
    </row>
    <row r="46" spans="1:12" x14ac:dyDescent="0.25">
      <c r="A46" s="4">
        <f t="shared" si="1"/>
        <v>1.0043999999999995</v>
      </c>
      <c r="B46" s="6"/>
      <c r="C46" s="5" t="s">
        <v>132</v>
      </c>
      <c r="D46" s="36"/>
      <c r="E46" s="6" t="s">
        <v>122</v>
      </c>
      <c r="F46" s="7" t="s">
        <v>5</v>
      </c>
      <c r="G46" s="7">
        <f t="shared" si="2"/>
        <v>1</v>
      </c>
      <c r="H46" s="7">
        <f t="shared" si="2"/>
        <v>0</v>
      </c>
      <c r="I46" s="7">
        <f t="shared" si="2"/>
        <v>0</v>
      </c>
      <c r="J46" s="7">
        <f t="shared" si="2"/>
        <v>0</v>
      </c>
      <c r="K46" s="7">
        <f t="shared" si="2"/>
        <v>0</v>
      </c>
      <c r="L46" s="6"/>
    </row>
    <row r="47" spans="1:12" x14ac:dyDescent="0.25">
      <c r="A47" s="4">
        <f t="shared" si="1"/>
        <v>1.0044999999999995</v>
      </c>
      <c r="B47" s="6"/>
      <c r="C47" s="5" t="s">
        <v>133</v>
      </c>
      <c r="D47" s="36"/>
      <c r="E47" s="6" t="s">
        <v>122</v>
      </c>
      <c r="F47" s="7" t="s">
        <v>5</v>
      </c>
      <c r="G47" s="7">
        <f t="shared" si="2"/>
        <v>1</v>
      </c>
      <c r="H47" s="7">
        <f t="shared" si="2"/>
        <v>0</v>
      </c>
      <c r="I47" s="7">
        <f t="shared" si="2"/>
        <v>0</v>
      </c>
      <c r="J47" s="7">
        <f t="shared" si="2"/>
        <v>0</v>
      </c>
      <c r="K47" s="7">
        <f t="shared" si="2"/>
        <v>0</v>
      </c>
      <c r="L47" s="6"/>
    </row>
    <row r="48" spans="1:12" x14ac:dyDescent="0.25">
      <c r="A48" s="4">
        <f t="shared" si="1"/>
        <v>1.0045999999999995</v>
      </c>
      <c r="B48" s="6" t="s">
        <v>124</v>
      </c>
      <c r="C48" s="5" t="s">
        <v>125</v>
      </c>
      <c r="D48" s="36"/>
      <c r="E48" s="6" t="s">
        <v>122</v>
      </c>
      <c r="F48" s="7" t="s">
        <v>5</v>
      </c>
      <c r="G48" s="7">
        <f t="shared" si="2"/>
        <v>1</v>
      </c>
      <c r="H48" s="7">
        <f t="shared" si="2"/>
        <v>0</v>
      </c>
      <c r="I48" s="7">
        <f t="shared" si="2"/>
        <v>0</v>
      </c>
      <c r="J48" s="7">
        <f t="shared" si="2"/>
        <v>0</v>
      </c>
      <c r="K48" s="7">
        <f t="shared" si="2"/>
        <v>0</v>
      </c>
      <c r="L48" s="6"/>
    </row>
    <row r="49" spans="1:12" x14ac:dyDescent="0.25">
      <c r="A49" s="4">
        <f t="shared" si="1"/>
        <v>1.0046999999999995</v>
      </c>
      <c r="B49" s="5" t="s">
        <v>86</v>
      </c>
      <c r="C49" s="7" t="s">
        <v>93</v>
      </c>
      <c r="D49" s="36"/>
      <c r="E49" s="6" t="s">
        <v>122</v>
      </c>
      <c r="F49" s="7" t="s">
        <v>5</v>
      </c>
      <c r="G49" s="7">
        <f t="shared" si="2"/>
        <v>1</v>
      </c>
      <c r="H49" s="7">
        <f t="shared" si="2"/>
        <v>0</v>
      </c>
      <c r="I49" s="7">
        <f t="shared" si="2"/>
        <v>0</v>
      </c>
      <c r="J49" s="7">
        <f t="shared" si="2"/>
        <v>0</v>
      </c>
      <c r="K49" s="7">
        <f t="shared" si="2"/>
        <v>0</v>
      </c>
      <c r="L49" s="6"/>
    </row>
    <row r="50" spans="1:12" ht="38.25" x14ac:dyDescent="0.25">
      <c r="A50" s="4">
        <f t="shared" si="1"/>
        <v>1.0047999999999995</v>
      </c>
      <c r="B50" s="6" t="s">
        <v>94</v>
      </c>
      <c r="C50" s="7" t="s">
        <v>87</v>
      </c>
      <c r="D50" s="36"/>
      <c r="E50" s="6" t="s">
        <v>122</v>
      </c>
      <c r="F50" s="7" t="s">
        <v>5</v>
      </c>
      <c r="G50" s="7">
        <f t="shared" si="2"/>
        <v>1</v>
      </c>
      <c r="H50" s="7">
        <f t="shared" si="2"/>
        <v>0</v>
      </c>
      <c r="I50" s="7">
        <f t="shared" si="2"/>
        <v>0</v>
      </c>
      <c r="J50" s="7">
        <f t="shared" si="2"/>
        <v>0</v>
      </c>
      <c r="K50" s="7">
        <f t="shared" si="2"/>
        <v>0</v>
      </c>
      <c r="L50" s="6"/>
    </row>
    <row r="51" spans="1:12" x14ac:dyDescent="0.25">
      <c r="A51" s="4">
        <f t="shared" si="1"/>
        <v>1.0048999999999995</v>
      </c>
      <c r="B51" s="6" t="s">
        <v>65</v>
      </c>
      <c r="C51" s="7" t="s">
        <v>88</v>
      </c>
      <c r="D51" s="36"/>
      <c r="E51" s="6" t="s">
        <v>122</v>
      </c>
      <c r="F51" s="7" t="s">
        <v>5</v>
      </c>
      <c r="G51" s="7">
        <f t="shared" si="2"/>
        <v>1</v>
      </c>
      <c r="H51" s="7">
        <f t="shared" si="2"/>
        <v>0</v>
      </c>
      <c r="I51" s="7">
        <f t="shared" si="2"/>
        <v>0</v>
      </c>
      <c r="J51" s="7">
        <f t="shared" si="2"/>
        <v>0</v>
      </c>
      <c r="K51" s="7">
        <f t="shared" si="2"/>
        <v>0</v>
      </c>
      <c r="L51" s="6"/>
    </row>
    <row r="52" spans="1:12" x14ac:dyDescent="0.25">
      <c r="A52" s="4">
        <f t="shared" si="1"/>
        <v>1.0049999999999994</v>
      </c>
      <c r="B52" s="6" t="s">
        <v>89</v>
      </c>
      <c r="C52" s="5" t="s">
        <v>95</v>
      </c>
      <c r="D52" s="36"/>
      <c r="E52" s="6" t="s">
        <v>122</v>
      </c>
      <c r="F52" s="7" t="s">
        <v>5</v>
      </c>
      <c r="G52" s="7">
        <f t="shared" si="2"/>
        <v>1</v>
      </c>
      <c r="H52" s="7">
        <f t="shared" si="2"/>
        <v>0</v>
      </c>
      <c r="I52" s="7">
        <f t="shared" si="2"/>
        <v>0</v>
      </c>
      <c r="J52" s="7">
        <f t="shared" si="2"/>
        <v>0</v>
      </c>
      <c r="K52" s="7">
        <f t="shared" si="2"/>
        <v>0</v>
      </c>
      <c r="L52" s="6"/>
    </row>
    <row r="53" spans="1:12" ht="30" x14ac:dyDescent="0.25">
      <c r="A53" s="4">
        <f t="shared" si="1"/>
        <v>1.0050999999999994</v>
      </c>
      <c r="B53" s="6" t="s">
        <v>90</v>
      </c>
      <c r="C53" s="7" t="s">
        <v>92</v>
      </c>
      <c r="D53" s="36"/>
      <c r="E53" s="6" t="s">
        <v>122</v>
      </c>
      <c r="F53" s="7" t="s">
        <v>5</v>
      </c>
      <c r="G53" s="7">
        <f t="shared" si="2"/>
        <v>1</v>
      </c>
      <c r="H53" s="7">
        <f t="shared" si="2"/>
        <v>0</v>
      </c>
      <c r="I53" s="7">
        <f t="shared" si="2"/>
        <v>0</v>
      </c>
      <c r="J53" s="7">
        <f t="shared" si="2"/>
        <v>0</v>
      </c>
      <c r="K53" s="7">
        <f t="shared" si="2"/>
        <v>0</v>
      </c>
      <c r="L53" s="6"/>
    </row>
    <row r="54" spans="1:12" ht="30" x14ac:dyDescent="0.25">
      <c r="A54" s="4">
        <f t="shared" si="1"/>
        <v>1.0051999999999994</v>
      </c>
      <c r="B54" s="6" t="s">
        <v>99</v>
      </c>
      <c r="C54" s="7" t="s">
        <v>100</v>
      </c>
      <c r="D54" s="36"/>
      <c r="E54" s="6" t="s">
        <v>122</v>
      </c>
      <c r="F54" s="7" t="s">
        <v>5</v>
      </c>
      <c r="G54" s="7">
        <f t="shared" si="2"/>
        <v>1</v>
      </c>
      <c r="H54" s="7">
        <f t="shared" si="2"/>
        <v>0</v>
      </c>
      <c r="I54" s="7">
        <f t="shared" si="2"/>
        <v>0</v>
      </c>
      <c r="J54" s="7">
        <f t="shared" si="2"/>
        <v>0</v>
      </c>
      <c r="K54" s="7">
        <f t="shared" si="2"/>
        <v>0</v>
      </c>
      <c r="L54" s="6"/>
    </row>
    <row r="55" spans="1:12" x14ac:dyDescent="0.25">
      <c r="A55" s="4">
        <f t="shared" si="1"/>
        <v>1.0052999999999994</v>
      </c>
      <c r="B55" s="6" t="s">
        <v>135</v>
      </c>
      <c r="C55" s="5" t="s">
        <v>134</v>
      </c>
      <c r="D55" s="36"/>
      <c r="E55" s="6" t="s">
        <v>122</v>
      </c>
      <c r="F55" s="7" t="s">
        <v>5</v>
      </c>
      <c r="G55" s="7">
        <f t="shared" si="2"/>
        <v>1</v>
      </c>
      <c r="H55" s="7">
        <f t="shared" si="2"/>
        <v>0</v>
      </c>
      <c r="I55" s="7">
        <f t="shared" si="2"/>
        <v>0</v>
      </c>
      <c r="J55" s="7">
        <f t="shared" si="2"/>
        <v>0</v>
      </c>
      <c r="K55" s="7">
        <f t="shared" si="2"/>
        <v>0</v>
      </c>
      <c r="L55" s="6"/>
    </row>
    <row r="56" spans="1:12" x14ac:dyDescent="0.25">
      <c r="A56" s="4">
        <f t="shared" si="1"/>
        <v>1.0053999999999994</v>
      </c>
      <c r="B56" s="6"/>
      <c r="C56" s="5" t="s">
        <v>127</v>
      </c>
      <c r="D56" s="36"/>
      <c r="E56" s="6" t="s">
        <v>122</v>
      </c>
      <c r="F56" s="7" t="s">
        <v>5</v>
      </c>
      <c r="G56" s="7">
        <f t="shared" si="2"/>
        <v>1</v>
      </c>
      <c r="H56" s="7">
        <f t="shared" si="2"/>
        <v>0</v>
      </c>
      <c r="I56" s="7">
        <f t="shared" si="2"/>
        <v>0</v>
      </c>
      <c r="J56" s="7">
        <f t="shared" si="2"/>
        <v>0</v>
      </c>
      <c r="K56" s="7">
        <f t="shared" si="2"/>
        <v>0</v>
      </c>
      <c r="L56" s="6"/>
    </row>
    <row r="57" spans="1:12" x14ac:dyDescent="0.25">
      <c r="A57" s="4">
        <f t="shared" si="1"/>
        <v>1.0054999999999994</v>
      </c>
      <c r="B57" s="6"/>
      <c r="C57" s="5" t="s">
        <v>128</v>
      </c>
      <c r="D57" s="36"/>
      <c r="E57" s="6" t="s">
        <v>122</v>
      </c>
      <c r="F57" s="7" t="s">
        <v>5</v>
      </c>
      <c r="G57" s="7">
        <f t="shared" si="2"/>
        <v>1</v>
      </c>
      <c r="H57" s="7">
        <f t="shared" si="2"/>
        <v>0</v>
      </c>
      <c r="I57" s="7">
        <f t="shared" si="2"/>
        <v>0</v>
      </c>
      <c r="J57" s="7">
        <f t="shared" si="2"/>
        <v>0</v>
      </c>
      <c r="K57" s="7">
        <f t="shared" si="2"/>
        <v>0</v>
      </c>
      <c r="L57" s="6"/>
    </row>
    <row r="58" spans="1:12" x14ac:dyDescent="0.25">
      <c r="A58" s="4">
        <f t="shared" si="1"/>
        <v>1.0055999999999994</v>
      </c>
      <c r="B58" s="6"/>
      <c r="C58" s="5" t="s">
        <v>129</v>
      </c>
      <c r="D58" s="36"/>
      <c r="E58" s="6" t="s">
        <v>122</v>
      </c>
      <c r="F58" s="7" t="s">
        <v>5</v>
      </c>
      <c r="G58" s="7">
        <f t="shared" si="2"/>
        <v>1</v>
      </c>
      <c r="H58" s="7">
        <f t="shared" si="2"/>
        <v>0</v>
      </c>
      <c r="I58" s="7">
        <f t="shared" si="2"/>
        <v>0</v>
      </c>
      <c r="J58" s="7">
        <f t="shared" si="2"/>
        <v>0</v>
      </c>
      <c r="K58" s="7">
        <f t="shared" si="2"/>
        <v>0</v>
      </c>
      <c r="L58" s="6"/>
    </row>
    <row r="59" spans="1:12" x14ac:dyDescent="0.25">
      <c r="A59" s="4">
        <f t="shared" si="1"/>
        <v>1.0056999999999994</v>
      </c>
      <c r="B59" s="6"/>
      <c r="C59" s="5" t="s">
        <v>130</v>
      </c>
      <c r="D59" s="36"/>
      <c r="E59" s="6" t="s">
        <v>122</v>
      </c>
      <c r="F59" s="7" t="s">
        <v>5</v>
      </c>
      <c r="G59" s="7">
        <f t="shared" si="2"/>
        <v>1</v>
      </c>
      <c r="H59" s="7">
        <f t="shared" si="2"/>
        <v>0</v>
      </c>
      <c r="I59" s="7">
        <f t="shared" si="2"/>
        <v>0</v>
      </c>
      <c r="J59" s="7">
        <f t="shared" si="2"/>
        <v>0</v>
      </c>
      <c r="K59" s="7">
        <f t="shared" si="2"/>
        <v>0</v>
      </c>
      <c r="L59" s="6"/>
    </row>
    <row r="60" spans="1:12" x14ac:dyDescent="0.25">
      <c r="A60" s="4">
        <f t="shared" si="1"/>
        <v>1.0057999999999994</v>
      </c>
      <c r="B60" s="6"/>
      <c r="C60" s="5" t="s">
        <v>131</v>
      </c>
      <c r="D60" s="36"/>
      <c r="E60" s="6" t="s">
        <v>122</v>
      </c>
      <c r="F60" s="7" t="s">
        <v>5</v>
      </c>
      <c r="G60" s="7">
        <f t="shared" si="2"/>
        <v>1</v>
      </c>
      <c r="H60" s="7">
        <f t="shared" si="2"/>
        <v>0</v>
      </c>
      <c r="I60" s="7">
        <f t="shared" si="2"/>
        <v>0</v>
      </c>
      <c r="J60" s="7">
        <f t="shared" si="2"/>
        <v>0</v>
      </c>
      <c r="K60" s="7">
        <f t="shared" si="2"/>
        <v>0</v>
      </c>
      <c r="L60" s="6"/>
    </row>
    <row r="61" spans="1:12" x14ac:dyDescent="0.25">
      <c r="A61" s="4">
        <f t="shared" si="1"/>
        <v>1.0058999999999994</v>
      </c>
      <c r="B61" s="6"/>
      <c r="C61" s="5" t="s">
        <v>132</v>
      </c>
      <c r="D61" s="36"/>
      <c r="E61" s="6" t="s">
        <v>122</v>
      </c>
      <c r="F61" s="7" t="s">
        <v>5</v>
      </c>
      <c r="G61" s="7">
        <f t="shared" si="2"/>
        <v>1</v>
      </c>
      <c r="H61" s="7">
        <f t="shared" si="2"/>
        <v>0</v>
      </c>
      <c r="I61" s="7">
        <f t="shared" si="2"/>
        <v>0</v>
      </c>
      <c r="J61" s="7">
        <f t="shared" si="2"/>
        <v>0</v>
      </c>
      <c r="K61" s="7">
        <f t="shared" si="2"/>
        <v>0</v>
      </c>
      <c r="L61" s="6"/>
    </row>
    <row r="62" spans="1:12" x14ac:dyDescent="0.25">
      <c r="A62" s="4">
        <f t="shared" si="1"/>
        <v>1.0059999999999993</v>
      </c>
      <c r="B62" s="6"/>
      <c r="C62" s="5" t="s">
        <v>133</v>
      </c>
      <c r="D62" s="36"/>
      <c r="E62" s="6" t="s">
        <v>122</v>
      </c>
      <c r="F62" s="7" t="s">
        <v>5</v>
      </c>
      <c r="G62" s="7">
        <f t="shared" si="2"/>
        <v>1</v>
      </c>
      <c r="H62" s="7">
        <f t="shared" si="2"/>
        <v>0</v>
      </c>
      <c r="I62" s="7">
        <f t="shared" si="2"/>
        <v>0</v>
      </c>
      <c r="J62" s="7">
        <f t="shared" si="2"/>
        <v>0</v>
      </c>
      <c r="K62" s="7">
        <f t="shared" si="2"/>
        <v>0</v>
      </c>
      <c r="L62" s="6"/>
    </row>
    <row r="63" spans="1:12" x14ac:dyDescent="0.25">
      <c r="A63" s="4">
        <f t="shared" si="1"/>
        <v>1.0060999999999993</v>
      </c>
      <c r="B63" s="6" t="s">
        <v>124</v>
      </c>
      <c r="C63" s="5" t="s">
        <v>125</v>
      </c>
      <c r="D63" s="36"/>
      <c r="E63" s="6" t="s">
        <v>122</v>
      </c>
      <c r="F63" s="7" t="s">
        <v>5</v>
      </c>
      <c r="G63" s="7">
        <f t="shared" si="2"/>
        <v>1</v>
      </c>
      <c r="H63" s="7">
        <f t="shared" si="2"/>
        <v>0</v>
      </c>
      <c r="I63" s="7">
        <f t="shared" si="2"/>
        <v>0</v>
      </c>
      <c r="J63" s="7">
        <f t="shared" si="2"/>
        <v>0</v>
      </c>
      <c r="K63" s="7">
        <f t="shared" si="2"/>
        <v>0</v>
      </c>
      <c r="L63" s="6"/>
    </row>
    <row r="64" spans="1:12" x14ac:dyDescent="0.25">
      <c r="A64" s="4">
        <f t="shared" si="1"/>
        <v>1.0061999999999993</v>
      </c>
      <c r="B64" s="5" t="s">
        <v>86</v>
      </c>
      <c r="C64" s="7" t="s">
        <v>93</v>
      </c>
      <c r="D64" s="36"/>
      <c r="E64" s="6" t="s">
        <v>122</v>
      </c>
      <c r="F64" s="7" t="s">
        <v>5</v>
      </c>
      <c r="G64" s="7">
        <f t="shared" si="2"/>
        <v>1</v>
      </c>
      <c r="H64" s="7">
        <f t="shared" si="2"/>
        <v>0</v>
      </c>
      <c r="I64" s="7">
        <f t="shared" si="2"/>
        <v>0</v>
      </c>
      <c r="J64" s="7">
        <f t="shared" si="2"/>
        <v>0</v>
      </c>
      <c r="K64" s="7">
        <f t="shared" si="2"/>
        <v>0</v>
      </c>
      <c r="L64" s="6"/>
    </row>
    <row r="65" spans="1:12" ht="38.25" x14ac:dyDescent="0.25">
      <c r="A65" s="4">
        <f t="shared" si="1"/>
        <v>1.0062999999999993</v>
      </c>
      <c r="B65" s="6" t="s">
        <v>94</v>
      </c>
      <c r="C65" s="7" t="s">
        <v>87</v>
      </c>
      <c r="D65" s="36"/>
      <c r="E65" s="6" t="s">
        <v>122</v>
      </c>
      <c r="F65" s="7" t="s">
        <v>5</v>
      </c>
      <c r="G65" s="7">
        <f t="shared" si="2"/>
        <v>1</v>
      </c>
      <c r="H65" s="7">
        <f t="shared" si="2"/>
        <v>0</v>
      </c>
      <c r="I65" s="7">
        <f t="shared" si="2"/>
        <v>0</v>
      </c>
      <c r="J65" s="7">
        <f t="shared" si="2"/>
        <v>0</v>
      </c>
      <c r="K65" s="7">
        <f t="shared" si="2"/>
        <v>0</v>
      </c>
      <c r="L65" s="6"/>
    </row>
    <row r="66" spans="1:12" x14ac:dyDescent="0.25">
      <c r="A66" s="4">
        <f t="shared" si="1"/>
        <v>1.0063999999999993</v>
      </c>
      <c r="B66" s="6" t="s">
        <v>65</v>
      </c>
      <c r="C66" s="7" t="s">
        <v>88</v>
      </c>
      <c r="D66" s="36"/>
      <c r="E66" s="6" t="s">
        <v>122</v>
      </c>
      <c r="F66" s="7" t="s">
        <v>5</v>
      </c>
      <c r="G66" s="7">
        <f t="shared" si="2"/>
        <v>1</v>
      </c>
      <c r="H66" s="7">
        <f t="shared" si="2"/>
        <v>0</v>
      </c>
      <c r="I66" s="7">
        <f t="shared" si="2"/>
        <v>0</v>
      </c>
      <c r="J66" s="7">
        <f t="shared" si="2"/>
        <v>0</v>
      </c>
      <c r="K66" s="7">
        <f t="shared" si="2"/>
        <v>0</v>
      </c>
      <c r="L66" s="6"/>
    </row>
    <row r="67" spans="1:12" x14ac:dyDescent="0.25">
      <c r="A67" s="4">
        <f t="shared" si="1"/>
        <v>1.0064999999999993</v>
      </c>
      <c r="B67" s="6" t="s">
        <v>89</v>
      </c>
      <c r="C67" s="5" t="s">
        <v>95</v>
      </c>
      <c r="D67" s="36"/>
      <c r="E67" s="6" t="s">
        <v>122</v>
      </c>
      <c r="F67" s="7" t="s">
        <v>5</v>
      </c>
      <c r="G67" s="7">
        <f t="shared" si="2"/>
        <v>1</v>
      </c>
      <c r="H67" s="7">
        <f t="shared" si="2"/>
        <v>0</v>
      </c>
      <c r="I67" s="7">
        <f t="shared" si="2"/>
        <v>0</v>
      </c>
      <c r="J67" s="7">
        <f t="shared" si="2"/>
        <v>0</v>
      </c>
      <c r="K67" s="7">
        <f t="shared" si="2"/>
        <v>0</v>
      </c>
      <c r="L67" s="6"/>
    </row>
    <row r="68" spans="1:12" ht="30" x14ac:dyDescent="0.25">
      <c r="A68" s="4">
        <f t="shared" si="1"/>
        <v>1.0065999999999993</v>
      </c>
      <c r="B68" s="6" t="s">
        <v>90</v>
      </c>
      <c r="C68" s="7" t="s">
        <v>92</v>
      </c>
      <c r="D68" s="36"/>
      <c r="E68" s="6" t="s">
        <v>122</v>
      </c>
      <c r="F68" s="7" t="s">
        <v>5</v>
      </c>
      <c r="G68" s="7">
        <f t="shared" si="2"/>
        <v>1</v>
      </c>
      <c r="H68" s="7">
        <f t="shared" si="2"/>
        <v>0</v>
      </c>
      <c r="I68" s="7">
        <f t="shared" si="2"/>
        <v>0</v>
      </c>
      <c r="J68" s="7">
        <f t="shared" si="2"/>
        <v>0</v>
      </c>
      <c r="K68" s="7">
        <f t="shared" si="2"/>
        <v>0</v>
      </c>
      <c r="L68" s="6"/>
    </row>
    <row r="69" spans="1:12" ht="15.75" thickBot="1" x14ac:dyDescent="0.3">
      <c r="G69" s="20">
        <f>SUM(G2:G68)</f>
        <v>66</v>
      </c>
      <c r="H69" s="20">
        <f>SUM(H2:H68)</f>
        <v>0</v>
      </c>
      <c r="I69" s="20">
        <f>SUM(I2:I68)</f>
        <v>0</v>
      </c>
      <c r="J69" s="20">
        <f>SUM(J2:J68)</f>
        <v>0</v>
      </c>
      <c r="K69" s="20">
        <f>SUM(K2:K68)</f>
        <v>0</v>
      </c>
    </row>
    <row r="70" spans="1:12" ht="15.75" thickTop="1" x14ac:dyDescent="0.25"/>
  </sheetData>
  <conditionalFormatting sqref="B21:B22">
    <cfRule type="expression" dxfId="58" priority="67">
      <formula>$F21="Fail"</formula>
    </cfRule>
  </conditionalFormatting>
  <conditionalFormatting sqref="B23:B32">
    <cfRule type="expression" dxfId="57" priority="66">
      <formula>$F23="Fail"</formula>
    </cfRule>
  </conditionalFormatting>
  <conditionalFormatting sqref="C28:C31">
    <cfRule type="expression" dxfId="56" priority="65">
      <formula>$F35="Fail"</formula>
    </cfRule>
  </conditionalFormatting>
  <conditionalFormatting sqref="B33">
    <cfRule type="expression" dxfId="55" priority="52">
      <formula>$F33="Fail"</formula>
    </cfRule>
  </conditionalFormatting>
  <conditionalFormatting sqref="B35">
    <cfRule type="expression" dxfId="54" priority="51">
      <formula>$F35="Fail"</formula>
    </cfRule>
  </conditionalFormatting>
  <conditionalFormatting sqref="B36">
    <cfRule type="expression" dxfId="53" priority="50">
      <formula>$F36="Fail"</formula>
    </cfRule>
  </conditionalFormatting>
  <conditionalFormatting sqref="C36">
    <cfRule type="expression" dxfId="52" priority="49">
      <formula>$F37="Fail"</formula>
    </cfRule>
  </conditionalFormatting>
  <conditionalFormatting sqref="B37:B38">
    <cfRule type="expression" dxfId="51" priority="48">
      <formula>$F37="Fail"</formula>
    </cfRule>
  </conditionalFormatting>
  <conditionalFormatting sqref="G2:J2">
    <cfRule type="expression" dxfId="50" priority="28">
      <formula>$F2="Fail"</formula>
    </cfRule>
  </conditionalFormatting>
  <conditionalFormatting sqref="B8:B16">
    <cfRule type="expression" dxfId="49" priority="27">
      <formula>$F8="Fail"</formula>
    </cfRule>
  </conditionalFormatting>
  <conditionalFormatting sqref="B17">
    <cfRule type="expression" dxfId="48" priority="25">
      <formula>$F17="Fail"</formula>
    </cfRule>
  </conditionalFormatting>
  <conditionalFormatting sqref="B40:B48">
    <cfRule type="expression" dxfId="47" priority="23">
      <formula>$F40="Fail"</formula>
    </cfRule>
  </conditionalFormatting>
  <conditionalFormatting sqref="B49">
    <cfRule type="expression" dxfId="46" priority="21">
      <formula>$F49="Fail"</formula>
    </cfRule>
  </conditionalFormatting>
  <conditionalFormatting sqref="B39">
    <cfRule type="expression" dxfId="45" priority="20">
      <formula>$F39="Fail"</formula>
    </cfRule>
  </conditionalFormatting>
  <conditionalFormatting sqref="B50">
    <cfRule type="expression" dxfId="44" priority="19">
      <formula>$F50="Fail"</formula>
    </cfRule>
  </conditionalFormatting>
  <conditionalFormatting sqref="B51">
    <cfRule type="expression" dxfId="43" priority="18">
      <formula>$F51="Fail"</formula>
    </cfRule>
  </conditionalFormatting>
  <conditionalFormatting sqref="B52">
    <cfRule type="expression" dxfId="42" priority="17">
      <formula>$F52="Fail"</formula>
    </cfRule>
  </conditionalFormatting>
  <conditionalFormatting sqref="C52">
    <cfRule type="expression" dxfId="41" priority="16">
      <formula>$F53="Fail"</formula>
    </cfRule>
  </conditionalFormatting>
  <conditionalFormatting sqref="B53">
    <cfRule type="expression" dxfId="40" priority="15">
      <formula>$F53="Fail"</formula>
    </cfRule>
  </conditionalFormatting>
  <conditionalFormatting sqref="C48">
    <cfRule type="expression" dxfId="39" priority="454">
      <formula>#REF!="Fail"</formula>
    </cfRule>
  </conditionalFormatting>
  <conditionalFormatting sqref="D55:D68">
    <cfRule type="expression" dxfId="38" priority="13">
      <formula>$F55="Fail"</formula>
    </cfRule>
  </conditionalFormatting>
  <conditionalFormatting sqref="B55:B63">
    <cfRule type="expression" dxfId="37" priority="12">
      <formula>$F55="Fail"</formula>
    </cfRule>
  </conditionalFormatting>
  <conditionalFormatting sqref="B64">
    <cfRule type="expression" dxfId="36" priority="10">
      <formula>$F64="Fail"</formula>
    </cfRule>
  </conditionalFormatting>
  <conditionalFormatting sqref="B65">
    <cfRule type="expression" dxfId="35" priority="9">
      <formula>$F65="Fail"</formula>
    </cfRule>
  </conditionalFormatting>
  <conditionalFormatting sqref="B66">
    <cfRule type="expression" dxfId="34" priority="8">
      <formula>$F66="Fail"</formula>
    </cfRule>
  </conditionalFormatting>
  <conditionalFormatting sqref="B67">
    <cfRule type="expression" dxfId="33" priority="7">
      <formula>$F67="Fail"</formula>
    </cfRule>
  </conditionalFormatting>
  <conditionalFormatting sqref="C67">
    <cfRule type="expression" dxfId="32" priority="6">
      <formula>$F68="Fail"</formula>
    </cfRule>
  </conditionalFormatting>
  <conditionalFormatting sqref="B68">
    <cfRule type="expression" dxfId="31" priority="5">
      <formula>$F68="Fail"</formula>
    </cfRule>
  </conditionalFormatting>
  <conditionalFormatting sqref="C63">
    <cfRule type="expression" dxfId="30" priority="14">
      <formula>#REF!="Fail"</formula>
    </cfRule>
  </conditionalFormatting>
  <conditionalFormatting sqref="C32">
    <cfRule type="expression" dxfId="29" priority="464">
      <formula>#REF!="Fail"</formula>
    </cfRule>
  </conditionalFormatting>
  <conditionalFormatting sqref="C44:C47 C59:C62">
    <cfRule type="expression" dxfId="28" priority="465">
      <formula>#REF!="Fail"</formula>
    </cfRule>
  </conditionalFormatting>
  <conditionalFormatting sqref="E19:E20">
    <cfRule type="expression" dxfId="27" priority="4">
      <formula>$F19="Fail"</formula>
    </cfRule>
  </conditionalFormatting>
  <conditionalFormatting sqref="A3:K68">
    <cfRule type="expression" dxfId="26" priority="1">
      <formula>$F3="Fail"</formula>
    </cfRule>
  </conditionalFormatting>
  <dataValidations count="1">
    <dataValidation type="list" allowBlank="1" showInputMessage="1" showErrorMessage="1" sqref="F2:F68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104775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67"/>
  <sheetViews>
    <sheetView zoomScaleNormal="100" workbookViewId="0">
      <pane ySplit="1" topLeftCell="A68" activePane="bottomLeft" state="frozen"/>
      <selection pane="bottomLeft" activeCell="D1" sqref="D1:D1048576"/>
    </sheetView>
  </sheetViews>
  <sheetFormatPr defaultRowHeight="15" x14ac:dyDescent="0.25"/>
  <cols>
    <col min="1" max="1" width="6.85546875" style="3" customWidth="1"/>
    <col min="2" max="2" width="35.28515625" style="1" customWidth="1"/>
    <col min="3" max="3" width="44.5703125" style="1" customWidth="1"/>
    <col min="4" max="4" width="39" style="39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34" t="s">
        <v>192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19" customFormat="1" x14ac:dyDescent="0.25">
      <c r="A2" s="15">
        <v>1</v>
      </c>
      <c r="B2" s="16" t="s">
        <v>154</v>
      </c>
      <c r="C2" s="17"/>
      <c r="D2" s="35"/>
      <c r="E2" s="16"/>
      <c r="F2" s="18"/>
      <c r="G2" s="18"/>
      <c r="H2" s="18"/>
      <c r="I2" s="18"/>
      <c r="J2" s="18"/>
      <c r="K2" s="18"/>
      <c r="L2" s="16"/>
    </row>
    <row r="3" spans="1:12" x14ac:dyDescent="0.25">
      <c r="A3" s="4">
        <f t="shared" ref="A3:A51" si="0">A2+0.0001</f>
        <v>1.0001</v>
      </c>
      <c r="B3" s="5" t="s">
        <v>13</v>
      </c>
      <c r="C3" s="8"/>
      <c r="D3" s="36"/>
      <c r="E3" s="6"/>
      <c r="F3" s="7" t="s">
        <v>5</v>
      </c>
      <c r="G3" s="7">
        <f t="shared" ref="G3:K27" si="1">IF($F3=G$1,1,0)</f>
        <v>1</v>
      </c>
      <c r="H3" s="7">
        <f t="shared" si="1"/>
        <v>0</v>
      </c>
      <c r="I3" s="7">
        <f t="shared" si="1"/>
        <v>0</v>
      </c>
      <c r="J3" s="7">
        <f t="shared" si="1"/>
        <v>0</v>
      </c>
      <c r="K3" s="7">
        <f t="shared" si="1"/>
        <v>0</v>
      </c>
      <c r="L3" s="6"/>
    </row>
    <row r="4" spans="1:12" x14ac:dyDescent="0.25">
      <c r="A4" s="4">
        <f t="shared" si="0"/>
        <v>1.0002</v>
      </c>
      <c r="B4" s="5" t="s">
        <v>14</v>
      </c>
      <c r="C4" s="8"/>
      <c r="D4" s="36"/>
      <c r="E4" s="6"/>
      <c r="F4" s="7" t="s">
        <v>5</v>
      </c>
      <c r="G4" s="7">
        <f t="shared" si="1"/>
        <v>1</v>
      </c>
      <c r="H4" s="7">
        <f t="shared" si="1"/>
        <v>0</v>
      </c>
      <c r="I4" s="7">
        <f t="shared" si="1"/>
        <v>0</v>
      </c>
      <c r="J4" s="7">
        <f t="shared" si="1"/>
        <v>0</v>
      </c>
      <c r="K4" s="7">
        <f t="shared" si="1"/>
        <v>0</v>
      </c>
      <c r="L4" s="6"/>
    </row>
    <row r="5" spans="1:12" ht="25.5" x14ac:dyDescent="0.25">
      <c r="A5" s="4">
        <f t="shared" si="0"/>
        <v>1.0003</v>
      </c>
      <c r="B5" s="5" t="s">
        <v>102</v>
      </c>
      <c r="C5" s="8" t="s">
        <v>103</v>
      </c>
      <c r="D5" s="36"/>
      <c r="E5" s="6"/>
      <c r="F5" s="7" t="s">
        <v>5</v>
      </c>
      <c r="G5" s="7">
        <f t="shared" si="1"/>
        <v>1</v>
      </c>
      <c r="H5" s="7">
        <f t="shared" si="1"/>
        <v>0</v>
      </c>
      <c r="I5" s="7">
        <f t="shared" si="1"/>
        <v>0</v>
      </c>
      <c r="J5" s="7">
        <f t="shared" si="1"/>
        <v>0</v>
      </c>
      <c r="K5" s="7">
        <f t="shared" si="1"/>
        <v>0</v>
      </c>
      <c r="L5" s="6"/>
    </row>
    <row r="6" spans="1:12" ht="25.5" x14ac:dyDescent="0.25">
      <c r="A6" s="4">
        <f t="shared" si="0"/>
        <v>1.0004</v>
      </c>
      <c r="B6" s="6" t="s">
        <v>104</v>
      </c>
      <c r="C6" s="5" t="s">
        <v>105</v>
      </c>
      <c r="D6" s="36"/>
      <c r="E6" s="6"/>
      <c r="F6" s="7" t="s">
        <v>5</v>
      </c>
      <c r="G6" s="7">
        <f t="shared" si="1"/>
        <v>1</v>
      </c>
      <c r="H6" s="7">
        <f t="shared" si="1"/>
        <v>0</v>
      </c>
      <c r="I6" s="7">
        <f t="shared" si="1"/>
        <v>0</v>
      </c>
      <c r="J6" s="7">
        <f t="shared" si="1"/>
        <v>0</v>
      </c>
      <c r="K6" s="7">
        <f t="shared" si="1"/>
        <v>0</v>
      </c>
      <c r="L6" s="6"/>
    </row>
    <row r="7" spans="1:12" x14ac:dyDescent="0.25">
      <c r="A7" s="4">
        <f t="shared" si="0"/>
        <v>1.0004999999999999</v>
      </c>
      <c r="B7" s="5" t="s">
        <v>106</v>
      </c>
      <c r="C7" s="5" t="s">
        <v>107</v>
      </c>
      <c r="D7" s="36"/>
      <c r="E7" s="6"/>
      <c r="F7" s="7" t="s">
        <v>5</v>
      </c>
      <c r="G7" s="7">
        <f t="shared" si="1"/>
        <v>1</v>
      </c>
      <c r="H7" s="7">
        <f t="shared" si="1"/>
        <v>0</v>
      </c>
      <c r="I7" s="7">
        <f t="shared" si="1"/>
        <v>0</v>
      </c>
      <c r="J7" s="7">
        <f t="shared" si="1"/>
        <v>0</v>
      </c>
      <c r="K7" s="7">
        <f t="shared" si="1"/>
        <v>0</v>
      </c>
      <c r="L7" s="6"/>
    </row>
    <row r="8" spans="1:12" x14ac:dyDescent="0.25">
      <c r="A8" s="4">
        <f t="shared" si="0"/>
        <v>1.0005999999999999</v>
      </c>
      <c r="B8" s="5" t="s">
        <v>108</v>
      </c>
      <c r="C8" s="5" t="s">
        <v>109</v>
      </c>
      <c r="D8" s="36"/>
      <c r="E8" s="6"/>
      <c r="F8" s="7" t="s">
        <v>5</v>
      </c>
      <c r="G8" s="7">
        <f t="shared" si="1"/>
        <v>1</v>
      </c>
      <c r="H8" s="7">
        <f t="shared" si="1"/>
        <v>0</v>
      </c>
      <c r="I8" s="7">
        <f t="shared" si="1"/>
        <v>0</v>
      </c>
      <c r="J8" s="7">
        <f t="shared" si="1"/>
        <v>0</v>
      </c>
      <c r="K8" s="7">
        <f t="shared" si="1"/>
        <v>0</v>
      </c>
      <c r="L8" s="6"/>
    </row>
    <row r="9" spans="1:12" x14ac:dyDescent="0.25">
      <c r="A9" s="4">
        <f t="shared" si="0"/>
        <v>1.0006999999999999</v>
      </c>
      <c r="B9" s="6" t="s">
        <v>28</v>
      </c>
      <c r="C9" s="7" t="s">
        <v>110</v>
      </c>
      <c r="D9" s="36"/>
      <c r="E9" s="6"/>
      <c r="F9" s="7" t="s">
        <v>5</v>
      </c>
      <c r="G9" s="7">
        <f t="shared" si="1"/>
        <v>1</v>
      </c>
      <c r="H9" s="7">
        <f t="shared" si="1"/>
        <v>0</v>
      </c>
      <c r="I9" s="7">
        <f t="shared" si="1"/>
        <v>0</v>
      </c>
      <c r="J9" s="7">
        <f t="shared" si="1"/>
        <v>0</v>
      </c>
      <c r="K9" s="7">
        <f t="shared" si="1"/>
        <v>0</v>
      </c>
      <c r="L9" s="6"/>
    </row>
    <row r="10" spans="1:12" x14ac:dyDescent="0.25">
      <c r="A10" s="4">
        <f t="shared" si="0"/>
        <v>1.0007999999999999</v>
      </c>
      <c r="B10" s="7" t="s">
        <v>140</v>
      </c>
      <c r="C10" s="7" t="s">
        <v>150</v>
      </c>
      <c r="D10" s="36"/>
      <c r="E10" s="6"/>
      <c r="F10" s="7" t="s">
        <v>5</v>
      </c>
      <c r="G10" s="7">
        <f t="shared" si="1"/>
        <v>1</v>
      </c>
      <c r="H10" s="7">
        <f t="shared" si="1"/>
        <v>0</v>
      </c>
      <c r="I10" s="7">
        <f t="shared" si="1"/>
        <v>0</v>
      </c>
      <c r="J10" s="7">
        <f t="shared" si="1"/>
        <v>0</v>
      </c>
      <c r="K10" s="7">
        <f t="shared" si="1"/>
        <v>0</v>
      </c>
      <c r="L10" s="6"/>
    </row>
    <row r="11" spans="1:12" x14ac:dyDescent="0.25">
      <c r="A11" s="4">
        <f t="shared" si="0"/>
        <v>1.0008999999999999</v>
      </c>
      <c r="B11" s="7" t="s">
        <v>142</v>
      </c>
      <c r="C11" s="7" t="s">
        <v>151</v>
      </c>
      <c r="D11" s="36"/>
      <c r="E11" s="6"/>
      <c r="F11" s="7" t="s">
        <v>5</v>
      </c>
      <c r="G11" s="7">
        <f t="shared" si="1"/>
        <v>1</v>
      </c>
      <c r="H11" s="7">
        <f t="shared" si="1"/>
        <v>0</v>
      </c>
      <c r="I11" s="7">
        <f t="shared" si="1"/>
        <v>0</v>
      </c>
      <c r="J11" s="7">
        <f t="shared" si="1"/>
        <v>0</v>
      </c>
      <c r="K11" s="7">
        <f t="shared" si="1"/>
        <v>0</v>
      </c>
      <c r="L11" s="6"/>
    </row>
    <row r="12" spans="1:12" x14ac:dyDescent="0.25">
      <c r="A12" s="4">
        <f t="shared" si="0"/>
        <v>1.0009999999999999</v>
      </c>
      <c r="B12" s="7" t="s">
        <v>143</v>
      </c>
      <c r="C12" s="7" t="s">
        <v>151</v>
      </c>
      <c r="D12" s="36"/>
      <c r="E12" s="6"/>
      <c r="F12" s="7" t="s">
        <v>5</v>
      </c>
      <c r="G12" s="7">
        <f t="shared" si="1"/>
        <v>1</v>
      </c>
      <c r="H12" s="7">
        <f t="shared" si="1"/>
        <v>0</v>
      </c>
      <c r="I12" s="7">
        <f t="shared" si="1"/>
        <v>0</v>
      </c>
      <c r="J12" s="7">
        <f t="shared" si="1"/>
        <v>0</v>
      </c>
      <c r="K12" s="7">
        <f t="shared" si="1"/>
        <v>0</v>
      </c>
      <c r="L12" s="6"/>
    </row>
    <row r="13" spans="1:12" x14ac:dyDescent="0.25">
      <c r="A13" s="4">
        <f t="shared" si="0"/>
        <v>1.0010999999999999</v>
      </c>
      <c r="B13" s="7" t="s">
        <v>144</v>
      </c>
      <c r="C13" s="7" t="s">
        <v>151</v>
      </c>
      <c r="D13" s="36"/>
      <c r="E13" s="6"/>
      <c r="F13" s="7" t="s">
        <v>5</v>
      </c>
      <c r="G13" s="7">
        <f t="shared" si="1"/>
        <v>1</v>
      </c>
      <c r="H13" s="7">
        <f t="shared" si="1"/>
        <v>0</v>
      </c>
      <c r="I13" s="7">
        <f t="shared" si="1"/>
        <v>0</v>
      </c>
      <c r="J13" s="7">
        <f t="shared" si="1"/>
        <v>0</v>
      </c>
      <c r="K13" s="7">
        <f t="shared" si="1"/>
        <v>0</v>
      </c>
      <c r="L13" s="6"/>
    </row>
    <row r="14" spans="1:12" x14ac:dyDescent="0.25">
      <c r="A14" s="4">
        <f t="shared" si="0"/>
        <v>1.0011999999999999</v>
      </c>
      <c r="B14" s="7" t="s">
        <v>145</v>
      </c>
      <c r="C14" s="7" t="s">
        <v>151</v>
      </c>
      <c r="D14" s="36"/>
      <c r="E14" s="6"/>
      <c r="F14" s="7" t="s">
        <v>5</v>
      </c>
      <c r="G14" s="7">
        <f t="shared" si="1"/>
        <v>1</v>
      </c>
      <c r="H14" s="7">
        <f t="shared" si="1"/>
        <v>0</v>
      </c>
      <c r="I14" s="7">
        <f t="shared" si="1"/>
        <v>0</v>
      </c>
      <c r="J14" s="7">
        <f t="shared" si="1"/>
        <v>0</v>
      </c>
      <c r="K14" s="7">
        <f t="shared" si="1"/>
        <v>0</v>
      </c>
      <c r="L14" s="6"/>
    </row>
    <row r="15" spans="1:12" x14ac:dyDescent="0.25">
      <c r="A15" s="4">
        <f t="shared" si="0"/>
        <v>1.0012999999999999</v>
      </c>
      <c r="B15" s="7" t="s">
        <v>146</v>
      </c>
      <c r="C15" s="7" t="s">
        <v>152</v>
      </c>
      <c r="D15" s="36"/>
      <c r="E15" s="6"/>
      <c r="F15" s="7" t="s">
        <v>5</v>
      </c>
      <c r="G15" s="7">
        <f t="shared" si="1"/>
        <v>1</v>
      </c>
      <c r="H15" s="7">
        <f t="shared" si="1"/>
        <v>0</v>
      </c>
      <c r="I15" s="7">
        <f t="shared" si="1"/>
        <v>0</v>
      </c>
      <c r="J15" s="7">
        <f t="shared" si="1"/>
        <v>0</v>
      </c>
      <c r="K15" s="7">
        <f t="shared" si="1"/>
        <v>0</v>
      </c>
      <c r="L15" s="6"/>
    </row>
    <row r="16" spans="1:12" x14ac:dyDescent="0.25">
      <c r="A16" s="4">
        <f t="shared" si="0"/>
        <v>1.0013999999999998</v>
      </c>
      <c r="B16" s="7" t="s">
        <v>147</v>
      </c>
      <c r="C16" s="7" t="s">
        <v>152</v>
      </c>
      <c r="D16" s="36"/>
      <c r="E16" s="6"/>
      <c r="F16" s="7" t="s">
        <v>5</v>
      </c>
      <c r="G16" s="7">
        <f t="shared" si="1"/>
        <v>1</v>
      </c>
      <c r="H16" s="7">
        <f t="shared" si="1"/>
        <v>0</v>
      </c>
      <c r="I16" s="7">
        <f t="shared" si="1"/>
        <v>0</v>
      </c>
      <c r="J16" s="7">
        <f t="shared" si="1"/>
        <v>0</v>
      </c>
      <c r="K16" s="7">
        <f t="shared" si="1"/>
        <v>0</v>
      </c>
      <c r="L16" s="6"/>
    </row>
    <row r="17" spans="1:12" x14ac:dyDescent="0.25">
      <c r="A17" s="4">
        <f t="shared" si="0"/>
        <v>1.0014999999999998</v>
      </c>
      <c r="B17" s="7" t="s">
        <v>148</v>
      </c>
      <c r="C17" s="7" t="s">
        <v>152</v>
      </c>
      <c r="D17" s="36"/>
      <c r="E17" s="6"/>
      <c r="F17" s="7" t="s">
        <v>5</v>
      </c>
      <c r="G17" s="7">
        <f t="shared" si="1"/>
        <v>1</v>
      </c>
      <c r="H17" s="7">
        <f t="shared" si="1"/>
        <v>0</v>
      </c>
      <c r="I17" s="7">
        <f t="shared" si="1"/>
        <v>0</v>
      </c>
      <c r="J17" s="7">
        <f t="shared" si="1"/>
        <v>0</v>
      </c>
      <c r="K17" s="7">
        <f t="shared" si="1"/>
        <v>0</v>
      </c>
      <c r="L17" s="6"/>
    </row>
    <row r="18" spans="1:12" x14ac:dyDescent="0.25">
      <c r="A18" s="4">
        <f t="shared" si="0"/>
        <v>1.0015999999999998</v>
      </c>
      <c r="B18" s="7" t="s">
        <v>149</v>
      </c>
      <c r="C18" s="7" t="s">
        <v>152</v>
      </c>
      <c r="D18" s="36"/>
      <c r="E18" s="6"/>
      <c r="F18" s="7" t="s">
        <v>5</v>
      </c>
      <c r="G18" s="7">
        <f t="shared" si="1"/>
        <v>1</v>
      </c>
      <c r="H18" s="7">
        <f t="shared" si="1"/>
        <v>0</v>
      </c>
      <c r="I18" s="7">
        <f t="shared" si="1"/>
        <v>0</v>
      </c>
      <c r="J18" s="7">
        <f t="shared" si="1"/>
        <v>0</v>
      </c>
      <c r="K18" s="7">
        <f t="shared" si="1"/>
        <v>0</v>
      </c>
      <c r="L18" s="6"/>
    </row>
    <row r="19" spans="1:12" x14ac:dyDescent="0.25">
      <c r="A19" s="4">
        <f t="shared" si="0"/>
        <v>1.0016999999999998</v>
      </c>
      <c r="B19" s="6" t="s">
        <v>136</v>
      </c>
      <c r="C19" s="7" t="s">
        <v>137</v>
      </c>
      <c r="D19" s="36"/>
      <c r="E19" s="6"/>
      <c r="F19" s="7" t="s">
        <v>5</v>
      </c>
      <c r="G19" s="7">
        <f t="shared" si="1"/>
        <v>1</v>
      </c>
      <c r="H19" s="7">
        <f t="shared" si="1"/>
        <v>0</v>
      </c>
      <c r="I19" s="7">
        <f t="shared" si="1"/>
        <v>0</v>
      </c>
      <c r="J19" s="7">
        <f t="shared" si="1"/>
        <v>0</v>
      </c>
      <c r="K19" s="7">
        <f t="shared" si="1"/>
        <v>0</v>
      </c>
      <c r="L19" s="6"/>
    </row>
    <row r="20" spans="1:12" x14ac:dyDescent="0.25">
      <c r="A20" s="4">
        <f t="shared" si="0"/>
        <v>1.0017999999999998</v>
      </c>
      <c r="B20" s="6" t="s">
        <v>138</v>
      </c>
      <c r="C20" s="7" t="s">
        <v>139</v>
      </c>
      <c r="D20" s="36"/>
      <c r="E20" s="6"/>
      <c r="F20" s="7" t="s">
        <v>5</v>
      </c>
      <c r="G20" s="7">
        <f t="shared" si="1"/>
        <v>1</v>
      </c>
      <c r="H20" s="7">
        <f t="shared" si="1"/>
        <v>0</v>
      </c>
      <c r="I20" s="7">
        <f t="shared" si="1"/>
        <v>0</v>
      </c>
      <c r="J20" s="7">
        <f t="shared" si="1"/>
        <v>0</v>
      </c>
      <c r="K20" s="7">
        <f t="shared" si="1"/>
        <v>0</v>
      </c>
      <c r="L20" s="6"/>
    </row>
    <row r="21" spans="1:12" x14ac:dyDescent="0.25">
      <c r="A21" s="4">
        <f t="shared" si="0"/>
        <v>1.0018999999999998</v>
      </c>
      <c r="B21" s="6" t="s">
        <v>89</v>
      </c>
      <c r="C21" s="7" t="s">
        <v>141</v>
      </c>
      <c r="D21" s="36"/>
      <c r="E21" s="6"/>
      <c r="F21" s="7" t="s">
        <v>5</v>
      </c>
      <c r="G21" s="7">
        <f t="shared" si="1"/>
        <v>1</v>
      </c>
      <c r="H21" s="7">
        <f t="shared" si="1"/>
        <v>0</v>
      </c>
      <c r="I21" s="7">
        <f t="shared" si="1"/>
        <v>0</v>
      </c>
      <c r="J21" s="7">
        <f t="shared" si="1"/>
        <v>0</v>
      </c>
      <c r="K21" s="7">
        <f t="shared" si="1"/>
        <v>0</v>
      </c>
      <c r="L21" s="6"/>
    </row>
    <row r="22" spans="1:12" x14ac:dyDescent="0.25">
      <c r="A22" s="4">
        <f t="shared" si="0"/>
        <v>1.0019999999999998</v>
      </c>
      <c r="B22" s="6" t="s">
        <v>90</v>
      </c>
      <c r="C22" s="5" t="s">
        <v>109</v>
      </c>
      <c r="D22" s="36"/>
      <c r="E22" s="6"/>
      <c r="F22" s="7" t="s">
        <v>5</v>
      </c>
      <c r="G22" s="7">
        <f t="shared" si="1"/>
        <v>1</v>
      </c>
      <c r="H22" s="7">
        <f t="shared" si="1"/>
        <v>0</v>
      </c>
      <c r="I22" s="7">
        <f t="shared" si="1"/>
        <v>0</v>
      </c>
      <c r="J22" s="7">
        <f t="shared" si="1"/>
        <v>0</v>
      </c>
      <c r="K22" s="7">
        <f t="shared" si="1"/>
        <v>0</v>
      </c>
      <c r="L22" s="6"/>
    </row>
    <row r="23" spans="1:12" x14ac:dyDescent="0.25">
      <c r="A23" s="4">
        <f t="shared" si="0"/>
        <v>1.0020999999999998</v>
      </c>
      <c r="B23" s="5" t="s">
        <v>111</v>
      </c>
      <c r="C23" s="7" t="s">
        <v>112</v>
      </c>
      <c r="D23" s="36"/>
      <c r="E23" s="6"/>
      <c r="F23" s="7" t="s">
        <v>5</v>
      </c>
      <c r="G23" s="7">
        <f t="shared" si="1"/>
        <v>1</v>
      </c>
      <c r="H23" s="7">
        <f t="shared" si="1"/>
        <v>0</v>
      </c>
      <c r="I23" s="7">
        <f t="shared" si="1"/>
        <v>0</v>
      </c>
      <c r="J23" s="7">
        <f t="shared" si="1"/>
        <v>0</v>
      </c>
      <c r="K23" s="7">
        <f t="shared" si="1"/>
        <v>0</v>
      </c>
      <c r="L23" s="6"/>
    </row>
    <row r="24" spans="1:12" x14ac:dyDescent="0.25">
      <c r="A24" s="4">
        <f t="shared" si="0"/>
        <v>1.0021999999999998</v>
      </c>
      <c r="B24" s="6" t="s">
        <v>89</v>
      </c>
      <c r="C24" s="7" t="s">
        <v>153</v>
      </c>
      <c r="D24" s="36"/>
      <c r="E24" s="6"/>
      <c r="F24" s="7" t="s">
        <v>5</v>
      </c>
      <c r="G24" s="7">
        <f t="shared" si="1"/>
        <v>1</v>
      </c>
      <c r="H24" s="7">
        <f t="shared" si="1"/>
        <v>0</v>
      </c>
      <c r="I24" s="7">
        <f t="shared" si="1"/>
        <v>0</v>
      </c>
      <c r="J24" s="7">
        <f t="shared" si="1"/>
        <v>0</v>
      </c>
      <c r="K24" s="7">
        <f t="shared" si="1"/>
        <v>0</v>
      </c>
      <c r="L24" s="6"/>
    </row>
    <row r="25" spans="1:12" x14ac:dyDescent="0.25">
      <c r="A25" s="4">
        <f t="shared" si="0"/>
        <v>1.0022999999999997</v>
      </c>
      <c r="B25" s="6" t="s">
        <v>90</v>
      </c>
      <c r="C25" s="5" t="s">
        <v>109</v>
      </c>
      <c r="D25" s="36"/>
      <c r="E25" s="6"/>
      <c r="F25" s="7" t="s">
        <v>5</v>
      </c>
      <c r="G25" s="7">
        <f t="shared" si="1"/>
        <v>1</v>
      </c>
      <c r="H25" s="7">
        <f t="shared" si="1"/>
        <v>0</v>
      </c>
      <c r="I25" s="7">
        <f t="shared" si="1"/>
        <v>0</v>
      </c>
      <c r="J25" s="7">
        <f t="shared" si="1"/>
        <v>0</v>
      </c>
      <c r="K25" s="7">
        <f t="shared" si="1"/>
        <v>0</v>
      </c>
      <c r="L25" s="6"/>
    </row>
    <row r="26" spans="1:12" x14ac:dyDescent="0.25">
      <c r="A26" s="29">
        <v>2</v>
      </c>
      <c r="B26" s="16" t="s">
        <v>101</v>
      </c>
      <c r="C26" s="30"/>
      <c r="D26" s="37"/>
      <c r="E26" s="30"/>
      <c r="F26" s="31"/>
      <c r="G26" s="32">
        <f>SUM(G3:G25)</f>
        <v>23</v>
      </c>
      <c r="H26" s="32">
        <f t="shared" ref="H26:K26" si="2">SUM(H3:H25)</f>
        <v>0</v>
      </c>
      <c r="I26" s="32">
        <f t="shared" si="2"/>
        <v>0</v>
      </c>
      <c r="J26" s="32">
        <f t="shared" si="2"/>
        <v>0</v>
      </c>
      <c r="K26" s="22">
        <f t="shared" si="2"/>
        <v>0</v>
      </c>
      <c r="L26" s="30"/>
    </row>
    <row r="27" spans="1:12" x14ac:dyDescent="0.25">
      <c r="A27" s="4">
        <f t="shared" si="0"/>
        <v>2.0001000000000002</v>
      </c>
      <c r="B27" s="5" t="s">
        <v>13</v>
      </c>
      <c r="C27" s="8"/>
      <c r="D27" s="36"/>
      <c r="E27" s="6"/>
      <c r="F27" s="7" t="s">
        <v>5</v>
      </c>
      <c r="G27" s="7">
        <f t="shared" si="1"/>
        <v>1</v>
      </c>
      <c r="H27" s="7">
        <f t="shared" si="1"/>
        <v>0</v>
      </c>
      <c r="I27" s="7">
        <f t="shared" si="1"/>
        <v>0</v>
      </c>
      <c r="J27" s="7">
        <f t="shared" si="1"/>
        <v>0</v>
      </c>
      <c r="K27" s="7">
        <f t="shared" si="1"/>
        <v>0</v>
      </c>
      <c r="L27" s="6"/>
    </row>
    <row r="28" spans="1:12" x14ac:dyDescent="0.25">
      <c r="A28" s="4">
        <f t="shared" si="0"/>
        <v>2.0002000000000004</v>
      </c>
      <c r="B28" s="5" t="s">
        <v>14</v>
      </c>
      <c r="C28" s="8"/>
      <c r="D28" s="36"/>
      <c r="E28" s="6"/>
      <c r="F28" s="7" t="s">
        <v>5</v>
      </c>
      <c r="G28" s="7">
        <f t="shared" ref="G28:K51" si="3">IF($F28=G$1,1,0)</f>
        <v>1</v>
      </c>
      <c r="H28" s="7">
        <f t="shared" si="3"/>
        <v>0</v>
      </c>
      <c r="I28" s="7">
        <f t="shared" si="3"/>
        <v>0</v>
      </c>
      <c r="J28" s="7">
        <f t="shared" si="3"/>
        <v>0</v>
      </c>
      <c r="K28" s="7">
        <f t="shared" si="3"/>
        <v>0</v>
      </c>
      <c r="L28" s="6"/>
    </row>
    <row r="29" spans="1:12" ht="25.5" x14ac:dyDescent="0.25">
      <c r="A29" s="4">
        <f t="shared" si="0"/>
        <v>2.0003000000000006</v>
      </c>
      <c r="B29" s="5" t="s">
        <v>102</v>
      </c>
      <c r="C29" s="8" t="s">
        <v>103</v>
      </c>
      <c r="D29" s="36"/>
      <c r="E29" s="6"/>
      <c r="F29" s="7" t="s">
        <v>5</v>
      </c>
      <c r="G29" s="7">
        <f t="shared" si="3"/>
        <v>1</v>
      </c>
      <c r="H29" s="7">
        <f t="shared" si="3"/>
        <v>0</v>
      </c>
      <c r="I29" s="7">
        <f t="shared" si="3"/>
        <v>0</v>
      </c>
      <c r="J29" s="7">
        <f t="shared" si="3"/>
        <v>0</v>
      </c>
      <c r="K29" s="7">
        <f t="shared" si="3"/>
        <v>0</v>
      </c>
      <c r="L29" s="6"/>
    </row>
    <row r="30" spans="1:12" ht="38.25" x14ac:dyDescent="0.25">
      <c r="A30" s="4">
        <f t="shared" si="0"/>
        <v>2.0004000000000008</v>
      </c>
      <c r="B30" s="6" t="s">
        <v>156</v>
      </c>
      <c r="C30" s="5" t="s">
        <v>155</v>
      </c>
      <c r="D30" s="36" t="s">
        <v>191</v>
      </c>
      <c r="E30" s="6"/>
      <c r="F30" s="7" t="s">
        <v>5</v>
      </c>
      <c r="G30" s="7">
        <f t="shared" si="3"/>
        <v>1</v>
      </c>
      <c r="H30" s="7">
        <f t="shared" si="3"/>
        <v>0</v>
      </c>
      <c r="I30" s="7">
        <f t="shared" si="3"/>
        <v>0</v>
      </c>
      <c r="J30" s="7">
        <f t="shared" si="3"/>
        <v>0</v>
      </c>
      <c r="K30" s="7">
        <f t="shared" si="3"/>
        <v>0</v>
      </c>
      <c r="L30" s="6"/>
    </row>
    <row r="31" spans="1:12" ht="25.5" x14ac:dyDescent="0.25">
      <c r="A31" s="4">
        <f t="shared" si="0"/>
        <v>2.0005000000000011</v>
      </c>
      <c r="B31" s="5" t="s">
        <v>157</v>
      </c>
      <c r="C31" s="5" t="s">
        <v>158</v>
      </c>
      <c r="D31" s="36"/>
      <c r="E31" s="6"/>
      <c r="F31" s="7" t="s">
        <v>5</v>
      </c>
      <c r="G31" s="7">
        <f t="shared" si="3"/>
        <v>1</v>
      </c>
      <c r="H31" s="7">
        <f t="shared" si="3"/>
        <v>0</v>
      </c>
      <c r="I31" s="7">
        <f t="shared" si="3"/>
        <v>0</v>
      </c>
      <c r="J31" s="7">
        <f t="shared" si="3"/>
        <v>0</v>
      </c>
      <c r="K31" s="7">
        <f t="shared" si="3"/>
        <v>0</v>
      </c>
      <c r="L31" s="6"/>
    </row>
    <row r="32" spans="1:12" ht="25.5" x14ac:dyDescent="0.25">
      <c r="A32" s="4">
        <f t="shared" si="0"/>
        <v>2.0006000000000013</v>
      </c>
      <c r="B32" s="5" t="s">
        <v>108</v>
      </c>
      <c r="C32" s="5" t="s">
        <v>178</v>
      </c>
      <c r="D32" s="36"/>
      <c r="E32" s="6"/>
      <c r="F32" s="7" t="s">
        <v>5</v>
      </c>
      <c r="G32" s="7">
        <f t="shared" si="3"/>
        <v>1</v>
      </c>
      <c r="H32" s="7">
        <f t="shared" si="3"/>
        <v>0</v>
      </c>
      <c r="I32" s="7">
        <f t="shared" si="3"/>
        <v>0</v>
      </c>
      <c r="J32" s="7">
        <f t="shared" si="3"/>
        <v>0</v>
      </c>
      <c r="K32" s="7">
        <f t="shared" si="3"/>
        <v>0</v>
      </c>
      <c r="L32" s="6"/>
    </row>
    <row r="33" spans="1:12" ht="30" x14ac:dyDescent="0.25">
      <c r="A33" s="4">
        <f t="shared" si="0"/>
        <v>2.0007000000000015</v>
      </c>
      <c r="B33" s="6" t="s">
        <v>28</v>
      </c>
      <c r="C33" s="7" t="s">
        <v>159</v>
      </c>
      <c r="D33" s="36"/>
      <c r="E33" s="6"/>
      <c r="F33" s="7" t="s">
        <v>5</v>
      </c>
      <c r="G33" s="7">
        <f t="shared" si="3"/>
        <v>1</v>
      </c>
      <c r="H33" s="7">
        <f t="shared" si="3"/>
        <v>0</v>
      </c>
      <c r="I33" s="7">
        <f t="shared" si="3"/>
        <v>0</v>
      </c>
      <c r="J33" s="7">
        <f t="shared" si="3"/>
        <v>0</v>
      </c>
      <c r="K33" s="7">
        <f t="shared" si="3"/>
        <v>0</v>
      </c>
      <c r="L33" s="6"/>
    </row>
    <row r="34" spans="1:12" x14ac:dyDescent="0.25">
      <c r="A34" s="4">
        <f t="shared" si="0"/>
        <v>2.0008000000000017</v>
      </c>
      <c r="B34" s="7" t="s">
        <v>160</v>
      </c>
      <c r="C34" s="7" t="s">
        <v>150</v>
      </c>
      <c r="D34" s="36"/>
      <c r="E34" s="6"/>
      <c r="F34" s="7" t="s">
        <v>5</v>
      </c>
      <c r="G34" s="7">
        <f t="shared" si="3"/>
        <v>1</v>
      </c>
      <c r="H34" s="7">
        <f t="shared" si="3"/>
        <v>0</v>
      </c>
      <c r="I34" s="7">
        <f t="shared" si="3"/>
        <v>0</v>
      </c>
      <c r="J34" s="7">
        <f t="shared" si="3"/>
        <v>0</v>
      </c>
      <c r="K34" s="7">
        <f t="shared" si="3"/>
        <v>0</v>
      </c>
      <c r="L34" s="6"/>
    </row>
    <row r="35" spans="1:12" x14ac:dyDescent="0.25">
      <c r="A35" s="4">
        <f t="shared" si="0"/>
        <v>2.0009000000000019</v>
      </c>
      <c r="B35" s="7" t="s">
        <v>161</v>
      </c>
      <c r="C35" s="7" t="s">
        <v>162</v>
      </c>
      <c r="D35" s="36"/>
      <c r="E35" s="6"/>
      <c r="F35" s="7" t="s">
        <v>5</v>
      </c>
      <c r="G35" s="7">
        <f t="shared" si="3"/>
        <v>1</v>
      </c>
      <c r="H35" s="7">
        <f t="shared" si="3"/>
        <v>0</v>
      </c>
      <c r="I35" s="7">
        <f t="shared" si="3"/>
        <v>0</v>
      </c>
      <c r="J35" s="7">
        <f t="shared" si="3"/>
        <v>0</v>
      </c>
      <c r="K35" s="7">
        <f t="shared" si="3"/>
        <v>0</v>
      </c>
      <c r="L35" s="6"/>
    </row>
    <row r="36" spans="1:12" x14ac:dyDescent="0.25">
      <c r="A36" s="4">
        <f t="shared" si="0"/>
        <v>2.0010000000000021</v>
      </c>
      <c r="B36" s="7" t="s">
        <v>163</v>
      </c>
      <c r="C36" s="7" t="s">
        <v>164</v>
      </c>
      <c r="D36" s="36"/>
      <c r="E36" s="6"/>
      <c r="F36" s="7" t="s">
        <v>5</v>
      </c>
      <c r="G36" s="7">
        <f t="shared" si="3"/>
        <v>1</v>
      </c>
      <c r="H36" s="7">
        <f t="shared" si="3"/>
        <v>0</v>
      </c>
      <c r="I36" s="7">
        <f t="shared" si="3"/>
        <v>0</v>
      </c>
      <c r="J36" s="7">
        <f t="shared" si="3"/>
        <v>0</v>
      </c>
      <c r="K36" s="7">
        <f t="shared" si="3"/>
        <v>0</v>
      </c>
      <c r="L36" s="6"/>
    </row>
    <row r="37" spans="1:12" x14ac:dyDescent="0.25">
      <c r="A37" s="4">
        <f t="shared" si="0"/>
        <v>2.0011000000000023</v>
      </c>
      <c r="B37" s="6" t="s">
        <v>89</v>
      </c>
      <c r="C37" s="7" t="s">
        <v>141</v>
      </c>
      <c r="D37" s="36"/>
      <c r="E37" s="6"/>
      <c r="F37" s="7" t="s">
        <v>5</v>
      </c>
      <c r="G37" s="7">
        <f t="shared" si="3"/>
        <v>1</v>
      </c>
      <c r="H37" s="7">
        <f t="shared" si="3"/>
        <v>0</v>
      </c>
      <c r="I37" s="7">
        <f t="shared" si="3"/>
        <v>0</v>
      </c>
      <c r="J37" s="7">
        <f t="shared" si="3"/>
        <v>0</v>
      </c>
      <c r="K37" s="7">
        <f t="shared" si="3"/>
        <v>0</v>
      </c>
      <c r="L37" s="6"/>
    </row>
    <row r="38" spans="1:12" ht="30" x14ac:dyDescent="0.25">
      <c r="A38" s="4">
        <f t="shared" si="0"/>
        <v>2.0012000000000025</v>
      </c>
      <c r="B38" s="7" t="s">
        <v>165</v>
      </c>
      <c r="C38" s="7" t="s">
        <v>166</v>
      </c>
      <c r="D38" s="36"/>
      <c r="E38" s="6"/>
      <c r="F38" s="7" t="s">
        <v>5</v>
      </c>
      <c r="G38" s="7">
        <f t="shared" si="3"/>
        <v>1</v>
      </c>
      <c r="H38" s="7">
        <f t="shared" si="3"/>
        <v>0</v>
      </c>
      <c r="I38" s="7">
        <f t="shared" si="3"/>
        <v>0</v>
      </c>
      <c r="J38" s="7">
        <f t="shared" si="3"/>
        <v>0</v>
      </c>
      <c r="K38" s="7">
        <f t="shared" si="3"/>
        <v>0</v>
      </c>
      <c r="L38" s="6"/>
    </row>
    <row r="39" spans="1:12" x14ac:dyDescent="0.25">
      <c r="A39" s="4">
        <f t="shared" si="0"/>
        <v>2.0013000000000027</v>
      </c>
      <c r="B39" s="7" t="s">
        <v>167</v>
      </c>
      <c r="C39" s="7" t="s">
        <v>168</v>
      </c>
      <c r="D39" s="36"/>
      <c r="E39" s="6"/>
      <c r="F39" s="7" t="s">
        <v>5</v>
      </c>
      <c r="G39" s="7">
        <f t="shared" si="3"/>
        <v>1</v>
      </c>
      <c r="H39" s="7">
        <f t="shared" si="3"/>
        <v>0</v>
      </c>
      <c r="I39" s="7">
        <f t="shared" si="3"/>
        <v>0</v>
      </c>
      <c r="J39" s="7">
        <f t="shared" si="3"/>
        <v>0</v>
      </c>
      <c r="K39" s="7">
        <f t="shared" si="3"/>
        <v>0</v>
      </c>
      <c r="L39" s="6"/>
    </row>
    <row r="40" spans="1:12" x14ac:dyDescent="0.25">
      <c r="A40" s="4">
        <f t="shared" si="0"/>
        <v>2.001400000000003</v>
      </c>
      <c r="B40" s="7" t="s">
        <v>89</v>
      </c>
      <c r="C40" s="7" t="s">
        <v>153</v>
      </c>
      <c r="D40" s="36"/>
      <c r="E40" s="6"/>
      <c r="F40" s="7" t="s">
        <v>5</v>
      </c>
      <c r="G40" s="7">
        <f t="shared" si="3"/>
        <v>1</v>
      </c>
      <c r="H40" s="7">
        <f t="shared" si="3"/>
        <v>0</v>
      </c>
      <c r="I40" s="7">
        <f t="shared" si="3"/>
        <v>0</v>
      </c>
      <c r="J40" s="7">
        <f t="shared" si="3"/>
        <v>0</v>
      </c>
      <c r="K40" s="7">
        <f t="shared" si="3"/>
        <v>0</v>
      </c>
      <c r="L40" s="6"/>
    </row>
    <row r="41" spans="1:12" ht="30" x14ac:dyDescent="0.25">
      <c r="A41" s="4">
        <f t="shared" si="0"/>
        <v>2.0015000000000032</v>
      </c>
      <c r="B41" s="7" t="s">
        <v>169</v>
      </c>
      <c r="C41" s="7" t="s">
        <v>170</v>
      </c>
      <c r="D41" s="36"/>
      <c r="E41" s="6"/>
      <c r="F41" s="7" t="s">
        <v>7</v>
      </c>
      <c r="G41" s="7">
        <f t="shared" si="3"/>
        <v>0</v>
      </c>
      <c r="H41" s="7">
        <f t="shared" si="3"/>
        <v>0</v>
      </c>
      <c r="I41" s="7">
        <f t="shared" si="3"/>
        <v>0</v>
      </c>
      <c r="J41" s="7">
        <f t="shared" si="3"/>
        <v>1</v>
      </c>
      <c r="K41" s="7">
        <f t="shared" si="3"/>
        <v>0</v>
      </c>
      <c r="L41" s="6"/>
    </row>
    <row r="42" spans="1:12" ht="30" x14ac:dyDescent="0.25">
      <c r="A42" s="4">
        <f t="shared" si="0"/>
        <v>2.0016000000000034</v>
      </c>
      <c r="B42" s="7" t="s">
        <v>171</v>
      </c>
      <c r="C42" s="7"/>
      <c r="D42" s="36"/>
      <c r="E42" s="6" t="s">
        <v>172</v>
      </c>
      <c r="F42" s="7" t="s">
        <v>7</v>
      </c>
      <c r="G42" s="7">
        <f t="shared" si="3"/>
        <v>0</v>
      </c>
      <c r="H42" s="7">
        <f t="shared" si="3"/>
        <v>0</v>
      </c>
      <c r="I42" s="7">
        <f t="shared" si="3"/>
        <v>0</v>
      </c>
      <c r="J42" s="7">
        <f t="shared" si="3"/>
        <v>1</v>
      </c>
      <c r="K42" s="7">
        <f t="shared" si="3"/>
        <v>0</v>
      </c>
      <c r="L42" s="6"/>
    </row>
    <row r="43" spans="1:12" x14ac:dyDescent="0.25">
      <c r="A43" s="4">
        <f t="shared" si="0"/>
        <v>2.0017000000000036</v>
      </c>
      <c r="B43" s="7"/>
      <c r="C43" s="7"/>
      <c r="D43" s="36"/>
      <c r="E43" s="6" t="s">
        <v>172</v>
      </c>
      <c r="F43" s="7" t="s">
        <v>7</v>
      </c>
      <c r="G43" s="7">
        <f t="shared" si="3"/>
        <v>0</v>
      </c>
      <c r="H43" s="7">
        <f t="shared" si="3"/>
        <v>0</v>
      </c>
      <c r="I43" s="7">
        <f t="shared" si="3"/>
        <v>0</v>
      </c>
      <c r="J43" s="7">
        <f t="shared" si="3"/>
        <v>1</v>
      </c>
      <c r="K43" s="7">
        <f t="shared" si="3"/>
        <v>0</v>
      </c>
      <c r="L43" s="6"/>
    </row>
    <row r="44" spans="1:12" x14ac:dyDescent="0.25">
      <c r="A44" s="4">
        <f t="shared" si="0"/>
        <v>2.0018000000000038</v>
      </c>
      <c r="B44" s="7"/>
      <c r="C44" s="7"/>
      <c r="D44" s="36"/>
      <c r="E44" s="6" t="s">
        <v>172</v>
      </c>
      <c r="F44" s="7" t="s">
        <v>7</v>
      </c>
      <c r="G44" s="7">
        <f t="shared" si="3"/>
        <v>0</v>
      </c>
      <c r="H44" s="7">
        <f t="shared" si="3"/>
        <v>0</v>
      </c>
      <c r="I44" s="7">
        <f t="shared" si="3"/>
        <v>0</v>
      </c>
      <c r="J44" s="7">
        <f t="shared" si="3"/>
        <v>1</v>
      </c>
      <c r="K44" s="7">
        <f t="shared" si="3"/>
        <v>0</v>
      </c>
      <c r="L44" s="6"/>
    </row>
    <row r="45" spans="1:12" x14ac:dyDescent="0.25">
      <c r="A45" s="4">
        <f t="shared" si="0"/>
        <v>2.001900000000004</v>
      </c>
      <c r="B45" s="6"/>
      <c r="C45" s="7"/>
      <c r="D45" s="36"/>
      <c r="E45" s="6" t="s">
        <v>172</v>
      </c>
      <c r="F45" s="7" t="s">
        <v>7</v>
      </c>
      <c r="G45" s="7">
        <f t="shared" si="3"/>
        <v>0</v>
      </c>
      <c r="H45" s="7">
        <f t="shared" si="3"/>
        <v>0</v>
      </c>
      <c r="I45" s="7">
        <f t="shared" si="3"/>
        <v>0</v>
      </c>
      <c r="J45" s="7">
        <f t="shared" si="3"/>
        <v>1</v>
      </c>
      <c r="K45" s="7">
        <f t="shared" si="3"/>
        <v>0</v>
      </c>
      <c r="L45" s="6"/>
    </row>
    <row r="46" spans="1:12" x14ac:dyDescent="0.25">
      <c r="A46" s="4">
        <f t="shared" si="0"/>
        <v>2.0020000000000042</v>
      </c>
      <c r="B46" s="6"/>
      <c r="C46" s="7"/>
      <c r="D46" s="36"/>
      <c r="E46" s="6" t="s">
        <v>172</v>
      </c>
      <c r="F46" s="7" t="s">
        <v>7</v>
      </c>
      <c r="G46" s="7">
        <f t="shared" si="3"/>
        <v>0</v>
      </c>
      <c r="H46" s="7">
        <f t="shared" si="3"/>
        <v>0</v>
      </c>
      <c r="I46" s="7">
        <f t="shared" si="3"/>
        <v>0</v>
      </c>
      <c r="J46" s="7">
        <f t="shared" si="3"/>
        <v>1</v>
      </c>
      <c r="K46" s="7">
        <f t="shared" si="3"/>
        <v>0</v>
      </c>
      <c r="L46" s="6"/>
    </row>
    <row r="47" spans="1:12" x14ac:dyDescent="0.25">
      <c r="A47" s="4">
        <f t="shared" si="0"/>
        <v>2.0021000000000044</v>
      </c>
      <c r="B47" s="6" t="s">
        <v>90</v>
      </c>
      <c r="C47" s="5" t="s">
        <v>109</v>
      </c>
      <c r="D47" s="36"/>
      <c r="E47" s="6"/>
      <c r="F47" s="7" t="s">
        <v>7</v>
      </c>
      <c r="G47" s="7">
        <f t="shared" si="3"/>
        <v>0</v>
      </c>
      <c r="H47" s="7">
        <f t="shared" si="3"/>
        <v>0</v>
      </c>
      <c r="I47" s="7">
        <f t="shared" si="3"/>
        <v>0</v>
      </c>
      <c r="J47" s="7">
        <f t="shared" si="3"/>
        <v>1</v>
      </c>
      <c r="K47" s="7">
        <f t="shared" si="3"/>
        <v>0</v>
      </c>
      <c r="L47" s="6"/>
    </row>
    <row r="48" spans="1:12" ht="45" x14ac:dyDescent="0.25">
      <c r="A48" s="4">
        <f t="shared" si="0"/>
        <v>2.0022000000000046</v>
      </c>
      <c r="B48" s="5" t="s">
        <v>173</v>
      </c>
      <c r="C48" s="7" t="s">
        <v>174</v>
      </c>
      <c r="D48" s="36"/>
      <c r="E48" s="6"/>
      <c r="F48" s="7" t="s">
        <v>5</v>
      </c>
      <c r="G48" s="7">
        <f t="shared" si="3"/>
        <v>1</v>
      </c>
      <c r="H48" s="7">
        <f t="shared" si="3"/>
        <v>0</v>
      </c>
      <c r="I48" s="7">
        <f t="shared" si="3"/>
        <v>0</v>
      </c>
      <c r="J48" s="7">
        <f t="shared" si="3"/>
        <v>0</v>
      </c>
      <c r="K48" s="7">
        <f t="shared" si="3"/>
        <v>0</v>
      </c>
      <c r="L48" s="6"/>
    </row>
    <row r="49" spans="1:12" x14ac:dyDescent="0.25">
      <c r="A49" s="4">
        <f t="shared" si="0"/>
        <v>2.0023000000000049</v>
      </c>
      <c r="B49" s="5"/>
      <c r="C49" s="7" t="s">
        <v>175</v>
      </c>
      <c r="D49" s="36"/>
      <c r="E49" s="6"/>
      <c r="F49" s="7" t="s">
        <v>5</v>
      </c>
      <c r="G49" s="7">
        <f t="shared" si="3"/>
        <v>1</v>
      </c>
      <c r="H49" s="7">
        <f t="shared" si="3"/>
        <v>0</v>
      </c>
      <c r="I49" s="7">
        <f t="shared" si="3"/>
        <v>0</v>
      </c>
      <c r="J49" s="7">
        <f t="shared" si="3"/>
        <v>0</v>
      </c>
      <c r="K49" s="7">
        <f t="shared" si="3"/>
        <v>0</v>
      </c>
      <c r="L49" s="6"/>
    </row>
    <row r="50" spans="1:12" ht="25.5" x14ac:dyDescent="0.25">
      <c r="A50" s="4">
        <f t="shared" si="0"/>
        <v>2.0024000000000051</v>
      </c>
      <c r="B50" s="5" t="s">
        <v>176</v>
      </c>
      <c r="C50" s="7" t="s">
        <v>177</v>
      </c>
      <c r="D50" s="36"/>
      <c r="E50" s="6"/>
      <c r="F50" s="7" t="s">
        <v>5</v>
      </c>
      <c r="G50" s="7">
        <f t="shared" si="3"/>
        <v>1</v>
      </c>
      <c r="H50" s="7">
        <f t="shared" si="3"/>
        <v>0</v>
      </c>
      <c r="I50" s="7">
        <f t="shared" si="3"/>
        <v>0</v>
      </c>
      <c r="J50" s="7">
        <f t="shared" si="3"/>
        <v>0</v>
      </c>
      <c r="K50" s="7">
        <f t="shared" si="3"/>
        <v>0</v>
      </c>
      <c r="L50" s="6"/>
    </row>
    <row r="51" spans="1:12" ht="25.5" x14ac:dyDescent="0.25">
      <c r="A51" s="4">
        <f t="shared" si="0"/>
        <v>2.0025000000000053</v>
      </c>
      <c r="B51" s="6" t="s">
        <v>90</v>
      </c>
      <c r="C51" s="5" t="s">
        <v>178</v>
      </c>
      <c r="D51" s="36"/>
      <c r="E51" s="6"/>
      <c r="F51" s="7" t="s">
        <v>5</v>
      </c>
      <c r="G51" s="7">
        <f t="shared" si="3"/>
        <v>1</v>
      </c>
      <c r="H51" s="7">
        <f t="shared" si="3"/>
        <v>0</v>
      </c>
      <c r="I51" s="7">
        <f t="shared" si="3"/>
        <v>0</v>
      </c>
      <c r="J51" s="7">
        <f t="shared" si="3"/>
        <v>0</v>
      </c>
      <c r="K51" s="7">
        <f t="shared" si="3"/>
        <v>0</v>
      </c>
      <c r="L51" s="6"/>
    </row>
    <row r="52" spans="1:12" x14ac:dyDescent="0.25">
      <c r="A52" s="29"/>
      <c r="B52" s="30"/>
      <c r="C52" s="30"/>
      <c r="D52" s="37"/>
      <c r="E52" s="30"/>
      <c r="F52" s="31"/>
      <c r="G52" s="33">
        <f>SUM(G27:G51)</f>
        <v>18</v>
      </c>
      <c r="H52" s="33">
        <f t="shared" ref="H52:K52" si="4">SUM(H27:H51)</f>
        <v>0</v>
      </c>
      <c r="I52" s="33">
        <f t="shared" si="4"/>
        <v>0</v>
      </c>
      <c r="J52" s="33">
        <f t="shared" si="4"/>
        <v>7</v>
      </c>
      <c r="K52" s="33">
        <f t="shared" si="4"/>
        <v>0</v>
      </c>
      <c r="L52" s="30"/>
    </row>
    <row r="53" spans="1:12" x14ac:dyDescent="0.25">
      <c r="A53" s="25"/>
      <c r="B53" s="26"/>
      <c r="C53" s="27"/>
      <c r="D53" s="38"/>
      <c r="E53" s="26"/>
      <c r="F53" s="28"/>
      <c r="G53" s="7">
        <f>G26+G52</f>
        <v>41</v>
      </c>
      <c r="H53" s="7">
        <f t="shared" ref="H53:K53" si="5">H26+H52</f>
        <v>0</v>
      </c>
      <c r="I53" s="7">
        <f t="shared" si="5"/>
        <v>0</v>
      </c>
      <c r="J53" s="7">
        <f t="shared" si="5"/>
        <v>7</v>
      </c>
      <c r="K53" s="7">
        <f t="shared" si="5"/>
        <v>0</v>
      </c>
      <c r="L53" s="26"/>
    </row>
    <row r="54" spans="1:12" x14ac:dyDescent="0.25">
      <c r="A54" s="25"/>
      <c r="B54" s="26"/>
      <c r="C54" s="27"/>
      <c r="D54" s="38"/>
      <c r="E54" s="26"/>
      <c r="F54" s="28"/>
      <c r="G54" s="28"/>
      <c r="H54" s="28"/>
      <c r="I54" s="28"/>
      <c r="J54" s="28"/>
      <c r="K54" s="28"/>
      <c r="L54" s="26"/>
    </row>
    <row r="55" spans="1:12" x14ac:dyDescent="0.25">
      <c r="A55" s="25"/>
      <c r="B55" s="26"/>
      <c r="C55" s="27"/>
      <c r="D55" s="38"/>
      <c r="E55" s="26"/>
      <c r="F55" s="28"/>
      <c r="G55" s="28"/>
      <c r="H55" s="28"/>
      <c r="I55" s="28"/>
      <c r="J55" s="28"/>
      <c r="K55" s="28"/>
      <c r="L55" s="26"/>
    </row>
    <row r="56" spans="1:12" x14ac:dyDescent="0.25">
      <c r="A56" s="25"/>
      <c r="B56" s="26"/>
      <c r="C56" s="27"/>
      <c r="D56" s="38"/>
      <c r="E56" s="26"/>
      <c r="F56" s="28"/>
      <c r="G56" s="28"/>
      <c r="H56" s="28"/>
      <c r="I56" s="28"/>
      <c r="J56" s="28"/>
      <c r="K56" s="28"/>
      <c r="L56" s="26"/>
    </row>
    <row r="57" spans="1:12" x14ac:dyDescent="0.25">
      <c r="A57" s="25"/>
      <c r="B57" s="26"/>
      <c r="C57" s="27"/>
      <c r="D57" s="38"/>
      <c r="E57" s="26"/>
      <c r="F57" s="28"/>
      <c r="G57" s="28"/>
      <c r="H57" s="28"/>
      <c r="I57" s="28"/>
      <c r="J57" s="28"/>
      <c r="K57" s="28"/>
      <c r="L57" s="26"/>
    </row>
    <row r="58" spans="1:12" x14ac:dyDescent="0.25">
      <c r="A58" s="25"/>
      <c r="B58" s="26"/>
      <c r="C58" s="27"/>
      <c r="D58" s="38"/>
      <c r="E58" s="26"/>
      <c r="F58" s="28"/>
      <c r="G58" s="28"/>
      <c r="H58" s="28"/>
      <c r="I58" s="28"/>
      <c r="J58" s="28"/>
      <c r="K58" s="28"/>
      <c r="L58" s="26"/>
    </row>
    <row r="59" spans="1:12" x14ac:dyDescent="0.25">
      <c r="A59" s="25"/>
      <c r="B59" s="26"/>
      <c r="C59" s="27"/>
      <c r="D59" s="38"/>
      <c r="E59" s="26"/>
      <c r="F59" s="28"/>
      <c r="G59" s="28"/>
      <c r="H59" s="28"/>
      <c r="I59" s="28"/>
      <c r="J59" s="28"/>
      <c r="K59" s="28"/>
      <c r="L59" s="26"/>
    </row>
    <row r="60" spans="1:12" x14ac:dyDescent="0.25">
      <c r="A60" s="25"/>
      <c r="B60" s="26"/>
      <c r="C60" s="27"/>
      <c r="D60" s="38"/>
      <c r="E60" s="26"/>
      <c r="F60" s="28"/>
      <c r="G60" s="28"/>
      <c r="H60" s="28"/>
      <c r="I60" s="28"/>
      <c r="J60" s="28"/>
      <c r="K60" s="28"/>
      <c r="L60" s="26"/>
    </row>
    <row r="61" spans="1:12" x14ac:dyDescent="0.25">
      <c r="A61" s="25"/>
      <c r="B61" s="26"/>
      <c r="C61" s="27"/>
      <c r="D61" s="38"/>
      <c r="E61" s="26"/>
      <c r="F61" s="28"/>
      <c r="G61" s="28"/>
      <c r="H61" s="28"/>
      <c r="I61" s="28"/>
      <c r="J61" s="28"/>
      <c r="K61" s="28"/>
      <c r="L61" s="26"/>
    </row>
    <row r="62" spans="1:12" x14ac:dyDescent="0.25">
      <c r="A62" s="25"/>
      <c r="B62" s="26"/>
      <c r="C62" s="27"/>
      <c r="D62" s="38"/>
      <c r="E62" s="26"/>
      <c r="F62" s="28"/>
      <c r="G62" s="28"/>
      <c r="H62" s="28"/>
      <c r="I62" s="28"/>
      <c r="J62" s="28"/>
      <c r="K62" s="28"/>
      <c r="L62" s="26"/>
    </row>
    <row r="63" spans="1:12" x14ac:dyDescent="0.25">
      <c r="A63" s="25"/>
      <c r="B63" s="26"/>
      <c r="C63" s="27"/>
      <c r="D63" s="38"/>
      <c r="E63" s="26"/>
      <c r="F63" s="28"/>
      <c r="G63" s="28"/>
      <c r="H63" s="28"/>
      <c r="I63" s="28"/>
      <c r="J63" s="28"/>
      <c r="K63" s="28"/>
      <c r="L63" s="26"/>
    </row>
    <row r="64" spans="1:12" x14ac:dyDescent="0.25">
      <c r="A64" s="25"/>
      <c r="B64" s="26"/>
      <c r="C64" s="27"/>
      <c r="D64" s="38"/>
      <c r="E64" s="26"/>
      <c r="F64" s="28"/>
      <c r="G64" s="28"/>
      <c r="H64" s="28"/>
      <c r="I64" s="28"/>
      <c r="J64" s="28"/>
      <c r="K64" s="28"/>
      <c r="L64" s="26"/>
    </row>
    <row r="65" spans="1:12" x14ac:dyDescent="0.25">
      <c r="A65" s="25"/>
      <c r="B65" s="26"/>
      <c r="C65" s="27"/>
      <c r="D65" s="38"/>
      <c r="E65" s="26"/>
      <c r="F65" s="28"/>
      <c r="G65" s="28"/>
      <c r="H65" s="28"/>
      <c r="I65" s="28"/>
      <c r="J65" s="28"/>
      <c r="K65" s="28"/>
      <c r="L65" s="26"/>
    </row>
    <row r="66" spans="1:12" ht="15.75" thickBot="1" x14ac:dyDescent="0.3">
      <c r="G66" s="20">
        <f>SUM(G2:G25)</f>
        <v>23</v>
      </c>
      <c r="H66" s="20">
        <f>SUM(H2:H25)</f>
        <v>0</v>
      </c>
      <c r="I66" s="20">
        <f>SUM(I2:I25)</f>
        <v>0</v>
      </c>
      <c r="J66" s="20">
        <f>SUM(J2:J25)</f>
        <v>0</v>
      </c>
      <c r="K66" s="20">
        <f>SUM(K2:K25)</f>
        <v>0</v>
      </c>
    </row>
    <row r="67" spans="1:12" ht="15.75" thickTop="1" x14ac:dyDescent="0.25"/>
  </sheetData>
  <conditionalFormatting sqref="B2">
    <cfRule type="expression" dxfId="25" priority="19">
      <formula>$F2="Fail"</formula>
    </cfRule>
  </conditionalFormatting>
  <conditionalFormatting sqref="D21:E26 B21:B25 B52:B65 D52:E65">
    <cfRule type="expression" dxfId="24" priority="25">
      <formula>$F21="Fail"</formula>
    </cfRule>
  </conditionalFormatting>
  <conditionalFormatting sqref="D3:E3">
    <cfRule type="expression" dxfId="23" priority="24">
      <formula>$F3="Fail"</formula>
    </cfRule>
  </conditionalFormatting>
  <conditionalFormatting sqref="B3:C7">
    <cfRule type="expression" dxfId="22" priority="21">
      <formula>$F3="Fail"</formula>
    </cfRule>
  </conditionalFormatting>
  <conditionalFormatting sqref="C8">
    <cfRule type="expression" dxfId="21" priority="22">
      <formula>$F9="Fail"</formula>
    </cfRule>
  </conditionalFormatting>
  <conditionalFormatting sqref="C25:C26 C52:C65">
    <cfRule type="expression" dxfId="20" priority="26">
      <formula>#REF!="Fail"</formula>
    </cfRule>
  </conditionalFormatting>
  <conditionalFormatting sqref="C22">
    <cfRule type="expression" dxfId="19" priority="20">
      <formula>$F23="Fail"</formula>
    </cfRule>
  </conditionalFormatting>
  <conditionalFormatting sqref="B20">
    <cfRule type="expression" dxfId="18" priority="414">
      <formula>$F19="Fail"</formula>
    </cfRule>
  </conditionalFormatting>
  <conditionalFormatting sqref="B19">
    <cfRule type="expression" dxfId="17" priority="415">
      <formula>$F10="Fail"</formula>
    </cfRule>
  </conditionalFormatting>
  <conditionalFormatting sqref="C29">
    <cfRule type="expression" dxfId="16" priority="7">
      <formula>$F29="Fail"</formula>
    </cfRule>
  </conditionalFormatting>
  <conditionalFormatting sqref="D37:E37 B37">
    <cfRule type="expression" dxfId="15" priority="5">
      <formula>$F37="Fail"</formula>
    </cfRule>
  </conditionalFormatting>
  <conditionalFormatting sqref="B26">
    <cfRule type="expression" dxfId="14" priority="17">
      <formula>$F26="Fail"</formula>
    </cfRule>
  </conditionalFormatting>
  <conditionalFormatting sqref="B32:B33 D28:E36 A27:A36 G27:L36 A38 A40 A42 A44 A46 A48 A50">
    <cfRule type="expression" dxfId="13" priority="14">
      <formula>$F27="Fail"</formula>
    </cfRule>
  </conditionalFormatting>
  <conditionalFormatting sqref="D27:E27">
    <cfRule type="expression" dxfId="12" priority="11">
      <formula>$F27="Fail"</formula>
    </cfRule>
  </conditionalFormatting>
  <conditionalFormatting sqref="B27:C28 B30:C31 B29">
    <cfRule type="expression" dxfId="11" priority="9">
      <formula>$F27="Fail"</formula>
    </cfRule>
  </conditionalFormatting>
  <conditionalFormatting sqref="C32">
    <cfRule type="expression" dxfId="10" priority="10">
      <formula>$F33="Fail"</formula>
    </cfRule>
  </conditionalFormatting>
  <conditionalFormatting sqref="C51">
    <cfRule type="expression" dxfId="9" priority="13">
      <formula>#REF!="Fail"</formula>
    </cfRule>
  </conditionalFormatting>
  <conditionalFormatting sqref="C47">
    <cfRule type="expression" dxfId="8" priority="8">
      <formula>$F48="Fail"</formula>
    </cfRule>
  </conditionalFormatting>
  <conditionalFormatting sqref="B46">
    <cfRule type="expression" dxfId="7" priority="15">
      <formula>$F45="Fail"</formula>
    </cfRule>
  </conditionalFormatting>
  <conditionalFormatting sqref="B45">
    <cfRule type="expression" dxfId="6" priority="16">
      <formula>$F34="Fail"</formula>
    </cfRule>
  </conditionalFormatting>
  <conditionalFormatting sqref="G37:L37 A37 A39 A41 A43 A45 A47 A49 A51">
    <cfRule type="expression" dxfId="5" priority="6">
      <formula>$F37="Fail"</formula>
    </cfRule>
  </conditionalFormatting>
  <conditionalFormatting sqref="B51">
    <cfRule type="expression" dxfId="4" priority="421">
      <formula>#REF!="Fail"</formula>
    </cfRule>
  </conditionalFormatting>
  <conditionalFormatting sqref="A26:K26 A3:E25 G3:K25 A41:K47 A27:E40 G27:K40 A48:E51 G48:K51">
    <cfRule type="expression" dxfId="3" priority="4">
      <formula>$F3="Fail"</formula>
    </cfRule>
  </conditionalFormatting>
  <conditionalFormatting sqref="F3:F25">
    <cfRule type="expression" dxfId="2" priority="3">
      <formula>$F3="Fail"</formula>
    </cfRule>
  </conditionalFormatting>
  <conditionalFormatting sqref="F27:F40">
    <cfRule type="expression" dxfId="1" priority="2">
      <formula>$F27="Fail"</formula>
    </cfRule>
  </conditionalFormatting>
  <conditionalFormatting sqref="F48:F51">
    <cfRule type="expression" dxfId="0" priority="1">
      <formula>$F48="Fail"</formula>
    </cfRule>
  </conditionalFormatting>
  <dataValidations count="1">
    <dataValidation type="list" allowBlank="1" showInputMessage="1" showErrorMessage="1" sqref="F2:F65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228600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Test Case</vt:lpstr>
      <vt:lpstr>2</vt:lpstr>
      <vt:lpstr>3</vt:lpstr>
      <vt:lpstr>4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dcterms:created xsi:type="dcterms:W3CDTF">2014-07-31T09:50:05Z</dcterms:created>
  <dcterms:modified xsi:type="dcterms:W3CDTF">2020-07-06T16:20:56Z</dcterms:modified>
</cp:coreProperties>
</file>