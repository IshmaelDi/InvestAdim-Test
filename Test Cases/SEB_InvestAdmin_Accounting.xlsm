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285" windowWidth="15240" windowHeight="7860"/>
  </bookViews>
  <sheets>
    <sheet name="Summary" sheetId="3" r:id="rId1"/>
    <sheet name="RFA" sheetId="2" r:id="rId2"/>
    <sheet name="SCI" sheetId="4" r:id="rId3"/>
    <sheet name="Transaction list 2" sheetId="6" r:id="rId4"/>
  </sheets>
  <calcPr calcId="145621"/>
</workbook>
</file>

<file path=xl/calcChain.xml><?xml version="1.0" encoding="utf-8"?>
<calcChain xmlns="http://schemas.openxmlformats.org/spreadsheetml/2006/main">
  <c r="O179" i="2" l="1"/>
  <c r="N179" i="2"/>
  <c r="M179" i="2"/>
  <c r="L179" i="2"/>
  <c r="K179" i="2"/>
  <c r="O171" i="2"/>
  <c r="N171" i="2"/>
  <c r="M171" i="2"/>
  <c r="L171" i="2"/>
  <c r="K171" i="2"/>
  <c r="O181" i="2"/>
  <c r="N181" i="2"/>
  <c r="M181" i="2"/>
  <c r="L181" i="2"/>
  <c r="K181" i="2"/>
  <c r="O178" i="2"/>
  <c r="N178" i="2"/>
  <c r="M178" i="2"/>
  <c r="L178" i="2"/>
  <c r="K178" i="2"/>
  <c r="O177" i="2"/>
  <c r="N177" i="2"/>
  <c r="M177" i="2"/>
  <c r="L177" i="2"/>
  <c r="K177" i="2"/>
  <c r="O176" i="2"/>
  <c r="N176" i="2"/>
  <c r="M176" i="2"/>
  <c r="L176" i="2"/>
  <c r="K176" i="2"/>
  <c r="O175" i="2"/>
  <c r="N175" i="2"/>
  <c r="M175" i="2"/>
  <c r="L175" i="2"/>
  <c r="K175" i="2"/>
  <c r="O174" i="2"/>
  <c r="N174" i="2"/>
  <c r="M174" i="2"/>
  <c r="L174" i="2"/>
  <c r="K174" i="2"/>
  <c r="O173" i="2"/>
  <c r="N173" i="2"/>
  <c r="M173" i="2"/>
  <c r="L173" i="2"/>
  <c r="K173" i="2"/>
  <c r="O172" i="2"/>
  <c r="N172" i="2"/>
  <c r="M172" i="2"/>
  <c r="L172" i="2"/>
  <c r="K172" i="2"/>
  <c r="O168" i="2"/>
  <c r="N168" i="2"/>
  <c r="M168" i="2"/>
  <c r="L168" i="2"/>
  <c r="K168" i="2"/>
  <c r="K39" i="6" l="1"/>
  <c r="J39" i="6"/>
  <c r="I39" i="6"/>
  <c r="H39" i="6"/>
  <c r="G39" i="6"/>
  <c r="K7" i="6"/>
  <c r="J7" i="6"/>
  <c r="I7" i="6"/>
  <c r="H7" i="6"/>
  <c r="G7" i="6"/>
  <c r="J30" i="6"/>
  <c r="I30" i="6"/>
  <c r="H30" i="6"/>
  <c r="G30" i="6"/>
  <c r="G3" i="6"/>
  <c r="H3" i="6"/>
  <c r="I3" i="6"/>
  <c r="J3" i="6"/>
  <c r="K3" i="6"/>
  <c r="A5" i="6"/>
  <c r="G5" i="6"/>
  <c r="H5" i="6"/>
  <c r="I5" i="6"/>
  <c r="J5" i="6"/>
  <c r="K5" i="6"/>
  <c r="A6" i="6"/>
  <c r="G6" i="6"/>
  <c r="H6" i="6"/>
  <c r="I6" i="6"/>
  <c r="J6" i="6"/>
  <c r="K6" i="6"/>
  <c r="K8" i="6"/>
  <c r="A9" i="6"/>
  <c r="A10" i="6" s="1"/>
  <c r="A11" i="6" s="1"/>
  <c r="A12" i="6" s="1"/>
  <c r="A13" i="6" s="1"/>
  <c r="A14" i="6" s="1"/>
  <c r="A16" i="6" s="1"/>
  <c r="A17" i="6" s="1"/>
  <c r="A18" i="6" s="1"/>
  <c r="A19" i="6" s="1"/>
  <c r="A20" i="6" s="1"/>
  <c r="A21" i="6" s="1"/>
  <c r="A23" i="6" s="1"/>
  <c r="A24" i="6" s="1"/>
  <c r="A25" i="6" s="1"/>
  <c r="A26" i="6" s="1"/>
  <c r="A27" i="6" s="1"/>
  <c r="A28" i="6" s="1"/>
  <c r="G9" i="6"/>
  <c r="H9" i="6"/>
  <c r="I9" i="6"/>
  <c r="J9" i="6"/>
  <c r="K9" i="6"/>
  <c r="G10" i="6"/>
  <c r="H10" i="6"/>
  <c r="I10" i="6"/>
  <c r="J10" i="6"/>
  <c r="K10" i="6"/>
  <c r="K11" i="6"/>
  <c r="G12" i="6"/>
  <c r="H12" i="6"/>
  <c r="I12" i="6"/>
  <c r="J12" i="6"/>
  <c r="K12" i="6"/>
  <c r="G13" i="6"/>
  <c r="H13" i="6"/>
  <c r="I13" i="6"/>
  <c r="J13" i="6"/>
  <c r="K13" i="6"/>
  <c r="G14" i="6"/>
  <c r="H14" i="6"/>
  <c r="I14" i="6"/>
  <c r="J14" i="6"/>
  <c r="K14" i="6"/>
  <c r="K15" i="6"/>
  <c r="K16" i="6"/>
  <c r="G17" i="6"/>
  <c r="H17" i="6"/>
  <c r="I17" i="6"/>
  <c r="J17" i="6"/>
  <c r="K17" i="6"/>
  <c r="K18" i="6"/>
  <c r="G19" i="6"/>
  <c r="H19" i="6"/>
  <c r="I19" i="6"/>
  <c r="J19" i="6"/>
  <c r="K19" i="6"/>
  <c r="K20" i="6"/>
  <c r="G21" i="6"/>
  <c r="H21" i="6"/>
  <c r="I21" i="6"/>
  <c r="J21" i="6"/>
  <c r="K21" i="6"/>
  <c r="K22" i="6"/>
  <c r="G23" i="6"/>
  <c r="H23" i="6"/>
  <c r="I23" i="6"/>
  <c r="J23" i="6"/>
  <c r="K23" i="6"/>
  <c r="G24" i="6"/>
  <c r="H24" i="6"/>
  <c r="I24" i="6"/>
  <c r="J24" i="6"/>
  <c r="K24" i="6"/>
  <c r="G25" i="6"/>
  <c r="H25" i="6"/>
  <c r="I25" i="6"/>
  <c r="J25" i="6"/>
  <c r="K25" i="6"/>
  <c r="K26" i="6"/>
  <c r="G27" i="6"/>
  <c r="H27" i="6"/>
  <c r="I27" i="6"/>
  <c r="J27" i="6"/>
  <c r="K27" i="6"/>
  <c r="G28" i="6"/>
  <c r="H28" i="6"/>
  <c r="I28" i="6"/>
  <c r="J28" i="6"/>
  <c r="K28" i="6"/>
  <c r="K30" i="6"/>
  <c r="A31" i="6"/>
  <c r="A32" i="6" s="1"/>
  <c r="A33" i="6" s="1"/>
  <c r="A34" i="6" s="1"/>
  <c r="A35" i="6" s="1"/>
  <c r="A36" i="6" s="1"/>
  <c r="A37" i="6" s="1"/>
  <c r="A38" i="6" s="1"/>
  <c r="A40" i="6" s="1"/>
  <c r="A41" i="6" s="1"/>
  <c r="A42" i="6" s="1"/>
  <c r="A43" i="6" s="1"/>
  <c r="A44" i="6" s="1"/>
  <c r="A45" i="6" s="1"/>
  <c r="A46" i="6" s="1"/>
  <c r="A47" i="6" s="1"/>
  <c r="G31" i="6"/>
  <c r="H31" i="6"/>
  <c r="I31" i="6"/>
  <c r="J31" i="6"/>
  <c r="K31" i="6"/>
  <c r="K32" i="6"/>
  <c r="G33" i="6"/>
  <c r="H33" i="6"/>
  <c r="I33" i="6"/>
  <c r="J33" i="6"/>
  <c r="K33" i="6"/>
  <c r="G34" i="6"/>
  <c r="H34" i="6"/>
  <c r="I34" i="6"/>
  <c r="J34" i="6"/>
  <c r="K34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0" i="6"/>
  <c r="H40" i="6"/>
  <c r="I40" i="6"/>
  <c r="J40" i="6"/>
  <c r="K40" i="6"/>
  <c r="G41" i="6"/>
  <c r="H41" i="6"/>
  <c r="I41" i="6"/>
  <c r="J41" i="6"/>
  <c r="K41" i="6"/>
  <c r="G42" i="6"/>
  <c r="H42" i="6"/>
  <c r="I42" i="6"/>
  <c r="J42" i="6"/>
  <c r="K42" i="6"/>
  <c r="G43" i="6"/>
  <c r="H43" i="6"/>
  <c r="I43" i="6"/>
  <c r="J43" i="6"/>
  <c r="K43" i="6"/>
  <c r="G44" i="6"/>
  <c r="H44" i="6"/>
  <c r="I44" i="6"/>
  <c r="J44" i="6"/>
  <c r="K44" i="6"/>
  <c r="G45" i="6"/>
  <c r="H45" i="6"/>
  <c r="I45" i="6"/>
  <c r="J45" i="6"/>
  <c r="K45" i="6"/>
  <c r="G47" i="6"/>
  <c r="H47" i="6"/>
  <c r="I47" i="6"/>
  <c r="J47" i="6"/>
  <c r="K47" i="6"/>
  <c r="G48" i="6"/>
  <c r="H48" i="6"/>
  <c r="I48" i="6"/>
  <c r="J48" i="6"/>
  <c r="K48" i="6"/>
  <c r="K52" i="6"/>
  <c r="J52" i="6"/>
  <c r="I52" i="6"/>
  <c r="H52" i="6"/>
  <c r="G52" i="6"/>
  <c r="I50" i="6" l="1"/>
  <c r="E5" i="3" s="1"/>
  <c r="G50" i="6"/>
  <c r="C5" i="3" s="1"/>
  <c r="K50" i="6"/>
  <c r="G5" i="3" s="1"/>
  <c r="H50" i="6"/>
  <c r="D5" i="3" s="1"/>
  <c r="J50" i="6"/>
  <c r="F5" i="3" s="1"/>
  <c r="O189" i="2"/>
  <c r="N189" i="2"/>
  <c r="M189" i="2"/>
  <c r="L189" i="2"/>
  <c r="K189" i="2"/>
  <c r="O188" i="2"/>
  <c r="N188" i="2"/>
  <c r="M188" i="2"/>
  <c r="L188" i="2"/>
  <c r="K188" i="2"/>
  <c r="O187" i="2"/>
  <c r="N187" i="2"/>
  <c r="M187" i="2"/>
  <c r="L187" i="2"/>
  <c r="K187" i="2"/>
  <c r="O186" i="2"/>
  <c r="N186" i="2"/>
  <c r="M186" i="2"/>
  <c r="L186" i="2"/>
  <c r="K186" i="2"/>
  <c r="O185" i="2"/>
  <c r="N185" i="2"/>
  <c r="M185" i="2"/>
  <c r="L185" i="2"/>
  <c r="K185" i="2"/>
  <c r="O184" i="2"/>
  <c r="N184" i="2"/>
  <c r="M184" i="2"/>
  <c r="L184" i="2"/>
  <c r="K184" i="2"/>
  <c r="O183" i="2"/>
  <c r="N183" i="2"/>
  <c r="M183" i="2"/>
  <c r="L183" i="2"/>
  <c r="K183" i="2"/>
  <c r="O182" i="2"/>
  <c r="N182" i="2"/>
  <c r="M182" i="2"/>
  <c r="L182" i="2"/>
  <c r="K182" i="2"/>
  <c r="A168" i="2"/>
  <c r="H5" i="3" l="1"/>
  <c r="J141" i="4"/>
  <c r="K141" i="4"/>
  <c r="L141" i="4"/>
  <c r="M141" i="4"/>
  <c r="N141" i="4"/>
  <c r="J142" i="4"/>
  <c r="K142" i="4"/>
  <c r="L142" i="4"/>
  <c r="M142" i="4"/>
  <c r="N142" i="4"/>
  <c r="J143" i="4"/>
  <c r="K143" i="4"/>
  <c r="L143" i="4"/>
  <c r="M143" i="4"/>
  <c r="N143" i="4"/>
  <c r="J144" i="4"/>
  <c r="K144" i="4"/>
  <c r="L144" i="4"/>
  <c r="M144" i="4"/>
  <c r="N144" i="4"/>
  <c r="J145" i="4"/>
  <c r="K145" i="4"/>
  <c r="L145" i="4"/>
  <c r="M145" i="4"/>
  <c r="N145" i="4"/>
  <c r="J146" i="4"/>
  <c r="K146" i="4"/>
  <c r="L146" i="4"/>
  <c r="M146" i="4"/>
  <c r="N146" i="4"/>
  <c r="J147" i="4"/>
  <c r="K147" i="4"/>
  <c r="L147" i="4"/>
  <c r="M147" i="4"/>
  <c r="N147" i="4"/>
  <c r="J148" i="4"/>
  <c r="K148" i="4"/>
  <c r="L148" i="4"/>
  <c r="M148" i="4"/>
  <c r="N148" i="4"/>
  <c r="J149" i="4"/>
  <c r="K149" i="4"/>
  <c r="L149" i="4"/>
  <c r="M149" i="4"/>
  <c r="N149" i="4"/>
  <c r="J150" i="4"/>
  <c r="K150" i="4"/>
  <c r="L150" i="4"/>
  <c r="M150" i="4"/>
  <c r="N150" i="4"/>
  <c r="J151" i="4"/>
  <c r="K151" i="4"/>
  <c r="L151" i="4"/>
  <c r="M151" i="4"/>
  <c r="N151" i="4"/>
  <c r="J152" i="4"/>
  <c r="K152" i="4"/>
  <c r="L152" i="4"/>
  <c r="M152" i="4"/>
  <c r="N152" i="4"/>
  <c r="J153" i="4"/>
  <c r="K153" i="4"/>
  <c r="L153" i="4"/>
  <c r="M153" i="4"/>
  <c r="N153" i="4"/>
  <c r="J154" i="4"/>
  <c r="K154" i="4"/>
  <c r="L154" i="4"/>
  <c r="M154" i="4"/>
  <c r="N154" i="4"/>
  <c r="J155" i="4"/>
  <c r="K155" i="4"/>
  <c r="L155" i="4"/>
  <c r="M155" i="4"/>
  <c r="N155" i="4"/>
  <c r="J156" i="4"/>
  <c r="K156" i="4"/>
  <c r="L156" i="4"/>
  <c r="M156" i="4"/>
  <c r="N156" i="4"/>
  <c r="N140" i="4"/>
  <c r="M140" i="4"/>
  <c r="L140" i="4"/>
  <c r="K140" i="4"/>
  <c r="J140" i="4"/>
  <c r="N139" i="4"/>
  <c r="M139" i="4"/>
  <c r="L139" i="4"/>
  <c r="K139" i="4"/>
  <c r="J139" i="4"/>
  <c r="N119" i="4"/>
  <c r="M119" i="4"/>
  <c r="L119" i="4"/>
  <c r="K119" i="4"/>
  <c r="J119" i="4"/>
  <c r="N118" i="4"/>
  <c r="M118" i="4"/>
  <c r="L118" i="4"/>
  <c r="K118" i="4"/>
  <c r="J118" i="4"/>
  <c r="N113" i="4"/>
  <c r="M113" i="4"/>
  <c r="L113" i="4"/>
  <c r="K113" i="4"/>
  <c r="J113" i="4"/>
  <c r="N112" i="4"/>
  <c r="M112" i="4"/>
  <c r="L112" i="4"/>
  <c r="K112" i="4"/>
  <c r="J112" i="4"/>
  <c r="N105" i="4"/>
  <c r="M105" i="4"/>
  <c r="L105" i="4"/>
  <c r="K105" i="4"/>
  <c r="J105" i="4"/>
  <c r="N104" i="4"/>
  <c r="M104" i="4"/>
  <c r="L104" i="4"/>
  <c r="K104" i="4"/>
  <c r="J104" i="4"/>
  <c r="N99" i="4"/>
  <c r="M99" i="4"/>
  <c r="L99" i="4"/>
  <c r="K99" i="4"/>
  <c r="J99" i="4"/>
  <c r="N98" i="4"/>
  <c r="M98" i="4"/>
  <c r="L98" i="4"/>
  <c r="K98" i="4"/>
  <c r="J98" i="4"/>
  <c r="N68" i="4"/>
  <c r="M68" i="4"/>
  <c r="L68" i="4"/>
  <c r="K68" i="4"/>
  <c r="J68" i="4"/>
  <c r="N67" i="4"/>
  <c r="M67" i="4"/>
  <c r="L67" i="4"/>
  <c r="K67" i="4"/>
  <c r="J67" i="4"/>
  <c r="N235" i="4"/>
  <c r="M235" i="4"/>
  <c r="L235" i="4"/>
  <c r="K235" i="4"/>
  <c r="J235" i="4"/>
  <c r="N234" i="4"/>
  <c r="M234" i="4"/>
  <c r="L234" i="4"/>
  <c r="K234" i="4"/>
  <c r="J234" i="4"/>
  <c r="N233" i="4"/>
  <c r="M233" i="4"/>
  <c r="L233" i="4"/>
  <c r="K233" i="4"/>
  <c r="J233" i="4"/>
  <c r="N232" i="4"/>
  <c r="M232" i="4"/>
  <c r="L232" i="4"/>
  <c r="K232" i="4"/>
  <c r="J232" i="4"/>
  <c r="N231" i="4"/>
  <c r="M231" i="4"/>
  <c r="L231" i="4"/>
  <c r="K231" i="4"/>
  <c r="J231" i="4"/>
  <c r="N230" i="4"/>
  <c r="M230" i="4"/>
  <c r="L230" i="4"/>
  <c r="K230" i="4"/>
  <c r="J230" i="4"/>
  <c r="N229" i="4"/>
  <c r="M229" i="4"/>
  <c r="L229" i="4"/>
  <c r="K229" i="4"/>
  <c r="J229" i="4"/>
  <c r="N228" i="4"/>
  <c r="M228" i="4"/>
  <c r="L228" i="4"/>
  <c r="K228" i="4"/>
  <c r="J228" i="4"/>
  <c r="N227" i="4"/>
  <c r="M227" i="4"/>
  <c r="L227" i="4"/>
  <c r="K227" i="4"/>
  <c r="J227" i="4"/>
  <c r="N226" i="4"/>
  <c r="M226" i="4"/>
  <c r="L226" i="4"/>
  <c r="K226" i="4"/>
  <c r="J226" i="4"/>
  <c r="N225" i="4"/>
  <c r="M225" i="4"/>
  <c r="L225" i="4"/>
  <c r="K225" i="4"/>
  <c r="J225" i="4"/>
  <c r="N224" i="4"/>
  <c r="M224" i="4"/>
  <c r="L224" i="4"/>
  <c r="K224" i="4"/>
  <c r="J224" i="4"/>
  <c r="N223" i="4"/>
  <c r="M223" i="4"/>
  <c r="L223" i="4"/>
  <c r="K223" i="4"/>
  <c r="J223" i="4"/>
  <c r="N222" i="4"/>
  <c r="M222" i="4"/>
  <c r="L222" i="4"/>
  <c r="K222" i="4"/>
  <c r="J222" i="4"/>
  <c r="N221" i="4"/>
  <c r="M221" i="4"/>
  <c r="L221" i="4"/>
  <c r="K221" i="4"/>
  <c r="J221" i="4"/>
  <c r="N220" i="4"/>
  <c r="M220" i="4"/>
  <c r="L220" i="4"/>
  <c r="K220" i="4"/>
  <c r="J220" i="4"/>
  <c r="N219" i="4"/>
  <c r="M219" i="4"/>
  <c r="L219" i="4"/>
  <c r="K219" i="4"/>
  <c r="J219" i="4"/>
  <c r="N218" i="4"/>
  <c r="M218" i="4"/>
  <c r="L218" i="4"/>
  <c r="K218" i="4"/>
  <c r="J218" i="4"/>
  <c r="N217" i="4"/>
  <c r="M217" i="4"/>
  <c r="L217" i="4"/>
  <c r="K217" i="4"/>
  <c r="J217" i="4"/>
  <c r="N216" i="4"/>
  <c r="M216" i="4"/>
  <c r="L216" i="4"/>
  <c r="K216" i="4"/>
  <c r="J216" i="4"/>
  <c r="N215" i="4"/>
  <c r="M215" i="4"/>
  <c r="L215" i="4"/>
  <c r="K215" i="4"/>
  <c r="J215" i="4"/>
  <c r="N214" i="4"/>
  <c r="M214" i="4"/>
  <c r="L214" i="4"/>
  <c r="K214" i="4"/>
  <c r="J214" i="4"/>
  <c r="N213" i="4"/>
  <c r="M213" i="4"/>
  <c r="L213" i="4"/>
  <c r="K213" i="4"/>
  <c r="J213" i="4"/>
  <c r="N212" i="4"/>
  <c r="M212" i="4"/>
  <c r="L212" i="4"/>
  <c r="K212" i="4"/>
  <c r="J212" i="4"/>
  <c r="N211" i="4"/>
  <c r="M211" i="4"/>
  <c r="L211" i="4"/>
  <c r="K211" i="4"/>
  <c r="J211" i="4"/>
  <c r="N210" i="4"/>
  <c r="M210" i="4"/>
  <c r="L210" i="4"/>
  <c r="K210" i="4"/>
  <c r="J210" i="4"/>
  <c r="N209" i="4"/>
  <c r="M209" i="4"/>
  <c r="L209" i="4"/>
  <c r="K209" i="4"/>
  <c r="J209" i="4"/>
  <c r="A209" i="4"/>
  <c r="A210" i="4" s="1"/>
  <c r="A211" i="4" s="1"/>
  <c r="A212" i="4" s="1"/>
  <c r="A213" i="4" s="1"/>
  <c r="A214" i="4" s="1"/>
  <c r="A216" i="4" s="1"/>
  <c r="A217" i="4" s="1"/>
  <c r="A218" i="4" s="1"/>
  <c r="A219" i="4" s="1"/>
  <c r="A220" i="4" s="1"/>
  <c r="A221" i="4" s="1"/>
  <c r="A223" i="4" s="1"/>
  <c r="A224" i="4" s="1"/>
  <c r="A225" i="4" s="1"/>
  <c r="A226" i="4" s="1"/>
  <c r="A227" i="4" s="1"/>
  <c r="A228" i="4" s="1"/>
  <c r="A230" i="4" s="1"/>
  <c r="A231" i="4" s="1"/>
  <c r="A232" i="4" s="1"/>
  <c r="A233" i="4" s="1"/>
  <c r="A234" i="4" s="1"/>
  <c r="A235" i="4" s="1"/>
  <c r="N206" i="4"/>
  <c r="M206" i="4"/>
  <c r="L206" i="4"/>
  <c r="K206" i="4"/>
  <c r="J206" i="4"/>
  <c r="N205" i="4"/>
  <c r="M205" i="4"/>
  <c r="L205" i="4"/>
  <c r="K205" i="4"/>
  <c r="J205" i="4"/>
  <c r="N204" i="4"/>
  <c r="M204" i="4"/>
  <c r="L204" i="4"/>
  <c r="K204" i="4"/>
  <c r="J204" i="4"/>
  <c r="N203" i="4"/>
  <c r="M203" i="4"/>
  <c r="L203" i="4"/>
  <c r="K203" i="4"/>
  <c r="J203" i="4"/>
  <c r="N201" i="4"/>
  <c r="M201" i="4"/>
  <c r="L201" i="4"/>
  <c r="K201" i="4"/>
  <c r="J201" i="4"/>
  <c r="N200" i="4"/>
  <c r="M200" i="4"/>
  <c r="L200" i="4"/>
  <c r="K200" i="4"/>
  <c r="J200" i="4"/>
  <c r="N199" i="4"/>
  <c r="M199" i="4"/>
  <c r="L199" i="4"/>
  <c r="K199" i="4"/>
  <c r="J199" i="4"/>
  <c r="N198" i="4"/>
  <c r="M198" i="4"/>
  <c r="L198" i="4"/>
  <c r="K198" i="4"/>
  <c r="J198" i="4"/>
  <c r="N197" i="4"/>
  <c r="M197" i="4"/>
  <c r="L197" i="4"/>
  <c r="K197" i="4"/>
  <c r="J197" i="4"/>
  <c r="N196" i="4"/>
  <c r="M196" i="4"/>
  <c r="L196" i="4"/>
  <c r="K196" i="4"/>
  <c r="J196" i="4"/>
  <c r="A196" i="4"/>
  <c r="A197" i="4" s="1"/>
  <c r="A198" i="4" s="1"/>
  <c r="A199" i="4" s="1"/>
  <c r="A200" i="4" s="1"/>
  <c r="A201" i="4" s="1"/>
  <c r="A203" i="4" s="1"/>
  <c r="A204" i="4" s="1"/>
  <c r="A205" i="4" s="1"/>
  <c r="A206" i="4" s="1"/>
  <c r="N193" i="4"/>
  <c r="M193" i="4"/>
  <c r="L193" i="4"/>
  <c r="K193" i="4"/>
  <c r="J193" i="4"/>
  <c r="N192" i="4"/>
  <c r="M192" i="4"/>
  <c r="L192" i="4"/>
  <c r="K192" i="4"/>
  <c r="J192" i="4"/>
  <c r="N191" i="4"/>
  <c r="M191" i="4"/>
  <c r="L191" i="4"/>
  <c r="K191" i="4"/>
  <c r="J191" i="4"/>
  <c r="N190" i="4"/>
  <c r="M190" i="4"/>
  <c r="L190" i="4"/>
  <c r="K190" i="4"/>
  <c r="J190" i="4"/>
  <c r="N189" i="4"/>
  <c r="M189" i="4"/>
  <c r="L189" i="4"/>
  <c r="K189" i="4"/>
  <c r="J189" i="4"/>
  <c r="A189" i="4"/>
  <c r="A190" i="4" s="1"/>
  <c r="A192" i="4" s="1"/>
  <c r="A193" i="4" s="1"/>
  <c r="N188" i="4"/>
  <c r="M188" i="4"/>
  <c r="L188" i="4"/>
  <c r="K188" i="4"/>
  <c r="J188" i="4"/>
  <c r="N186" i="4"/>
  <c r="M186" i="4"/>
  <c r="L186" i="4"/>
  <c r="K186" i="4"/>
  <c r="J186" i="4"/>
  <c r="N185" i="4"/>
  <c r="M185" i="4"/>
  <c r="L185" i="4"/>
  <c r="K185" i="4"/>
  <c r="J185" i="4"/>
  <c r="N184" i="4"/>
  <c r="M184" i="4"/>
  <c r="L184" i="4"/>
  <c r="K184" i="4"/>
  <c r="J184" i="4"/>
  <c r="N183" i="4"/>
  <c r="M183" i="4"/>
  <c r="L183" i="4"/>
  <c r="K183" i="4"/>
  <c r="J183" i="4"/>
  <c r="N182" i="4"/>
  <c r="M182" i="4"/>
  <c r="L182" i="4"/>
  <c r="K182" i="4"/>
  <c r="J182" i="4"/>
  <c r="N181" i="4"/>
  <c r="M181" i="4"/>
  <c r="L181" i="4"/>
  <c r="K181" i="4"/>
  <c r="J181" i="4"/>
  <c r="N179" i="4"/>
  <c r="M179" i="4"/>
  <c r="L179" i="4"/>
  <c r="K179" i="4"/>
  <c r="J179" i="4"/>
  <c r="N178" i="4"/>
  <c r="M178" i="4"/>
  <c r="L178" i="4"/>
  <c r="K178" i="4"/>
  <c r="J178" i="4"/>
  <c r="N177" i="4"/>
  <c r="M177" i="4"/>
  <c r="L177" i="4"/>
  <c r="K177" i="4"/>
  <c r="J177" i="4"/>
  <c r="N176" i="4"/>
  <c r="M176" i="4"/>
  <c r="L176" i="4"/>
  <c r="K176" i="4"/>
  <c r="J176" i="4"/>
  <c r="N175" i="4"/>
  <c r="M175" i="4"/>
  <c r="L175" i="4"/>
  <c r="K175" i="4"/>
  <c r="J175" i="4"/>
  <c r="N174" i="4"/>
  <c r="M174" i="4"/>
  <c r="L174" i="4"/>
  <c r="K174" i="4"/>
  <c r="J174" i="4"/>
  <c r="A174" i="4"/>
  <c r="A175" i="4" s="1"/>
  <c r="A176" i="4" s="1"/>
  <c r="A177" i="4" s="1"/>
  <c r="A178" i="4" s="1"/>
  <c r="A179" i="4" s="1"/>
  <c r="A181" i="4" s="1"/>
  <c r="A182" i="4" s="1"/>
  <c r="A183" i="4" s="1"/>
  <c r="A184" i="4" s="1"/>
  <c r="A185" i="4" s="1"/>
  <c r="A186" i="4" s="1"/>
  <c r="N173" i="4"/>
  <c r="M173" i="4"/>
  <c r="L173" i="4"/>
  <c r="K173" i="4"/>
  <c r="J173" i="4"/>
  <c r="N171" i="4"/>
  <c r="M171" i="4"/>
  <c r="L171" i="4"/>
  <c r="K171" i="4"/>
  <c r="J171" i="4"/>
  <c r="N170" i="4"/>
  <c r="M170" i="4"/>
  <c r="L170" i="4"/>
  <c r="K170" i="4"/>
  <c r="J170" i="4"/>
  <c r="N169" i="4"/>
  <c r="M169" i="4"/>
  <c r="L169" i="4"/>
  <c r="K169" i="4"/>
  <c r="J169" i="4"/>
  <c r="N168" i="4"/>
  <c r="M168" i="4"/>
  <c r="L168" i="4"/>
  <c r="K168" i="4"/>
  <c r="J168" i="4"/>
  <c r="N167" i="4"/>
  <c r="M167" i="4"/>
  <c r="L167" i="4"/>
  <c r="K167" i="4"/>
  <c r="J167" i="4"/>
  <c r="N166" i="4"/>
  <c r="M166" i="4"/>
  <c r="L166" i="4"/>
  <c r="K166" i="4"/>
  <c r="J166" i="4"/>
  <c r="N165" i="4"/>
  <c r="M165" i="4"/>
  <c r="L165" i="4"/>
  <c r="K165" i="4"/>
  <c r="J165" i="4"/>
  <c r="N164" i="4"/>
  <c r="M164" i="4"/>
  <c r="L164" i="4"/>
  <c r="K164" i="4"/>
  <c r="J164" i="4"/>
  <c r="N163" i="4"/>
  <c r="M163" i="4"/>
  <c r="L163" i="4"/>
  <c r="K163" i="4"/>
  <c r="J163" i="4"/>
  <c r="N162" i="4"/>
  <c r="M162" i="4"/>
  <c r="L162" i="4"/>
  <c r="K162" i="4"/>
  <c r="J162" i="4"/>
  <c r="N161" i="4"/>
  <c r="M161" i="4"/>
  <c r="L161" i="4"/>
  <c r="K161" i="4"/>
  <c r="J161" i="4"/>
  <c r="N160" i="4"/>
  <c r="M160" i="4"/>
  <c r="L160" i="4"/>
  <c r="K160" i="4"/>
  <c r="J160" i="4"/>
  <c r="N159" i="4"/>
  <c r="M159" i="4"/>
  <c r="L159" i="4"/>
  <c r="K159" i="4"/>
  <c r="J159" i="4"/>
  <c r="A159" i="4"/>
  <c r="A160" i="4" s="1"/>
  <c r="A161" i="4" s="1"/>
  <c r="A162" i="4" s="1"/>
  <c r="A163" i="4" s="1"/>
  <c r="A164" i="4" s="1"/>
  <c r="A166" i="4" s="1"/>
  <c r="A167" i="4" s="1"/>
  <c r="A168" i="4" s="1"/>
  <c r="A169" i="4" s="1"/>
  <c r="A170" i="4" s="1"/>
  <c r="A171" i="4" s="1"/>
  <c r="N158" i="4"/>
  <c r="M158" i="4"/>
  <c r="L158" i="4"/>
  <c r="K158" i="4"/>
  <c r="J158" i="4"/>
  <c r="A139" i="4"/>
  <c r="A140" i="4" s="1"/>
  <c r="A141" i="4" s="1"/>
  <c r="A142" i="4" s="1"/>
  <c r="A143" i="4" s="1"/>
  <c r="A144" i="4" s="1"/>
  <c r="A145" i="4" s="1"/>
  <c r="A146" i="4" s="1"/>
  <c r="A148" i="4" s="1"/>
  <c r="A149" i="4" s="1"/>
  <c r="A150" i="4" s="1"/>
  <c r="A151" i="4" s="1"/>
  <c r="A153" i="4" s="1"/>
  <c r="A154" i="4" s="1"/>
  <c r="A155" i="4" s="1"/>
  <c r="A156" i="4" s="1"/>
  <c r="N129" i="4"/>
  <c r="M129" i="4"/>
  <c r="L129" i="4"/>
  <c r="K129" i="4"/>
  <c r="J129" i="4"/>
  <c r="N128" i="4"/>
  <c r="M128" i="4"/>
  <c r="L128" i="4"/>
  <c r="K128" i="4"/>
  <c r="J128" i="4"/>
  <c r="A125" i="4"/>
  <c r="N108" i="4"/>
  <c r="M108" i="4"/>
  <c r="L108" i="4"/>
  <c r="K108" i="4"/>
  <c r="J108" i="4"/>
  <c r="N107" i="4"/>
  <c r="M107" i="4"/>
  <c r="L107" i="4"/>
  <c r="K107" i="4"/>
  <c r="J107" i="4"/>
  <c r="N106" i="4"/>
  <c r="M106" i="4"/>
  <c r="L106" i="4"/>
  <c r="K106" i="4"/>
  <c r="J106" i="4"/>
  <c r="N103" i="4"/>
  <c r="M103" i="4"/>
  <c r="L103" i="4"/>
  <c r="K103" i="4"/>
  <c r="J103" i="4"/>
  <c r="N101" i="4"/>
  <c r="M101" i="4"/>
  <c r="L101" i="4"/>
  <c r="K101" i="4"/>
  <c r="J101" i="4"/>
  <c r="N100" i="4"/>
  <c r="M100" i="4"/>
  <c r="L100" i="4"/>
  <c r="K100" i="4"/>
  <c r="J100" i="4"/>
  <c r="N97" i="4"/>
  <c r="M97" i="4"/>
  <c r="L97" i="4"/>
  <c r="K97" i="4"/>
  <c r="J97" i="4"/>
  <c r="N96" i="4"/>
  <c r="M96" i="4"/>
  <c r="L96" i="4"/>
  <c r="K96" i="4"/>
  <c r="J96" i="4"/>
  <c r="A75" i="4"/>
  <c r="N74" i="4"/>
  <c r="M74" i="4"/>
  <c r="L74" i="4"/>
  <c r="K74" i="4"/>
  <c r="J74" i="4"/>
  <c r="A64" i="4"/>
  <c r="A56" i="4"/>
  <c r="A24" i="4" l="1"/>
  <c r="A25" i="4" s="1"/>
  <c r="A26" i="4" s="1"/>
  <c r="A27" i="4" s="1"/>
  <c r="A28" i="4" s="1"/>
  <c r="A29" i="4" s="1"/>
  <c r="A31" i="4" s="1"/>
  <c r="N138" i="4"/>
  <c r="M138" i="4"/>
  <c r="L138" i="4"/>
  <c r="K138" i="4"/>
  <c r="J138" i="4"/>
  <c r="N136" i="4"/>
  <c r="M136" i="4"/>
  <c r="L136" i="4"/>
  <c r="K136" i="4"/>
  <c r="J136" i="4"/>
  <c r="N135" i="4"/>
  <c r="M135" i="4"/>
  <c r="L135" i="4"/>
  <c r="K135" i="4"/>
  <c r="J135" i="4"/>
  <c r="N134" i="4"/>
  <c r="M134" i="4"/>
  <c r="L134" i="4"/>
  <c r="K134" i="4"/>
  <c r="J134" i="4"/>
  <c r="N133" i="4"/>
  <c r="M133" i="4"/>
  <c r="L133" i="4"/>
  <c r="K133" i="4"/>
  <c r="J133" i="4"/>
  <c r="N132" i="4"/>
  <c r="M132" i="4"/>
  <c r="L132" i="4"/>
  <c r="K132" i="4"/>
  <c r="J132" i="4"/>
  <c r="A132" i="4"/>
  <c r="A133" i="4" s="1"/>
  <c r="A135" i="4" s="1"/>
  <c r="A136" i="4" s="1"/>
  <c r="N131" i="4"/>
  <c r="M131" i="4"/>
  <c r="L131" i="4"/>
  <c r="K131" i="4"/>
  <c r="J131" i="4"/>
  <c r="N126" i="4"/>
  <c r="M126" i="4"/>
  <c r="L126" i="4"/>
  <c r="K126" i="4"/>
  <c r="J126" i="4"/>
  <c r="N125" i="4"/>
  <c r="M125" i="4"/>
  <c r="L125" i="4"/>
  <c r="K125" i="4"/>
  <c r="J125" i="4"/>
  <c r="A126" i="4"/>
  <c r="A128" i="4" s="1"/>
  <c r="A129" i="4" s="1"/>
  <c r="N122" i="4"/>
  <c r="M122" i="4"/>
  <c r="L122" i="4"/>
  <c r="K122" i="4"/>
  <c r="J122" i="4"/>
  <c r="N121" i="4"/>
  <c r="M121" i="4"/>
  <c r="L121" i="4"/>
  <c r="K121" i="4"/>
  <c r="J121" i="4"/>
  <c r="N120" i="4"/>
  <c r="M120" i="4"/>
  <c r="L120" i="4"/>
  <c r="K120" i="4"/>
  <c r="J120" i="4"/>
  <c r="N117" i="4"/>
  <c r="M117" i="4"/>
  <c r="L117" i="4"/>
  <c r="K117" i="4"/>
  <c r="J117" i="4"/>
  <c r="N116" i="4"/>
  <c r="M116" i="4"/>
  <c r="L116" i="4"/>
  <c r="K116" i="4"/>
  <c r="J116" i="4"/>
  <c r="N115" i="4"/>
  <c r="M115" i="4"/>
  <c r="L115" i="4"/>
  <c r="K115" i="4"/>
  <c r="J115" i="4"/>
  <c r="N114" i="4"/>
  <c r="M114" i="4"/>
  <c r="L114" i="4"/>
  <c r="K114" i="4"/>
  <c r="J114" i="4"/>
  <c r="N111" i="4"/>
  <c r="M111" i="4"/>
  <c r="L111" i="4"/>
  <c r="K111" i="4"/>
  <c r="J111" i="4"/>
  <c r="N110" i="4"/>
  <c r="M110" i="4"/>
  <c r="L110" i="4"/>
  <c r="K110" i="4"/>
  <c r="J110" i="4"/>
  <c r="N109" i="4"/>
  <c r="M109" i="4"/>
  <c r="L109" i="4"/>
  <c r="K109" i="4"/>
  <c r="J109" i="4"/>
  <c r="N94" i="4"/>
  <c r="M94" i="4"/>
  <c r="L94" i="4"/>
  <c r="K94" i="4"/>
  <c r="J94" i="4"/>
  <c r="N93" i="4"/>
  <c r="M93" i="4"/>
  <c r="L93" i="4"/>
  <c r="K93" i="4"/>
  <c r="J93" i="4"/>
  <c r="N92" i="4"/>
  <c r="M92" i="4"/>
  <c r="L92" i="4"/>
  <c r="K92" i="4"/>
  <c r="J92" i="4"/>
  <c r="N91" i="4"/>
  <c r="M91" i="4"/>
  <c r="L91" i="4"/>
  <c r="K91" i="4"/>
  <c r="J91" i="4"/>
  <c r="N90" i="4"/>
  <c r="M90" i="4"/>
  <c r="L90" i="4"/>
  <c r="K90" i="4"/>
  <c r="J90" i="4"/>
  <c r="N89" i="4"/>
  <c r="M89" i="4"/>
  <c r="L89" i="4"/>
  <c r="K89" i="4"/>
  <c r="J89" i="4"/>
  <c r="N87" i="4"/>
  <c r="M87" i="4"/>
  <c r="L87" i="4"/>
  <c r="K87" i="4"/>
  <c r="J87" i="4"/>
  <c r="N86" i="4"/>
  <c r="M86" i="4"/>
  <c r="L86" i="4"/>
  <c r="K86" i="4"/>
  <c r="J86" i="4"/>
  <c r="N85" i="4"/>
  <c r="M85" i="4"/>
  <c r="L85" i="4"/>
  <c r="K85" i="4"/>
  <c r="J85" i="4"/>
  <c r="N84" i="4"/>
  <c r="M84" i="4"/>
  <c r="L84" i="4"/>
  <c r="K84" i="4"/>
  <c r="J84" i="4"/>
  <c r="N83" i="4"/>
  <c r="M83" i="4"/>
  <c r="L83" i="4"/>
  <c r="K83" i="4"/>
  <c r="J83" i="4"/>
  <c r="N82" i="4"/>
  <c r="M82" i="4"/>
  <c r="L82" i="4"/>
  <c r="K82" i="4"/>
  <c r="J82" i="4"/>
  <c r="N81" i="4"/>
  <c r="M81" i="4"/>
  <c r="L81" i="4"/>
  <c r="K81" i="4"/>
  <c r="J81" i="4"/>
  <c r="N80" i="4"/>
  <c r="M80" i="4"/>
  <c r="L80" i="4"/>
  <c r="K80" i="4"/>
  <c r="J80" i="4"/>
  <c r="N79" i="4"/>
  <c r="M79" i="4"/>
  <c r="L79" i="4"/>
  <c r="K79" i="4"/>
  <c r="J79" i="4"/>
  <c r="N78" i="4"/>
  <c r="M78" i="4"/>
  <c r="L78" i="4"/>
  <c r="K78" i="4"/>
  <c r="J78" i="4"/>
  <c r="N77" i="4"/>
  <c r="M77" i="4"/>
  <c r="L77" i="4"/>
  <c r="K77" i="4"/>
  <c r="J77" i="4"/>
  <c r="N76" i="4"/>
  <c r="M76" i="4"/>
  <c r="L76" i="4"/>
  <c r="K76" i="4"/>
  <c r="J76" i="4"/>
  <c r="N75" i="4"/>
  <c r="M75" i="4"/>
  <c r="L75" i="4"/>
  <c r="K75" i="4"/>
  <c r="J75" i="4"/>
  <c r="N72" i="4"/>
  <c r="M72" i="4"/>
  <c r="L72" i="4"/>
  <c r="K72" i="4"/>
  <c r="J72" i="4"/>
  <c r="N71" i="4"/>
  <c r="M71" i="4"/>
  <c r="L71" i="4"/>
  <c r="K71" i="4"/>
  <c r="J71" i="4"/>
  <c r="N70" i="4"/>
  <c r="M70" i="4"/>
  <c r="L70" i="4"/>
  <c r="K70" i="4"/>
  <c r="J70" i="4"/>
  <c r="N69" i="4"/>
  <c r="M69" i="4"/>
  <c r="L69" i="4"/>
  <c r="K69" i="4"/>
  <c r="J69" i="4"/>
  <c r="N66" i="4"/>
  <c r="M66" i="4"/>
  <c r="L66" i="4"/>
  <c r="K66" i="4"/>
  <c r="J66" i="4"/>
  <c r="N65" i="4"/>
  <c r="M65" i="4"/>
  <c r="L65" i="4"/>
  <c r="K65" i="4"/>
  <c r="J65" i="4"/>
  <c r="N64" i="4"/>
  <c r="M64" i="4"/>
  <c r="L64" i="4"/>
  <c r="K64" i="4"/>
  <c r="J64" i="4"/>
  <c r="N63" i="4"/>
  <c r="M63" i="4"/>
  <c r="L63" i="4"/>
  <c r="K63" i="4"/>
  <c r="J63" i="4"/>
  <c r="N61" i="4"/>
  <c r="M61" i="4"/>
  <c r="L61" i="4"/>
  <c r="K61" i="4"/>
  <c r="J61" i="4"/>
  <c r="N60" i="4"/>
  <c r="M60" i="4"/>
  <c r="L60" i="4"/>
  <c r="K60" i="4"/>
  <c r="J60" i="4"/>
  <c r="N59" i="4"/>
  <c r="M59" i="4"/>
  <c r="L59" i="4"/>
  <c r="K59" i="4"/>
  <c r="J59" i="4"/>
  <c r="N58" i="4"/>
  <c r="M58" i="4"/>
  <c r="L58" i="4"/>
  <c r="K58" i="4"/>
  <c r="J58" i="4"/>
  <c r="N57" i="4"/>
  <c r="M57" i="4"/>
  <c r="L57" i="4"/>
  <c r="K57" i="4"/>
  <c r="J57" i="4"/>
  <c r="N56" i="4"/>
  <c r="M56" i="4"/>
  <c r="L56" i="4"/>
  <c r="K56" i="4"/>
  <c r="J56" i="4"/>
  <c r="N55" i="4"/>
  <c r="M55" i="4"/>
  <c r="L55" i="4"/>
  <c r="K55" i="4"/>
  <c r="J55" i="4"/>
  <c r="N53" i="4"/>
  <c r="M53" i="4"/>
  <c r="L53" i="4"/>
  <c r="K53" i="4"/>
  <c r="J53" i="4"/>
  <c r="N52" i="4"/>
  <c r="M52" i="4"/>
  <c r="L52" i="4"/>
  <c r="K52" i="4"/>
  <c r="J52" i="4"/>
  <c r="N50" i="4"/>
  <c r="M50" i="4"/>
  <c r="L50" i="4"/>
  <c r="K50" i="4"/>
  <c r="J50" i="4"/>
  <c r="N49" i="4"/>
  <c r="M49" i="4"/>
  <c r="L49" i="4"/>
  <c r="K49" i="4"/>
  <c r="J49" i="4"/>
  <c r="N47" i="4"/>
  <c r="M47" i="4"/>
  <c r="L47" i="4"/>
  <c r="K47" i="4"/>
  <c r="J47" i="4"/>
  <c r="N46" i="4"/>
  <c r="M46" i="4"/>
  <c r="L46" i="4"/>
  <c r="K46" i="4"/>
  <c r="J46" i="4"/>
  <c r="A46" i="4"/>
  <c r="A47" i="4" s="1"/>
  <c r="N43" i="4"/>
  <c r="M43" i="4"/>
  <c r="L43" i="4"/>
  <c r="K43" i="4"/>
  <c r="J43" i="4"/>
  <c r="N42" i="4"/>
  <c r="M42" i="4"/>
  <c r="L42" i="4"/>
  <c r="K42" i="4"/>
  <c r="J42" i="4"/>
  <c r="N41" i="4"/>
  <c r="M41" i="4"/>
  <c r="L41" i="4"/>
  <c r="K41" i="4"/>
  <c r="J41" i="4"/>
  <c r="N40" i="4"/>
  <c r="M40" i="4"/>
  <c r="L40" i="4"/>
  <c r="K40" i="4"/>
  <c r="J40" i="4"/>
  <c r="N39" i="4"/>
  <c r="M39" i="4"/>
  <c r="L39" i="4"/>
  <c r="K39" i="4"/>
  <c r="J39" i="4"/>
  <c r="N38" i="4"/>
  <c r="M38" i="4"/>
  <c r="L38" i="4"/>
  <c r="K38" i="4"/>
  <c r="J38" i="4"/>
  <c r="N36" i="4"/>
  <c r="M36" i="4"/>
  <c r="L36" i="4"/>
  <c r="K36" i="4"/>
  <c r="J36" i="4"/>
  <c r="N35" i="4"/>
  <c r="M35" i="4"/>
  <c r="L35" i="4"/>
  <c r="K35" i="4"/>
  <c r="J35" i="4"/>
  <c r="N34" i="4"/>
  <c r="M34" i="4"/>
  <c r="L34" i="4"/>
  <c r="K34" i="4"/>
  <c r="J34" i="4"/>
  <c r="N33" i="4"/>
  <c r="M33" i="4"/>
  <c r="L33" i="4"/>
  <c r="K33" i="4"/>
  <c r="J33" i="4"/>
  <c r="N32" i="4"/>
  <c r="M32" i="4"/>
  <c r="L32" i="4"/>
  <c r="K32" i="4"/>
  <c r="J32" i="4"/>
  <c r="N31" i="4"/>
  <c r="M31" i="4"/>
  <c r="L31" i="4"/>
  <c r="K31" i="4"/>
  <c r="J31" i="4"/>
  <c r="N29" i="4"/>
  <c r="M29" i="4"/>
  <c r="L29" i="4"/>
  <c r="K29" i="4"/>
  <c r="J29" i="4"/>
  <c r="N28" i="4"/>
  <c r="M28" i="4"/>
  <c r="L28" i="4"/>
  <c r="K28" i="4"/>
  <c r="J28" i="4"/>
  <c r="N27" i="4"/>
  <c r="M27" i="4"/>
  <c r="L27" i="4"/>
  <c r="K27" i="4"/>
  <c r="J27" i="4"/>
  <c r="N26" i="4"/>
  <c r="M26" i="4"/>
  <c r="L26" i="4"/>
  <c r="K26" i="4"/>
  <c r="J26" i="4"/>
  <c r="N25" i="4"/>
  <c r="M25" i="4"/>
  <c r="L25" i="4"/>
  <c r="K25" i="4"/>
  <c r="J25" i="4"/>
  <c r="N24" i="4"/>
  <c r="M24" i="4"/>
  <c r="L24" i="4"/>
  <c r="K24" i="4"/>
  <c r="J24" i="4"/>
  <c r="N23" i="4"/>
  <c r="M23" i="4"/>
  <c r="L23" i="4"/>
  <c r="K23" i="4"/>
  <c r="J23" i="4"/>
  <c r="N21" i="4"/>
  <c r="M21" i="4"/>
  <c r="L21" i="4"/>
  <c r="K21" i="4"/>
  <c r="J21" i="4"/>
  <c r="N20" i="4"/>
  <c r="M20" i="4"/>
  <c r="L20" i="4"/>
  <c r="K20" i="4"/>
  <c r="J20" i="4"/>
  <c r="N19" i="4"/>
  <c r="M19" i="4"/>
  <c r="L19" i="4"/>
  <c r="K19" i="4"/>
  <c r="J19" i="4"/>
  <c r="N18" i="4"/>
  <c r="M18" i="4"/>
  <c r="L18" i="4"/>
  <c r="K18" i="4"/>
  <c r="J18" i="4"/>
  <c r="N17" i="4"/>
  <c r="M17" i="4"/>
  <c r="L17" i="4"/>
  <c r="K17" i="4"/>
  <c r="J17" i="4"/>
  <c r="N16" i="4"/>
  <c r="M16" i="4"/>
  <c r="L16" i="4"/>
  <c r="K16" i="4"/>
  <c r="J16" i="4"/>
  <c r="N14" i="4"/>
  <c r="M14" i="4"/>
  <c r="L14" i="4"/>
  <c r="K14" i="4"/>
  <c r="J14" i="4"/>
  <c r="N13" i="4"/>
  <c r="M13" i="4"/>
  <c r="L13" i="4"/>
  <c r="K13" i="4"/>
  <c r="J13" i="4"/>
  <c r="N12" i="4"/>
  <c r="M12" i="4"/>
  <c r="L12" i="4"/>
  <c r="K12" i="4"/>
  <c r="J12" i="4"/>
  <c r="N11" i="4"/>
  <c r="M11" i="4"/>
  <c r="L11" i="4"/>
  <c r="K11" i="4"/>
  <c r="J11" i="4"/>
  <c r="N10" i="4"/>
  <c r="M10" i="4"/>
  <c r="L10" i="4"/>
  <c r="K10" i="4"/>
  <c r="J10" i="4"/>
  <c r="N9" i="4"/>
  <c r="M9" i="4"/>
  <c r="L9" i="4"/>
  <c r="K9" i="4"/>
  <c r="J9" i="4"/>
  <c r="A9" i="4"/>
  <c r="A10" i="4" s="1"/>
  <c r="A11" i="4" s="1"/>
  <c r="A12" i="4" s="1"/>
  <c r="A13" i="4" s="1"/>
  <c r="A14" i="4" s="1"/>
  <c r="A16" i="4" s="1"/>
  <c r="A17" i="4" s="1"/>
  <c r="A18" i="4" s="1"/>
  <c r="A19" i="4" s="1"/>
  <c r="A20" i="4" s="1"/>
  <c r="A21" i="4" s="1"/>
  <c r="N8" i="4"/>
  <c r="M8" i="4"/>
  <c r="L8" i="4"/>
  <c r="K8" i="4"/>
  <c r="J8" i="4"/>
  <c r="N6" i="4"/>
  <c r="M6" i="4"/>
  <c r="L6" i="4"/>
  <c r="K6" i="4"/>
  <c r="J6" i="4"/>
  <c r="N5" i="4"/>
  <c r="M5" i="4"/>
  <c r="L5" i="4"/>
  <c r="K5" i="4"/>
  <c r="J5" i="4"/>
  <c r="A5" i="4"/>
  <c r="A6" i="4" s="1"/>
  <c r="N3" i="4"/>
  <c r="M3" i="4"/>
  <c r="L3" i="4"/>
  <c r="K3" i="4"/>
  <c r="J3" i="4"/>
  <c r="J238" i="4"/>
  <c r="K238" i="4"/>
  <c r="L238" i="4"/>
  <c r="M238" i="4"/>
  <c r="N238" i="4"/>
  <c r="O167" i="2"/>
  <c r="N167" i="2"/>
  <c r="M167" i="2"/>
  <c r="L167" i="2"/>
  <c r="K167" i="2"/>
  <c r="O165" i="2"/>
  <c r="N165" i="2"/>
  <c r="M165" i="2"/>
  <c r="L165" i="2"/>
  <c r="K165" i="2"/>
  <c r="O164" i="2"/>
  <c r="N164" i="2"/>
  <c r="M164" i="2"/>
  <c r="L164" i="2"/>
  <c r="K164" i="2"/>
  <c r="O162" i="2"/>
  <c r="N162" i="2"/>
  <c r="M162" i="2"/>
  <c r="L162" i="2"/>
  <c r="K162" i="2"/>
  <c r="O161" i="2"/>
  <c r="N161" i="2"/>
  <c r="M161" i="2"/>
  <c r="L161" i="2"/>
  <c r="K161" i="2"/>
  <c r="O159" i="2"/>
  <c r="N159" i="2"/>
  <c r="M159" i="2"/>
  <c r="L159" i="2"/>
  <c r="K159" i="2"/>
  <c r="O158" i="2"/>
  <c r="N158" i="2"/>
  <c r="M158" i="2"/>
  <c r="L158" i="2"/>
  <c r="K158" i="2"/>
  <c r="O155" i="2"/>
  <c r="N155" i="2"/>
  <c r="M155" i="2"/>
  <c r="L155" i="2"/>
  <c r="K155" i="2"/>
  <c r="O154" i="2"/>
  <c r="N154" i="2"/>
  <c r="M154" i="2"/>
  <c r="L154" i="2"/>
  <c r="K154" i="2"/>
  <c r="O151" i="2"/>
  <c r="N151" i="2"/>
  <c r="M151" i="2"/>
  <c r="L151" i="2"/>
  <c r="K151" i="2"/>
  <c r="O150" i="2"/>
  <c r="N150" i="2"/>
  <c r="M150" i="2"/>
  <c r="L150" i="2"/>
  <c r="K150" i="2"/>
  <c r="O149" i="2"/>
  <c r="N149" i="2"/>
  <c r="M149" i="2"/>
  <c r="L149" i="2"/>
  <c r="K149" i="2"/>
  <c r="O148" i="2"/>
  <c r="N148" i="2"/>
  <c r="M148" i="2"/>
  <c r="L148" i="2"/>
  <c r="K148" i="2"/>
  <c r="O147" i="2"/>
  <c r="N147" i="2"/>
  <c r="M147" i="2"/>
  <c r="L147" i="2"/>
  <c r="K147" i="2"/>
  <c r="O146" i="2"/>
  <c r="N146" i="2"/>
  <c r="M146" i="2"/>
  <c r="L146" i="2"/>
  <c r="K146" i="2"/>
  <c r="O145" i="2"/>
  <c r="N145" i="2"/>
  <c r="M145" i="2"/>
  <c r="L145" i="2"/>
  <c r="K145" i="2"/>
  <c r="O144" i="2"/>
  <c r="N144" i="2"/>
  <c r="M144" i="2"/>
  <c r="L144" i="2"/>
  <c r="K144" i="2"/>
  <c r="O141" i="2"/>
  <c r="N141" i="2"/>
  <c r="M141" i="2"/>
  <c r="L141" i="2"/>
  <c r="K141" i="2"/>
  <c r="O140" i="2"/>
  <c r="N140" i="2"/>
  <c r="M140" i="2"/>
  <c r="L140" i="2"/>
  <c r="K140" i="2"/>
  <c r="O139" i="2"/>
  <c r="N139" i="2"/>
  <c r="M139" i="2"/>
  <c r="L139" i="2"/>
  <c r="K139" i="2"/>
  <c r="O138" i="2"/>
  <c r="N138" i="2"/>
  <c r="M138" i="2"/>
  <c r="L138" i="2"/>
  <c r="K138" i="2"/>
  <c r="O136" i="2"/>
  <c r="N136" i="2"/>
  <c r="M136" i="2"/>
  <c r="L136" i="2"/>
  <c r="K136" i="2"/>
  <c r="O135" i="2"/>
  <c r="N135" i="2"/>
  <c r="M135" i="2"/>
  <c r="L135" i="2"/>
  <c r="K135" i="2"/>
  <c r="O134" i="2"/>
  <c r="N134" i="2"/>
  <c r="M134" i="2"/>
  <c r="L134" i="2"/>
  <c r="K134" i="2"/>
  <c r="O133" i="2"/>
  <c r="N133" i="2"/>
  <c r="M133" i="2"/>
  <c r="L133" i="2"/>
  <c r="K133" i="2"/>
  <c r="O131" i="2"/>
  <c r="N131" i="2"/>
  <c r="M131" i="2"/>
  <c r="L131" i="2"/>
  <c r="K131" i="2"/>
  <c r="O130" i="2"/>
  <c r="N130" i="2"/>
  <c r="M130" i="2"/>
  <c r="L130" i="2"/>
  <c r="K130" i="2"/>
  <c r="O129" i="2"/>
  <c r="N129" i="2"/>
  <c r="M129" i="2"/>
  <c r="L129" i="2"/>
  <c r="K129" i="2"/>
  <c r="O128" i="2"/>
  <c r="N128" i="2"/>
  <c r="M128" i="2"/>
  <c r="L128" i="2"/>
  <c r="K128" i="2"/>
  <c r="O127" i="2"/>
  <c r="N127" i="2"/>
  <c r="M127" i="2"/>
  <c r="L127" i="2"/>
  <c r="K127" i="2"/>
  <c r="O126" i="2"/>
  <c r="N126" i="2"/>
  <c r="M126" i="2"/>
  <c r="L126" i="2"/>
  <c r="K126" i="2"/>
  <c r="O124" i="2"/>
  <c r="N124" i="2"/>
  <c r="M124" i="2"/>
  <c r="L124" i="2"/>
  <c r="K124" i="2"/>
  <c r="O123" i="2"/>
  <c r="N123" i="2"/>
  <c r="M123" i="2"/>
  <c r="L123" i="2"/>
  <c r="K123" i="2"/>
  <c r="O122" i="2"/>
  <c r="N122" i="2"/>
  <c r="M122" i="2"/>
  <c r="L122" i="2"/>
  <c r="K122" i="2"/>
  <c r="O121" i="2"/>
  <c r="N121" i="2"/>
  <c r="M121" i="2"/>
  <c r="L121" i="2"/>
  <c r="K121" i="2"/>
  <c r="O120" i="2"/>
  <c r="N120" i="2"/>
  <c r="M120" i="2"/>
  <c r="L120" i="2"/>
  <c r="K120" i="2"/>
  <c r="O119" i="2"/>
  <c r="N119" i="2"/>
  <c r="M119" i="2"/>
  <c r="L119" i="2"/>
  <c r="K119" i="2"/>
  <c r="O116" i="2"/>
  <c r="N116" i="2"/>
  <c r="M116" i="2"/>
  <c r="L116" i="2"/>
  <c r="K116" i="2"/>
  <c r="O115" i="2"/>
  <c r="N115" i="2"/>
  <c r="M115" i="2"/>
  <c r="L115" i="2"/>
  <c r="K115" i="2"/>
  <c r="O113" i="2"/>
  <c r="N113" i="2"/>
  <c r="M113" i="2"/>
  <c r="L113" i="2"/>
  <c r="K113" i="2"/>
  <c r="O112" i="2"/>
  <c r="N112" i="2"/>
  <c r="M112" i="2"/>
  <c r="L112" i="2"/>
  <c r="K112" i="2"/>
  <c r="O111" i="2"/>
  <c r="N111" i="2"/>
  <c r="M111" i="2"/>
  <c r="L111" i="2"/>
  <c r="K111" i="2"/>
  <c r="O110" i="2"/>
  <c r="N110" i="2"/>
  <c r="M110" i="2"/>
  <c r="L110" i="2"/>
  <c r="K110" i="2"/>
  <c r="O109" i="2"/>
  <c r="N109" i="2"/>
  <c r="M109" i="2"/>
  <c r="L109" i="2"/>
  <c r="K109" i="2"/>
  <c r="O108" i="2"/>
  <c r="N108" i="2"/>
  <c r="M108" i="2"/>
  <c r="L108" i="2"/>
  <c r="K108" i="2"/>
  <c r="O106" i="2"/>
  <c r="N106" i="2"/>
  <c r="M106" i="2"/>
  <c r="L106" i="2"/>
  <c r="K106" i="2"/>
  <c r="O105" i="2"/>
  <c r="N105" i="2"/>
  <c r="M105" i="2"/>
  <c r="L105" i="2"/>
  <c r="K105" i="2"/>
  <c r="O104" i="2"/>
  <c r="N104" i="2"/>
  <c r="M104" i="2"/>
  <c r="L104" i="2"/>
  <c r="K104" i="2"/>
  <c r="O103" i="2"/>
  <c r="N103" i="2"/>
  <c r="M103" i="2"/>
  <c r="L103" i="2"/>
  <c r="K103" i="2"/>
  <c r="O102" i="2"/>
  <c r="N102" i="2"/>
  <c r="M102" i="2"/>
  <c r="L102" i="2"/>
  <c r="K102" i="2"/>
  <c r="O101" i="2"/>
  <c r="N101" i="2"/>
  <c r="M101" i="2"/>
  <c r="L101" i="2"/>
  <c r="K101" i="2"/>
  <c r="O98" i="2"/>
  <c r="N98" i="2"/>
  <c r="M98" i="2"/>
  <c r="L98" i="2"/>
  <c r="K98" i="2"/>
  <c r="O97" i="2"/>
  <c r="N97" i="2"/>
  <c r="M97" i="2"/>
  <c r="L97" i="2"/>
  <c r="K97" i="2"/>
  <c r="O96" i="2"/>
  <c r="N96" i="2"/>
  <c r="M96" i="2"/>
  <c r="L96" i="2"/>
  <c r="K96" i="2"/>
  <c r="O95" i="2"/>
  <c r="N95" i="2"/>
  <c r="M95" i="2"/>
  <c r="L95" i="2"/>
  <c r="K95" i="2"/>
  <c r="O93" i="2"/>
  <c r="N93" i="2"/>
  <c r="M93" i="2"/>
  <c r="L93" i="2"/>
  <c r="K93" i="2"/>
  <c r="O92" i="2"/>
  <c r="N92" i="2"/>
  <c r="M92" i="2"/>
  <c r="L92" i="2"/>
  <c r="K92" i="2"/>
  <c r="O91" i="2"/>
  <c r="N91" i="2"/>
  <c r="M91" i="2"/>
  <c r="L91" i="2"/>
  <c r="K91" i="2"/>
  <c r="O90" i="2"/>
  <c r="N90" i="2"/>
  <c r="M90" i="2"/>
  <c r="L90" i="2"/>
  <c r="K90" i="2"/>
  <c r="O89" i="2"/>
  <c r="N89" i="2"/>
  <c r="M89" i="2"/>
  <c r="L89" i="2"/>
  <c r="K89" i="2"/>
  <c r="O88" i="2"/>
  <c r="N88" i="2"/>
  <c r="M88" i="2"/>
  <c r="L88" i="2"/>
  <c r="K88" i="2"/>
  <c r="O86" i="2"/>
  <c r="N86" i="2"/>
  <c r="M86" i="2"/>
  <c r="L86" i="2"/>
  <c r="K86" i="2"/>
  <c r="O85" i="2"/>
  <c r="N85" i="2"/>
  <c r="M85" i="2"/>
  <c r="L85" i="2"/>
  <c r="K85" i="2"/>
  <c r="O84" i="2"/>
  <c r="N84" i="2"/>
  <c r="M84" i="2"/>
  <c r="L84" i="2"/>
  <c r="K84" i="2"/>
  <c r="O83" i="2"/>
  <c r="N83" i="2"/>
  <c r="M83" i="2"/>
  <c r="L83" i="2"/>
  <c r="K83" i="2"/>
  <c r="O81" i="2"/>
  <c r="N81" i="2"/>
  <c r="M81" i="2"/>
  <c r="L81" i="2"/>
  <c r="K81" i="2"/>
  <c r="O80" i="2"/>
  <c r="N80" i="2"/>
  <c r="M80" i="2"/>
  <c r="L80" i="2"/>
  <c r="K80" i="2"/>
  <c r="O79" i="2"/>
  <c r="N79" i="2"/>
  <c r="M79" i="2"/>
  <c r="L79" i="2"/>
  <c r="K79" i="2"/>
  <c r="O78" i="2"/>
  <c r="N78" i="2"/>
  <c r="M78" i="2"/>
  <c r="L78" i="2"/>
  <c r="K78" i="2"/>
  <c r="O77" i="2"/>
  <c r="N77" i="2"/>
  <c r="M77" i="2"/>
  <c r="L77" i="2"/>
  <c r="K77" i="2"/>
  <c r="O76" i="2"/>
  <c r="N76" i="2"/>
  <c r="M76" i="2"/>
  <c r="L76" i="2"/>
  <c r="K76" i="2"/>
  <c r="O74" i="2"/>
  <c r="N74" i="2"/>
  <c r="M74" i="2"/>
  <c r="L74" i="2"/>
  <c r="K74" i="2"/>
  <c r="O73" i="2"/>
  <c r="N73" i="2"/>
  <c r="M73" i="2"/>
  <c r="L73" i="2"/>
  <c r="K73" i="2"/>
  <c r="O72" i="2"/>
  <c r="N72" i="2"/>
  <c r="M72" i="2"/>
  <c r="L72" i="2"/>
  <c r="K72" i="2"/>
  <c r="O71" i="2"/>
  <c r="N71" i="2"/>
  <c r="M71" i="2"/>
  <c r="L71" i="2"/>
  <c r="K71" i="2"/>
  <c r="K31" i="2"/>
  <c r="L31" i="2"/>
  <c r="M31" i="2"/>
  <c r="N31" i="2"/>
  <c r="O31" i="2"/>
  <c r="K32" i="2"/>
  <c r="L32" i="2"/>
  <c r="M32" i="2"/>
  <c r="N32" i="2"/>
  <c r="O32" i="2"/>
  <c r="K33" i="2"/>
  <c r="L33" i="2"/>
  <c r="M33" i="2"/>
  <c r="N33" i="2"/>
  <c r="O33" i="2"/>
  <c r="K34" i="2"/>
  <c r="L34" i="2"/>
  <c r="M34" i="2"/>
  <c r="N34" i="2"/>
  <c r="O34" i="2"/>
  <c r="K35" i="2"/>
  <c r="L35" i="2"/>
  <c r="M35" i="2"/>
  <c r="N35" i="2"/>
  <c r="O35" i="2"/>
  <c r="K36" i="2"/>
  <c r="L36" i="2"/>
  <c r="M36" i="2"/>
  <c r="N36" i="2"/>
  <c r="O36" i="2"/>
  <c r="K37" i="2"/>
  <c r="L37" i="2"/>
  <c r="M37" i="2"/>
  <c r="N37" i="2"/>
  <c r="O37" i="2"/>
  <c r="K38" i="2"/>
  <c r="L38" i="2"/>
  <c r="M38" i="2"/>
  <c r="N38" i="2"/>
  <c r="O38" i="2"/>
  <c r="K40" i="2"/>
  <c r="L40" i="2"/>
  <c r="M40" i="2"/>
  <c r="N40" i="2"/>
  <c r="O40" i="2"/>
  <c r="K41" i="2"/>
  <c r="L41" i="2"/>
  <c r="M41" i="2"/>
  <c r="N41" i="2"/>
  <c r="O41" i="2"/>
  <c r="K42" i="2"/>
  <c r="L42" i="2"/>
  <c r="M42" i="2"/>
  <c r="N42" i="2"/>
  <c r="O42" i="2"/>
  <c r="K43" i="2"/>
  <c r="L43" i="2"/>
  <c r="M43" i="2"/>
  <c r="N43" i="2"/>
  <c r="O43" i="2"/>
  <c r="K44" i="2"/>
  <c r="L44" i="2"/>
  <c r="M44" i="2"/>
  <c r="N44" i="2"/>
  <c r="O44" i="2"/>
  <c r="K45" i="2"/>
  <c r="L45" i="2"/>
  <c r="M45" i="2"/>
  <c r="N45" i="2"/>
  <c r="O45" i="2"/>
  <c r="K46" i="2"/>
  <c r="L46" i="2"/>
  <c r="M46" i="2"/>
  <c r="N46" i="2"/>
  <c r="O46" i="2"/>
  <c r="K47" i="2"/>
  <c r="L47" i="2"/>
  <c r="M47" i="2"/>
  <c r="N47" i="2"/>
  <c r="O47" i="2"/>
  <c r="K49" i="2"/>
  <c r="L49" i="2"/>
  <c r="M49" i="2"/>
  <c r="N49" i="2"/>
  <c r="O49" i="2"/>
  <c r="K50" i="2"/>
  <c r="L50" i="2"/>
  <c r="M50" i="2"/>
  <c r="N50" i="2"/>
  <c r="O50" i="2"/>
  <c r="K51" i="2"/>
  <c r="L51" i="2"/>
  <c r="M51" i="2"/>
  <c r="N51" i="2"/>
  <c r="O51" i="2"/>
  <c r="K52" i="2"/>
  <c r="L52" i="2"/>
  <c r="M52" i="2"/>
  <c r="N52" i="2"/>
  <c r="O52" i="2"/>
  <c r="K53" i="2"/>
  <c r="L53" i="2"/>
  <c r="M53" i="2"/>
  <c r="N53" i="2"/>
  <c r="O53" i="2"/>
  <c r="K54" i="2"/>
  <c r="L54" i="2"/>
  <c r="M54" i="2"/>
  <c r="N54" i="2"/>
  <c r="O54" i="2"/>
  <c r="K55" i="2"/>
  <c r="L55" i="2"/>
  <c r="M55" i="2"/>
  <c r="N55" i="2"/>
  <c r="O55" i="2"/>
  <c r="K56" i="2"/>
  <c r="L56" i="2"/>
  <c r="M56" i="2"/>
  <c r="N56" i="2"/>
  <c r="O56" i="2"/>
  <c r="K58" i="2"/>
  <c r="L58" i="2"/>
  <c r="M58" i="2"/>
  <c r="N58" i="2"/>
  <c r="O58" i="2"/>
  <c r="K59" i="2"/>
  <c r="L59" i="2"/>
  <c r="M59" i="2"/>
  <c r="N59" i="2"/>
  <c r="O59" i="2"/>
  <c r="K60" i="2"/>
  <c r="L60" i="2"/>
  <c r="M60" i="2"/>
  <c r="N60" i="2"/>
  <c r="O60" i="2"/>
  <c r="K61" i="2"/>
  <c r="L61" i="2"/>
  <c r="M61" i="2"/>
  <c r="N61" i="2"/>
  <c r="O61" i="2"/>
  <c r="O62" i="2"/>
  <c r="K63" i="2"/>
  <c r="L63" i="2"/>
  <c r="M63" i="2"/>
  <c r="N63" i="2"/>
  <c r="O63" i="2"/>
  <c r="K64" i="2"/>
  <c r="L64" i="2"/>
  <c r="M64" i="2"/>
  <c r="N64" i="2"/>
  <c r="O64" i="2"/>
  <c r="K65" i="2"/>
  <c r="L65" i="2"/>
  <c r="M65" i="2"/>
  <c r="N65" i="2"/>
  <c r="O65" i="2"/>
  <c r="K66" i="2"/>
  <c r="L66" i="2"/>
  <c r="M66" i="2"/>
  <c r="N66" i="2"/>
  <c r="O66" i="2"/>
  <c r="K67" i="2"/>
  <c r="L67" i="2"/>
  <c r="M67" i="2"/>
  <c r="N67" i="2"/>
  <c r="O67" i="2"/>
  <c r="K68" i="2"/>
  <c r="L68" i="2"/>
  <c r="M68" i="2"/>
  <c r="N68" i="2"/>
  <c r="O68" i="2"/>
  <c r="O30" i="2"/>
  <c r="K12" i="2"/>
  <c r="L12" i="2"/>
  <c r="M12" i="2"/>
  <c r="N12" i="2"/>
  <c r="O12" i="2"/>
  <c r="K13" i="2"/>
  <c r="L13" i="2"/>
  <c r="M13" i="2"/>
  <c r="N13" i="2"/>
  <c r="O13" i="2"/>
  <c r="K14" i="2"/>
  <c r="L14" i="2"/>
  <c r="M14" i="2"/>
  <c r="N14" i="2"/>
  <c r="O14" i="2"/>
  <c r="O15" i="2"/>
  <c r="K16" i="2"/>
  <c r="L16" i="2"/>
  <c r="M16" i="2"/>
  <c r="N16" i="2"/>
  <c r="O16" i="2"/>
  <c r="K17" i="2"/>
  <c r="L17" i="2"/>
  <c r="M17" i="2"/>
  <c r="N17" i="2"/>
  <c r="O17" i="2"/>
  <c r="K18" i="2"/>
  <c r="L18" i="2"/>
  <c r="M18" i="2"/>
  <c r="N18" i="2"/>
  <c r="O18" i="2"/>
  <c r="K19" i="2"/>
  <c r="L19" i="2"/>
  <c r="M19" i="2"/>
  <c r="N19" i="2"/>
  <c r="O19" i="2"/>
  <c r="K20" i="2"/>
  <c r="L20" i="2"/>
  <c r="M20" i="2"/>
  <c r="N20" i="2"/>
  <c r="O20" i="2"/>
  <c r="K21" i="2"/>
  <c r="L21" i="2"/>
  <c r="M21" i="2"/>
  <c r="N21" i="2"/>
  <c r="O21" i="2"/>
  <c r="O22" i="2"/>
  <c r="K23" i="2"/>
  <c r="L23" i="2"/>
  <c r="M23" i="2"/>
  <c r="N23" i="2"/>
  <c r="O23" i="2"/>
  <c r="K24" i="2"/>
  <c r="L24" i="2"/>
  <c r="M24" i="2"/>
  <c r="N24" i="2"/>
  <c r="O24" i="2"/>
  <c r="K25" i="2"/>
  <c r="L25" i="2"/>
  <c r="M25" i="2"/>
  <c r="N25" i="2"/>
  <c r="O25" i="2"/>
  <c r="K26" i="2"/>
  <c r="L26" i="2"/>
  <c r="M26" i="2"/>
  <c r="N26" i="2"/>
  <c r="O26" i="2"/>
  <c r="K27" i="2"/>
  <c r="L27" i="2"/>
  <c r="M27" i="2"/>
  <c r="N27" i="2"/>
  <c r="O27" i="2"/>
  <c r="K28" i="2"/>
  <c r="L28" i="2"/>
  <c r="M28" i="2"/>
  <c r="N28" i="2"/>
  <c r="O28" i="2"/>
  <c r="O11" i="2"/>
  <c r="N11" i="2"/>
  <c r="M11" i="2"/>
  <c r="L11" i="2"/>
  <c r="K11" i="2"/>
  <c r="O10" i="2"/>
  <c r="N10" i="2"/>
  <c r="M10" i="2"/>
  <c r="L10" i="2"/>
  <c r="K10" i="2"/>
  <c r="O9" i="2"/>
  <c r="N9" i="2"/>
  <c r="M9" i="2"/>
  <c r="L9" i="2"/>
  <c r="K9" i="2"/>
  <c r="O6" i="2"/>
  <c r="N6" i="2"/>
  <c r="M6" i="2"/>
  <c r="L6" i="2"/>
  <c r="K6" i="2"/>
  <c r="O5" i="2"/>
  <c r="N5" i="2"/>
  <c r="M5" i="2"/>
  <c r="L5" i="2"/>
  <c r="K5" i="2"/>
  <c r="O3" i="2"/>
  <c r="N3" i="2"/>
  <c r="M3" i="2"/>
  <c r="L3" i="2"/>
  <c r="K3" i="2"/>
  <c r="A158" i="2"/>
  <c r="A154" i="2"/>
  <c r="A144" i="2"/>
  <c r="A119" i="2"/>
  <c r="A101" i="2"/>
  <c r="A71" i="2"/>
  <c r="A31" i="2"/>
  <c r="A32" i="2" s="1"/>
  <c r="A33" i="2" s="1"/>
  <c r="A34" i="2" s="1"/>
  <c r="A35" i="2" s="1"/>
  <c r="A36" i="2" s="1"/>
  <c r="A37" i="2" s="1"/>
  <c r="A38" i="2" s="1"/>
  <c r="A40" i="2" s="1"/>
  <c r="A41" i="2" s="1"/>
  <c r="A42" i="2" s="1"/>
  <c r="A43" i="2" s="1"/>
  <c r="A44" i="2" s="1"/>
  <c r="A45" i="2" s="1"/>
  <c r="A46" i="2" s="1"/>
  <c r="A47" i="2" s="1"/>
  <c r="A49" i="2" s="1"/>
  <c r="A50" i="2" s="1"/>
  <c r="A51" i="2" s="1"/>
  <c r="A52" i="2" s="1"/>
  <c r="A53" i="2" s="1"/>
  <c r="A54" i="2" s="1"/>
  <c r="A55" i="2" s="1"/>
  <c r="A56" i="2" s="1"/>
  <c r="A58" i="2" s="1"/>
  <c r="A59" i="2" s="1"/>
  <c r="A60" i="2" s="1"/>
  <c r="A61" i="2" s="1"/>
  <c r="A63" i="2" s="1"/>
  <c r="A64" i="2" s="1"/>
  <c r="A65" i="2" s="1"/>
  <c r="A66" i="2" s="1"/>
  <c r="A67" i="2" s="1"/>
  <c r="A68" i="2" s="1"/>
  <c r="A9" i="2"/>
  <c r="A10" i="2" s="1"/>
  <c r="A11" i="2" s="1"/>
  <c r="A12" i="2" s="1"/>
  <c r="A13" i="2" s="1"/>
  <c r="A14" i="2" s="1"/>
  <c r="A16" i="2" s="1"/>
  <c r="J236" i="4" l="1"/>
  <c r="C4" i="3" s="1"/>
  <c r="N236" i="4"/>
  <c r="G4" i="3" s="1"/>
  <c r="M236" i="4"/>
  <c r="F4" i="3" s="1"/>
  <c r="K236" i="4"/>
  <c r="D4" i="3" s="1"/>
  <c r="L236" i="4"/>
  <c r="E4" i="3" s="1"/>
  <c r="A49" i="4"/>
  <c r="A50" i="4" s="1"/>
  <c r="A32" i="4"/>
  <c r="A33" i="4" s="1"/>
  <c r="A34" i="4" s="1"/>
  <c r="A35" i="4" s="1"/>
  <c r="A36" i="4" s="1"/>
  <c r="O191" i="2"/>
  <c r="A72" i="2"/>
  <c r="A17" i="2"/>
  <c r="A18" i="2" s="1"/>
  <c r="H4" i="3" l="1"/>
  <c r="A52" i="4"/>
  <c r="A53" i="4" s="1"/>
  <c r="A57" i="4" s="1"/>
  <c r="A58" i="4" s="1"/>
  <c r="A59" i="4" s="1"/>
  <c r="A60" i="4" s="1"/>
  <c r="A61" i="4" s="1"/>
  <c r="A65" i="4" s="1"/>
  <c r="A66" i="4" s="1"/>
  <c r="A67" i="4" s="1"/>
  <c r="A68" i="4" s="1"/>
  <c r="A69" i="4" s="1"/>
  <c r="A71" i="4" s="1"/>
  <c r="A72" i="4" s="1"/>
  <c r="A76" i="4" s="1"/>
  <c r="A77" i="4" s="1"/>
  <c r="A78" i="4" s="1"/>
  <c r="A79" i="4" s="1"/>
  <c r="A80" i="4" s="1"/>
  <c r="A38" i="4"/>
  <c r="A39" i="4" s="1"/>
  <c r="A40" i="4" s="1"/>
  <c r="A41" i="4" s="1"/>
  <c r="A42" i="4" s="1"/>
  <c r="A43" i="4" s="1"/>
  <c r="A73" i="2"/>
  <c r="A74" i="2" s="1"/>
  <c r="A76" i="2" s="1"/>
  <c r="A77" i="2" s="1"/>
  <c r="A78" i="2" s="1"/>
  <c r="A120" i="2"/>
  <c r="A121" i="2" s="1"/>
  <c r="A122" i="2" s="1"/>
  <c r="A123" i="2" s="1"/>
  <c r="A124" i="2" s="1"/>
  <c r="A19" i="2"/>
  <c r="A20" i="2" s="1"/>
  <c r="A21" i="2" s="1"/>
  <c r="A23" i="2" s="1"/>
  <c r="A24" i="2" s="1"/>
  <c r="A25" i="2" s="1"/>
  <c r="A82" i="4" l="1"/>
  <c r="A83" i="4" s="1"/>
  <c r="A84" i="4" s="1"/>
  <c r="A85" i="4" s="1"/>
  <c r="A86" i="4" s="1"/>
  <c r="A87" i="4" s="1"/>
  <c r="A89" i="4" s="1"/>
  <c r="A90" i="4" s="1"/>
  <c r="A91" i="4" s="1"/>
  <c r="A92" i="4" s="1"/>
  <c r="A93" i="4" s="1"/>
  <c r="A94" i="4" s="1"/>
  <c r="A110" i="4" s="1"/>
  <c r="A111" i="4" s="1"/>
  <c r="A112" i="4" s="1"/>
  <c r="A113" i="4" s="1"/>
  <c r="A114" i="4" s="1"/>
  <c r="A115" i="4" s="1"/>
  <c r="A117" i="4" s="1"/>
  <c r="A118" i="4" s="1"/>
  <c r="A119" i="4" s="1"/>
  <c r="A120" i="4" s="1"/>
  <c r="A121" i="4" s="1"/>
  <c r="A122" i="4" s="1"/>
  <c r="A96" i="4"/>
  <c r="A97" i="4" s="1"/>
  <c r="A98" i="4" s="1"/>
  <c r="A99" i="4" s="1"/>
  <c r="A100" i="4" s="1"/>
  <c r="A101" i="4" s="1"/>
  <c r="A103" i="4" s="1"/>
  <c r="A104" i="4" s="1"/>
  <c r="A105" i="4" s="1"/>
  <c r="A106" i="4" s="1"/>
  <c r="A107" i="4" s="1"/>
  <c r="A108" i="4" s="1"/>
  <c r="A126" i="2"/>
  <c r="A127" i="2" s="1"/>
  <c r="A128" i="2" s="1"/>
  <c r="A129" i="2" s="1"/>
  <c r="A130" i="2" s="1"/>
  <c r="A131" i="2" s="1"/>
  <c r="A79" i="2"/>
  <c r="A80" i="2" s="1"/>
  <c r="A81" i="2" s="1"/>
  <c r="A26" i="2"/>
  <c r="A27" i="2" s="1"/>
  <c r="A28" i="2" s="1"/>
  <c r="A133" i="2" l="1"/>
  <c r="A134" i="2" s="1"/>
  <c r="A135" i="2" s="1"/>
  <c r="A136" i="2" s="1"/>
  <c r="A83" i="2"/>
  <c r="A84" i="2" s="1"/>
  <c r="A138" i="2" l="1"/>
  <c r="A139" i="2" s="1"/>
  <c r="A140" i="2" s="1"/>
  <c r="A141" i="2" s="1"/>
  <c r="A145" i="2" s="1"/>
  <c r="A146" i="2" s="1"/>
  <c r="A147" i="2" s="1"/>
  <c r="A148" i="2" s="1"/>
  <c r="A149" i="2" s="1"/>
  <c r="A150" i="2" s="1"/>
  <c r="A151" i="2" s="1"/>
  <c r="A155" i="2" s="1"/>
  <c r="A159" i="2" s="1"/>
  <c r="A85" i="2"/>
  <c r="A86" i="2" s="1"/>
  <c r="A88" i="2" s="1"/>
  <c r="A89" i="2" s="1"/>
  <c r="A90" i="2" s="1"/>
  <c r="A161" i="2" l="1"/>
  <c r="A162" i="2" s="1"/>
  <c r="A164" i="2" s="1"/>
  <c r="A165" i="2" s="1"/>
  <c r="A167" i="2" s="1"/>
  <c r="A91" i="2"/>
  <c r="A92" i="2" s="1"/>
  <c r="A93" i="2" s="1"/>
  <c r="A95" i="2" l="1"/>
  <c r="A96" i="2" s="1"/>
  <c r="A97" i="2" l="1"/>
  <c r="A98" i="2" s="1"/>
  <c r="A102" i="2" s="1"/>
  <c r="A103" i="2" l="1"/>
  <c r="A104" i="2" s="1"/>
  <c r="A105" i="2" s="1"/>
  <c r="O193" i="2"/>
  <c r="N193" i="2"/>
  <c r="M193" i="2"/>
  <c r="L193" i="2"/>
  <c r="K193" i="2"/>
  <c r="A106" i="2" l="1"/>
  <c r="A108" i="2" s="1"/>
  <c r="A5" i="2"/>
  <c r="A6" i="2" s="1"/>
  <c r="A109" i="2" l="1"/>
  <c r="A110" i="2" s="1"/>
  <c r="A111" i="2" s="1"/>
  <c r="A112" i="2" l="1"/>
  <c r="A113" i="2" s="1"/>
  <c r="A115" i="2" s="1"/>
  <c r="A116" i="2" s="1"/>
  <c r="G3" i="3" l="1"/>
  <c r="L191" i="2" l="1"/>
  <c r="D3" i="3" s="1"/>
  <c r="K191" i="2"/>
  <c r="C3" i="3" s="1"/>
  <c r="M191" i="2"/>
  <c r="E3" i="3" s="1"/>
  <c r="N191" i="2"/>
  <c r="F3" i="3" s="1"/>
  <c r="H3" i="3" l="1"/>
</calcChain>
</file>

<file path=xl/sharedStrings.xml><?xml version="1.0" encoding="utf-8"?>
<sst xmlns="http://schemas.openxmlformats.org/spreadsheetml/2006/main" count="1382" uniqueCount="296">
  <si>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</si>
  <si>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</si>
  <si>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</si>
  <si>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</si>
  <si>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</si>
  <si>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</si>
  <si>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</si>
  <si>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</si>
  <si>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</si>
  <si>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</si>
  <si>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</si>
  <si>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</si>
  <si>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</si>
  <si>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Internal (RFA) - Policy Accounting</t>
  </si>
  <si>
    <t>Policy Accounting</t>
  </si>
  <si>
    <t>Accounting linked per transaction for SEB RFA</t>
  </si>
  <si>
    <t>As defined by business required</t>
  </si>
  <si>
    <t>See below</t>
  </si>
  <si>
    <t>Receipting</t>
  </si>
  <si>
    <t>SEB DAILY PRICED INVESTMENTS</t>
  </si>
  <si>
    <t>CASH REC JNL APPROP ACC SANBES</t>
  </si>
  <si>
    <t>Dr</t>
  </si>
  <si>
    <t>GA243</t>
  </si>
  <si>
    <t>Cr</t>
  </si>
  <si>
    <t>GN022</t>
  </si>
  <si>
    <t>Journal id</t>
  </si>
  <si>
    <t>Account</t>
  </si>
  <si>
    <t>Dr/Cr</t>
  </si>
  <si>
    <t xml:space="preserve">Allocation Process: Lump Sum excluding Coris Funds </t>
  </si>
  <si>
    <t>JE002</t>
  </si>
  <si>
    <t>GP005</t>
  </si>
  <si>
    <t>GP003</t>
  </si>
  <si>
    <t>GH000</t>
  </si>
  <si>
    <t>MF009</t>
  </si>
  <si>
    <t>U TRUST UNITS SALES</t>
  </si>
  <si>
    <t>COMPASS DAF MPLAN INVEST CONTR</t>
  </si>
  <si>
    <t>COMPASS DA MPLAN INVESTM CONTR</t>
  </si>
  <si>
    <t>DEBIT ORDER SETTLEMT ACC</t>
  </si>
  <si>
    <t xml:space="preserve">COMPASS DAF PREMIUMS SINGEL   </t>
  </si>
  <si>
    <t>Allocation Process: Recurring Premiums excluding Coris Funds</t>
  </si>
  <si>
    <t>DAF RECURRING PREM INV ONLY</t>
  </si>
  <si>
    <t>MC113</t>
  </si>
  <si>
    <t xml:space="preserve">Allocation Process: Coris Funds – Lump Sum &amp; Recurring Premiums </t>
  </si>
  <si>
    <t xml:space="preserve">EA518 </t>
  </si>
  <si>
    <t>`</t>
  </si>
  <si>
    <t>DAF CORIS CASHFLOW CONTROL</t>
  </si>
  <si>
    <t>Investments</t>
  </si>
  <si>
    <t>Repurchases / Disinvestments</t>
  </si>
  <si>
    <t>Benefit Payments &amp; Terminations: Coris Funds</t>
  </si>
  <si>
    <t>EA518</t>
  </si>
  <si>
    <t>U TRUST UNITS REPURCHASE</t>
  </si>
  <si>
    <t>JE003</t>
  </si>
  <si>
    <t>(depending on instruction type)</t>
  </si>
  <si>
    <t>GF801</t>
  </si>
  <si>
    <t>FA002</t>
  </si>
  <si>
    <t>CREDIT TRANSFERS CONTROL</t>
  </si>
  <si>
    <t>REPURCHASES AUTH</t>
  </si>
  <si>
    <t>Benefit Payments: Non-Coris Funds</t>
  </si>
  <si>
    <t>SG003</t>
  </si>
  <si>
    <t>COMPASS DAF REDEMPTIONS</t>
  </si>
  <si>
    <t>Terminations :  Non-Coris Funds</t>
  </si>
  <si>
    <t>COMPASS DAF INV ONLY DISSOLUTIONS</t>
  </si>
  <si>
    <t>SH420</t>
  </si>
  <si>
    <t>Benefit Payments:  Realise Non-vesting Bonuses</t>
  </si>
  <si>
    <t>SCI CAP BONUSES DA</t>
  </si>
  <si>
    <t>PE512</t>
  </si>
  <si>
    <t>DAF SCI CAP BONUSES DECLARED</t>
  </si>
  <si>
    <t>PE012</t>
  </si>
  <si>
    <t>Market Value Adjustment</t>
  </si>
  <si>
    <t xml:space="preserve">DAF PROFIT/LOSS AT BV REAL </t>
  </si>
  <si>
    <t>JC009</t>
  </si>
  <si>
    <t>PROFIT/LOSS AT BV REAL DA</t>
  </si>
  <si>
    <t>JC010</t>
  </si>
  <si>
    <t>Smoothed Bonus Bonuses</t>
  </si>
  <si>
    <t>Non-vesting (capital) Bonuses put to book monthly (investment)</t>
  </si>
  <si>
    <t>SCI NON-VESTED BONUSES DA</t>
  </si>
  <si>
    <t>PE511</t>
  </si>
  <si>
    <t>PE034</t>
  </si>
  <si>
    <t>PE011</t>
  </si>
  <si>
    <t>SCI INCOME BONUSES PAID DA</t>
  </si>
  <si>
    <t>DAF SCI INC BONUSES DECLARED</t>
  </si>
  <si>
    <t>Annual vesting of Non-vesting Bonuses (investment)</t>
  </si>
  <si>
    <t>Vesting (income) Bonuses put to book monthly (investment)</t>
  </si>
  <si>
    <t>Negative bonuses – only applicable to SMM Non-vesting (repurchase)</t>
  </si>
  <si>
    <t xml:space="preserve">Cancel Non-vesting Bonuses </t>
  </si>
  <si>
    <t>Smoothed Bonus Fees</t>
  </si>
  <si>
    <t>Smoothed Bonus Investment Admin Fee</t>
  </si>
  <si>
    <t>DAF SB INVESTMENT  ADMIN FEE</t>
  </si>
  <si>
    <t>WS908</t>
  </si>
  <si>
    <t>SB INVESTMENT ADMIN FEE DA</t>
  </si>
  <si>
    <t>WS907</t>
  </si>
  <si>
    <t>Special Book Value Guaranteed (BVG) Premium</t>
  </si>
  <si>
    <t>WS909</t>
  </si>
  <si>
    <t>WS910</t>
  </si>
  <si>
    <t>DAF SPECIAL BV GUARENTEED PREM</t>
  </si>
  <si>
    <t>SPECIAL BV GUARENTEED PREM DA</t>
  </si>
  <si>
    <t>Smoothed Bonus Guarantee Fee</t>
  </si>
  <si>
    <t>SB GUARANTEED FEE PD P/H DA</t>
  </si>
  <si>
    <t>WS911</t>
  </si>
  <si>
    <t>SB GUARANTEED FEE RCVD S/H DA</t>
  </si>
  <si>
    <t>WS912</t>
  </si>
  <si>
    <t xml:space="preserve">Smoothed Bonus Switches </t>
  </si>
  <si>
    <t xml:space="preserve"> Disinvestment Switch Out - Coris portfolio</t>
  </si>
  <si>
    <t>Pen/Wizard Asset Migration DA</t>
  </si>
  <si>
    <t>GF902</t>
  </si>
  <si>
    <t>Investment Switch In – Coris portfolio</t>
  </si>
  <si>
    <t>Disinvestment Switch Out – SUTUWA portfolio</t>
  </si>
  <si>
    <t>Investment Switch In – SUTUWA portfolio</t>
  </si>
  <si>
    <t xml:space="preserve">Smoothed Bonus Migration </t>
  </si>
  <si>
    <t>Migration from Pen Monthly to SCI Daily for Smoothed Bonu</t>
  </si>
  <si>
    <t xml:space="preserve">Wizard Asset Migration DAF </t>
  </si>
  <si>
    <t>GF903</t>
  </si>
  <si>
    <t>CAP BONUS PLAN ALPHA DA</t>
  </si>
  <si>
    <t>PE503</t>
  </si>
  <si>
    <t>] Book Value</t>
  </si>
  <si>
    <t>]</t>
  </si>
  <si>
    <t>] CBA Balance</t>
  </si>
  <si>
    <t>] Book Value + CBA Balance</t>
  </si>
  <si>
    <t>Smoothed Bonus Merge</t>
  </si>
  <si>
    <t>Transfer of non-vesting bonuses (CBA)</t>
  </si>
  <si>
    <t>] CBA balance of ‘Closed’ portfolio</t>
  </si>
  <si>
    <t>] CBA balance to ‘Open’ portfolio</t>
  </si>
  <si>
    <t>Transfer of ownership</t>
  </si>
  <si>
    <t xml:space="preserve"> Transferor (book value – excluding non-vesting bonuses)</t>
  </si>
  <si>
    <t>Transferee (book value – excluding non-vesting bonuses)</t>
  </si>
  <si>
    <t>Reconciling SCI and Policy Accounting per client</t>
  </si>
  <si>
    <t>(Transferor)</t>
  </si>
  <si>
    <t>(Transferee)</t>
  </si>
  <si>
    <t>Non-vesting bonuses:</t>
  </si>
  <si>
    <t>Accounting linked per transaction for SCI</t>
  </si>
  <si>
    <t>Investments and Disinvestments for Coris Funds</t>
  </si>
  <si>
    <t xml:space="preserve">Allocation Process </t>
  </si>
  <si>
    <t xml:space="preserve"> Disinvestment Process</t>
  </si>
  <si>
    <t>Investments and Disinvestments for Non-Coris Funds</t>
  </si>
  <si>
    <t>  Recurring Premium Allocation Process</t>
  </si>
  <si>
    <t xml:space="preserve">Single Premium Allocation Process </t>
  </si>
  <si>
    <t>  Disinvestment Process</t>
  </si>
  <si>
    <t>Cash Payments to all Administrators</t>
  </si>
  <si>
    <t xml:space="preserve">Payments via Cash Focus </t>
  </si>
  <si>
    <t>Payments via Multi Data (old ACB)</t>
  </si>
  <si>
    <t xml:space="preserve"> Payments to Multi Data (Manual jnl after Cash Focus trans)</t>
  </si>
  <si>
    <t xml:space="preserve">Dr </t>
  </si>
  <si>
    <t>Investment Fees on all SIM &amp; SMMI products</t>
  </si>
  <si>
    <t>Processing of Exclusive Investment Fees across all schemes with relevant cost centre of either SIM or SMMI in Segment 4 field</t>
  </si>
  <si>
    <t>Control</t>
  </si>
  <si>
    <t>WS871</t>
  </si>
  <si>
    <t>WS872</t>
  </si>
  <si>
    <t xml:space="preserve">Cr </t>
  </si>
  <si>
    <t>Broker Fees</t>
  </si>
  <si>
    <t>ABSA Broker fees for SMMI Matrix &amp; SMMI Absolute Return portfolios (Vat inclusive)</t>
  </si>
  <si>
    <t>WS883</t>
  </si>
  <si>
    <t xml:space="preserve"> Vat on ABSA Broker fees (14%)</t>
  </si>
  <si>
    <t>GM007</t>
  </si>
  <si>
    <t>Provider Pensions</t>
  </si>
  <si>
    <t>Provider Pensions Receipt  (New Money)</t>
  </si>
  <si>
    <t>GN041</t>
  </si>
  <si>
    <t>MG018</t>
  </si>
  <si>
    <t>Conversion Option</t>
  </si>
  <si>
    <t>GI034</t>
  </si>
  <si>
    <t xml:space="preserve">Annual Transfer (Disinvestment) from Growth Pool to Guaranteed Pool </t>
  </si>
  <si>
    <t xml:space="preserve"> Migration from Provider Select to new Scheme options</t>
  </si>
  <si>
    <t>Investment</t>
  </si>
  <si>
    <t xml:space="preserve"> Investment Administration Fees</t>
  </si>
  <si>
    <t>Disinvest from Growth Pool (to another administrator)</t>
  </si>
  <si>
    <t>WS891</t>
  </si>
  <si>
    <t>WS892</t>
  </si>
  <si>
    <t>SH401</t>
  </si>
  <si>
    <t>Trade Accounting</t>
  </si>
  <si>
    <t>Trade Accounting to support Trade Investment</t>
  </si>
  <si>
    <t xml:space="preserve"> Trade Accounting to support Trade Disinvestment</t>
  </si>
  <si>
    <t>JE001</t>
  </si>
  <si>
    <t>JE000</t>
  </si>
  <si>
    <t>Payment to/from JPM (JP Morgan)</t>
  </si>
  <si>
    <t>Physical payment of cash to JPM Cash Pool</t>
  </si>
  <si>
    <t>Physical receipt of cash from JPM Cash Pool</t>
  </si>
  <si>
    <t>GH023</t>
  </si>
  <si>
    <t>CR</t>
  </si>
  <si>
    <t>JB200</t>
  </si>
  <si>
    <t>   Clear all JE accounts to JB200 as is currently done by SCI</t>
  </si>
  <si>
    <t xml:space="preserve"> Net Profit to be processed daily to SEB Control accounts</t>
  </si>
  <si>
    <t>Or Net Loss to be processed daily to SEB Control accounts</t>
  </si>
  <si>
    <t>PD104</t>
  </si>
  <si>
    <t>Profit/Loss Accounting</t>
  </si>
  <si>
    <t>Disinvestment Switch Out</t>
  </si>
  <si>
    <t>Ad Hoc Switches for Non-Coris Funds</t>
  </si>
  <si>
    <t xml:space="preserve"> Investment Switch In</t>
  </si>
  <si>
    <t>Non-Cash Switches for Coris Funds</t>
  </si>
  <si>
    <t>Investment Switch In</t>
  </si>
  <si>
    <t xml:space="preserve"> Switches from SUTUWA to Pen</t>
  </si>
  <si>
    <t>Switches from Pen to SUTUWA</t>
  </si>
  <si>
    <t>Migration accounting</t>
  </si>
  <si>
    <t>Migration from PEN to SCI Daily</t>
  </si>
  <si>
    <t>Migration from Wizard to SCI Daily</t>
  </si>
  <si>
    <t>ED082</t>
  </si>
  <si>
    <t>ED081</t>
  </si>
  <si>
    <t>Script Transfer</t>
  </si>
  <si>
    <t>Script transfer iro Investments for Coris Funds</t>
  </si>
  <si>
    <t>Script transfer iro Investments for Non-Coris Funds</t>
  </si>
  <si>
    <t>Script transfer iro Disinvestments for Coris Funds</t>
  </si>
  <si>
    <t>Script transfer iro Disinvestments for Non-Coris Funds</t>
  </si>
  <si>
    <t>GH503</t>
  </si>
  <si>
    <t>Accounting Interfaces</t>
  </si>
  <si>
    <r>
      <rPr>
        <b/>
        <sz val="10"/>
        <color theme="1"/>
        <rFont val="Arial"/>
        <family val="2"/>
      </rPr>
      <t xml:space="preserve"> Investments</t>
    </r>
    <r>
      <rPr>
        <b/>
        <sz val="10"/>
        <color theme="0"/>
        <rFont val="Arial"/>
        <family val="2"/>
      </rPr>
      <t xml:space="preserve"> - Normal Investment</t>
    </r>
  </si>
  <si>
    <t>Accounting transactions - created for Investment</t>
  </si>
  <si>
    <t>Lumpsum Cash</t>
  </si>
  <si>
    <t>Transcode 970 Origin Code 3</t>
  </si>
  <si>
    <t>Coris</t>
  </si>
  <si>
    <t>Transcode 970 Origin Code 5</t>
  </si>
  <si>
    <t>Recurring Cash</t>
  </si>
  <si>
    <t>Transcode 970 Origin Code 18</t>
  </si>
  <si>
    <t xml:space="preserve">Provider Investment </t>
  </si>
  <si>
    <t>Transcode 970 Origin Code 63</t>
  </si>
  <si>
    <t>Provider Conversion</t>
  </si>
  <si>
    <t>Transcode 970 Origin Code 64</t>
  </si>
  <si>
    <r>
      <rPr>
        <b/>
        <sz val="10"/>
        <color theme="1"/>
        <rFont val="Arial"/>
        <family val="2"/>
      </rPr>
      <t>Investments</t>
    </r>
    <r>
      <rPr>
        <b/>
        <sz val="10"/>
        <color theme="0"/>
        <rFont val="Arial"/>
        <family val="2"/>
      </rPr>
      <t xml:space="preserve"> - Special Investment</t>
    </r>
  </si>
  <si>
    <t>Migrate PEN</t>
  </si>
  <si>
    <t>Transcode 980 Origin Code 62</t>
  </si>
  <si>
    <t>Migrate WIZARD / SUTUWA</t>
  </si>
  <si>
    <t>Transcode 980 Origin Code 65</t>
  </si>
  <si>
    <r>
      <rPr>
        <b/>
        <sz val="10"/>
        <color theme="1"/>
        <rFont val="Arial"/>
        <family val="2"/>
      </rPr>
      <t>Investments</t>
    </r>
    <r>
      <rPr>
        <b/>
        <sz val="10"/>
        <color theme="0"/>
        <rFont val="Arial"/>
        <family val="2"/>
      </rPr>
      <t xml:space="preserve"> - Reversed</t>
    </r>
  </si>
  <si>
    <t>Switch In - Reversed</t>
  </si>
  <si>
    <t>Transcode 940 Origin Code 21</t>
  </si>
  <si>
    <t>Reversal Switch from PEN</t>
  </si>
  <si>
    <t>Transcode 940 Origin Code 68</t>
  </si>
  <si>
    <t>Migrate WIZARD / SUTUWA Reversal</t>
  </si>
  <si>
    <t>Transcode 940 Origin Code 65</t>
  </si>
  <si>
    <t>Investments / Disinvestment</t>
  </si>
  <si>
    <t>Accounting transactions - created for Invest / Disinv</t>
  </si>
  <si>
    <t>Switch PEN</t>
  </si>
  <si>
    <t>Transcode 200/201 Origin Code 68</t>
  </si>
  <si>
    <r>
      <rPr>
        <b/>
        <sz val="10"/>
        <color theme="1"/>
        <rFont val="Arial"/>
        <family val="2"/>
      </rPr>
      <t>Disinvestment</t>
    </r>
    <r>
      <rPr>
        <b/>
        <sz val="10"/>
        <color theme="0"/>
        <rFont val="Arial"/>
        <family val="2"/>
      </rPr>
      <t xml:space="preserve"> - Unit Request</t>
    </r>
  </si>
  <si>
    <t>Accounting transactions - created for Disinvestment</t>
  </si>
  <si>
    <t>Switch to PEN Portfolio</t>
  </si>
  <si>
    <t>Transcode 200 Code 68</t>
  </si>
  <si>
    <r>
      <rPr>
        <b/>
        <sz val="10"/>
        <color theme="1"/>
        <rFont val="Arial"/>
        <family val="2"/>
      </rPr>
      <t>Disinvestment</t>
    </r>
    <r>
      <rPr>
        <b/>
        <sz val="10"/>
        <color theme="0"/>
        <rFont val="Arial"/>
        <family val="2"/>
      </rPr>
      <t xml:space="preserve"> - Amount Request</t>
    </r>
  </si>
  <si>
    <t>Transcode 201 Code 68</t>
  </si>
  <si>
    <r>
      <rPr>
        <b/>
        <sz val="10"/>
        <color theme="1"/>
        <rFont val="Arial"/>
        <family val="2"/>
      </rPr>
      <t>Disinvestment</t>
    </r>
    <r>
      <rPr>
        <b/>
        <sz val="10"/>
        <color theme="0"/>
        <rFont val="Arial"/>
        <family val="2"/>
      </rPr>
      <t xml:space="preserve"> - Fees</t>
    </r>
  </si>
  <si>
    <t>Admin Fee</t>
  </si>
  <si>
    <t>Transcode 201 Code 61</t>
  </si>
  <si>
    <t>Transcode 201 Code 60</t>
  </si>
  <si>
    <t>Investment Fees</t>
  </si>
  <si>
    <t>Transcode 201 Code 59</t>
  </si>
  <si>
    <r>
      <rPr>
        <b/>
        <sz val="10"/>
        <color theme="1"/>
        <rFont val="Arial"/>
        <family val="2"/>
      </rPr>
      <t>Disinvestment</t>
    </r>
    <r>
      <rPr>
        <b/>
        <sz val="10"/>
        <color theme="0"/>
        <rFont val="Arial"/>
        <family val="2"/>
      </rPr>
      <t xml:space="preserve"> - Reversed</t>
    </r>
  </si>
  <si>
    <t>Switch Out - Reversed</t>
  </si>
  <si>
    <t>Transcode 250 Origin Code 21</t>
  </si>
  <si>
    <t>Reversal Switch to PEN</t>
  </si>
  <si>
    <t>Transcode 250 Origin Code 68</t>
  </si>
  <si>
    <r>
      <rPr>
        <b/>
        <sz val="10"/>
        <color theme="1"/>
        <rFont val="Arial"/>
        <family val="2"/>
      </rPr>
      <t>Switches</t>
    </r>
    <r>
      <rPr>
        <b/>
        <sz val="10"/>
        <color theme="0"/>
        <rFont val="Arial"/>
        <family val="2"/>
      </rPr>
      <t xml:space="preserve"> Asset Movement - same investor between portfolios</t>
    </r>
  </si>
  <si>
    <t>Switch OUT</t>
  </si>
  <si>
    <t>Transcode 410 Origin Code 00</t>
  </si>
  <si>
    <t>Switch IN</t>
  </si>
  <si>
    <t>Transcode 411 Origin Code 00</t>
  </si>
  <si>
    <r>
      <rPr>
        <b/>
        <sz val="10"/>
        <color theme="1"/>
        <rFont val="Arial"/>
        <family val="2"/>
      </rPr>
      <t xml:space="preserve">Transfers </t>
    </r>
    <r>
      <rPr>
        <b/>
        <sz val="10"/>
        <color theme="0"/>
        <rFont val="Arial"/>
        <family val="2"/>
      </rPr>
      <t xml:space="preserve"> Trf of Ownership - same portfolios</t>
    </r>
  </si>
  <si>
    <t>Trasnfer TO</t>
  </si>
  <si>
    <t>Transcode 400</t>
  </si>
  <si>
    <t>Trasnfer FROM</t>
  </si>
  <si>
    <t>Transcode 401</t>
  </si>
  <si>
    <r>
      <rPr>
        <b/>
        <sz val="10"/>
        <color theme="1"/>
        <rFont val="Arial"/>
        <family val="2"/>
      </rPr>
      <t xml:space="preserve">Treasure Functions </t>
    </r>
    <r>
      <rPr>
        <b/>
        <sz val="10"/>
        <color theme="0"/>
        <rFont val="Arial"/>
        <family val="2"/>
      </rPr>
      <t xml:space="preserve"> Cancel / Create</t>
    </r>
  </si>
  <si>
    <t>Book Value Transactions - Create Smooth Bonus</t>
  </si>
  <si>
    <t>Transcode 928</t>
  </si>
  <si>
    <t>Book Value Transactions - Cancel Smooth Bonus</t>
  </si>
  <si>
    <t>Transcode 929</t>
  </si>
  <si>
    <t xml:space="preserve">Cash Transaction - Create </t>
  </si>
  <si>
    <t>Transcode 930</t>
  </si>
  <si>
    <t>Cash Transaction - Cancel</t>
  </si>
  <si>
    <t>Transcode 931</t>
  </si>
  <si>
    <t>Cash Transaction - Create Contra</t>
  </si>
  <si>
    <t>Transcode 932</t>
  </si>
  <si>
    <t>Cash Transaction - Cancel Contra</t>
  </si>
  <si>
    <t>Transcode 933</t>
  </si>
  <si>
    <t>Migration -  Create PEN CDA Migration</t>
  </si>
  <si>
    <t>Transcode 934</t>
  </si>
  <si>
    <t>Migration -  Cancel PEN CDA Migration</t>
  </si>
  <si>
    <t>Transcode 935</t>
  </si>
  <si>
    <t xml:space="preserve">Non-Cash Transaction - Create </t>
  </si>
  <si>
    <t>Transcode 938</t>
  </si>
  <si>
    <t>Non-Cash Transaction - Cancel</t>
  </si>
  <si>
    <t>Transcode 939</t>
  </si>
  <si>
    <r>
      <rPr>
        <b/>
        <sz val="10"/>
        <color theme="1"/>
        <rFont val="Arial"/>
        <family val="2"/>
      </rPr>
      <t xml:space="preserve">Treasure Functions </t>
    </r>
    <r>
      <rPr>
        <b/>
        <sz val="10"/>
        <color theme="0"/>
        <rFont val="Arial"/>
        <family val="2"/>
      </rPr>
      <t xml:space="preserve"> Profit / Loss</t>
    </r>
  </si>
  <si>
    <t>Profit/Loss Journal</t>
  </si>
  <si>
    <t>Transcode as above Origin Code 66</t>
  </si>
  <si>
    <t>Trading Journal</t>
  </si>
  <si>
    <t>Transcode as above Origin Code 67</t>
  </si>
  <si>
    <t>Transcode 940 Origin Code 69</t>
  </si>
  <si>
    <t>GI006</t>
  </si>
  <si>
    <t>GI011</t>
  </si>
  <si>
    <t>GF901</t>
  </si>
  <si>
    <t>Transaction List</t>
  </si>
  <si>
    <t xml:space="preserve">  </t>
  </si>
  <si>
    <t>Repurchase Schedule 6 Accounting</t>
  </si>
  <si>
    <t>Repurchase Schedule 5 Accounting</t>
  </si>
  <si>
    <t>Elize checked that the journals were printed</t>
  </si>
  <si>
    <t>Betsie</t>
  </si>
  <si>
    <t>Please refer to Test Case SEB_InvestAdmin_OPSProcessClient Monthly-Exclusive Fees</t>
  </si>
  <si>
    <t>FM063</t>
  </si>
  <si>
    <t>Sci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</si>
</sst>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0" fontId="0" fillId="0" borderId="2" xfId="0" applyBorder="1" applyAlignment="1">
      <alignment wrapText="1"/>
    </xf>
    <xf numFmtId="164" fontId="1" fillId="2" borderId="2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1" fillId="2" borderId="2" xfId="0" applyFont="1" applyFill="1" applyBorder="1" applyAlignment="1">
      <alignment horizontal="left" vertical="center"/>
    </xf>
    <xf numFmtId="0" fontId="0" fillId="0" borderId="0" xfId="0" applyFont="1" applyAlignment="1">
      <alignment wrapText="1"/>
    </xf>
    <xf numFmtId="0" fontId="0" fillId="0" borderId="2" xfId="0" applyFont="1" applyBorder="1" applyAlignment="1">
      <alignment wrapText="1"/>
    </xf>
    <xf numFmtId="0" fontId="0" fillId="0" borderId="2" xfId="0" applyFont="1" applyBorder="1"/>
    <xf numFmtId="164" fontId="0" fillId="0" borderId="0" xfId="0" applyNumberFormat="1" applyFont="1" applyAlignment="1">
      <alignment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164" fontId="5" fillId="5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vertical="center" wrapText="1"/>
    </xf>
    <xf numFmtId="0" fontId="5" fillId="5" borderId="2" xfId="0" applyFont="1" applyFill="1" applyBorder="1" applyAlignment="1">
      <alignment horizontal="left" vertical="center" wrapText="1"/>
    </xf>
    <xf numFmtId="164" fontId="6" fillId="3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vertical="center" wrapText="1"/>
    </xf>
    <xf numFmtId="0" fontId="7" fillId="0" borderId="2" xfId="0" applyFont="1" applyBorder="1"/>
    <xf numFmtId="0" fontId="6" fillId="0" borderId="2" xfId="0" quotePrefix="1" applyFont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vertical="center" wrapText="1"/>
    </xf>
    <xf numFmtId="0" fontId="4" fillId="0" borderId="2" xfId="0" applyFont="1" applyFill="1" applyBorder="1" applyAlignment="1">
      <alignment wrapText="1"/>
    </xf>
    <xf numFmtId="0" fontId="2" fillId="0" borderId="0" xfId="0" applyFont="1" applyFill="1" applyAlignment="1">
      <alignment wrapText="1"/>
    </xf>
    <xf numFmtId="164" fontId="5" fillId="0" borderId="0" xfId="0" applyNumberFormat="1" applyFont="1" applyFill="1" applyBorder="1" applyAlignment="1">
      <alignment vertical="center" wrapText="1"/>
    </xf>
    <xf numFmtId="164" fontId="8" fillId="6" borderId="2" xfId="0" applyNumberFormat="1" applyFont="1" applyFill="1" applyBorder="1" applyAlignment="1">
      <alignment vertical="center" wrapText="1"/>
    </xf>
    <xf numFmtId="0" fontId="0" fillId="0" borderId="2" xfId="0" applyFont="1" applyFill="1" applyBorder="1"/>
    <xf numFmtId="0" fontId="6" fillId="0" borderId="2" xfId="0" applyFont="1" applyFill="1" applyBorder="1" applyAlignment="1">
      <alignment horizontal="right" wrapText="1"/>
    </xf>
    <xf numFmtId="0" fontId="6" fillId="0" borderId="2" xfId="0" applyFont="1" applyFill="1" applyBorder="1" applyAlignment="1">
      <alignment horizontal="left" wrapText="1"/>
    </xf>
    <xf numFmtId="164" fontId="6" fillId="7" borderId="2" xfId="0" applyNumberFormat="1" applyFont="1" applyFill="1" applyBorder="1" applyAlignment="1">
      <alignment vertical="center" wrapText="1"/>
    </xf>
    <xf numFmtId="0" fontId="6" fillId="7" borderId="2" xfId="0" applyFont="1" applyFill="1" applyBorder="1" applyAlignment="1">
      <alignment vertical="center" wrapText="1"/>
    </xf>
    <xf numFmtId="0" fontId="0" fillId="7" borderId="2" xfId="0" applyFont="1" applyFill="1" applyBorder="1"/>
    <xf numFmtId="0" fontId="9" fillId="5" borderId="2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3" borderId="2" xfId="0" applyFont="1" applyFill="1" applyBorder="1" applyAlignment="1">
      <alignment vertical="center" wrapText="1"/>
    </xf>
    <xf numFmtId="0" fontId="10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wrapText="1"/>
    </xf>
    <xf numFmtId="0" fontId="2" fillId="0" borderId="2" xfId="0" applyFont="1" applyFill="1" applyBorder="1" applyAlignment="1">
      <alignment wrapText="1"/>
    </xf>
    <xf numFmtId="164" fontId="8" fillId="0" borderId="2" xfId="0" applyNumberFormat="1" applyFont="1" applyFill="1" applyBorder="1" applyAlignment="1">
      <alignment vertical="center" wrapText="1"/>
    </xf>
    <xf numFmtId="0" fontId="12" fillId="2" borderId="2" xfId="0" applyFont="1" applyFill="1" applyBorder="1" applyAlignment="1">
      <alignment horizontal="center" wrapText="1"/>
    </xf>
    <xf numFmtId="0" fontId="13" fillId="5" borderId="2" xfId="0" applyFont="1" applyFill="1" applyBorder="1" applyAlignment="1">
      <alignment vertical="center" wrapText="1"/>
    </xf>
    <xf numFmtId="0" fontId="14" fillId="0" borderId="2" xfId="0" applyFont="1" applyBorder="1" applyAlignment="1">
      <alignment vertical="center" wrapText="1"/>
    </xf>
    <xf numFmtId="0" fontId="15" fillId="0" borderId="2" xfId="0" applyFont="1" applyBorder="1"/>
    <xf numFmtId="0" fontId="13" fillId="0" borderId="2" xfId="0" applyFont="1" applyFill="1" applyBorder="1" applyAlignment="1">
      <alignment vertical="center" wrapText="1"/>
    </xf>
    <xf numFmtId="0" fontId="14" fillId="0" borderId="2" xfId="0" quotePrefix="1" applyFont="1" applyBorder="1" applyAlignment="1">
      <alignment vertical="center" wrapText="1"/>
    </xf>
    <xf numFmtId="0" fontId="15" fillId="0" borderId="0" xfId="0" applyFont="1" applyAlignment="1">
      <alignment wrapText="1"/>
    </xf>
    <xf numFmtId="164" fontId="5" fillId="5" borderId="3" xfId="0" applyNumberFormat="1" applyFont="1" applyFill="1" applyBorder="1" applyAlignment="1">
      <alignment horizontal="left" vertical="center" wrapText="1"/>
    </xf>
    <xf numFmtId="164" fontId="5" fillId="5" borderId="4" xfId="0" applyNumberFormat="1" applyFont="1" applyFill="1" applyBorder="1" applyAlignment="1">
      <alignment horizontal="left" vertical="center" wrapText="1"/>
    </xf>
    <xf numFmtId="164" fontId="8" fillId="6" borderId="3" xfId="0" applyNumberFormat="1" applyFont="1" applyFill="1" applyBorder="1" applyAlignment="1">
      <alignment horizontal="left" vertical="center" wrapText="1"/>
    </xf>
    <xf numFmtId="164" fontId="8" fillId="6" borderId="5" xfId="0" applyNumberFormat="1" applyFont="1" applyFill="1" applyBorder="1" applyAlignment="1">
      <alignment horizontal="left" vertical="center" wrapText="1"/>
    </xf>
    <xf numFmtId="164" fontId="8" fillId="6" borderId="4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368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57150</xdr:rowOff>
        </xdr:from>
        <xdr:to>
          <xdr:col>0</xdr:col>
          <xdr:colOff>581025</xdr:colOff>
          <xdr:row>6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0</xdr:col>
          <xdr:colOff>581025</xdr:colOff>
          <xdr:row>5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5"/>
  <sheetViews>
    <sheetView tabSelected="1" zoomScaleNormal="100" workbookViewId="0">
      <selection activeCell="E4" sqref="E4"/>
    </sheetView>
  </sheetViews>
  <sheetFormatPr defaultRowHeight="15" x14ac:dyDescent="0.25"/>
  <cols>
    <col min="1" max="1" width="9.140625" style="3"/>
    <col min="2" max="2" width="35.42578125" style="3" bestFit="1" customWidth="1"/>
    <col min="3" max="8" width="15" style="3" customWidth="1"/>
    <col min="9" max="16384" width="9.140625" style="3"/>
  </cols>
  <sheetData>
    <row r="2" spans="2:8" x14ac:dyDescent="0.25">
      <c r="B2" s="9"/>
      <c r="C2" s="9" t="s">
        <v>5</v>
      </c>
      <c r="D2" s="9" t="s">
        <v>6</v>
      </c>
      <c r="E2" s="9" t="s">
        <v>9</v>
      </c>
      <c r="F2" s="9" t="s">
        <v>7</v>
      </c>
      <c r="G2" s="9" t="s">
        <v>8</v>
      </c>
      <c r="H2" s="9" t="s">
        <v>10</v>
      </c>
    </row>
    <row r="3" spans="2:8" x14ac:dyDescent="0.25">
      <c r="B3" s="14" t="s">
        <v>13</v>
      </c>
      <c r="C3" s="10">
        <f>RFA!K191</f>
        <v>0</v>
      </c>
      <c r="D3" s="10">
        <f>RFA!L191</f>
        <v>0</v>
      </c>
      <c r="E3" s="10">
        <f>RFA!M191</f>
        <v>117</v>
      </c>
      <c r="F3" s="11">
        <f>RFA!N191</f>
        <v>4</v>
      </c>
      <c r="G3" s="11">
        <f>RFA!O191</f>
        <v>28</v>
      </c>
      <c r="H3" s="10">
        <f>SUM(C3:E3)</f>
        <v>117</v>
      </c>
    </row>
    <row r="4" spans="2:8" x14ac:dyDescent="0.25">
      <c r="B4" s="14" t="s">
        <v>295</v>
      </c>
      <c r="C4" s="10">
        <f>SCI!J236</f>
        <v>0</v>
      </c>
      <c r="D4" s="10">
        <f>SCI!K236</f>
        <v>0</v>
      </c>
      <c r="E4" s="10">
        <f>SCI!L236</f>
        <v>69</v>
      </c>
      <c r="F4" s="11">
        <f>SCI!M236</f>
        <v>134</v>
      </c>
      <c r="G4" s="11">
        <f>SCI!N236</f>
        <v>0</v>
      </c>
      <c r="H4" s="10">
        <f>SUM(C4:E4)</f>
        <v>69</v>
      </c>
    </row>
    <row r="5" spans="2:8" x14ac:dyDescent="0.25">
      <c r="B5" s="14" t="s">
        <v>287</v>
      </c>
      <c r="C5" s="10">
        <f>'Transaction list 2'!G50</f>
        <v>0</v>
      </c>
      <c r="D5" s="10">
        <f>'Transaction list 2'!H50</f>
        <v>0</v>
      </c>
      <c r="E5" s="10">
        <f>'Transaction list 2'!I50</f>
        <v>31</v>
      </c>
      <c r="F5" s="11">
        <f>'Transaction list 2'!J50</f>
        <v>2</v>
      </c>
      <c r="G5" s="11">
        <f>'Transaction list 2'!K50</f>
        <v>0</v>
      </c>
      <c r="H5" s="10">
        <f>SUM(C5:E5)</f>
        <v>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5</xdr:row>
                    <xdr:rowOff>57150</xdr:rowOff>
                  </from>
                  <to>
                    <xdr:col>0</xdr:col>
                    <xdr:colOff>581025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">
                <anchor moveWithCells="1">
                  <from>
                    <xdr:col>0</xdr:col>
                    <xdr:colOff>38100</xdr:colOff>
                    <xdr:row>5</xdr:row>
                    <xdr:rowOff>0</xdr:rowOff>
                  </from>
                  <to>
                    <xdr:col>0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93"/>
  <sheetViews>
    <sheetView zoomScaleNormal="100" workbookViewId="0">
      <pane ySplit="1" topLeftCell="A59" activePane="bottomLeft" state="frozen"/>
      <selection pane="bottomLeft" activeCell="J181" sqref="J181:J189"/>
    </sheetView>
  </sheetViews>
  <sheetFormatPr defaultRowHeight="15" x14ac:dyDescent="0.25"/>
  <cols>
    <col min="1" max="1" width="11.28515625" style="18" bestFit="1" customWidth="1"/>
    <col min="2" max="2" width="14.140625" style="18" customWidth="1"/>
    <col min="3" max="3" width="62.5703125" style="15" customWidth="1"/>
    <col min="4" max="4" width="7.7109375" style="15" customWidth="1"/>
    <col min="5" max="5" width="11.140625" style="15" customWidth="1"/>
    <col min="6" max="6" width="12" style="15" customWidth="1"/>
    <col min="7" max="7" width="13.85546875" style="15" hidden="1" customWidth="1"/>
    <col min="8" max="8" width="39" style="15" hidden="1" customWidth="1"/>
    <col min="9" max="9" width="3.140625" style="15" customWidth="1"/>
    <col min="10" max="10" width="14.7109375" style="15" customWidth="1"/>
    <col min="11" max="14" width="9.140625" style="15"/>
    <col min="15" max="15" width="16.5703125" style="15" customWidth="1"/>
    <col min="16" max="16" width="39" style="15" customWidth="1"/>
    <col min="17" max="16384" width="9.140625" style="15"/>
  </cols>
  <sheetData>
    <row r="1" spans="1:16" ht="30" customHeight="1" x14ac:dyDescent="0.25">
      <c r="A1" s="19" t="s">
        <v>1</v>
      </c>
      <c r="B1" s="19"/>
      <c r="C1" s="20" t="s">
        <v>11</v>
      </c>
      <c r="D1" s="20" t="s">
        <v>27</v>
      </c>
      <c r="E1" s="20" t="s">
        <v>26</v>
      </c>
      <c r="F1" s="20" t="s">
        <v>25</v>
      </c>
      <c r="G1" s="20" t="s">
        <v>2</v>
      </c>
      <c r="H1" s="21" t="s">
        <v>4</v>
      </c>
      <c r="I1" s="21" t="s">
        <v>3</v>
      </c>
      <c r="J1" s="20" t="s">
        <v>0</v>
      </c>
      <c r="K1" s="21" t="s">
        <v>5</v>
      </c>
      <c r="L1" s="21" t="s">
        <v>6</v>
      </c>
      <c r="M1" s="21"/>
      <c r="N1" s="21" t="s">
        <v>7</v>
      </c>
      <c r="O1" s="21" t="s">
        <v>8</v>
      </c>
      <c r="P1" s="21" t="s">
        <v>12</v>
      </c>
    </row>
    <row r="2" spans="1:16" s="13" customFormat="1" x14ac:dyDescent="0.25">
      <c r="A2" s="22">
        <v>1</v>
      </c>
      <c r="B2" s="22"/>
      <c r="C2" s="23" t="s">
        <v>288</v>
      </c>
      <c r="D2" s="23"/>
      <c r="E2" s="23"/>
      <c r="F2" s="23"/>
      <c r="G2" s="24"/>
      <c r="H2" s="23"/>
      <c r="I2" s="23"/>
      <c r="J2" s="49"/>
      <c r="K2" s="12"/>
      <c r="L2" s="12"/>
      <c r="M2" s="12"/>
      <c r="N2" s="12"/>
      <c r="O2" s="12"/>
      <c r="P2" s="23"/>
    </row>
    <row r="3" spans="1:16" ht="38.25" x14ac:dyDescent="0.25">
      <c r="A3" s="25">
        <v>1</v>
      </c>
      <c r="B3" s="25"/>
      <c r="C3" s="26" t="s">
        <v>15</v>
      </c>
      <c r="D3" s="26"/>
      <c r="E3" s="26"/>
      <c r="F3" s="26"/>
      <c r="G3" s="27" t="s">
        <v>16</v>
      </c>
      <c r="H3" s="28" t="s">
        <v>17</v>
      </c>
      <c r="I3" s="26"/>
      <c r="J3" s="50" t="s">
        <v>7</v>
      </c>
      <c r="K3" s="16">
        <f t="shared" ref="K3:O18" si="0">IF($J3=K$1,1,0)</f>
        <v>0</v>
      </c>
      <c r="L3" s="16">
        <f t="shared" si="0"/>
        <v>0</v>
      </c>
      <c r="M3" s="16">
        <f t="shared" si="0"/>
        <v>0</v>
      </c>
      <c r="N3" s="16">
        <f t="shared" si="0"/>
        <v>1</v>
      </c>
      <c r="O3" s="16">
        <f t="shared" si="0"/>
        <v>0</v>
      </c>
      <c r="P3" s="28"/>
    </row>
    <row r="4" spans="1:16" s="13" customFormat="1" x14ac:dyDescent="0.25">
      <c r="A4" s="22">
        <v>2</v>
      </c>
      <c r="B4" s="23" t="s">
        <v>18</v>
      </c>
      <c r="C4" s="23"/>
      <c r="D4" s="23"/>
      <c r="E4" s="23"/>
      <c r="F4" s="23"/>
      <c r="G4" s="24"/>
      <c r="H4" s="23"/>
      <c r="I4" s="23"/>
      <c r="J4" s="49"/>
      <c r="K4" s="12"/>
      <c r="L4" s="12"/>
      <c r="M4" s="12"/>
      <c r="N4" s="12"/>
      <c r="O4" s="12"/>
      <c r="P4" s="23"/>
    </row>
    <row r="5" spans="1:16" x14ac:dyDescent="0.25">
      <c r="A5" s="25">
        <f t="shared" ref="A5:A6" si="1">A4+0.0001</f>
        <v>2.0001000000000002</v>
      </c>
      <c r="B5" s="25"/>
      <c r="C5" s="26" t="s">
        <v>19</v>
      </c>
      <c r="D5" s="29" t="s">
        <v>21</v>
      </c>
      <c r="E5" s="17" t="s">
        <v>22</v>
      </c>
      <c r="F5" s="29"/>
      <c r="G5" s="17"/>
      <c r="H5" s="17"/>
      <c r="I5" s="26"/>
      <c r="J5" s="50" t="s">
        <v>7</v>
      </c>
      <c r="K5" s="16">
        <f t="shared" si="0"/>
        <v>0</v>
      </c>
      <c r="L5" s="16">
        <f t="shared" si="0"/>
        <v>0</v>
      </c>
      <c r="M5" s="16">
        <f t="shared" si="0"/>
        <v>0</v>
      </c>
      <c r="N5" s="16">
        <f t="shared" si="0"/>
        <v>1</v>
      </c>
      <c r="O5" s="16">
        <f t="shared" si="0"/>
        <v>0</v>
      </c>
      <c r="P5" s="28"/>
    </row>
    <row r="6" spans="1:16" x14ac:dyDescent="0.25">
      <c r="A6" s="25">
        <f t="shared" si="1"/>
        <v>2.0002000000000004</v>
      </c>
      <c r="B6" s="25"/>
      <c r="C6" s="26" t="s">
        <v>20</v>
      </c>
      <c r="D6" s="17" t="s">
        <v>23</v>
      </c>
      <c r="E6" s="17" t="s">
        <v>24</v>
      </c>
      <c r="F6" s="17"/>
      <c r="G6" s="17"/>
      <c r="H6" s="17"/>
      <c r="I6" s="26"/>
      <c r="J6" s="50" t="s">
        <v>7</v>
      </c>
      <c r="K6" s="16">
        <f t="shared" si="0"/>
        <v>0</v>
      </c>
      <c r="L6" s="16">
        <f t="shared" si="0"/>
        <v>0</v>
      </c>
      <c r="M6" s="16">
        <f t="shared" si="0"/>
        <v>0</v>
      </c>
      <c r="N6" s="16">
        <f t="shared" si="0"/>
        <v>1</v>
      </c>
      <c r="O6" s="16">
        <f t="shared" si="0"/>
        <v>0</v>
      </c>
      <c r="P6" s="28"/>
    </row>
    <row r="7" spans="1:16" s="13" customFormat="1" ht="15" customHeight="1" x14ac:dyDescent="0.25">
      <c r="A7" s="22">
        <v>3</v>
      </c>
      <c r="B7" s="59" t="s">
        <v>46</v>
      </c>
      <c r="C7" s="60"/>
      <c r="D7" s="23"/>
      <c r="E7" s="23"/>
      <c r="F7" s="23"/>
      <c r="G7" s="24"/>
      <c r="H7" s="23"/>
      <c r="I7" s="23"/>
      <c r="J7" s="49"/>
      <c r="K7" s="12"/>
      <c r="L7" s="12"/>
      <c r="M7" s="12"/>
      <c r="N7" s="12"/>
      <c r="O7" s="12"/>
      <c r="P7" s="23"/>
    </row>
    <row r="8" spans="1:16" s="34" customFormat="1" x14ac:dyDescent="0.25">
      <c r="A8" s="35"/>
      <c r="B8" s="35"/>
      <c r="C8" s="36" t="s">
        <v>28</v>
      </c>
      <c r="D8" s="25"/>
      <c r="E8" s="31"/>
      <c r="F8" s="31"/>
      <c r="G8" s="32"/>
      <c r="H8" s="31"/>
      <c r="I8" s="31"/>
      <c r="J8" s="50"/>
      <c r="K8" s="16"/>
      <c r="L8" s="16"/>
      <c r="M8" s="16"/>
      <c r="N8" s="16"/>
      <c r="O8" s="16"/>
      <c r="P8" s="31"/>
    </row>
    <row r="9" spans="1:16" x14ac:dyDescent="0.25">
      <c r="A9" s="25">
        <f>A7+0.0001</f>
        <v>3.0001000000000002</v>
      </c>
      <c r="B9" s="25"/>
      <c r="C9" s="26" t="s">
        <v>20</v>
      </c>
      <c r="D9" s="17" t="s">
        <v>21</v>
      </c>
      <c r="E9" s="17" t="s">
        <v>24</v>
      </c>
      <c r="F9" s="26"/>
      <c r="G9" s="27"/>
      <c r="H9" s="28"/>
      <c r="I9" s="26"/>
      <c r="J9" s="50"/>
      <c r="K9" s="16">
        <f t="shared" si="0"/>
        <v>0</v>
      </c>
      <c r="L9" s="16">
        <f t="shared" si="0"/>
        <v>0</v>
      </c>
      <c r="M9" s="16">
        <f t="shared" si="0"/>
        <v>1</v>
      </c>
      <c r="N9" s="16">
        <f t="shared" si="0"/>
        <v>0</v>
      </c>
      <c r="O9" s="16">
        <f t="shared" si="0"/>
        <v>0</v>
      </c>
      <c r="P9" s="28"/>
    </row>
    <row r="10" spans="1:16" x14ac:dyDescent="0.25">
      <c r="A10" s="25">
        <f t="shared" ref="A10:A28" si="2">A9+0.0001</f>
        <v>3.0002000000000004</v>
      </c>
      <c r="B10" s="25"/>
      <c r="C10" s="28" t="s">
        <v>34</v>
      </c>
      <c r="D10" s="17" t="s">
        <v>23</v>
      </c>
      <c r="E10" s="17" t="s">
        <v>29</v>
      </c>
      <c r="F10" s="28"/>
      <c r="G10" s="26"/>
      <c r="H10" s="30"/>
      <c r="I10" s="26"/>
      <c r="J10" s="50"/>
      <c r="K10" s="16">
        <f t="shared" si="0"/>
        <v>0</v>
      </c>
      <c r="L10" s="16">
        <f t="shared" si="0"/>
        <v>0</v>
      </c>
      <c r="M10" s="16">
        <f t="shared" si="0"/>
        <v>1</v>
      </c>
      <c r="N10" s="16">
        <f t="shared" si="0"/>
        <v>0</v>
      </c>
      <c r="O10" s="16">
        <f t="shared" si="0"/>
        <v>0</v>
      </c>
      <c r="P10" s="28"/>
    </row>
    <row r="11" spans="1:16" x14ac:dyDescent="0.25">
      <c r="A11" s="25">
        <f t="shared" si="2"/>
        <v>3.0003000000000006</v>
      </c>
      <c r="B11" s="25"/>
      <c r="C11" s="28" t="s">
        <v>35</v>
      </c>
      <c r="D11" s="17" t="s">
        <v>21</v>
      </c>
      <c r="E11" s="17" t="s">
        <v>30</v>
      </c>
      <c r="F11" s="28"/>
      <c r="G11" s="26"/>
      <c r="H11" s="28"/>
      <c r="I11" s="28"/>
      <c r="J11" s="50"/>
      <c r="K11" s="16">
        <f t="shared" si="0"/>
        <v>0</v>
      </c>
      <c r="L11" s="16">
        <f t="shared" si="0"/>
        <v>0</v>
      </c>
      <c r="M11" s="16">
        <f t="shared" si="0"/>
        <v>1</v>
      </c>
      <c r="N11" s="16">
        <f t="shared" si="0"/>
        <v>0</v>
      </c>
      <c r="O11" s="16">
        <f t="shared" si="0"/>
        <v>0</v>
      </c>
      <c r="P11" s="28"/>
    </row>
    <row r="12" spans="1:16" x14ac:dyDescent="0.25">
      <c r="A12" s="25">
        <f t="shared" si="2"/>
        <v>3.0004000000000008</v>
      </c>
      <c r="B12" s="25"/>
      <c r="C12" s="28" t="s">
        <v>36</v>
      </c>
      <c r="D12" s="17" t="s">
        <v>23</v>
      </c>
      <c r="E12" s="17" t="s">
        <v>31</v>
      </c>
      <c r="F12" s="28"/>
      <c r="G12" s="26"/>
      <c r="H12" s="28"/>
      <c r="I12" s="28"/>
      <c r="J12" s="50"/>
      <c r="K12" s="16">
        <f t="shared" si="0"/>
        <v>0</v>
      </c>
      <c r="L12" s="16">
        <f t="shared" si="0"/>
        <v>0</v>
      </c>
      <c r="M12" s="16">
        <f t="shared" si="0"/>
        <v>1</v>
      </c>
      <c r="N12" s="16">
        <f t="shared" si="0"/>
        <v>0</v>
      </c>
      <c r="O12" s="16">
        <f t="shared" si="0"/>
        <v>0</v>
      </c>
      <c r="P12" s="28"/>
    </row>
    <row r="13" spans="1:16" x14ac:dyDescent="0.25">
      <c r="A13" s="25">
        <f t="shared" si="2"/>
        <v>3.0005000000000011</v>
      </c>
      <c r="B13" s="25"/>
      <c r="C13" s="26" t="s">
        <v>37</v>
      </c>
      <c r="D13" s="17" t="s">
        <v>21</v>
      </c>
      <c r="E13" s="17" t="s">
        <v>32</v>
      </c>
      <c r="F13" s="26"/>
      <c r="G13" s="26"/>
      <c r="H13" s="28"/>
      <c r="I13" s="28"/>
      <c r="J13" s="50"/>
      <c r="K13" s="16">
        <f t="shared" si="0"/>
        <v>0</v>
      </c>
      <c r="L13" s="16">
        <f t="shared" si="0"/>
        <v>0</v>
      </c>
      <c r="M13" s="16">
        <f t="shared" si="0"/>
        <v>1</v>
      </c>
      <c r="N13" s="16">
        <f t="shared" si="0"/>
        <v>0</v>
      </c>
      <c r="O13" s="16">
        <f t="shared" si="0"/>
        <v>0</v>
      </c>
      <c r="P13" s="28"/>
    </row>
    <row r="14" spans="1:16" x14ac:dyDescent="0.25">
      <c r="A14" s="25">
        <f t="shared" si="2"/>
        <v>3.0006000000000013</v>
      </c>
      <c r="B14" s="25"/>
      <c r="C14" s="25" t="s">
        <v>38</v>
      </c>
      <c r="D14" s="17" t="s">
        <v>23</v>
      </c>
      <c r="E14" s="17" t="s">
        <v>33</v>
      </c>
      <c r="F14" s="26"/>
      <c r="G14" s="26"/>
      <c r="H14" s="28"/>
      <c r="I14" s="28"/>
      <c r="J14" s="50"/>
      <c r="K14" s="16">
        <f t="shared" si="0"/>
        <v>0</v>
      </c>
      <c r="L14" s="16">
        <f t="shared" si="0"/>
        <v>0</v>
      </c>
      <c r="M14" s="16">
        <f t="shared" si="0"/>
        <v>1</v>
      </c>
      <c r="N14" s="16">
        <f t="shared" si="0"/>
        <v>0</v>
      </c>
      <c r="O14" s="16">
        <f t="shared" si="0"/>
        <v>0</v>
      </c>
      <c r="P14" s="28"/>
    </row>
    <row r="15" spans="1:16" s="34" customFormat="1" x14ac:dyDescent="0.25">
      <c r="A15" s="35"/>
      <c r="B15" s="35"/>
      <c r="C15" s="36" t="s">
        <v>39</v>
      </c>
      <c r="D15" s="25"/>
      <c r="E15" s="31"/>
      <c r="F15" s="31"/>
      <c r="G15" s="32"/>
      <c r="H15" s="31"/>
      <c r="I15" s="31"/>
      <c r="J15" s="50"/>
      <c r="K15" s="16"/>
      <c r="L15" s="16"/>
      <c r="M15" s="16"/>
      <c r="N15" s="16"/>
      <c r="O15" s="16">
        <f t="shared" si="0"/>
        <v>0</v>
      </c>
      <c r="P15" s="31"/>
    </row>
    <row r="16" spans="1:16" x14ac:dyDescent="0.25">
      <c r="A16" s="25">
        <f>A14+0.0001</f>
        <v>3.0007000000000015</v>
      </c>
      <c r="B16" s="25"/>
      <c r="C16" s="26" t="s">
        <v>20</v>
      </c>
      <c r="D16" s="26" t="s">
        <v>21</v>
      </c>
      <c r="E16" s="26" t="s">
        <v>24</v>
      </c>
      <c r="F16" s="26"/>
      <c r="G16" s="26"/>
      <c r="H16" s="28"/>
      <c r="I16" s="28"/>
      <c r="J16" s="50"/>
      <c r="K16" s="16">
        <f t="shared" si="0"/>
        <v>0</v>
      </c>
      <c r="L16" s="16">
        <f t="shared" si="0"/>
        <v>0</v>
      </c>
      <c r="M16" s="16">
        <f t="shared" si="0"/>
        <v>1</v>
      </c>
      <c r="N16" s="16">
        <f t="shared" si="0"/>
        <v>0</v>
      </c>
      <c r="O16" s="16">
        <f t="shared" si="0"/>
        <v>0</v>
      </c>
      <c r="P16" s="28"/>
    </row>
    <row r="17" spans="1:16" x14ac:dyDescent="0.25">
      <c r="A17" s="25">
        <f t="shared" si="2"/>
        <v>3.0008000000000017</v>
      </c>
      <c r="B17" s="25"/>
      <c r="C17" s="26" t="s">
        <v>34</v>
      </c>
      <c r="D17" s="26" t="s">
        <v>23</v>
      </c>
      <c r="E17" s="26" t="s">
        <v>29</v>
      </c>
      <c r="F17" s="26"/>
      <c r="G17" s="26"/>
      <c r="H17" s="28"/>
      <c r="I17" s="28"/>
      <c r="J17" s="50"/>
      <c r="K17" s="16">
        <f t="shared" si="0"/>
        <v>0</v>
      </c>
      <c r="L17" s="16">
        <f t="shared" si="0"/>
        <v>0</v>
      </c>
      <c r="M17" s="16">
        <f t="shared" si="0"/>
        <v>1</v>
      </c>
      <c r="N17" s="16">
        <f t="shared" si="0"/>
        <v>0</v>
      </c>
      <c r="O17" s="16">
        <f t="shared" si="0"/>
        <v>0</v>
      </c>
      <c r="P17" s="28"/>
    </row>
    <row r="18" spans="1:16" x14ac:dyDescent="0.25">
      <c r="A18" s="25">
        <f t="shared" si="2"/>
        <v>3.0009000000000019</v>
      </c>
      <c r="B18" s="25"/>
      <c r="C18" s="25" t="s">
        <v>35</v>
      </c>
      <c r="D18" s="25" t="s">
        <v>21</v>
      </c>
      <c r="E18" s="26" t="s">
        <v>30</v>
      </c>
      <c r="F18" s="26"/>
      <c r="G18" s="26"/>
      <c r="H18" s="28"/>
      <c r="I18" s="28"/>
      <c r="J18" s="50"/>
      <c r="K18" s="16">
        <f t="shared" si="0"/>
        <v>0</v>
      </c>
      <c r="L18" s="16">
        <f t="shared" si="0"/>
        <v>0</v>
      </c>
      <c r="M18" s="16">
        <f t="shared" si="0"/>
        <v>1</v>
      </c>
      <c r="N18" s="16">
        <f t="shared" si="0"/>
        <v>0</v>
      </c>
      <c r="O18" s="16">
        <f t="shared" si="0"/>
        <v>0</v>
      </c>
      <c r="P18" s="28"/>
    </row>
    <row r="19" spans="1:16" x14ac:dyDescent="0.25">
      <c r="A19" s="25">
        <f t="shared" si="2"/>
        <v>3.0010000000000021</v>
      </c>
      <c r="B19" s="25"/>
      <c r="C19" s="26" t="s">
        <v>36</v>
      </c>
      <c r="D19" s="26" t="s">
        <v>23</v>
      </c>
      <c r="E19" s="26" t="s">
        <v>31</v>
      </c>
      <c r="F19" s="26" t="s">
        <v>44</v>
      </c>
      <c r="G19" s="26"/>
      <c r="H19" s="28"/>
      <c r="I19" s="28"/>
      <c r="J19" s="50"/>
      <c r="K19" s="16">
        <f t="shared" ref="K19:O34" si="3">IF($J19=K$1,1,0)</f>
        <v>0</v>
      </c>
      <c r="L19" s="16">
        <f t="shared" si="3"/>
        <v>0</v>
      </c>
      <c r="M19" s="16">
        <f t="shared" si="3"/>
        <v>1</v>
      </c>
      <c r="N19" s="16">
        <f t="shared" si="3"/>
        <v>0</v>
      </c>
      <c r="O19" s="16">
        <f t="shared" si="3"/>
        <v>0</v>
      </c>
      <c r="P19" s="28"/>
    </row>
    <row r="20" spans="1:16" x14ac:dyDescent="0.25">
      <c r="A20" s="25">
        <f t="shared" si="2"/>
        <v>3.0011000000000023</v>
      </c>
      <c r="B20" s="25"/>
      <c r="C20" s="26" t="s">
        <v>37</v>
      </c>
      <c r="D20" s="26" t="s">
        <v>21</v>
      </c>
      <c r="E20" s="26" t="s">
        <v>32</v>
      </c>
      <c r="F20" s="26"/>
      <c r="G20" s="26"/>
      <c r="H20" s="28"/>
      <c r="I20" s="28"/>
      <c r="J20" s="50"/>
      <c r="K20" s="16">
        <f t="shared" si="3"/>
        <v>0</v>
      </c>
      <c r="L20" s="16">
        <f t="shared" si="3"/>
        <v>0</v>
      </c>
      <c r="M20" s="16">
        <f t="shared" si="3"/>
        <v>1</v>
      </c>
      <c r="N20" s="16">
        <f t="shared" si="3"/>
        <v>0</v>
      </c>
      <c r="O20" s="16">
        <f t="shared" si="3"/>
        <v>0</v>
      </c>
      <c r="P20" s="28"/>
    </row>
    <row r="21" spans="1:16" x14ac:dyDescent="0.25">
      <c r="A21" s="25">
        <f t="shared" si="2"/>
        <v>3.0012000000000025</v>
      </c>
      <c r="B21" s="25"/>
      <c r="C21" s="28" t="s">
        <v>40</v>
      </c>
      <c r="D21" s="28" t="s">
        <v>23</v>
      </c>
      <c r="E21" s="28" t="s">
        <v>41</v>
      </c>
      <c r="F21" s="28"/>
      <c r="G21" s="26"/>
      <c r="H21" s="28"/>
      <c r="I21" s="28"/>
      <c r="J21" s="50"/>
      <c r="K21" s="16">
        <f t="shared" si="3"/>
        <v>0</v>
      </c>
      <c r="L21" s="16">
        <f t="shared" si="3"/>
        <v>0</v>
      </c>
      <c r="M21" s="16">
        <f t="shared" si="3"/>
        <v>1</v>
      </c>
      <c r="N21" s="16">
        <f t="shared" si="3"/>
        <v>0</v>
      </c>
      <c r="O21" s="16">
        <f t="shared" si="3"/>
        <v>0</v>
      </c>
      <c r="P21" s="28"/>
    </row>
    <row r="22" spans="1:16" s="34" customFormat="1" x14ac:dyDescent="0.25">
      <c r="A22" s="35"/>
      <c r="B22" s="35"/>
      <c r="C22" s="36" t="s">
        <v>42</v>
      </c>
      <c r="D22" s="25"/>
      <c r="E22" s="31"/>
      <c r="F22" s="31"/>
      <c r="G22" s="32"/>
      <c r="H22" s="31"/>
      <c r="I22" s="31"/>
      <c r="J22" s="50"/>
      <c r="K22" s="16"/>
      <c r="L22" s="16"/>
      <c r="M22" s="16"/>
      <c r="N22" s="16"/>
      <c r="O22" s="16">
        <f t="shared" si="3"/>
        <v>0</v>
      </c>
      <c r="P22" s="31"/>
    </row>
    <row r="23" spans="1:16" x14ac:dyDescent="0.25">
      <c r="A23" s="25">
        <f>A21+0.0001</f>
        <v>3.0013000000000027</v>
      </c>
      <c r="B23" s="25"/>
      <c r="C23" s="26" t="s">
        <v>20</v>
      </c>
      <c r="D23" s="26" t="s">
        <v>21</v>
      </c>
      <c r="E23" s="26" t="s">
        <v>24</v>
      </c>
      <c r="F23" s="26"/>
      <c r="G23" s="26"/>
      <c r="H23" s="28"/>
      <c r="I23" s="28"/>
      <c r="J23" s="16"/>
      <c r="K23" s="16">
        <f t="shared" si="3"/>
        <v>0</v>
      </c>
      <c r="L23" s="16">
        <f t="shared" si="3"/>
        <v>0</v>
      </c>
      <c r="M23" s="16">
        <f t="shared" si="3"/>
        <v>1</v>
      </c>
      <c r="N23" s="16">
        <f t="shared" si="3"/>
        <v>0</v>
      </c>
      <c r="O23" s="16">
        <f t="shared" si="3"/>
        <v>0</v>
      </c>
      <c r="P23" s="28"/>
    </row>
    <row r="24" spans="1:16" x14ac:dyDescent="0.25">
      <c r="A24" s="25">
        <f t="shared" si="2"/>
        <v>3.001400000000003</v>
      </c>
      <c r="B24" s="25"/>
      <c r="C24" s="26" t="s">
        <v>34</v>
      </c>
      <c r="D24" s="26" t="s">
        <v>23</v>
      </c>
      <c r="E24" s="26" t="s">
        <v>29</v>
      </c>
      <c r="F24" s="26"/>
      <c r="G24" s="26"/>
      <c r="H24" s="28"/>
      <c r="I24" s="28"/>
      <c r="J24" s="16"/>
      <c r="K24" s="16">
        <f t="shared" si="3"/>
        <v>0</v>
      </c>
      <c r="L24" s="16">
        <f t="shared" si="3"/>
        <v>0</v>
      </c>
      <c r="M24" s="16">
        <f t="shared" si="3"/>
        <v>1</v>
      </c>
      <c r="N24" s="16">
        <f t="shared" si="3"/>
        <v>0</v>
      </c>
      <c r="O24" s="16">
        <f t="shared" si="3"/>
        <v>0</v>
      </c>
      <c r="P24" s="28"/>
    </row>
    <row r="25" spans="1:16" x14ac:dyDescent="0.25">
      <c r="A25" s="25">
        <f t="shared" si="2"/>
        <v>3.0015000000000032</v>
      </c>
      <c r="B25" s="25"/>
      <c r="C25" s="26" t="s">
        <v>35</v>
      </c>
      <c r="D25" s="26" t="s">
        <v>21</v>
      </c>
      <c r="E25" s="26" t="s">
        <v>30</v>
      </c>
      <c r="F25" s="26"/>
      <c r="G25" s="26"/>
      <c r="H25" s="28"/>
      <c r="I25" s="28"/>
      <c r="J25" s="16"/>
      <c r="K25" s="16">
        <f t="shared" si="3"/>
        <v>0</v>
      </c>
      <c r="L25" s="16">
        <f t="shared" si="3"/>
        <v>0</v>
      </c>
      <c r="M25" s="16">
        <f t="shared" si="3"/>
        <v>1</v>
      </c>
      <c r="N25" s="16">
        <f t="shared" si="3"/>
        <v>0</v>
      </c>
      <c r="O25" s="16">
        <f t="shared" si="3"/>
        <v>0</v>
      </c>
      <c r="P25" s="28"/>
    </row>
    <row r="26" spans="1:16" x14ac:dyDescent="0.25">
      <c r="A26" s="25">
        <f t="shared" si="2"/>
        <v>3.0016000000000034</v>
      </c>
      <c r="B26" s="25"/>
      <c r="C26" s="26" t="s">
        <v>36</v>
      </c>
      <c r="D26" s="26" t="s">
        <v>23</v>
      </c>
      <c r="E26" s="26" t="s">
        <v>31</v>
      </c>
      <c r="F26" s="26"/>
      <c r="G26" s="26"/>
      <c r="H26" s="28"/>
      <c r="I26" s="28"/>
      <c r="J26" s="16"/>
      <c r="K26" s="16">
        <f t="shared" si="3"/>
        <v>0</v>
      </c>
      <c r="L26" s="16">
        <f t="shared" si="3"/>
        <v>0</v>
      </c>
      <c r="M26" s="16">
        <f t="shared" si="3"/>
        <v>1</v>
      </c>
      <c r="N26" s="16">
        <f t="shared" si="3"/>
        <v>0</v>
      </c>
      <c r="O26" s="16">
        <f t="shared" si="3"/>
        <v>0</v>
      </c>
      <c r="P26" s="28"/>
    </row>
    <row r="27" spans="1:16" x14ac:dyDescent="0.25">
      <c r="A27" s="25">
        <f t="shared" si="2"/>
        <v>3.0017000000000036</v>
      </c>
      <c r="B27" s="25"/>
      <c r="C27" s="28" t="s">
        <v>37</v>
      </c>
      <c r="D27" s="28" t="s">
        <v>21</v>
      </c>
      <c r="E27" s="28" t="s">
        <v>32</v>
      </c>
      <c r="F27" s="28"/>
      <c r="G27" s="26"/>
      <c r="H27" s="28"/>
      <c r="I27" s="28"/>
      <c r="J27" s="16"/>
      <c r="K27" s="16">
        <f t="shared" si="3"/>
        <v>0</v>
      </c>
      <c r="L27" s="16">
        <f t="shared" si="3"/>
        <v>0</v>
      </c>
      <c r="M27" s="16">
        <f t="shared" si="3"/>
        <v>1</v>
      </c>
      <c r="N27" s="16">
        <f t="shared" si="3"/>
        <v>0</v>
      </c>
      <c r="O27" s="16">
        <f t="shared" si="3"/>
        <v>0</v>
      </c>
      <c r="P27" s="28"/>
    </row>
    <row r="28" spans="1:16" x14ac:dyDescent="0.25">
      <c r="A28" s="25">
        <f t="shared" si="2"/>
        <v>3.0018000000000038</v>
      </c>
      <c r="B28" s="25"/>
      <c r="C28" s="28" t="s">
        <v>45</v>
      </c>
      <c r="D28" s="28" t="s">
        <v>23</v>
      </c>
      <c r="E28" s="28" t="s">
        <v>43</v>
      </c>
      <c r="F28" s="28"/>
      <c r="G28" s="26"/>
      <c r="H28" s="28"/>
      <c r="I28" s="28"/>
      <c r="J28" s="16"/>
      <c r="K28" s="16">
        <f t="shared" si="3"/>
        <v>0</v>
      </c>
      <c r="L28" s="16">
        <f t="shared" si="3"/>
        <v>0</v>
      </c>
      <c r="M28" s="16">
        <f t="shared" si="3"/>
        <v>1</v>
      </c>
      <c r="N28" s="16">
        <f t="shared" si="3"/>
        <v>0</v>
      </c>
      <c r="O28" s="16">
        <f t="shared" si="3"/>
        <v>0</v>
      </c>
      <c r="P28" s="28"/>
    </row>
    <row r="29" spans="1:16" s="13" customFormat="1" ht="15" customHeight="1" x14ac:dyDescent="0.25">
      <c r="A29" s="22">
        <v>4</v>
      </c>
      <c r="B29" s="59" t="s">
        <v>47</v>
      </c>
      <c r="C29" s="60"/>
      <c r="D29" s="23"/>
      <c r="E29" s="23"/>
      <c r="F29" s="23"/>
      <c r="G29" s="24"/>
      <c r="H29" s="23"/>
      <c r="I29" s="23"/>
      <c r="J29" s="49"/>
      <c r="K29" s="12"/>
      <c r="L29" s="12"/>
      <c r="M29" s="12"/>
      <c r="N29" s="12"/>
      <c r="O29" s="12"/>
      <c r="P29" s="23"/>
    </row>
    <row r="30" spans="1:16" s="34" customFormat="1" x14ac:dyDescent="0.25">
      <c r="A30" s="35"/>
      <c r="B30" s="35"/>
      <c r="C30" s="36" t="s">
        <v>48</v>
      </c>
      <c r="D30" s="25"/>
      <c r="E30" s="31"/>
      <c r="F30" s="31"/>
      <c r="G30" s="32"/>
      <c r="H30" s="31"/>
      <c r="I30" s="31"/>
      <c r="J30" s="16"/>
      <c r="K30" s="16"/>
      <c r="L30" s="16"/>
      <c r="M30" s="16"/>
      <c r="N30" s="16"/>
      <c r="O30" s="16">
        <f t="shared" si="3"/>
        <v>0</v>
      </c>
      <c r="P30" s="31"/>
    </row>
    <row r="31" spans="1:16" x14ac:dyDescent="0.25">
      <c r="A31" s="25">
        <f>A29+0.0001</f>
        <v>4.0000999999999998</v>
      </c>
      <c r="B31" s="25"/>
      <c r="C31" s="26" t="s">
        <v>45</v>
      </c>
      <c r="D31" s="17" t="s">
        <v>21</v>
      </c>
      <c r="E31" s="17" t="s">
        <v>49</v>
      </c>
      <c r="F31" s="26"/>
      <c r="G31" s="27"/>
      <c r="H31" s="28"/>
      <c r="I31" s="26"/>
      <c r="J31" s="16"/>
      <c r="K31" s="16">
        <f t="shared" si="3"/>
        <v>0</v>
      </c>
      <c r="L31" s="16">
        <f t="shared" si="3"/>
        <v>0</v>
      </c>
      <c r="M31" s="16">
        <f t="shared" si="3"/>
        <v>1</v>
      </c>
      <c r="N31" s="16">
        <f t="shared" si="3"/>
        <v>0</v>
      </c>
      <c r="O31" s="16">
        <f t="shared" si="3"/>
        <v>0</v>
      </c>
      <c r="P31" s="28"/>
    </row>
    <row r="32" spans="1:16" x14ac:dyDescent="0.25">
      <c r="A32" s="25">
        <f>A31+0.0001</f>
        <v>4.0001999999999995</v>
      </c>
      <c r="B32" s="25"/>
      <c r="C32" s="28" t="s">
        <v>37</v>
      </c>
      <c r="D32" s="17" t="s">
        <v>23</v>
      </c>
      <c r="E32" s="17" t="s">
        <v>32</v>
      </c>
      <c r="F32" s="28"/>
      <c r="G32" s="26"/>
      <c r="H32" s="30"/>
      <c r="I32" s="26"/>
      <c r="J32" s="16"/>
      <c r="K32" s="16">
        <f t="shared" si="3"/>
        <v>0</v>
      </c>
      <c r="L32" s="16">
        <f t="shared" si="3"/>
        <v>0</v>
      </c>
      <c r="M32" s="16">
        <f t="shared" si="3"/>
        <v>1</v>
      </c>
      <c r="N32" s="16">
        <f t="shared" si="3"/>
        <v>0</v>
      </c>
      <c r="O32" s="16">
        <f t="shared" si="3"/>
        <v>0</v>
      </c>
      <c r="P32" s="28"/>
    </row>
    <row r="33" spans="1:16" x14ac:dyDescent="0.25">
      <c r="A33" s="25">
        <f>A32+0.0001</f>
        <v>4.0002999999999993</v>
      </c>
      <c r="B33" s="25"/>
      <c r="C33" s="28" t="s">
        <v>36</v>
      </c>
      <c r="D33" s="17" t="s">
        <v>21</v>
      </c>
      <c r="E33" s="17" t="s">
        <v>31</v>
      </c>
      <c r="F33" s="28"/>
      <c r="G33" s="26"/>
      <c r="H33" s="28"/>
      <c r="I33" s="28"/>
      <c r="J33" s="16"/>
      <c r="K33" s="16">
        <f t="shared" si="3"/>
        <v>0</v>
      </c>
      <c r="L33" s="16">
        <f t="shared" si="3"/>
        <v>0</v>
      </c>
      <c r="M33" s="16">
        <f t="shared" si="3"/>
        <v>1</v>
      </c>
      <c r="N33" s="16">
        <f t="shared" si="3"/>
        <v>0</v>
      </c>
      <c r="O33" s="16">
        <f t="shared" si="3"/>
        <v>0</v>
      </c>
      <c r="P33" s="28"/>
    </row>
    <row r="34" spans="1:16" x14ac:dyDescent="0.25">
      <c r="A34" s="25">
        <f t="shared" ref="A34:A38" si="4">A33+0.0001</f>
        <v>4.0003999999999991</v>
      </c>
      <c r="B34" s="25"/>
      <c r="C34" s="28" t="s">
        <v>35</v>
      </c>
      <c r="D34" s="17" t="s">
        <v>23</v>
      </c>
      <c r="E34" s="17" t="s">
        <v>30</v>
      </c>
      <c r="F34" s="28"/>
      <c r="G34" s="26"/>
      <c r="H34" s="28"/>
      <c r="I34" s="28"/>
      <c r="J34" s="16"/>
      <c r="K34" s="16">
        <f t="shared" si="3"/>
        <v>0</v>
      </c>
      <c r="L34" s="16">
        <f t="shared" si="3"/>
        <v>0</v>
      </c>
      <c r="M34" s="16">
        <f t="shared" si="3"/>
        <v>1</v>
      </c>
      <c r="N34" s="16">
        <f t="shared" si="3"/>
        <v>0</v>
      </c>
      <c r="O34" s="16">
        <f t="shared" si="3"/>
        <v>0</v>
      </c>
      <c r="P34" s="28"/>
    </row>
    <row r="35" spans="1:16" x14ac:dyDescent="0.25">
      <c r="A35" s="25">
        <f t="shared" si="4"/>
        <v>4.0004999999999988</v>
      </c>
      <c r="B35" s="25"/>
      <c r="C35" s="28" t="s">
        <v>50</v>
      </c>
      <c r="D35" s="17" t="s">
        <v>21</v>
      </c>
      <c r="E35" s="17" t="s">
        <v>51</v>
      </c>
      <c r="F35" s="26"/>
      <c r="G35" s="26"/>
      <c r="H35" s="28"/>
      <c r="I35" s="28"/>
      <c r="J35" s="16"/>
      <c r="K35" s="16">
        <f t="shared" ref="K35:O71" si="5">IF($J35=K$1,1,0)</f>
        <v>0</v>
      </c>
      <c r="L35" s="16">
        <f t="shared" si="5"/>
        <v>0</v>
      </c>
      <c r="M35" s="16">
        <f t="shared" si="5"/>
        <v>1</v>
      </c>
      <c r="N35" s="16">
        <f t="shared" si="5"/>
        <v>0</v>
      </c>
      <c r="O35" s="16">
        <f t="shared" si="5"/>
        <v>0</v>
      </c>
      <c r="P35" s="28"/>
    </row>
    <row r="36" spans="1:16" x14ac:dyDescent="0.25">
      <c r="A36" s="25">
        <f t="shared" si="4"/>
        <v>4.0005999999999986</v>
      </c>
      <c r="B36" s="25"/>
      <c r="C36" s="38" t="s">
        <v>56</v>
      </c>
      <c r="D36" s="37" t="s">
        <v>23</v>
      </c>
      <c r="E36" s="37" t="s">
        <v>53</v>
      </c>
      <c r="F36" s="26"/>
      <c r="G36" s="26"/>
      <c r="H36" s="17" t="s">
        <v>52</v>
      </c>
      <c r="I36" s="28"/>
      <c r="J36" s="16"/>
      <c r="K36" s="16">
        <f t="shared" si="5"/>
        <v>0</v>
      </c>
      <c r="L36" s="16">
        <f t="shared" si="5"/>
        <v>0</v>
      </c>
      <c r="M36" s="16">
        <f t="shared" si="5"/>
        <v>1</v>
      </c>
      <c r="N36" s="16">
        <f t="shared" si="5"/>
        <v>0</v>
      </c>
      <c r="O36" s="16">
        <f t="shared" si="5"/>
        <v>0</v>
      </c>
      <c r="P36" s="28"/>
    </row>
    <row r="37" spans="1:16" x14ac:dyDescent="0.25">
      <c r="A37" s="25">
        <f t="shared" si="4"/>
        <v>4.0006999999999984</v>
      </c>
      <c r="B37" s="25"/>
      <c r="C37" s="38" t="s">
        <v>55</v>
      </c>
      <c r="D37" s="37" t="s">
        <v>23</v>
      </c>
      <c r="E37" s="37" t="s">
        <v>54</v>
      </c>
      <c r="F37" s="26"/>
      <c r="G37" s="26"/>
      <c r="H37" s="17" t="s">
        <v>52</v>
      </c>
      <c r="I37" s="28"/>
      <c r="J37" s="16"/>
      <c r="K37" s="16">
        <f t="shared" si="5"/>
        <v>0</v>
      </c>
      <c r="L37" s="16">
        <f t="shared" si="5"/>
        <v>0</v>
      </c>
      <c r="M37" s="16">
        <f t="shared" si="5"/>
        <v>1</v>
      </c>
      <c r="N37" s="16">
        <f t="shared" si="5"/>
        <v>0</v>
      </c>
      <c r="O37" s="16">
        <f t="shared" si="5"/>
        <v>0</v>
      </c>
      <c r="P37" s="28"/>
    </row>
    <row r="38" spans="1:16" x14ac:dyDescent="0.25">
      <c r="A38" s="25">
        <f t="shared" si="4"/>
        <v>4.0007999999999981</v>
      </c>
      <c r="B38" s="25"/>
      <c r="C38" s="38" t="s">
        <v>19</v>
      </c>
      <c r="D38" s="37" t="s">
        <v>23</v>
      </c>
      <c r="E38" s="37" t="s">
        <v>22</v>
      </c>
      <c r="F38" s="26"/>
      <c r="G38" s="26"/>
      <c r="H38" s="17" t="s">
        <v>52</v>
      </c>
      <c r="I38" s="28"/>
      <c r="J38" s="16" t="s">
        <v>7</v>
      </c>
      <c r="K38" s="16">
        <f t="shared" si="5"/>
        <v>0</v>
      </c>
      <c r="L38" s="16">
        <f t="shared" si="5"/>
        <v>0</v>
      </c>
      <c r="M38" s="16">
        <f t="shared" si="5"/>
        <v>0</v>
      </c>
      <c r="N38" s="16">
        <f t="shared" si="5"/>
        <v>1</v>
      </c>
      <c r="O38" s="16">
        <f t="shared" si="5"/>
        <v>0</v>
      </c>
      <c r="P38" s="28"/>
    </row>
    <row r="39" spans="1:16" s="34" customFormat="1" x14ac:dyDescent="0.25">
      <c r="A39" s="35"/>
      <c r="B39" s="35"/>
      <c r="C39" s="36" t="s">
        <v>57</v>
      </c>
      <c r="D39" s="25"/>
      <c r="E39" s="31"/>
      <c r="F39" s="31"/>
      <c r="G39" s="26"/>
      <c r="H39" s="31"/>
      <c r="I39" s="31"/>
      <c r="J39" s="50"/>
      <c r="K39" s="16"/>
      <c r="L39" s="16"/>
      <c r="M39" s="16"/>
      <c r="N39" s="16"/>
      <c r="O39" s="16"/>
      <c r="P39" s="31"/>
    </row>
    <row r="40" spans="1:16" x14ac:dyDescent="0.25">
      <c r="A40" s="25">
        <f>A38+0.0001</f>
        <v>4.0008999999999979</v>
      </c>
      <c r="B40" s="25"/>
      <c r="C40" s="26" t="s">
        <v>59</v>
      </c>
      <c r="D40" s="17" t="s">
        <v>21</v>
      </c>
      <c r="E40" s="17" t="s">
        <v>58</v>
      </c>
      <c r="F40" s="26"/>
      <c r="G40" s="27"/>
      <c r="H40" s="28"/>
      <c r="I40" s="26"/>
      <c r="J40" s="16"/>
      <c r="K40" s="16">
        <f t="shared" si="5"/>
        <v>0</v>
      </c>
      <c r="L40" s="16">
        <f t="shared" si="5"/>
        <v>0</v>
      </c>
      <c r="M40" s="16">
        <f t="shared" si="5"/>
        <v>1</v>
      </c>
      <c r="N40" s="16">
        <f t="shared" si="5"/>
        <v>0</v>
      </c>
      <c r="O40" s="16">
        <f t="shared" si="5"/>
        <v>0</v>
      </c>
      <c r="P40" s="28"/>
    </row>
    <row r="41" spans="1:16" x14ac:dyDescent="0.25">
      <c r="A41" s="25">
        <f>A40+0.0001</f>
        <v>4.0009999999999977</v>
      </c>
      <c r="B41" s="25"/>
      <c r="C41" s="28" t="s">
        <v>37</v>
      </c>
      <c r="D41" s="17" t="s">
        <v>23</v>
      </c>
      <c r="E41" s="17" t="s">
        <v>32</v>
      </c>
      <c r="F41" s="28"/>
      <c r="G41" s="26"/>
      <c r="H41" s="30"/>
      <c r="I41" s="26"/>
      <c r="J41" s="16"/>
      <c r="K41" s="16">
        <f t="shared" si="5"/>
        <v>0</v>
      </c>
      <c r="L41" s="16">
        <f t="shared" si="5"/>
        <v>0</v>
      </c>
      <c r="M41" s="16">
        <f t="shared" si="5"/>
        <v>1</v>
      </c>
      <c r="N41" s="16">
        <f t="shared" si="5"/>
        <v>0</v>
      </c>
      <c r="O41" s="16">
        <f t="shared" si="5"/>
        <v>0</v>
      </c>
      <c r="P41" s="28"/>
    </row>
    <row r="42" spans="1:16" x14ac:dyDescent="0.25">
      <c r="A42" s="25">
        <f>A41+0.0001</f>
        <v>4.0010999999999974</v>
      </c>
      <c r="B42" s="25"/>
      <c r="C42" s="28" t="s">
        <v>36</v>
      </c>
      <c r="D42" s="17" t="s">
        <v>21</v>
      </c>
      <c r="E42" s="17" t="s">
        <v>31</v>
      </c>
      <c r="F42" s="28"/>
      <c r="G42" s="26"/>
      <c r="H42" s="28"/>
      <c r="I42" s="28"/>
      <c r="J42" s="16"/>
      <c r="K42" s="16">
        <f t="shared" si="5"/>
        <v>0</v>
      </c>
      <c r="L42" s="16">
        <f t="shared" si="5"/>
        <v>0</v>
      </c>
      <c r="M42" s="16">
        <f t="shared" si="5"/>
        <v>1</v>
      </c>
      <c r="N42" s="16">
        <f t="shared" si="5"/>
        <v>0</v>
      </c>
      <c r="O42" s="16">
        <f t="shared" si="5"/>
        <v>0</v>
      </c>
      <c r="P42" s="28"/>
    </row>
    <row r="43" spans="1:16" x14ac:dyDescent="0.25">
      <c r="A43" s="25">
        <f t="shared" ref="A43:A47" si="6">A42+0.0001</f>
        <v>4.0011999999999972</v>
      </c>
      <c r="B43" s="25"/>
      <c r="C43" s="28" t="s">
        <v>35</v>
      </c>
      <c r="D43" s="17" t="s">
        <v>23</v>
      </c>
      <c r="E43" s="17" t="s">
        <v>30</v>
      </c>
      <c r="F43" s="28"/>
      <c r="G43" s="26"/>
      <c r="H43" s="28"/>
      <c r="I43" s="28"/>
      <c r="J43" s="16"/>
      <c r="K43" s="16">
        <f t="shared" si="5"/>
        <v>0</v>
      </c>
      <c r="L43" s="16">
        <f t="shared" si="5"/>
        <v>0</v>
      </c>
      <c r="M43" s="16">
        <f t="shared" si="5"/>
        <v>1</v>
      </c>
      <c r="N43" s="16">
        <f t="shared" si="5"/>
        <v>0</v>
      </c>
      <c r="O43" s="16">
        <f t="shared" si="5"/>
        <v>0</v>
      </c>
      <c r="P43" s="28"/>
    </row>
    <row r="44" spans="1:16" x14ac:dyDescent="0.25">
      <c r="A44" s="25">
        <f t="shared" si="6"/>
        <v>4.001299999999997</v>
      </c>
      <c r="B44" s="25"/>
      <c r="C44" s="28" t="s">
        <v>50</v>
      </c>
      <c r="D44" s="17" t="s">
        <v>21</v>
      </c>
      <c r="E44" s="17" t="s">
        <v>51</v>
      </c>
      <c r="F44" s="26"/>
      <c r="G44" s="26"/>
      <c r="H44" s="28"/>
      <c r="I44" s="28"/>
      <c r="J44" s="16"/>
      <c r="K44" s="16">
        <f t="shared" si="5"/>
        <v>0</v>
      </c>
      <c r="L44" s="16">
        <f t="shared" si="5"/>
        <v>0</v>
      </c>
      <c r="M44" s="16">
        <f t="shared" si="5"/>
        <v>1</v>
      </c>
      <c r="N44" s="16">
        <f t="shared" si="5"/>
        <v>0</v>
      </c>
      <c r="O44" s="16">
        <f t="shared" si="5"/>
        <v>0</v>
      </c>
      <c r="P44" s="28"/>
    </row>
    <row r="45" spans="1:16" x14ac:dyDescent="0.25">
      <c r="A45" s="25">
        <f t="shared" si="6"/>
        <v>4.0013999999999967</v>
      </c>
      <c r="B45" s="25"/>
      <c r="C45" s="38" t="s">
        <v>56</v>
      </c>
      <c r="D45" s="37" t="s">
        <v>23</v>
      </c>
      <c r="E45" s="37" t="s">
        <v>53</v>
      </c>
      <c r="F45" s="26"/>
      <c r="G45" s="26"/>
      <c r="H45" s="17" t="s">
        <v>52</v>
      </c>
      <c r="I45" s="28"/>
      <c r="J45" s="16"/>
      <c r="K45" s="16">
        <f t="shared" si="5"/>
        <v>0</v>
      </c>
      <c r="L45" s="16">
        <f t="shared" si="5"/>
        <v>0</v>
      </c>
      <c r="M45" s="16">
        <f t="shared" si="5"/>
        <v>1</v>
      </c>
      <c r="N45" s="16">
        <f t="shared" si="5"/>
        <v>0</v>
      </c>
      <c r="O45" s="16">
        <f t="shared" si="5"/>
        <v>0</v>
      </c>
      <c r="P45" s="28"/>
    </row>
    <row r="46" spans="1:16" x14ac:dyDescent="0.25">
      <c r="A46" s="25">
        <f t="shared" si="6"/>
        <v>4.0014999999999965</v>
      </c>
      <c r="B46" s="25"/>
      <c r="C46" s="38" t="s">
        <v>55</v>
      </c>
      <c r="D46" s="37" t="s">
        <v>23</v>
      </c>
      <c r="E46" s="37" t="s">
        <v>54</v>
      </c>
      <c r="F46" s="26"/>
      <c r="G46" s="26"/>
      <c r="H46" s="17" t="s">
        <v>52</v>
      </c>
      <c r="I46" s="28"/>
      <c r="J46" s="16"/>
      <c r="K46" s="16">
        <f t="shared" si="5"/>
        <v>0</v>
      </c>
      <c r="L46" s="16">
        <f t="shared" si="5"/>
        <v>0</v>
      </c>
      <c r="M46" s="16">
        <f t="shared" si="5"/>
        <v>1</v>
      </c>
      <c r="N46" s="16">
        <f t="shared" si="5"/>
        <v>0</v>
      </c>
      <c r="O46" s="16">
        <f t="shared" si="5"/>
        <v>0</v>
      </c>
      <c r="P46" s="28"/>
    </row>
    <row r="47" spans="1:16" x14ac:dyDescent="0.25">
      <c r="A47" s="25">
        <f t="shared" si="6"/>
        <v>4.0015999999999963</v>
      </c>
      <c r="B47" s="25"/>
      <c r="C47" s="38" t="s">
        <v>19</v>
      </c>
      <c r="D47" s="37" t="s">
        <v>23</v>
      </c>
      <c r="E47" s="37" t="s">
        <v>22</v>
      </c>
      <c r="F47" s="26" t="s">
        <v>292</v>
      </c>
      <c r="G47" s="26"/>
      <c r="H47" s="17" t="s">
        <v>52</v>
      </c>
      <c r="I47" s="28"/>
      <c r="J47" s="16" t="s">
        <v>8</v>
      </c>
      <c r="K47" s="16">
        <f t="shared" si="5"/>
        <v>0</v>
      </c>
      <c r="L47" s="16">
        <f t="shared" si="5"/>
        <v>0</v>
      </c>
      <c r="M47" s="16">
        <f t="shared" si="5"/>
        <v>0</v>
      </c>
      <c r="N47" s="16">
        <f t="shared" si="5"/>
        <v>0</v>
      </c>
      <c r="O47" s="16">
        <f t="shared" si="5"/>
        <v>1</v>
      </c>
      <c r="P47" s="28"/>
    </row>
    <row r="48" spans="1:16" s="34" customFormat="1" x14ac:dyDescent="0.25">
      <c r="A48" s="35"/>
      <c r="B48" s="35"/>
      <c r="C48" s="36" t="s">
        <v>60</v>
      </c>
      <c r="D48" s="25"/>
      <c r="E48" s="31"/>
      <c r="F48" s="31"/>
      <c r="G48" s="32"/>
      <c r="H48" s="31"/>
      <c r="I48" s="31"/>
      <c r="J48" s="50"/>
      <c r="K48" s="16"/>
      <c r="L48" s="16"/>
      <c r="M48" s="16"/>
      <c r="N48" s="16"/>
      <c r="O48" s="16"/>
      <c r="P48" s="31"/>
    </row>
    <row r="49" spans="1:16" x14ac:dyDescent="0.25">
      <c r="A49" s="25">
        <f>+A47+0.0001</f>
        <v>4.001699999999996</v>
      </c>
      <c r="B49" s="25"/>
      <c r="C49" s="26" t="s">
        <v>61</v>
      </c>
      <c r="D49" s="26" t="s">
        <v>21</v>
      </c>
      <c r="E49" s="26" t="s">
        <v>62</v>
      </c>
      <c r="F49" s="26"/>
      <c r="G49" s="26"/>
      <c r="H49" s="28"/>
      <c r="I49" s="28"/>
      <c r="J49" s="16"/>
      <c r="K49" s="16">
        <f t="shared" si="5"/>
        <v>0</v>
      </c>
      <c r="L49" s="16">
        <f t="shared" si="5"/>
        <v>0</v>
      </c>
      <c r="M49" s="16">
        <f t="shared" si="5"/>
        <v>1</v>
      </c>
      <c r="N49" s="16">
        <f t="shared" si="5"/>
        <v>0</v>
      </c>
      <c r="O49" s="16">
        <f t="shared" si="5"/>
        <v>0</v>
      </c>
      <c r="P49" s="28"/>
    </row>
    <row r="50" spans="1:16" x14ac:dyDescent="0.25">
      <c r="A50" s="25">
        <f>A49+0.0001</f>
        <v>4.0017999999999958</v>
      </c>
      <c r="B50" s="25"/>
      <c r="C50" s="26" t="s">
        <v>37</v>
      </c>
      <c r="D50" s="26" t="s">
        <v>23</v>
      </c>
      <c r="E50" s="26" t="s">
        <v>32</v>
      </c>
      <c r="F50" s="26"/>
      <c r="G50" s="26"/>
      <c r="H50" s="28"/>
      <c r="I50" s="28"/>
      <c r="J50" s="16"/>
      <c r="K50" s="16">
        <f t="shared" si="5"/>
        <v>0</v>
      </c>
      <c r="L50" s="16">
        <f t="shared" si="5"/>
        <v>0</v>
      </c>
      <c r="M50" s="16">
        <f t="shared" si="5"/>
        <v>1</v>
      </c>
      <c r="N50" s="16">
        <f t="shared" si="5"/>
        <v>0</v>
      </c>
      <c r="O50" s="16">
        <f t="shared" si="5"/>
        <v>0</v>
      </c>
      <c r="P50" s="28"/>
    </row>
    <row r="51" spans="1:16" x14ac:dyDescent="0.25">
      <c r="A51" s="25">
        <f t="shared" ref="A51:A56" si="7">A50+0.0001</f>
        <v>4.0018999999999956</v>
      </c>
      <c r="B51" s="25"/>
      <c r="C51" s="26" t="s">
        <v>36</v>
      </c>
      <c r="D51" s="26" t="s">
        <v>21</v>
      </c>
      <c r="E51" s="26" t="s">
        <v>31</v>
      </c>
      <c r="F51" s="26"/>
      <c r="G51" s="26"/>
      <c r="H51" s="28"/>
      <c r="I51" s="28"/>
      <c r="J51" s="16"/>
      <c r="K51" s="16">
        <f t="shared" si="5"/>
        <v>0</v>
      </c>
      <c r="L51" s="16">
        <f t="shared" si="5"/>
        <v>0</v>
      </c>
      <c r="M51" s="16">
        <f t="shared" si="5"/>
        <v>1</v>
      </c>
      <c r="N51" s="16">
        <f t="shared" si="5"/>
        <v>0</v>
      </c>
      <c r="O51" s="16">
        <f t="shared" si="5"/>
        <v>0</v>
      </c>
      <c r="P51" s="28"/>
    </row>
    <row r="52" spans="1:16" x14ac:dyDescent="0.25">
      <c r="A52" s="25">
        <f t="shared" si="7"/>
        <v>4.0019999999999953</v>
      </c>
      <c r="B52" s="25"/>
      <c r="C52" s="26" t="s">
        <v>35</v>
      </c>
      <c r="D52" s="26" t="s">
        <v>23</v>
      </c>
      <c r="E52" s="26" t="s">
        <v>30</v>
      </c>
      <c r="F52" s="26"/>
      <c r="G52" s="26"/>
      <c r="H52" s="28"/>
      <c r="I52" s="28"/>
      <c r="J52" s="16"/>
      <c r="K52" s="16">
        <f t="shared" si="5"/>
        <v>0</v>
      </c>
      <c r="L52" s="16">
        <f t="shared" si="5"/>
        <v>0</v>
      </c>
      <c r="M52" s="16">
        <f t="shared" si="5"/>
        <v>1</v>
      </c>
      <c r="N52" s="16">
        <f t="shared" si="5"/>
        <v>0</v>
      </c>
      <c r="O52" s="16">
        <f t="shared" si="5"/>
        <v>0</v>
      </c>
      <c r="P52" s="28"/>
    </row>
    <row r="53" spans="1:16" x14ac:dyDescent="0.25">
      <c r="A53" s="25">
        <f t="shared" si="7"/>
        <v>4.0020999999999951</v>
      </c>
      <c r="B53" s="25"/>
      <c r="C53" s="28" t="s">
        <v>50</v>
      </c>
      <c r="D53" s="28" t="s">
        <v>21</v>
      </c>
      <c r="E53" s="28" t="s">
        <v>51</v>
      </c>
      <c r="F53" s="28"/>
      <c r="G53" s="26"/>
      <c r="H53" s="28"/>
      <c r="I53" s="28"/>
      <c r="J53" s="16"/>
      <c r="K53" s="16">
        <f t="shared" si="5"/>
        <v>0</v>
      </c>
      <c r="L53" s="16">
        <f t="shared" si="5"/>
        <v>0</v>
      </c>
      <c r="M53" s="16">
        <f t="shared" si="5"/>
        <v>1</v>
      </c>
      <c r="N53" s="16">
        <f t="shared" si="5"/>
        <v>0</v>
      </c>
      <c r="O53" s="16">
        <f t="shared" si="5"/>
        <v>0</v>
      </c>
      <c r="P53" s="28"/>
    </row>
    <row r="54" spans="1:16" x14ac:dyDescent="0.25">
      <c r="A54" s="25">
        <f t="shared" si="7"/>
        <v>4.0021999999999949</v>
      </c>
      <c r="B54" s="25"/>
      <c r="C54" s="38" t="s">
        <v>56</v>
      </c>
      <c r="D54" s="37" t="s">
        <v>23</v>
      </c>
      <c r="E54" s="37" t="s">
        <v>53</v>
      </c>
      <c r="F54" s="26"/>
      <c r="G54" s="26"/>
      <c r="H54" s="17" t="s">
        <v>52</v>
      </c>
      <c r="I54" s="28"/>
      <c r="J54" s="16"/>
      <c r="K54" s="16">
        <f t="shared" si="5"/>
        <v>0</v>
      </c>
      <c r="L54" s="16">
        <f t="shared" si="5"/>
        <v>0</v>
      </c>
      <c r="M54" s="16">
        <f t="shared" si="5"/>
        <v>1</v>
      </c>
      <c r="N54" s="16">
        <f t="shared" si="5"/>
        <v>0</v>
      </c>
      <c r="O54" s="16">
        <f t="shared" si="5"/>
        <v>0</v>
      </c>
      <c r="P54" s="28"/>
    </row>
    <row r="55" spans="1:16" x14ac:dyDescent="0.25">
      <c r="A55" s="25">
        <f t="shared" si="7"/>
        <v>4.0022999999999946</v>
      </c>
      <c r="B55" s="25"/>
      <c r="C55" s="38" t="s">
        <v>55</v>
      </c>
      <c r="D55" s="37" t="s">
        <v>23</v>
      </c>
      <c r="E55" s="37" t="s">
        <v>54</v>
      </c>
      <c r="F55" s="26"/>
      <c r="G55" s="26"/>
      <c r="H55" s="17" t="s">
        <v>52</v>
      </c>
      <c r="I55" s="28"/>
      <c r="J55" s="16"/>
      <c r="K55" s="16">
        <f t="shared" si="5"/>
        <v>0</v>
      </c>
      <c r="L55" s="16">
        <f t="shared" si="5"/>
        <v>0</v>
      </c>
      <c r="M55" s="16">
        <f t="shared" si="5"/>
        <v>1</v>
      </c>
      <c r="N55" s="16">
        <f t="shared" si="5"/>
        <v>0</v>
      </c>
      <c r="O55" s="16">
        <f t="shared" si="5"/>
        <v>0</v>
      </c>
      <c r="P55" s="28"/>
    </row>
    <row r="56" spans="1:16" x14ac:dyDescent="0.25">
      <c r="A56" s="25">
        <f t="shared" si="7"/>
        <v>4.0023999999999944</v>
      </c>
      <c r="B56" s="25"/>
      <c r="C56" s="38" t="s">
        <v>19</v>
      </c>
      <c r="D56" s="37" t="s">
        <v>23</v>
      </c>
      <c r="E56" s="37" t="s">
        <v>22</v>
      </c>
      <c r="F56" s="26" t="s">
        <v>292</v>
      </c>
      <c r="G56" s="26"/>
      <c r="H56" s="17" t="s">
        <v>52</v>
      </c>
      <c r="I56" s="28"/>
      <c r="J56" s="16" t="s">
        <v>8</v>
      </c>
      <c r="K56" s="16">
        <f t="shared" si="5"/>
        <v>0</v>
      </c>
      <c r="L56" s="16">
        <f t="shared" si="5"/>
        <v>0</v>
      </c>
      <c r="M56" s="16">
        <f t="shared" si="5"/>
        <v>0</v>
      </c>
      <c r="N56" s="16">
        <f t="shared" si="5"/>
        <v>0</v>
      </c>
      <c r="O56" s="16">
        <f t="shared" si="5"/>
        <v>1</v>
      </c>
      <c r="P56" s="28"/>
    </row>
    <row r="57" spans="1:16" s="34" customFormat="1" x14ac:dyDescent="0.25">
      <c r="A57" s="35"/>
      <c r="B57" s="35"/>
      <c r="C57" s="36" t="s">
        <v>63</v>
      </c>
      <c r="D57" s="25"/>
      <c r="E57" s="31"/>
      <c r="F57" s="31"/>
      <c r="G57" s="32"/>
      <c r="H57" s="31"/>
      <c r="I57" s="31"/>
      <c r="J57" s="50"/>
      <c r="K57" s="16"/>
      <c r="L57" s="16"/>
      <c r="M57" s="16"/>
      <c r="N57" s="16"/>
      <c r="O57" s="16"/>
      <c r="P57" s="31"/>
    </row>
    <row r="58" spans="1:16" x14ac:dyDescent="0.25">
      <c r="A58" s="25">
        <f>A56+0.0001</f>
        <v>4.0024999999999942</v>
      </c>
      <c r="B58" s="25"/>
      <c r="C58" s="26" t="s">
        <v>64</v>
      </c>
      <c r="D58" s="26" t="s">
        <v>21</v>
      </c>
      <c r="E58" s="26" t="s">
        <v>65</v>
      </c>
      <c r="F58" s="26"/>
      <c r="G58" s="26"/>
      <c r="H58" s="28"/>
      <c r="I58" s="28"/>
      <c r="J58" s="16"/>
      <c r="K58" s="16">
        <f t="shared" si="5"/>
        <v>0</v>
      </c>
      <c r="L58" s="16">
        <f t="shared" si="5"/>
        <v>0</v>
      </c>
      <c r="M58" s="16">
        <f t="shared" si="5"/>
        <v>1</v>
      </c>
      <c r="N58" s="16">
        <f t="shared" si="5"/>
        <v>0</v>
      </c>
      <c r="O58" s="16">
        <f t="shared" si="5"/>
        <v>0</v>
      </c>
      <c r="P58" s="28"/>
    </row>
    <row r="59" spans="1:16" x14ac:dyDescent="0.25">
      <c r="A59" s="25">
        <f t="shared" ref="A59:A113" si="8">A58+0.0001</f>
        <v>4.0025999999999939</v>
      </c>
      <c r="B59" s="25"/>
      <c r="C59" s="26" t="s">
        <v>66</v>
      </c>
      <c r="D59" s="26" t="s">
        <v>23</v>
      </c>
      <c r="E59" s="26" t="s">
        <v>67</v>
      </c>
      <c r="F59" s="26"/>
      <c r="G59" s="26"/>
      <c r="H59" s="28"/>
      <c r="I59" s="28"/>
      <c r="J59" s="16"/>
      <c r="K59" s="16">
        <f t="shared" si="5"/>
        <v>0</v>
      </c>
      <c r="L59" s="16">
        <f t="shared" si="5"/>
        <v>0</v>
      </c>
      <c r="M59" s="16">
        <f t="shared" si="5"/>
        <v>1</v>
      </c>
      <c r="N59" s="16">
        <f t="shared" si="5"/>
        <v>0</v>
      </c>
      <c r="O59" s="16">
        <f t="shared" si="5"/>
        <v>0</v>
      </c>
      <c r="P59" s="28"/>
    </row>
    <row r="60" spans="1:16" x14ac:dyDescent="0.25">
      <c r="A60" s="25">
        <f t="shared" si="8"/>
        <v>4.0026999999999937</v>
      </c>
      <c r="B60" s="25"/>
      <c r="C60" s="26" t="s">
        <v>35</v>
      </c>
      <c r="D60" s="26" t="s">
        <v>21</v>
      </c>
      <c r="E60" s="26" t="s">
        <v>30</v>
      </c>
      <c r="F60" s="26"/>
      <c r="G60" s="26"/>
      <c r="H60" s="28"/>
      <c r="I60" s="28"/>
      <c r="J60" s="16"/>
      <c r="K60" s="16">
        <f t="shared" si="5"/>
        <v>0</v>
      </c>
      <c r="L60" s="16">
        <f t="shared" si="5"/>
        <v>0</v>
      </c>
      <c r="M60" s="16">
        <f t="shared" si="5"/>
        <v>1</v>
      </c>
      <c r="N60" s="16">
        <f t="shared" si="5"/>
        <v>0</v>
      </c>
      <c r="O60" s="16">
        <f t="shared" si="5"/>
        <v>0</v>
      </c>
      <c r="P60" s="28"/>
    </row>
    <row r="61" spans="1:16" x14ac:dyDescent="0.25">
      <c r="A61" s="25">
        <f t="shared" si="8"/>
        <v>4.0027999999999935</v>
      </c>
      <c r="B61" s="25"/>
      <c r="C61" s="26" t="s">
        <v>36</v>
      </c>
      <c r="D61" s="26" t="s">
        <v>23</v>
      </c>
      <c r="E61" s="26" t="s">
        <v>31</v>
      </c>
      <c r="F61" s="26"/>
      <c r="G61" s="26"/>
      <c r="H61" s="28"/>
      <c r="I61" s="28"/>
      <c r="J61" s="16"/>
      <c r="K61" s="16">
        <f t="shared" si="5"/>
        <v>0</v>
      </c>
      <c r="L61" s="16">
        <f t="shared" si="5"/>
        <v>0</v>
      </c>
      <c r="M61" s="16">
        <f t="shared" si="5"/>
        <v>1</v>
      </c>
      <c r="N61" s="16">
        <f t="shared" si="5"/>
        <v>0</v>
      </c>
      <c r="O61" s="16">
        <f t="shared" si="5"/>
        <v>0</v>
      </c>
      <c r="P61" s="28"/>
    </row>
    <row r="62" spans="1:16" s="34" customFormat="1" x14ac:dyDescent="0.25">
      <c r="A62" s="35"/>
      <c r="B62" s="35"/>
      <c r="C62" s="36" t="s">
        <v>68</v>
      </c>
      <c r="D62" s="25"/>
      <c r="E62" s="31"/>
      <c r="F62" s="31"/>
      <c r="G62" s="32"/>
      <c r="H62" s="31"/>
      <c r="I62" s="31"/>
      <c r="J62" s="50"/>
      <c r="K62" s="16"/>
      <c r="L62" s="16"/>
      <c r="M62" s="16"/>
      <c r="N62" s="16"/>
      <c r="O62" s="16">
        <f t="shared" si="5"/>
        <v>0</v>
      </c>
      <c r="P62" s="31"/>
    </row>
    <row r="63" spans="1:16" x14ac:dyDescent="0.25">
      <c r="A63" s="25">
        <f>A61+0.0001</f>
        <v>4.0028999999999932</v>
      </c>
      <c r="B63" s="25"/>
      <c r="C63" s="28" t="s">
        <v>69</v>
      </c>
      <c r="D63" s="28" t="s">
        <v>21</v>
      </c>
      <c r="E63" s="28" t="s">
        <v>70</v>
      </c>
      <c r="F63" s="28"/>
      <c r="G63" s="26"/>
      <c r="H63" s="28"/>
      <c r="I63" s="28"/>
      <c r="J63" s="16"/>
      <c r="K63" s="16">
        <f t="shared" si="5"/>
        <v>0</v>
      </c>
      <c r="L63" s="16">
        <f t="shared" si="5"/>
        <v>0</v>
      </c>
      <c r="M63" s="16">
        <f t="shared" si="5"/>
        <v>1</v>
      </c>
      <c r="N63" s="16">
        <f t="shared" si="5"/>
        <v>0</v>
      </c>
      <c r="O63" s="16">
        <f t="shared" si="5"/>
        <v>0</v>
      </c>
      <c r="P63" s="28"/>
    </row>
    <row r="64" spans="1:16" x14ac:dyDescent="0.25">
      <c r="A64" s="25">
        <f t="shared" si="8"/>
        <v>4.002999999999993</v>
      </c>
      <c r="B64" s="25"/>
      <c r="C64" s="28" t="s">
        <v>71</v>
      </c>
      <c r="D64" s="28" t="s">
        <v>23</v>
      </c>
      <c r="E64" s="28" t="s">
        <v>72</v>
      </c>
      <c r="F64" s="28"/>
      <c r="G64" s="26"/>
      <c r="H64" s="28"/>
      <c r="I64" s="28"/>
      <c r="J64" s="16"/>
      <c r="K64" s="16">
        <f t="shared" si="5"/>
        <v>0</v>
      </c>
      <c r="L64" s="16">
        <f t="shared" si="5"/>
        <v>0</v>
      </c>
      <c r="M64" s="16">
        <f t="shared" si="5"/>
        <v>1</v>
      </c>
      <c r="N64" s="16">
        <f t="shared" si="5"/>
        <v>0</v>
      </c>
      <c r="O64" s="16">
        <f t="shared" si="5"/>
        <v>0</v>
      </c>
      <c r="P64" s="28"/>
    </row>
    <row r="65" spans="1:16" x14ac:dyDescent="0.25">
      <c r="A65" s="25">
        <f t="shared" si="8"/>
        <v>4.0030999999999928</v>
      </c>
      <c r="B65" s="25"/>
      <c r="C65" s="26" t="s">
        <v>36</v>
      </c>
      <c r="D65" s="26" t="s">
        <v>21</v>
      </c>
      <c r="E65" s="26" t="s">
        <v>31</v>
      </c>
      <c r="F65" s="26"/>
      <c r="G65" s="26"/>
      <c r="H65" s="28"/>
      <c r="I65" s="28"/>
      <c r="J65" s="16"/>
      <c r="K65" s="16">
        <f t="shared" si="5"/>
        <v>0</v>
      </c>
      <c r="L65" s="16">
        <f t="shared" si="5"/>
        <v>0</v>
      </c>
      <c r="M65" s="16">
        <f t="shared" si="5"/>
        <v>1</v>
      </c>
      <c r="N65" s="16">
        <f t="shared" si="5"/>
        <v>0</v>
      </c>
      <c r="O65" s="16">
        <f t="shared" si="5"/>
        <v>0</v>
      </c>
      <c r="P65" s="28"/>
    </row>
    <row r="66" spans="1:16" x14ac:dyDescent="0.25">
      <c r="A66" s="25">
        <f t="shared" si="8"/>
        <v>4.0031999999999925</v>
      </c>
      <c r="B66" s="25"/>
      <c r="C66" s="26" t="s">
        <v>35</v>
      </c>
      <c r="D66" s="26" t="s">
        <v>23</v>
      </c>
      <c r="E66" s="26" t="s">
        <v>30</v>
      </c>
      <c r="F66" s="26"/>
      <c r="G66" s="26"/>
      <c r="H66" s="28"/>
      <c r="I66" s="28"/>
      <c r="J66" s="16"/>
      <c r="K66" s="16">
        <f t="shared" si="5"/>
        <v>0</v>
      </c>
      <c r="L66" s="16">
        <f t="shared" si="5"/>
        <v>0</v>
      </c>
      <c r="M66" s="16">
        <f t="shared" si="5"/>
        <v>1</v>
      </c>
      <c r="N66" s="16">
        <f t="shared" si="5"/>
        <v>0</v>
      </c>
      <c r="O66" s="16">
        <f t="shared" si="5"/>
        <v>0</v>
      </c>
      <c r="P66" s="28"/>
    </row>
    <row r="67" spans="1:16" x14ac:dyDescent="0.25">
      <c r="A67" s="25">
        <f t="shared" si="8"/>
        <v>4.0032999999999923</v>
      </c>
      <c r="B67" s="25"/>
      <c r="C67" s="26" t="s">
        <v>50</v>
      </c>
      <c r="D67" s="26" t="s">
        <v>21</v>
      </c>
      <c r="E67" s="26" t="s">
        <v>51</v>
      </c>
      <c r="F67" s="26"/>
      <c r="G67" s="26"/>
      <c r="H67" s="28"/>
      <c r="I67" s="28"/>
      <c r="J67" s="16"/>
      <c r="K67" s="16">
        <f t="shared" si="5"/>
        <v>0</v>
      </c>
      <c r="L67" s="16">
        <f t="shared" si="5"/>
        <v>0</v>
      </c>
      <c r="M67" s="16">
        <f t="shared" si="5"/>
        <v>1</v>
      </c>
      <c r="N67" s="16">
        <f t="shared" si="5"/>
        <v>0</v>
      </c>
      <c r="O67" s="16">
        <f t="shared" si="5"/>
        <v>0</v>
      </c>
      <c r="P67" s="28"/>
    </row>
    <row r="68" spans="1:16" x14ac:dyDescent="0.25">
      <c r="A68" s="25">
        <f t="shared" si="8"/>
        <v>4.0033999999999921</v>
      </c>
      <c r="B68" s="25"/>
      <c r="C68" s="26" t="s">
        <v>37</v>
      </c>
      <c r="D68" s="26" t="s">
        <v>23</v>
      </c>
      <c r="E68" s="26" t="s">
        <v>32</v>
      </c>
      <c r="F68" s="26"/>
      <c r="G68" s="26"/>
      <c r="H68" s="28"/>
      <c r="I68" s="28"/>
      <c r="J68" s="16"/>
      <c r="K68" s="16">
        <f t="shared" si="5"/>
        <v>0</v>
      </c>
      <c r="L68" s="16">
        <f t="shared" si="5"/>
        <v>0</v>
      </c>
      <c r="M68" s="16">
        <f t="shared" si="5"/>
        <v>1</v>
      </c>
      <c r="N68" s="16">
        <f t="shared" si="5"/>
        <v>0</v>
      </c>
      <c r="O68" s="16">
        <f t="shared" si="5"/>
        <v>0</v>
      </c>
      <c r="P68" s="28"/>
    </row>
    <row r="69" spans="1:16" s="13" customFormat="1" ht="15" customHeight="1" x14ac:dyDescent="0.25">
      <c r="A69" s="22">
        <v>5</v>
      </c>
      <c r="B69" s="59" t="s">
        <v>73</v>
      </c>
      <c r="C69" s="60"/>
      <c r="D69" s="23"/>
      <c r="E69" s="23"/>
      <c r="F69" s="23"/>
      <c r="G69" s="24"/>
      <c r="H69" s="23"/>
      <c r="I69" s="23"/>
      <c r="J69" s="49"/>
      <c r="K69" s="12"/>
      <c r="L69" s="12"/>
      <c r="M69" s="12"/>
      <c r="N69" s="12"/>
      <c r="O69" s="12"/>
      <c r="P69" s="23"/>
    </row>
    <row r="70" spans="1:16" s="34" customFormat="1" x14ac:dyDescent="0.25">
      <c r="A70" s="35"/>
      <c r="B70" s="35"/>
      <c r="C70" s="36" t="s">
        <v>74</v>
      </c>
      <c r="D70" s="25"/>
      <c r="E70" s="31"/>
      <c r="F70" s="31"/>
      <c r="G70" s="32"/>
      <c r="H70" s="31"/>
      <c r="I70" s="31"/>
      <c r="J70" s="50"/>
      <c r="K70" s="16"/>
      <c r="L70" s="16"/>
      <c r="M70" s="16"/>
      <c r="N70" s="16"/>
      <c r="O70" s="16"/>
      <c r="P70" s="31"/>
    </row>
    <row r="71" spans="1:16" x14ac:dyDescent="0.25">
      <c r="A71" s="25">
        <f>A69+0.0001</f>
        <v>5.0000999999999998</v>
      </c>
      <c r="B71" s="25"/>
      <c r="C71" s="28" t="s">
        <v>75</v>
      </c>
      <c r="D71" s="28" t="s">
        <v>21</v>
      </c>
      <c r="E71" s="28" t="s">
        <v>76</v>
      </c>
      <c r="F71" s="28"/>
      <c r="G71" s="26"/>
      <c r="H71" s="28"/>
      <c r="I71" s="28"/>
      <c r="J71" s="50"/>
      <c r="K71" s="16">
        <f t="shared" si="5"/>
        <v>0</v>
      </c>
      <c r="L71" s="16">
        <f t="shared" si="5"/>
        <v>0</v>
      </c>
      <c r="M71" s="16">
        <f t="shared" si="5"/>
        <v>1</v>
      </c>
      <c r="N71" s="16">
        <f t="shared" si="5"/>
        <v>0</v>
      </c>
      <c r="O71" s="16">
        <f t="shared" si="5"/>
        <v>0</v>
      </c>
      <c r="P71" s="28"/>
    </row>
    <row r="72" spans="1:16" x14ac:dyDescent="0.25">
      <c r="A72" s="25">
        <f t="shared" si="8"/>
        <v>5.0001999999999995</v>
      </c>
      <c r="B72" s="25"/>
      <c r="C72" s="26" t="s">
        <v>64</v>
      </c>
      <c r="D72" s="26" t="s">
        <v>23</v>
      </c>
      <c r="E72" s="26" t="s">
        <v>65</v>
      </c>
      <c r="F72" s="26"/>
      <c r="G72" s="26"/>
      <c r="H72" s="28"/>
      <c r="I72" s="28"/>
      <c r="J72" s="50"/>
      <c r="K72" s="16">
        <f t="shared" ref="K72:O98" si="9">IF($J72=K$1,1,0)</f>
        <v>0</v>
      </c>
      <c r="L72" s="16">
        <f t="shared" si="9"/>
        <v>0</v>
      </c>
      <c r="M72" s="16">
        <f t="shared" si="9"/>
        <v>1</v>
      </c>
      <c r="N72" s="16">
        <f t="shared" si="9"/>
        <v>0</v>
      </c>
      <c r="O72" s="16">
        <f t="shared" si="9"/>
        <v>0</v>
      </c>
      <c r="P72" s="28"/>
    </row>
    <row r="73" spans="1:16" x14ac:dyDescent="0.25">
      <c r="A73" s="25">
        <f t="shared" si="8"/>
        <v>5.0002999999999993</v>
      </c>
      <c r="B73" s="25"/>
      <c r="C73" s="26" t="s">
        <v>37</v>
      </c>
      <c r="D73" s="26" t="s">
        <v>21</v>
      </c>
      <c r="E73" s="26" t="s">
        <v>32</v>
      </c>
      <c r="F73" s="26"/>
      <c r="G73" s="26"/>
      <c r="H73" s="28"/>
      <c r="I73" s="28"/>
      <c r="J73" s="50"/>
      <c r="K73" s="16">
        <f t="shared" si="9"/>
        <v>0</v>
      </c>
      <c r="L73" s="16">
        <f t="shared" si="9"/>
        <v>0</v>
      </c>
      <c r="M73" s="16">
        <f t="shared" si="9"/>
        <v>1</v>
      </c>
      <c r="N73" s="16">
        <f t="shared" si="9"/>
        <v>0</v>
      </c>
      <c r="O73" s="16">
        <f t="shared" si="9"/>
        <v>0</v>
      </c>
      <c r="P73" s="28"/>
    </row>
    <row r="74" spans="1:16" x14ac:dyDescent="0.25">
      <c r="A74" s="25">
        <f t="shared" si="8"/>
        <v>5.0003999999999991</v>
      </c>
      <c r="B74" s="25"/>
      <c r="C74" s="26" t="s">
        <v>34</v>
      </c>
      <c r="D74" s="26" t="s">
        <v>23</v>
      </c>
      <c r="E74" s="26" t="s">
        <v>29</v>
      </c>
      <c r="F74" s="26"/>
      <c r="G74" s="26"/>
      <c r="H74" s="28"/>
      <c r="I74" s="28"/>
      <c r="J74" s="50"/>
      <c r="K74" s="16">
        <f t="shared" si="9"/>
        <v>0</v>
      </c>
      <c r="L74" s="16">
        <f t="shared" si="9"/>
        <v>0</v>
      </c>
      <c r="M74" s="16">
        <f t="shared" si="9"/>
        <v>1</v>
      </c>
      <c r="N74" s="16">
        <f t="shared" si="9"/>
        <v>0</v>
      </c>
      <c r="O74" s="16">
        <f t="shared" si="9"/>
        <v>0</v>
      </c>
      <c r="P74" s="28"/>
    </row>
    <row r="75" spans="1:16" s="34" customFormat="1" x14ac:dyDescent="0.25">
      <c r="A75" s="35"/>
      <c r="B75" s="35"/>
      <c r="C75" s="36" t="s">
        <v>82</v>
      </c>
      <c r="D75" s="25"/>
      <c r="E75" s="31"/>
      <c r="F75" s="31"/>
      <c r="G75" s="32"/>
      <c r="H75" s="31"/>
      <c r="I75" s="31"/>
      <c r="J75" s="50"/>
      <c r="K75" s="16"/>
      <c r="L75" s="16"/>
      <c r="M75" s="16"/>
      <c r="N75" s="16"/>
      <c r="O75" s="16"/>
      <c r="P75" s="31"/>
    </row>
    <row r="76" spans="1:16" x14ac:dyDescent="0.25">
      <c r="A76" s="25">
        <f>A74+0.0001</f>
        <v>5.0004999999999988</v>
      </c>
      <c r="B76" s="25"/>
      <c r="C76" s="28" t="s">
        <v>79</v>
      </c>
      <c r="D76" s="28" t="s">
        <v>21</v>
      </c>
      <c r="E76" s="28" t="s">
        <v>77</v>
      </c>
      <c r="F76" s="28"/>
      <c r="G76" s="26"/>
      <c r="H76" s="28"/>
      <c r="I76" s="28"/>
      <c r="J76" s="50"/>
      <c r="K76" s="16">
        <f t="shared" si="9"/>
        <v>0</v>
      </c>
      <c r="L76" s="16">
        <f t="shared" si="9"/>
        <v>0</v>
      </c>
      <c r="M76" s="16">
        <f t="shared" si="9"/>
        <v>1</v>
      </c>
      <c r="N76" s="16">
        <f t="shared" si="9"/>
        <v>0</v>
      </c>
      <c r="O76" s="16">
        <f t="shared" si="9"/>
        <v>0</v>
      </c>
      <c r="P76" s="28"/>
    </row>
    <row r="77" spans="1:16" x14ac:dyDescent="0.25">
      <c r="A77" s="25">
        <f t="shared" si="8"/>
        <v>5.0005999999999986</v>
      </c>
      <c r="B77" s="25"/>
      <c r="C77" s="28" t="s">
        <v>80</v>
      </c>
      <c r="D77" s="28" t="s">
        <v>23</v>
      </c>
      <c r="E77" s="28" t="s">
        <v>78</v>
      </c>
      <c r="F77" s="28"/>
      <c r="G77" s="26"/>
      <c r="H77" s="28"/>
      <c r="I77" s="28"/>
      <c r="J77" s="50"/>
      <c r="K77" s="16">
        <f t="shared" si="9"/>
        <v>0</v>
      </c>
      <c r="L77" s="16">
        <f t="shared" si="9"/>
        <v>0</v>
      </c>
      <c r="M77" s="16">
        <f t="shared" si="9"/>
        <v>1</v>
      </c>
      <c r="N77" s="16">
        <f t="shared" si="9"/>
        <v>0</v>
      </c>
      <c r="O77" s="16">
        <f t="shared" si="9"/>
        <v>0</v>
      </c>
      <c r="P77" s="28"/>
    </row>
    <row r="78" spans="1:16" x14ac:dyDescent="0.25">
      <c r="A78" s="25">
        <f t="shared" si="8"/>
        <v>5.0006999999999984</v>
      </c>
      <c r="B78" s="25"/>
      <c r="C78" s="28" t="s">
        <v>35</v>
      </c>
      <c r="D78" s="28" t="s">
        <v>21</v>
      </c>
      <c r="E78" s="28" t="s">
        <v>30</v>
      </c>
      <c r="F78" s="28"/>
      <c r="G78" s="26"/>
      <c r="H78" s="28"/>
      <c r="I78" s="28"/>
      <c r="J78" s="50"/>
      <c r="K78" s="16">
        <f t="shared" si="9"/>
        <v>0</v>
      </c>
      <c r="L78" s="16">
        <f t="shared" si="9"/>
        <v>0</v>
      </c>
      <c r="M78" s="16">
        <f t="shared" si="9"/>
        <v>1</v>
      </c>
      <c r="N78" s="16">
        <f t="shared" si="9"/>
        <v>0</v>
      </c>
      <c r="O78" s="16">
        <f t="shared" si="9"/>
        <v>0</v>
      </c>
      <c r="P78" s="28"/>
    </row>
    <row r="79" spans="1:16" x14ac:dyDescent="0.25">
      <c r="A79" s="25">
        <f t="shared" si="8"/>
        <v>5.0007999999999981</v>
      </c>
      <c r="B79" s="25"/>
      <c r="C79" s="26" t="s">
        <v>36</v>
      </c>
      <c r="D79" s="26" t="s">
        <v>23</v>
      </c>
      <c r="E79" s="26" t="s">
        <v>31</v>
      </c>
      <c r="F79" s="26"/>
      <c r="G79" s="26"/>
      <c r="H79" s="28"/>
      <c r="I79" s="28"/>
      <c r="J79" s="50"/>
      <c r="K79" s="16">
        <f t="shared" si="9"/>
        <v>0</v>
      </c>
      <c r="L79" s="16">
        <f t="shared" si="9"/>
        <v>0</v>
      </c>
      <c r="M79" s="16">
        <f t="shared" si="9"/>
        <v>1</v>
      </c>
      <c r="N79" s="16">
        <f t="shared" si="9"/>
        <v>0</v>
      </c>
      <c r="O79" s="16">
        <f t="shared" si="9"/>
        <v>0</v>
      </c>
      <c r="P79" s="28"/>
    </row>
    <row r="80" spans="1:16" x14ac:dyDescent="0.25">
      <c r="A80" s="25">
        <f t="shared" si="8"/>
        <v>5.0008999999999979</v>
      </c>
      <c r="B80" s="25"/>
      <c r="C80" s="26" t="s">
        <v>37</v>
      </c>
      <c r="D80" s="26" t="s">
        <v>21</v>
      </c>
      <c r="E80" s="26" t="s">
        <v>32</v>
      </c>
      <c r="F80" s="26"/>
      <c r="G80" s="26"/>
      <c r="H80" s="28"/>
      <c r="I80" s="28"/>
      <c r="J80" s="50"/>
      <c r="K80" s="16">
        <f t="shared" si="9"/>
        <v>0</v>
      </c>
      <c r="L80" s="16">
        <f t="shared" si="9"/>
        <v>0</v>
      </c>
      <c r="M80" s="16">
        <f t="shared" si="9"/>
        <v>1</v>
      </c>
      <c r="N80" s="16">
        <f t="shared" si="9"/>
        <v>0</v>
      </c>
      <c r="O80" s="16">
        <f t="shared" si="9"/>
        <v>0</v>
      </c>
      <c r="P80" s="28"/>
    </row>
    <row r="81" spans="1:16" x14ac:dyDescent="0.25">
      <c r="A81" s="25">
        <f t="shared" si="8"/>
        <v>5.0009999999999977</v>
      </c>
      <c r="B81" s="25"/>
      <c r="C81" s="26" t="s">
        <v>34</v>
      </c>
      <c r="D81" s="26" t="s">
        <v>23</v>
      </c>
      <c r="E81" s="26" t="s">
        <v>29</v>
      </c>
      <c r="F81" s="26"/>
      <c r="G81" s="26"/>
      <c r="H81" s="28"/>
      <c r="I81" s="28"/>
      <c r="J81" s="50"/>
      <c r="K81" s="16">
        <f t="shared" si="9"/>
        <v>0</v>
      </c>
      <c r="L81" s="16">
        <f t="shared" si="9"/>
        <v>0</v>
      </c>
      <c r="M81" s="16">
        <f t="shared" si="9"/>
        <v>1</v>
      </c>
      <c r="N81" s="16">
        <f t="shared" si="9"/>
        <v>0</v>
      </c>
      <c r="O81" s="16">
        <f t="shared" si="9"/>
        <v>0</v>
      </c>
      <c r="P81" s="28"/>
    </row>
    <row r="82" spans="1:16" s="34" customFormat="1" x14ac:dyDescent="0.25">
      <c r="A82" s="35"/>
      <c r="B82" s="35"/>
      <c r="C82" s="36" t="s">
        <v>81</v>
      </c>
      <c r="D82" s="25"/>
      <c r="E82" s="31"/>
      <c r="F82" s="31"/>
      <c r="G82" s="32"/>
      <c r="H82" s="31"/>
      <c r="I82" s="31"/>
      <c r="J82" s="50"/>
      <c r="K82" s="16"/>
      <c r="L82" s="16"/>
      <c r="M82" s="16"/>
      <c r="N82" s="16"/>
      <c r="O82" s="16"/>
      <c r="P82" s="31"/>
    </row>
    <row r="83" spans="1:16" x14ac:dyDescent="0.25">
      <c r="A83" s="25">
        <f>A81+0.0001</f>
        <v>5.0010999999999974</v>
      </c>
      <c r="B83" s="25"/>
      <c r="C83" s="28" t="s">
        <v>64</v>
      </c>
      <c r="D83" s="28" t="s">
        <v>21</v>
      </c>
      <c r="E83" s="28" t="s">
        <v>65</v>
      </c>
      <c r="F83" s="26" t="s">
        <v>292</v>
      </c>
      <c r="G83" s="26"/>
      <c r="H83" s="28"/>
      <c r="I83" s="28"/>
      <c r="J83" s="50" t="s">
        <v>8</v>
      </c>
      <c r="K83" s="16">
        <f t="shared" si="9"/>
        <v>0</v>
      </c>
      <c r="L83" s="16">
        <f t="shared" si="9"/>
        <v>0</v>
      </c>
      <c r="M83" s="16">
        <f t="shared" si="9"/>
        <v>0</v>
      </c>
      <c r="N83" s="16">
        <f t="shared" si="9"/>
        <v>0</v>
      </c>
      <c r="O83" s="16">
        <f t="shared" si="9"/>
        <v>1</v>
      </c>
      <c r="P83" s="28"/>
    </row>
    <row r="84" spans="1:16" x14ac:dyDescent="0.25">
      <c r="A84" s="25">
        <f t="shared" si="8"/>
        <v>5.0011999999999972</v>
      </c>
      <c r="B84" s="25"/>
      <c r="C84" s="28" t="s">
        <v>66</v>
      </c>
      <c r="D84" s="28" t="s">
        <v>23</v>
      </c>
      <c r="E84" s="28" t="s">
        <v>67</v>
      </c>
      <c r="F84" s="28"/>
      <c r="G84" s="26"/>
      <c r="H84" s="28"/>
      <c r="I84" s="28"/>
      <c r="J84" s="50" t="s">
        <v>8</v>
      </c>
      <c r="K84" s="16">
        <f t="shared" si="9"/>
        <v>0</v>
      </c>
      <c r="L84" s="16">
        <f t="shared" si="9"/>
        <v>0</v>
      </c>
      <c r="M84" s="16">
        <f t="shared" si="9"/>
        <v>0</v>
      </c>
      <c r="N84" s="16">
        <f t="shared" si="9"/>
        <v>0</v>
      </c>
      <c r="O84" s="16">
        <f t="shared" si="9"/>
        <v>1</v>
      </c>
      <c r="P84" s="28"/>
    </row>
    <row r="85" spans="1:16" x14ac:dyDescent="0.25">
      <c r="A85" s="25">
        <f t="shared" si="8"/>
        <v>5.001299999999997</v>
      </c>
      <c r="B85" s="25"/>
      <c r="C85" s="28" t="s">
        <v>35</v>
      </c>
      <c r="D85" s="28" t="s">
        <v>21</v>
      </c>
      <c r="E85" s="28" t="s">
        <v>30</v>
      </c>
      <c r="F85" s="28"/>
      <c r="G85" s="26"/>
      <c r="H85" s="28"/>
      <c r="I85" s="28"/>
      <c r="J85" s="50" t="s">
        <v>8</v>
      </c>
      <c r="K85" s="16">
        <f t="shared" si="9"/>
        <v>0</v>
      </c>
      <c r="L85" s="16">
        <f t="shared" si="9"/>
        <v>0</v>
      </c>
      <c r="M85" s="16">
        <f t="shared" si="9"/>
        <v>0</v>
      </c>
      <c r="N85" s="16">
        <f t="shared" si="9"/>
        <v>0</v>
      </c>
      <c r="O85" s="16">
        <f t="shared" si="9"/>
        <v>1</v>
      </c>
      <c r="P85" s="28"/>
    </row>
    <row r="86" spans="1:16" x14ac:dyDescent="0.25">
      <c r="A86" s="25">
        <f t="shared" si="8"/>
        <v>5.0013999999999967</v>
      </c>
      <c r="B86" s="25"/>
      <c r="C86" s="26" t="s">
        <v>36</v>
      </c>
      <c r="D86" s="26" t="s">
        <v>23</v>
      </c>
      <c r="E86" s="26" t="s">
        <v>31</v>
      </c>
      <c r="F86" s="26"/>
      <c r="G86" s="26"/>
      <c r="H86" s="28"/>
      <c r="I86" s="28"/>
      <c r="J86" s="50" t="s">
        <v>8</v>
      </c>
      <c r="K86" s="16">
        <f t="shared" si="9"/>
        <v>0</v>
      </c>
      <c r="L86" s="16">
        <f t="shared" si="9"/>
        <v>0</v>
      </c>
      <c r="M86" s="16">
        <f t="shared" si="9"/>
        <v>0</v>
      </c>
      <c r="N86" s="16">
        <f t="shared" si="9"/>
        <v>0</v>
      </c>
      <c r="O86" s="16">
        <f t="shared" si="9"/>
        <v>1</v>
      </c>
      <c r="P86" s="28"/>
    </row>
    <row r="87" spans="1:16" s="34" customFormat="1" x14ac:dyDescent="0.25">
      <c r="A87" s="35"/>
      <c r="B87" s="35"/>
      <c r="C87" s="36" t="s">
        <v>83</v>
      </c>
      <c r="D87" s="25"/>
      <c r="E87" s="31"/>
      <c r="F87" s="31"/>
      <c r="G87" s="32"/>
      <c r="H87" s="31"/>
      <c r="I87" s="31"/>
      <c r="J87" s="50"/>
      <c r="K87" s="16"/>
      <c r="L87" s="16"/>
      <c r="M87" s="16"/>
      <c r="N87" s="16"/>
      <c r="O87" s="16"/>
      <c r="P87" s="31"/>
    </row>
    <row r="88" spans="1:16" x14ac:dyDescent="0.25">
      <c r="A88" s="25">
        <f>A86+0.0001</f>
        <v>5.0014999999999965</v>
      </c>
      <c r="B88" s="25"/>
      <c r="C88" s="26" t="s">
        <v>80</v>
      </c>
      <c r="D88" s="26" t="s">
        <v>21</v>
      </c>
      <c r="E88" s="26" t="s">
        <v>78</v>
      </c>
      <c r="F88" s="26" t="s">
        <v>292</v>
      </c>
      <c r="G88" s="26"/>
      <c r="H88" s="28"/>
      <c r="I88" s="28"/>
      <c r="J88" s="16" t="s">
        <v>8</v>
      </c>
      <c r="K88" s="16">
        <f t="shared" si="9"/>
        <v>0</v>
      </c>
      <c r="L88" s="16">
        <f t="shared" si="9"/>
        <v>0</v>
      </c>
      <c r="M88" s="16">
        <f t="shared" si="9"/>
        <v>0</v>
      </c>
      <c r="N88" s="16">
        <f t="shared" si="9"/>
        <v>0</v>
      </c>
      <c r="O88" s="16">
        <f t="shared" si="9"/>
        <v>1</v>
      </c>
      <c r="P88" s="28"/>
    </row>
    <row r="89" spans="1:16" x14ac:dyDescent="0.25">
      <c r="A89" s="25">
        <f t="shared" si="8"/>
        <v>5.0015999999999963</v>
      </c>
      <c r="B89" s="25"/>
      <c r="C89" s="26" t="s">
        <v>79</v>
      </c>
      <c r="D89" s="26" t="s">
        <v>23</v>
      </c>
      <c r="E89" s="26" t="s">
        <v>77</v>
      </c>
      <c r="F89" s="26"/>
      <c r="G89" s="26"/>
      <c r="H89" s="28"/>
      <c r="I89" s="28"/>
      <c r="J89" s="50" t="s">
        <v>8</v>
      </c>
      <c r="K89" s="16">
        <f t="shared" si="9"/>
        <v>0</v>
      </c>
      <c r="L89" s="16">
        <f t="shared" si="9"/>
        <v>0</v>
      </c>
      <c r="M89" s="16">
        <f t="shared" si="9"/>
        <v>0</v>
      </c>
      <c r="N89" s="16">
        <f t="shared" si="9"/>
        <v>0</v>
      </c>
      <c r="O89" s="16">
        <f t="shared" si="9"/>
        <v>1</v>
      </c>
      <c r="P89" s="28"/>
    </row>
    <row r="90" spans="1:16" x14ac:dyDescent="0.25">
      <c r="A90" s="25">
        <f t="shared" si="8"/>
        <v>5.001699999999996</v>
      </c>
      <c r="B90" s="25"/>
      <c r="C90" s="28" t="s">
        <v>36</v>
      </c>
      <c r="D90" s="28" t="s">
        <v>21</v>
      </c>
      <c r="E90" s="28" t="s">
        <v>31</v>
      </c>
      <c r="F90" s="28"/>
      <c r="G90" s="26"/>
      <c r="H90" s="28"/>
      <c r="I90" s="28"/>
      <c r="J90" s="50" t="s">
        <v>8</v>
      </c>
      <c r="K90" s="16">
        <f t="shared" si="9"/>
        <v>0</v>
      </c>
      <c r="L90" s="16">
        <f t="shared" si="9"/>
        <v>0</v>
      </c>
      <c r="M90" s="16">
        <f t="shared" si="9"/>
        <v>0</v>
      </c>
      <c r="N90" s="16">
        <f t="shared" si="9"/>
        <v>0</v>
      </c>
      <c r="O90" s="16">
        <f t="shared" si="9"/>
        <v>1</v>
      </c>
      <c r="P90" s="28"/>
    </row>
    <row r="91" spans="1:16" x14ac:dyDescent="0.25">
      <c r="A91" s="25">
        <f t="shared" si="8"/>
        <v>5.0017999999999958</v>
      </c>
      <c r="B91" s="25"/>
      <c r="C91" s="28" t="s">
        <v>35</v>
      </c>
      <c r="D91" s="28" t="s">
        <v>23</v>
      </c>
      <c r="E91" s="28" t="s">
        <v>30</v>
      </c>
      <c r="F91" s="28"/>
      <c r="G91" s="26"/>
      <c r="H91" s="28"/>
      <c r="I91" s="28"/>
      <c r="J91" s="50" t="s">
        <v>8</v>
      </c>
      <c r="K91" s="16">
        <f t="shared" si="9"/>
        <v>0</v>
      </c>
      <c r="L91" s="16">
        <f t="shared" si="9"/>
        <v>0</v>
      </c>
      <c r="M91" s="16">
        <f t="shared" si="9"/>
        <v>0</v>
      </c>
      <c r="N91" s="16">
        <f t="shared" si="9"/>
        <v>0</v>
      </c>
      <c r="O91" s="16">
        <f t="shared" si="9"/>
        <v>1</v>
      </c>
      <c r="P91" s="28"/>
    </row>
    <row r="92" spans="1:16" x14ac:dyDescent="0.25">
      <c r="A92" s="25">
        <f t="shared" si="8"/>
        <v>5.0018999999999956</v>
      </c>
      <c r="B92" s="25"/>
      <c r="C92" s="28" t="s">
        <v>50</v>
      </c>
      <c r="D92" s="28" t="s">
        <v>21</v>
      </c>
      <c r="E92" s="28" t="s">
        <v>51</v>
      </c>
      <c r="F92" s="28"/>
      <c r="G92" s="26"/>
      <c r="H92" s="28"/>
      <c r="I92" s="28"/>
      <c r="J92" s="50" t="s">
        <v>8</v>
      </c>
      <c r="K92" s="16">
        <f t="shared" si="9"/>
        <v>0</v>
      </c>
      <c r="L92" s="16">
        <f t="shared" si="9"/>
        <v>0</v>
      </c>
      <c r="M92" s="16">
        <f t="shared" si="9"/>
        <v>0</v>
      </c>
      <c r="N92" s="16">
        <f t="shared" si="9"/>
        <v>0</v>
      </c>
      <c r="O92" s="16">
        <f t="shared" si="9"/>
        <v>1</v>
      </c>
      <c r="P92" s="28"/>
    </row>
    <row r="93" spans="1:16" x14ac:dyDescent="0.25">
      <c r="A93" s="25">
        <f t="shared" si="8"/>
        <v>5.0019999999999953</v>
      </c>
      <c r="B93" s="25"/>
      <c r="C93" s="26" t="s">
        <v>37</v>
      </c>
      <c r="D93" s="26" t="s">
        <v>23</v>
      </c>
      <c r="E93" s="26" t="s">
        <v>32</v>
      </c>
      <c r="F93" s="26"/>
      <c r="G93" s="26"/>
      <c r="H93" s="28"/>
      <c r="I93" s="28"/>
      <c r="J93" s="50" t="s">
        <v>8</v>
      </c>
      <c r="K93" s="16">
        <f t="shared" si="9"/>
        <v>0</v>
      </c>
      <c r="L93" s="16">
        <f t="shared" si="9"/>
        <v>0</v>
      </c>
      <c r="M93" s="16">
        <f t="shared" si="9"/>
        <v>0</v>
      </c>
      <c r="N93" s="16">
        <f t="shared" si="9"/>
        <v>0</v>
      </c>
      <c r="O93" s="16">
        <f t="shared" si="9"/>
        <v>1</v>
      </c>
      <c r="P93" s="28"/>
    </row>
    <row r="94" spans="1:16" s="34" customFormat="1" x14ac:dyDescent="0.25">
      <c r="A94" s="35"/>
      <c r="B94" s="35"/>
      <c r="C94" s="36" t="s">
        <v>84</v>
      </c>
      <c r="D94" s="25"/>
      <c r="E94" s="31"/>
      <c r="F94" s="31"/>
      <c r="G94" s="32"/>
      <c r="H94" s="31"/>
      <c r="I94" s="31"/>
      <c r="J94" s="50"/>
      <c r="K94" s="16"/>
      <c r="L94" s="16"/>
      <c r="M94" s="16"/>
      <c r="N94" s="16"/>
      <c r="O94" s="16"/>
      <c r="P94" s="31"/>
    </row>
    <row r="95" spans="1:16" x14ac:dyDescent="0.25">
      <c r="A95" s="25">
        <f>A93+0.0001</f>
        <v>5.0020999999999951</v>
      </c>
      <c r="B95" s="25"/>
      <c r="C95" s="26" t="s">
        <v>64</v>
      </c>
      <c r="D95" s="26" t="s">
        <v>21</v>
      </c>
      <c r="E95" s="26" t="s">
        <v>65</v>
      </c>
      <c r="F95" s="26" t="s">
        <v>292</v>
      </c>
      <c r="G95" s="26"/>
      <c r="H95" s="28"/>
      <c r="I95" s="28"/>
      <c r="J95" s="50" t="s">
        <v>8</v>
      </c>
      <c r="K95" s="16">
        <f t="shared" si="9"/>
        <v>0</v>
      </c>
      <c r="L95" s="16">
        <f t="shared" si="9"/>
        <v>0</v>
      </c>
      <c r="M95" s="16">
        <f t="shared" si="9"/>
        <v>0</v>
      </c>
      <c r="N95" s="16">
        <f t="shared" si="9"/>
        <v>0</v>
      </c>
      <c r="O95" s="16">
        <f t="shared" si="9"/>
        <v>1</v>
      </c>
      <c r="P95" s="28"/>
    </row>
    <row r="96" spans="1:16" x14ac:dyDescent="0.25">
      <c r="A96" s="25">
        <f t="shared" si="8"/>
        <v>5.0021999999999949</v>
      </c>
      <c r="B96" s="25"/>
      <c r="C96" s="26" t="s">
        <v>75</v>
      </c>
      <c r="D96" s="26" t="s">
        <v>23</v>
      </c>
      <c r="E96" s="26" t="s">
        <v>76</v>
      </c>
      <c r="F96" s="26"/>
      <c r="G96" s="26"/>
      <c r="H96" s="28"/>
      <c r="I96" s="28"/>
      <c r="J96" s="50" t="s">
        <v>8</v>
      </c>
      <c r="K96" s="16">
        <f t="shared" si="9"/>
        <v>0</v>
      </c>
      <c r="L96" s="16">
        <f t="shared" si="9"/>
        <v>0</v>
      </c>
      <c r="M96" s="16">
        <f t="shared" si="9"/>
        <v>0</v>
      </c>
      <c r="N96" s="16">
        <f t="shared" si="9"/>
        <v>0</v>
      </c>
      <c r="O96" s="16">
        <f t="shared" si="9"/>
        <v>1</v>
      </c>
      <c r="P96" s="28"/>
    </row>
    <row r="97" spans="1:16" x14ac:dyDescent="0.25">
      <c r="A97" s="25">
        <f t="shared" si="8"/>
        <v>5.0022999999999946</v>
      </c>
      <c r="B97" s="25"/>
      <c r="C97" s="28" t="s">
        <v>50</v>
      </c>
      <c r="D97" s="28" t="s">
        <v>21</v>
      </c>
      <c r="E97" s="28" t="s">
        <v>51</v>
      </c>
      <c r="F97" s="28"/>
      <c r="G97" s="26"/>
      <c r="H97" s="28"/>
      <c r="I97" s="28"/>
      <c r="J97" s="50" t="s">
        <v>8</v>
      </c>
      <c r="K97" s="16">
        <f t="shared" si="9"/>
        <v>0</v>
      </c>
      <c r="L97" s="16">
        <f t="shared" si="9"/>
        <v>0</v>
      </c>
      <c r="M97" s="16">
        <f t="shared" si="9"/>
        <v>0</v>
      </c>
      <c r="N97" s="16">
        <f t="shared" si="9"/>
        <v>0</v>
      </c>
      <c r="O97" s="16">
        <f t="shared" si="9"/>
        <v>1</v>
      </c>
      <c r="P97" s="28"/>
    </row>
    <row r="98" spans="1:16" x14ac:dyDescent="0.25">
      <c r="A98" s="25">
        <f t="shared" si="8"/>
        <v>5.0023999999999944</v>
      </c>
      <c r="B98" s="25"/>
      <c r="C98" s="28" t="s">
        <v>37</v>
      </c>
      <c r="D98" s="28" t="s">
        <v>23</v>
      </c>
      <c r="E98" s="28" t="s">
        <v>32</v>
      </c>
      <c r="F98" s="28"/>
      <c r="G98" s="26"/>
      <c r="H98" s="28"/>
      <c r="I98" s="28"/>
      <c r="J98" s="50" t="s">
        <v>8</v>
      </c>
      <c r="K98" s="16">
        <f t="shared" si="9"/>
        <v>0</v>
      </c>
      <c r="L98" s="16">
        <f t="shared" si="9"/>
        <v>0</v>
      </c>
      <c r="M98" s="16">
        <f t="shared" si="9"/>
        <v>0</v>
      </c>
      <c r="N98" s="16">
        <f t="shared" si="9"/>
        <v>0</v>
      </c>
      <c r="O98" s="16">
        <f t="shared" si="9"/>
        <v>1</v>
      </c>
      <c r="P98" s="28"/>
    </row>
    <row r="99" spans="1:16" s="13" customFormat="1" ht="15" customHeight="1" x14ac:dyDescent="0.25">
      <c r="A99" s="22">
        <v>6</v>
      </c>
      <c r="B99" s="59" t="s">
        <v>85</v>
      </c>
      <c r="C99" s="60"/>
      <c r="D99" s="23"/>
      <c r="E99" s="23"/>
      <c r="F99" s="23"/>
      <c r="G99" s="24"/>
      <c r="H99" s="23"/>
      <c r="I99" s="23"/>
      <c r="J99" s="49"/>
      <c r="K99" s="12"/>
      <c r="L99" s="12"/>
      <c r="M99" s="12"/>
      <c r="N99" s="12"/>
      <c r="O99" s="12"/>
      <c r="P99" s="23"/>
    </row>
    <row r="100" spans="1:16" s="34" customFormat="1" x14ac:dyDescent="0.25">
      <c r="A100" s="35"/>
      <c r="B100" s="35"/>
      <c r="C100" s="36" t="s">
        <v>86</v>
      </c>
      <c r="D100" s="25"/>
      <c r="E100" s="31"/>
      <c r="F100" s="31"/>
      <c r="G100" s="32"/>
      <c r="H100" s="31"/>
      <c r="I100" s="31"/>
      <c r="J100" s="50"/>
      <c r="K100" s="16"/>
      <c r="L100" s="16"/>
      <c r="M100" s="16"/>
      <c r="N100" s="16"/>
      <c r="O100" s="16"/>
      <c r="P100" s="31"/>
    </row>
    <row r="101" spans="1:16" x14ac:dyDescent="0.25">
      <c r="A101" s="25">
        <f>A99+0.0001</f>
        <v>6.0000999999999998</v>
      </c>
      <c r="B101" s="25"/>
      <c r="C101" s="26" t="s">
        <v>87</v>
      </c>
      <c r="D101" s="26" t="s">
        <v>21</v>
      </c>
      <c r="E101" s="26" t="s">
        <v>88</v>
      </c>
      <c r="F101" s="26"/>
      <c r="G101" s="26"/>
      <c r="H101" s="28"/>
      <c r="I101" s="28"/>
      <c r="J101" s="16"/>
      <c r="K101" s="16">
        <f t="shared" ref="K101:O116" si="10">IF($J101=K$1,1,0)</f>
        <v>0</v>
      </c>
      <c r="L101" s="16">
        <f t="shared" si="10"/>
        <v>0</v>
      </c>
      <c r="M101" s="16">
        <f t="shared" si="10"/>
        <v>1</v>
      </c>
      <c r="N101" s="16">
        <f t="shared" si="10"/>
        <v>0</v>
      </c>
      <c r="O101" s="16">
        <f t="shared" si="10"/>
        <v>0</v>
      </c>
      <c r="P101" s="28"/>
    </row>
    <row r="102" spans="1:16" x14ac:dyDescent="0.25">
      <c r="A102" s="25">
        <f t="shared" si="8"/>
        <v>6.0001999999999995</v>
      </c>
      <c r="B102" s="25"/>
      <c r="C102" s="26" t="s">
        <v>89</v>
      </c>
      <c r="D102" s="26" t="s">
        <v>23</v>
      </c>
      <c r="E102" s="26" t="s">
        <v>90</v>
      </c>
      <c r="F102" s="26"/>
      <c r="G102" s="26"/>
      <c r="H102" s="28"/>
      <c r="I102" s="28"/>
      <c r="J102" s="16"/>
      <c r="K102" s="16">
        <f t="shared" si="10"/>
        <v>0</v>
      </c>
      <c r="L102" s="16">
        <f t="shared" si="10"/>
        <v>0</v>
      </c>
      <c r="M102" s="16">
        <f t="shared" si="10"/>
        <v>1</v>
      </c>
      <c r="N102" s="16">
        <f t="shared" si="10"/>
        <v>0</v>
      </c>
      <c r="O102" s="16">
        <f t="shared" si="10"/>
        <v>0</v>
      </c>
      <c r="P102" s="28"/>
    </row>
    <row r="103" spans="1:16" x14ac:dyDescent="0.25">
      <c r="A103" s="25">
        <f t="shared" si="8"/>
        <v>6.0002999999999993</v>
      </c>
      <c r="B103" s="25"/>
      <c r="C103" s="26" t="s">
        <v>36</v>
      </c>
      <c r="D103" s="26" t="s">
        <v>21</v>
      </c>
      <c r="E103" s="26" t="s">
        <v>31</v>
      </c>
      <c r="F103" s="26"/>
      <c r="G103" s="26"/>
      <c r="H103" s="28"/>
      <c r="I103" s="28"/>
      <c r="J103" s="16"/>
      <c r="K103" s="16">
        <f t="shared" si="10"/>
        <v>0</v>
      </c>
      <c r="L103" s="16">
        <f t="shared" si="10"/>
        <v>0</v>
      </c>
      <c r="M103" s="16">
        <f t="shared" si="10"/>
        <v>1</v>
      </c>
      <c r="N103" s="16">
        <f t="shared" si="10"/>
        <v>0</v>
      </c>
      <c r="O103" s="16">
        <f t="shared" si="10"/>
        <v>0</v>
      </c>
      <c r="P103" s="28"/>
    </row>
    <row r="104" spans="1:16" x14ac:dyDescent="0.25">
      <c r="A104" s="25">
        <f t="shared" si="8"/>
        <v>6.0003999999999991</v>
      </c>
      <c r="B104" s="25"/>
      <c r="C104" s="28" t="s">
        <v>35</v>
      </c>
      <c r="D104" s="28" t="s">
        <v>23</v>
      </c>
      <c r="E104" s="28" t="s">
        <v>30</v>
      </c>
      <c r="F104" s="28"/>
      <c r="G104" s="26"/>
      <c r="H104" s="28"/>
      <c r="I104" s="28"/>
      <c r="J104" s="16"/>
      <c r="K104" s="16">
        <f t="shared" si="10"/>
        <v>0</v>
      </c>
      <c r="L104" s="16">
        <f t="shared" si="10"/>
        <v>0</v>
      </c>
      <c r="M104" s="16">
        <f t="shared" si="10"/>
        <v>1</v>
      </c>
      <c r="N104" s="16">
        <f t="shared" si="10"/>
        <v>0</v>
      </c>
      <c r="O104" s="16">
        <f t="shared" si="10"/>
        <v>0</v>
      </c>
      <c r="P104" s="28"/>
    </row>
    <row r="105" spans="1:16" x14ac:dyDescent="0.25">
      <c r="A105" s="25">
        <f t="shared" si="8"/>
        <v>6.0004999999999988</v>
      </c>
      <c r="B105" s="25"/>
      <c r="C105" s="28" t="s">
        <v>50</v>
      </c>
      <c r="D105" s="28" t="s">
        <v>21</v>
      </c>
      <c r="E105" s="28" t="s">
        <v>51</v>
      </c>
      <c r="F105" s="28"/>
      <c r="G105" s="26"/>
      <c r="H105" s="28"/>
      <c r="I105" s="28"/>
      <c r="J105" s="16"/>
      <c r="K105" s="16">
        <f t="shared" si="10"/>
        <v>0</v>
      </c>
      <c r="L105" s="16">
        <f t="shared" si="10"/>
        <v>0</v>
      </c>
      <c r="M105" s="16">
        <f t="shared" si="10"/>
        <v>1</v>
      </c>
      <c r="N105" s="16">
        <f t="shared" si="10"/>
        <v>0</v>
      </c>
      <c r="O105" s="16">
        <f t="shared" si="10"/>
        <v>0</v>
      </c>
      <c r="P105" s="28"/>
    </row>
    <row r="106" spans="1:16" x14ac:dyDescent="0.25">
      <c r="A106" s="25">
        <f t="shared" si="8"/>
        <v>6.0005999999999986</v>
      </c>
      <c r="B106" s="25"/>
      <c r="C106" s="28" t="s">
        <v>37</v>
      </c>
      <c r="D106" s="28" t="s">
        <v>23</v>
      </c>
      <c r="E106" s="28" t="s">
        <v>32</v>
      </c>
      <c r="F106" s="28"/>
      <c r="G106" s="26"/>
      <c r="H106" s="28"/>
      <c r="I106" s="28"/>
      <c r="J106" s="16"/>
      <c r="K106" s="16">
        <f t="shared" si="10"/>
        <v>0</v>
      </c>
      <c r="L106" s="16">
        <f t="shared" si="10"/>
        <v>0</v>
      </c>
      <c r="M106" s="16">
        <f t="shared" si="10"/>
        <v>1</v>
      </c>
      <c r="N106" s="16">
        <f t="shared" si="10"/>
        <v>0</v>
      </c>
      <c r="O106" s="16">
        <f t="shared" si="10"/>
        <v>0</v>
      </c>
      <c r="P106" s="28"/>
    </row>
    <row r="107" spans="1:16" s="34" customFormat="1" x14ac:dyDescent="0.25">
      <c r="A107" s="35"/>
      <c r="B107" s="35"/>
      <c r="C107" s="36" t="s">
        <v>91</v>
      </c>
      <c r="D107" s="25"/>
      <c r="E107" s="31"/>
      <c r="F107" s="31"/>
      <c r="G107" s="32"/>
      <c r="H107" s="31"/>
      <c r="I107" s="31"/>
      <c r="J107" s="50"/>
      <c r="K107" s="16"/>
      <c r="L107" s="16"/>
      <c r="M107" s="16"/>
      <c r="N107" s="16"/>
      <c r="O107" s="16"/>
      <c r="P107" s="31"/>
    </row>
    <row r="108" spans="1:16" x14ac:dyDescent="0.25">
      <c r="A108" s="25">
        <f>A106+0.0001</f>
        <v>6.0006999999999984</v>
      </c>
      <c r="B108" s="25"/>
      <c r="C108" s="26" t="s">
        <v>94</v>
      </c>
      <c r="D108" s="26" t="s">
        <v>21</v>
      </c>
      <c r="E108" s="26" t="s">
        <v>92</v>
      </c>
      <c r="F108" s="26"/>
      <c r="G108" s="26"/>
      <c r="H108" s="28"/>
      <c r="I108" s="28"/>
      <c r="J108" s="16"/>
      <c r="K108" s="16">
        <f t="shared" si="10"/>
        <v>0</v>
      </c>
      <c r="L108" s="16">
        <f t="shared" si="10"/>
        <v>0</v>
      </c>
      <c r="M108" s="16">
        <f t="shared" si="10"/>
        <v>1</v>
      </c>
      <c r="N108" s="16">
        <f t="shared" si="10"/>
        <v>0</v>
      </c>
      <c r="O108" s="16">
        <f t="shared" si="10"/>
        <v>0</v>
      </c>
      <c r="P108" s="28"/>
    </row>
    <row r="109" spans="1:16" x14ac:dyDescent="0.25">
      <c r="A109" s="25">
        <f t="shared" si="8"/>
        <v>6.0007999999999981</v>
      </c>
      <c r="B109" s="25"/>
      <c r="C109" s="26" t="s">
        <v>95</v>
      </c>
      <c r="D109" s="26" t="s">
        <v>23</v>
      </c>
      <c r="E109" s="26" t="s">
        <v>93</v>
      </c>
      <c r="F109" s="26"/>
      <c r="G109" s="26"/>
      <c r="H109" s="28"/>
      <c r="I109" s="28"/>
      <c r="J109" s="16"/>
      <c r="K109" s="16">
        <f t="shared" si="10"/>
        <v>0</v>
      </c>
      <c r="L109" s="16">
        <f t="shared" si="10"/>
        <v>0</v>
      </c>
      <c r="M109" s="16">
        <f t="shared" si="10"/>
        <v>1</v>
      </c>
      <c r="N109" s="16">
        <f t="shared" si="10"/>
        <v>0</v>
      </c>
      <c r="O109" s="16">
        <f t="shared" si="10"/>
        <v>0</v>
      </c>
      <c r="P109" s="28"/>
    </row>
    <row r="110" spans="1:16" x14ac:dyDescent="0.25">
      <c r="A110" s="25">
        <f t="shared" si="8"/>
        <v>6.0008999999999979</v>
      </c>
      <c r="B110" s="25"/>
      <c r="C110" s="26" t="s">
        <v>36</v>
      </c>
      <c r="D110" s="26" t="s">
        <v>21</v>
      </c>
      <c r="E110" s="26" t="s">
        <v>31</v>
      </c>
      <c r="F110" s="26"/>
      <c r="G110" s="26"/>
      <c r="H110" s="28"/>
      <c r="I110" s="28"/>
      <c r="J110" s="16"/>
      <c r="K110" s="16">
        <f t="shared" si="10"/>
        <v>0</v>
      </c>
      <c r="L110" s="16">
        <f t="shared" si="10"/>
        <v>0</v>
      </c>
      <c r="M110" s="16">
        <f t="shared" si="10"/>
        <v>1</v>
      </c>
      <c r="N110" s="16">
        <f t="shared" si="10"/>
        <v>0</v>
      </c>
      <c r="O110" s="16">
        <f t="shared" si="10"/>
        <v>0</v>
      </c>
      <c r="P110" s="28"/>
    </row>
    <row r="111" spans="1:16" x14ac:dyDescent="0.25">
      <c r="A111" s="25">
        <f t="shared" si="8"/>
        <v>6.0009999999999977</v>
      </c>
      <c r="B111" s="25"/>
      <c r="C111" s="28" t="s">
        <v>35</v>
      </c>
      <c r="D111" s="28" t="s">
        <v>23</v>
      </c>
      <c r="E111" s="28" t="s">
        <v>30</v>
      </c>
      <c r="F111" s="28"/>
      <c r="G111" s="26"/>
      <c r="H111" s="28"/>
      <c r="I111" s="28"/>
      <c r="J111" s="16"/>
      <c r="K111" s="16">
        <f t="shared" si="10"/>
        <v>0</v>
      </c>
      <c r="L111" s="16">
        <f t="shared" si="10"/>
        <v>0</v>
      </c>
      <c r="M111" s="16">
        <f t="shared" si="10"/>
        <v>1</v>
      </c>
      <c r="N111" s="16">
        <f t="shared" si="10"/>
        <v>0</v>
      </c>
      <c r="O111" s="16">
        <f t="shared" si="10"/>
        <v>0</v>
      </c>
      <c r="P111" s="28"/>
    </row>
    <row r="112" spans="1:16" x14ac:dyDescent="0.25">
      <c r="A112" s="25">
        <f t="shared" si="8"/>
        <v>6.0010999999999974</v>
      </c>
      <c r="B112" s="25"/>
      <c r="C112" s="28" t="s">
        <v>50</v>
      </c>
      <c r="D112" s="28" t="s">
        <v>21</v>
      </c>
      <c r="E112" s="28" t="s">
        <v>51</v>
      </c>
      <c r="F112" s="28"/>
      <c r="G112" s="26"/>
      <c r="H112" s="28"/>
      <c r="I112" s="28"/>
      <c r="J112" s="16"/>
      <c r="K112" s="16">
        <f t="shared" si="10"/>
        <v>0</v>
      </c>
      <c r="L112" s="16">
        <f t="shared" si="10"/>
        <v>0</v>
      </c>
      <c r="M112" s="16">
        <f t="shared" si="10"/>
        <v>1</v>
      </c>
      <c r="N112" s="16">
        <f t="shared" si="10"/>
        <v>0</v>
      </c>
      <c r="O112" s="16">
        <f t="shared" si="10"/>
        <v>0</v>
      </c>
      <c r="P112" s="28"/>
    </row>
    <row r="113" spans="1:16" x14ac:dyDescent="0.25">
      <c r="A113" s="25">
        <f t="shared" si="8"/>
        <v>6.0011999999999972</v>
      </c>
      <c r="B113" s="25"/>
      <c r="C113" s="28" t="s">
        <v>37</v>
      </c>
      <c r="D113" s="28" t="s">
        <v>23</v>
      </c>
      <c r="E113" s="28" t="s">
        <v>32</v>
      </c>
      <c r="F113" s="28"/>
      <c r="G113" s="26"/>
      <c r="H113" s="28"/>
      <c r="I113" s="28"/>
      <c r="J113" s="16"/>
      <c r="K113" s="16">
        <f t="shared" si="10"/>
        <v>0</v>
      </c>
      <c r="L113" s="16">
        <f t="shared" si="10"/>
        <v>0</v>
      </c>
      <c r="M113" s="16">
        <f t="shared" si="10"/>
        <v>1</v>
      </c>
      <c r="N113" s="16">
        <f t="shared" si="10"/>
        <v>0</v>
      </c>
      <c r="O113" s="16">
        <f t="shared" si="10"/>
        <v>0</v>
      </c>
      <c r="P113" s="28"/>
    </row>
    <row r="114" spans="1:16" s="34" customFormat="1" x14ac:dyDescent="0.25">
      <c r="A114" s="35"/>
      <c r="B114" s="35"/>
      <c r="C114" s="36" t="s">
        <v>96</v>
      </c>
      <c r="D114" s="25"/>
      <c r="E114" s="31"/>
      <c r="F114" s="31"/>
      <c r="G114" s="32"/>
      <c r="H114" s="31"/>
      <c r="I114" s="31"/>
      <c r="J114" s="50"/>
      <c r="K114" s="16"/>
      <c r="L114" s="16"/>
      <c r="M114" s="16"/>
      <c r="N114" s="16"/>
      <c r="O114" s="16"/>
      <c r="P114" s="31"/>
    </row>
    <row r="115" spans="1:16" x14ac:dyDescent="0.25">
      <c r="A115" s="25">
        <f>A113+0.0001</f>
        <v>6.001299999999997</v>
      </c>
      <c r="B115" s="25"/>
      <c r="C115" s="26" t="s">
        <v>97</v>
      </c>
      <c r="D115" s="26" t="s">
        <v>21</v>
      </c>
      <c r="E115" s="26" t="s">
        <v>98</v>
      </c>
      <c r="F115" s="26" t="s">
        <v>292</v>
      </c>
      <c r="G115" s="26"/>
      <c r="H115" s="28"/>
      <c r="I115" s="28"/>
      <c r="J115" s="16" t="s">
        <v>8</v>
      </c>
      <c r="K115" s="16">
        <f t="shared" si="10"/>
        <v>0</v>
      </c>
      <c r="L115" s="16">
        <f t="shared" si="10"/>
        <v>0</v>
      </c>
      <c r="M115" s="16">
        <f t="shared" si="10"/>
        <v>0</v>
      </c>
      <c r="N115" s="16">
        <f t="shared" si="10"/>
        <v>0</v>
      </c>
      <c r="O115" s="16">
        <f t="shared" si="10"/>
        <v>1</v>
      </c>
      <c r="P115" s="28"/>
    </row>
    <row r="116" spans="1:16" x14ac:dyDescent="0.25">
      <c r="A116" s="25">
        <f t="shared" ref="A116" si="11">A115+0.0001</f>
        <v>6.0013999999999967</v>
      </c>
      <c r="B116" s="25"/>
      <c r="C116" s="26" t="s">
        <v>99</v>
      </c>
      <c r="D116" s="26" t="s">
        <v>23</v>
      </c>
      <c r="E116" s="26" t="s">
        <v>100</v>
      </c>
      <c r="F116" s="26" t="s">
        <v>292</v>
      </c>
      <c r="G116" s="26"/>
      <c r="H116" s="28"/>
      <c r="I116" s="28"/>
      <c r="J116" s="16" t="s">
        <v>8</v>
      </c>
      <c r="K116" s="16">
        <f t="shared" si="10"/>
        <v>0</v>
      </c>
      <c r="L116" s="16">
        <f t="shared" si="10"/>
        <v>0</v>
      </c>
      <c r="M116" s="16">
        <f t="shared" si="10"/>
        <v>0</v>
      </c>
      <c r="N116" s="16">
        <f t="shared" si="10"/>
        <v>0</v>
      </c>
      <c r="O116" s="16">
        <f t="shared" si="10"/>
        <v>1</v>
      </c>
      <c r="P116" s="28"/>
    </row>
    <row r="117" spans="1:16" s="13" customFormat="1" ht="15" customHeight="1" x14ac:dyDescent="0.25">
      <c r="A117" s="22">
        <v>7</v>
      </c>
      <c r="B117" s="59" t="s">
        <v>101</v>
      </c>
      <c r="C117" s="60"/>
      <c r="D117" s="23"/>
      <c r="E117" s="23"/>
      <c r="F117" s="23"/>
      <c r="G117" s="24"/>
      <c r="H117" s="23"/>
      <c r="I117" s="23"/>
      <c r="J117" s="49"/>
      <c r="K117" s="12"/>
      <c r="L117" s="12"/>
      <c r="M117" s="12"/>
      <c r="N117" s="12"/>
      <c r="O117" s="12"/>
      <c r="P117" s="23"/>
    </row>
    <row r="118" spans="1:16" s="34" customFormat="1" x14ac:dyDescent="0.25">
      <c r="A118" s="35"/>
      <c r="B118" s="35"/>
      <c r="C118" s="36" t="s">
        <v>102</v>
      </c>
      <c r="D118" s="25"/>
      <c r="E118" s="31"/>
      <c r="F118" s="31"/>
      <c r="G118" s="32"/>
      <c r="H118" s="31"/>
      <c r="I118" s="31"/>
      <c r="J118" s="50"/>
      <c r="K118" s="16"/>
      <c r="L118" s="16"/>
      <c r="M118" s="16"/>
      <c r="N118" s="16"/>
      <c r="O118" s="16"/>
      <c r="P118" s="31"/>
    </row>
    <row r="119" spans="1:16" x14ac:dyDescent="0.25">
      <c r="A119" s="25">
        <f>A117+0.0001</f>
        <v>7.0000999999999998</v>
      </c>
      <c r="B119" s="25"/>
      <c r="C119" s="28" t="s">
        <v>45</v>
      </c>
      <c r="D119" s="28" t="s">
        <v>21</v>
      </c>
      <c r="E119" s="28" t="s">
        <v>49</v>
      </c>
      <c r="F119" s="28"/>
      <c r="G119" s="26"/>
      <c r="H119" s="28"/>
      <c r="I119" s="28"/>
      <c r="J119" s="16"/>
      <c r="K119" s="16">
        <f t="shared" ref="K119:O141" si="12">IF($J119=K$1,1,0)</f>
        <v>0</v>
      </c>
      <c r="L119" s="16">
        <f t="shared" si="12"/>
        <v>0</v>
      </c>
      <c r="M119" s="16">
        <f t="shared" si="12"/>
        <v>1</v>
      </c>
      <c r="N119" s="16">
        <f t="shared" si="12"/>
        <v>0</v>
      </c>
      <c r="O119" s="16">
        <f t="shared" si="12"/>
        <v>0</v>
      </c>
      <c r="P119" s="28"/>
    </row>
    <row r="120" spans="1:16" x14ac:dyDescent="0.25">
      <c r="A120" s="25">
        <f t="shared" ref="A120:A159" si="13">A119+0.0001</f>
        <v>7.0001999999999995</v>
      </c>
      <c r="B120" s="25"/>
      <c r="C120" s="28" t="s">
        <v>103</v>
      </c>
      <c r="D120" s="28" t="s">
        <v>23</v>
      </c>
      <c r="E120" s="28" t="s">
        <v>104</v>
      </c>
      <c r="F120" s="28"/>
      <c r="G120" s="26"/>
      <c r="H120" s="28"/>
      <c r="I120" s="28"/>
      <c r="J120" s="16"/>
      <c r="K120" s="16">
        <f t="shared" si="12"/>
        <v>0</v>
      </c>
      <c r="L120" s="16">
        <f t="shared" si="12"/>
        <v>0</v>
      </c>
      <c r="M120" s="16">
        <f t="shared" si="12"/>
        <v>1</v>
      </c>
      <c r="N120" s="16">
        <f t="shared" si="12"/>
        <v>0</v>
      </c>
      <c r="O120" s="16">
        <f t="shared" si="12"/>
        <v>0</v>
      </c>
      <c r="P120" s="28"/>
    </row>
    <row r="121" spans="1:16" x14ac:dyDescent="0.25">
      <c r="A121" s="25">
        <f t="shared" si="13"/>
        <v>7.0002999999999993</v>
      </c>
      <c r="B121" s="25"/>
      <c r="C121" s="28" t="s">
        <v>36</v>
      </c>
      <c r="D121" s="28" t="s">
        <v>21</v>
      </c>
      <c r="E121" s="28" t="s">
        <v>31</v>
      </c>
      <c r="F121" s="28"/>
      <c r="G121" s="26"/>
      <c r="H121" s="28"/>
      <c r="I121" s="28"/>
      <c r="J121" s="16"/>
      <c r="K121" s="16">
        <f t="shared" si="12"/>
        <v>0</v>
      </c>
      <c r="L121" s="16">
        <f t="shared" si="12"/>
        <v>0</v>
      </c>
      <c r="M121" s="16">
        <f t="shared" si="12"/>
        <v>1</v>
      </c>
      <c r="N121" s="16">
        <f t="shared" si="12"/>
        <v>0</v>
      </c>
      <c r="O121" s="16">
        <f t="shared" si="12"/>
        <v>0</v>
      </c>
      <c r="P121" s="28"/>
    </row>
    <row r="122" spans="1:16" x14ac:dyDescent="0.25">
      <c r="A122" s="25">
        <f t="shared" si="13"/>
        <v>7.0003999999999991</v>
      </c>
      <c r="B122" s="25"/>
      <c r="C122" s="28" t="s">
        <v>35</v>
      </c>
      <c r="D122" s="28" t="s">
        <v>23</v>
      </c>
      <c r="E122" s="28" t="s">
        <v>30</v>
      </c>
      <c r="F122" s="28"/>
      <c r="G122" s="26"/>
      <c r="H122" s="28"/>
      <c r="I122" s="28"/>
      <c r="J122" s="16"/>
      <c r="K122" s="16">
        <f t="shared" si="12"/>
        <v>0</v>
      </c>
      <c r="L122" s="16">
        <f t="shared" si="12"/>
        <v>0</v>
      </c>
      <c r="M122" s="16">
        <f t="shared" si="12"/>
        <v>1</v>
      </c>
      <c r="N122" s="16">
        <f t="shared" si="12"/>
        <v>0</v>
      </c>
      <c r="O122" s="16">
        <f t="shared" si="12"/>
        <v>0</v>
      </c>
      <c r="P122" s="28"/>
    </row>
    <row r="123" spans="1:16" x14ac:dyDescent="0.25">
      <c r="A123" s="25">
        <f t="shared" si="13"/>
        <v>7.0004999999999988</v>
      </c>
      <c r="B123" s="25"/>
      <c r="C123" s="28" t="s">
        <v>50</v>
      </c>
      <c r="D123" s="28" t="s">
        <v>21</v>
      </c>
      <c r="E123" s="28" t="s">
        <v>51</v>
      </c>
      <c r="F123" s="28"/>
      <c r="G123" s="26"/>
      <c r="H123" s="28"/>
      <c r="I123" s="28"/>
      <c r="J123" s="16"/>
      <c r="K123" s="16">
        <f t="shared" si="12"/>
        <v>0</v>
      </c>
      <c r="L123" s="16">
        <f t="shared" si="12"/>
        <v>0</v>
      </c>
      <c r="M123" s="16">
        <f t="shared" si="12"/>
        <v>1</v>
      </c>
      <c r="N123" s="16">
        <f t="shared" si="12"/>
        <v>0</v>
      </c>
      <c r="O123" s="16">
        <f t="shared" si="12"/>
        <v>0</v>
      </c>
      <c r="P123" s="28"/>
    </row>
    <row r="124" spans="1:16" x14ac:dyDescent="0.25">
      <c r="A124" s="25">
        <f t="shared" si="13"/>
        <v>7.0005999999999986</v>
      </c>
      <c r="B124" s="25"/>
      <c r="C124" s="28" t="s">
        <v>37</v>
      </c>
      <c r="D124" s="28" t="s">
        <v>23</v>
      </c>
      <c r="E124" s="28" t="s">
        <v>32</v>
      </c>
      <c r="F124" s="28"/>
      <c r="G124" s="26"/>
      <c r="H124" s="28"/>
      <c r="I124" s="28"/>
      <c r="J124" s="16"/>
      <c r="K124" s="16">
        <f t="shared" si="12"/>
        <v>0</v>
      </c>
      <c r="L124" s="16">
        <f t="shared" si="12"/>
        <v>0</v>
      </c>
      <c r="M124" s="16">
        <f t="shared" si="12"/>
        <v>1</v>
      </c>
      <c r="N124" s="16">
        <f t="shared" si="12"/>
        <v>0</v>
      </c>
      <c r="O124" s="16">
        <f t="shared" si="12"/>
        <v>0</v>
      </c>
      <c r="P124" s="28"/>
    </row>
    <row r="125" spans="1:16" s="34" customFormat="1" x14ac:dyDescent="0.25">
      <c r="A125" s="35"/>
      <c r="B125" s="35"/>
      <c r="C125" s="36" t="s">
        <v>105</v>
      </c>
      <c r="D125" s="25"/>
      <c r="E125" s="31"/>
      <c r="F125" s="31"/>
      <c r="G125" s="32"/>
      <c r="H125" s="31"/>
      <c r="I125" s="31"/>
      <c r="J125" s="50"/>
      <c r="K125" s="16"/>
      <c r="L125" s="16"/>
      <c r="M125" s="16"/>
      <c r="N125" s="16"/>
      <c r="O125" s="16"/>
      <c r="P125" s="31"/>
    </row>
    <row r="126" spans="1:16" x14ac:dyDescent="0.25">
      <c r="A126" s="25">
        <f>A124+0.0001</f>
        <v>7.0006999999999984</v>
      </c>
      <c r="B126" s="25"/>
      <c r="C126" s="28" t="s">
        <v>103</v>
      </c>
      <c r="D126" s="28" t="s">
        <v>21</v>
      </c>
      <c r="E126" s="28" t="s">
        <v>104</v>
      </c>
      <c r="F126" s="28"/>
      <c r="G126" s="26"/>
      <c r="H126" s="28"/>
      <c r="I126" s="28"/>
      <c r="J126" s="16"/>
      <c r="K126" s="16">
        <f t="shared" si="12"/>
        <v>0</v>
      </c>
      <c r="L126" s="16">
        <f t="shared" si="12"/>
        <v>0</v>
      </c>
      <c r="M126" s="16">
        <f t="shared" si="12"/>
        <v>1</v>
      </c>
      <c r="N126" s="16">
        <f t="shared" si="12"/>
        <v>0</v>
      </c>
      <c r="O126" s="16">
        <f t="shared" si="12"/>
        <v>0</v>
      </c>
      <c r="P126" s="28"/>
    </row>
    <row r="127" spans="1:16" x14ac:dyDescent="0.25">
      <c r="A127" s="25">
        <f t="shared" si="13"/>
        <v>7.0007999999999981</v>
      </c>
      <c r="B127" s="25"/>
      <c r="C127" s="28" t="s">
        <v>45</v>
      </c>
      <c r="D127" s="28" t="s">
        <v>23</v>
      </c>
      <c r="E127" s="28" t="s">
        <v>49</v>
      </c>
      <c r="F127" s="28"/>
      <c r="G127" s="26"/>
      <c r="H127" s="28"/>
      <c r="I127" s="28"/>
      <c r="J127" s="16"/>
      <c r="K127" s="16">
        <f t="shared" si="12"/>
        <v>0</v>
      </c>
      <c r="L127" s="16">
        <f t="shared" si="12"/>
        <v>0</v>
      </c>
      <c r="M127" s="16">
        <f t="shared" si="12"/>
        <v>1</v>
      </c>
      <c r="N127" s="16">
        <f t="shared" si="12"/>
        <v>0</v>
      </c>
      <c r="O127" s="16">
        <f t="shared" si="12"/>
        <v>0</v>
      </c>
      <c r="P127" s="28"/>
    </row>
    <row r="128" spans="1:16" x14ac:dyDescent="0.25">
      <c r="A128" s="25">
        <f t="shared" si="13"/>
        <v>7.0008999999999979</v>
      </c>
      <c r="B128" s="25"/>
      <c r="C128" s="28" t="s">
        <v>35</v>
      </c>
      <c r="D128" s="28" t="s">
        <v>21</v>
      </c>
      <c r="E128" s="28" t="s">
        <v>30</v>
      </c>
      <c r="F128" s="28"/>
      <c r="G128" s="26"/>
      <c r="H128" s="28"/>
      <c r="I128" s="28"/>
      <c r="J128" s="16"/>
      <c r="K128" s="16">
        <f t="shared" si="12"/>
        <v>0</v>
      </c>
      <c r="L128" s="16">
        <f t="shared" si="12"/>
        <v>0</v>
      </c>
      <c r="M128" s="16">
        <f t="shared" si="12"/>
        <v>1</v>
      </c>
      <c r="N128" s="16">
        <f t="shared" si="12"/>
        <v>0</v>
      </c>
      <c r="O128" s="16">
        <f t="shared" si="12"/>
        <v>0</v>
      </c>
      <c r="P128" s="28"/>
    </row>
    <row r="129" spans="1:16" x14ac:dyDescent="0.25">
      <c r="A129" s="25">
        <f t="shared" si="13"/>
        <v>7.0009999999999977</v>
      </c>
      <c r="B129" s="25"/>
      <c r="C129" s="28" t="s">
        <v>36</v>
      </c>
      <c r="D129" s="28" t="s">
        <v>23</v>
      </c>
      <c r="E129" s="28" t="s">
        <v>31</v>
      </c>
      <c r="F129" s="28"/>
      <c r="G129" s="26"/>
      <c r="H129" s="28"/>
      <c r="I129" s="28"/>
      <c r="J129" s="16"/>
      <c r="K129" s="16">
        <f t="shared" si="12"/>
        <v>0</v>
      </c>
      <c r="L129" s="16">
        <f t="shared" si="12"/>
        <v>0</v>
      </c>
      <c r="M129" s="16">
        <f t="shared" si="12"/>
        <v>1</v>
      </c>
      <c r="N129" s="16">
        <f t="shared" si="12"/>
        <v>0</v>
      </c>
      <c r="O129" s="16">
        <f t="shared" si="12"/>
        <v>0</v>
      </c>
      <c r="P129" s="28"/>
    </row>
    <row r="130" spans="1:16" x14ac:dyDescent="0.25">
      <c r="A130" s="25">
        <f t="shared" si="13"/>
        <v>7.0010999999999974</v>
      </c>
      <c r="B130" s="25"/>
      <c r="C130" s="28" t="s">
        <v>37</v>
      </c>
      <c r="D130" s="28" t="s">
        <v>21</v>
      </c>
      <c r="E130" s="28" t="s">
        <v>32</v>
      </c>
      <c r="F130" s="28"/>
      <c r="G130" s="26"/>
      <c r="H130" s="28"/>
      <c r="I130" s="28"/>
      <c r="J130" s="16"/>
      <c r="K130" s="16">
        <f t="shared" si="12"/>
        <v>0</v>
      </c>
      <c r="L130" s="16">
        <f t="shared" si="12"/>
        <v>0</v>
      </c>
      <c r="M130" s="16">
        <f t="shared" si="12"/>
        <v>1</v>
      </c>
      <c r="N130" s="16">
        <f t="shared" si="12"/>
        <v>0</v>
      </c>
      <c r="O130" s="16">
        <f t="shared" si="12"/>
        <v>0</v>
      </c>
      <c r="P130" s="28"/>
    </row>
    <row r="131" spans="1:16" x14ac:dyDescent="0.25">
      <c r="A131" s="25">
        <f t="shared" si="13"/>
        <v>7.0011999999999972</v>
      </c>
      <c r="B131" s="25"/>
      <c r="C131" s="28" t="s">
        <v>34</v>
      </c>
      <c r="D131" s="28" t="s">
        <v>23</v>
      </c>
      <c r="E131" s="28" t="s">
        <v>29</v>
      </c>
      <c r="F131" s="28"/>
      <c r="G131" s="26"/>
      <c r="H131" s="28"/>
      <c r="I131" s="28"/>
      <c r="J131" s="16"/>
      <c r="K131" s="16">
        <f t="shared" si="12"/>
        <v>0</v>
      </c>
      <c r="L131" s="16">
        <f t="shared" si="12"/>
        <v>0</v>
      </c>
      <c r="M131" s="16">
        <f t="shared" si="12"/>
        <v>1</v>
      </c>
      <c r="N131" s="16">
        <f t="shared" si="12"/>
        <v>0</v>
      </c>
      <c r="O131" s="16">
        <f t="shared" si="12"/>
        <v>0</v>
      </c>
      <c r="P131" s="28"/>
    </row>
    <row r="132" spans="1:16" s="34" customFormat="1" x14ac:dyDescent="0.25">
      <c r="A132" s="35"/>
      <c r="B132" s="35"/>
      <c r="C132" s="36" t="s">
        <v>106</v>
      </c>
      <c r="D132" s="25"/>
      <c r="E132" s="31"/>
      <c r="F132" s="31"/>
      <c r="G132" s="32"/>
      <c r="H132" s="31"/>
      <c r="I132" s="31"/>
      <c r="J132" s="50"/>
      <c r="K132" s="16"/>
      <c r="L132" s="16"/>
      <c r="M132" s="16"/>
      <c r="N132" s="16"/>
      <c r="O132" s="16"/>
      <c r="P132" s="31"/>
    </row>
    <row r="133" spans="1:16" x14ac:dyDescent="0.25">
      <c r="A133" s="25">
        <f>A131+0.0001</f>
        <v>7.001299999999997</v>
      </c>
      <c r="B133" s="25"/>
      <c r="C133" s="28" t="s">
        <v>36</v>
      </c>
      <c r="D133" s="28" t="s">
        <v>21</v>
      </c>
      <c r="E133" s="28" t="s">
        <v>31</v>
      </c>
      <c r="F133" s="28"/>
      <c r="G133" s="26"/>
      <c r="H133" s="28"/>
      <c r="I133" s="28"/>
      <c r="J133" s="16"/>
      <c r="K133" s="16">
        <f t="shared" si="12"/>
        <v>0</v>
      </c>
      <c r="L133" s="16">
        <f t="shared" si="12"/>
        <v>0</v>
      </c>
      <c r="M133" s="16">
        <f t="shared" si="12"/>
        <v>1</v>
      </c>
      <c r="N133" s="16">
        <f t="shared" si="12"/>
        <v>0</v>
      </c>
      <c r="O133" s="16">
        <f t="shared" si="12"/>
        <v>0</v>
      </c>
      <c r="P133" s="28"/>
    </row>
    <row r="134" spans="1:16" x14ac:dyDescent="0.25">
      <c r="A134" s="25">
        <f t="shared" si="13"/>
        <v>7.0013999999999967</v>
      </c>
      <c r="B134" s="25"/>
      <c r="C134" s="28" t="s">
        <v>35</v>
      </c>
      <c r="D134" s="28" t="s">
        <v>23</v>
      </c>
      <c r="E134" s="28" t="s">
        <v>30</v>
      </c>
      <c r="F134" s="28"/>
      <c r="G134" s="26"/>
      <c r="H134" s="28"/>
      <c r="I134" s="28"/>
      <c r="J134" s="16"/>
      <c r="K134" s="16">
        <f t="shared" si="12"/>
        <v>0</v>
      </c>
      <c r="L134" s="16">
        <f t="shared" si="12"/>
        <v>0</v>
      </c>
      <c r="M134" s="16">
        <f t="shared" si="12"/>
        <v>1</v>
      </c>
      <c r="N134" s="16">
        <f t="shared" si="12"/>
        <v>0</v>
      </c>
      <c r="O134" s="16">
        <f t="shared" si="12"/>
        <v>0</v>
      </c>
      <c r="P134" s="28"/>
    </row>
    <row r="135" spans="1:16" x14ac:dyDescent="0.25">
      <c r="A135" s="25">
        <f t="shared" si="13"/>
        <v>7.0014999999999965</v>
      </c>
      <c r="B135" s="25"/>
      <c r="C135" s="28" t="s">
        <v>50</v>
      </c>
      <c r="D135" s="28" t="s">
        <v>21</v>
      </c>
      <c r="E135" s="28" t="s">
        <v>51</v>
      </c>
      <c r="F135" s="28"/>
      <c r="G135" s="26"/>
      <c r="H135" s="28"/>
      <c r="I135" s="28"/>
      <c r="J135" s="16"/>
      <c r="K135" s="16">
        <f t="shared" si="12"/>
        <v>0</v>
      </c>
      <c r="L135" s="16">
        <f t="shared" si="12"/>
        <v>0</v>
      </c>
      <c r="M135" s="16">
        <f t="shared" si="12"/>
        <v>1</v>
      </c>
      <c r="N135" s="16">
        <f t="shared" si="12"/>
        <v>0</v>
      </c>
      <c r="O135" s="16">
        <f t="shared" si="12"/>
        <v>0</v>
      </c>
      <c r="P135" s="28"/>
    </row>
    <row r="136" spans="1:16" x14ac:dyDescent="0.25">
      <c r="A136" s="25">
        <f t="shared" si="13"/>
        <v>7.0015999999999963</v>
      </c>
      <c r="B136" s="25"/>
      <c r="C136" s="28" t="s">
        <v>37</v>
      </c>
      <c r="D136" s="28" t="s">
        <v>23</v>
      </c>
      <c r="E136" s="28" t="s">
        <v>32</v>
      </c>
      <c r="F136" s="28"/>
      <c r="G136" s="26"/>
      <c r="H136" s="28"/>
      <c r="I136" s="28"/>
      <c r="J136" s="16"/>
      <c r="K136" s="16">
        <f t="shared" si="12"/>
        <v>0</v>
      </c>
      <c r="L136" s="16">
        <f t="shared" si="12"/>
        <v>0</v>
      </c>
      <c r="M136" s="16">
        <f t="shared" si="12"/>
        <v>1</v>
      </c>
      <c r="N136" s="16">
        <f t="shared" si="12"/>
        <v>0</v>
      </c>
      <c r="O136" s="16">
        <f t="shared" si="12"/>
        <v>0</v>
      </c>
      <c r="P136" s="28"/>
    </row>
    <row r="137" spans="1:16" s="34" customFormat="1" x14ac:dyDescent="0.25">
      <c r="A137" s="35"/>
      <c r="B137" s="35"/>
      <c r="C137" s="36" t="s">
        <v>107</v>
      </c>
      <c r="D137" s="25"/>
      <c r="E137" s="31"/>
      <c r="F137" s="31"/>
      <c r="G137" s="32"/>
      <c r="H137" s="31"/>
      <c r="I137" s="31"/>
      <c r="J137" s="50"/>
      <c r="K137" s="16"/>
      <c r="L137" s="16"/>
      <c r="M137" s="16"/>
      <c r="N137" s="16"/>
      <c r="O137" s="16"/>
      <c r="P137" s="31"/>
    </row>
    <row r="138" spans="1:16" x14ac:dyDescent="0.25">
      <c r="A138" s="25">
        <f>A136+0.0001</f>
        <v>7.001699999999996</v>
      </c>
      <c r="B138" s="25"/>
      <c r="C138" s="28" t="s">
        <v>35</v>
      </c>
      <c r="D138" s="28" t="s">
        <v>21</v>
      </c>
      <c r="E138" s="28" t="s">
        <v>30</v>
      </c>
      <c r="F138" s="28"/>
      <c r="G138" s="26"/>
      <c r="H138" s="28"/>
      <c r="I138" s="28"/>
      <c r="J138" s="16"/>
      <c r="K138" s="16">
        <f t="shared" si="12"/>
        <v>0</v>
      </c>
      <c r="L138" s="16">
        <f t="shared" si="12"/>
        <v>0</v>
      </c>
      <c r="M138" s="16">
        <f t="shared" si="12"/>
        <v>1</v>
      </c>
      <c r="N138" s="16">
        <f t="shared" si="12"/>
        <v>0</v>
      </c>
      <c r="O138" s="16">
        <f t="shared" si="12"/>
        <v>0</v>
      </c>
      <c r="P138" s="28"/>
    </row>
    <row r="139" spans="1:16" x14ac:dyDescent="0.25">
      <c r="A139" s="25">
        <f t="shared" si="13"/>
        <v>7.0017999999999958</v>
      </c>
      <c r="B139" s="25"/>
      <c r="C139" s="28" t="s">
        <v>36</v>
      </c>
      <c r="D139" s="28" t="s">
        <v>23</v>
      </c>
      <c r="E139" s="28" t="s">
        <v>31</v>
      </c>
      <c r="F139" s="28"/>
      <c r="G139" s="26"/>
      <c r="H139" s="28"/>
      <c r="I139" s="28"/>
      <c r="J139" s="16"/>
      <c r="K139" s="16">
        <f t="shared" si="12"/>
        <v>0</v>
      </c>
      <c r="L139" s="16">
        <f t="shared" si="12"/>
        <v>0</v>
      </c>
      <c r="M139" s="16">
        <f t="shared" si="12"/>
        <v>1</v>
      </c>
      <c r="N139" s="16">
        <f t="shared" si="12"/>
        <v>0</v>
      </c>
      <c r="O139" s="16">
        <f t="shared" si="12"/>
        <v>0</v>
      </c>
      <c r="P139" s="28"/>
    </row>
    <row r="140" spans="1:16" x14ac:dyDescent="0.25">
      <c r="A140" s="25">
        <f t="shared" si="13"/>
        <v>7.0018999999999956</v>
      </c>
      <c r="B140" s="25"/>
      <c r="C140" s="28" t="s">
        <v>37</v>
      </c>
      <c r="D140" s="28" t="s">
        <v>21</v>
      </c>
      <c r="E140" s="28" t="s">
        <v>32</v>
      </c>
      <c r="F140" s="28"/>
      <c r="G140" s="26"/>
      <c r="H140" s="28"/>
      <c r="I140" s="28"/>
      <c r="J140" s="16"/>
      <c r="K140" s="16">
        <f t="shared" si="12"/>
        <v>0</v>
      </c>
      <c r="L140" s="16">
        <f t="shared" si="12"/>
        <v>0</v>
      </c>
      <c r="M140" s="16">
        <f t="shared" si="12"/>
        <v>1</v>
      </c>
      <c r="N140" s="16">
        <f t="shared" si="12"/>
        <v>0</v>
      </c>
      <c r="O140" s="16">
        <f t="shared" si="12"/>
        <v>0</v>
      </c>
      <c r="P140" s="28"/>
    </row>
    <row r="141" spans="1:16" x14ac:dyDescent="0.25">
      <c r="A141" s="25">
        <f t="shared" si="13"/>
        <v>7.0019999999999953</v>
      </c>
      <c r="B141" s="25"/>
      <c r="C141" s="28" t="s">
        <v>34</v>
      </c>
      <c r="D141" s="28" t="s">
        <v>23</v>
      </c>
      <c r="E141" s="28" t="s">
        <v>29</v>
      </c>
      <c r="F141" s="28"/>
      <c r="G141" s="26"/>
      <c r="H141" s="28"/>
      <c r="I141" s="28"/>
      <c r="J141" s="16"/>
      <c r="K141" s="16">
        <f t="shared" si="12"/>
        <v>0</v>
      </c>
      <c r="L141" s="16">
        <f t="shared" si="12"/>
        <v>0</v>
      </c>
      <c r="M141" s="16">
        <f t="shared" si="12"/>
        <v>1</v>
      </c>
      <c r="N141" s="16">
        <f t="shared" si="12"/>
        <v>0</v>
      </c>
      <c r="O141" s="16">
        <f t="shared" si="12"/>
        <v>0</v>
      </c>
      <c r="P141" s="28"/>
    </row>
    <row r="142" spans="1:16" s="13" customFormat="1" ht="15" customHeight="1" x14ac:dyDescent="0.25">
      <c r="A142" s="22">
        <v>8</v>
      </c>
      <c r="B142" s="59" t="s">
        <v>108</v>
      </c>
      <c r="C142" s="60"/>
      <c r="D142" s="23"/>
      <c r="E142" s="23"/>
      <c r="F142" s="23"/>
      <c r="G142" s="24"/>
      <c r="H142" s="23"/>
      <c r="I142" s="23"/>
      <c r="J142" s="49"/>
      <c r="K142" s="12"/>
      <c r="L142" s="12"/>
      <c r="M142" s="12"/>
      <c r="N142" s="12"/>
      <c r="O142" s="12"/>
      <c r="P142" s="23"/>
    </row>
    <row r="143" spans="1:16" s="34" customFormat="1" x14ac:dyDescent="0.25">
      <c r="A143" s="35"/>
      <c r="B143" s="35"/>
      <c r="C143" s="36" t="s">
        <v>109</v>
      </c>
      <c r="D143" s="25"/>
      <c r="E143" s="31"/>
      <c r="F143" s="31"/>
      <c r="G143" s="32"/>
      <c r="H143" s="31"/>
      <c r="I143" s="31"/>
      <c r="J143" s="50"/>
      <c r="K143" s="16"/>
      <c r="L143" s="16"/>
      <c r="M143" s="16"/>
      <c r="N143" s="16"/>
      <c r="O143" s="16"/>
      <c r="P143" s="31"/>
    </row>
    <row r="144" spans="1:16" x14ac:dyDescent="0.25">
      <c r="A144" s="25">
        <f>A142+0.0001</f>
        <v>8.0000999999999998</v>
      </c>
      <c r="B144" s="25"/>
      <c r="C144" s="28" t="s">
        <v>103</v>
      </c>
      <c r="D144" s="28" t="s">
        <v>21</v>
      </c>
      <c r="E144" s="28" t="s">
        <v>104</v>
      </c>
      <c r="F144" s="28"/>
      <c r="G144" s="26"/>
      <c r="H144" t="s">
        <v>114</v>
      </c>
      <c r="I144" s="28"/>
      <c r="J144" s="16"/>
      <c r="K144" s="16">
        <f t="shared" ref="K144:O151" si="14">IF($J144=K$1,1,0)</f>
        <v>0</v>
      </c>
      <c r="L144" s="16">
        <f t="shared" si="14"/>
        <v>0</v>
      </c>
      <c r="M144" s="16">
        <f t="shared" si="14"/>
        <v>1</v>
      </c>
      <c r="N144" s="16">
        <f t="shared" si="14"/>
        <v>0</v>
      </c>
      <c r="O144" s="16">
        <f t="shared" si="14"/>
        <v>0</v>
      </c>
      <c r="P144" s="28"/>
    </row>
    <row r="145" spans="1:16" x14ac:dyDescent="0.25">
      <c r="A145" s="25">
        <f t="shared" si="13"/>
        <v>8.0001999999999995</v>
      </c>
      <c r="B145" s="25"/>
      <c r="C145" s="28" t="s">
        <v>110</v>
      </c>
      <c r="D145" s="28" t="s">
        <v>23</v>
      </c>
      <c r="E145" s="28" t="s">
        <v>111</v>
      </c>
      <c r="F145" s="28"/>
      <c r="G145" s="26"/>
      <c r="H145" t="s">
        <v>115</v>
      </c>
      <c r="I145" s="28"/>
      <c r="J145" s="16"/>
      <c r="K145" s="16">
        <f t="shared" si="14"/>
        <v>0</v>
      </c>
      <c r="L145" s="16">
        <f t="shared" si="14"/>
        <v>0</v>
      </c>
      <c r="M145" s="16">
        <f t="shared" si="14"/>
        <v>1</v>
      </c>
      <c r="N145" s="16">
        <f t="shared" si="14"/>
        <v>0</v>
      </c>
      <c r="O145" s="16">
        <f t="shared" si="14"/>
        <v>0</v>
      </c>
      <c r="P145" s="28"/>
    </row>
    <row r="146" spans="1:16" x14ac:dyDescent="0.25">
      <c r="A146" s="25">
        <f t="shared" si="13"/>
        <v>8.0002999999999993</v>
      </c>
      <c r="B146" s="25"/>
      <c r="C146" s="28" t="s">
        <v>112</v>
      </c>
      <c r="D146" s="28" t="s">
        <v>21</v>
      </c>
      <c r="E146" s="28" t="s">
        <v>113</v>
      </c>
      <c r="F146" s="28"/>
      <c r="G146" s="26"/>
      <c r="H146" t="s">
        <v>116</v>
      </c>
      <c r="I146" s="28"/>
      <c r="J146" s="16"/>
      <c r="K146" s="16">
        <f t="shared" si="14"/>
        <v>0</v>
      </c>
      <c r="L146" s="16">
        <f t="shared" si="14"/>
        <v>0</v>
      </c>
      <c r="M146" s="16">
        <f t="shared" si="14"/>
        <v>1</v>
      </c>
      <c r="N146" s="16">
        <f t="shared" si="14"/>
        <v>0</v>
      </c>
      <c r="O146" s="16">
        <f t="shared" si="14"/>
        <v>0</v>
      </c>
      <c r="P146" s="28"/>
    </row>
    <row r="147" spans="1:16" x14ac:dyDescent="0.25">
      <c r="A147" s="25">
        <f t="shared" si="13"/>
        <v>8.0003999999999991</v>
      </c>
      <c r="B147" s="25"/>
      <c r="C147" s="28" t="s">
        <v>64</v>
      </c>
      <c r="D147" s="28" t="s">
        <v>23</v>
      </c>
      <c r="E147" s="28" t="s">
        <v>65</v>
      </c>
      <c r="F147" s="28"/>
      <c r="G147" s="26"/>
      <c r="H147" t="s">
        <v>115</v>
      </c>
      <c r="I147" s="28"/>
      <c r="J147" s="16"/>
      <c r="K147" s="16">
        <f t="shared" si="14"/>
        <v>0</v>
      </c>
      <c r="L147" s="16">
        <f t="shared" si="14"/>
        <v>0</v>
      </c>
      <c r="M147" s="16">
        <f t="shared" si="14"/>
        <v>1</v>
      </c>
      <c r="N147" s="16">
        <f t="shared" si="14"/>
        <v>0</v>
      </c>
      <c r="O147" s="16">
        <f t="shared" si="14"/>
        <v>0</v>
      </c>
      <c r="P147" s="28"/>
    </row>
    <row r="148" spans="1:16" x14ac:dyDescent="0.25">
      <c r="A148" s="25">
        <f t="shared" si="13"/>
        <v>8.0004999999999988</v>
      </c>
      <c r="B148" s="25"/>
      <c r="C148" s="28" t="s">
        <v>35</v>
      </c>
      <c r="D148" s="28" t="s">
        <v>21</v>
      </c>
      <c r="E148" s="28" t="s">
        <v>30</v>
      </c>
      <c r="F148" s="28"/>
      <c r="G148" s="26"/>
      <c r="H148" t="s">
        <v>114</v>
      </c>
      <c r="I148" s="28"/>
      <c r="J148" s="16"/>
      <c r="K148" s="16">
        <f t="shared" si="14"/>
        <v>0</v>
      </c>
      <c r="L148" s="16">
        <f t="shared" si="14"/>
        <v>0</v>
      </c>
      <c r="M148" s="16">
        <f t="shared" si="14"/>
        <v>1</v>
      </c>
      <c r="N148" s="16">
        <f t="shared" si="14"/>
        <v>0</v>
      </c>
      <c r="O148" s="16">
        <f t="shared" si="14"/>
        <v>0</v>
      </c>
      <c r="P148" s="28"/>
    </row>
    <row r="149" spans="1:16" x14ac:dyDescent="0.25">
      <c r="A149" s="25">
        <f t="shared" si="13"/>
        <v>8.0005999999999986</v>
      </c>
      <c r="B149" s="25"/>
      <c r="C149" s="28" t="s">
        <v>36</v>
      </c>
      <c r="D149" s="28" t="s">
        <v>23</v>
      </c>
      <c r="E149" s="28" t="s">
        <v>31</v>
      </c>
      <c r="F149" s="28"/>
      <c r="G149" s="26"/>
      <c r="H149" t="s">
        <v>115</v>
      </c>
      <c r="I149" s="28"/>
      <c r="J149" s="16"/>
      <c r="K149" s="16">
        <f t="shared" si="14"/>
        <v>0</v>
      </c>
      <c r="L149" s="16">
        <f t="shared" si="14"/>
        <v>0</v>
      </c>
      <c r="M149" s="16">
        <f t="shared" si="14"/>
        <v>1</v>
      </c>
      <c r="N149" s="16">
        <f t="shared" si="14"/>
        <v>0</v>
      </c>
      <c r="O149" s="16">
        <f t="shared" si="14"/>
        <v>0</v>
      </c>
      <c r="P149" s="28"/>
    </row>
    <row r="150" spans="1:16" x14ac:dyDescent="0.25">
      <c r="A150" s="25">
        <f t="shared" si="13"/>
        <v>8.0006999999999984</v>
      </c>
      <c r="B150" s="25"/>
      <c r="C150" s="28" t="s">
        <v>37</v>
      </c>
      <c r="D150" s="28" t="s">
        <v>21</v>
      </c>
      <c r="E150" s="28" t="s">
        <v>32</v>
      </c>
      <c r="F150" s="28"/>
      <c r="G150" s="26"/>
      <c r="H150" t="s">
        <v>117</v>
      </c>
      <c r="I150" s="28"/>
      <c r="J150" s="16"/>
      <c r="K150" s="16">
        <f t="shared" si="14"/>
        <v>0</v>
      </c>
      <c r="L150" s="16">
        <f t="shared" si="14"/>
        <v>0</v>
      </c>
      <c r="M150" s="16">
        <f t="shared" si="14"/>
        <v>1</v>
      </c>
      <c r="N150" s="16">
        <f t="shared" si="14"/>
        <v>0</v>
      </c>
      <c r="O150" s="16">
        <f t="shared" si="14"/>
        <v>0</v>
      </c>
      <c r="P150" s="28"/>
    </row>
    <row r="151" spans="1:16" x14ac:dyDescent="0.25">
      <c r="A151" s="25">
        <f t="shared" si="13"/>
        <v>8.0007999999999981</v>
      </c>
      <c r="B151" s="25"/>
      <c r="C151" s="28" t="s">
        <v>34</v>
      </c>
      <c r="D151" s="28" t="s">
        <v>23</v>
      </c>
      <c r="E151" s="28" t="s">
        <v>29</v>
      </c>
      <c r="F151" s="28"/>
      <c r="G151" s="26"/>
      <c r="H151" t="s">
        <v>115</v>
      </c>
      <c r="I151" s="28"/>
      <c r="J151" s="16"/>
      <c r="K151" s="16">
        <f t="shared" si="14"/>
        <v>0</v>
      </c>
      <c r="L151" s="16">
        <f t="shared" si="14"/>
        <v>0</v>
      </c>
      <c r="M151" s="16">
        <f t="shared" si="14"/>
        <v>1</v>
      </c>
      <c r="N151" s="16">
        <f t="shared" si="14"/>
        <v>0</v>
      </c>
      <c r="O151" s="16">
        <f t="shared" si="14"/>
        <v>0</v>
      </c>
      <c r="P151" s="28"/>
    </row>
    <row r="152" spans="1:16" s="13" customFormat="1" ht="15" customHeight="1" x14ac:dyDescent="0.25">
      <c r="A152" s="22">
        <v>9</v>
      </c>
      <c r="B152" s="59" t="s">
        <v>118</v>
      </c>
      <c r="C152" s="60"/>
      <c r="D152" s="23"/>
      <c r="E152" s="23"/>
      <c r="F152" s="23"/>
      <c r="G152" s="24"/>
      <c r="H152" s="23"/>
      <c r="I152" s="23"/>
      <c r="J152" s="49"/>
      <c r="K152" s="12"/>
      <c r="L152" s="12"/>
      <c r="M152" s="12"/>
      <c r="N152" s="12"/>
      <c r="O152" s="12"/>
      <c r="P152" s="23"/>
    </row>
    <row r="153" spans="1:16" s="34" customFormat="1" x14ac:dyDescent="0.25">
      <c r="A153" s="35"/>
      <c r="B153" s="35"/>
      <c r="C153" s="36" t="s">
        <v>119</v>
      </c>
      <c r="D153" s="25"/>
      <c r="E153" s="31"/>
      <c r="F153" s="31"/>
      <c r="G153" s="32"/>
      <c r="H153" s="31"/>
      <c r="I153" s="31"/>
      <c r="J153" s="50"/>
      <c r="K153" s="16"/>
      <c r="L153" s="16"/>
      <c r="M153" s="16"/>
      <c r="N153" s="16"/>
      <c r="O153" s="16"/>
      <c r="P153" s="31"/>
    </row>
    <row r="154" spans="1:16" x14ac:dyDescent="0.25">
      <c r="A154" s="25">
        <f>A152+0.0001</f>
        <v>9.0000999999999998</v>
      </c>
      <c r="B154" s="25"/>
      <c r="C154" s="28" t="s">
        <v>64</v>
      </c>
      <c r="D154" s="28" t="s">
        <v>21</v>
      </c>
      <c r="E154" s="28" t="s">
        <v>65</v>
      </c>
      <c r="F154" s="26" t="s">
        <v>292</v>
      </c>
      <c r="G154" s="26"/>
      <c r="H154" s="28" t="s">
        <v>120</v>
      </c>
      <c r="I154" s="28"/>
      <c r="J154" s="16" t="s">
        <v>8</v>
      </c>
      <c r="K154" s="16">
        <f t="shared" ref="K154:O189" si="15">IF($J154=K$1,1,0)</f>
        <v>0</v>
      </c>
      <c r="L154" s="16">
        <f t="shared" si="15"/>
        <v>0</v>
      </c>
      <c r="M154" s="16">
        <f t="shared" si="15"/>
        <v>0</v>
      </c>
      <c r="N154" s="16">
        <f t="shared" si="15"/>
        <v>0</v>
      </c>
      <c r="O154" s="16">
        <f t="shared" si="15"/>
        <v>1</v>
      </c>
      <c r="P154" s="28"/>
    </row>
    <row r="155" spans="1:16" x14ac:dyDescent="0.25">
      <c r="A155" s="25">
        <f t="shared" si="13"/>
        <v>9.0001999999999995</v>
      </c>
      <c r="B155" s="25"/>
      <c r="C155" s="28" t="s">
        <v>64</v>
      </c>
      <c r="D155" s="28" t="s">
        <v>23</v>
      </c>
      <c r="E155" s="28" t="s">
        <v>65</v>
      </c>
      <c r="F155" s="26" t="s">
        <v>292</v>
      </c>
      <c r="G155" s="26"/>
      <c r="H155" s="28" t="s">
        <v>121</v>
      </c>
      <c r="I155" s="28"/>
      <c r="J155" s="16" t="s">
        <v>8</v>
      </c>
      <c r="K155" s="16">
        <f t="shared" si="15"/>
        <v>0</v>
      </c>
      <c r="L155" s="16">
        <f t="shared" si="15"/>
        <v>0</v>
      </c>
      <c r="M155" s="16">
        <f t="shared" si="15"/>
        <v>0</v>
      </c>
      <c r="N155" s="16">
        <f t="shared" si="15"/>
        <v>0</v>
      </c>
      <c r="O155" s="16">
        <f t="shared" si="15"/>
        <v>1</v>
      </c>
      <c r="P155" s="28"/>
    </row>
    <row r="156" spans="1:16" s="13" customFormat="1" ht="15" customHeight="1" x14ac:dyDescent="0.25">
      <c r="A156" s="22">
        <v>10</v>
      </c>
      <c r="B156" s="59" t="s">
        <v>122</v>
      </c>
      <c r="C156" s="60"/>
      <c r="D156" s="23"/>
      <c r="E156" s="23"/>
      <c r="F156" s="23"/>
      <c r="G156" s="24"/>
      <c r="H156" s="23"/>
      <c r="I156" s="23"/>
      <c r="J156" s="49"/>
      <c r="K156" s="12"/>
      <c r="L156" s="12"/>
      <c r="M156" s="12"/>
      <c r="N156" s="12"/>
      <c r="O156" s="12"/>
      <c r="P156" s="23"/>
    </row>
    <row r="157" spans="1:16" s="34" customFormat="1" x14ac:dyDescent="0.25">
      <c r="A157" s="35"/>
      <c r="B157" s="35"/>
      <c r="C157" s="36" t="s">
        <v>123</v>
      </c>
      <c r="D157" s="25"/>
      <c r="E157" s="31"/>
      <c r="F157" s="31"/>
      <c r="G157" s="32"/>
      <c r="H157" s="31"/>
      <c r="I157" s="31"/>
      <c r="J157" s="50"/>
      <c r="K157" s="16"/>
      <c r="L157" s="16"/>
      <c r="M157" s="16"/>
      <c r="N157" s="16"/>
      <c r="O157" s="16"/>
      <c r="P157" s="31"/>
    </row>
    <row r="158" spans="1:16" x14ac:dyDescent="0.25">
      <c r="A158" s="25">
        <f>A156+0.0001</f>
        <v>10.0001</v>
      </c>
      <c r="B158" s="25"/>
      <c r="C158" s="28" t="s">
        <v>36</v>
      </c>
      <c r="D158" s="28" t="s">
        <v>21</v>
      </c>
      <c r="E158" s="28" t="s">
        <v>31</v>
      </c>
      <c r="F158" s="26" t="s">
        <v>292</v>
      </c>
      <c r="G158" s="26"/>
      <c r="H158" s="28"/>
      <c r="I158" s="28"/>
      <c r="J158" s="16" t="s">
        <v>8</v>
      </c>
      <c r="K158" s="16">
        <f t="shared" si="15"/>
        <v>0</v>
      </c>
      <c r="L158" s="16">
        <f t="shared" si="15"/>
        <v>0</v>
      </c>
      <c r="M158" s="16">
        <f t="shared" si="15"/>
        <v>0</v>
      </c>
      <c r="N158" s="16">
        <f t="shared" si="15"/>
        <v>0</v>
      </c>
      <c r="O158" s="16">
        <f t="shared" si="15"/>
        <v>1</v>
      </c>
      <c r="P158" s="28"/>
    </row>
    <row r="159" spans="1:16" x14ac:dyDescent="0.25">
      <c r="A159" s="25">
        <f t="shared" si="13"/>
        <v>10.0002</v>
      </c>
      <c r="B159" s="25"/>
      <c r="C159" s="28" t="s">
        <v>35</v>
      </c>
      <c r="D159" s="28" t="s">
        <v>23</v>
      </c>
      <c r="E159" s="28" t="s">
        <v>30</v>
      </c>
      <c r="F159" s="28"/>
      <c r="G159" s="26"/>
      <c r="H159" s="28"/>
      <c r="I159" s="28"/>
      <c r="J159" s="16" t="s">
        <v>8</v>
      </c>
      <c r="K159" s="16">
        <f t="shared" si="15"/>
        <v>0</v>
      </c>
      <c r="L159" s="16">
        <f t="shared" si="15"/>
        <v>0</v>
      </c>
      <c r="M159" s="16">
        <f t="shared" si="15"/>
        <v>0</v>
      </c>
      <c r="N159" s="16">
        <f t="shared" si="15"/>
        <v>0</v>
      </c>
      <c r="O159" s="16">
        <f t="shared" si="15"/>
        <v>1</v>
      </c>
      <c r="P159" s="28"/>
    </row>
    <row r="160" spans="1:16" s="34" customFormat="1" x14ac:dyDescent="0.25">
      <c r="A160" s="35"/>
      <c r="B160" s="35"/>
      <c r="C160" s="36" t="s">
        <v>124</v>
      </c>
      <c r="D160" s="25"/>
      <c r="E160" s="31"/>
      <c r="F160" s="31"/>
      <c r="G160" s="32"/>
      <c r="H160" s="31"/>
      <c r="I160" s="31"/>
      <c r="J160" s="50"/>
      <c r="K160" s="16"/>
      <c r="L160" s="16"/>
      <c r="M160" s="16"/>
      <c r="N160" s="16"/>
      <c r="O160" s="16"/>
      <c r="P160" s="31"/>
    </row>
    <row r="161" spans="1:16" x14ac:dyDescent="0.25">
      <c r="A161" s="25">
        <f>A159+0.0001</f>
        <v>10.000299999999999</v>
      </c>
      <c r="B161" s="25"/>
      <c r="C161" s="28" t="s">
        <v>35</v>
      </c>
      <c r="D161" s="28" t="s">
        <v>21</v>
      </c>
      <c r="E161" s="28" t="s">
        <v>30</v>
      </c>
      <c r="F161" s="26" t="s">
        <v>292</v>
      </c>
      <c r="G161" s="26"/>
      <c r="H161" s="28"/>
      <c r="I161" s="28"/>
      <c r="J161" s="16" t="s">
        <v>8</v>
      </c>
      <c r="K161" s="16">
        <f t="shared" si="15"/>
        <v>0</v>
      </c>
      <c r="L161" s="16">
        <f t="shared" si="15"/>
        <v>0</v>
      </c>
      <c r="M161" s="16">
        <f t="shared" si="15"/>
        <v>0</v>
      </c>
      <c r="N161" s="16">
        <f t="shared" si="15"/>
        <v>0</v>
      </c>
      <c r="O161" s="16">
        <f t="shared" si="15"/>
        <v>1</v>
      </c>
      <c r="P161" s="28"/>
    </row>
    <row r="162" spans="1:16" x14ac:dyDescent="0.25">
      <c r="A162" s="25">
        <f t="shared" ref="A162" si="16">A161+0.0001</f>
        <v>10.000399999999999</v>
      </c>
      <c r="B162" s="25"/>
      <c r="C162" s="28" t="s">
        <v>36</v>
      </c>
      <c r="D162" s="28" t="s">
        <v>23</v>
      </c>
      <c r="E162" s="28" t="s">
        <v>31</v>
      </c>
      <c r="F162" s="28"/>
      <c r="G162" s="26"/>
      <c r="H162" s="28"/>
      <c r="I162" s="28"/>
      <c r="J162" s="16" t="s">
        <v>8</v>
      </c>
      <c r="K162" s="16">
        <f t="shared" si="15"/>
        <v>0</v>
      </c>
      <c r="L162" s="16">
        <f t="shared" si="15"/>
        <v>0</v>
      </c>
      <c r="M162" s="16">
        <f t="shared" si="15"/>
        <v>0</v>
      </c>
      <c r="N162" s="16">
        <f t="shared" si="15"/>
        <v>0</v>
      </c>
      <c r="O162" s="16">
        <f t="shared" si="15"/>
        <v>1</v>
      </c>
      <c r="P162" s="28"/>
    </row>
    <row r="163" spans="1:16" s="34" customFormat="1" x14ac:dyDescent="0.25">
      <c r="A163" s="35"/>
      <c r="B163" s="35"/>
      <c r="C163" s="36" t="s">
        <v>125</v>
      </c>
      <c r="D163" s="25"/>
      <c r="E163" s="31"/>
      <c r="F163" s="31"/>
      <c r="G163" s="32"/>
      <c r="H163" s="31"/>
      <c r="I163" s="31"/>
      <c r="J163" s="50"/>
      <c r="K163" s="16"/>
      <c r="L163" s="16"/>
      <c r="M163" s="16"/>
      <c r="N163" s="16"/>
      <c r="O163" s="16"/>
      <c r="P163" s="31"/>
    </row>
    <row r="164" spans="1:16" x14ac:dyDescent="0.25">
      <c r="A164" s="25">
        <f>A162+0.0001</f>
        <v>10.000499999999999</v>
      </c>
      <c r="B164" s="25"/>
      <c r="C164" s="28" t="s">
        <v>45</v>
      </c>
      <c r="D164" s="28" t="s">
        <v>21</v>
      </c>
      <c r="E164" s="28" t="s">
        <v>49</v>
      </c>
      <c r="F164" s="26" t="s">
        <v>292</v>
      </c>
      <c r="G164" s="26"/>
      <c r="H164" s="28" t="s">
        <v>126</v>
      </c>
      <c r="I164" s="28"/>
      <c r="J164" s="16" t="s">
        <v>8</v>
      </c>
      <c r="K164" s="16">
        <f t="shared" si="15"/>
        <v>0</v>
      </c>
      <c r="L164" s="16">
        <f t="shared" si="15"/>
        <v>0</v>
      </c>
      <c r="M164" s="16">
        <f t="shared" si="15"/>
        <v>0</v>
      </c>
      <c r="N164" s="16">
        <f t="shared" si="15"/>
        <v>0</v>
      </c>
      <c r="O164" s="16">
        <f t="shared" si="15"/>
        <v>1</v>
      </c>
      <c r="P164" s="28"/>
    </row>
    <row r="165" spans="1:16" x14ac:dyDescent="0.25">
      <c r="A165" s="25">
        <f t="shared" ref="A165" si="17">A164+0.0001</f>
        <v>10.000599999999999</v>
      </c>
      <c r="B165" s="25"/>
      <c r="C165" s="28" t="s">
        <v>45</v>
      </c>
      <c r="D165" s="28" t="s">
        <v>23</v>
      </c>
      <c r="E165" s="28" t="s">
        <v>49</v>
      </c>
      <c r="F165" s="28"/>
      <c r="G165" s="26"/>
      <c r="H165" s="28" t="s">
        <v>127</v>
      </c>
      <c r="I165" s="28"/>
      <c r="J165" s="16" t="s">
        <v>8</v>
      </c>
      <c r="K165" s="16">
        <f t="shared" si="15"/>
        <v>0</v>
      </c>
      <c r="L165" s="16">
        <f t="shared" si="15"/>
        <v>0</v>
      </c>
      <c r="M165" s="16">
        <f t="shared" si="15"/>
        <v>0</v>
      </c>
      <c r="N165" s="16">
        <f t="shared" si="15"/>
        <v>0</v>
      </c>
      <c r="O165" s="16">
        <f t="shared" si="15"/>
        <v>1</v>
      </c>
      <c r="P165" s="28"/>
    </row>
    <row r="166" spans="1:16" s="34" customFormat="1" x14ac:dyDescent="0.25">
      <c r="A166" s="35"/>
      <c r="B166" s="35"/>
      <c r="C166" s="36" t="s">
        <v>128</v>
      </c>
      <c r="D166" s="25"/>
      <c r="E166" s="31"/>
      <c r="F166" s="31"/>
      <c r="G166" s="32"/>
      <c r="H166" s="31"/>
      <c r="I166" s="31"/>
      <c r="J166" s="50"/>
      <c r="K166" s="16"/>
      <c r="L166" s="16"/>
      <c r="M166" s="16"/>
      <c r="N166" s="16"/>
      <c r="O166" s="16"/>
      <c r="P166" s="31"/>
    </row>
    <row r="167" spans="1:16" x14ac:dyDescent="0.25">
      <c r="A167" s="25">
        <f>A165+0.0001</f>
        <v>10.000699999999998</v>
      </c>
      <c r="B167" s="25"/>
      <c r="C167" s="28" t="s">
        <v>64</v>
      </c>
      <c r="D167" s="28" t="s">
        <v>21</v>
      </c>
      <c r="E167" s="28" t="s">
        <v>65</v>
      </c>
      <c r="F167" s="26" t="s">
        <v>292</v>
      </c>
      <c r="G167" s="26"/>
      <c r="H167" s="28" t="s">
        <v>126</v>
      </c>
      <c r="I167" s="28"/>
      <c r="J167" s="16" t="s">
        <v>8</v>
      </c>
      <c r="K167" s="16">
        <f t="shared" si="15"/>
        <v>0</v>
      </c>
      <c r="L167" s="16">
        <f t="shared" si="15"/>
        <v>0</v>
      </c>
      <c r="M167" s="16">
        <f t="shared" si="15"/>
        <v>0</v>
      </c>
      <c r="N167" s="16">
        <f t="shared" si="15"/>
        <v>0</v>
      </c>
      <c r="O167" s="16">
        <f t="shared" si="15"/>
        <v>1</v>
      </c>
      <c r="P167" s="28"/>
    </row>
    <row r="168" spans="1:16" x14ac:dyDescent="0.25">
      <c r="A168" s="25">
        <f t="shared" ref="A168" si="18">A166+0.0001</f>
        <v>1E-4</v>
      </c>
      <c r="B168" s="25"/>
      <c r="C168" s="28" t="s">
        <v>64</v>
      </c>
      <c r="D168" s="28" t="s">
        <v>23</v>
      </c>
      <c r="E168" s="28" t="s">
        <v>65</v>
      </c>
      <c r="F168" s="28"/>
      <c r="G168" s="26"/>
      <c r="H168" s="28" t="s">
        <v>127</v>
      </c>
      <c r="I168" s="28"/>
      <c r="J168" s="16" t="s">
        <v>8</v>
      </c>
      <c r="K168" s="16">
        <f t="shared" si="15"/>
        <v>0</v>
      </c>
      <c r="L168" s="16">
        <f t="shared" si="15"/>
        <v>0</v>
      </c>
      <c r="M168" s="16">
        <f t="shared" si="15"/>
        <v>0</v>
      </c>
      <c r="N168" s="16">
        <f t="shared" si="15"/>
        <v>0</v>
      </c>
      <c r="O168" s="16">
        <f t="shared" si="15"/>
        <v>1</v>
      </c>
      <c r="P168" s="28"/>
    </row>
    <row r="169" spans="1:16" x14ac:dyDescent="0.25">
      <c r="A169" s="25"/>
      <c r="B169" s="25"/>
      <c r="C169" s="28"/>
      <c r="D169" s="28"/>
      <c r="E169" s="28"/>
      <c r="F169" s="28"/>
      <c r="G169" s="26"/>
      <c r="H169" s="28"/>
      <c r="I169" s="28"/>
      <c r="J169" s="16"/>
      <c r="K169" s="16"/>
      <c r="L169" s="16"/>
      <c r="M169" s="16"/>
      <c r="N169" s="16"/>
      <c r="O169" s="16"/>
      <c r="P169" s="28"/>
    </row>
    <row r="170" spans="1:16" x14ac:dyDescent="0.25">
      <c r="A170" s="25"/>
      <c r="B170" s="25"/>
      <c r="C170" s="36" t="s">
        <v>289</v>
      </c>
      <c r="D170" s="28"/>
      <c r="E170" s="28"/>
      <c r="F170" s="28"/>
      <c r="G170" s="26"/>
      <c r="H170" s="28"/>
      <c r="I170" s="28"/>
      <c r="J170" s="16"/>
      <c r="K170" s="16"/>
      <c r="L170" s="16"/>
      <c r="M170" s="16"/>
      <c r="N170" s="16"/>
      <c r="O170" s="16"/>
      <c r="P170" s="28"/>
    </row>
    <row r="171" spans="1:16" x14ac:dyDescent="0.25">
      <c r="A171" s="25"/>
      <c r="B171" s="25"/>
      <c r="C171" s="51"/>
      <c r="D171" s="28"/>
      <c r="E171" s="28" t="s">
        <v>32</v>
      </c>
      <c r="F171" s="28"/>
      <c r="G171" s="26"/>
      <c r="H171" s="28"/>
      <c r="I171" s="28"/>
      <c r="J171" s="16"/>
      <c r="K171" s="16">
        <f t="shared" si="15"/>
        <v>0</v>
      </c>
      <c r="L171" s="16">
        <f t="shared" si="15"/>
        <v>0</v>
      </c>
      <c r="M171" s="16">
        <f t="shared" si="15"/>
        <v>1</v>
      </c>
      <c r="N171" s="16">
        <f t="shared" si="15"/>
        <v>0</v>
      </c>
      <c r="O171" s="16">
        <f t="shared" si="15"/>
        <v>0</v>
      </c>
      <c r="P171" s="28"/>
    </row>
    <row r="172" spans="1:16" x14ac:dyDescent="0.25">
      <c r="A172" s="25"/>
      <c r="B172" s="25"/>
      <c r="C172" s="51"/>
      <c r="D172" s="28"/>
      <c r="E172" s="28" t="s">
        <v>284</v>
      </c>
      <c r="F172" s="28"/>
      <c r="G172" s="26"/>
      <c r="H172" s="28"/>
      <c r="I172" s="28"/>
      <c r="J172" s="16"/>
      <c r="K172" s="16">
        <f t="shared" si="15"/>
        <v>0</v>
      </c>
      <c r="L172" s="16">
        <f t="shared" si="15"/>
        <v>0</v>
      </c>
      <c r="M172" s="16">
        <f t="shared" si="15"/>
        <v>1</v>
      </c>
      <c r="N172" s="16">
        <f t="shared" si="15"/>
        <v>0</v>
      </c>
      <c r="O172" s="16">
        <f t="shared" si="15"/>
        <v>0</v>
      </c>
      <c r="P172" s="28"/>
    </row>
    <row r="173" spans="1:16" x14ac:dyDescent="0.25">
      <c r="A173" s="25"/>
      <c r="B173" s="25"/>
      <c r="C173" s="51"/>
      <c r="D173" s="28"/>
      <c r="E173" s="28" t="s">
        <v>285</v>
      </c>
      <c r="F173" s="28"/>
      <c r="G173" s="26"/>
      <c r="H173" s="28"/>
      <c r="I173" s="28"/>
      <c r="J173" s="16"/>
      <c r="K173" s="16">
        <f t="shared" si="15"/>
        <v>0</v>
      </c>
      <c r="L173" s="16">
        <f t="shared" si="15"/>
        <v>0</v>
      </c>
      <c r="M173" s="16">
        <f t="shared" si="15"/>
        <v>1</v>
      </c>
      <c r="N173" s="16">
        <f t="shared" si="15"/>
        <v>0</v>
      </c>
      <c r="O173" s="16">
        <f t="shared" si="15"/>
        <v>0</v>
      </c>
      <c r="P173" s="28"/>
    </row>
    <row r="174" spans="1:16" x14ac:dyDescent="0.25">
      <c r="A174" s="25"/>
      <c r="B174" s="25"/>
      <c r="C174" s="51"/>
      <c r="D174" s="28"/>
      <c r="E174" s="28" t="s">
        <v>104</v>
      </c>
      <c r="F174" s="28"/>
      <c r="G174" s="26"/>
      <c r="H174" s="28"/>
      <c r="I174" s="28"/>
      <c r="J174" s="16"/>
      <c r="K174" s="16">
        <f t="shared" si="15"/>
        <v>0</v>
      </c>
      <c r="L174" s="16">
        <f t="shared" si="15"/>
        <v>0</v>
      </c>
      <c r="M174" s="16">
        <f t="shared" si="15"/>
        <v>1</v>
      </c>
      <c r="N174" s="16">
        <f t="shared" si="15"/>
        <v>0</v>
      </c>
      <c r="O174" s="16">
        <f t="shared" si="15"/>
        <v>0</v>
      </c>
      <c r="P174" s="28"/>
    </row>
    <row r="175" spans="1:16" x14ac:dyDescent="0.25">
      <c r="A175" s="25"/>
      <c r="B175" s="25"/>
      <c r="C175" s="51"/>
      <c r="D175" s="28"/>
      <c r="E175" s="28" t="s">
        <v>286</v>
      </c>
      <c r="F175" s="28"/>
      <c r="G175" s="26"/>
      <c r="H175" s="28"/>
      <c r="I175" s="28"/>
      <c r="J175" s="16"/>
      <c r="K175" s="16">
        <f t="shared" si="15"/>
        <v>0</v>
      </c>
      <c r="L175" s="16">
        <f t="shared" si="15"/>
        <v>0</v>
      </c>
      <c r="M175" s="16">
        <f t="shared" si="15"/>
        <v>1</v>
      </c>
      <c r="N175" s="16">
        <f t="shared" si="15"/>
        <v>0</v>
      </c>
      <c r="O175" s="16">
        <f t="shared" si="15"/>
        <v>0</v>
      </c>
      <c r="P175" s="28"/>
    </row>
    <row r="176" spans="1:16" x14ac:dyDescent="0.25">
      <c r="A176" s="25"/>
      <c r="B176" s="25"/>
      <c r="C176" s="51"/>
      <c r="D176" s="28"/>
      <c r="E176" s="28" t="s">
        <v>30</v>
      </c>
      <c r="F176" s="28"/>
      <c r="G176" s="26"/>
      <c r="H176" s="28"/>
      <c r="I176" s="28"/>
      <c r="J176" s="16"/>
      <c r="K176" s="16">
        <f t="shared" si="15"/>
        <v>0</v>
      </c>
      <c r="L176" s="16">
        <f t="shared" si="15"/>
        <v>0</v>
      </c>
      <c r="M176" s="16">
        <f t="shared" si="15"/>
        <v>1</v>
      </c>
      <c r="N176" s="16">
        <f t="shared" si="15"/>
        <v>0</v>
      </c>
      <c r="O176" s="16">
        <f t="shared" si="15"/>
        <v>0</v>
      </c>
      <c r="P176" s="28"/>
    </row>
    <row r="177" spans="1:16" x14ac:dyDescent="0.25">
      <c r="A177" s="25"/>
      <c r="B177" s="25"/>
      <c r="C177" s="51"/>
      <c r="D177" s="28"/>
      <c r="E177" s="28" t="s">
        <v>31</v>
      </c>
      <c r="F177" s="28"/>
      <c r="G177" s="26"/>
      <c r="H177" s="28"/>
      <c r="I177" s="28"/>
      <c r="J177" s="16"/>
      <c r="K177" s="16">
        <f t="shared" si="15"/>
        <v>0</v>
      </c>
      <c r="L177" s="16">
        <f t="shared" si="15"/>
        <v>0</v>
      </c>
      <c r="M177" s="16">
        <f t="shared" si="15"/>
        <v>1</v>
      </c>
      <c r="N177" s="16">
        <f t="shared" si="15"/>
        <v>0</v>
      </c>
      <c r="O177" s="16">
        <f t="shared" si="15"/>
        <v>0</v>
      </c>
      <c r="P177" s="28"/>
    </row>
    <row r="178" spans="1:16" x14ac:dyDescent="0.25">
      <c r="A178" s="25"/>
      <c r="B178" s="25"/>
      <c r="C178" s="51"/>
      <c r="D178" s="28"/>
      <c r="E178" s="28" t="s">
        <v>111</v>
      </c>
      <c r="F178" s="28"/>
      <c r="G178" s="26"/>
      <c r="H178" s="28"/>
      <c r="I178" s="28"/>
      <c r="J178" s="16"/>
      <c r="K178" s="16">
        <f t="shared" si="15"/>
        <v>0</v>
      </c>
      <c r="L178" s="16">
        <f t="shared" si="15"/>
        <v>0</v>
      </c>
      <c r="M178" s="16">
        <f t="shared" si="15"/>
        <v>1</v>
      </c>
      <c r="N178" s="16">
        <f t="shared" si="15"/>
        <v>0</v>
      </c>
      <c r="O178" s="16">
        <f t="shared" si="15"/>
        <v>0</v>
      </c>
      <c r="P178" s="28"/>
    </row>
    <row r="179" spans="1:16" x14ac:dyDescent="0.25">
      <c r="A179" s="25"/>
      <c r="B179" s="25"/>
      <c r="C179" s="51"/>
      <c r="D179" s="28"/>
      <c r="E179" s="28" t="s">
        <v>32</v>
      </c>
      <c r="F179" s="28"/>
      <c r="G179" s="26"/>
      <c r="H179" s="28"/>
      <c r="I179" s="28"/>
      <c r="J179" s="16"/>
      <c r="K179" s="16">
        <f t="shared" si="15"/>
        <v>0</v>
      </c>
      <c r="L179" s="16">
        <f t="shared" si="15"/>
        <v>0</v>
      </c>
      <c r="M179" s="16">
        <f t="shared" si="15"/>
        <v>1</v>
      </c>
      <c r="N179" s="16">
        <f t="shared" si="15"/>
        <v>0</v>
      </c>
      <c r="O179" s="16">
        <f t="shared" si="15"/>
        <v>0</v>
      </c>
      <c r="P179" s="28"/>
    </row>
    <row r="180" spans="1:16" x14ac:dyDescent="0.25">
      <c r="A180" s="25"/>
      <c r="B180" s="25"/>
      <c r="C180" s="36" t="s">
        <v>290</v>
      </c>
      <c r="D180" s="28"/>
      <c r="E180" s="28"/>
      <c r="F180" s="28"/>
      <c r="G180" s="26"/>
      <c r="H180" s="28"/>
      <c r="I180" s="28"/>
      <c r="J180" s="16"/>
      <c r="K180" s="16"/>
      <c r="L180" s="16"/>
      <c r="M180" s="16"/>
      <c r="N180" s="16"/>
      <c r="O180" s="16"/>
      <c r="P180" s="28"/>
    </row>
    <row r="181" spans="1:16" x14ac:dyDescent="0.25">
      <c r="A181" s="25"/>
      <c r="B181" s="25"/>
      <c r="C181" s="51"/>
      <c r="D181" s="28"/>
      <c r="E181" s="28" t="s">
        <v>32</v>
      </c>
      <c r="F181" s="28"/>
      <c r="G181" s="26"/>
      <c r="H181" s="28"/>
      <c r="I181" s="28"/>
      <c r="J181" s="16"/>
      <c r="K181" s="16">
        <f t="shared" si="15"/>
        <v>0</v>
      </c>
      <c r="L181" s="16">
        <f t="shared" si="15"/>
        <v>0</v>
      </c>
      <c r="M181" s="16">
        <f t="shared" si="15"/>
        <v>1</v>
      </c>
      <c r="N181" s="16">
        <f t="shared" si="15"/>
        <v>0</v>
      </c>
      <c r="O181" s="16">
        <f t="shared" si="15"/>
        <v>0</v>
      </c>
      <c r="P181" s="28"/>
    </row>
    <row r="182" spans="1:16" x14ac:dyDescent="0.25">
      <c r="A182" s="25"/>
      <c r="B182" s="25"/>
      <c r="C182" s="28"/>
      <c r="D182" s="28"/>
      <c r="E182" s="28" t="s">
        <v>284</v>
      </c>
      <c r="F182" s="28"/>
      <c r="G182" s="26"/>
      <c r="H182" s="28"/>
      <c r="I182" s="28"/>
      <c r="J182" s="16"/>
      <c r="K182" s="16">
        <f t="shared" si="15"/>
        <v>0</v>
      </c>
      <c r="L182" s="16">
        <f t="shared" si="15"/>
        <v>0</v>
      </c>
      <c r="M182" s="16">
        <f t="shared" si="15"/>
        <v>1</v>
      </c>
      <c r="N182" s="16">
        <f t="shared" si="15"/>
        <v>0</v>
      </c>
      <c r="O182" s="16">
        <f t="shared" si="15"/>
        <v>0</v>
      </c>
      <c r="P182" s="28"/>
    </row>
    <row r="183" spans="1:16" x14ac:dyDescent="0.25">
      <c r="A183" s="25"/>
      <c r="B183" s="25"/>
      <c r="C183" s="28"/>
      <c r="D183" s="28"/>
      <c r="E183" s="28" t="s">
        <v>285</v>
      </c>
      <c r="F183" s="28"/>
      <c r="G183" s="26"/>
      <c r="H183" s="28"/>
      <c r="I183" s="28"/>
      <c r="J183" s="16"/>
      <c r="K183" s="16">
        <f t="shared" si="15"/>
        <v>0</v>
      </c>
      <c r="L183" s="16">
        <f t="shared" si="15"/>
        <v>0</v>
      </c>
      <c r="M183" s="16">
        <f t="shared" si="15"/>
        <v>1</v>
      </c>
      <c r="N183" s="16">
        <f t="shared" si="15"/>
        <v>0</v>
      </c>
      <c r="O183" s="16">
        <f t="shared" si="15"/>
        <v>0</v>
      </c>
      <c r="P183" s="28"/>
    </row>
    <row r="184" spans="1:16" x14ac:dyDescent="0.25">
      <c r="A184" s="25"/>
      <c r="B184" s="25"/>
      <c r="C184" s="28"/>
      <c r="D184" s="28"/>
      <c r="E184" s="28" t="s">
        <v>104</v>
      </c>
      <c r="F184" s="28"/>
      <c r="G184" s="26"/>
      <c r="H184" s="28"/>
      <c r="I184" s="28"/>
      <c r="J184" s="16"/>
      <c r="K184" s="16">
        <f t="shared" si="15"/>
        <v>0</v>
      </c>
      <c r="L184" s="16">
        <f t="shared" si="15"/>
        <v>0</v>
      </c>
      <c r="M184" s="16">
        <f t="shared" si="15"/>
        <v>1</v>
      </c>
      <c r="N184" s="16">
        <f t="shared" si="15"/>
        <v>0</v>
      </c>
      <c r="O184" s="16">
        <f t="shared" si="15"/>
        <v>0</v>
      </c>
      <c r="P184" s="28"/>
    </row>
    <row r="185" spans="1:16" x14ac:dyDescent="0.25">
      <c r="A185" s="25"/>
      <c r="B185" s="25"/>
      <c r="C185" s="28"/>
      <c r="D185" s="28"/>
      <c r="E185" s="28" t="s">
        <v>286</v>
      </c>
      <c r="F185" s="28"/>
      <c r="G185" s="26"/>
      <c r="H185" s="28"/>
      <c r="I185" s="28"/>
      <c r="J185" s="16"/>
      <c r="K185" s="16">
        <f t="shared" si="15"/>
        <v>0</v>
      </c>
      <c r="L185" s="16">
        <f t="shared" si="15"/>
        <v>0</v>
      </c>
      <c r="M185" s="16">
        <f t="shared" si="15"/>
        <v>1</v>
      </c>
      <c r="N185" s="16">
        <f t="shared" si="15"/>
        <v>0</v>
      </c>
      <c r="O185" s="16">
        <f t="shared" si="15"/>
        <v>0</v>
      </c>
      <c r="P185" s="28"/>
    </row>
    <row r="186" spans="1:16" x14ac:dyDescent="0.25">
      <c r="A186" s="25"/>
      <c r="B186" s="25"/>
      <c r="C186" s="28"/>
      <c r="D186" s="28"/>
      <c r="E186" s="28" t="s">
        <v>30</v>
      </c>
      <c r="F186" s="28"/>
      <c r="G186" s="26"/>
      <c r="H186" s="28"/>
      <c r="I186" s="28"/>
      <c r="J186" s="16"/>
      <c r="K186" s="16">
        <f t="shared" si="15"/>
        <v>0</v>
      </c>
      <c r="L186" s="16">
        <f t="shared" si="15"/>
        <v>0</v>
      </c>
      <c r="M186" s="16">
        <f t="shared" si="15"/>
        <v>1</v>
      </c>
      <c r="N186" s="16">
        <f t="shared" si="15"/>
        <v>0</v>
      </c>
      <c r="O186" s="16">
        <f t="shared" si="15"/>
        <v>0</v>
      </c>
      <c r="P186" s="28"/>
    </row>
    <row r="187" spans="1:16" x14ac:dyDescent="0.25">
      <c r="A187" s="25"/>
      <c r="B187" s="25"/>
      <c r="C187" s="28"/>
      <c r="D187" s="28"/>
      <c r="E187" s="28" t="s">
        <v>31</v>
      </c>
      <c r="F187" s="28"/>
      <c r="G187" s="26"/>
      <c r="H187" s="28"/>
      <c r="I187" s="28"/>
      <c r="J187" s="16"/>
      <c r="K187" s="16">
        <f t="shared" si="15"/>
        <v>0</v>
      </c>
      <c r="L187" s="16">
        <f t="shared" si="15"/>
        <v>0</v>
      </c>
      <c r="M187" s="16">
        <f t="shared" si="15"/>
        <v>1</v>
      </c>
      <c r="N187" s="16">
        <f t="shared" si="15"/>
        <v>0</v>
      </c>
      <c r="O187" s="16">
        <f t="shared" si="15"/>
        <v>0</v>
      </c>
      <c r="P187" s="28"/>
    </row>
    <row r="188" spans="1:16" x14ac:dyDescent="0.25">
      <c r="A188" s="25"/>
      <c r="B188" s="25"/>
      <c r="C188" s="28"/>
      <c r="D188" s="28"/>
      <c r="E188" s="28" t="s">
        <v>111</v>
      </c>
      <c r="F188" s="28"/>
      <c r="G188" s="26"/>
      <c r="H188" s="28"/>
      <c r="I188" s="28"/>
      <c r="J188" s="16"/>
      <c r="K188" s="16">
        <f t="shared" si="15"/>
        <v>0</v>
      </c>
      <c r="L188" s="16">
        <f t="shared" si="15"/>
        <v>0</v>
      </c>
      <c r="M188" s="16">
        <f t="shared" si="15"/>
        <v>1</v>
      </c>
      <c r="N188" s="16">
        <f t="shared" si="15"/>
        <v>0</v>
      </c>
      <c r="O188" s="16">
        <f t="shared" si="15"/>
        <v>0</v>
      </c>
      <c r="P188" s="28"/>
    </row>
    <row r="189" spans="1:16" ht="15.75" customHeight="1" x14ac:dyDescent="0.25">
      <c r="A189" s="25"/>
      <c r="B189" s="25"/>
      <c r="C189" s="28"/>
      <c r="D189" s="28"/>
      <c r="E189" s="28" t="s">
        <v>32</v>
      </c>
      <c r="F189" s="28"/>
      <c r="G189" s="26"/>
      <c r="H189" s="28"/>
      <c r="I189" s="28"/>
      <c r="J189" s="16"/>
      <c r="K189" s="16">
        <f t="shared" si="15"/>
        <v>0</v>
      </c>
      <c r="L189" s="16">
        <f t="shared" si="15"/>
        <v>0</v>
      </c>
      <c r="M189" s="16">
        <f t="shared" si="15"/>
        <v>1</v>
      </c>
      <c r="N189" s="16">
        <f t="shared" si="15"/>
        <v>0</v>
      </c>
      <c r="O189" s="16">
        <f t="shared" si="15"/>
        <v>0</v>
      </c>
      <c r="P189" s="28"/>
    </row>
    <row r="190" spans="1:16" x14ac:dyDescent="0.25">
      <c r="A190" s="25"/>
      <c r="B190" s="25"/>
      <c r="C190" s="28"/>
      <c r="D190" s="28"/>
      <c r="E190" s="28"/>
      <c r="F190" s="28"/>
      <c r="G190" s="26"/>
      <c r="H190" s="28"/>
      <c r="I190" s="28"/>
      <c r="J190" s="16"/>
      <c r="K190" s="16"/>
      <c r="L190" s="16"/>
      <c r="M190" s="16"/>
      <c r="N190" s="16"/>
      <c r="O190" s="16"/>
      <c r="P190" s="28"/>
    </row>
    <row r="191" spans="1:16" ht="15.75" thickBot="1" x14ac:dyDescent="0.3">
      <c r="E191" s="28"/>
      <c r="K191" s="2">
        <f>SUM(K2:K190)</f>
        <v>0</v>
      </c>
      <c r="L191" s="2">
        <f>SUM(L2:L190)</f>
        <v>0</v>
      </c>
      <c r="M191" s="2">
        <f>SUM(M2:M190)</f>
        <v>117</v>
      </c>
      <c r="N191" s="2">
        <f>SUM(N2:N190)</f>
        <v>4</v>
      </c>
      <c r="O191" s="2">
        <f>SUM(O2:O190)</f>
        <v>28</v>
      </c>
    </row>
    <row r="192" spans="1:16" ht="15.75" thickTop="1" x14ac:dyDescent="0.25"/>
    <row r="193" spans="11:15" x14ac:dyDescent="0.25">
      <c r="K193" s="16">
        <f t="shared" ref="K193:O193" si="19">IF($J193=K$1,1,0)</f>
        <v>0</v>
      </c>
      <c r="L193" s="16">
        <f t="shared" si="19"/>
        <v>0</v>
      </c>
      <c r="M193" s="16">
        <f t="shared" si="19"/>
        <v>1</v>
      </c>
      <c r="N193" s="16">
        <f t="shared" si="19"/>
        <v>0</v>
      </c>
      <c r="O193" s="16">
        <f t="shared" si="19"/>
        <v>0</v>
      </c>
    </row>
  </sheetData>
  <mergeCells count="8">
    <mergeCell ref="B152:C152"/>
    <mergeCell ref="B156:C156"/>
    <mergeCell ref="B29:C29"/>
    <mergeCell ref="B7:C7"/>
    <mergeCell ref="B69:C69"/>
    <mergeCell ref="B99:C99"/>
    <mergeCell ref="B117:C117"/>
    <mergeCell ref="B142:C142"/>
  </mergeCells>
  <conditionalFormatting sqref="P4:P6 A5:I6 A9:I13 A17:I17 A4:O4 D14:I14 C16:I16 A19:I21 A18:B18 E18:I18 A192:O210 A2:P2 K5:O6 P10:P11 A191:D191 F191:O191 A3:I3 K3:P3 A23:J28">
    <cfRule type="expression" dxfId="367" priority="680">
      <formula>$J2="Fail"</formula>
    </cfRule>
  </conditionalFormatting>
  <conditionalFormatting sqref="P191:P210">
    <cfRule type="expression" dxfId="366" priority="365">
      <formula>$J191="Fail"</formula>
    </cfRule>
  </conditionalFormatting>
  <conditionalFormatting sqref="C15:D15">
    <cfRule type="expression" dxfId="365" priority="349">
      <formula>$J15="Fail"</formula>
    </cfRule>
  </conditionalFormatting>
  <conditionalFormatting sqref="A8:B8 E8:J8 P8">
    <cfRule type="expression" dxfId="364" priority="348">
      <formula>$J8="Fail"</formula>
    </cfRule>
  </conditionalFormatting>
  <conditionalFormatting sqref="P23:P28">
    <cfRule type="expression" dxfId="363" priority="362">
      <formula>$J23="Fail"</formula>
    </cfRule>
  </conditionalFormatting>
  <conditionalFormatting sqref="P12:P14">
    <cfRule type="expression" dxfId="362" priority="361">
      <formula>$J12="Fail"</formula>
    </cfRule>
  </conditionalFormatting>
  <conditionalFormatting sqref="P16:P21">
    <cfRule type="expression" dxfId="361" priority="360">
      <formula>$J16="Fail"</formula>
    </cfRule>
  </conditionalFormatting>
  <conditionalFormatting sqref="P9">
    <cfRule type="expression" dxfId="360" priority="359">
      <formula>$J9="Fail"</formula>
    </cfRule>
  </conditionalFormatting>
  <conditionalFormatting sqref="A7:B7 D7:P7">
    <cfRule type="expression" dxfId="359" priority="357">
      <formula>$J7="Fail"</formula>
    </cfRule>
  </conditionalFormatting>
  <conditionalFormatting sqref="A15:B15 E15:J15 P15">
    <cfRule type="expression" dxfId="358" priority="356">
      <formula>$J15="Fail"</formula>
    </cfRule>
  </conditionalFormatting>
  <conditionalFormatting sqref="C34:C38">
    <cfRule type="expression" dxfId="357" priority="313">
      <formula>$J34="Fail"</formula>
    </cfRule>
  </conditionalFormatting>
  <conditionalFormatting sqref="A39:B39 E39:F39 H39:J39 P39">
    <cfRule type="expression" dxfId="356" priority="337">
      <formula>$J39="Fail"</formula>
    </cfRule>
  </conditionalFormatting>
  <conditionalFormatting sqref="C14">
    <cfRule type="expression" dxfId="355" priority="353">
      <formula>$J14="Fail"</formula>
    </cfRule>
  </conditionalFormatting>
  <conditionalFormatting sqref="A14:B14">
    <cfRule type="expression" dxfId="354" priority="352">
      <formula>$J14="Fail"</formula>
    </cfRule>
  </conditionalFormatting>
  <conditionalFormatting sqref="A16:B16">
    <cfRule type="expression" dxfId="353" priority="351">
      <formula>$J16="Fail"</formula>
    </cfRule>
  </conditionalFormatting>
  <conditionalFormatting sqref="C18:D18">
    <cfRule type="expression" dxfId="352" priority="350">
      <formula>$J18="Fail"</formula>
    </cfRule>
  </conditionalFormatting>
  <conditionalFormatting sqref="C22:D22">
    <cfRule type="expression" dxfId="351" priority="345">
      <formula>$J22="Fail"</formula>
    </cfRule>
  </conditionalFormatting>
  <conditionalFormatting sqref="A29 D29:P29">
    <cfRule type="expression" dxfId="350" priority="344">
      <formula>$J29="Fail"</formula>
    </cfRule>
  </conditionalFormatting>
  <conditionalFormatting sqref="C8:D8">
    <cfRule type="expression" dxfId="349" priority="347">
      <formula>$J8="Fail"</formula>
    </cfRule>
  </conditionalFormatting>
  <conditionalFormatting sqref="A22:B22 E22:J22 P22">
    <cfRule type="expression" dxfId="348" priority="346">
      <formula>$J22="Fail"</formula>
    </cfRule>
  </conditionalFormatting>
  <conditionalFormatting sqref="P37">
    <cfRule type="expression" dxfId="347" priority="322">
      <formula>$J37="Fail"</formula>
    </cfRule>
  </conditionalFormatting>
  <conditionalFormatting sqref="B37">
    <cfRule type="expression" dxfId="346" priority="320">
      <formula>$J37="Fail"</formula>
    </cfRule>
  </conditionalFormatting>
  <conditionalFormatting sqref="B29">
    <cfRule type="expression" dxfId="345" priority="343">
      <formula>$J29="Fail"</formula>
    </cfRule>
  </conditionalFormatting>
  <conditionalFormatting sqref="C32:I33 D34:I35 A31:I31 A32:B32 A49:J49 D36:F36 H36:I36 B113:I113 B51:I53 B33:B35 A33:A38 A51:A56 P32:P33 A50:I50">
    <cfRule type="expression" dxfId="344" priority="342">
      <formula>$J31="Fail"</formula>
    </cfRule>
  </conditionalFormatting>
  <conditionalFormatting sqref="P49:P53 P113">
    <cfRule type="expression" dxfId="343" priority="341">
      <formula>$J49="Fail"</formula>
    </cfRule>
  </conditionalFormatting>
  <conditionalFormatting sqref="P34:P36">
    <cfRule type="expression" dxfId="342" priority="340">
      <formula>$J34="Fail"</formula>
    </cfRule>
  </conditionalFormatting>
  <conditionalFormatting sqref="D38:F38 I38">
    <cfRule type="expression" dxfId="341" priority="327">
      <formula>$J38="Fail"</formula>
    </cfRule>
  </conditionalFormatting>
  <conditionalFormatting sqref="P31">
    <cfRule type="expression" dxfId="340" priority="338">
      <formula>$J31="Fail"</formula>
    </cfRule>
  </conditionalFormatting>
  <conditionalFormatting sqref="D47:F47 I47:J47">
    <cfRule type="expression" dxfId="339" priority="308">
      <formula>$J47="Fail"</formula>
    </cfRule>
  </conditionalFormatting>
  <conditionalFormatting sqref="C39:D39">
    <cfRule type="expression" dxfId="338" priority="332">
      <formula>$J39="Fail"</formula>
    </cfRule>
  </conditionalFormatting>
  <conditionalFormatting sqref="B36">
    <cfRule type="expression" dxfId="337" priority="335">
      <formula>$J36="Fail"</formula>
    </cfRule>
  </conditionalFormatting>
  <conditionalFormatting sqref="B45">
    <cfRule type="expression" dxfId="336" priority="309">
      <formula>$J45="Fail"</formula>
    </cfRule>
  </conditionalFormatting>
  <conditionalFormatting sqref="G36:G39">
    <cfRule type="expression" dxfId="335" priority="314">
      <formula>$J36="Fail"</formula>
    </cfRule>
  </conditionalFormatting>
  <conditionalFormatting sqref="P46">
    <cfRule type="expression" dxfId="334" priority="304">
      <formula>$J46="Fail"</formula>
    </cfRule>
  </conditionalFormatting>
  <conditionalFormatting sqref="A30:B30 E30:I30 P30">
    <cfRule type="expression" dxfId="333" priority="331">
      <formula>$J30="Fail"</formula>
    </cfRule>
  </conditionalFormatting>
  <conditionalFormatting sqref="C30:D30">
    <cfRule type="expression" dxfId="332" priority="330">
      <formula>$J30="Fail"</formula>
    </cfRule>
  </conditionalFormatting>
  <conditionalFormatting sqref="A48:B48 E48:J48 P48">
    <cfRule type="expression" dxfId="331" priority="329">
      <formula>$J48="Fail"</formula>
    </cfRule>
  </conditionalFormatting>
  <conditionalFormatting sqref="C48:D48">
    <cfRule type="expression" dxfId="330" priority="328">
      <formula>$J48="Fail"</formula>
    </cfRule>
  </conditionalFormatting>
  <conditionalFormatting sqref="H37:H38">
    <cfRule type="expression" dxfId="329" priority="319">
      <formula>$J37="Fail"</formula>
    </cfRule>
  </conditionalFormatting>
  <conditionalFormatting sqref="D37:F37 I37">
    <cfRule type="expression" dxfId="328" priority="323">
      <formula>$J37="Fail"</formula>
    </cfRule>
  </conditionalFormatting>
  <conditionalFormatting sqref="P38">
    <cfRule type="expression" dxfId="327" priority="326">
      <formula>$J38="Fail"</formula>
    </cfRule>
  </conditionalFormatting>
  <conditionalFormatting sqref="B38">
    <cfRule type="expression" dxfId="326" priority="324">
      <formula>$J38="Fail"</formula>
    </cfRule>
  </conditionalFormatting>
  <conditionalFormatting sqref="C43:C47">
    <cfRule type="expression" dxfId="325" priority="300">
      <formula>$J43="Fail"</formula>
    </cfRule>
  </conditionalFormatting>
  <conditionalFormatting sqref="P43:P45">
    <cfRule type="expression" dxfId="324" priority="311">
      <formula>$J43="Fail"</formula>
    </cfRule>
  </conditionalFormatting>
  <conditionalFormatting sqref="D46:F46 I46">
    <cfRule type="expression" dxfId="323" priority="305">
      <formula>$J46="Fail"</formula>
    </cfRule>
  </conditionalFormatting>
  <conditionalFormatting sqref="P55">
    <cfRule type="expression" dxfId="322" priority="292">
      <formula>$J55="Fail"</formula>
    </cfRule>
  </conditionalFormatting>
  <conditionalFormatting sqref="B47">
    <cfRule type="expression" dxfId="321" priority="306">
      <formula>$J47="Fail"</formula>
    </cfRule>
  </conditionalFormatting>
  <conditionalFormatting sqref="A62:B62 E62:J62 P62">
    <cfRule type="expression" dxfId="320" priority="255">
      <formula>$J62="Fail"</formula>
    </cfRule>
  </conditionalFormatting>
  <conditionalFormatting sqref="H46:H47">
    <cfRule type="expression" dxfId="319" priority="302">
      <formula>$J46="Fail"</formula>
    </cfRule>
  </conditionalFormatting>
  <conditionalFormatting sqref="H55:H56">
    <cfRule type="expression" dxfId="318" priority="290">
      <formula>$J55="Fail"</formula>
    </cfRule>
  </conditionalFormatting>
  <conditionalFormatting sqref="B79:I81 B84:I84 B83:E83 G83:I83">
    <cfRule type="expression" dxfId="317" priority="269">
      <formula>$J79="Fail"</formula>
    </cfRule>
  </conditionalFormatting>
  <conditionalFormatting sqref="G45:G47">
    <cfRule type="expression" dxfId="316" priority="301">
      <formula>$J45="Fail"</formula>
    </cfRule>
  </conditionalFormatting>
  <conditionalFormatting sqref="P79:P81 P83:P84">
    <cfRule type="expression" dxfId="315" priority="268">
      <formula>$J79="Fail"</formula>
    </cfRule>
  </conditionalFormatting>
  <conditionalFormatting sqref="C41:I42 D43:I44 A40:J40 A41:B41 D45:F45 H45:I45 B42:B44 A42:A47 P41:P42">
    <cfRule type="expression" dxfId="314" priority="312">
      <formula>$J40="Fail"</formula>
    </cfRule>
  </conditionalFormatting>
  <conditionalFormatting sqref="P92">
    <cfRule type="expression" dxfId="313" priority="274">
      <formula>$J92="Fail"</formula>
    </cfRule>
  </conditionalFormatting>
  <conditionalFormatting sqref="P40">
    <cfRule type="expression" dxfId="312" priority="310">
      <formula>$J40="Fail"</formula>
    </cfRule>
  </conditionalFormatting>
  <conditionalFormatting sqref="B54">
    <cfRule type="expression" dxfId="311" priority="297">
      <formula>$J54="Fail"</formula>
    </cfRule>
  </conditionalFormatting>
  <conditionalFormatting sqref="C54:C56">
    <cfRule type="expression" dxfId="310" priority="288">
      <formula>$J54="Fail"</formula>
    </cfRule>
  </conditionalFormatting>
  <conditionalFormatting sqref="P108:P112">
    <cfRule type="expression" dxfId="309" priority="286">
      <formula>$J108="Fail"</formula>
    </cfRule>
  </conditionalFormatting>
  <conditionalFormatting sqref="D56:E56 I56:J56">
    <cfRule type="expression" dxfId="308" priority="296">
      <formula>$J56="Fail"</formula>
    </cfRule>
  </conditionalFormatting>
  <conditionalFormatting sqref="P47">
    <cfRule type="expression" dxfId="307" priority="307">
      <formula>$J47="Fail"</formula>
    </cfRule>
  </conditionalFormatting>
  <conditionalFormatting sqref="B56">
    <cfRule type="expression" dxfId="306" priority="294">
      <formula>$J56="Fail"</formula>
    </cfRule>
  </conditionalFormatting>
  <conditionalFormatting sqref="D55:F55 I55">
    <cfRule type="expression" dxfId="305" priority="293">
      <formula>$J55="Fail"</formula>
    </cfRule>
  </conditionalFormatting>
  <conditionalFormatting sqref="B46">
    <cfRule type="expression" dxfId="304" priority="303">
      <formula>$J46="Fail"</formula>
    </cfRule>
  </conditionalFormatting>
  <conditionalFormatting sqref="G54:G56">
    <cfRule type="expression" dxfId="303" priority="289">
      <formula>$J54="Fail"</formula>
    </cfRule>
  </conditionalFormatting>
  <conditionalFormatting sqref="A75:B75 E75:J75 P75">
    <cfRule type="expression" dxfId="302" priority="248">
      <formula>$J75="Fail"</formula>
    </cfRule>
  </conditionalFormatting>
  <conditionalFormatting sqref="P101:P105">
    <cfRule type="expression" dxfId="301" priority="280">
      <formula>$J101="Fail"</formula>
    </cfRule>
  </conditionalFormatting>
  <conditionalFormatting sqref="C57:D57">
    <cfRule type="expression" dxfId="300" priority="284">
      <formula>$J57="Fail"</formula>
    </cfRule>
  </conditionalFormatting>
  <conditionalFormatting sqref="P58:P61 P63">
    <cfRule type="expression" dxfId="299" priority="256">
      <formula>$J58="Fail"</formula>
    </cfRule>
  </conditionalFormatting>
  <conditionalFormatting sqref="P86 P88:P91">
    <cfRule type="expression" dxfId="298" priority="272">
      <formula>$J86="Fail"</formula>
    </cfRule>
  </conditionalFormatting>
  <conditionalFormatting sqref="P106">
    <cfRule type="expression" dxfId="297" priority="282">
      <formula>$J106="Fail"</formula>
    </cfRule>
  </conditionalFormatting>
  <conditionalFormatting sqref="A57:B57 E57:J57 P57">
    <cfRule type="expression" dxfId="296" priority="285">
      <formula>$J57="Fail"</formula>
    </cfRule>
  </conditionalFormatting>
  <conditionalFormatting sqref="D54:F54 H54:I54">
    <cfRule type="expression" dxfId="295" priority="299">
      <formula>$J54="Fail"</formula>
    </cfRule>
  </conditionalFormatting>
  <conditionalFormatting sqref="P54">
    <cfRule type="expression" dxfId="294" priority="298">
      <formula>$J54="Fail"</formula>
    </cfRule>
  </conditionalFormatting>
  <conditionalFormatting sqref="P56">
    <cfRule type="expression" dxfId="293" priority="295">
      <formula>$J56="Fail"</formula>
    </cfRule>
  </conditionalFormatting>
  <conditionalFormatting sqref="B101:J101 B102:I105">
    <cfRule type="expression" dxfId="292" priority="281">
      <formula>$J101="Fail"</formula>
    </cfRule>
  </conditionalFormatting>
  <conditionalFormatting sqref="B55">
    <cfRule type="expression" dxfId="291" priority="291">
      <formula>$J55="Fail"</formula>
    </cfRule>
  </conditionalFormatting>
  <conditionalFormatting sqref="P93 P95:P98">
    <cfRule type="expression" dxfId="290" priority="276">
      <formula>$J93="Fail"</formula>
    </cfRule>
  </conditionalFormatting>
  <conditionalFormatting sqref="B108:J108 B109:I112">
    <cfRule type="expression" dxfId="289" priority="287">
      <formula>$J108="Fail"</formula>
    </cfRule>
  </conditionalFormatting>
  <conditionalFormatting sqref="B78:I78">
    <cfRule type="expression" dxfId="288" priority="267">
      <formula>$J78="Fail"</formula>
    </cfRule>
  </conditionalFormatting>
  <conditionalFormatting sqref="B99">
    <cfRule type="expression" dxfId="287" priority="239">
      <formula>$J99="Fail"</formula>
    </cfRule>
  </conditionalFormatting>
  <conditionalFormatting sqref="A87:B87 E87:J87 P87">
    <cfRule type="expression" dxfId="286" priority="244">
      <formula>$J87="Fail"</formula>
    </cfRule>
  </conditionalFormatting>
  <conditionalFormatting sqref="B106:I106">
    <cfRule type="expression" dxfId="285" priority="283">
      <formula>$J106="Fail"</formula>
    </cfRule>
  </conditionalFormatting>
  <conditionalFormatting sqref="C100:D100">
    <cfRule type="expression" dxfId="284" priority="237">
      <formula>$J100="Fail"</formula>
    </cfRule>
  </conditionalFormatting>
  <conditionalFormatting sqref="C87:D87">
    <cfRule type="expression" dxfId="283" priority="243">
      <formula>$J87="Fail"</formula>
    </cfRule>
  </conditionalFormatting>
  <conditionalFormatting sqref="B86:I86 B88:E88 B89:I91 G88:J88">
    <cfRule type="expression" dxfId="282" priority="273">
      <formula>$J86="Fail"</formula>
    </cfRule>
  </conditionalFormatting>
  <conditionalFormatting sqref="P78">
    <cfRule type="expression" dxfId="281" priority="266">
      <formula>$J78="Fail"</formula>
    </cfRule>
  </conditionalFormatting>
  <conditionalFormatting sqref="C94:D94">
    <cfRule type="expression" dxfId="280" priority="241">
      <formula>$J94="Fail"</formula>
    </cfRule>
  </conditionalFormatting>
  <conditionalFormatting sqref="B115:E116 G115:J116">
    <cfRule type="expression" dxfId="279" priority="232">
      <formula>$J115="Fail"</formula>
    </cfRule>
  </conditionalFormatting>
  <conditionalFormatting sqref="A115:A116">
    <cfRule type="expression" dxfId="278" priority="230">
      <formula>$J115="Fail"</formula>
    </cfRule>
  </conditionalFormatting>
  <conditionalFormatting sqref="B93:I93 B96:I98 B95:E95 G95:I95">
    <cfRule type="expression" dxfId="277" priority="277">
      <formula>$J93="Fail"</formula>
    </cfRule>
  </conditionalFormatting>
  <conditionalFormatting sqref="A107:B107 E107:J107 P107">
    <cfRule type="expression" dxfId="276" priority="236">
      <formula>$J107="Fail"</formula>
    </cfRule>
  </conditionalFormatting>
  <conditionalFormatting sqref="B92:I92">
    <cfRule type="expression" dxfId="275" priority="275">
      <formula>$J92="Fail"</formula>
    </cfRule>
  </conditionalFormatting>
  <conditionalFormatting sqref="B72:I74 B76:I77">
    <cfRule type="expression" dxfId="274" priority="265">
      <formula>$J72="Fail"</formula>
    </cfRule>
  </conditionalFormatting>
  <conditionalFormatting sqref="B85:I85">
    <cfRule type="expression" dxfId="273" priority="271">
      <formula>$J85="Fail"</formula>
    </cfRule>
  </conditionalFormatting>
  <conditionalFormatting sqref="P85">
    <cfRule type="expression" dxfId="272" priority="270">
      <formula>$J85="Fail"</formula>
    </cfRule>
  </conditionalFormatting>
  <conditionalFormatting sqref="B65:I68">
    <cfRule type="expression" dxfId="271" priority="261">
      <formula>$J65="Fail"</formula>
    </cfRule>
  </conditionalFormatting>
  <conditionalFormatting sqref="P72:P74 P76:P77">
    <cfRule type="expression" dxfId="270" priority="264">
      <formula>$J72="Fail"</formula>
    </cfRule>
  </conditionalFormatting>
  <conditionalFormatting sqref="P71">
    <cfRule type="expression" dxfId="269" priority="262">
      <formula>$J71="Fail"</formula>
    </cfRule>
  </conditionalFormatting>
  <conditionalFormatting sqref="B69">
    <cfRule type="expression" dxfId="268" priority="251">
      <formula>$J69="Fail"</formula>
    </cfRule>
  </conditionalFormatting>
  <conditionalFormatting sqref="P65:P68">
    <cfRule type="expression" dxfId="267" priority="260">
      <formula>$J65="Fail"</formula>
    </cfRule>
  </conditionalFormatting>
  <conditionalFormatting sqref="A70:B70 E70:J70 P70">
    <cfRule type="expression" dxfId="266" priority="250">
      <formula>$J70="Fail"</formula>
    </cfRule>
  </conditionalFormatting>
  <conditionalFormatting sqref="A58:I61 A63:J63">
    <cfRule type="expression" dxfId="265" priority="257">
      <formula>$J58="Fail"</formula>
    </cfRule>
  </conditionalFormatting>
  <conditionalFormatting sqref="P64">
    <cfRule type="expression" dxfId="264" priority="258">
      <formula>$J64="Fail"</formula>
    </cfRule>
  </conditionalFormatting>
  <conditionalFormatting sqref="A69 D69:P69">
    <cfRule type="expression" dxfId="263" priority="252">
      <formula>$J69="Fail"</formula>
    </cfRule>
  </conditionalFormatting>
  <conditionalFormatting sqref="C75:D75">
    <cfRule type="expression" dxfId="262" priority="247">
      <formula>$J75="Fail"</formula>
    </cfRule>
  </conditionalFormatting>
  <conditionalFormatting sqref="B71:I71">
    <cfRule type="expression" dxfId="261" priority="263">
      <formula>$J71="Fail"</formula>
    </cfRule>
  </conditionalFormatting>
  <conditionalFormatting sqref="A82:B82 E82:J82 P82">
    <cfRule type="expression" dxfId="260" priority="246">
      <formula>$J82="Fail"</formula>
    </cfRule>
  </conditionalFormatting>
  <conditionalFormatting sqref="B64:I64">
    <cfRule type="expression" dxfId="259" priority="259">
      <formula>$J64="Fail"</formula>
    </cfRule>
  </conditionalFormatting>
  <conditionalFormatting sqref="C70:D70">
    <cfRule type="expression" dxfId="258" priority="249">
      <formula>$J70="Fail"</formula>
    </cfRule>
  </conditionalFormatting>
  <conditionalFormatting sqref="C62:D62">
    <cfRule type="expression" dxfId="257" priority="254">
      <formula>$J62="Fail"</formula>
    </cfRule>
  </conditionalFormatting>
  <conditionalFormatting sqref="B158:E158 G158:J158">
    <cfRule type="expression" dxfId="256" priority="220">
      <formula>$J158="Fail"</formula>
    </cfRule>
  </conditionalFormatting>
  <conditionalFormatting sqref="A64:A68 A71:A74 A76:A81 A83:A86 A88:A93 A95:A98 A101:A106 A108:A113">
    <cfRule type="expression" dxfId="255" priority="253">
      <formula>$J64="Fail"</formula>
    </cfRule>
  </conditionalFormatting>
  <conditionalFormatting sqref="P127:P128">
    <cfRule type="expression" dxfId="254" priority="169">
      <formula>$J127="Fail"</formula>
    </cfRule>
  </conditionalFormatting>
  <conditionalFormatting sqref="P115:P116">
    <cfRule type="expression" dxfId="253" priority="231">
      <formula>$J115="Fail"</formula>
    </cfRule>
  </conditionalFormatting>
  <conditionalFormatting sqref="P159">
    <cfRule type="expression" dxfId="252" priority="221">
      <formula>$J159="Fail"</formula>
    </cfRule>
  </conditionalFormatting>
  <conditionalFormatting sqref="B126:I126">
    <cfRule type="expression" dxfId="251" priority="167">
      <formula>$J126="Fail"</formula>
    </cfRule>
  </conditionalFormatting>
  <conditionalFormatting sqref="P154:P155">
    <cfRule type="expression" dxfId="250" priority="214">
      <formula>$J154="Fail"</formula>
    </cfRule>
  </conditionalFormatting>
  <conditionalFormatting sqref="P141">
    <cfRule type="expression" dxfId="249" priority="191">
      <formula>$J141="Fail"</formula>
    </cfRule>
  </conditionalFormatting>
  <conditionalFormatting sqref="C82:D82">
    <cfRule type="expression" dxfId="248" priority="245">
      <formula>$J82="Fail"</formula>
    </cfRule>
  </conditionalFormatting>
  <conditionalFormatting sqref="P123">
    <cfRule type="expression" dxfId="247" priority="161">
      <formula>$J123="Fail"</formula>
    </cfRule>
  </conditionalFormatting>
  <conditionalFormatting sqref="B159:J159">
    <cfRule type="expression" dxfId="246" priority="222">
      <formula>$J159="Fail"</formula>
    </cfRule>
  </conditionalFormatting>
  <conditionalFormatting sqref="P148:P149">
    <cfRule type="expression" dxfId="245" priority="204">
      <formula>$J148="Fail"</formula>
    </cfRule>
  </conditionalFormatting>
  <conditionalFormatting sqref="A94:B94 E94:J94 P94">
    <cfRule type="expression" dxfId="244" priority="242">
      <formula>$J94="Fail"</formula>
    </cfRule>
  </conditionalFormatting>
  <conditionalFormatting sqref="A99 D99:P99">
    <cfRule type="expression" dxfId="243" priority="240">
      <formula>$J99="Fail"</formula>
    </cfRule>
  </conditionalFormatting>
  <conditionalFormatting sqref="P124">
    <cfRule type="expression" dxfId="242" priority="164">
      <formula>$J124="Fail"</formula>
    </cfRule>
  </conditionalFormatting>
  <conditionalFormatting sqref="B154:E155 G154:J155">
    <cfRule type="expression" dxfId="241" priority="215">
      <formula>$J154="Fail"</formula>
    </cfRule>
  </conditionalFormatting>
  <conditionalFormatting sqref="A100:B100 E100:J100 P100">
    <cfRule type="expression" dxfId="240" priority="238">
      <formula>$J100="Fail"</formula>
    </cfRule>
  </conditionalFormatting>
  <conditionalFormatting sqref="C107:D107">
    <cfRule type="expression" dxfId="239" priority="235">
      <formula>$J107="Fail"</formula>
    </cfRule>
  </conditionalFormatting>
  <conditionalFormatting sqref="A114:B114 E114:J114 P114">
    <cfRule type="expression" dxfId="238" priority="229">
      <formula>$J114="Fail"</formula>
    </cfRule>
  </conditionalFormatting>
  <conditionalFormatting sqref="B117">
    <cfRule type="expression" dxfId="237" priority="150">
      <formula>$J117="Fail"</formula>
    </cfRule>
  </conditionalFormatting>
  <conditionalFormatting sqref="P150">
    <cfRule type="expression" dxfId="236" priority="206">
      <formula>$J150="Fail"</formula>
    </cfRule>
  </conditionalFormatting>
  <conditionalFormatting sqref="P158">
    <cfRule type="expression" dxfId="235" priority="219">
      <formula>$J158="Fail"</formula>
    </cfRule>
  </conditionalFormatting>
  <conditionalFormatting sqref="C114:D114">
    <cfRule type="expression" dxfId="234" priority="228">
      <formula>$J114="Fail"</formula>
    </cfRule>
  </conditionalFormatting>
  <conditionalFormatting sqref="B136:I136">
    <cfRule type="expression" dxfId="233" priority="185">
      <formula>$J136="Fail"</formula>
    </cfRule>
  </conditionalFormatting>
  <conditionalFormatting sqref="P147">
    <cfRule type="expression" dxfId="232" priority="201">
      <formula>$J147="Fail"</formula>
    </cfRule>
  </conditionalFormatting>
  <conditionalFormatting sqref="B144:J144">
    <cfRule type="expression" dxfId="231" priority="197">
      <formula>$J144="Fail"</formula>
    </cfRule>
  </conditionalFormatting>
  <conditionalFormatting sqref="A117 D117:P117">
    <cfRule type="expression" dxfId="230" priority="151">
      <formula>$J117="Fail"</formula>
    </cfRule>
  </conditionalFormatting>
  <conditionalFormatting sqref="P120">
    <cfRule type="expression" dxfId="229" priority="156">
      <formula>$J120="Fail"</formula>
    </cfRule>
  </conditionalFormatting>
  <conditionalFormatting sqref="P144">
    <cfRule type="expression" dxfId="228" priority="196">
      <formula>$J144="Fail"</formula>
    </cfRule>
  </conditionalFormatting>
  <conditionalFormatting sqref="P145:P146">
    <cfRule type="expression" dxfId="227" priority="199">
      <formula>$J145="Fail"</formula>
    </cfRule>
  </conditionalFormatting>
  <conditionalFormatting sqref="B147:I147">
    <cfRule type="expression" dxfId="226" priority="202">
      <formula>$J147="Fail"</formula>
    </cfRule>
  </conditionalFormatting>
  <conditionalFormatting sqref="C153:D153">
    <cfRule type="expression" dxfId="225" priority="134">
      <formula>$J153="Fail"</formula>
    </cfRule>
  </conditionalFormatting>
  <conditionalFormatting sqref="B156">
    <cfRule type="expression" dxfId="224" priority="132">
      <formula>$J156="Fail"</formula>
    </cfRule>
  </conditionalFormatting>
  <conditionalFormatting sqref="B127:I128">
    <cfRule type="expression" dxfId="223" priority="170">
      <formula>$J127="Fail"</formula>
    </cfRule>
  </conditionalFormatting>
  <conditionalFormatting sqref="P136">
    <cfRule type="expression" dxfId="222" priority="184">
      <formula>$J136="Fail"</formula>
    </cfRule>
  </conditionalFormatting>
  <conditionalFormatting sqref="A137:B137 E137:J137 P137">
    <cfRule type="expression" dxfId="221" priority="143">
      <formula>$J137="Fail"</formula>
    </cfRule>
  </conditionalFormatting>
  <conditionalFormatting sqref="B148:I149">
    <cfRule type="expression" dxfId="220" priority="205">
      <formula>$J148="Fail"</formula>
    </cfRule>
  </conditionalFormatting>
  <conditionalFormatting sqref="B151:I151">
    <cfRule type="expression" dxfId="219" priority="210">
      <formula>$J151="Fail"</formula>
    </cfRule>
  </conditionalFormatting>
  <conditionalFormatting sqref="P138">
    <cfRule type="expression" dxfId="218" priority="186">
      <formula>$J138="Fail"</formula>
    </cfRule>
  </conditionalFormatting>
  <conditionalFormatting sqref="P135">
    <cfRule type="expression" dxfId="217" priority="181">
      <formula>$J135="Fail"</formula>
    </cfRule>
  </conditionalFormatting>
  <conditionalFormatting sqref="B135:I135">
    <cfRule type="expression" dxfId="216" priority="182">
      <formula>$J135="Fail"</formula>
    </cfRule>
  </conditionalFormatting>
  <conditionalFormatting sqref="P151">
    <cfRule type="expression" dxfId="215" priority="209">
      <formula>$J151="Fail"</formula>
    </cfRule>
  </conditionalFormatting>
  <conditionalFormatting sqref="A143:B143 E143:J143 P143">
    <cfRule type="expression" dxfId="214" priority="139">
      <formula>$J143="Fail"</formula>
    </cfRule>
  </conditionalFormatting>
  <conditionalFormatting sqref="B150:I150">
    <cfRule type="expression" dxfId="213" priority="207">
      <formula>$J150="Fail"</formula>
    </cfRule>
  </conditionalFormatting>
  <conditionalFormatting sqref="P130:P131">
    <cfRule type="expression" dxfId="212" priority="174">
      <formula>$J130="Fail"</formula>
    </cfRule>
  </conditionalFormatting>
  <conditionalFormatting sqref="C143:D143">
    <cfRule type="expression" dxfId="211" priority="138">
      <formula>$J143="Fail"</formula>
    </cfRule>
  </conditionalFormatting>
  <conditionalFormatting sqref="B161:E161 G161:J161">
    <cfRule type="expression" dxfId="210" priority="127">
      <formula>$J161="Fail"</formula>
    </cfRule>
  </conditionalFormatting>
  <conditionalFormatting sqref="B152">
    <cfRule type="expression" dxfId="209" priority="136">
      <formula>$J152="Fail"</formula>
    </cfRule>
  </conditionalFormatting>
  <conditionalFormatting sqref="A161:A162">
    <cfRule type="expression" dxfId="208" priority="125">
      <formula>$J161="Fail"</formula>
    </cfRule>
  </conditionalFormatting>
  <conditionalFormatting sqref="A157:B157 E157:J157 P157">
    <cfRule type="expression" dxfId="207" priority="131">
      <formula>$J157="Fail"</formula>
    </cfRule>
  </conditionalFormatting>
  <conditionalFormatting sqref="B130:I131">
    <cfRule type="expression" dxfId="206" priority="175">
      <formula>$J130="Fail"</formula>
    </cfRule>
  </conditionalFormatting>
  <conditionalFormatting sqref="B145:I146">
    <cfRule type="expression" dxfId="205" priority="200">
      <formula>$J145="Fail"</formula>
    </cfRule>
  </conditionalFormatting>
  <conditionalFormatting sqref="A132:B132 E132:J132 P132">
    <cfRule type="expression" dxfId="204" priority="145">
      <formula>$J132="Fail"</formula>
    </cfRule>
  </conditionalFormatting>
  <conditionalFormatting sqref="P129">
    <cfRule type="expression" dxfId="203" priority="171">
      <formula>$J129="Fail"</formula>
    </cfRule>
  </conditionalFormatting>
  <conditionalFormatting sqref="P139:P140">
    <cfRule type="expression" dxfId="202" priority="189">
      <formula>$J139="Fail"</formula>
    </cfRule>
  </conditionalFormatting>
  <conditionalFormatting sqref="B139:I140">
    <cfRule type="expression" dxfId="201" priority="190">
      <formula>$J139="Fail"</formula>
    </cfRule>
  </conditionalFormatting>
  <conditionalFormatting sqref="P126">
    <cfRule type="expression" dxfId="200" priority="166">
      <formula>$J126="Fail"</formula>
    </cfRule>
  </conditionalFormatting>
  <conditionalFormatting sqref="B121:I122">
    <cfRule type="expression" dxfId="199" priority="160">
      <formula>$J121="Fail"</formula>
    </cfRule>
  </conditionalFormatting>
  <conditionalFormatting sqref="B124:I124">
    <cfRule type="expression" dxfId="198" priority="165">
      <formula>$J124="Fail"</formula>
    </cfRule>
  </conditionalFormatting>
  <conditionalFormatting sqref="B141:I141">
    <cfRule type="expression" dxfId="197" priority="192">
      <formula>$J141="Fail"</formula>
    </cfRule>
  </conditionalFormatting>
  <conditionalFormatting sqref="B138:I138">
    <cfRule type="expression" dxfId="196" priority="187">
      <formula>$J138="Fail"</formula>
    </cfRule>
  </conditionalFormatting>
  <conditionalFormatting sqref="C132:D132">
    <cfRule type="expression" dxfId="195" priority="144">
      <formula>$J132="Fail"</formula>
    </cfRule>
  </conditionalFormatting>
  <conditionalFormatting sqref="P133:P134">
    <cfRule type="expression" dxfId="194" priority="179">
      <formula>$J133="Fail"</formula>
    </cfRule>
  </conditionalFormatting>
  <conditionalFormatting sqref="P119">
    <cfRule type="expression" dxfId="193" priority="154">
      <formula>$J119="Fail"</formula>
    </cfRule>
  </conditionalFormatting>
  <conditionalFormatting sqref="A125:B125 E125:J125 P125">
    <cfRule type="expression" dxfId="192" priority="147">
      <formula>$J125="Fail"</formula>
    </cfRule>
  </conditionalFormatting>
  <conditionalFormatting sqref="A152 D152:P152">
    <cfRule type="expression" dxfId="191" priority="137">
      <formula>$J152="Fail"</formula>
    </cfRule>
  </conditionalFormatting>
  <conditionalFormatting sqref="B119:J119">
    <cfRule type="expression" dxfId="190" priority="155">
      <formula>$J119="Fail"</formula>
    </cfRule>
  </conditionalFormatting>
  <conditionalFormatting sqref="B129:I129">
    <cfRule type="expression" dxfId="189" priority="172">
      <formula>$J129="Fail"</formula>
    </cfRule>
  </conditionalFormatting>
  <conditionalFormatting sqref="A119:A124 A126:A131 A133:A136 A138:A141 A144:A151 A154:A155 A158:A159">
    <cfRule type="expression" dxfId="188" priority="153">
      <formula>$J119="Fail"</formula>
    </cfRule>
  </conditionalFormatting>
  <conditionalFormatting sqref="C137:D137">
    <cfRule type="expression" dxfId="187" priority="142">
      <formula>$J137="Fail"</formula>
    </cfRule>
  </conditionalFormatting>
  <conditionalFormatting sqref="A142 D142:P142">
    <cfRule type="expression" dxfId="186" priority="141">
      <formula>$J142="Fail"</formula>
    </cfRule>
  </conditionalFormatting>
  <conditionalFormatting sqref="B120:I120">
    <cfRule type="expression" dxfId="185" priority="157">
      <formula>$J120="Fail"</formula>
    </cfRule>
  </conditionalFormatting>
  <conditionalFormatting sqref="B133:J133 B134:I134">
    <cfRule type="expression" dxfId="184" priority="180">
      <formula>$J133="Fail"</formula>
    </cfRule>
  </conditionalFormatting>
  <conditionalFormatting sqref="B162:J162">
    <cfRule type="expression" dxfId="183" priority="129">
      <formula>$J162="Fail"</formula>
    </cfRule>
  </conditionalFormatting>
  <conditionalFormatting sqref="P121:P122">
    <cfRule type="expression" dxfId="182" priority="159">
      <formula>$J121="Fail"</formula>
    </cfRule>
  </conditionalFormatting>
  <conditionalFormatting sqref="B123:I123">
    <cfRule type="expression" dxfId="181" priority="162">
      <formula>$J123="Fail"</formula>
    </cfRule>
  </conditionalFormatting>
  <conditionalFormatting sqref="C157:D157">
    <cfRule type="expression" dxfId="180" priority="130">
      <formula>$J157="Fail"</formula>
    </cfRule>
  </conditionalFormatting>
  <conditionalFormatting sqref="A163:B163 E163:J163 P163">
    <cfRule type="expression" dxfId="179" priority="117">
      <formula>$J163="Fail"</formula>
    </cfRule>
  </conditionalFormatting>
  <conditionalFormatting sqref="C125:D125">
    <cfRule type="expression" dxfId="178" priority="146">
      <formula>$J125="Fail"</formula>
    </cfRule>
  </conditionalFormatting>
  <conditionalFormatting sqref="B142">
    <cfRule type="expression" dxfId="177" priority="140">
      <formula>$J142="Fail"</formula>
    </cfRule>
  </conditionalFormatting>
  <conditionalFormatting sqref="A153:B153 E153:J153 P153">
    <cfRule type="expression" dxfId="176" priority="135">
      <formula>$J153="Fail"</formula>
    </cfRule>
  </conditionalFormatting>
  <conditionalFormatting sqref="A156 D156:P156">
    <cfRule type="expression" dxfId="175" priority="133">
      <formula>$J156="Fail"</formula>
    </cfRule>
  </conditionalFormatting>
  <conditionalFormatting sqref="C160:D160">
    <cfRule type="expression" dxfId="174" priority="123">
      <formula>$J160="Fail"</formula>
    </cfRule>
  </conditionalFormatting>
  <conditionalFormatting sqref="P164">
    <cfRule type="expression" dxfId="173" priority="119">
      <formula>$J164="Fail"</formula>
    </cfRule>
  </conditionalFormatting>
  <conditionalFormatting sqref="P161">
    <cfRule type="expression" dxfId="172" priority="126">
      <formula>$J161="Fail"</formula>
    </cfRule>
  </conditionalFormatting>
  <conditionalFormatting sqref="A118:B118 E118:J118 P118">
    <cfRule type="expression" dxfId="171" priority="149">
      <formula>$J118="Fail"</formula>
    </cfRule>
  </conditionalFormatting>
  <conditionalFormatting sqref="K71:O98">
    <cfRule type="expression" dxfId="170" priority="91">
      <formula>$J71="Fail"</formula>
    </cfRule>
  </conditionalFormatting>
  <conditionalFormatting sqref="B164:E164 I164:J164 G164">
    <cfRule type="expression" dxfId="169" priority="120">
      <formula>$J164="Fail"</formula>
    </cfRule>
  </conditionalFormatting>
  <conditionalFormatting sqref="B165:G165 I165:J165">
    <cfRule type="expression" dxfId="168" priority="122">
      <formula>$J165="Fail"</formula>
    </cfRule>
  </conditionalFormatting>
  <conditionalFormatting sqref="C118:D118">
    <cfRule type="expression" dxfId="167" priority="148">
      <formula>$J118="Fail"</formula>
    </cfRule>
  </conditionalFormatting>
  <conditionalFormatting sqref="B190:D190 I190:J190 F190:G190">
    <cfRule type="expression" dxfId="166" priority="115">
      <formula>$J190="Fail"</formula>
    </cfRule>
  </conditionalFormatting>
  <conditionalFormatting sqref="C163:D163">
    <cfRule type="expression" dxfId="165" priority="116">
      <formula>$J163="Fail"</formula>
    </cfRule>
  </conditionalFormatting>
  <conditionalFormatting sqref="A166:B166 E166:J166 P166">
    <cfRule type="expression" dxfId="164" priority="110">
      <formula>$J166="Fail"</formula>
    </cfRule>
  </conditionalFormatting>
  <conditionalFormatting sqref="K8:O9">
    <cfRule type="expression" dxfId="163" priority="95">
      <formula>$J8="Fail"</formula>
    </cfRule>
  </conditionalFormatting>
  <conditionalFormatting sqref="K10:O28">
    <cfRule type="expression" dxfId="162" priority="94">
      <formula>$J10="Fail"</formula>
    </cfRule>
  </conditionalFormatting>
  <conditionalFormatting sqref="A160:B160 E160:J160 P160">
    <cfRule type="expression" dxfId="161" priority="124">
      <formula>$J160="Fail"</formula>
    </cfRule>
  </conditionalFormatting>
  <conditionalFormatting sqref="K30:O68">
    <cfRule type="expression" dxfId="160" priority="93">
      <formula>$J30="Fail"</formula>
    </cfRule>
  </conditionalFormatting>
  <conditionalFormatting sqref="H164:H165">
    <cfRule type="expression" dxfId="159" priority="98">
      <formula>$J164="Fail"</formula>
    </cfRule>
  </conditionalFormatting>
  <conditionalFormatting sqref="K70:O70">
    <cfRule type="expression" dxfId="158" priority="92">
      <formula>$J70="Fail"</formula>
    </cfRule>
  </conditionalFormatting>
  <conditionalFormatting sqref="P162">
    <cfRule type="expression" dxfId="157" priority="128">
      <formula>$J162="Fail"</formula>
    </cfRule>
  </conditionalFormatting>
  <conditionalFormatting sqref="K100:O116">
    <cfRule type="expression" dxfId="156" priority="90">
      <formula>$J100="Fail"</formula>
    </cfRule>
  </conditionalFormatting>
  <conditionalFormatting sqref="K143:O151">
    <cfRule type="expression" dxfId="155" priority="88">
      <formula>$J143="Fail"</formula>
    </cfRule>
  </conditionalFormatting>
  <conditionalFormatting sqref="P167:P189">
    <cfRule type="expression" dxfId="154" priority="112">
      <formula>$J167="Fail"</formula>
    </cfRule>
  </conditionalFormatting>
  <conditionalFormatting sqref="P165">
    <cfRule type="expression" dxfId="153" priority="121">
      <formula>$J165="Fail"</formula>
    </cfRule>
  </conditionalFormatting>
  <conditionalFormatting sqref="B167:E167 I167:J171 I182:I189 G167">
    <cfRule type="expression" dxfId="152" priority="113">
      <formula>$J167="Fail"</formula>
    </cfRule>
  </conditionalFormatting>
  <conditionalFormatting sqref="A167 A190">
    <cfRule type="expression" dxfId="151" priority="111">
      <formula>$J167="Fail"</formula>
    </cfRule>
  </conditionalFormatting>
  <conditionalFormatting sqref="A164:A165">
    <cfRule type="expression" dxfId="150" priority="118">
      <formula>$J164="Fail"</formula>
    </cfRule>
  </conditionalFormatting>
  <conditionalFormatting sqref="H167 H190">
    <cfRule type="expression" dxfId="149" priority="97">
      <formula>$J167="Fail"</formula>
    </cfRule>
  </conditionalFormatting>
  <conditionalFormatting sqref="P190">
    <cfRule type="expression" dxfId="148" priority="114">
      <formula>$J190="Fail"</formula>
    </cfRule>
  </conditionalFormatting>
  <conditionalFormatting sqref="C166:D166">
    <cfRule type="expression" dxfId="147" priority="109">
      <formula>$J166="Fail"</formula>
    </cfRule>
  </conditionalFormatting>
  <conditionalFormatting sqref="K118:O141">
    <cfRule type="expression" dxfId="146" priority="89">
      <formula>$J118="Fail"</formula>
    </cfRule>
  </conditionalFormatting>
  <conditionalFormatting sqref="K153:O155">
    <cfRule type="expression" dxfId="145" priority="87">
      <formula>$J153="Fail"</formula>
    </cfRule>
  </conditionalFormatting>
  <conditionalFormatting sqref="K157:O170 K182:O190">
    <cfRule type="expression" dxfId="144" priority="86">
      <formula>$J157="Fail"</formula>
    </cfRule>
  </conditionalFormatting>
  <conditionalFormatting sqref="J9:J14">
    <cfRule type="expression" dxfId="143" priority="85">
      <formula>$J9="Fail"</formula>
    </cfRule>
  </conditionalFormatting>
  <conditionalFormatting sqref="J30:J31">
    <cfRule type="expression" dxfId="142" priority="84">
      <formula>$J30="Fail"</formula>
    </cfRule>
  </conditionalFormatting>
  <conditionalFormatting sqref="J38">
    <cfRule type="expression" dxfId="141" priority="83">
      <formula>$J38="Fail"</formula>
    </cfRule>
  </conditionalFormatting>
  <conditionalFormatting sqref="J49:J55">
    <cfRule type="expression" dxfId="140" priority="82">
      <formula>$J49="Fail"</formula>
    </cfRule>
  </conditionalFormatting>
  <conditionalFormatting sqref="J41:J45">
    <cfRule type="expression" dxfId="139" priority="81">
      <formula>$J41="Fail"</formula>
    </cfRule>
  </conditionalFormatting>
  <conditionalFormatting sqref="B168:G169 B182:D189 F170:G171 B170:B181 D170:D181 F182:G189">
    <cfRule type="expression" dxfId="138" priority="79">
      <formula>$J168="Fail"</formula>
    </cfRule>
  </conditionalFormatting>
  <conditionalFormatting sqref="A168:A189">
    <cfRule type="expression" dxfId="137" priority="78">
      <formula>$J168="Fail"</formula>
    </cfRule>
  </conditionalFormatting>
  <conditionalFormatting sqref="H168:H171 H182:H189">
    <cfRule type="expression" dxfId="136" priority="77">
      <formula>$J168="Fail"</formula>
    </cfRule>
  </conditionalFormatting>
  <conditionalFormatting sqref="E170">
    <cfRule type="expression" dxfId="135" priority="71">
      <formula>$J170="Fail"</formula>
    </cfRule>
  </conditionalFormatting>
  <conditionalFormatting sqref="E191">
    <cfRule type="expression" dxfId="134" priority="76">
      <formula>$J191="Fail"</formula>
    </cfRule>
  </conditionalFormatting>
  <conditionalFormatting sqref="J95:J98">
    <cfRule type="expression" dxfId="133" priority="54">
      <formula>$J95="Fail"</formula>
    </cfRule>
  </conditionalFormatting>
  <conditionalFormatting sqref="E182:E183">
    <cfRule type="expression" dxfId="132" priority="72">
      <formula>$J182="Fail"</formula>
    </cfRule>
  </conditionalFormatting>
  <conditionalFormatting sqref="C170:C181">
    <cfRule type="expression" dxfId="131" priority="70">
      <formula>$J170="Fail"</formula>
    </cfRule>
  </conditionalFormatting>
  <conditionalFormatting sqref="E184">
    <cfRule type="expression" dxfId="130" priority="65">
      <formula>$J184="Fail"</formula>
    </cfRule>
  </conditionalFormatting>
  <conditionalFormatting sqref="E190">
    <cfRule type="expression" dxfId="129" priority="69">
      <formula>$J190="Fail"</formula>
    </cfRule>
  </conditionalFormatting>
  <conditionalFormatting sqref="E185">
    <cfRule type="expression" dxfId="128" priority="66">
      <formula>$J185="Fail"</formula>
    </cfRule>
  </conditionalFormatting>
  <conditionalFormatting sqref="E186:E187">
    <cfRule type="expression" dxfId="127" priority="64">
      <formula>$J186="Fail"</formula>
    </cfRule>
  </conditionalFormatting>
  <conditionalFormatting sqref="E189">
    <cfRule type="expression" dxfId="126" priority="62">
      <formula>$J189="Fail"</formula>
    </cfRule>
  </conditionalFormatting>
  <conditionalFormatting sqref="J58:J61">
    <cfRule type="expression" dxfId="125" priority="61">
      <formula>$J58="Fail"</formula>
    </cfRule>
  </conditionalFormatting>
  <conditionalFormatting sqref="J83:J86">
    <cfRule type="expression" dxfId="124" priority="60">
      <formula>$J83="Fail"</formula>
    </cfRule>
  </conditionalFormatting>
  <conditionalFormatting sqref="J126:J131">
    <cfRule type="expression" dxfId="123" priority="58">
      <formula>$J126="Fail"</formula>
    </cfRule>
  </conditionalFormatting>
  <conditionalFormatting sqref="J71:J74">
    <cfRule type="expression" dxfId="122" priority="57">
      <formula>$J71="Fail"</formula>
    </cfRule>
  </conditionalFormatting>
  <conditionalFormatting sqref="J89:J93">
    <cfRule type="expression" dxfId="121" priority="55">
      <formula>$J89="Fail"</formula>
    </cfRule>
  </conditionalFormatting>
  <conditionalFormatting sqref="J76">
    <cfRule type="expression" dxfId="120" priority="50">
      <formula>$J76="Fail"</formula>
    </cfRule>
  </conditionalFormatting>
  <conditionalFormatting sqref="I180:J180 I172:I179 I181">
    <cfRule type="expression" dxfId="119" priority="44">
      <formula>$J172="Fail"</formula>
    </cfRule>
  </conditionalFormatting>
  <conditionalFormatting sqref="K172:O178 K180:O181">
    <cfRule type="expression" dxfId="118" priority="43">
      <formula>$J172="Fail"</formula>
    </cfRule>
  </conditionalFormatting>
  <conditionalFormatting sqref="F172:G181">
    <cfRule type="expression" dxfId="117" priority="42">
      <formula>$J172="Fail"</formula>
    </cfRule>
  </conditionalFormatting>
  <conditionalFormatting sqref="H172:H181">
    <cfRule type="expression" dxfId="116" priority="41">
      <formula>$J172="Fail"</formula>
    </cfRule>
  </conditionalFormatting>
  <conditionalFormatting sqref="E172:E173">
    <cfRule type="expression" dxfId="115" priority="40">
      <formula>$J172="Fail"</formula>
    </cfRule>
  </conditionalFormatting>
  <conditionalFormatting sqref="E174">
    <cfRule type="expression" dxfId="114" priority="38">
      <formula>$J174="Fail"</formula>
    </cfRule>
  </conditionalFormatting>
  <conditionalFormatting sqref="E175">
    <cfRule type="expression" dxfId="113" priority="39">
      <formula>$J175="Fail"</formula>
    </cfRule>
  </conditionalFormatting>
  <conditionalFormatting sqref="E176:E177">
    <cfRule type="expression" dxfId="112" priority="37">
      <formula>$J176="Fail"</formula>
    </cfRule>
  </conditionalFormatting>
  <conditionalFormatting sqref="E178 E180">
    <cfRule type="expression" dxfId="111" priority="36">
      <formula>$J178="Fail"</formula>
    </cfRule>
  </conditionalFormatting>
  <conditionalFormatting sqref="E181">
    <cfRule type="expression" dxfId="110" priority="35">
      <formula>$J181="Fail"</formula>
    </cfRule>
  </conditionalFormatting>
  <conditionalFormatting sqref="K171:O171">
    <cfRule type="expression" dxfId="109" priority="33">
      <formula>$J171="Fail"</formula>
    </cfRule>
  </conditionalFormatting>
  <conditionalFormatting sqref="E171">
    <cfRule type="expression" dxfId="108" priority="34">
      <formula>$J171="Fail"</formula>
    </cfRule>
  </conditionalFormatting>
  <conditionalFormatting sqref="K179:O179">
    <cfRule type="expression" dxfId="107" priority="32">
      <formula>$J179="Fail"</formula>
    </cfRule>
  </conditionalFormatting>
  <conditionalFormatting sqref="E179">
    <cfRule type="expression" dxfId="106" priority="31">
      <formula>$J179="Fail"</formula>
    </cfRule>
  </conditionalFormatting>
  <conditionalFormatting sqref="J5">
    <cfRule type="expression" dxfId="105" priority="29">
      <formula>$J5="Fail"</formula>
    </cfRule>
  </conditionalFormatting>
  <conditionalFormatting sqref="J3">
    <cfRule type="expression" dxfId="104" priority="28">
      <formula>$J3="Fail"</formula>
    </cfRule>
  </conditionalFormatting>
  <conditionalFormatting sqref="F167">
    <cfRule type="expression" dxfId="103" priority="16">
      <formula>$J167="Fail"</formula>
    </cfRule>
  </conditionalFormatting>
  <conditionalFormatting sqref="F56">
    <cfRule type="expression" dxfId="102" priority="27">
      <formula>$J56="Fail"</formula>
    </cfRule>
  </conditionalFormatting>
  <conditionalFormatting sqref="F83">
    <cfRule type="expression" dxfId="101" priority="26">
      <formula>$J83="Fail"</formula>
    </cfRule>
  </conditionalFormatting>
  <conditionalFormatting sqref="F88">
    <cfRule type="expression" dxfId="100" priority="25">
      <formula>$J88="Fail"</formula>
    </cfRule>
  </conditionalFormatting>
  <conditionalFormatting sqref="F95">
    <cfRule type="expression" dxfId="99" priority="24">
      <formula>$J95="Fail"</formula>
    </cfRule>
  </conditionalFormatting>
  <conditionalFormatting sqref="F115">
    <cfRule type="expression" dxfId="98" priority="23">
      <formula>$J115="Fail"</formula>
    </cfRule>
  </conditionalFormatting>
  <conditionalFormatting sqref="F116">
    <cfRule type="expression" dxfId="97" priority="22">
      <formula>$J116="Fail"</formula>
    </cfRule>
  </conditionalFormatting>
  <conditionalFormatting sqref="F154">
    <cfRule type="expression" dxfId="96" priority="21">
      <formula>$J154="Fail"</formula>
    </cfRule>
  </conditionalFormatting>
  <conditionalFormatting sqref="F155">
    <cfRule type="expression" dxfId="95" priority="20">
      <formula>$J155="Fail"</formula>
    </cfRule>
  </conditionalFormatting>
  <conditionalFormatting sqref="F158">
    <cfRule type="expression" dxfId="94" priority="19">
      <formula>$J158="Fail"</formula>
    </cfRule>
  </conditionalFormatting>
  <conditionalFormatting sqref="F161">
    <cfRule type="expression" dxfId="93" priority="18">
      <formula>$J161="Fail"</formula>
    </cfRule>
  </conditionalFormatting>
  <conditionalFormatting sqref="F164">
    <cfRule type="expression" dxfId="92" priority="17">
      <formula>$J164="Fail"</formula>
    </cfRule>
  </conditionalFormatting>
  <conditionalFormatting sqref="J102:J106">
    <cfRule type="expression" dxfId="91" priority="15">
      <formula>$J102="Fail"</formula>
    </cfRule>
  </conditionalFormatting>
  <conditionalFormatting sqref="J172:J179">
    <cfRule type="expression" dxfId="90" priority="14">
      <formula>$J172="Fail"</formula>
    </cfRule>
  </conditionalFormatting>
  <conditionalFormatting sqref="J181:J189">
    <cfRule type="expression" dxfId="89" priority="13">
      <formula>$J181="Fail"</formula>
    </cfRule>
  </conditionalFormatting>
  <conditionalFormatting sqref="J77:J81">
    <cfRule type="expression" dxfId="88" priority="12">
      <formula>$J77="Fail"</formula>
    </cfRule>
  </conditionalFormatting>
  <conditionalFormatting sqref="J64:J68">
    <cfRule type="expression" dxfId="87" priority="11">
      <formula>$J64="Fail"</formula>
    </cfRule>
  </conditionalFormatting>
  <conditionalFormatting sqref="J16:J21">
    <cfRule type="expression" dxfId="86" priority="10">
      <formula>$J16="Fail"</formula>
    </cfRule>
  </conditionalFormatting>
  <conditionalFormatting sqref="J145:J151">
    <cfRule type="expression" dxfId="85" priority="9">
      <formula>$J145="Fail"</formula>
    </cfRule>
  </conditionalFormatting>
  <conditionalFormatting sqref="J120:J124">
    <cfRule type="expression" dxfId="84" priority="8">
      <formula>$J120="Fail"</formula>
    </cfRule>
  </conditionalFormatting>
  <conditionalFormatting sqref="J109:J113">
    <cfRule type="expression" dxfId="83" priority="7">
      <formula>$J109="Fail"</formula>
    </cfRule>
  </conditionalFormatting>
  <conditionalFormatting sqref="J32:J37">
    <cfRule type="expression" dxfId="82" priority="6">
      <formula>$J32="Fail"</formula>
    </cfRule>
  </conditionalFormatting>
  <conditionalFormatting sqref="J46">
    <cfRule type="expression" dxfId="81" priority="5">
      <formula>$J46="Fail"</formula>
    </cfRule>
  </conditionalFormatting>
  <conditionalFormatting sqref="E188">
    <cfRule type="expression" dxfId="80" priority="4">
      <formula>$J188="Fail"</formula>
    </cfRule>
  </conditionalFormatting>
  <conditionalFormatting sqref="J134:J136">
    <cfRule type="expression" dxfId="79" priority="3">
      <formula>$J134="Fail"</formula>
    </cfRule>
  </conditionalFormatting>
  <conditionalFormatting sqref="J138:J141">
    <cfRule type="expression" dxfId="78" priority="2">
      <formula>$J138="Fail"</formula>
    </cfRule>
  </conditionalFormatting>
  <conditionalFormatting sqref="J6">
    <cfRule type="expression" dxfId="77" priority="1">
      <formula>$J6="Fail"</formula>
    </cfRule>
  </conditionalFormatting>
  <dataValidations count="1">
    <dataValidation type="list" allowBlank="1" showInputMessage="1" showErrorMessage="1" sqref="J2:J190">
      <formula1>$K$1:$O$1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38"/>
  <sheetViews>
    <sheetView zoomScaleNormal="100" workbookViewId="0">
      <pane ySplit="1" topLeftCell="A74" activePane="bottomLeft" state="frozen"/>
      <selection pane="bottomLeft" activeCell="I209" sqref="I209:I214"/>
    </sheetView>
  </sheetViews>
  <sheetFormatPr defaultRowHeight="15" x14ac:dyDescent="0.25"/>
  <cols>
    <col min="1" max="1" width="11.28515625" style="4" bestFit="1" customWidth="1"/>
    <col min="2" max="2" width="11.28515625" style="4" customWidth="1"/>
    <col min="3" max="3" width="48.5703125" style="1" customWidth="1"/>
    <col min="4" max="4" width="3" style="1" bestFit="1" customWidth="1"/>
    <col min="5" max="5" width="6.85546875" style="1" bestFit="1" customWidth="1"/>
    <col min="6" max="6" width="14.5703125" style="1" customWidth="1"/>
    <col min="7" max="7" width="11.5703125" style="58" customWidth="1"/>
    <col min="8" max="8" width="20.42578125" style="1" customWidth="1"/>
    <col min="9" max="9" width="14.7109375" style="1" customWidth="1"/>
    <col min="10" max="13" width="9.140625" style="1"/>
    <col min="14" max="14" width="16.5703125" style="1" customWidth="1"/>
    <col min="15" max="15" width="39" style="1" customWidth="1"/>
    <col min="16" max="16384" width="9.140625" style="1"/>
  </cols>
  <sheetData>
    <row r="1" spans="1:15" ht="30" customHeight="1" x14ac:dyDescent="0.25">
      <c r="A1" s="6" t="s">
        <v>1</v>
      </c>
      <c r="B1" s="6"/>
      <c r="C1" s="7" t="s">
        <v>11</v>
      </c>
      <c r="D1" s="7"/>
      <c r="E1" s="7"/>
      <c r="F1" s="7" t="s">
        <v>2</v>
      </c>
      <c r="G1" s="52" t="s">
        <v>4</v>
      </c>
      <c r="H1" s="8" t="s">
        <v>3</v>
      </c>
      <c r="I1" s="7" t="s">
        <v>0</v>
      </c>
      <c r="J1" s="8" t="s">
        <v>5</v>
      </c>
      <c r="K1" s="8" t="s">
        <v>6</v>
      </c>
      <c r="L1" s="8"/>
      <c r="M1" s="8" t="s">
        <v>7</v>
      </c>
      <c r="N1" s="8" t="s">
        <v>8</v>
      </c>
      <c r="O1" s="8" t="s">
        <v>12</v>
      </c>
    </row>
    <row r="2" spans="1:15" s="13" customFormat="1" x14ac:dyDescent="0.25">
      <c r="A2" s="22">
        <v>1</v>
      </c>
      <c r="B2" s="22"/>
      <c r="C2" s="23" t="s">
        <v>14</v>
      </c>
      <c r="D2" s="23"/>
      <c r="E2" s="23"/>
      <c r="F2" s="24"/>
      <c r="G2" s="53"/>
      <c r="H2" s="23"/>
      <c r="I2" s="12"/>
      <c r="J2" s="12"/>
      <c r="K2" s="12"/>
      <c r="L2" s="12"/>
      <c r="M2" s="12"/>
      <c r="N2" s="12"/>
      <c r="O2" s="23"/>
    </row>
    <row r="3" spans="1:15" s="15" customFormat="1" x14ac:dyDescent="0.25">
      <c r="A3" s="25">
        <v>1</v>
      </c>
      <c r="B3" s="25"/>
      <c r="C3" s="26" t="s">
        <v>129</v>
      </c>
      <c r="D3" s="26"/>
      <c r="E3" s="26"/>
      <c r="F3" s="27" t="s">
        <v>16</v>
      </c>
      <c r="G3" s="54" t="s">
        <v>17</v>
      </c>
      <c r="H3" s="26"/>
      <c r="I3" s="16" t="s">
        <v>7</v>
      </c>
      <c r="J3" s="16">
        <f t="shared" ref="J3:N18" si="0">IF($I3=J$1,1,0)</f>
        <v>0</v>
      </c>
      <c r="K3" s="16">
        <f t="shared" si="0"/>
        <v>0</v>
      </c>
      <c r="L3" s="16">
        <f t="shared" si="0"/>
        <v>0</v>
      </c>
      <c r="M3" s="16">
        <f t="shared" si="0"/>
        <v>1</v>
      </c>
      <c r="N3" s="16">
        <f t="shared" si="0"/>
        <v>0</v>
      </c>
      <c r="O3" s="28"/>
    </row>
    <row r="4" spans="1:15" s="13" customFormat="1" x14ac:dyDescent="0.25">
      <c r="A4" s="22">
        <v>2</v>
      </c>
      <c r="B4" s="23" t="s">
        <v>18</v>
      </c>
      <c r="C4" s="23"/>
      <c r="D4" s="23"/>
      <c r="E4" s="23"/>
      <c r="F4" s="24"/>
      <c r="G4" s="53"/>
      <c r="H4" s="23"/>
      <c r="I4" s="12"/>
      <c r="J4" s="12"/>
      <c r="K4" s="12"/>
      <c r="L4" s="12"/>
      <c r="M4" s="12"/>
      <c r="N4" s="12"/>
      <c r="O4" s="23"/>
    </row>
    <row r="5" spans="1:15" s="15" customFormat="1" x14ac:dyDescent="0.25">
      <c r="A5" s="25">
        <f t="shared" ref="A5:A6" si="1">A4+0.0001</f>
        <v>2.0001000000000002</v>
      </c>
      <c r="B5" s="25"/>
      <c r="C5" s="26" t="s">
        <v>19</v>
      </c>
      <c r="D5" s="29" t="s">
        <v>21</v>
      </c>
      <c r="E5" s="17" t="s">
        <v>22</v>
      </c>
      <c r="F5" s="17"/>
      <c r="G5" s="55"/>
      <c r="H5" s="26"/>
      <c r="I5" s="16" t="s">
        <v>7</v>
      </c>
      <c r="J5" s="16">
        <f t="shared" si="0"/>
        <v>0</v>
      </c>
      <c r="K5" s="16">
        <f t="shared" si="0"/>
        <v>0</v>
      </c>
      <c r="L5" s="16">
        <f t="shared" si="0"/>
        <v>0</v>
      </c>
      <c r="M5" s="16">
        <f t="shared" si="0"/>
        <v>1</v>
      </c>
      <c r="N5" s="16">
        <f t="shared" si="0"/>
        <v>0</v>
      </c>
      <c r="O5" s="28"/>
    </row>
    <row r="6" spans="1:15" s="15" customFormat="1" x14ac:dyDescent="0.25">
      <c r="A6" s="25">
        <f t="shared" si="1"/>
        <v>2.0002000000000004</v>
      </c>
      <c r="B6" s="25"/>
      <c r="C6" s="26" t="s">
        <v>20</v>
      </c>
      <c r="D6" s="17" t="s">
        <v>23</v>
      </c>
      <c r="E6" s="17" t="s">
        <v>24</v>
      </c>
      <c r="F6" s="17"/>
      <c r="G6" s="55"/>
      <c r="H6" s="26"/>
      <c r="I6" s="16" t="s">
        <v>7</v>
      </c>
      <c r="J6" s="16">
        <f t="shared" si="0"/>
        <v>0</v>
      </c>
      <c r="K6" s="16">
        <f t="shared" si="0"/>
        <v>0</v>
      </c>
      <c r="L6" s="16">
        <f t="shared" si="0"/>
        <v>0</v>
      </c>
      <c r="M6" s="16">
        <f t="shared" si="0"/>
        <v>1</v>
      </c>
      <c r="N6" s="16">
        <f t="shared" si="0"/>
        <v>0</v>
      </c>
      <c r="O6" s="28"/>
    </row>
    <row r="7" spans="1:15" s="13" customFormat="1" ht="15" customHeight="1" x14ac:dyDescent="0.25">
      <c r="A7" s="22">
        <v>3</v>
      </c>
      <c r="B7" s="59" t="s">
        <v>130</v>
      </c>
      <c r="C7" s="60"/>
      <c r="D7" s="23"/>
      <c r="E7" s="23"/>
      <c r="F7" s="24"/>
      <c r="G7" s="53"/>
      <c r="H7" s="23"/>
      <c r="I7" s="16" t="s">
        <v>7</v>
      </c>
      <c r="J7" s="12"/>
      <c r="K7" s="12"/>
      <c r="L7" s="12"/>
      <c r="M7" s="12"/>
      <c r="N7" s="12"/>
      <c r="O7" s="23"/>
    </row>
    <row r="8" spans="1:15" s="34" customFormat="1" x14ac:dyDescent="0.25">
      <c r="A8" s="35"/>
      <c r="B8" s="35"/>
      <c r="C8" s="36" t="s">
        <v>131</v>
      </c>
      <c r="D8" s="25"/>
      <c r="E8" s="31"/>
      <c r="F8" s="32"/>
      <c r="G8" s="56"/>
      <c r="H8" s="31"/>
      <c r="I8" s="16" t="s">
        <v>7</v>
      </c>
      <c r="J8" s="16">
        <f t="shared" si="0"/>
        <v>0</v>
      </c>
      <c r="K8" s="16">
        <f t="shared" si="0"/>
        <v>0</v>
      </c>
      <c r="L8" s="16">
        <f t="shared" si="0"/>
        <v>0</v>
      </c>
      <c r="M8" s="16">
        <f t="shared" si="0"/>
        <v>1</v>
      </c>
      <c r="N8" s="16">
        <f t="shared" si="0"/>
        <v>0</v>
      </c>
      <c r="O8" s="31"/>
    </row>
    <row r="9" spans="1:15" s="15" customFormat="1" x14ac:dyDescent="0.25">
      <c r="A9" s="40">
        <f>A7+0.0001</f>
        <v>3.0001000000000002</v>
      </c>
      <c r="B9" s="40"/>
      <c r="C9" s="41" t="s">
        <v>20</v>
      </c>
      <c r="D9" s="42" t="s">
        <v>21</v>
      </c>
      <c r="E9" s="42" t="s">
        <v>24</v>
      </c>
      <c r="F9" s="27"/>
      <c r="G9" s="54"/>
      <c r="H9" s="26"/>
      <c r="I9" s="16"/>
      <c r="J9" s="16">
        <f t="shared" si="0"/>
        <v>0</v>
      </c>
      <c r="K9" s="16">
        <f t="shared" si="0"/>
        <v>0</v>
      </c>
      <c r="L9" s="16">
        <f t="shared" si="0"/>
        <v>1</v>
      </c>
      <c r="M9" s="16">
        <f t="shared" si="0"/>
        <v>0</v>
      </c>
      <c r="N9" s="16">
        <f t="shared" si="0"/>
        <v>0</v>
      </c>
      <c r="O9" s="28"/>
    </row>
    <row r="10" spans="1:15" s="15" customFormat="1" x14ac:dyDescent="0.25">
      <c r="A10" s="40">
        <f t="shared" ref="A10:A21" si="2">A9+0.0001</f>
        <v>3.0002000000000004</v>
      </c>
      <c r="B10" s="40"/>
      <c r="C10" s="41" t="s">
        <v>34</v>
      </c>
      <c r="D10" s="42" t="s">
        <v>23</v>
      </c>
      <c r="E10" s="42" t="s">
        <v>29</v>
      </c>
      <c r="F10" s="26"/>
      <c r="G10" s="57"/>
      <c r="H10" s="26"/>
      <c r="I10" s="16"/>
      <c r="J10" s="16">
        <f t="shared" si="0"/>
        <v>0</v>
      </c>
      <c r="K10" s="16">
        <f t="shared" si="0"/>
        <v>0</v>
      </c>
      <c r="L10" s="16">
        <f t="shared" si="0"/>
        <v>1</v>
      </c>
      <c r="M10" s="16">
        <f t="shared" si="0"/>
        <v>0</v>
      </c>
      <c r="N10" s="16">
        <f t="shared" si="0"/>
        <v>0</v>
      </c>
      <c r="O10" s="28"/>
    </row>
    <row r="11" spans="1:15" s="15" customFormat="1" x14ac:dyDescent="0.25">
      <c r="A11" s="40">
        <f t="shared" si="2"/>
        <v>3.0003000000000006</v>
      </c>
      <c r="B11" s="40"/>
      <c r="C11" s="41" t="s">
        <v>35</v>
      </c>
      <c r="D11" s="42" t="s">
        <v>21</v>
      </c>
      <c r="E11" s="42" t="s">
        <v>30</v>
      </c>
      <c r="F11" s="26"/>
      <c r="G11" s="54"/>
      <c r="H11" s="28"/>
      <c r="I11" s="16"/>
      <c r="J11" s="16">
        <f t="shared" si="0"/>
        <v>0</v>
      </c>
      <c r="K11" s="16">
        <f t="shared" si="0"/>
        <v>0</v>
      </c>
      <c r="L11" s="16">
        <f t="shared" si="0"/>
        <v>1</v>
      </c>
      <c r="M11" s="16">
        <f t="shared" si="0"/>
        <v>0</v>
      </c>
      <c r="N11" s="16">
        <f t="shared" si="0"/>
        <v>0</v>
      </c>
      <c r="O11" s="28"/>
    </row>
    <row r="12" spans="1:15" s="15" customFormat="1" x14ac:dyDescent="0.25">
      <c r="A12" s="40">
        <f t="shared" si="2"/>
        <v>3.0004000000000008</v>
      </c>
      <c r="B12" s="40"/>
      <c r="C12" s="41" t="s">
        <v>36</v>
      </c>
      <c r="D12" s="42" t="s">
        <v>23</v>
      </c>
      <c r="E12" s="42" t="s">
        <v>31</v>
      </c>
      <c r="F12" s="26"/>
      <c r="G12" s="54"/>
      <c r="H12" s="28"/>
      <c r="I12" s="16"/>
      <c r="J12" s="16">
        <f t="shared" si="0"/>
        <v>0</v>
      </c>
      <c r="K12" s="16">
        <f t="shared" si="0"/>
        <v>0</v>
      </c>
      <c r="L12" s="16">
        <f t="shared" si="0"/>
        <v>1</v>
      </c>
      <c r="M12" s="16">
        <f t="shared" si="0"/>
        <v>0</v>
      </c>
      <c r="N12" s="16">
        <f t="shared" si="0"/>
        <v>0</v>
      </c>
      <c r="O12" s="28"/>
    </row>
    <row r="13" spans="1:15" s="15" customFormat="1" x14ac:dyDescent="0.25">
      <c r="A13" s="40">
        <f t="shared" si="2"/>
        <v>3.0005000000000011</v>
      </c>
      <c r="B13" s="40"/>
      <c r="C13" s="41" t="s">
        <v>37</v>
      </c>
      <c r="D13" s="42" t="s">
        <v>21</v>
      </c>
      <c r="E13" s="42" t="s">
        <v>32</v>
      </c>
      <c r="F13" s="26"/>
      <c r="G13" s="54"/>
      <c r="H13" s="28"/>
      <c r="I13" s="16"/>
      <c r="J13" s="16">
        <f t="shared" si="0"/>
        <v>0</v>
      </c>
      <c r="K13" s="16">
        <f t="shared" si="0"/>
        <v>0</v>
      </c>
      <c r="L13" s="16">
        <f t="shared" si="0"/>
        <v>1</v>
      </c>
      <c r="M13" s="16">
        <f t="shared" si="0"/>
        <v>0</v>
      </c>
      <c r="N13" s="16">
        <f t="shared" si="0"/>
        <v>0</v>
      </c>
      <c r="O13" s="28"/>
    </row>
    <row r="14" spans="1:15" s="15" customFormat="1" x14ac:dyDescent="0.25">
      <c r="A14" s="40">
        <f t="shared" si="2"/>
        <v>3.0006000000000013</v>
      </c>
      <c r="B14" s="40"/>
      <c r="C14" s="40" t="s">
        <v>45</v>
      </c>
      <c r="D14" s="42" t="s">
        <v>23</v>
      </c>
      <c r="E14" s="42" t="s">
        <v>49</v>
      </c>
      <c r="F14" s="26"/>
      <c r="G14" s="54"/>
      <c r="H14" s="28"/>
      <c r="I14" s="16"/>
      <c r="J14" s="16">
        <f t="shared" si="0"/>
        <v>0</v>
      </c>
      <c r="K14" s="16">
        <f t="shared" si="0"/>
        <v>0</v>
      </c>
      <c r="L14" s="16">
        <f t="shared" si="0"/>
        <v>1</v>
      </c>
      <c r="M14" s="16">
        <f t="shared" si="0"/>
        <v>0</v>
      </c>
      <c r="N14" s="16">
        <f t="shared" si="0"/>
        <v>0</v>
      </c>
      <c r="O14" s="28"/>
    </row>
    <row r="15" spans="1:15" s="34" customFormat="1" x14ac:dyDescent="0.25">
      <c r="A15" s="35"/>
      <c r="B15" s="35"/>
      <c r="C15" s="36" t="s">
        <v>132</v>
      </c>
      <c r="D15" s="25"/>
      <c r="E15" s="31"/>
      <c r="F15" s="32"/>
      <c r="G15" s="56"/>
      <c r="H15" s="31"/>
      <c r="I15" s="16"/>
      <c r="J15" s="16"/>
      <c r="K15" s="16"/>
      <c r="L15" s="16"/>
      <c r="M15" s="16"/>
      <c r="N15" s="16"/>
      <c r="O15" s="31"/>
    </row>
    <row r="16" spans="1:15" s="15" customFormat="1" x14ac:dyDescent="0.25">
      <c r="A16" s="25">
        <f>A14+0.0001</f>
        <v>3.0007000000000015</v>
      </c>
      <c r="B16" s="25"/>
      <c r="C16" s="26" t="s">
        <v>50</v>
      </c>
      <c r="D16" s="26" t="s">
        <v>21</v>
      </c>
      <c r="E16" s="26" t="s">
        <v>51</v>
      </c>
      <c r="F16" s="26"/>
      <c r="G16" s="54"/>
      <c r="H16" s="28"/>
      <c r="I16" s="16"/>
      <c r="J16" s="16">
        <f t="shared" si="0"/>
        <v>0</v>
      </c>
      <c r="K16" s="16">
        <f t="shared" si="0"/>
        <v>0</v>
      </c>
      <c r="L16" s="16">
        <f t="shared" si="0"/>
        <v>1</v>
      </c>
      <c r="M16" s="16">
        <f t="shared" si="0"/>
        <v>0</v>
      </c>
      <c r="N16" s="16">
        <f t="shared" si="0"/>
        <v>0</v>
      </c>
      <c r="O16" s="28"/>
    </row>
    <row r="17" spans="1:15" s="15" customFormat="1" x14ac:dyDescent="0.25">
      <c r="A17" s="25">
        <f t="shared" si="2"/>
        <v>3.0008000000000017</v>
      </c>
      <c r="B17" s="25"/>
      <c r="C17" s="26" t="s">
        <v>56</v>
      </c>
      <c r="D17" s="26" t="s">
        <v>23</v>
      </c>
      <c r="E17" s="26" t="s">
        <v>53</v>
      </c>
      <c r="F17" s="26"/>
      <c r="G17" s="54"/>
      <c r="H17" s="28"/>
      <c r="I17" s="16"/>
      <c r="J17" s="16">
        <f t="shared" si="0"/>
        <v>0</v>
      </c>
      <c r="K17" s="16">
        <f t="shared" si="0"/>
        <v>0</v>
      </c>
      <c r="L17" s="16">
        <f t="shared" si="0"/>
        <v>1</v>
      </c>
      <c r="M17" s="16">
        <f t="shared" si="0"/>
        <v>0</v>
      </c>
      <c r="N17" s="16">
        <f t="shared" si="0"/>
        <v>0</v>
      </c>
      <c r="O17" s="28"/>
    </row>
    <row r="18" spans="1:15" s="15" customFormat="1" x14ac:dyDescent="0.25">
      <c r="A18" s="25">
        <f t="shared" si="2"/>
        <v>3.0009000000000019</v>
      </c>
      <c r="B18" s="25"/>
      <c r="C18" s="25" t="s">
        <v>36</v>
      </c>
      <c r="D18" s="25" t="s">
        <v>21</v>
      </c>
      <c r="E18" s="26" t="s">
        <v>31</v>
      </c>
      <c r="F18" s="26"/>
      <c r="G18" s="54"/>
      <c r="H18" s="28"/>
      <c r="I18" s="16"/>
      <c r="J18" s="16">
        <f t="shared" si="0"/>
        <v>0</v>
      </c>
      <c r="K18" s="16">
        <f t="shared" si="0"/>
        <v>0</v>
      </c>
      <c r="L18" s="16">
        <f t="shared" si="0"/>
        <v>1</v>
      </c>
      <c r="M18" s="16">
        <f t="shared" si="0"/>
        <v>0</v>
      </c>
      <c r="N18" s="16">
        <f t="shared" si="0"/>
        <v>0</v>
      </c>
      <c r="O18" s="28"/>
    </row>
    <row r="19" spans="1:15" s="15" customFormat="1" x14ac:dyDescent="0.25">
      <c r="A19" s="25">
        <f t="shared" si="2"/>
        <v>3.0010000000000021</v>
      </c>
      <c r="B19" s="25"/>
      <c r="C19" s="26" t="s">
        <v>35</v>
      </c>
      <c r="D19" s="26" t="s">
        <v>23</v>
      </c>
      <c r="E19" s="26" t="s">
        <v>30</v>
      </c>
      <c r="F19" s="26"/>
      <c r="G19" s="54"/>
      <c r="H19" s="28"/>
      <c r="I19" s="16"/>
      <c r="J19" s="16">
        <f t="shared" ref="J19:N27" si="3">IF($I19=J$1,1,0)</f>
        <v>0</v>
      </c>
      <c r="K19" s="16">
        <f t="shared" si="3"/>
        <v>0</v>
      </c>
      <c r="L19" s="16">
        <f t="shared" si="3"/>
        <v>1</v>
      </c>
      <c r="M19" s="16">
        <f t="shared" si="3"/>
        <v>0</v>
      </c>
      <c r="N19" s="16">
        <f t="shared" si="3"/>
        <v>0</v>
      </c>
      <c r="O19" s="28"/>
    </row>
    <row r="20" spans="1:15" s="15" customFormat="1" x14ac:dyDescent="0.25">
      <c r="A20" s="25">
        <f t="shared" si="2"/>
        <v>3.0011000000000023</v>
      </c>
      <c r="B20" s="25"/>
      <c r="C20" s="26" t="s">
        <v>45</v>
      </c>
      <c r="D20" s="26" t="s">
        <v>21</v>
      </c>
      <c r="E20" s="26" t="s">
        <v>49</v>
      </c>
      <c r="F20" s="26"/>
      <c r="G20" s="54"/>
      <c r="H20" s="28"/>
      <c r="I20" s="16"/>
      <c r="J20" s="16">
        <f t="shared" si="3"/>
        <v>0</v>
      </c>
      <c r="K20" s="16">
        <f t="shared" si="3"/>
        <v>0</v>
      </c>
      <c r="L20" s="16">
        <f t="shared" si="3"/>
        <v>1</v>
      </c>
      <c r="M20" s="16">
        <f t="shared" si="3"/>
        <v>0</v>
      </c>
      <c r="N20" s="16">
        <f t="shared" si="3"/>
        <v>0</v>
      </c>
      <c r="O20" s="28"/>
    </row>
    <row r="21" spans="1:15" s="15" customFormat="1" x14ac:dyDescent="0.25">
      <c r="A21" s="25">
        <f t="shared" si="2"/>
        <v>3.0012000000000025</v>
      </c>
      <c r="B21" s="25"/>
      <c r="C21" s="28" t="s">
        <v>37</v>
      </c>
      <c r="D21" s="28" t="s">
        <v>23</v>
      </c>
      <c r="E21" s="28" t="s">
        <v>32</v>
      </c>
      <c r="F21" s="26"/>
      <c r="G21" s="54"/>
      <c r="H21" s="28"/>
      <c r="I21" s="16"/>
      <c r="J21" s="16">
        <f t="shared" si="3"/>
        <v>0</v>
      </c>
      <c r="K21" s="16">
        <f t="shared" si="3"/>
        <v>0</v>
      </c>
      <c r="L21" s="16">
        <f t="shared" si="3"/>
        <v>1</v>
      </c>
      <c r="M21" s="16">
        <f t="shared" si="3"/>
        <v>0</v>
      </c>
      <c r="N21" s="16">
        <f t="shared" si="3"/>
        <v>0</v>
      </c>
      <c r="O21" s="28"/>
    </row>
    <row r="22" spans="1:15" s="13" customFormat="1" ht="15" customHeight="1" x14ac:dyDescent="0.25">
      <c r="A22" s="22">
        <v>4</v>
      </c>
      <c r="B22" s="59" t="s">
        <v>133</v>
      </c>
      <c r="C22" s="60"/>
      <c r="D22" s="23"/>
      <c r="E22" s="23"/>
      <c r="F22" s="24"/>
      <c r="G22" s="53"/>
      <c r="H22" s="23"/>
      <c r="I22" s="16" t="s">
        <v>7</v>
      </c>
      <c r="J22" s="12"/>
      <c r="K22" s="12"/>
      <c r="L22" s="12"/>
      <c r="M22" s="12"/>
      <c r="N22" s="12"/>
      <c r="O22" s="23"/>
    </row>
    <row r="23" spans="1:15" s="34" customFormat="1" x14ac:dyDescent="0.25">
      <c r="A23" s="35"/>
      <c r="B23" s="35"/>
      <c r="C23" s="36" t="s">
        <v>134</v>
      </c>
      <c r="D23" s="25"/>
      <c r="E23" s="31"/>
      <c r="F23" s="32"/>
      <c r="H23" s="31"/>
      <c r="I23" s="16"/>
      <c r="J23" s="16">
        <f t="shared" si="3"/>
        <v>0</v>
      </c>
      <c r="K23" s="16">
        <f t="shared" si="3"/>
        <v>0</v>
      </c>
      <c r="L23" s="16">
        <f t="shared" si="3"/>
        <v>1</v>
      </c>
      <c r="M23" s="16">
        <f t="shared" si="3"/>
        <v>0</v>
      </c>
      <c r="N23" s="16">
        <f t="shared" si="3"/>
        <v>0</v>
      </c>
      <c r="O23" s="31"/>
    </row>
    <row r="24" spans="1:15" s="15" customFormat="1" x14ac:dyDescent="0.25">
      <c r="A24" s="25">
        <f>A22+0.0001</f>
        <v>4.0000999999999998</v>
      </c>
      <c r="B24" s="25"/>
      <c r="C24" s="26" t="s">
        <v>20</v>
      </c>
      <c r="D24" s="17" t="s">
        <v>21</v>
      </c>
      <c r="E24" s="17" t="s">
        <v>24</v>
      </c>
      <c r="F24" s="27"/>
      <c r="G24" s="54"/>
      <c r="H24" s="26"/>
      <c r="I24" s="16"/>
      <c r="J24" s="16">
        <f t="shared" si="3"/>
        <v>0</v>
      </c>
      <c r="K24" s="16">
        <f t="shared" si="3"/>
        <v>0</v>
      </c>
      <c r="L24" s="16">
        <f t="shared" si="3"/>
        <v>1</v>
      </c>
      <c r="M24" s="16">
        <f t="shared" si="3"/>
        <v>0</v>
      </c>
      <c r="N24" s="16">
        <f t="shared" si="3"/>
        <v>0</v>
      </c>
      <c r="O24" s="28"/>
    </row>
    <row r="25" spans="1:15" s="15" customFormat="1" x14ac:dyDescent="0.25">
      <c r="A25" s="25">
        <f>A24+0.0001</f>
        <v>4.0001999999999995</v>
      </c>
      <c r="B25" s="25"/>
      <c r="C25" s="28" t="s">
        <v>34</v>
      </c>
      <c r="D25" s="17" t="s">
        <v>23</v>
      </c>
      <c r="E25" s="17" t="s">
        <v>29</v>
      </c>
      <c r="F25" s="26"/>
      <c r="G25" s="57"/>
      <c r="H25" s="26"/>
      <c r="I25" s="16"/>
      <c r="J25" s="16">
        <f t="shared" si="3"/>
        <v>0</v>
      </c>
      <c r="K25" s="16">
        <f t="shared" si="3"/>
        <v>0</v>
      </c>
      <c r="L25" s="16">
        <f t="shared" si="3"/>
        <v>1</v>
      </c>
      <c r="M25" s="16">
        <f t="shared" si="3"/>
        <v>0</v>
      </c>
      <c r="N25" s="16">
        <f t="shared" si="3"/>
        <v>0</v>
      </c>
      <c r="O25" s="28"/>
    </row>
    <row r="26" spans="1:15" s="15" customFormat="1" x14ac:dyDescent="0.25">
      <c r="A26" s="25">
        <f>A25+0.0001</f>
        <v>4.0002999999999993</v>
      </c>
      <c r="B26" s="25"/>
      <c r="C26" s="28" t="s">
        <v>35</v>
      </c>
      <c r="D26" s="17" t="s">
        <v>21</v>
      </c>
      <c r="E26" s="17" t="s">
        <v>30</v>
      </c>
      <c r="F26" s="26"/>
      <c r="G26" s="54"/>
      <c r="H26" s="28"/>
      <c r="I26" s="16"/>
      <c r="J26" s="16">
        <f t="shared" si="3"/>
        <v>0</v>
      </c>
      <c r="K26" s="16">
        <f t="shared" si="3"/>
        <v>0</v>
      </c>
      <c r="L26" s="16">
        <f t="shared" si="3"/>
        <v>1</v>
      </c>
      <c r="M26" s="16">
        <f t="shared" si="3"/>
        <v>0</v>
      </c>
      <c r="N26" s="16">
        <f t="shared" si="3"/>
        <v>0</v>
      </c>
      <c r="O26" s="28"/>
    </row>
    <row r="27" spans="1:15" s="15" customFormat="1" x14ac:dyDescent="0.25">
      <c r="A27" s="25">
        <f t="shared" ref="A27:A29" si="4">A26+0.0001</f>
        <v>4.0003999999999991</v>
      </c>
      <c r="B27" s="25"/>
      <c r="C27" s="28" t="s">
        <v>36</v>
      </c>
      <c r="D27" s="17" t="s">
        <v>23</v>
      </c>
      <c r="E27" s="17" t="s">
        <v>31</v>
      </c>
      <c r="F27" s="26"/>
      <c r="G27" s="54"/>
      <c r="H27" s="28"/>
      <c r="I27" s="16"/>
      <c r="J27" s="16">
        <f t="shared" si="3"/>
        <v>0</v>
      </c>
      <c r="K27" s="16">
        <f t="shared" si="3"/>
        <v>0</v>
      </c>
      <c r="L27" s="16">
        <f t="shared" si="3"/>
        <v>1</v>
      </c>
      <c r="M27" s="16">
        <f t="shared" si="3"/>
        <v>0</v>
      </c>
      <c r="N27" s="16">
        <f t="shared" si="3"/>
        <v>0</v>
      </c>
      <c r="O27" s="28"/>
    </row>
    <row r="28" spans="1:15" s="15" customFormat="1" x14ac:dyDescent="0.25">
      <c r="A28" s="25">
        <f t="shared" si="4"/>
        <v>4.0004999999999988</v>
      </c>
      <c r="B28" s="25"/>
      <c r="C28" s="28" t="s">
        <v>37</v>
      </c>
      <c r="D28" s="17" t="s">
        <v>21</v>
      </c>
      <c r="E28" s="17" t="s">
        <v>32</v>
      </c>
      <c r="F28" s="26"/>
      <c r="G28" s="54"/>
      <c r="H28" s="28"/>
      <c r="I28" s="16"/>
      <c r="J28" s="16">
        <f t="shared" ref="J28:N46" si="5">IF($I28=J$1,1,0)</f>
        <v>0</v>
      </c>
      <c r="K28" s="16">
        <f t="shared" si="5"/>
        <v>0</v>
      </c>
      <c r="L28" s="16">
        <f t="shared" si="5"/>
        <v>1</v>
      </c>
      <c r="M28" s="16">
        <f t="shared" si="5"/>
        <v>0</v>
      </c>
      <c r="N28" s="16">
        <f t="shared" si="5"/>
        <v>0</v>
      </c>
      <c r="O28" s="28"/>
    </row>
    <row r="29" spans="1:15" s="15" customFormat="1" x14ac:dyDescent="0.25">
      <c r="A29" s="25">
        <f t="shared" si="4"/>
        <v>4.0005999999999986</v>
      </c>
      <c r="B29" s="25"/>
      <c r="C29" s="28" t="s">
        <v>40</v>
      </c>
      <c r="D29" s="37" t="s">
        <v>23</v>
      </c>
      <c r="E29" s="37" t="s">
        <v>41</v>
      </c>
      <c r="F29" s="26"/>
      <c r="G29" s="55"/>
      <c r="H29" s="28"/>
      <c r="I29" s="16"/>
      <c r="J29" s="16">
        <f t="shared" si="5"/>
        <v>0</v>
      </c>
      <c r="K29" s="16">
        <f t="shared" si="5"/>
        <v>0</v>
      </c>
      <c r="L29" s="16">
        <f t="shared" si="5"/>
        <v>1</v>
      </c>
      <c r="M29" s="16">
        <f t="shared" si="5"/>
        <v>0</v>
      </c>
      <c r="N29" s="16">
        <f t="shared" si="5"/>
        <v>0</v>
      </c>
      <c r="O29" s="28"/>
    </row>
    <row r="30" spans="1:15" s="34" customFormat="1" x14ac:dyDescent="0.25">
      <c r="A30" s="35"/>
      <c r="B30" s="35"/>
      <c r="C30" s="36" t="s">
        <v>135</v>
      </c>
      <c r="D30" s="25"/>
      <c r="E30" s="31"/>
      <c r="F30" s="26"/>
      <c r="G30" s="56"/>
      <c r="H30" s="31"/>
      <c r="I30" s="16"/>
      <c r="J30" s="16"/>
      <c r="K30" s="16"/>
      <c r="L30" s="16"/>
      <c r="M30" s="16"/>
      <c r="N30" s="16"/>
      <c r="O30" s="31"/>
    </row>
    <row r="31" spans="1:15" s="15" customFormat="1" x14ac:dyDescent="0.25">
      <c r="A31" s="25">
        <f>A29+0.0001</f>
        <v>4.0006999999999984</v>
      </c>
      <c r="B31" s="25"/>
      <c r="C31" s="26" t="s">
        <v>20</v>
      </c>
      <c r="D31" s="17" t="s">
        <v>21</v>
      </c>
      <c r="E31" s="17" t="s">
        <v>24</v>
      </c>
      <c r="F31" s="27"/>
      <c r="G31" s="54"/>
      <c r="H31" s="26"/>
      <c r="I31" s="16"/>
      <c r="J31" s="16">
        <f t="shared" si="5"/>
        <v>0</v>
      </c>
      <c r="K31" s="16">
        <f t="shared" si="5"/>
        <v>0</v>
      </c>
      <c r="L31" s="16">
        <f t="shared" si="5"/>
        <v>1</v>
      </c>
      <c r="M31" s="16">
        <f t="shared" si="5"/>
        <v>0</v>
      </c>
      <c r="N31" s="16">
        <f t="shared" si="5"/>
        <v>0</v>
      </c>
      <c r="O31" s="28"/>
    </row>
    <row r="32" spans="1:15" s="15" customFormat="1" x14ac:dyDescent="0.25">
      <c r="A32" s="25">
        <f>A31+0.0001</f>
        <v>4.0007999999999981</v>
      </c>
      <c r="B32" s="25"/>
      <c r="C32" s="28" t="s">
        <v>34</v>
      </c>
      <c r="D32" s="17" t="s">
        <v>23</v>
      </c>
      <c r="E32" s="17" t="s">
        <v>29</v>
      </c>
      <c r="F32" s="26"/>
      <c r="G32" s="57"/>
      <c r="H32" s="26"/>
      <c r="I32" s="16"/>
      <c r="J32" s="16">
        <f t="shared" si="5"/>
        <v>0</v>
      </c>
      <c r="K32" s="16">
        <f t="shared" si="5"/>
        <v>0</v>
      </c>
      <c r="L32" s="16">
        <f t="shared" si="5"/>
        <v>1</v>
      </c>
      <c r="M32" s="16">
        <f t="shared" si="5"/>
        <v>0</v>
      </c>
      <c r="N32" s="16">
        <f t="shared" si="5"/>
        <v>0</v>
      </c>
      <c r="O32" s="28"/>
    </row>
    <row r="33" spans="1:15" s="15" customFormat="1" x14ac:dyDescent="0.25">
      <c r="A33" s="25">
        <f>A32+0.0001</f>
        <v>4.0008999999999979</v>
      </c>
      <c r="B33" s="25"/>
      <c r="C33" s="28" t="s">
        <v>35</v>
      </c>
      <c r="D33" s="17" t="s">
        <v>21</v>
      </c>
      <c r="E33" s="17" t="s">
        <v>30</v>
      </c>
      <c r="F33" s="26"/>
      <c r="G33" s="54"/>
      <c r="H33" s="28"/>
      <c r="I33" s="16"/>
      <c r="J33" s="16">
        <f t="shared" si="5"/>
        <v>0</v>
      </c>
      <c r="K33" s="16">
        <f t="shared" si="5"/>
        <v>0</v>
      </c>
      <c r="L33" s="16">
        <f t="shared" si="5"/>
        <v>1</v>
      </c>
      <c r="M33" s="16">
        <f t="shared" si="5"/>
        <v>0</v>
      </c>
      <c r="N33" s="16">
        <f t="shared" si="5"/>
        <v>0</v>
      </c>
      <c r="O33" s="28"/>
    </row>
    <row r="34" spans="1:15" s="15" customFormat="1" x14ac:dyDescent="0.25">
      <c r="A34" s="25">
        <f t="shared" ref="A34:A36" si="6">A33+0.0001</f>
        <v>4.0009999999999977</v>
      </c>
      <c r="B34" s="25"/>
      <c r="C34" s="28" t="s">
        <v>36</v>
      </c>
      <c r="D34" s="17" t="s">
        <v>23</v>
      </c>
      <c r="E34" s="17" t="s">
        <v>31</v>
      </c>
      <c r="F34" s="26"/>
      <c r="G34" s="54"/>
      <c r="H34" s="28"/>
      <c r="I34" s="16"/>
      <c r="J34" s="16">
        <f t="shared" si="5"/>
        <v>0</v>
      </c>
      <c r="K34" s="16">
        <f t="shared" si="5"/>
        <v>0</v>
      </c>
      <c r="L34" s="16">
        <f t="shared" si="5"/>
        <v>1</v>
      </c>
      <c r="M34" s="16">
        <f t="shared" si="5"/>
        <v>0</v>
      </c>
      <c r="N34" s="16">
        <f t="shared" si="5"/>
        <v>0</v>
      </c>
      <c r="O34" s="28"/>
    </row>
    <row r="35" spans="1:15" s="15" customFormat="1" x14ac:dyDescent="0.25">
      <c r="A35" s="25">
        <f t="shared" si="6"/>
        <v>4.0010999999999974</v>
      </c>
      <c r="B35" s="25"/>
      <c r="C35" s="28" t="s">
        <v>37</v>
      </c>
      <c r="D35" s="17" t="s">
        <v>21</v>
      </c>
      <c r="E35" s="17" t="s">
        <v>32</v>
      </c>
      <c r="F35" s="26"/>
      <c r="G35" s="54"/>
      <c r="H35" s="28"/>
      <c r="I35" s="16"/>
      <c r="J35" s="16">
        <f t="shared" si="5"/>
        <v>0</v>
      </c>
      <c r="K35" s="16">
        <f t="shared" si="5"/>
        <v>0</v>
      </c>
      <c r="L35" s="16">
        <f t="shared" si="5"/>
        <v>1</v>
      </c>
      <c r="M35" s="16">
        <f t="shared" si="5"/>
        <v>0</v>
      </c>
      <c r="N35" s="16">
        <f t="shared" si="5"/>
        <v>0</v>
      </c>
      <c r="O35" s="28"/>
    </row>
    <row r="36" spans="1:15" s="15" customFormat="1" x14ac:dyDescent="0.25">
      <c r="A36" s="25">
        <f t="shared" si="6"/>
        <v>4.0011999999999972</v>
      </c>
      <c r="B36" s="25"/>
      <c r="C36" s="39" t="s">
        <v>38</v>
      </c>
      <c r="D36" s="37" t="s">
        <v>23</v>
      </c>
      <c r="E36" s="37" t="s">
        <v>33</v>
      </c>
      <c r="F36" s="26"/>
      <c r="G36" s="55"/>
      <c r="H36" s="28"/>
      <c r="I36" s="16"/>
      <c r="J36" s="16">
        <f t="shared" si="5"/>
        <v>0</v>
      </c>
      <c r="K36" s="16">
        <f t="shared" si="5"/>
        <v>0</v>
      </c>
      <c r="L36" s="16">
        <f t="shared" si="5"/>
        <v>1</v>
      </c>
      <c r="M36" s="16">
        <f t="shared" si="5"/>
        <v>0</v>
      </c>
      <c r="N36" s="16">
        <f t="shared" si="5"/>
        <v>0</v>
      </c>
      <c r="O36" s="28"/>
    </row>
    <row r="37" spans="1:15" s="34" customFormat="1" x14ac:dyDescent="0.25">
      <c r="A37" s="35"/>
      <c r="B37" s="35"/>
      <c r="C37" s="36" t="s">
        <v>136</v>
      </c>
      <c r="D37" s="25"/>
      <c r="E37" s="31"/>
      <c r="F37" s="32"/>
      <c r="G37" s="56"/>
      <c r="H37" s="31"/>
      <c r="I37" s="16"/>
      <c r="J37" s="16"/>
      <c r="K37" s="16"/>
      <c r="L37" s="16"/>
      <c r="M37" s="16"/>
      <c r="N37" s="16"/>
      <c r="O37" s="31"/>
    </row>
    <row r="38" spans="1:15" s="15" customFormat="1" x14ac:dyDescent="0.25">
      <c r="A38" s="25">
        <f>+A36+0.0001</f>
        <v>4.001299999999997</v>
      </c>
      <c r="B38" s="25"/>
      <c r="C38" s="26" t="s">
        <v>50</v>
      </c>
      <c r="D38" s="26" t="s">
        <v>21</v>
      </c>
      <c r="E38" s="26" t="s">
        <v>51</v>
      </c>
      <c r="F38" s="26"/>
      <c r="G38" s="54"/>
      <c r="H38" s="28"/>
      <c r="I38" s="16"/>
      <c r="J38" s="16">
        <f t="shared" si="5"/>
        <v>0</v>
      </c>
      <c r="K38" s="16">
        <f t="shared" si="5"/>
        <v>0</v>
      </c>
      <c r="L38" s="16">
        <f t="shared" si="5"/>
        <v>1</v>
      </c>
      <c r="M38" s="16">
        <f t="shared" si="5"/>
        <v>0</v>
      </c>
      <c r="N38" s="16">
        <f t="shared" si="5"/>
        <v>0</v>
      </c>
      <c r="O38" s="28"/>
    </row>
    <row r="39" spans="1:15" s="15" customFormat="1" x14ac:dyDescent="0.25">
      <c r="A39" s="25">
        <f>A38+0.0001</f>
        <v>4.0013999999999967</v>
      </c>
      <c r="B39" s="25"/>
      <c r="C39" s="26" t="s">
        <v>56</v>
      </c>
      <c r="D39" s="26" t="s">
        <v>23</v>
      </c>
      <c r="E39" s="26" t="s">
        <v>53</v>
      </c>
      <c r="F39" s="26"/>
      <c r="G39" s="54"/>
      <c r="H39" s="28"/>
      <c r="I39" s="16"/>
      <c r="J39" s="16">
        <f t="shared" si="5"/>
        <v>0</v>
      </c>
      <c r="K39" s="16">
        <f t="shared" si="5"/>
        <v>0</v>
      </c>
      <c r="L39" s="16">
        <f t="shared" si="5"/>
        <v>1</v>
      </c>
      <c r="M39" s="16">
        <f t="shared" si="5"/>
        <v>0</v>
      </c>
      <c r="N39" s="16">
        <f t="shared" si="5"/>
        <v>0</v>
      </c>
      <c r="O39" s="28"/>
    </row>
    <row r="40" spans="1:15" s="15" customFormat="1" x14ac:dyDescent="0.25">
      <c r="A40" s="25">
        <f t="shared" ref="A40:A43" si="7">A39+0.0001</f>
        <v>4.0014999999999965</v>
      </c>
      <c r="B40" s="25"/>
      <c r="C40" s="26" t="s">
        <v>36</v>
      </c>
      <c r="D40" s="26" t="s">
        <v>21</v>
      </c>
      <c r="E40" s="26" t="s">
        <v>31</v>
      </c>
      <c r="F40" s="26"/>
      <c r="G40" s="54"/>
      <c r="H40" s="28"/>
      <c r="I40" s="16"/>
      <c r="J40" s="16">
        <f t="shared" si="5"/>
        <v>0</v>
      </c>
      <c r="K40" s="16">
        <f t="shared" si="5"/>
        <v>0</v>
      </c>
      <c r="L40" s="16">
        <f t="shared" si="5"/>
        <v>1</v>
      </c>
      <c r="M40" s="16">
        <f t="shared" si="5"/>
        <v>0</v>
      </c>
      <c r="N40" s="16">
        <f t="shared" si="5"/>
        <v>0</v>
      </c>
      <c r="O40" s="28"/>
    </row>
    <row r="41" spans="1:15" s="15" customFormat="1" x14ac:dyDescent="0.25">
      <c r="A41" s="25">
        <f t="shared" si="7"/>
        <v>4.0015999999999963</v>
      </c>
      <c r="B41" s="25"/>
      <c r="C41" s="26" t="s">
        <v>35</v>
      </c>
      <c r="D41" s="26" t="s">
        <v>23</v>
      </c>
      <c r="E41" s="26" t="s">
        <v>30</v>
      </c>
      <c r="F41" s="26"/>
      <c r="G41" s="54"/>
      <c r="H41" s="28"/>
      <c r="I41" s="16"/>
      <c r="J41" s="16">
        <f t="shared" si="5"/>
        <v>0</v>
      </c>
      <c r="K41" s="16">
        <f t="shared" si="5"/>
        <v>0</v>
      </c>
      <c r="L41" s="16">
        <f t="shared" si="5"/>
        <v>1</v>
      </c>
      <c r="M41" s="16">
        <f t="shared" si="5"/>
        <v>0</v>
      </c>
      <c r="N41" s="16">
        <f t="shared" si="5"/>
        <v>0</v>
      </c>
      <c r="O41" s="28"/>
    </row>
    <row r="42" spans="1:15" s="15" customFormat="1" x14ac:dyDescent="0.25">
      <c r="A42" s="25">
        <f t="shared" si="7"/>
        <v>4.001699999999996</v>
      </c>
      <c r="B42" s="25"/>
      <c r="C42" s="28" t="s">
        <v>61</v>
      </c>
      <c r="D42" s="28" t="s">
        <v>21</v>
      </c>
      <c r="E42" s="28" t="s">
        <v>62</v>
      </c>
      <c r="F42" s="26"/>
      <c r="G42" s="54"/>
      <c r="H42" s="28"/>
      <c r="I42" s="16"/>
      <c r="J42" s="16">
        <f t="shared" si="5"/>
        <v>0</v>
      </c>
      <c r="K42" s="16">
        <f t="shared" si="5"/>
        <v>0</v>
      </c>
      <c r="L42" s="16">
        <f t="shared" si="5"/>
        <v>1</v>
      </c>
      <c r="M42" s="16">
        <f t="shared" si="5"/>
        <v>0</v>
      </c>
      <c r="N42" s="16">
        <f t="shared" si="5"/>
        <v>0</v>
      </c>
      <c r="O42" s="28"/>
    </row>
    <row r="43" spans="1:15" s="15" customFormat="1" x14ac:dyDescent="0.25">
      <c r="A43" s="25">
        <f t="shared" si="7"/>
        <v>4.0017999999999958</v>
      </c>
      <c r="B43" s="25"/>
      <c r="C43" s="28" t="s">
        <v>37</v>
      </c>
      <c r="D43" s="37" t="s">
        <v>23</v>
      </c>
      <c r="E43" s="37" t="s">
        <v>32</v>
      </c>
      <c r="F43" s="26"/>
      <c r="G43" s="55"/>
      <c r="H43" s="28"/>
      <c r="I43" s="16"/>
      <c r="J43" s="16">
        <f t="shared" si="5"/>
        <v>0</v>
      </c>
      <c r="K43" s="16">
        <f t="shared" si="5"/>
        <v>0</v>
      </c>
      <c r="L43" s="16">
        <f t="shared" si="5"/>
        <v>1</v>
      </c>
      <c r="M43" s="16">
        <f t="shared" si="5"/>
        <v>0</v>
      </c>
      <c r="N43" s="16">
        <f t="shared" si="5"/>
        <v>0</v>
      </c>
      <c r="O43" s="28"/>
    </row>
    <row r="44" spans="1:15" s="13" customFormat="1" ht="15" customHeight="1" x14ac:dyDescent="0.25">
      <c r="A44" s="22">
        <v>5</v>
      </c>
      <c r="B44" s="59" t="s">
        <v>137</v>
      </c>
      <c r="C44" s="60"/>
      <c r="D44" s="23"/>
      <c r="E44" s="23"/>
      <c r="F44" s="24"/>
      <c r="G44" s="53"/>
      <c r="H44" s="23"/>
      <c r="I44" s="16" t="s">
        <v>7</v>
      </c>
      <c r="J44" s="12"/>
      <c r="K44" s="12"/>
      <c r="L44" s="12"/>
      <c r="M44" s="12"/>
      <c r="N44" s="12"/>
      <c r="O44" s="23"/>
    </row>
    <row r="45" spans="1:15" s="34" customFormat="1" x14ac:dyDescent="0.25">
      <c r="A45" s="35"/>
      <c r="B45" s="35"/>
      <c r="C45" s="36" t="s">
        <v>138</v>
      </c>
      <c r="D45" s="25"/>
      <c r="E45" s="31"/>
      <c r="F45" s="32"/>
      <c r="G45" s="56"/>
      <c r="H45" s="31"/>
      <c r="I45" s="16"/>
      <c r="J45" s="16"/>
      <c r="K45" s="16"/>
      <c r="L45" s="16"/>
      <c r="M45" s="16"/>
      <c r="N45" s="16"/>
      <c r="O45" s="31"/>
    </row>
    <row r="46" spans="1:15" s="15" customFormat="1" x14ac:dyDescent="0.25">
      <c r="A46" s="25">
        <f>A44+0.0001</f>
        <v>5.0000999999999998</v>
      </c>
      <c r="B46" s="25"/>
      <c r="C46" s="28" t="s">
        <v>56</v>
      </c>
      <c r="D46" s="28" t="s">
        <v>21</v>
      </c>
      <c r="E46" s="28" t="s">
        <v>53</v>
      </c>
      <c r="F46" s="26"/>
      <c r="G46" s="54"/>
      <c r="H46" s="28"/>
      <c r="I46" s="16" t="s">
        <v>7</v>
      </c>
      <c r="J46" s="16">
        <f t="shared" si="5"/>
        <v>0</v>
      </c>
      <c r="K46" s="16">
        <f t="shared" si="5"/>
        <v>0</v>
      </c>
      <c r="L46" s="16">
        <f t="shared" si="5"/>
        <v>0</v>
      </c>
      <c r="M46" s="16">
        <f t="shared" si="5"/>
        <v>1</v>
      </c>
      <c r="N46" s="16">
        <f t="shared" si="5"/>
        <v>0</v>
      </c>
      <c r="O46" s="28"/>
    </row>
    <row r="47" spans="1:15" s="15" customFormat="1" x14ac:dyDescent="0.25">
      <c r="A47" s="25">
        <f t="shared" ref="A47:A80" si="8">A46+0.0001</f>
        <v>5.0001999999999995</v>
      </c>
      <c r="B47" s="25"/>
      <c r="C47" s="26" t="s">
        <v>19</v>
      </c>
      <c r="D47" s="26" t="s">
        <v>23</v>
      </c>
      <c r="E47" s="26" t="s">
        <v>22</v>
      </c>
      <c r="F47" s="26"/>
      <c r="G47" s="54"/>
      <c r="H47" s="28"/>
      <c r="I47" s="16" t="s">
        <v>7</v>
      </c>
      <c r="J47" s="16">
        <f t="shared" ref="J47:N70" si="9">IF($I47=J$1,1,0)</f>
        <v>0</v>
      </c>
      <c r="K47" s="16">
        <f t="shared" si="9"/>
        <v>0</v>
      </c>
      <c r="L47" s="16">
        <f t="shared" si="9"/>
        <v>0</v>
      </c>
      <c r="M47" s="16">
        <f t="shared" si="9"/>
        <v>1</v>
      </c>
      <c r="N47" s="16">
        <f t="shared" si="9"/>
        <v>0</v>
      </c>
      <c r="O47" s="28"/>
    </row>
    <row r="48" spans="1:15" s="34" customFormat="1" x14ac:dyDescent="0.25">
      <c r="A48" s="35"/>
      <c r="B48" s="35"/>
      <c r="C48" s="36" t="s">
        <v>139</v>
      </c>
      <c r="D48" s="25"/>
      <c r="E48" s="31"/>
      <c r="F48" s="32"/>
      <c r="G48" s="56"/>
      <c r="H48" s="31"/>
      <c r="I48" s="16"/>
      <c r="J48" s="16"/>
      <c r="K48" s="16"/>
      <c r="L48" s="16"/>
      <c r="M48" s="16"/>
      <c r="N48" s="16"/>
      <c r="O48" s="31"/>
    </row>
    <row r="49" spans="1:15" s="15" customFormat="1" x14ac:dyDescent="0.25">
      <c r="A49" s="25">
        <f>A47+0.0001</f>
        <v>5.0002999999999993</v>
      </c>
      <c r="B49" s="25"/>
      <c r="C49" s="28" t="s">
        <v>56</v>
      </c>
      <c r="D49" s="28" t="s">
        <v>21</v>
      </c>
      <c r="E49" s="28" t="s">
        <v>53</v>
      </c>
      <c r="F49" s="26"/>
      <c r="G49" s="54"/>
      <c r="H49" s="28"/>
      <c r="I49" s="16"/>
      <c r="J49" s="16">
        <f t="shared" si="9"/>
        <v>0</v>
      </c>
      <c r="K49" s="16">
        <f t="shared" si="9"/>
        <v>0</v>
      </c>
      <c r="L49" s="16">
        <f t="shared" si="9"/>
        <v>1</v>
      </c>
      <c r="M49" s="16">
        <f t="shared" si="9"/>
        <v>0</v>
      </c>
      <c r="N49" s="16">
        <f t="shared" si="9"/>
        <v>0</v>
      </c>
      <c r="O49" s="28"/>
    </row>
    <row r="50" spans="1:15" s="15" customFormat="1" x14ac:dyDescent="0.25">
      <c r="A50" s="25">
        <f t="shared" si="8"/>
        <v>5.0003999999999991</v>
      </c>
      <c r="B50" s="25"/>
      <c r="C50" s="28" t="s">
        <v>55</v>
      </c>
      <c r="D50" s="28" t="s">
        <v>23</v>
      </c>
      <c r="E50" s="28" t="s">
        <v>54</v>
      </c>
      <c r="F50" s="26"/>
      <c r="G50" s="54"/>
      <c r="H50" s="28"/>
      <c r="I50" s="16"/>
      <c r="J50" s="16">
        <f t="shared" si="9"/>
        <v>0</v>
      </c>
      <c r="K50" s="16">
        <f t="shared" si="9"/>
        <v>0</v>
      </c>
      <c r="L50" s="16">
        <f t="shared" si="9"/>
        <v>1</v>
      </c>
      <c r="M50" s="16">
        <f t="shared" si="9"/>
        <v>0</v>
      </c>
      <c r="N50" s="16">
        <f t="shared" si="9"/>
        <v>0</v>
      </c>
      <c r="O50" s="28"/>
    </row>
    <row r="51" spans="1:15" s="34" customFormat="1" x14ac:dyDescent="0.25">
      <c r="A51" s="35"/>
      <c r="B51" s="35"/>
      <c r="C51" s="36" t="s">
        <v>140</v>
      </c>
      <c r="D51" s="25"/>
      <c r="E51" s="31"/>
      <c r="F51" s="32"/>
      <c r="G51" s="56"/>
      <c r="H51" s="31"/>
      <c r="I51" s="16"/>
      <c r="J51" s="16"/>
      <c r="K51" s="16"/>
      <c r="L51" s="16"/>
      <c r="M51" s="16"/>
      <c r="N51" s="16"/>
      <c r="O51" s="31"/>
    </row>
    <row r="52" spans="1:15" s="15" customFormat="1" x14ac:dyDescent="0.25">
      <c r="A52" s="25">
        <f>A50+0.0001</f>
        <v>5.0004999999999988</v>
      </c>
      <c r="B52" s="25"/>
      <c r="C52" s="28" t="s">
        <v>55</v>
      </c>
      <c r="D52" s="28" t="s">
        <v>141</v>
      </c>
      <c r="E52" s="28" t="s">
        <v>54</v>
      </c>
      <c r="F52" s="26"/>
      <c r="G52" s="54"/>
      <c r="H52" s="28"/>
      <c r="I52" s="16" t="s">
        <v>7</v>
      </c>
      <c r="J52" s="16">
        <f t="shared" si="9"/>
        <v>0</v>
      </c>
      <c r="K52" s="16">
        <f t="shared" si="9"/>
        <v>0</v>
      </c>
      <c r="L52" s="16">
        <f t="shared" si="9"/>
        <v>0</v>
      </c>
      <c r="M52" s="16">
        <f t="shared" si="9"/>
        <v>1</v>
      </c>
      <c r="N52" s="16">
        <f t="shared" si="9"/>
        <v>0</v>
      </c>
      <c r="O52" s="28"/>
    </row>
    <row r="53" spans="1:15" s="15" customFormat="1" x14ac:dyDescent="0.25">
      <c r="A53" s="25">
        <f t="shared" si="8"/>
        <v>5.0005999999999986</v>
      </c>
      <c r="B53" s="25"/>
      <c r="C53" s="28" t="s">
        <v>19</v>
      </c>
      <c r="D53" s="28" t="s">
        <v>23</v>
      </c>
      <c r="E53" s="28" t="s">
        <v>22</v>
      </c>
      <c r="F53" s="26"/>
      <c r="G53" s="54"/>
      <c r="H53" s="28"/>
      <c r="I53" s="16" t="s">
        <v>7</v>
      </c>
      <c r="J53" s="16">
        <f t="shared" si="9"/>
        <v>0</v>
      </c>
      <c r="K53" s="16">
        <f t="shared" si="9"/>
        <v>0</v>
      </c>
      <c r="L53" s="16">
        <f t="shared" si="9"/>
        <v>0</v>
      </c>
      <c r="M53" s="16">
        <f t="shared" si="9"/>
        <v>1</v>
      </c>
      <c r="N53" s="16">
        <f t="shared" si="9"/>
        <v>0</v>
      </c>
      <c r="O53" s="28"/>
    </row>
    <row r="54" spans="1:15" s="13" customFormat="1" ht="15" customHeight="1" x14ac:dyDescent="0.25">
      <c r="A54" s="22">
        <v>6</v>
      </c>
      <c r="B54" s="59" t="s">
        <v>142</v>
      </c>
      <c r="C54" s="60"/>
      <c r="D54" s="23"/>
      <c r="E54" s="23"/>
      <c r="F54" s="24"/>
      <c r="G54" s="53"/>
      <c r="H54" s="23"/>
      <c r="I54" s="16" t="s">
        <v>7</v>
      </c>
      <c r="J54" s="12"/>
      <c r="K54" s="12"/>
      <c r="L54" s="12"/>
      <c r="M54" s="12"/>
      <c r="N54" s="12"/>
      <c r="O54" s="23"/>
    </row>
    <row r="55" spans="1:15" s="34" customFormat="1" ht="38.25" x14ac:dyDescent="0.25">
      <c r="A55" s="35"/>
      <c r="B55" s="35"/>
      <c r="C55" s="61" t="s">
        <v>143</v>
      </c>
      <c r="D55" s="62"/>
      <c r="E55" s="63"/>
      <c r="F55" s="32"/>
      <c r="G55" s="56" t="s">
        <v>293</v>
      </c>
      <c r="H55" s="31"/>
      <c r="I55" s="16" t="s">
        <v>7</v>
      </c>
      <c r="J55" s="16">
        <f t="shared" si="9"/>
        <v>0</v>
      </c>
      <c r="K55" s="16">
        <f t="shared" si="9"/>
        <v>0</v>
      </c>
      <c r="L55" s="16">
        <f t="shared" si="9"/>
        <v>0</v>
      </c>
      <c r="M55" s="16">
        <f t="shared" si="9"/>
        <v>1</v>
      </c>
      <c r="N55" s="16">
        <f t="shared" si="9"/>
        <v>0</v>
      </c>
      <c r="O55" s="31"/>
    </row>
    <row r="56" spans="1:15" s="15" customFormat="1" x14ac:dyDescent="0.25">
      <c r="A56" s="25">
        <f>+A54+0.0001</f>
        <v>6.0000999999999998</v>
      </c>
      <c r="B56" s="25"/>
      <c r="C56" s="26" t="s">
        <v>144</v>
      </c>
      <c r="D56" s="26" t="s">
        <v>21</v>
      </c>
      <c r="E56" s="26" t="s">
        <v>145</v>
      </c>
      <c r="F56" s="26"/>
      <c r="G56" s="54"/>
      <c r="H56" s="28"/>
      <c r="I56" s="16" t="s">
        <v>7</v>
      </c>
      <c r="J56" s="16">
        <f t="shared" si="9"/>
        <v>0</v>
      </c>
      <c r="K56" s="16">
        <f t="shared" si="9"/>
        <v>0</v>
      </c>
      <c r="L56" s="16">
        <f t="shared" si="9"/>
        <v>0</v>
      </c>
      <c r="M56" s="16">
        <f t="shared" si="9"/>
        <v>1</v>
      </c>
      <c r="N56" s="16">
        <f t="shared" si="9"/>
        <v>0</v>
      </c>
      <c r="O56" s="28"/>
    </row>
    <row r="57" spans="1:15" s="15" customFormat="1" x14ac:dyDescent="0.25">
      <c r="A57" s="25">
        <f t="shared" si="8"/>
        <v>6.0001999999999995</v>
      </c>
      <c r="B57" s="25"/>
      <c r="C57" s="26" t="s">
        <v>144</v>
      </c>
      <c r="D57" s="26" t="s">
        <v>23</v>
      </c>
      <c r="E57" s="26" t="s">
        <v>146</v>
      </c>
      <c r="F57" s="26"/>
      <c r="G57" s="54"/>
      <c r="H57" s="28"/>
      <c r="I57" s="16" t="s">
        <v>7</v>
      </c>
      <c r="J57" s="16">
        <f t="shared" si="9"/>
        <v>0</v>
      </c>
      <c r="K57" s="16">
        <f t="shared" si="9"/>
        <v>0</v>
      </c>
      <c r="L57" s="16">
        <f t="shared" si="9"/>
        <v>0</v>
      </c>
      <c r="M57" s="16">
        <f t="shared" si="9"/>
        <v>1</v>
      </c>
      <c r="N57" s="16">
        <f t="shared" si="9"/>
        <v>0</v>
      </c>
      <c r="O57" s="28"/>
    </row>
    <row r="58" spans="1:15" s="15" customFormat="1" x14ac:dyDescent="0.25">
      <c r="A58" s="25">
        <f t="shared" si="8"/>
        <v>6.0002999999999993</v>
      </c>
      <c r="B58" s="25"/>
      <c r="C58" s="28" t="s">
        <v>36</v>
      </c>
      <c r="D58" s="28" t="s">
        <v>21</v>
      </c>
      <c r="E58" s="28" t="s">
        <v>31</v>
      </c>
      <c r="F58" s="26"/>
      <c r="G58" s="54"/>
      <c r="H58" s="28"/>
      <c r="I58" s="16" t="s">
        <v>7</v>
      </c>
      <c r="J58" s="16">
        <f t="shared" si="9"/>
        <v>0</v>
      </c>
      <c r="K58" s="16">
        <f t="shared" si="9"/>
        <v>0</v>
      </c>
      <c r="L58" s="16">
        <f t="shared" si="9"/>
        <v>0</v>
      </c>
      <c r="M58" s="16">
        <f t="shared" si="9"/>
        <v>1</v>
      </c>
      <c r="N58" s="16">
        <f t="shared" si="9"/>
        <v>0</v>
      </c>
      <c r="O58" s="28"/>
    </row>
    <row r="59" spans="1:15" s="15" customFormat="1" x14ac:dyDescent="0.25">
      <c r="A59" s="25">
        <f t="shared" si="8"/>
        <v>6.0003999999999991</v>
      </c>
      <c r="B59" s="25"/>
      <c r="C59" s="28" t="s">
        <v>35</v>
      </c>
      <c r="D59" s="28" t="s">
        <v>23</v>
      </c>
      <c r="E59" s="28" t="s">
        <v>30</v>
      </c>
      <c r="F59" s="26"/>
      <c r="G59" s="54"/>
      <c r="H59" s="28"/>
      <c r="I59" s="16" t="s">
        <v>7</v>
      </c>
      <c r="J59" s="16">
        <f t="shared" si="9"/>
        <v>0</v>
      </c>
      <c r="K59" s="16">
        <f t="shared" si="9"/>
        <v>0</v>
      </c>
      <c r="L59" s="16">
        <f t="shared" si="9"/>
        <v>0</v>
      </c>
      <c r="M59" s="16">
        <f t="shared" si="9"/>
        <v>1</v>
      </c>
      <c r="N59" s="16">
        <f t="shared" si="9"/>
        <v>0</v>
      </c>
      <c r="O59" s="28"/>
    </row>
    <row r="60" spans="1:15" s="15" customFormat="1" x14ac:dyDescent="0.25">
      <c r="A60" s="25">
        <f t="shared" si="8"/>
        <v>6.0004999999999988</v>
      </c>
      <c r="B60" s="25"/>
      <c r="C60" s="28" t="s">
        <v>50</v>
      </c>
      <c r="D60" s="28" t="s">
        <v>141</v>
      </c>
      <c r="E60" s="28" t="s">
        <v>51</v>
      </c>
      <c r="F60" s="26"/>
      <c r="G60" s="54"/>
      <c r="H60" s="28"/>
      <c r="I60" s="16" t="s">
        <v>7</v>
      </c>
      <c r="J60" s="16">
        <f t="shared" si="9"/>
        <v>0</v>
      </c>
      <c r="K60" s="16">
        <f t="shared" si="9"/>
        <v>0</v>
      </c>
      <c r="L60" s="16">
        <f t="shared" si="9"/>
        <v>0</v>
      </c>
      <c r="M60" s="16">
        <f t="shared" si="9"/>
        <v>1</v>
      </c>
      <c r="N60" s="16">
        <f t="shared" si="9"/>
        <v>0</v>
      </c>
      <c r="O60" s="28"/>
    </row>
    <row r="61" spans="1:15" s="15" customFormat="1" x14ac:dyDescent="0.25">
      <c r="A61" s="25">
        <f t="shared" si="8"/>
        <v>6.0005999999999986</v>
      </c>
      <c r="B61" s="25"/>
      <c r="C61" s="26" t="s">
        <v>37</v>
      </c>
      <c r="D61" s="26" t="s">
        <v>147</v>
      </c>
      <c r="E61" s="26" t="s">
        <v>32</v>
      </c>
      <c r="F61" s="26"/>
      <c r="G61" s="54"/>
      <c r="H61" s="28"/>
      <c r="I61" s="16" t="s">
        <v>7</v>
      </c>
      <c r="J61" s="16">
        <f t="shared" si="9"/>
        <v>0</v>
      </c>
      <c r="K61" s="16">
        <f t="shared" si="9"/>
        <v>0</v>
      </c>
      <c r="L61" s="16">
        <f t="shared" si="9"/>
        <v>0</v>
      </c>
      <c r="M61" s="16">
        <f t="shared" si="9"/>
        <v>1</v>
      </c>
      <c r="N61" s="16">
        <f t="shared" si="9"/>
        <v>0</v>
      </c>
      <c r="O61" s="28"/>
    </row>
    <row r="62" spans="1:15" s="13" customFormat="1" ht="15" customHeight="1" x14ac:dyDescent="0.25">
      <c r="A62" s="22">
        <v>7</v>
      </c>
      <c r="B62" s="59" t="s">
        <v>148</v>
      </c>
      <c r="C62" s="60"/>
      <c r="D62" s="23"/>
      <c r="E62" s="23"/>
      <c r="F62" s="24"/>
      <c r="G62" s="53"/>
      <c r="H62" s="23"/>
      <c r="I62" s="16" t="s">
        <v>7</v>
      </c>
      <c r="J62" s="12"/>
      <c r="K62" s="12"/>
      <c r="L62" s="12"/>
      <c r="M62" s="12"/>
      <c r="N62" s="12"/>
      <c r="O62" s="23"/>
    </row>
    <row r="63" spans="1:15" s="34" customFormat="1" ht="24" customHeight="1" x14ac:dyDescent="0.25">
      <c r="A63" s="35"/>
      <c r="B63" s="35"/>
      <c r="C63" s="61" t="s">
        <v>149</v>
      </c>
      <c r="D63" s="62"/>
      <c r="E63" s="63"/>
      <c r="F63" s="32"/>
      <c r="G63" s="56"/>
      <c r="H63" s="31"/>
      <c r="I63" s="16" t="s">
        <v>7</v>
      </c>
      <c r="J63" s="16">
        <f t="shared" si="9"/>
        <v>0</v>
      </c>
      <c r="K63" s="16">
        <f t="shared" si="9"/>
        <v>0</v>
      </c>
      <c r="L63" s="16">
        <f t="shared" si="9"/>
        <v>0</v>
      </c>
      <c r="M63" s="16">
        <f t="shared" si="9"/>
        <v>1</v>
      </c>
      <c r="N63" s="16">
        <f t="shared" si="9"/>
        <v>0</v>
      </c>
      <c r="O63" s="31"/>
    </row>
    <row r="64" spans="1:15" s="15" customFormat="1" x14ac:dyDescent="0.25">
      <c r="A64" s="25">
        <f>A62+0.0001</f>
        <v>7.0000999999999998</v>
      </c>
      <c r="B64" s="25"/>
      <c r="C64" s="26" t="s">
        <v>144</v>
      </c>
      <c r="D64" s="26" t="s">
        <v>21</v>
      </c>
      <c r="E64" s="26" t="s">
        <v>145</v>
      </c>
      <c r="F64" s="26"/>
      <c r="G64" s="54"/>
      <c r="H64" s="28"/>
      <c r="I64" s="16" t="s">
        <v>7</v>
      </c>
      <c r="J64" s="16">
        <f t="shared" si="9"/>
        <v>0</v>
      </c>
      <c r="K64" s="16">
        <f t="shared" si="9"/>
        <v>0</v>
      </c>
      <c r="L64" s="16">
        <f t="shared" si="9"/>
        <v>0</v>
      </c>
      <c r="M64" s="16">
        <f t="shared" si="9"/>
        <v>1</v>
      </c>
      <c r="N64" s="16">
        <f t="shared" si="9"/>
        <v>0</v>
      </c>
      <c r="O64" s="28"/>
    </row>
    <row r="65" spans="1:15" s="15" customFormat="1" x14ac:dyDescent="0.25">
      <c r="A65" s="25">
        <f t="shared" si="8"/>
        <v>7.0001999999999995</v>
      </c>
      <c r="B65" s="25"/>
      <c r="C65" s="26" t="s">
        <v>144</v>
      </c>
      <c r="D65" s="26" t="s">
        <v>23</v>
      </c>
      <c r="E65" s="26" t="s">
        <v>150</v>
      </c>
      <c r="F65" s="26"/>
      <c r="G65" s="54"/>
      <c r="H65" s="28"/>
      <c r="I65" s="16" t="s">
        <v>7</v>
      </c>
      <c r="J65" s="16">
        <f t="shared" si="9"/>
        <v>0</v>
      </c>
      <c r="K65" s="16">
        <f t="shared" si="9"/>
        <v>0</v>
      </c>
      <c r="L65" s="16">
        <f t="shared" si="9"/>
        <v>0</v>
      </c>
      <c r="M65" s="16">
        <f t="shared" si="9"/>
        <v>1</v>
      </c>
      <c r="N65" s="16">
        <f t="shared" si="9"/>
        <v>0</v>
      </c>
      <c r="O65" s="28"/>
    </row>
    <row r="66" spans="1:15" s="15" customFormat="1" x14ac:dyDescent="0.25">
      <c r="A66" s="25">
        <f t="shared" si="8"/>
        <v>7.0002999999999993</v>
      </c>
      <c r="B66" s="25"/>
      <c r="C66" s="28" t="s">
        <v>36</v>
      </c>
      <c r="D66" s="28" t="s">
        <v>21</v>
      </c>
      <c r="E66" s="28" t="s">
        <v>31</v>
      </c>
      <c r="F66" s="26"/>
      <c r="G66" s="54"/>
      <c r="H66" s="28"/>
      <c r="I66" s="16" t="s">
        <v>7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1</v>
      </c>
      <c r="N66" s="16">
        <f t="shared" si="9"/>
        <v>0</v>
      </c>
      <c r="O66" s="28"/>
    </row>
    <row r="67" spans="1:15" s="15" customFormat="1" x14ac:dyDescent="0.25">
      <c r="A67" s="25">
        <f t="shared" si="8"/>
        <v>7.0003999999999991</v>
      </c>
      <c r="B67" s="25"/>
      <c r="C67" s="28" t="s">
        <v>35</v>
      </c>
      <c r="D67" s="28" t="s">
        <v>23</v>
      </c>
      <c r="E67" s="28" t="s">
        <v>30</v>
      </c>
      <c r="F67" s="26"/>
      <c r="G67" s="54"/>
      <c r="H67" s="28"/>
      <c r="I67" s="16" t="s">
        <v>7</v>
      </c>
      <c r="J67" s="16">
        <f t="shared" si="9"/>
        <v>0</v>
      </c>
      <c r="K67" s="16">
        <f t="shared" si="9"/>
        <v>0</v>
      </c>
      <c r="L67" s="16">
        <f t="shared" si="9"/>
        <v>0</v>
      </c>
      <c r="M67" s="16">
        <f t="shared" si="9"/>
        <v>1</v>
      </c>
      <c r="N67" s="16">
        <f t="shared" si="9"/>
        <v>0</v>
      </c>
      <c r="O67" s="28"/>
    </row>
    <row r="68" spans="1:15" s="15" customFormat="1" x14ac:dyDescent="0.25">
      <c r="A68" s="25">
        <f t="shared" si="8"/>
        <v>7.0004999999999988</v>
      </c>
      <c r="B68" s="25"/>
      <c r="C68" s="28" t="s">
        <v>50</v>
      </c>
      <c r="D68" s="28" t="s">
        <v>141</v>
      </c>
      <c r="E68" s="28" t="s">
        <v>51</v>
      </c>
      <c r="F68" s="26"/>
      <c r="G68" s="54"/>
      <c r="H68" s="28"/>
      <c r="I68" s="16" t="s">
        <v>7</v>
      </c>
      <c r="J68" s="16">
        <f t="shared" si="9"/>
        <v>0</v>
      </c>
      <c r="K68" s="16">
        <f t="shared" si="9"/>
        <v>0</v>
      </c>
      <c r="L68" s="16">
        <f t="shared" si="9"/>
        <v>0</v>
      </c>
      <c r="M68" s="16">
        <f t="shared" si="9"/>
        <v>1</v>
      </c>
      <c r="N68" s="16">
        <f t="shared" si="9"/>
        <v>0</v>
      </c>
      <c r="O68" s="28"/>
    </row>
    <row r="69" spans="1:15" s="15" customFormat="1" x14ac:dyDescent="0.25">
      <c r="A69" s="25">
        <f t="shared" si="8"/>
        <v>7.0005999999999986</v>
      </c>
      <c r="B69" s="25"/>
      <c r="C69" s="28" t="s">
        <v>37</v>
      </c>
      <c r="D69" s="28" t="s">
        <v>147</v>
      </c>
      <c r="E69" s="28" t="s">
        <v>32</v>
      </c>
      <c r="F69" s="26"/>
      <c r="G69" s="54"/>
      <c r="H69" s="28"/>
      <c r="I69" s="16" t="s">
        <v>7</v>
      </c>
      <c r="J69" s="16">
        <f t="shared" si="9"/>
        <v>0</v>
      </c>
      <c r="K69" s="16">
        <f t="shared" si="9"/>
        <v>0</v>
      </c>
      <c r="L69" s="16">
        <f t="shared" si="9"/>
        <v>0</v>
      </c>
      <c r="M69" s="16">
        <f t="shared" si="9"/>
        <v>1</v>
      </c>
      <c r="N69" s="16">
        <f t="shared" si="9"/>
        <v>0</v>
      </c>
      <c r="O69" s="28"/>
    </row>
    <row r="70" spans="1:15" s="34" customFormat="1" x14ac:dyDescent="0.25">
      <c r="A70" s="35"/>
      <c r="B70" s="35"/>
      <c r="C70" s="36" t="s">
        <v>151</v>
      </c>
      <c r="D70" s="25"/>
      <c r="E70" s="31"/>
      <c r="F70" s="32"/>
      <c r="G70" s="56"/>
      <c r="H70" s="31"/>
      <c r="I70" s="16" t="s">
        <v>7</v>
      </c>
      <c r="J70" s="16">
        <f t="shared" si="9"/>
        <v>0</v>
      </c>
      <c r="K70" s="16">
        <f t="shared" si="9"/>
        <v>0</v>
      </c>
      <c r="L70" s="16">
        <f t="shared" si="9"/>
        <v>0</v>
      </c>
      <c r="M70" s="16">
        <f t="shared" si="9"/>
        <v>1</v>
      </c>
      <c r="N70" s="16">
        <f t="shared" si="9"/>
        <v>0</v>
      </c>
      <c r="O70" s="31"/>
    </row>
    <row r="71" spans="1:15" s="15" customFormat="1" x14ac:dyDescent="0.25">
      <c r="A71" s="25">
        <f>A69+0.0001</f>
        <v>7.0006999999999984</v>
      </c>
      <c r="B71" s="25"/>
      <c r="C71" s="26"/>
      <c r="D71" s="26" t="s">
        <v>21</v>
      </c>
      <c r="E71" s="26" t="s">
        <v>294</v>
      </c>
      <c r="F71" s="26"/>
      <c r="G71" s="54"/>
      <c r="H71" s="28"/>
      <c r="I71" s="16" t="s">
        <v>7</v>
      </c>
      <c r="J71" s="16">
        <f t="shared" ref="J71:N81" si="10">IF($I71=J$1,1,0)</f>
        <v>0</v>
      </c>
      <c r="K71" s="16">
        <f t="shared" si="10"/>
        <v>0</v>
      </c>
      <c r="L71" s="16">
        <f t="shared" si="10"/>
        <v>0</v>
      </c>
      <c r="M71" s="16">
        <f t="shared" si="10"/>
        <v>1</v>
      </c>
      <c r="N71" s="16">
        <f t="shared" si="10"/>
        <v>0</v>
      </c>
      <c r="O71" s="28"/>
    </row>
    <row r="72" spans="1:15" s="15" customFormat="1" x14ac:dyDescent="0.25">
      <c r="A72" s="25">
        <f t="shared" si="8"/>
        <v>7.0007999999999981</v>
      </c>
      <c r="B72" s="25"/>
      <c r="C72" s="26"/>
      <c r="D72" s="26" t="s">
        <v>23</v>
      </c>
      <c r="E72" s="26" t="s">
        <v>152</v>
      </c>
      <c r="F72" s="26"/>
      <c r="G72" s="54"/>
      <c r="H72" s="28"/>
      <c r="I72" s="16" t="s">
        <v>7</v>
      </c>
      <c r="J72" s="16">
        <f t="shared" si="10"/>
        <v>0</v>
      </c>
      <c r="K72" s="16">
        <f t="shared" si="10"/>
        <v>0</v>
      </c>
      <c r="L72" s="16">
        <f t="shared" si="10"/>
        <v>0</v>
      </c>
      <c r="M72" s="16">
        <f t="shared" si="10"/>
        <v>1</v>
      </c>
      <c r="N72" s="16">
        <f t="shared" si="10"/>
        <v>0</v>
      </c>
      <c r="O72" s="28"/>
    </row>
    <row r="73" spans="1:15" s="13" customFormat="1" ht="15" customHeight="1" x14ac:dyDescent="0.25">
      <c r="A73" s="22">
        <v>8</v>
      </c>
      <c r="B73" s="59" t="s">
        <v>153</v>
      </c>
      <c r="C73" s="60"/>
      <c r="D73" s="23"/>
      <c r="E73" s="23"/>
      <c r="F73" s="24"/>
      <c r="G73" s="53"/>
      <c r="H73" s="23"/>
      <c r="I73" s="16" t="s">
        <v>7</v>
      </c>
      <c r="J73" s="12"/>
      <c r="K73" s="12"/>
      <c r="L73" s="12"/>
      <c r="M73" s="12"/>
      <c r="N73" s="12"/>
      <c r="O73" s="23"/>
    </row>
    <row r="74" spans="1:15" s="34" customFormat="1" x14ac:dyDescent="0.25">
      <c r="A74" s="35"/>
      <c r="B74" s="35"/>
      <c r="C74" s="36" t="s">
        <v>154</v>
      </c>
      <c r="D74" s="25"/>
      <c r="E74" s="31"/>
      <c r="F74" s="32"/>
      <c r="G74" s="56"/>
      <c r="H74" s="31"/>
      <c r="I74" s="16" t="s">
        <v>7</v>
      </c>
      <c r="J74" s="16">
        <f t="shared" ref="J74:N74" si="11">IF($I74=J$1,1,0)</f>
        <v>0</v>
      </c>
      <c r="K74" s="16">
        <f t="shared" si="11"/>
        <v>0</v>
      </c>
      <c r="L74" s="16">
        <f t="shared" si="11"/>
        <v>0</v>
      </c>
      <c r="M74" s="16">
        <f t="shared" si="11"/>
        <v>1</v>
      </c>
      <c r="N74" s="16">
        <f t="shared" si="11"/>
        <v>0</v>
      </c>
      <c r="O74" s="31"/>
    </row>
    <row r="75" spans="1:15" s="15" customFormat="1" x14ac:dyDescent="0.25">
      <c r="A75" s="25">
        <f>A73+0.0001</f>
        <v>8.0000999999999998</v>
      </c>
      <c r="B75" s="25"/>
      <c r="C75" s="26"/>
      <c r="D75" s="26" t="s">
        <v>21</v>
      </c>
      <c r="E75" s="26" t="s">
        <v>155</v>
      </c>
      <c r="F75" s="26"/>
      <c r="G75" s="54"/>
      <c r="H75" s="28"/>
      <c r="I75" s="16" t="s">
        <v>7</v>
      </c>
      <c r="J75" s="16">
        <f t="shared" si="10"/>
        <v>0</v>
      </c>
      <c r="K75" s="16">
        <f t="shared" si="10"/>
        <v>0</v>
      </c>
      <c r="L75" s="16">
        <f t="shared" si="10"/>
        <v>0</v>
      </c>
      <c r="M75" s="16">
        <f t="shared" si="10"/>
        <v>1</v>
      </c>
      <c r="N75" s="16">
        <f t="shared" si="10"/>
        <v>0</v>
      </c>
      <c r="O75" s="28"/>
    </row>
    <row r="76" spans="1:15" s="15" customFormat="1" x14ac:dyDescent="0.25">
      <c r="A76" s="25">
        <f t="shared" si="8"/>
        <v>8.0001999999999995</v>
      </c>
      <c r="B76" s="25"/>
      <c r="C76" s="26" t="s">
        <v>144</v>
      </c>
      <c r="D76" s="26" t="s">
        <v>23</v>
      </c>
      <c r="E76" s="26" t="s">
        <v>156</v>
      </c>
      <c r="F76" s="26"/>
      <c r="G76" s="54"/>
      <c r="H76" s="28"/>
      <c r="I76" s="16" t="s">
        <v>7</v>
      </c>
      <c r="J76" s="16">
        <f t="shared" si="10"/>
        <v>0</v>
      </c>
      <c r="K76" s="16">
        <f t="shared" si="10"/>
        <v>0</v>
      </c>
      <c r="L76" s="16">
        <f t="shared" si="10"/>
        <v>0</v>
      </c>
      <c r="M76" s="16">
        <f t="shared" si="10"/>
        <v>1</v>
      </c>
      <c r="N76" s="16">
        <f t="shared" si="10"/>
        <v>0</v>
      </c>
      <c r="O76" s="28"/>
    </row>
    <row r="77" spans="1:15" s="15" customFormat="1" x14ac:dyDescent="0.25">
      <c r="A77" s="25">
        <f t="shared" si="8"/>
        <v>8.0002999999999993</v>
      </c>
      <c r="B77" s="25"/>
      <c r="C77" s="26" t="s">
        <v>35</v>
      </c>
      <c r="D77" s="26" t="s">
        <v>21</v>
      </c>
      <c r="E77" s="26" t="s">
        <v>30</v>
      </c>
      <c r="F77" s="26"/>
      <c r="G77" s="54"/>
      <c r="H77" s="28"/>
      <c r="I77" s="16" t="s">
        <v>7</v>
      </c>
      <c r="J77" s="16">
        <f t="shared" si="10"/>
        <v>0</v>
      </c>
      <c r="K77" s="16">
        <f t="shared" si="10"/>
        <v>0</v>
      </c>
      <c r="L77" s="16">
        <f t="shared" si="10"/>
        <v>0</v>
      </c>
      <c r="M77" s="16">
        <f t="shared" si="10"/>
        <v>1</v>
      </c>
      <c r="N77" s="16">
        <f t="shared" si="10"/>
        <v>0</v>
      </c>
      <c r="O77" s="28"/>
    </row>
    <row r="78" spans="1:15" s="15" customFormat="1" x14ac:dyDescent="0.25">
      <c r="A78" s="25">
        <f t="shared" si="8"/>
        <v>8.0003999999999991</v>
      </c>
      <c r="B78" s="25"/>
      <c r="C78" s="28" t="s">
        <v>36</v>
      </c>
      <c r="D78" s="28" t="s">
        <v>23</v>
      </c>
      <c r="E78" s="28" t="s">
        <v>31</v>
      </c>
      <c r="F78" s="26"/>
      <c r="G78" s="54"/>
      <c r="H78" s="28"/>
      <c r="I78" s="16" t="s">
        <v>7</v>
      </c>
      <c r="J78" s="16">
        <f t="shared" si="10"/>
        <v>0</v>
      </c>
      <c r="K78" s="16">
        <f t="shared" si="10"/>
        <v>0</v>
      </c>
      <c r="L78" s="16">
        <f t="shared" si="10"/>
        <v>0</v>
      </c>
      <c r="M78" s="16">
        <f t="shared" si="10"/>
        <v>1</v>
      </c>
      <c r="N78" s="16">
        <f t="shared" si="10"/>
        <v>0</v>
      </c>
      <c r="O78" s="28"/>
    </row>
    <row r="79" spans="1:15" s="15" customFormat="1" x14ac:dyDescent="0.25">
      <c r="A79" s="25">
        <f t="shared" si="8"/>
        <v>8.0004999999999988</v>
      </c>
      <c r="B79" s="25"/>
      <c r="C79" s="28" t="s">
        <v>37</v>
      </c>
      <c r="D79" s="28" t="s">
        <v>141</v>
      </c>
      <c r="E79" s="28" t="s">
        <v>32</v>
      </c>
      <c r="F79" s="26"/>
      <c r="G79" s="54"/>
      <c r="H79" s="28"/>
      <c r="I79" s="16" t="s">
        <v>7</v>
      </c>
      <c r="J79" s="16">
        <f t="shared" si="10"/>
        <v>0</v>
      </c>
      <c r="K79" s="16">
        <f t="shared" si="10"/>
        <v>0</v>
      </c>
      <c r="L79" s="16">
        <f t="shared" si="10"/>
        <v>0</v>
      </c>
      <c r="M79" s="16">
        <f t="shared" si="10"/>
        <v>1</v>
      </c>
      <c r="N79" s="16">
        <f t="shared" si="10"/>
        <v>0</v>
      </c>
      <c r="O79" s="28"/>
    </row>
    <row r="80" spans="1:15" s="15" customFormat="1" x14ac:dyDescent="0.25">
      <c r="A80" s="25">
        <f t="shared" si="8"/>
        <v>8.0005999999999986</v>
      </c>
      <c r="B80" s="25"/>
      <c r="C80" s="28" t="s">
        <v>34</v>
      </c>
      <c r="D80" s="28" t="s">
        <v>147</v>
      </c>
      <c r="E80" s="28" t="s">
        <v>29</v>
      </c>
      <c r="F80" s="26"/>
      <c r="G80" s="54"/>
      <c r="H80" s="28"/>
      <c r="I80" s="16" t="s">
        <v>7</v>
      </c>
      <c r="J80" s="16">
        <f t="shared" si="10"/>
        <v>0</v>
      </c>
      <c r="K80" s="16">
        <f t="shared" si="10"/>
        <v>0</v>
      </c>
      <c r="L80" s="16">
        <f t="shared" si="10"/>
        <v>0</v>
      </c>
      <c r="M80" s="16">
        <f t="shared" si="10"/>
        <v>1</v>
      </c>
      <c r="N80" s="16">
        <f t="shared" si="10"/>
        <v>0</v>
      </c>
      <c r="O80" s="28"/>
    </row>
    <row r="81" spans="1:15" s="34" customFormat="1" x14ac:dyDescent="0.25">
      <c r="A81" s="35"/>
      <c r="B81" s="35"/>
      <c r="C81" s="36" t="s">
        <v>157</v>
      </c>
      <c r="D81" s="25"/>
      <c r="E81" s="31"/>
      <c r="F81" s="32"/>
      <c r="G81" s="56"/>
      <c r="H81" s="31"/>
      <c r="I81" s="16" t="s">
        <v>7</v>
      </c>
      <c r="J81" s="16">
        <f t="shared" si="10"/>
        <v>0</v>
      </c>
      <c r="K81" s="16">
        <f t="shared" si="10"/>
        <v>0</v>
      </c>
      <c r="L81" s="16">
        <f t="shared" si="10"/>
        <v>0</v>
      </c>
      <c r="M81" s="16">
        <f t="shared" si="10"/>
        <v>1</v>
      </c>
      <c r="N81" s="16">
        <f t="shared" si="10"/>
        <v>0</v>
      </c>
      <c r="O81" s="31"/>
    </row>
    <row r="82" spans="1:15" s="15" customFormat="1" x14ac:dyDescent="0.25">
      <c r="A82" s="25">
        <f>+A80+0.0001</f>
        <v>8.0006999999999984</v>
      </c>
      <c r="B82" s="25"/>
      <c r="C82" s="28"/>
      <c r="D82" s="28" t="s">
        <v>21</v>
      </c>
      <c r="E82" s="28" t="s">
        <v>155</v>
      </c>
      <c r="F82" s="26"/>
      <c r="G82" s="54"/>
      <c r="H82" s="28"/>
      <c r="I82" s="16" t="s">
        <v>7</v>
      </c>
      <c r="J82" s="16">
        <f t="shared" ref="J82:N122" si="12">IF($I82=J$1,1,0)</f>
        <v>0</v>
      </c>
      <c r="K82" s="16">
        <f t="shared" si="12"/>
        <v>0</v>
      </c>
      <c r="L82" s="16">
        <f t="shared" si="12"/>
        <v>0</v>
      </c>
      <c r="M82" s="16">
        <f t="shared" si="12"/>
        <v>1</v>
      </c>
      <c r="N82" s="16">
        <f t="shared" si="12"/>
        <v>0</v>
      </c>
      <c r="O82" s="28"/>
    </row>
    <row r="83" spans="1:15" s="15" customFormat="1" x14ac:dyDescent="0.25">
      <c r="A83" s="25">
        <f t="shared" ref="A83:A133" si="13">A82+0.0001</f>
        <v>8.0007999999999981</v>
      </c>
      <c r="B83" s="25"/>
      <c r="C83" s="28" t="s">
        <v>144</v>
      </c>
      <c r="D83" s="28" t="s">
        <v>23</v>
      </c>
      <c r="E83" s="28" t="s">
        <v>158</v>
      </c>
      <c r="F83" s="26"/>
      <c r="G83" s="54"/>
      <c r="H83" s="28"/>
      <c r="I83" s="16" t="s">
        <v>7</v>
      </c>
      <c r="J83" s="16">
        <f t="shared" si="12"/>
        <v>0</v>
      </c>
      <c r="K83" s="16">
        <f t="shared" si="12"/>
        <v>0</v>
      </c>
      <c r="L83" s="16">
        <f t="shared" si="12"/>
        <v>0</v>
      </c>
      <c r="M83" s="16">
        <f t="shared" si="12"/>
        <v>1</v>
      </c>
      <c r="N83" s="16">
        <f t="shared" si="12"/>
        <v>0</v>
      </c>
      <c r="O83" s="28"/>
    </row>
    <row r="84" spans="1:15" s="15" customFormat="1" x14ac:dyDescent="0.25">
      <c r="A84" s="25">
        <f t="shared" si="13"/>
        <v>8.0008999999999979</v>
      </c>
      <c r="B84" s="25"/>
      <c r="C84" s="28" t="s">
        <v>35</v>
      </c>
      <c r="D84" s="28" t="s">
        <v>21</v>
      </c>
      <c r="E84" s="28" t="s">
        <v>30</v>
      </c>
      <c r="F84" s="26"/>
      <c r="G84" s="54"/>
      <c r="H84" s="28"/>
      <c r="I84" s="16" t="s">
        <v>7</v>
      </c>
      <c r="J84" s="16">
        <f t="shared" si="12"/>
        <v>0</v>
      </c>
      <c r="K84" s="16">
        <f t="shared" si="12"/>
        <v>0</v>
      </c>
      <c r="L84" s="16">
        <f t="shared" si="12"/>
        <v>0</v>
      </c>
      <c r="M84" s="16">
        <f t="shared" si="12"/>
        <v>1</v>
      </c>
      <c r="N84" s="16">
        <f t="shared" si="12"/>
        <v>0</v>
      </c>
      <c r="O84" s="28"/>
    </row>
    <row r="85" spans="1:15" s="15" customFormat="1" x14ac:dyDescent="0.25">
      <c r="A85" s="25">
        <f t="shared" si="13"/>
        <v>8.0009999999999977</v>
      </c>
      <c r="B85" s="25"/>
      <c r="C85" s="28" t="s">
        <v>36</v>
      </c>
      <c r="D85" s="28" t="s">
        <v>23</v>
      </c>
      <c r="E85" s="28" t="s">
        <v>31</v>
      </c>
      <c r="F85" s="26"/>
      <c r="G85" s="54"/>
      <c r="H85" s="28"/>
      <c r="I85" s="16" t="s">
        <v>7</v>
      </c>
      <c r="J85" s="16">
        <f t="shared" si="12"/>
        <v>0</v>
      </c>
      <c r="K85" s="16">
        <f t="shared" si="12"/>
        <v>0</v>
      </c>
      <c r="L85" s="16">
        <f t="shared" si="12"/>
        <v>0</v>
      </c>
      <c r="M85" s="16">
        <f t="shared" si="12"/>
        <v>1</v>
      </c>
      <c r="N85" s="16">
        <f t="shared" si="12"/>
        <v>0</v>
      </c>
      <c r="O85" s="28"/>
    </row>
    <row r="86" spans="1:15" s="15" customFormat="1" x14ac:dyDescent="0.25">
      <c r="A86" s="25">
        <f t="shared" si="13"/>
        <v>8.0010999999999974</v>
      </c>
      <c r="B86" s="25"/>
      <c r="C86" s="28" t="s">
        <v>37</v>
      </c>
      <c r="D86" s="28" t="s">
        <v>141</v>
      </c>
      <c r="E86" s="28" t="s">
        <v>32</v>
      </c>
      <c r="F86" s="26"/>
      <c r="G86" s="54"/>
      <c r="H86" s="28"/>
      <c r="I86" s="16" t="s">
        <v>7</v>
      </c>
      <c r="J86" s="16">
        <f t="shared" si="12"/>
        <v>0</v>
      </c>
      <c r="K86" s="16">
        <f t="shared" si="12"/>
        <v>0</v>
      </c>
      <c r="L86" s="16">
        <f t="shared" si="12"/>
        <v>0</v>
      </c>
      <c r="M86" s="16">
        <f t="shared" si="12"/>
        <v>1</v>
      </c>
      <c r="N86" s="16">
        <f t="shared" si="12"/>
        <v>0</v>
      </c>
      <c r="O86" s="28"/>
    </row>
    <row r="87" spans="1:15" s="15" customFormat="1" x14ac:dyDescent="0.25">
      <c r="A87" s="25">
        <f t="shared" si="13"/>
        <v>8.0011999999999972</v>
      </c>
      <c r="B87" s="25"/>
      <c r="C87" s="28" t="s">
        <v>34</v>
      </c>
      <c r="D87" s="28" t="s">
        <v>147</v>
      </c>
      <c r="E87" s="28" t="s">
        <v>29</v>
      </c>
      <c r="F87" s="26"/>
      <c r="G87" s="54"/>
      <c r="H87" s="28"/>
      <c r="I87" s="16" t="s">
        <v>7</v>
      </c>
      <c r="J87" s="16">
        <f t="shared" si="12"/>
        <v>0</v>
      </c>
      <c r="K87" s="16">
        <f t="shared" si="12"/>
        <v>0</v>
      </c>
      <c r="L87" s="16">
        <f t="shared" si="12"/>
        <v>0</v>
      </c>
      <c r="M87" s="16">
        <f t="shared" si="12"/>
        <v>1</v>
      </c>
      <c r="N87" s="16">
        <f t="shared" si="12"/>
        <v>0</v>
      </c>
      <c r="O87" s="28"/>
    </row>
    <row r="88" spans="1:15" s="34" customFormat="1" ht="15" customHeight="1" x14ac:dyDescent="0.25">
      <c r="A88" s="35"/>
      <c r="B88" s="35"/>
      <c r="C88" s="61" t="s">
        <v>159</v>
      </c>
      <c r="D88" s="62"/>
      <c r="E88" s="63"/>
      <c r="F88" s="32"/>
      <c r="G88" s="56"/>
      <c r="H88" s="31"/>
      <c r="I88" s="16"/>
      <c r="J88" s="16"/>
      <c r="K88" s="16"/>
      <c r="L88" s="16"/>
      <c r="M88" s="16"/>
      <c r="N88" s="16"/>
      <c r="O88" s="31"/>
    </row>
    <row r="89" spans="1:15" s="15" customFormat="1" x14ac:dyDescent="0.25">
      <c r="A89" s="25">
        <f>A87+0.0001</f>
        <v>8.001299999999997</v>
      </c>
      <c r="B89" s="25"/>
      <c r="C89" s="28" t="s">
        <v>144</v>
      </c>
      <c r="D89" s="28" t="s">
        <v>21</v>
      </c>
      <c r="E89" s="28" t="s">
        <v>158</v>
      </c>
      <c r="F89" s="26"/>
      <c r="G89" s="54"/>
      <c r="H89" s="28"/>
      <c r="I89" s="16" t="s">
        <v>7</v>
      </c>
      <c r="J89" s="16">
        <f t="shared" si="12"/>
        <v>0</v>
      </c>
      <c r="K89" s="16">
        <f t="shared" si="12"/>
        <v>0</v>
      </c>
      <c r="L89" s="16">
        <f t="shared" si="12"/>
        <v>0</v>
      </c>
      <c r="M89" s="16">
        <f t="shared" si="12"/>
        <v>1</v>
      </c>
      <c r="N89" s="16">
        <f t="shared" si="12"/>
        <v>0</v>
      </c>
      <c r="O89" s="28"/>
    </row>
    <row r="90" spans="1:15" s="15" customFormat="1" x14ac:dyDescent="0.25">
      <c r="A90" s="25">
        <f t="shared" si="13"/>
        <v>8.0013999999999967</v>
      </c>
      <c r="B90" s="25"/>
      <c r="C90" s="28"/>
      <c r="D90" s="28" t="s">
        <v>23</v>
      </c>
      <c r="E90" s="28" t="s">
        <v>155</v>
      </c>
      <c r="F90" s="26"/>
      <c r="G90" s="54"/>
      <c r="H90" s="28"/>
      <c r="I90" s="16" t="s">
        <v>7</v>
      </c>
      <c r="J90" s="16">
        <f t="shared" si="12"/>
        <v>0</v>
      </c>
      <c r="K90" s="16">
        <f t="shared" si="12"/>
        <v>0</v>
      </c>
      <c r="L90" s="16">
        <f t="shared" si="12"/>
        <v>0</v>
      </c>
      <c r="M90" s="16">
        <f t="shared" si="12"/>
        <v>1</v>
      </c>
      <c r="N90" s="16">
        <f t="shared" si="12"/>
        <v>0</v>
      </c>
      <c r="O90" s="28"/>
    </row>
    <row r="91" spans="1:15" s="15" customFormat="1" x14ac:dyDescent="0.25">
      <c r="A91" s="25">
        <f t="shared" si="13"/>
        <v>8.0014999999999965</v>
      </c>
      <c r="B91" s="25"/>
      <c r="C91" s="28" t="s">
        <v>36</v>
      </c>
      <c r="D91" s="28" t="s">
        <v>21</v>
      </c>
      <c r="E91" s="28" t="s">
        <v>31</v>
      </c>
      <c r="F91" s="26"/>
      <c r="G91" s="54"/>
      <c r="H91" s="28"/>
      <c r="I91" s="16" t="s">
        <v>7</v>
      </c>
      <c r="J91" s="16">
        <f t="shared" si="12"/>
        <v>0</v>
      </c>
      <c r="K91" s="16">
        <f t="shared" si="12"/>
        <v>0</v>
      </c>
      <c r="L91" s="16">
        <f t="shared" si="12"/>
        <v>0</v>
      </c>
      <c r="M91" s="16">
        <f t="shared" si="12"/>
        <v>1</v>
      </c>
      <c r="N91" s="16">
        <f t="shared" si="12"/>
        <v>0</v>
      </c>
      <c r="O91" s="28"/>
    </row>
    <row r="92" spans="1:15" s="15" customFormat="1" x14ac:dyDescent="0.25">
      <c r="A92" s="25">
        <f t="shared" si="13"/>
        <v>8.0015999999999963</v>
      </c>
      <c r="B92" s="25"/>
      <c r="C92" s="28" t="s">
        <v>35</v>
      </c>
      <c r="D92" s="28" t="s">
        <v>23</v>
      </c>
      <c r="E92" s="28" t="s">
        <v>30</v>
      </c>
      <c r="F92" s="26"/>
      <c r="G92" s="54"/>
      <c r="H92" s="28"/>
      <c r="I92" s="16" t="s">
        <v>7</v>
      </c>
      <c r="J92" s="16">
        <f t="shared" si="12"/>
        <v>0</v>
      </c>
      <c r="K92" s="16">
        <f t="shared" si="12"/>
        <v>0</v>
      </c>
      <c r="L92" s="16">
        <f t="shared" si="12"/>
        <v>0</v>
      </c>
      <c r="M92" s="16">
        <f t="shared" si="12"/>
        <v>1</v>
      </c>
      <c r="N92" s="16">
        <f t="shared" si="12"/>
        <v>0</v>
      </c>
      <c r="O92" s="28"/>
    </row>
    <row r="93" spans="1:15" s="15" customFormat="1" x14ac:dyDescent="0.25">
      <c r="A93" s="25">
        <f t="shared" si="13"/>
        <v>8.001699999999996</v>
      </c>
      <c r="B93" s="25"/>
      <c r="C93" s="28" t="s">
        <v>50</v>
      </c>
      <c r="D93" s="28" t="s">
        <v>141</v>
      </c>
      <c r="E93" s="28" t="s">
        <v>51</v>
      </c>
      <c r="F93" s="26"/>
      <c r="G93" s="54"/>
      <c r="H93" s="28"/>
      <c r="I93" s="16" t="s">
        <v>7</v>
      </c>
      <c r="J93" s="16">
        <f t="shared" si="12"/>
        <v>0</v>
      </c>
      <c r="K93" s="16">
        <f t="shared" si="12"/>
        <v>0</v>
      </c>
      <c r="L93" s="16">
        <f t="shared" si="12"/>
        <v>0</v>
      </c>
      <c r="M93" s="16">
        <f t="shared" si="12"/>
        <v>1</v>
      </c>
      <c r="N93" s="16">
        <f t="shared" si="12"/>
        <v>0</v>
      </c>
      <c r="O93" s="28"/>
    </row>
    <row r="94" spans="1:15" s="15" customFormat="1" x14ac:dyDescent="0.25">
      <c r="A94" s="25">
        <f t="shared" si="13"/>
        <v>8.0017999999999958</v>
      </c>
      <c r="B94" s="25"/>
      <c r="C94" s="28" t="s">
        <v>37</v>
      </c>
      <c r="D94" s="28" t="s">
        <v>147</v>
      </c>
      <c r="E94" s="28" t="s">
        <v>32</v>
      </c>
      <c r="F94" s="26"/>
      <c r="G94" s="54"/>
      <c r="H94" s="28"/>
      <c r="I94" s="16" t="s">
        <v>7</v>
      </c>
      <c r="J94" s="16">
        <f t="shared" si="12"/>
        <v>0</v>
      </c>
      <c r="K94" s="16">
        <f t="shared" si="12"/>
        <v>0</v>
      </c>
      <c r="L94" s="16">
        <f t="shared" si="12"/>
        <v>0</v>
      </c>
      <c r="M94" s="16">
        <f t="shared" si="12"/>
        <v>1</v>
      </c>
      <c r="N94" s="16">
        <f t="shared" si="12"/>
        <v>0</v>
      </c>
      <c r="O94" s="28"/>
    </row>
    <row r="95" spans="1:15" s="34" customFormat="1" x14ac:dyDescent="0.25">
      <c r="A95" s="35"/>
      <c r="B95" s="35"/>
      <c r="C95" s="36" t="s">
        <v>160</v>
      </c>
      <c r="D95" s="25"/>
      <c r="E95" s="31"/>
      <c r="F95" s="32"/>
      <c r="G95" s="56"/>
      <c r="H95" s="31"/>
      <c r="I95" s="16"/>
      <c r="J95" s="16"/>
      <c r="K95" s="16"/>
      <c r="L95" s="16"/>
      <c r="M95" s="16"/>
      <c r="N95" s="16"/>
      <c r="O95" s="31"/>
    </row>
    <row r="96" spans="1:15" s="15" customFormat="1" x14ac:dyDescent="0.25">
      <c r="A96" s="25">
        <f>A80+0.0001</f>
        <v>8.0006999999999984</v>
      </c>
      <c r="B96" s="25"/>
      <c r="C96" s="28" t="s">
        <v>144</v>
      </c>
      <c r="D96" s="28" t="s">
        <v>21</v>
      </c>
      <c r="E96" s="28" t="s">
        <v>158</v>
      </c>
      <c r="F96" s="26"/>
      <c r="G96" s="54"/>
      <c r="H96" s="28"/>
      <c r="I96" s="16"/>
      <c r="J96" s="16">
        <f t="shared" si="12"/>
        <v>0</v>
      </c>
      <c r="K96" s="16">
        <f t="shared" si="12"/>
        <v>0</v>
      </c>
      <c r="L96" s="16">
        <f t="shared" si="12"/>
        <v>1</v>
      </c>
      <c r="M96" s="16">
        <f t="shared" si="12"/>
        <v>0</v>
      </c>
      <c r="N96" s="16">
        <f t="shared" si="12"/>
        <v>0</v>
      </c>
      <c r="O96" s="28"/>
    </row>
    <row r="97" spans="1:15" s="15" customFormat="1" x14ac:dyDescent="0.25">
      <c r="A97" s="25">
        <f t="shared" ref="A97:A101" si="14">A96+0.0001</f>
        <v>8.0007999999999981</v>
      </c>
      <c r="B97" s="25"/>
      <c r="C97" s="28"/>
      <c r="D97" s="28" t="s">
        <v>23</v>
      </c>
      <c r="E97" s="28" t="s">
        <v>155</v>
      </c>
      <c r="F97" s="26"/>
      <c r="G97" s="54"/>
      <c r="H97" s="28"/>
      <c r="I97" s="16"/>
      <c r="J97" s="16">
        <f t="shared" si="12"/>
        <v>0</v>
      </c>
      <c r="K97" s="16">
        <f t="shared" si="12"/>
        <v>0</v>
      </c>
      <c r="L97" s="16">
        <f t="shared" si="12"/>
        <v>1</v>
      </c>
      <c r="M97" s="16">
        <f t="shared" si="12"/>
        <v>0</v>
      </c>
      <c r="N97" s="16">
        <f t="shared" si="12"/>
        <v>0</v>
      </c>
      <c r="O97" s="28"/>
    </row>
    <row r="98" spans="1:15" s="15" customFormat="1" x14ac:dyDescent="0.25">
      <c r="A98" s="25">
        <f t="shared" si="14"/>
        <v>8.0008999999999979</v>
      </c>
      <c r="B98" s="25"/>
      <c r="C98" s="28" t="s">
        <v>36</v>
      </c>
      <c r="D98" s="28" t="s">
        <v>21</v>
      </c>
      <c r="E98" s="28" t="s">
        <v>31</v>
      </c>
      <c r="F98" s="26"/>
      <c r="G98" s="54"/>
      <c r="H98" s="28"/>
      <c r="I98" s="16"/>
      <c r="J98" s="16">
        <f t="shared" si="12"/>
        <v>0</v>
      </c>
      <c r="K98" s="16">
        <f t="shared" si="12"/>
        <v>0</v>
      </c>
      <c r="L98" s="16">
        <f t="shared" si="12"/>
        <v>1</v>
      </c>
      <c r="M98" s="16">
        <f t="shared" si="12"/>
        <v>0</v>
      </c>
      <c r="N98" s="16">
        <f t="shared" si="12"/>
        <v>0</v>
      </c>
      <c r="O98" s="28"/>
    </row>
    <row r="99" spans="1:15" s="15" customFormat="1" x14ac:dyDescent="0.25">
      <c r="A99" s="25">
        <f t="shared" si="14"/>
        <v>8.0009999999999977</v>
      </c>
      <c r="B99" s="25"/>
      <c r="C99" s="28" t="s">
        <v>35</v>
      </c>
      <c r="D99" s="28" t="s">
        <v>23</v>
      </c>
      <c r="E99" s="28" t="s">
        <v>30</v>
      </c>
      <c r="F99" s="26"/>
      <c r="G99" s="54"/>
      <c r="H99" s="28"/>
      <c r="I99" s="16"/>
      <c r="J99" s="16">
        <f t="shared" si="12"/>
        <v>0</v>
      </c>
      <c r="K99" s="16">
        <f t="shared" si="12"/>
        <v>0</v>
      </c>
      <c r="L99" s="16">
        <f t="shared" si="12"/>
        <v>1</v>
      </c>
      <c r="M99" s="16">
        <f t="shared" si="12"/>
        <v>0</v>
      </c>
      <c r="N99" s="16">
        <f t="shared" si="12"/>
        <v>0</v>
      </c>
      <c r="O99" s="28"/>
    </row>
    <row r="100" spans="1:15" s="15" customFormat="1" x14ac:dyDescent="0.25">
      <c r="A100" s="25">
        <f t="shared" si="14"/>
        <v>8.0010999999999974</v>
      </c>
      <c r="B100" s="25"/>
      <c r="C100" s="28" t="s">
        <v>50</v>
      </c>
      <c r="D100" s="28" t="s">
        <v>141</v>
      </c>
      <c r="E100" s="28" t="s">
        <v>51</v>
      </c>
      <c r="F100" s="26"/>
      <c r="G100" s="54"/>
      <c r="H100" s="28"/>
      <c r="I100" s="16"/>
      <c r="J100" s="16">
        <f t="shared" si="12"/>
        <v>0</v>
      </c>
      <c r="K100" s="16">
        <f t="shared" si="12"/>
        <v>0</v>
      </c>
      <c r="L100" s="16">
        <f t="shared" si="12"/>
        <v>1</v>
      </c>
      <c r="M100" s="16">
        <f t="shared" si="12"/>
        <v>0</v>
      </c>
      <c r="N100" s="16">
        <f t="shared" si="12"/>
        <v>0</v>
      </c>
      <c r="O100" s="28"/>
    </row>
    <row r="101" spans="1:15" s="15" customFormat="1" x14ac:dyDescent="0.25">
      <c r="A101" s="25">
        <f t="shared" si="14"/>
        <v>8.0011999999999972</v>
      </c>
      <c r="B101" s="25"/>
      <c r="C101" s="28" t="s">
        <v>37</v>
      </c>
      <c r="D101" s="28" t="s">
        <v>147</v>
      </c>
      <c r="E101" s="28" t="s">
        <v>32</v>
      </c>
      <c r="F101" s="26"/>
      <c r="G101" s="54"/>
      <c r="H101" s="28"/>
      <c r="I101" s="16"/>
      <c r="J101" s="16">
        <f t="shared" si="12"/>
        <v>0</v>
      </c>
      <c r="K101" s="16">
        <f t="shared" si="12"/>
        <v>0</v>
      </c>
      <c r="L101" s="16">
        <f t="shared" si="12"/>
        <v>1</v>
      </c>
      <c r="M101" s="16">
        <f t="shared" si="12"/>
        <v>0</v>
      </c>
      <c r="N101" s="16">
        <f t="shared" si="12"/>
        <v>0</v>
      </c>
      <c r="O101" s="28"/>
    </row>
    <row r="102" spans="1:15" s="34" customFormat="1" x14ac:dyDescent="0.25">
      <c r="A102" s="35"/>
      <c r="B102" s="35"/>
      <c r="C102" s="36" t="s">
        <v>161</v>
      </c>
      <c r="D102" s="25"/>
      <c r="E102" s="31"/>
      <c r="F102" s="32"/>
      <c r="G102" s="56"/>
      <c r="H102" s="31"/>
      <c r="I102" s="16"/>
      <c r="J102" s="16"/>
      <c r="K102" s="16"/>
      <c r="L102" s="16"/>
      <c r="M102" s="16"/>
      <c r="N102" s="16"/>
      <c r="O102" s="31"/>
    </row>
    <row r="103" spans="1:15" s="15" customFormat="1" x14ac:dyDescent="0.25">
      <c r="A103" s="25">
        <f>A101+0.0001</f>
        <v>8.001299999999997</v>
      </c>
      <c r="B103" s="25"/>
      <c r="C103" s="28"/>
      <c r="D103" s="28" t="s">
        <v>21</v>
      </c>
      <c r="E103" s="28" t="s">
        <v>155</v>
      </c>
      <c r="F103" s="26"/>
      <c r="G103" s="54"/>
      <c r="H103" s="28"/>
      <c r="I103" s="16" t="s">
        <v>7</v>
      </c>
      <c r="J103" s="16">
        <f t="shared" si="12"/>
        <v>0</v>
      </c>
      <c r="K103" s="16">
        <f t="shared" si="12"/>
        <v>0</v>
      </c>
      <c r="L103" s="16">
        <f t="shared" si="12"/>
        <v>0</v>
      </c>
      <c r="M103" s="16">
        <f t="shared" si="12"/>
        <v>1</v>
      </c>
      <c r="N103" s="16">
        <f t="shared" si="12"/>
        <v>0</v>
      </c>
      <c r="O103" s="28"/>
    </row>
    <row r="104" spans="1:15" s="15" customFormat="1" x14ac:dyDescent="0.25">
      <c r="A104" s="25">
        <f>A103+0.0001</f>
        <v>8.0013999999999967</v>
      </c>
      <c r="B104" s="25"/>
      <c r="C104" s="28" t="s">
        <v>144</v>
      </c>
      <c r="D104" s="28" t="s">
        <v>23</v>
      </c>
      <c r="E104" s="28" t="s">
        <v>158</v>
      </c>
      <c r="F104" s="26"/>
      <c r="G104" s="54"/>
      <c r="H104" s="28"/>
      <c r="I104" s="16" t="s">
        <v>7</v>
      </c>
      <c r="J104" s="16">
        <f t="shared" si="12"/>
        <v>0</v>
      </c>
      <c r="K104" s="16">
        <f t="shared" si="12"/>
        <v>0</v>
      </c>
      <c r="L104" s="16">
        <f t="shared" si="12"/>
        <v>0</v>
      </c>
      <c r="M104" s="16">
        <f t="shared" si="12"/>
        <v>1</v>
      </c>
      <c r="N104" s="16">
        <f t="shared" si="12"/>
        <v>0</v>
      </c>
      <c r="O104" s="28"/>
    </row>
    <row r="105" spans="1:15" s="15" customFormat="1" x14ac:dyDescent="0.25">
      <c r="A105" s="25">
        <f t="shared" ref="A105:A108" si="15">A104+0.0001</f>
        <v>8.0014999999999965</v>
      </c>
      <c r="B105" s="25"/>
      <c r="C105" s="28" t="s">
        <v>35</v>
      </c>
      <c r="D105" s="28" t="s">
        <v>21</v>
      </c>
      <c r="E105" s="28" t="s">
        <v>30</v>
      </c>
      <c r="F105" s="26"/>
      <c r="G105" s="54"/>
      <c r="H105" s="28"/>
      <c r="I105" s="16" t="s">
        <v>7</v>
      </c>
      <c r="J105" s="16">
        <f t="shared" si="12"/>
        <v>0</v>
      </c>
      <c r="K105" s="16">
        <f t="shared" si="12"/>
        <v>0</v>
      </c>
      <c r="L105" s="16">
        <f t="shared" si="12"/>
        <v>0</v>
      </c>
      <c r="M105" s="16">
        <f t="shared" si="12"/>
        <v>1</v>
      </c>
      <c r="N105" s="16">
        <f t="shared" si="12"/>
        <v>0</v>
      </c>
      <c r="O105" s="28"/>
    </row>
    <row r="106" spans="1:15" s="15" customFormat="1" x14ac:dyDescent="0.25">
      <c r="A106" s="25">
        <f t="shared" si="15"/>
        <v>8.0015999999999963</v>
      </c>
      <c r="B106" s="25"/>
      <c r="C106" s="28" t="s">
        <v>36</v>
      </c>
      <c r="D106" s="28" t="s">
        <v>23</v>
      </c>
      <c r="E106" s="28" t="s">
        <v>31</v>
      </c>
      <c r="F106" s="26"/>
      <c r="G106" s="54"/>
      <c r="H106" s="28"/>
      <c r="I106" s="16" t="s">
        <v>7</v>
      </c>
      <c r="J106" s="16">
        <f t="shared" si="12"/>
        <v>0</v>
      </c>
      <c r="K106" s="16">
        <f t="shared" si="12"/>
        <v>0</v>
      </c>
      <c r="L106" s="16">
        <f t="shared" si="12"/>
        <v>0</v>
      </c>
      <c r="M106" s="16">
        <f t="shared" si="12"/>
        <v>1</v>
      </c>
      <c r="N106" s="16">
        <f t="shared" si="12"/>
        <v>0</v>
      </c>
      <c r="O106" s="28"/>
    </row>
    <row r="107" spans="1:15" s="15" customFormat="1" x14ac:dyDescent="0.25">
      <c r="A107" s="25">
        <f t="shared" si="15"/>
        <v>8.001699999999996</v>
      </c>
      <c r="B107" s="25"/>
      <c r="C107" s="28" t="s">
        <v>37</v>
      </c>
      <c r="D107" s="28" t="s">
        <v>141</v>
      </c>
      <c r="E107" s="28" t="s">
        <v>32</v>
      </c>
      <c r="F107" s="26"/>
      <c r="G107" s="54"/>
      <c r="H107" s="28"/>
      <c r="I107" s="16" t="s">
        <v>7</v>
      </c>
      <c r="J107" s="16">
        <f t="shared" si="12"/>
        <v>0</v>
      </c>
      <c r="K107" s="16">
        <f t="shared" si="12"/>
        <v>0</v>
      </c>
      <c r="L107" s="16">
        <f t="shared" si="12"/>
        <v>0</v>
      </c>
      <c r="M107" s="16">
        <f t="shared" si="12"/>
        <v>1</v>
      </c>
      <c r="N107" s="16">
        <f t="shared" si="12"/>
        <v>0</v>
      </c>
      <c r="O107" s="28"/>
    </row>
    <row r="108" spans="1:15" s="15" customFormat="1" x14ac:dyDescent="0.25">
      <c r="A108" s="25">
        <f t="shared" si="15"/>
        <v>8.0017999999999958</v>
      </c>
      <c r="B108" s="25"/>
      <c r="C108" s="28" t="s">
        <v>34</v>
      </c>
      <c r="D108" s="28" t="s">
        <v>147</v>
      </c>
      <c r="E108" s="28" t="s">
        <v>29</v>
      </c>
      <c r="F108" s="26"/>
      <c r="G108" s="54"/>
      <c r="H108" s="28"/>
      <c r="I108" s="16" t="s">
        <v>7</v>
      </c>
      <c r="J108" s="16">
        <f t="shared" si="12"/>
        <v>0</v>
      </c>
      <c r="K108" s="16">
        <f t="shared" si="12"/>
        <v>0</v>
      </c>
      <c r="L108" s="16">
        <f t="shared" si="12"/>
        <v>0</v>
      </c>
      <c r="M108" s="16">
        <f t="shared" si="12"/>
        <v>1</v>
      </c>
      <c r="N108" s="16">
        <f t="shared" si="12"/>
        <v>0</v>
      </c>
      <c r="O108" s="28"/>
    </row>
    <row r="109" spans="1:15" s="34" customFormat="1" x14ac:dyDescent="0.25">
      <c r="A109" s="35"/>
      <c r="B109" s="35"/>
      <c r="C109" s="36" t="s">
        <v>162</v>
      </c>
      <c r="D109" s="25"/>
      <c r="E109" s="31"/>
      <c r="F109" s="32"/>
      <c r="G109" s="56"/>
      <c r="H109" s="31"/>
      <c r="I109" s="16" t="s">
        <v>7</v>
      </c>
      <c r="J109" s="16">
        <f t="shared" si="12"/>
        <v>0</v>
      </c>
      <c r="K109" s="16">
        <f t="shared" si="12"/>
        <v>0</v>
      </c>
      <c r="L109" s="16">
        <f t="shared" si="12"/>
        <v>0</v>
      </c>
      <c r="M109" s="16">
        <f t="shared" si="12"/>
        <v>1</v>
      </c>
      <c r="N109" s="16">
        <f t="shared" si="12"/>
        <v>0</v>
      </c>
      <c r="O109" s="31"/>
    </row>
    <row r="110" spans="1:15" s="15" customFormat="1" x14ac:dyDescent="0.25">
      <c r="A110" s="25">
        <f>A94+0.0001</f>
        <v>8.0018999999999956</v>
      </c>
      <c r="B110" s="25"/>
      <c r="C110" s="28" t="s">
        <v>144</v>
      </c>
      <c r="D110" s="28" t="s">
        <v>21</v>
      </c>
      <c r="E110" s="28" t="s">
        <v>164</v>
      </c>
      <c r="F110" s="26"/>
      <c r="G110" s="54"/>
      <c r="H110" s="28"/>
      <c r="I110" s="16" t="s">
        <v>7</v>
      </c>
      <c r="J110" s="16">
        <f t="shared" si="12"/>
        <v>0</v>
      </c>
      <c r="K110" s="16">
        <f t="shared" si="12"/>
        <v>0</v>
      </c>
      <c r="L110" s="16">
        <f t="shared" si="12"/>
        <v>0</v>
      </c>
      <c r="M110" s="16">
        <f t="shared" si="12"/>
        <v>1</v>
      </c>
      <c r="N110" s="16">
        <f t="shared" si="12"/>
        <v>0</v>
      </c>
      <c r="O110" s="28"/>
    </row>
    <row r="111" spans="1:15" s="15" customFormat="1" x14ac:dyDescent="0.25">
      <c r="A111" s="25">
        <f t="shared" si="13"/>
        <v>8.0019999999999953</v>
      </c>
      <c r="B111" s="25"/>
      <c r="C111" s="28" t="s">
        <v>144</v>
      </c>
      <c r="D111" s="28" t="s">
        <v>23</v>
      </c>
      <c r="E111" s="28" t="s">
        <v>165</v>
      </c>
      <c r="F111" s="26"/>
      <c r="G111" s="54"/>
      <c r="H111" s="28"/>
      <c r="I111" s="16" t="s">
        <v>7</v>
      </c>
      <c r="J111" s="16">
        <f t="shared" si="12"/>
        <v>0</v>
      </c>
      <c r="K111" s="16">
        <f t="shared" si="12"/>
        <v>0</v>
      </c>
      <c r="L111" s="16">
        <f t="shared" si="12"/>
        <v>0</v>
      </c>
      <c r="M111" s="16">
        <f t="shared" si="12"/>
        <v>1</v>
      </c>
      <c r="N111" s="16">
        <f t="shared" si="12"/>
        <v>0</v>
      </c>
      <c r="O111" s="28"/>
    </row>
    <row r="112" spans="1:15" s="15" customFormat="1" x14ac:dyDescent="0.25">
      <c r="A112" s="25">
        <f t="shared" si="13"/>
        <v>8.0020999999999951</v>
      </c>
      <c r="B112" s="25"/>
      <c r="C112" s="28" t="s">
        <v>36</v>
      </c>
      <c r="D112" s="28" t="s">
        <v>21</v>
      </c>
      <c r="E112" s="28" t="s">
        <v>31</v>
      </c>
      <c r="F112" s="26"/>
      <c r="G112" s="54"/>
      <c r="H112" s="28"/>
      <c r="I112" s="16" t="s">
        <v>7</v>
      </c>
      <c r="J112" s="16">
        <f t="shared" si="12"/>
        <v>0</v>
      </c>
      <c r="K112" s="16">
        <f t="shared" si="12"/>
        <v>0</v>
      </c>
      <c r="L112" s="16">
        <f t="shared" si="12"/>
        <v>0</v>
      </c>
      <c r="M112" s="16">
        <f t="shared" si="12"/>
        <v>1</v>
      </c>
      <c r="N112" s="16">
        <f t="shared" si="12"/>
        <v>0</v>
      </c>
      <c r="O112" s="28"/>
    </row>
    <row r="113" spans="1:15" s="15" customFormat="1" x14ac:dyDescent="0.25">
      <c r="A113" s="25">
        <f t="shared" si="13"/>
        <v>8.0021999999999949</v>
      </c>
      <c r="B113" s="25"/>
      <c r="C113" s="28" t="s">
        <v>35</v>
      </c>
      <c r="D113" s="28" t="s">
        <v>23</v>
      </c>
      <c r="E113" s="28" t="s">
        <v>30</v>
      </c>
      <c r="F113" s="26"/>
      <c r="G113" s="54"/>
      <c r="H113" s="28"/>
      <c r="I113" s="16" t="s">
        <v>7</v>
      </c>
      <c r="J113" s="16">
        <f t="shared" si="12"/>
        <v>0</v>
      </c>
      <c r="K113" s="16">
        <f t="shared" si="12"/>
        <v>0</v>
      </c>
      <c r="L113" s="16">
        <f t="shared" si="12"/>
        <v>0</v>
      </c>
      <c r="M113" s="16">
        <f t="shared" si="12"/>
        <v>1</v>
      </c>
      <c r="N113" s="16">
        <f t="shared" si="12"/>
        <v>0</v>
      </c>
      <c r="O113" s="28"/>
    </row>
    <row r="114" spans="1:15" s="15" customFormat="1" x14ac:dyDescent="0.25">
      <c r="A114" s="25">
        <f t="shared" si="13"/>
        <v>8.0022999999999946</v>
      </c>
      <c r="B114" s="25"/>
      <c r="C114" s="28" t="s">
        <v>50</v>
      </c>
      <c r="D114" s="28" t="s">
        <v>141</v>
      </c>
      <c r="E114" s="28" t="s">
        <v>51</v>
      </c>
      <c r="F114" s="26"/>
      <c r="G114" s="54"/>
      <c r="H114" s="28"/>
      <c r="I114" s="16" t="s">
        <v>7</v>
      </c>
      <c r="J114" s="16">
        <f t="shared" si="12"/>
        <v>0</v>
      </c>
      <c r="K114" s="16">
        <f t="shared" si="12"/>
        <v>0</v>
      </c>
      <c r="L114" s="16">
        <f t="shared" si="12"/>
        <v>0</v>
      </c>
      <c r="M114" s="16">
        <f t="shared" si="12"/>
        <v>1</v>
      </c>
      <c r="N114" s="16">
        <f t="shared" si="12"/>
        <v>0</v>
      </c>
      <c r="O114" s="28"/>
    </row>
    <row r="115" spans="1:15" s="15" customFormat="1" x14ac:dyDescent="0.25">
      <c r="A115" s="25">
        <f t="shared" si="13"/>
        <v>8.0023999999999944</v>
      </c>
      <c r="B115" s="25"/>
      <c r="C115" s="28" t="s">
        <v>37</v>
      </c>
      <c r="D115" s="28" t="s">
        <v>147</v>
      </c>
      <c r="E115" s="28" t="s">
        <v>32</v>
      </c>
      <c r="F115" s="26"/>
      <c r="G115" s="54"/>
      <c r="H115" s="28"/>
      <c r="I115" s="16" t="s">
        <v>7</v>
      </c>
      <c r="J115" s="16">
        <f t="shared" si="12"/>
        <v>0</v>
      </c>
      <c r="K115" s="16">
        <f t="shared" si="12"/>
        <v>0</v>
      </c>
      <c r="L115" s="16">
        <f t="shared" si="12"/>
        <v>0</v>
      </c>
      <c r="M115" s="16">
        <f t="shared" si="12"/>
        <v>1</v>
      </c>
      <c r="N115" s="16">
        <f t="shared" si="12"/>
        <v>0</v>
      </c>
      <c r="O115" s="28"/>
    </row>
    <row r="116" spans="1:15" s="34" customFormat="1" x14ac:dyDescent="0.25">
      <c r="A116" s="35"/>
      <c r="B116" s="35"/>
      <c r="C116" s="36" t="s">
        <v>163</v>
      </c>
      <c r="D116" s="25"/>
      <c r="E116" s="31"/>
      <c r="F116" s="32"/>
      <c r="G116" s="56"/>
      <c r="H116" s="31"/>
      <c r="I116" s="16" t="s">
        <v>7</v>
      </c>
      <c r="J116" s="16">
        <f t="shared" si="12"/>
        <v>0</v>
      </c>
      <c r="K116" s="16">
        <f t="shared" si="12"/>
        <v>0</v>
      </c>
      <c r="L116" s="16">
        <f t="shared" si="12"/>
        <v>0</v>
      </c>
      <c r="M116" s="16">
        <f t="shared" si="12"/>
        <v>1</v>
      </c>
      <c r="N116" s="16">
        <f t="shared" si="12"/>
        <v>0</v>
      </c>
      <c r="O116" s="31"/>
    </row>
    <row r="117" spans="1:15" s="15" customFormat="1" x14ac:dyDescent="0.25">
      <c r="A117" s="25">
        <f>A115+0.0001</f>
        <v>8.0024999999999942</v>
      </c>
      <c r="B117" s="25"/>
      <c r="C117" s="28" t="s">
        <v>144</v>
      </c>
      <c r="D117" s="28" t="s">
        <v>21</v>
      </c>
      <c r="E117" s="28" t="s">
        <v>166</v>
      </c>
      <c r="F117" s="26"/>
      <c r="G117" s="54"/>
      <c r="H117" s="28"/>
      <c r="I117" s="16" t="s">
        <v>7</v>
      </c>
      <c r="J117" s="16">
        <f t="shared" si="12"/>
        <v>0</v>
      </c>
      <c r="K117" s="16">
        <f t="shared" si="12"/>
        <v>0</v>
      </c>
      <c r="L117" s="16">
        <f t="shared" si="12"/>
        <v>0</v>
      </c>
      <c r="M117" s="16">
        <f t="shared" si="12"/>
        <v>1</v>
      </c>
      <c r="N117" s="16">
        <f t="shared" si="12"/>
        <v>0</v>
      </c>
      <c r="O117" s="28"/>
    </row>
    <row r="118" spans="1:15" s="15" customFormat="1" x14ac:dyDescent="0.25">
      <c r="A118" s="25">
        <f>A117+0.0001</f>
        <v>8.0025999999999939</v>
      </c>
      <c r="B118" s="25"/>
      <c r="C118" s="28" t="e">
        <v>#N/A</v>
      </c>
      <c r="D118" s="28" t="s">
        <v>23</v>
      </c>
      <c r="E118" s="28" t="s">
        <v>155</v>
      </c>
      <c r="F118" s="26"/>
      <c r="G118" s="54"/>
      <c r="H118" s="28"/>
      <c r="I118" s="16" t="s">
        <v>7</v>
      </c>
      <c r="J118" s="16">
        <f t="shared" si="12"/>
        <v>0</v>
      </c>
      <c r="K118" s="16">
        <f t="shared" si="12"/>
        <v>0</v>
      </c>
      <c r="L118" s="16">
        <f t="shared" si="12"/>
        <v>0</v>
      </c>
      <c r="M118" s="16">
        <f t="shared" si="12"/>
        <v>1</v>
      </c>
      <c r="N118" s="16">
        <f t="shared" si="12"/>
        <v>0</v>
      </c>
      <c r="O118" s="28"/>
    </row>
    <row r="119" spans="1:15" s="15" customFormat="1" x14ac:dyDescent="0.25">
      <c r="A119" s="25">
        <f t="shared" ref="A119:A122" si="16">A118+0.0001</f>
        <v>8.0026999999999937</v>
      </c>
      <c r="B119" s="25"/>
      <c r="C119" s="28" t="s">
        <v>36</v>
      </c>
      <c r="D119" s="28" t="s">
        <v>21</v>
      </c>
      <c r="E119" s="28" t="s">
        <v>31</v>
      </c>
      <c r="F119" s="26"/>
      <c r="G119" s="54"/>
      <c r="H119" s="28"/>
      <c r="I119" s="16" t="s">
        <v>7</v>
      </c>
      <c r="J119" s="16">
        <f t="shared" si="12"/>
        <v>0</v>
      </c>
      <c r="K119" s="16">
        <f t="shared" si="12"/>
        <v>0</v>
      </c>
      <c r="L119" s="16">
        <f t="shared" si="12"/>
        <v>0</v>
      </c>
      <c r="M119" s="16">
        <f t="shared" si="12"/>
        <v>1</v>
      </c>
      <c r="N119" s="16">
        <f t="shared" si="12"/>
        <v>0</v>
      </c>
      <c r="O119" s="28"/>
    </row>
    <row r="120" spans="1:15" s="15" customFormat="1" x14ac:dyDescent="0.25">
      <c r="A120" s="25">
        <f t="shared" si="16"/>
        <v>8.0027999999999935</v>
      </c>
      <c r="B120" s="25"/>
      <c r="C120" s="28" t="s">
        <v>35</v>
      </c>
      <c r="D120" s="28" t="s">
        <v>23</v>
      </c>
      <c r="E120" s="28" t="s">
        <v>30</v>
      </c>
      <c r="F120" s="26"/>
      <c r="G120" s="54"/>
      <c r="H120" s="28"/>
      <c r="I120" s="16" t="s">
        <v>7</v>
      </c>
      <c r="J120" s="16">
        <f t="shared" si="12"/>
        <v>0</v>
      </c>
      <c r="K120" s="16">
        <f t="shared" si="12"/>
        <v>0</v>
      </c>
      <c r="L120" s="16">
        <f t="shared" si="12"/>
        <v>0</v>
      </c>
      <c r="M120" s="16">
        <f t="shared" si="12"/>
        <v>1</v>
      </c>
      <c r="N120" s="16">
        <f t="shared" si="12"/>
        <v>0</v>
      </c>
      <c r="O120" s="28"/>
    </row>
    <row r="121" spans="1:15" s="15" customFormat="1" x14ac:dyDescent="0.25">
      <c r="A121" s="25">
        <f t="shared" si="16"/>
        <v>8.0028999999999932</v>
      </c>
      <c r="B121" s="25"/>
      <c r="C121" s="28" t="s">
        <v>50</v>
      </c>
      <c r="D121" s="28" t="s">
        <v>21</v>
      </c>
      <c r="E121" s="28" t="s">
        <v>51</v>
      </c>
      <c r="F121" s="26"/>
      <c r="G121" s="54"/>
      <c r="H121" s="28"/>
      <c r="I121" s="16" t="s">
        <v>7</v>
      </c>
      <c r="J121" s="16">
        <f t="shared" si="12"/>
        <v>0</v>
      </c>
      <c r="K121" s="16">
        <f t="shared" si="12"/>
        <v>0</v>
      </c>
      <c r="L121" s="16">
        <f t="shared" si="12"/>
        <v>0</v>
      </c>
      <c r="M121" s="16">
        <f t="shared" si="12"/>
        <v>1</v>
      </c>
      <c r="N121" s="16">
        <f t="shared" si="12"/>
        <v>0</v>
      </c>
      <c r="O121" s="28"/>
    </row>
    <row r="122" spans="1:15" s="15" customFormat="1" x14ac:dyDescent="0.25">
      <c r="A122" s="25">
        <f t="shared" si="16"/>
        <v>8.002999999999993</v>
      </c>
      <c r="B122" s="25"/>
      <c r="C122" s="28" t="s">
        <v>37</v>
      </c>
      <c r="D122" s="28" t="s">
        <v>23</v>
      </c>
      <c r="E122" s="28" t="s">
        <v>32</v>
      </c>
      <c r="F122" s="26"/>
      <c r="G122" s="54"/>
      <c r="H122" s="28"/>
      <c r="I122" s="16" t="s">
        <v>7</v>
      </c>
      <c r="J122" s="16">
        <f t="shared" si="12"/>
        <v>0</v>
      </c>
      <c r="K122" s="16">
        <f t="shared" si="12"/>
        <v>0</v>
      </c>
      <c r="L122" s="16">
        <f t="shared" si="12"/>
        <v>0</v>
      </c>
      <c r="M122" s="16">
        <f t="shared" si="12"/>
        <v>1</v>
      </c>
      <c r="N122" s="16">
        <f t="shared" si="12"/>
        <v>0</v>
      </c>
      <c r="O122" s="28"/>
    </row>
    <row r="123" spans="1:15" s="13" customFormat="1" ht="15" customHeight="1" x14ac:dyDescent="0.25">
      <c r="A123" s="22">
        <v>9</v>
      </c>
      <c r="B123" s="59" t="s">
        <v>167</v>
      </c>
      <c r="C123" s="60"/>
      <c r="D123" s="23"/>
      <c r="E123" s="23"/>
      <c r="F123" s="24"/>
      <c r="G123" s="53"/>
      <c r="H123" s="23"/>
      <c r="I123" s="16" t="s">
        <v>7</v>
      </c>
      <c r="J123" s="12"/>
      <c r="K123" s="12"/>
      <c r="L123" s="12"/>
      <c r="M123" s="12"/>
      <c r="N123" s="12"/>
      <c r="O123" s="23"/>
    </row>
    <row r="124" spans="1:15" s="34" customFormat="1" x14ac:dyDescent="0.25">
      <c r="A124" s="35"/>
      <c r="B124" s="35"/>
      <c r="C124" s="36" t="s">
        <v>168</v>
      </c>
      <c r="D124" s="25"/>
      <c r="E124" s="31"/>
      <c r="F124" s="32"/>
      <c r="G124" s="56"/>
      <c r="H124" s="31"/>
      <c r="I124" s="16"/>
      <c r="J124" s="16"/>
      <c r="K124" s="16"/>
      <c r="L124" s="16"/>
      <c r="M124" s="16"/>
      <c r="N124" s="16"/>
      <c r="O124" s="31"/>
    </row>
    <row r="125" spans="1:15" s="15" customFormat="1" x14ac:dyDescent="0.25">
      <c r="A125" s="25">
        <f>A123+0.0001</f>
        <v>9.0000999999999998</v>
      </c>
      <c r="B125" s="25"/>
      <c r="C125" s="28" t="s">
        <v>144</v>
      </c>
      <c r="D125" s="28" t="s">
        <v>21</v>
      </c>
      <c r="E125" s="28" t="s">
        <v>170</v>
      </c>
      <c r="F125" s="26"/>
      <c r="G125" s="54"/>
      <c r="H125" s="28"/>
      <c r="I125" s="16"/>
      <c r="J125" s="16">
        <f t="shared" ref="J125:N193" si="17">IF($I125=J$1,1,0)</f>
        <v>0</v>
      </c>
      <c r="K125" s="16">
        <f t="shared" si="17"/>
        <v>0</v>
      </c>
      <c r="L125" s="16">
        <f t="shared" si="17"/>
        <v>1</v>
      </c>
      <c r="M125" s="16">
        <f t="shared" si="17"/>
        <v>0</v>
      </c>
      <c r="N125" s="16">
        <f t="shared" si="17"/>
        <v>0</v>
      </c>
      <c r="O125" s="28"/>
    </row>
    <row r="126" spans="1:15" s="15" customFormat="1" x14ac:dyDescent="0.25">
      <c r="A126" s="25">
        <f t="shared" si="13"/>
        <v>9.0001999999999995</v>
      </c>
      <c r="B126" s="25"/>
      <c r="C126" s="28" t="s">
        <v>37</v>
      </c>
      <c r="D126" s="28" t="s">
        <v>23</v>
      </c>
      <c r="E126" s="28" t="s">
        <v>32</v>
      </c>
      <c r="F126" s="26"/>
      <c r="G126" s="54"/>
      <c r="H126" s="28"/>
      <c r="I126" s="16"/>
      <c r="J126" s="16">
        <f t="shared" si="17"/>
        <v>0</v>
      </c>
      <c r="K126" s="16">
        <f t="shared" si="17"/>
        <v>0</v>
      </c>
      <c r="L126" s="16">
        <f t="shared" si="17"/>
        <v>1</v>
      </c>
      <c r="M126" s="16">
        <f t="shared" si="17"/>
        <v>0</v>
      </c>
      <c r="N126" s="16">
        <f t="shared" si="17"/>
        <v>0</v>
      </c>
      <c r="O126" s="28"/>
    </row>
    <row r="127" spans="1:15" s="34" customFormat="1" x14ac:dyDescent="0.25">
      <c r="A127" s="35"/>
      <c r="B127" s="35"/>
      <c r="C127" s="36" t="s">
        <v>169</v>
      </c>
      <c r="D127" s="25"/>
      <c r="E127" s="31"/>
      <c r="F127" s="32"/>
      <c r="G127" s="56"/>
      <c r="H127" s="31"/>
      <c r="I127" s="16"/>
      <c r="J127" s="16"/>
      <c r="K127" s="16"/>
      <c r="L127" s="16"/>
      <c r="M127" s="16"/>
      <c r="N127" s="16"/>
      <c r="O127" s="31"/>
    </row>
    <row r="128" spans="1:15" s="15" customFormat="1" x14ac:dyDescent="0.25">
      <c r="A128" s="25">
        <f>A126+0.0001</f>
        <v>9.0002999999999993</v>
      </c>
      <c r="B128" s="25"/>
      <c r="C128" s="28" t="s">
        <v>37</v>
      </c>
      <c r="D128" s="28" t="s">
        <v>21</v>
      </c>
      <c r="E128" s="28" t="s">
        <v>32</v>
      </c>
      <c r="F128" s="26"/>
      <c r="G128" s="54"/>
      <c r="H128" s="28"/>
      <c r="I128" s="16"/>
      <c r="J128" s="16">
        <f t="shared" si="17"/>
        <v>0</v>
      </c>
      <c r="K128" s="16">
        <f t="shared" si="17"/>
        <v>0</v>
      </c>
      <c r="L128" s="16">
        <f t="shared" si="17"/>
        <v>1</v>
      </c>
      <c r="M128" s="16">
        <f t="shared" si="17"/>
        <v>0</v>
      </c>
      <c r="N128" s="16">
        <f t="shared" si="17"/>
        <v>0</v>
      </c>
      <c r="O128" s="28"/>
    </row>
    <row r="129" spans="1:15" s="15" customFormat="1" x14ac:dyDescent="0.25">
      <c r="A129" s="25">
        <f t="shared" ref="A129" si="18">A128+0.0001</f>
        <v>9.0003999999999991</v>
      </c>
      <c r="B129" s="25"/>
      <c r="C129" s="28" t="s">
        <v>144</v>
      </c>
      <c r="D129" s="28" t="s">
        <v>23</v>
      </c>
      <c r="E129" s="28" t="s">
        <v>171</v>
      </c>
      <c r="F129" s="26"/>
      <c r="G129" s="54"/>
      <c r="H129" s="28"/>
      <c r="I129" s="16"/>
      <c r="J129" s="16">
        <f t="shared" si="17"/>
        <v>0</v>
      </c>
      <c r="K129" s="16">
        <f t="shared" si="17"/>
        <v>0</v>
      </c>
      <c r="L129" s="16">
        <f t="shared" si="17"/>
        <v>1</v>
      </c>
      <c r="M129" s="16">
        <f t="shared" si="17"/>
        <v>0</v>
      </c>
      <c r="N129" s="16">
        <f t="shared" si="17"/>
        <v>0</v>
      </c>
      <c r="O129" s="28"/>
    </row>
    <row r="130" spans="1:15" s="13" customFormat="1" ht="15" customHeight="1" x14ac:dyDescent="0.25">
      <c r="A130" s="22">
        <v>10</v>
      </c>
      <c r="B130" s="59" t="s">
        <v>172</v>
      </c>
      <c r="C130" s="60"/>
      <c r="D130" s="23"/>
      <c r="E130" s="23"/>
      <c r="F130" s="24"/>
      <c r="G130" s="53"/>
      <c r="H130" s="23"/>
      <c r="I130" s="16" t="s">
        <v>7</v>
      </c>
      <c r="J130" s="12"/>
      <c r="K130" s="12"/>
      <c r="L130" s="12"/>
      <c r="M130" s="12"/>
      <c r="N130" s="12"/>
      <c r="O130" s="23"/>
    </row>
    <row r="131" spans="1:15" s="34" customFormat="1" x14ac:dyDescent="0.25">
      <c r="A131" s="35"/>
      <c r="B131" s="35"/>
      <c r="C131" s="36" t="s">
        <v>173</v>
      </c>
      <c r="D131" s="25"/>
      <c r="E131" s="31"/>
      <c r="F131" s="32"/>
      <c r="G131" s="56"/>
      <c r="H131" s="31"/>
      <c r="I131" s="16" t="s">
        <v>7</v>
      </c>
      <c r="J131" s="16">
        <f t="shared" si="17"/>
        <v>0</v>
      </c>
      <c r="K131" s="16">
        <f t="shared" si="17"/>
        <v>0</v>
      </c>
      <c r="L131" s="16">
        <f t="shared" si="17"/>
        <v>0</v>
      </c>
      <c r="M131" s="16">
        <f t="shared" si="17"/>
        <v>1</v>
      </c>
      <c r="N131" s="16">
        <f t="shared" si="17"/>
        <v>0</v>
      </c>
      <c r="O131" s="31"/>
    </row>
    <row r="132" spans="1:15" s="15" customFormat="1" x14ac:dyDescent="0.25">
      <c r="A132" s="25">
        <f>A130+0.0001</f>
        <v>10.0001</v>
      </c>
      <c r="B132" s="25"/>
      <c r="C132" s="28"/>
      <c r="D132" s="28" t="s">
        <v>21</v>
      </c>
      <c r="E132" s="28" t="s">
        <v>175</v>
      </c>
      <c r="F132" s="26"/>
      <c r="G132" s="54"/>
      <c r="H132" s="28"/>
      <c r="I132" s="16" t="s">
        <v>7</v>
      </c>
      <c r="J132" s="16">
        <f t="shared" si="17"/>
        <v>0</v>
      </c>
      <c r="K132" s="16">
        <f t="shared" si="17"/>
        <v>0</v>
      </c>
      <c r="L132" s="16">
        <f t="shared" si="17"/>
        <v>0</v>
      </c>
      <c r="M132" s="16">
        <f t="shared" si="17"/>
        <v>1</v>
      </c>
      <c r="N132" s="16">
        <f t="shared" si="17"/>
        <v>0</v>
      </c>
      <c r="O132" s="28"/>
    </row>
    <row r="133" spans="1:15" s="15" customFormat="1" x14ac:dyDescent="0.25">
      <c r="A133" s="25">
        <f t="shared" si="13"/>
        <v>10.0002</v>
      </c>
      <c r="B133" s="25"/>
      <c r="C133" s="28" t="s">
        <v>19</v>
      </c>
      <c r="D133" s="28" t="s">
        <v>176</v>
      </c>
      <c r="E133" s="28" t="s">
        <v>22</v>
      </c>
      <c r="F133" s="26"/>
      <c r="G133" s="54"/>
      <c r="H133" s="28"/>
      <c r="I133" s="16" t="s">
        <v>7</v>
      </c>
      <c r="J133" s="16">
        <f t="shared" si="17"/>
        <v>0</v>
      </c>
      <c r="K133" s="16">
        <f t="shared" si="17"/>
        <v>0</v>
      </c>
      <c r="L133" s="16">
        <f t="shared" si="17"/>
        <v>0</v>
      </c>
      <c r="M133" s="16">
        <f t="shared" si="17"/>
        <v>1</v>
      </c>
      <c r="N133" s="16">
        <f t="shared" si="17"/>
        <v>0</v>
      </c>
      <c r="O133" s="28"/>
    </row>
    <row r="134" spans="1:15" s="34" customFormat="1" x14ac:dyDescent="0.25">
      <c r="A134" s="35"/>
      <c r="B134" s="35"/>
      <c r="C134" s="36" t="s">
        <v>174</v>
      </c>
      <c r="D134" s="25"/>
      <c r="E134" s="31"/>
      <c r="F134" s="32"/>
      <c r="G134" s="56"/>
      <c r="H134" s="31"/>
      <c r="I134" s="16" t="s">
        <v>7</v>
      </c>
      <c r="J134" s="16">
        <f t="shared" si="17"/>
        <v>0</v>
      </c>
      <c r="K134" s="16">
        <f t="shared" si="17"/>
        <v>0</v>
      </c>
      <c r="L134" s="16">
        <f t="shared" si="17"/>
        <v>0</v>
      </c>
      <c r="M134" s="16">
        <f t="shared" si="17"/>
        <v>1</v>
      </c>
      <c r="N134" s="16">
        <f t="shared" si="17"/>
        <v>0</v>
      </c>
      <c r="O134" s="31"/>
    </row>
    <row r="135" spans="1:15" s="15" customFormat="1" x14ac:dyDescent="0.25">
      <c r="A135" s="25">
        <f>A133+0.0001</f>
        <v>10.000299999999999</v>
      </c>
      <c r="B135" s="25"/>
      <c r="C135" s="28" t="s">
        <v>19</v>
      </c>
      <c r="D135" s="28" t="s">
        <v>21</v>
      </c>
      <c r="E135" s="28" t="s">
        <v>22</v>
      </c>
      <c r="F135" s="26"/>
      <c r="G135" s="54"/>
      <c r="H135" s="28"/>
      <c r="I135" s="16" t="s">
        <v>7</v>
      </c>
      <c r="J135" s="16">
        <f t="shared" si="17"/>
        <v>0</v>
      </c>
      <c r="K135" s="16">
        <f t="shared" si="17"/>
        <v>0</v>
      </c>
      <c r="L135" s="16">
        <f t="shared" si="17"/>
        <v>0</v>
      </c>
      <c r="M135" s="16">
        <f t="shared" si="17"/>
        <v>1</v>
      </c>
      <c r="N135" s="16">
        <f t="shared" si="17"/>
        <v>0</v>
      </c>
      <c r="O135" s="28"/>
    </row>
    <row r="136" spans="1:15" s="15" customFormat="1" x14ac:dyDescent="0.25">
      <c r="A136" s="25">
        <f t="shared" ref="A136" si="19">A135+0.0001</f>
        <v>10.000399999999999</v>
      </c>
      <c r="B136" s="25"/>
      <c r="C136" s="28"/>
      <c r="D136" s="28" t="s">
        <v>176</v>
      </c>
      <c r="E136" s="28" t="s">
        <v>175</v>
      </c>
      <c r="F136" s="26"/>
      <c r="G136" s="54"/>
      <c r="H136" s="28"/>
      <c r="I136" s="16" t="s">
        <v>7</v>
      </c>
      <c r="J136" s="16">
        <f t="shared" si="17"/>
        <v>0</v>
      </c>
      <c r="K136" s="16">
        <f t="shared" si="17"/>
        <v>0</v>
      </c>
      <c r="L136" s="16">
        <f t="shared" si="17"/>
        <v>0</v>
      </c>
      <c r="M136" s="16">
        <f t="shared" si="17"/>
        <v>1</v>
      </c>
      <c r="N136" s="16">
        <f t="shared" si="17"/>
        <v>0</v>
      </c>
      <c r="O136" s="28"/>
    </row>
    <row r="137" spans="1:15" s="13" customFormat="1" ht="15" customHeight="1" x14ac:dyDescent="0.25">
      <c r="A137" s="22">
        <v>11</v>
      </c>
      <c r="B137" s="59" t="s">
        <v>182</v>
      </c>
      <c r="C137" s="60"/>
      <c r="D137" s="23"/>
      <c r="E137" s="23"/>
      <c r="F137" s="24"/>
      <c r="G137" s="53"/>
      <c r="H137" s="23"/>
      <c r="I137" s="16" t="s">
        <v>7</v>
      </c>
      <c r="J137" s="12"/>
      <c r="K137" s="12"/>
      <c r="L137" s="12"/>
      <c r="M137" s="12"/>
      <c r="N137" s="12"/>
      <c r="O137" s="23"/>
    </row>
    <row r="138" spans="1:15" s="34" customFormat="1" x14ac:dyDescent="0.25">
      <c r="A138" s="35"/>
      <c r="B138" s="35"/>
      <c r="C138" s="36" t="s">
        <v>178</v>
      </c>
      <c r="D138" s="25"/>
      <c r="E138" s="31"/>
      <c r="F138" s="32"/>
      <c r="G138" s="56"/>
      <c r="H138" s="31"/>
      <c r="I138" s="16" t="s">
        <v>7</v>
      </c>
      <c r="J138" s="16">
        <f t="shared" si="17"/>
        <v>0</v>
      </c>
      <c r="K138" s="16">
        <f t="shared" si="17"/>
        <v>0</v>
      </c>
      <c r="L138" s="16">
        <f t="shared" si="17"/>
        <v>0</v>
      </c>
      <c r="M138" s="16">
        <f t="shared" si="17"/>
        <v>1</v>
      </c>
      <c r="N138" s="16">
        <f t="shared" si="17"/>
        <v>0</v>
      </c>
      <c r="O138" s="31"/>
    </row>
    <row r="139" spans="1:15" s="15" customFormat="1" x14ac:dyDescent="0.25">
      <c r="A139" s="25">
        <f>A137+0.0001</f>
        <v>11.0001</v>
      </c>
      <c r="B139" s="25"/>
      <c r="C139" s="28" t="s">
        <v>144</v>
      </c>
      <c r="D139" s="28" t="s">
        <v>21</v>
      </c>
      <c r="E139" s="28" t="s">
        <v>171</v>
      </c>
      <c r="F139" s="26"/>
      <c r="G139" s="54"/>
      <c r="H139" s="28"/>
      <c r="I139" s="16" t="s">
        <v>7</v>
      </c>
      <c r="J139" s="16">
        <f t="shared" si="17"/>
        <v>0</v>
      </c>
      <c r="K139" s="16">
        <f t="shared" si="17"/>
        <v>0</v>
      </c>
      <c r="L139" s="16">
        <f t="shared" si="17"/>
        <v>0</v>
      </c>
      <c r="M139" s="16">
        <f t="shared" si="17"/>
        <v>1</v>
      </c>
      <c r="N139" s="16">
        <f t="shared" si="17"/>
        <v>0</v>
      </c>
      <c r="O139" s="28"/>
    </row>
    <row r="140" spans="1:15" s="15" customFormat="1" x14ac:dyDescent="0.25">
      <c r="A140" s="25">
        <f>A139+0.0001</f>
        <v>11.0002</v>
      </c>
      <c r="B140" s="25"/>
      <c r="C140" s="28" t="s">
        <v>144</v>
      </c>
      <c r="D140" s="28" t="s">
        <v>23</v>
      </c>
      <c r="E140" s="28" t="s">
        <v>177</v>
      </c>
      <c r="F140" s="26"/>
      <c r="G140" s="54"/>
      <c r="H140" s="28"/>
      <c r="I140" s="16" t="s">
        <v>7</v>
      </c>
      <c r="J140" s="16">
        <f t="shared" si="17"/>
        <v>0</v>
      </c>
      <c r="K140" s="16">
        <f t="shared" si="17"/>
        <v>0</v>
      </c>
      <c r="L140" s="16">
        <f t="shared" si="17"/>
        <v>0</v>
      </c>
      <c r="M140" s="16">
        <f t="shared" si="17"/>
        <v>1</v>
      </c>
      <c r="N140" s="16">
        <f t="shared" si="17"/>
        <v>0</v>
      </c>
      <c r="O140" s="28"/>
    </row>
    <row r="141" spans="1:15" s="15" customFormat="1" x14ac:dyDescent="0.25">
      <c r="A141" s="25">
        <f t="shared" ref="A141:A146" si="20">A140+0.0001</f>
        <v>11.000299999999999</v>
      </c>
      <c r="B141" s="25"/>
      <c r="C141" s="28" t="s">
        <v>34</v>
      </c>
      <c r="D141" s="28" t="s">
        <v>21</v>
      </c>
      <c r="E141" s="28" t="s">
        <v>29</v>
      </c>
      <c r="F141" s="26"/>
      <c r="G141" s="54"/>
      <c r="H141" s="28"/>
      <c r="I141" s="16" t="s">
        <v>7</v>
      </c>
      <c r="J141" s="16">
        <f t="shared" si="17"/>
        <v>0</v>
      </c>
      <c r="K141" s="16">
        <f t="shared" si="17"/>
        <v>0</v>
      </c>
      <c r="L141" s="16">
        <f t="shared" si="17"/>
        <v>0</v>
      </c>
      <c r="M141" s="16">
        <f t="shared" si="17"/>
        <v>1</v>
      </c>
      <c r="N141" s="16">
        <f t="shared" si="17"/>
        <v>0</v>
      </c>
      <c r="O141" s="28"/>
    </row>
    <row r="142" spans="1:15" s="15" customFormat="1" x14ac:dyDescent="0.25">
      <c r="A142" s="25">
        <f t="shared" si="20"/>
        <v>11.000399999999999</v>
      </c>
      <c r="B142" s="25"/>
      <c r="C142" s="28" t="s">
        <v>144</v>
      </c>
      <c r="D142" s="28" t="s">
        <v>23</v>
      </c>
      <c r="E142" s="28" t="s">
        <v>177</v>
      </c>
      <c r="F142" s="26"/>
      <c r="G142" s="54"/>
      <c r="H142" s="28"/>
      <c r="I142" s="16" t="s">
        <v>7</v>
      </c>
      <c r="J142" s="16">
        <f t="shared" si="17"/>
        <v>0</v>
      </c>
      <c r="K142" s="16">
        <f t="shared" si="17"/>
        <v>0</v>
      </c>
      <c r="L142" s="16">
        <f t="shared" si="17"/>
        <v>0</v>
      </c>
      <c r="M142" s="16">
        <f t="shared" si="17"/>
        <v>1</v>
      </c>
      <c r="N142" s="16">
        <f t="shared" si="17"/>
        <v>0</v>
      </c>
      <c r="O142" s="28"/>
    </row>
    <row r="143" spans="1:15" s="15" customFormat="1" x14ac:dyDescent="0.25">
      <c r="A143" s="25">
        <f t="shared" si="20"/>
        <v>11.000499999999999</v>
      </c>
      <c r="B143" s="25"/>
      <c r="C143" s="28" t="s">
        <v>144</v>
      </c>
      <c r="D143" s="28" t="s">
        <v>21</v>
      </c>
      <c r="E143" s="28" t="s">
        <v>177</v>
      </c>
      <c r="F143" s="26"/>
      <c r="G143" s="54"/>
      <c r="H143" s="28"/>
      <c r="I143" s="16" t="s">
        <v>7</v>
      </c>
      <c r="J143" s="16">
        <f t="shared" si="17"/>
        <v>0</v>
      </c>
      <c r="K143" s="16">
        <f t="shared" si="17"/>
        <v>0</v>
      </c>
      <c r="L143" s="16">
        <f t="shared" si="17"/>
        <v>0</v>
      </c>
      <c r="M143" s="16">
        <f t="shared" si="17"/>
        <v>1</v>
      </c>
      <c r="N143" s="16">
        <f t="shared" si="17"/>
        <v>0</v>
      </c>
      <c r="O143" s="28"/>
    </row>
    <row r="144" spans="1:15" s="15" customFormat="1" x14ac:dyDescent="0.25">
      <c r="A144" s="25">
        <f t="shared" si="20"/>
        <v>11.000599999999999</v>
      </c>
      <c r="B144" s="25"/>
      <c r="C144" s="28" t="s">
        <v>144</v>
      </c>
      <c r="D144" s="28" t="s">
        <v>23</v>
      </c>
      <c r="E144" s="28" t="s">
        <v>170</v>
      </c>
      <c r="F144" s="26"/>
      <c r="G144" s="54"/>
      <c r="H144" s="28"/>
      <c r="I144" s="16" t="s">
        <v>7</v>
      </c>
      <c r="J144" s="16">
        <f t="shared" si="17"/>
        <v>0</v>
      </c>
      <c r="K144" s="16">
        <f t="shared" si="17"/>
        <v>0</v>
      </c>
      <c r="L144" s="16">
        <f t="shared" si="17"/>
        <v>0</v>
      </c>
      <c r="M144" s="16">
        <f t="shared" si="17"/>
        <v>1</v>
      </c>
      <c r="N144" s="16">
        <f t="shared" si="17"/>
        <v>0</v>
      </c>
      <c r="O144" s="28"/>
    </row>
    <row r="145" spans="1:15" s="15" customFormat="1" x14ac:dyDescent="0.25">
      <c r="A145" s="25">
        <f t="shared" si="20"/>
        <v>11.000699999999998</v>
      </c>
      <c r="B145" s="25"/>
      <c r="C145" s="28" t="s">
        <v>144</v>
      </c>
      <c r="D145" s="28" t="s">
        <v>21</v>
      </c>
      <c r="E145" s="28" t="s">
        <v>177</v>
      </c>
      <c r="F145" s="26"/>
      <c r="G145" s="54"/>
      <c r="H145" s="28"/>
      <c r="I145" s="16" t="s">
        <v>7</v>
      </c>
      <c r="J145" s="16">
        <f t="shared" si="17"/>
        <v>0</v>
      </c>
      <c r="K145" s="16">
        <f t="shared" si="17"/>
        <v>0</v>
      </c>
      <c r="L145" s="16">
        <f t="shared" si="17"/>
        <v>0</v>
      </c>
      <c r="M145" s="16">
        <f t="shared" si="17"/>
        <v>1</v>
      </c>
      <c r="N145" s="16">
        <f t="shared" si="17"/>
        <v>0</v>
      </c>
      <c r="O145" s="28"/>
    </row>
    <row r="146" spans="1:15" s="15" customFormat="1" x14ac:dyDescent="0.25">
      <c r="A146" s="25">
        <f t="shared" si="20"/>
        <v>11.000799999999998</v>
      </c>
      <c r="B146" s="25"/>
      <c r="C146" s="28" t="s">
        <v>50</v>
      </c>
      <c r="D146" s="28" t="s">
        <v>23</v>
      </c>
      <c r="E146" s="28" t="s">
        <v>51</v>
      </c>
      <c r="F146" s="26"/>
      <c r="G146" s="54"/>
      <c r="H146" s="28"/>
      <c r="I146" s="16" t="s">
        <v>7</v>
      </c>
      <c r="J146" s="16">
        <f t="shared" si="17"/>
        <v>0</v>
      </c>
      <c r="K146" s="16">
        <f t="shared" si="17"/>
        <v>0</v>
      </c>
      <c r="L146" s="16">
        <f t="shared" si="17"/>
        <v>0</v>
      </c>
      <c r="M146" s="16">
        <f t="shared" si="17"/>
        <v>1</v>
      </c>
      <c r="N146" s="16">
        <f t="shared" si="17"/>
        <v>0</v>
      </c>
      <c r="O146" s="28"/>
    </row>
    <row r="147" spans="1:15" s="34" customFormat="1" x14ac:dyDescent="0.25">
      <c r="A147" s="35"/>
      <c r="B147" s="35"/>
      <c r="C147" s="36" t="s">
        <v>179</v>
      </c>
      <c r="D147" s="25"/>
      <c r="E147" s="31"/>
      <c r="F147" s="32"/>
      <c r="G147" s="56"/>
      <c r="H147" s="31"/>
      <c r="I147" s="16" t="s">
        <v>7</v>
      </c>
      <c r="J147" s="16">
        <f t="shared" si="17"/>
        <v>0</v>
      </c>
      <c r="K147" s="16">
        <f t="shared" si="17"/>
        <v>0</v>
      </c>
      <c r="L147" s="16">
        <f t="shared" si="17"/>
        <v>0</v>
      </c>
      <c r="M147" s="16">
        <f t="shared" si="17"/>
        <v>1</v>
      </c>
      <c r="N147" s="16">
        <f t="shared" si="17"/>
        <v>0</v>
      </c>
      <c r="O147" s="31"/>
    </row>
    <row r="148" spans="1:15" s="15" customFormat="1" x14ac:dyDescent="0.25">
      <c r="A148" s="25">
        <f>A146+0.0001</f>
        <v>11.000899999999998</v>
      </c>
      <c r="B148" s="25"/>
      <c r="C148" s="28"/>
      <c r="D148" s="28" t="s">
        <v>21</v>
      </c>
      <c r="E148" s="28" t="s">
        <v>181</v>
      </c>
      <c r="F148" s="26"/>
      <c r="G148" s="54"/>
      <c r="H148" s="28"/>
      <c r="I148" s="16" t="s">
        <v>7</v>
      </c>
      <c r="J148" s="16">
        <f t="shared" si="17"/>
        <v>0</v>
      </c>
      <c r="K148" s="16">
        <f t="shared" si="17"/>
        <v>0</v>
      </c>
      <c r="L148" s="16">
        <f t="shared" si="17"/>
        <v>0</v>
      </c>
      <c r="M148" s="16">
        <f t="shared" si="17"/>
        <v>1</v>
      </c>
      <c r="N148" s="16">
        <f t="shared" si="17"/>
        <v>0</v>
      </c>
      <c r="O148" s="28"/>
    </row>
    <row r="149" spans="1:15" s="15" customFormat="1" x14ac:dyDescent="0.25">
      <c r="A149" s="25">
        <f>A148+0.0001</f>
        <v>11.000999999999998</v>
      </c>
      <c r="B149" s="25"/>
      <c r="C149" s="28" t="s">
        <v>37</v>
      </c>
      <c r="D149" s="28" t="s">
        <v>23</v>
      </c>
      <c r="E149" s="28" t="s">
        <v>32</v>
      </c>
      <c r="F149" s="26"/>
      <c r="G149" s="54"/>
      <c r="H149" s="28"/>
      <c r="I149" s="16" t="s">
        <v>7</v>
      </c>
      <c r="J149" s="16">
        <f t="shared" si="17"/>
        <v>0</v>
      </c>
      <c r="K149" s="16">
        <f t="shared" si="17"/>
        <v>0</v>
      </c>
      <c r="L149" s="16">
        <f t="shared" si="17"/>
        <v>0</v>
      </c>
      <c r="M149" s="16">
        <f t="shared" si="17"/>
        <v>1</v>
      </c>
      <c r="N149" s="16">
        <f t="shared" si="17"/>
        <v>0</v>
      </c>
      <c r="O149" s="28"/>
    </row>
    <row r="150" spans="1:15" s="15" customFormat="1" x14ac:dyDescent="0.25">
      <c r="A150" s="25">
        <f t="shared" ref="A150:A151" si="21">A149+0.0001</f>
        <v>11.001099999999997</v>
      </c>
      <c r="B150" s="25"/>
      <c r="C150" s="28" t="s">
        <v>36</v>
      </c>
      <c r="D150" s="28" t="s">
        <v>21</v>
      </c>
      <c r="E150" s="28" t="s">
        <v>31</v>
      </c>
      <c r="F150" s="26"/>
      <c r="G150" s="54"/>
      <c r="H150" s="28"/>
      <c r="I150" s="16" t="s">
        <v>7</v>
      </c>
      <c r="J150" s="16">
        <f t="shared" si="17"/>
        <v>0</v>
      </c>
      <c r="K150" s="16">
        <f t="shared" si="17"/>
        <v>0</v>
      </c>
      <c r="L150" s="16">
        <f t="shared" si="17"/>
        <v>0</v>
      </c>
      <c r="M150" s="16">
        <f t="shared" si="17"/>
        <v>1</v>
      </c>
      <c r="N150" s="16">
        <f t="shared" si="17"/>
        <v>0</v>
      </c>
      <c r="O150" s="28"/>
    </row>
    <row r="151" spans="1:15" s="15" customFormat="1" x14ac:dyDescent="0.25">
      <c r="A151" s="25">
        <f t="shared" si="21"/>
        <v>11.001199999999997</v>
      </c>
      <c r="B151" s="25"/>
      <c r="C151" s="28" t="s">
        <v>35</v>
      </c>
      <c r="D151" s="28" t="s">
        <v>23</v>
      </c>
      <c r="E151" s="28" t="s">
        <v>30</v>
      </c>
      <c r="F151" s="26"/>
      <c r="G151" s="54"/>
      <c r="H151" s="28"/>
      <c r="I151" s="16" t="s">
        <v>7</v>
      </c>
      <c r="J151" s="16">
        <f t="shared" si="17"/>
        <v>0</v>
      </c>
      <c r="K151" s="16">
        <f t="shared" si="17"/>
        <v>0</v>
      </c>
      <c r="L151" s="16">
        <f t="shared" si="17"/>
        <v>0</v>
      </c>
      <c r="M151" s="16">
        <f t="shared" si="17"/>
        <v>1</v>
      </c>
      <c r="N151" s="16">
        <f t="shared" si="17"/>
        <v>0</v>
      </c>
      <c r="O151" s="28"/>
    </row>
    <row r="152" spans="1:15" s="34" customFormat="1" x14ac:dyDescent="0.25">
      <c r="A152" s="35"/>
      <c r="B152" s="35"/>
      <c r="C152" s="36" t="s">
        <v>180</v>
      </c>
      <c r="D152" s="25"/>
      <c r="E152" s="31"/>
      <c r="F152" s="32"/>
      <c r="G152" s="56"/>
      <c r="H152" s="31"/>
      <c r="I152" s="16" t="s">
        <v>7</v>
      </c>
      <c r="J152" s="16">
        <f t="shared" si="17"/>
        <v>0</v>
      </c>
      <c r="K152" s="16">
        <f t="shared" si="17"/>
        <v>0</v>
      </c>
      <c r="L152" s="16">
        <f t="shared" si="17"/>
        <v>0</v>
      </c>
      <c r="M152" s="16">
        <f t="shared" si="17"/>
        <v>1</v>
      </c>
      <c r="N152" s="16">
        <f t="shared" si="17"/>
        <v>0</v>
      </c>
      <c r="O152" s="31"/>
    </row>
    <row r="153" spans="1:15" s="15" customFormat="1" x14ac:dyDescent="0.25">
      <c r="A153" s="25">
        <f>A151+0.0001</f>
        <v>11.001299999999997</v>
      </c>
      <c r="B153" s="25"/>
      <c r="C153" s="28" t="s">
        <v>37</v>
      </c>
      <c r="D153" s="28" t="s">
        <v>21</v>
      </c>
      <c r="E153" s="28" t="s">
        <v>32</v>
      </c>
      <c r="F153" s="26"/>
      <c r="G153" s="54"/>
      <c r="H153" s="28"/>
      <c r="I153" s="16" t="s">
        <v>7</v>
      </c>
      <c r="J153" s="16">
        <f t="shared" si="17"/>
        <v>0</v>
      </c>
      <c r="K153" s="16">
        <f t="shared" si="17"/>
        <v>0</v>
      </c>
      <c r="L153" s="16">
        <f t="shared" si="17"/>
        <v>0</v>
      </c>
      <c r="M153" s="16">
        <f t="shared" si="17"/>
        <v>1</v>
      </c>
      <c r="N153" s="16">
        <f t="shared" si="17"/>
        <v>0</v>
      </c>
      <c r="O153" s="28"/>
    </row>
    <row r="154" spans="1:15" s="15" customFormat="1" x14ac:dyDescent="0.25">
      <c r="A154" s="25">
        <f>A153+0.0001</f>
        <v>11.001399999999997</v>
      </c>
      <c r="B154" s="25"/>
      <c r="C154" s="28"/>
      <c r="D154" s="28" t="s">
        <v>23</v>
      </c>
      <c r="E154" s="28" t="s">
        <v>181</v>
      </c>
      <c r="F154" s="26"/>
      <c r="G154" s="54"/>
      <c r="H154" s="28"/>
      <c r="I154" s="16" t="s">
        <v>7</v>
      </c>
      <c r="J154" s="16">
        <f t="shared" si="17"/>
        <v>0</v>
      </c>
      <c r="K154" s="16">
        <f t="shared" si="17"/>
        <v>0</v>
      </c>
      <c r="L154" s="16">
        <f t="shared" si="17"/>
        <v>0</v>
      </c>
      <c r="M154" s="16">
        <f t="shared" si="17"/>
        <v>1</v>
      </c>
      <c r="N154" s="16">
        <f t="shared" si="17"/>
        <v>0</v>
      </c>
      <c r="O154" s="28"/>
    </row>
    <row r="155" spans="1:15" s="15" customFormat="1" x14ac:dyDescent="0.25">
      <c r="A155" s="25">
        <f t="shared" ref="A155:A156" si="22">A154+0.0001</f>
        <v>11.001499999999997</v>
      </c>
      <c r="B155" s="25"/>
      <c r="C155" s="28" t="s">
        <v>35</v>
      </c>
      <c r="D155" s="28" t="s">
        <v>21</v>
      </c>
      <c r="E155" s="28" t="s">
        <v>30</v>
      </c>
      <c r="F155" s="26"/>
      <c r="G155" s="54"/>
      <c r="H155" s="28"/>
      <c r="I155" s="16" t="s">
        <v>7</v>
      </c>
      <c r="J155" s="16">
        <f t="shared" si="17"/>
        <v>0</v>
      </c>
      <c r="K155" s="16">
        <f t="shared" si="17"/>
        <v>0</v>
      </c>
      <c r="L155" s="16">
        <f t="shared" si="17"/>
        <v>0</v>
      </c>
      <c r="M155" s="16">
        <f t="shared" si="17"/>
        <v>1</v>
      </c>
      <c r="N155" s="16">
        <f t="shared" si="17"/>
        <v>0</v>
      </c>
      <c r="O155" s="28"/>
    </row>
    <row r="156" spans="1:15" s="15" customFormat="1" x14ac:dyDescent="0.25">
      <c r="A156" s="25">
        <f t="shared" si="22"/>
        <v>11.001599999999996</v>
      </c>
      <c r="B156" s="25"/>
      <c r="C156" s="28" t="s">
        <v>36</v>
      </c>
      <c r="D156" s="28" t="s">
        <v>23</v>
      </c>
      <c r="E156" s="28" t="s">
        <v>31</v>
      </c>
      <c r="F156" s="26"/>
      <c r="G156" s="54"/>
      <c r="H156" s="28"/>
      <c r="I156" s="16" t="s">
        <v>7</v>
      </c>
      <c r="J156" s="16">
        <f t="shared" si="17"/>
        <v>0</v>
      </c>
      <c r="K156" s="16">
        <f t="shared" si="17"/>
        <v>0</v>
      </c>
      <c r="L156" s="16">
        <f t="shared" si="17"/>
        <v>0</v>
      </c>
      <c r="M156" s="16">
        <f t="shared" si="17"/>
        <v>1</v>
      </c>
      <c r="N156" s="16">
        <f t="shared" si="17"/>
        <v>0</v>
      </c>
      <c r="O156" s="28"/>
    </row>
    <row r="157" spans="1:15" s="13" customFormat="1" ht="15" customHeight="1" x14ac:dyDescent="0.25">
      <c r="A157" s="22">
        <v>12</v>
      </c>
      <c r="B157" s="59" t="s">
        <v>184</v>
      </c>
      <c r="C157" s="60"/>
      <c r="D157" s="23"/>
      <c r="E157" s="23"/>
      <c r="F157" s="24"/>
      <c r="G157" s="53"/>
      <c r="H157" s="23"/>
      <c r="I157" s="16" t="s">
        <v>7</v>
      </c>
      <c r="J157" s="12"/>
      <c r="K157" s="12"/>
      <c r="L157" s="12"/>
      <c r="M157" s="12"/>
      <c r="N157" s="12"/>
      <c r="O157" s="23"/>
    </row>
    <row r="158" spans="1:15" s="34" customFormat="1" x14ac:dyDescent="0.25">
      <c r="A158" s="35"/>
      <c r="B158" s="35"/>
      <c r="C158" s="36" t="s">
        <v>183</v>
      </c>
      <c r="D158" s="25"/>
      <c r="E158" s="31"/>
      <c r="F158" s="32"/>
      <c r="G158" s="56"/>
      <c r="H158" s="31"/>
      <c r="I158" s="16" t="s">
        <v>7</v>
      </c>
      <c r="J158" s="16">
        <f t="shared" ref="J158:N173" si="23">IF($I158=J$1,1,0)</f>
        <v>0</v>
      </c>
      <c r="K158" s="16">
        <f t="shared" si="23"/>
        <v>0</v>
      </c>
      <c r="L158" s="16">
        <f t="shared" si="23"/>
        <v>0</v>
      </c>
      <c r="M158" s="16">
        <f t="shared" si="23"/>
        <v>1</v>
      </c>
      <c r="N158" s="16">
        <f t="shared" si="23"/>
        <v>0</v>
      </c>
      <c r="O158" s="31"/>
    </row>
    <row r="159" spans="1:15" s="15" customFormat="1" x14ac:dyDescent="0.25">
      <c r="A159" s="25">
        <f>A157+0.0001</f>
        <v>12.0001</v>
      </c>
      <c r="B159" s="25"/>
      <c r="C159" s="26" t="s">
        <v>110</v>
      </c>
      <c r="D159" s="26" t="s">
        <v>21</v>
      </c>
      <c r="E159" s="26" t="s">
        <v>111</v>
      </c>
      <c r="F159" s="26"/>
      <c r="G159" s="54"/>
      <c r="H159" s="28"/>
      <c r="I159" s="16" t="s">
        <v>7</v>
      </c>
      <c r="J159" s="16">
        <f t="shared" si="23"/>
        <v>0</v>
      </c>
      <c r="K159" s="16">
        <f t="shared" si="23"/>
        <v>0</v>
      </c>
      <c r="L159" s="16">
        <f t="shared" si="23"/>
        <v>0</v>
      </c>
      <c r="M159" s="16">
        <f t="shared" si="23"/>
        <v>1</v>
      </c>
      <c r="N159" s="16">
        <f t="shared" si="23"/>
        <v>0</v>
      </c>
      <c r="O159" s="28"/>
    </row>
    <row r="160" spans="1:15" s="15" customFormat="1" x14ac:dyDescent="0.25">
      <c r="A160" s="25">
        <f t="shared" ref="A160:A164" si="24">A159+0.0001</f>
        <v>12.0002</v>
      </c>
      <c r="B160" s="25"/>
      <c r="C160" s="26" t="s">
        <v>103</v>
      </c>
      <c r="D160" s="26" t="s">
        <v>23</v>
      </c>
      <c r="E160" s="26" t="s">
        <v>104</v>
      </c>
      <c r="F160" s="26"/>
      <c r="G160" s="54"/>
      <c r="H160" s="28"/>
      <c r="I160" s="16" t="s">
        <v>7</v>
      </c>
      <c r="J160" s="16">
        <f t="shared" si="23"/>
        <v>0</v>
      </c>
      <c r="K160" s="16">
        <f t="shared" si="23"/>
        <v>0</v>
      </c>
      <c r="L160" s="16">
        <f t="shared" si="23"/>
        <v>0</v>
      </c>
      <c r="M160" s="16">
        <f t="shared" si="23"/>
        <v>1</v>
      </c>
      <c r="N160" s="16">
        <f t="shared" si="23"/>
        <v>0</v>
      </c>
      <c r="O160" s="28"/>
    </row>
    <row r="161" spans="1:15" s="15" customFormat="1" x14ac:dyDescent="0.25">
      <c r="A161" s="25">
        <f t="shared" si="24"/>
        <v>12.000299999999999</v>
      </c>
      <c r="B161" s="25"/>
      <c r="C161" s="26" t="s">
        <v>36</v>
      </c>
      <c r="D161" s="26" t="s">
        <v>21</v>
      </c>
      <c r="E161" s="26" t="s">
        <v>31</v>
      </c>
      <c r="F161" s="26"/>
      <c r="G161" s="54"/>
      <c r="H161" s="28"/>
      <c r="I161" s="16" t="s">
        <v>7</v>
      </c>
      <c r="J161" s="16">
        <f t="shared" si="23"/>
        <v>0</v>
      </c>
      <c r="K161" s="16">
        <f t="shared" si="23"/>
        <v>0</v>
      </c>
      <c r="L161" s="16">
        <f t="shared" si="23"/>
        <v>0</v>
      </c>
      <c r="M161" s="16">
        <f t="shared" si="23"/>
        <v>1</v>
      </c>
      <c r="N161" s="16">
        <f t="shared" si="23"/>
        <v>0</v>
      </c>
      <c r="O161" s="28"/>
    </row>
    <row r="162" spans="1:15" s="15" customFormat="1" x14ac:dyDescent="0.25">
      <c r="A162" s="25">
        <f t="shared" si="24"/>
        <v>12.000399999999999</v>
      </c>
      <c r="B162" s="25"/>
      <c r="C162" s="28" t="s">
        <v>35</v>
      </c>
      <c r="D162" s="28" t="s">
        <v>23</v>
      </c>
      <c r="E162" s="28" t="s">
        <v>30</v>
      </c>
      <c r="F162" s="26"/>
      <c r="G162" s="54"/>
      <c r="H162" s="28"/>
      <c r="I162" s="16" t="s">
        <v>7</v>
      </c>
      <c r="J162" s="16">
        <f t="shared" si="23"/>
        <v>0</v>
      </c>
      <c r="K162" s="16">
        <f t="shared" si="23"/>
        <v>0</v>
      </c>
      <c r="L162" s="16">
        <f t="shared" si="23"/>
        <v>0</v>
      </c>
      <c r="M162" s="16">
        <f t="shared" si="23"/>
        <v>1</v>
      </c>
      <c r="N162" s="16">
        <f t="shared" si="23"/>
        <v>0</v>
      </c>
      <c r="O162" s="28"/>
    </row>
    <row r="163" spans="1:15" s="15" customFormat="1" x14ac:dyDescent="0.25">
      <c r="A163" s="25">
        <f t="shared" si="24"/>
        <v>12.000499999999999</v>
      </c>
      <c r="B163" s="25"/>
      <c r="C163" s="28" t="s">
        <v>50</v>
      </c>
      <c r="D163" s="28" t="s">
        <v>21</v>
      </c>
      <c r="E163" s="28" t="s">
        <v>51</v>
      </c>
      <c r="F163" s="26"/>
      <c r="G163" s="54"/>
      <c r="H163" s="28"/>
      <c r="I163" s="16" t="s">
        <v>7</v>
      </c>
      <c r="J163" s="16">
        <f t="shared" si="23"/>
        <v>0</v>
      </c>
      <c r="K163" s="16">
        <f t="shared" si="23"/>
        <v>0</v>
      </c>
      <c r="L163" s="16">
        <f t="shared" si="23"/>
        <v>0</v>
      </c>
      <c r="M163" s="16">
        <f t="shared" si="23"/>
        <v>1</v>
      </c>
      <c r="N163" s="16">
        <f t="shared" si="23"/>
        <v>0</v>
      </c>
      <c r="O163" s="28"/>
    </row>
    <row r="164" spans="1:15" s="15" customFormat="1" x14ac:dyDescent="0.25">
      <c r="A164" s="25">
        <f t="shared" si="24"/>
        <v>12.000599999999999</v>
      </c>
      <c r="B164" s="25"/>
      <c r="C164" s="28" t="s">
        <v>37</v>
      </c>
      <c r="D164" s="28" t="s">
        <v>23</v>
      </c>
      <c r="E164" s="28" t="s">
        <v>32</v>
      </c>
      <c r="F164" s="26"/>
      <c r="G164" s="54"/>
      <c r="H164" s="28"/>
      <c r="I164" s="16" t="s">
        <v>7</v>
      </c>
      <c r="J164" s="16">
        <f t="shared" si="23"/>
        <v>0</v>
      </c>
      <c r="K164" s="16">
        <f t="shared" si="23"/>
        <v>0</v>
      </c>
      <c r="L164" s="16">
        <f t="shared" si="23"/>
        <v>0</v>
      </c>
      <c r="M164" s="16">
        <f t="shared" si="23"/>
        <v>1</v>
      </c>
      <c r="N164" s="16">
        <f t="shared" si="23"/>
        <v>0</v>
      </c>
      <c r="O164" s="28"/>
    </row>
    <row r="165" spans="1:15" s="34" customFormat="1" x14ac:dyDescent="0.25">
      <c r="A165" s="35"/>
      <c r="B165" s="35"/>
      <c r="C165" s="36" t="s">
        <v>185</v>
      </c>
      <c r="D165" s="25"/>
      <c r="E165" s="31"/>
      <c r="F165" s="32"/>
      <c r="G165" s="56"/>
      <c r="H165" s="31"/>
      <c r="I165" s="16" t="s">
        <v>7</v>
      </c>
      <c r="J165" s="16">
        <f t="shared" si="23"/>
        <v>0</v>
      </c>
      <c r="K165" s="16">
        <f t="shared" si="23"/>
        <v>0</v>
      </c>
      <c r="L165" s="16">
        <f t="shared" si="23"/>
        <v>0</v>
      </c>
      <c r="M165" s="16">
        <f t="shared" si="23"/>
        <v>1</v>
      </c>
      <c r="N165" s="16">
        <f t="shared" si="23"/>
        <v>0</v>
      </c>
      <c r="O165" s="31"/>
    </row>
    <row r="166" spans="1:15" s="15" customFormat="1" x14ac:dyDescent="0.25">
      <c r="A166" s="25">
        <f>A164+0.0001</f>
        <v>12.000699999999998</v>
      </c>
      <c r="B166" s="25"/>
      <c r="C166" s="26" t="s">
        <v>103</v>
      </c>
      <c r="D166" s="26" t="s">
        <v>21</v>
      </c>
      <c r="E166" s="26" t="s">
        <v>104</v>
      </c>
      <c r="F166" s="26"/>
      <c r="G166" s="54"/>
      <c r="H166" s="28"/>
      <c r="I166" s="16" t="s">
        <v>7</v>
      </c>
      <c r="J166" s="16">
        <f t="shared" si="23"/>
        <v>0</v>
      </c>
      <c r="K166" s="16">
        <f t="shared" si="23"/>
        <v>0</v>
      </c>
      <c r="L166" s="16">
        <f t="shared" si="23"/>
        <v>0</v>
      </c>
      <c r="M166" s="16">
        <f t="shared" si="23"/>
        <v>1</v>
      </c>
      <c r="N166" s="16">
        <f t="shared" si="23"/>
        <v>0</v>
      </c>
      <c r="O166" s="28"/>
    </row>
    <row r="167" spans="1:15" s="15" customFormat="1" x14ac:dyDescent="0.25">
      <c r="A167" s="25">
        <f t="shared" ref="A167:A171" si="25">A166+0.0001</f>
        <v>12.000799999999998</v>
      </c>
      <c r="B167" s="25"/>
      <c r="C167" s="26" t="s">
        <v>110</v>
      </c>
      <c r="D167" s="26" t="s">
        <v>23</v>
      </c>
      <c r="E167" s="26" t="s">
        <v>111</v>
      </c>
      <c r="F167" s="26"/>
      <c r="G167" s="54"/>
      <c r="H167" s="28"/>
      <c r="I167" s="16" t="s">
        <v>7</v>
      </c>
      <c r="J167" s="16">
        <f t="shared" si="23"/>
        <v>0</v>
      </c>
      <c r="K167" s="16">
        <f t="shared" si="23"/>
        <v>0</v>
      </c>
      <c r="L167" s="16">
        <f t="shared" si="23"/>
        <v>0</v>
      </c>
      <c r="M167" s="16">
        <f t="shared" si="23"/>
        <v>1</v>
      </c>
      <c r="N167" s="16">
        <f t="shared" si="23"/>
        <v>0</v>
      </c>
      <c r="O167" s="28"/>
    </row>
    <row r="168" spans="1:15" s="15" customFormat="1" x14ac:dyDescent="0.25">
      <c r="A168" s="25">
        <f t="shared" si="25"/>
        <v>12.000899999999998</v>
      </c>
      <c r="B168" s="25"/>
      <c r="C168" s="26" t="s">
        <v>35</v>
      </c>
      <c r="D168" s="26" t="s">
        <v>21</v>
      </c>
      <c r="E168" s="26" t="s">
        <v>30</v>
      </c>
      <c r="F168" s="26"/>
      <c r="G168" s="54"/>
      <c r="H168" s="28"/>
      <c r="I168" s="16" t="s">
        <v>7</v>
      </c>
      <c r="J168" s="16">
        <f t="shared" si="23"/>
        <v>0</v>
      </c>
      <c r="K168" s="16">
        <f t="shared" si="23"/>
        <v>0</v>
      </c>
      <c r="L168" s="16">
        <f t="shared" si="23"/>
        <v>0</v>
      </c>
      <c r="M168" s="16">
        <f t="shared" si="23"/>
        <v>1</v>
      </c>
      <c r="N168" s="16">
        <f t="shared" si="23"/>
        <v>0</v>
      </c>
      <c r="O168" s="28"/>
    </row>
    <row r="169" spans="1:15" s="15" customFormat="1" x14ac:dyDescent="0.25">
      <c r="A169" s="25">
        <f t="shared" si="25"/>
        <v>12.000999999999998</v>
      </c>
      <c r="B169" s="25"/>
      <c r="C169" s="28" t="s">
        <v>36</v>
      </c>
      <c r="D169" s="28" t="s">
        <v>23</v>
      </c>
      <c r="E169" s="28" t="s">
        <v>31</v>
      </c>
      <c r="F169" s="26"/>
      <c r="G169" s="54"/>
      <c r="H169" s="28"/>
      <c r="I169" s="16" t="s">
        <v>7</v>
      </c>
      <c r="J169" s="16">
        <f t="shared" si="23"/>
        <v>0</v>
      </c>
      <c r="K169" s="16">
        <f t="shared" si="23"/>
        <v>0</v>
      </c>
      <c r="L169" s="16">
        <f t="shared" si="23"/>
        <v>0</v>
      </c>
      <c r="M169" s="16">
        <f t="shared" si="23"/>
        <v>1</v>
      </c>
      <c r="N169" s="16">
        <f t="shared" si="23"/>
        <v>0</v>
      </c>
      <c r="O169" s="28"/>
    </row>
    <row r="170" spans="1:15" s="15" customFormat="1" x14ac:dyDescent="0.25">
      <c r="A170" s="25">
        <f t="shared" si="25"/>
        <v>12.001099999999997</v>
      </c>
      <c r="B170" s="25"/>
      <c r="C170" s="28" t="s">
        <v>37</v>
      </c>
      <c r="D170" s="28" t="s">
        <v>21</v>
      </c>
      <c r="E170" s="28" t="s">
        <v>32</v>
      </c>
      <c r="F170" s="26"/>
      <c r="G170" s="54"/>
      <c r="H170" s="28"/>
      <c r="I170" s="16" t="s">
        <v>7</v>
      </c>
      <c r="J170" s="16">
        <f t="shared" si="23"/>
        <v>0</v>
      </c>
      <c r="K170" s="16">
        <f t="shared" si="23"/>
        <v>0</v>
      </c>
      <c r="L170" s="16">
        <f t="shared" si="23"/>
        <v>0</v>
      </c>
      <c r="M170" s="16">
        <f t="shared" si="23"/>
        <v>1</v>
      </c>
      <c r="N170" s="16">
        <f t="shared" si="23"/>
        <v>0</v>
      </c>
      <c r="O170" s="28"/>
    </row>
    <row r="171" spans="1:15" s="15" customFormat="1" x14ac:dyDescent="0.25">
      <c r="A171" s="25">
        <f t="shared" si="25"/>
        <v>12.001199999999997</v>
      </c>
      <c r="B171" s="25"/>
      <c r="C171" s="28" t="s">
        <v>34</v>
      </c>
      <c r="D171" s="28" t="s">
        <v>23</v>
      </c>
      <c r="E171" s="28" t="s">
        <v>29</v>
      </c>
      <c r="F171" s="26"/>
      <c r="G171" s="54"/>
      <c r="H171" s="28"/>
      <c r="I171" s="16" t="s">
        <v>7</v>
      </c>
      <c r="J171" s="16">
        <f t="shared" si="23"/>
        <v>0</v>
      </c>
      <c r="K171" s="16">
        <f t="shared" si="23"/>
        <v>0</v>
      </c>
      <c r="L171" s="16">
        <f t="shared" si="23"/>
        <v>0</v>
      </c>
      <c r="M171" s="16">
        <f t="shared" si="23"/>
        <v>1</v>
      </c>
      <c r="N171" s="16">
        <f t="shared" si="23"/>
        <v>0</v>
      </c>
      <c r="O171" s="28"/>
    </row>
    <row r="172" spans="1:15" s="13" customFormat="1" ht="15" customHeight="1" x14ac:dyDescent="0.25">
      <c r="A172" s="22">
        <v>13</v>
      </c>
      <c r="B172" s="59" t="s">
        <v>186</v>
      </c>
      <c r="C172" s="60"/>
      <c r="D172" s="23"/>
      <c r="E172" s="23"/>
      <c r="F172" s="24"/>
      <c r="G172" s="53"/>
      <c r="H172" s="23"/>
      <c r="I172" s="16" t="s">
        <v>7</v>
      </c>
      <c r="J172" s="12"/>
      <c r="K172" s="12"/>
      <c r="L172" s="12"/>
      <c r="M172" s="12"/>
      <c r="N172" s="12"/>
      <c r="O172" s="23"/>
    </row>
    <row r="173" spans="1:15" s="34" customFormat="1" x14ac:dyDescent="0.25">
      <c r="A173" s="35"/>
      <c r="B173" s="35"/>
      <c r="C173" s="36" t="s">
        <v>183</v>
      </c>
      <c r="D173" s="25"/>
      <c r="E173" s="31"/>
      <c r="F173" s="32"/>
      <c r="G173" s="56"/>
      <c r="H173" s="31"/>
      <c r="I173" s="16" t="s">
        <v>7</v>
      </c>
      <c r="J173" s="16">
        <f t="shared" si="23"/>
        <v>0</v>
      </c>
      <c r="K173" s="16">
        <f t="shared" si="23"/>
        <v>0</v>
      </c>
      <c r="L173" s="16">
        <f t="shared" si="23"/>
        <v>0</v>
      </c>
      <c r="M173" s="16">
        <f t="shared" si="23"/>
        <v>1</v>
      </c>
      <c r="N173" s="16">
        <f t="shared" si="23"/>
        <v>0</v>
      </c>
      <c r="O173" s="31"/>
    </row>
    <row r="174" spans="1:15" s="15" customFormat="1" x14ac:dyDescent="0.25">
      <c r="A174" s="25">
        <f>A172+0.0001</f>
        <v>13.0001</v>
      </c>
      <c r="B174" s="25"/>
      <c r="C174" s="26" t="s">
        <v>45</v>
      </c>
      <c r="D174" s="26" t="s">
        <v>21</v>
      </c>
      <c r="E174" s="26" t="s">
        <v>49</v>
      </c>
      <c r="F174" s="26"/>
      <c r="G174" s="54"/>
      <c r="H174" s="28"/>
      <c r="I174" s="16"/>
      <c r="J174" s="16">
        <f t="shared" ref="J174:N186" si="26">IF($I174=J$1,1,0)</f>
        <v>0</v>
      </c>
      <c r="K174" s="16">
        <f t="shared" si="26"/>
        <v>0</v>
      </c>
      <c r="L174" s="16">
        <f t="shared" si="26"/>
        <v>1</v>
      </c>
      <c r="M174" s="16">
        <f t="shared" si="26"/>
        <v>0</v>
      </c>
      <c r="N174" s="16">
        <f t="shared" si="26"/>
        <v>0</v>
      </c>
      <c r="O174" s="28"/>
    </row>
    <row r="175" spans="1:15" s="15" customFormat="1" x14ac:dyDescent="0.25">
      <c r="A175" s="25">
        <f t="shared" ref="A175:A179" si="27">A174+0.0001</f>
        <v>13.0002</v>
      </c>
      <c r="B175" s="25"/>
      <c r="C175" s="26" t="s">
        <v>103</v>
      </c>
      <c r="D175" s="26" t="s">
        <v>23</v>
      </c>
      <c r="E175" s="26" t="s">
        <v>104</v>
      </c>
      <c r="F175" s="26"/>
      <c r="G175" s="54"/>
      <c r="H175" s="28"/>
      <c r="I175" s="16"/>
      <c r="J175" s="16">
        <f t="shared" si="26"/>
        <v>0</v>
      </c>
      <c r="K175" s="16">
        <f t="shared" si="26"/>
        <v>0</v>
      </c>
      <c r="L175" s="16">
        <f t="shared" si="26"/>
        <v>1</v>
      </c>
      <c r="M175" s="16">
        <f t="shared" si="26"/>
        <v>0</v>
      </c>
      <c r="N175" s="16">
        <f t="shared" si="26"/>
        <v>0</v>
      </c>
      <c r="O175" s="28"/>
    </row>
    <row r="176" spans="1:15" s="15" customFormat="1" x14ac:dyDescent="0.25">
      <c r="A176" s="25">
        <f t="shared" si="27"/>
        <v>13.000299999999999</v>
      </c>
      <c r="B176" s="25"/>
      <c r="C176" s="26" t="s">
        <v>36</v>
      </c>
      <c r="D176" s="26" t="s">
        <v>21</v>
      </c>
      <c r="E176" s="26" t="s">
        <v>31</v>
      </c>
      <c r="F176" s="26"/>
      <c r="G176" s="54"/>
      <c r="H176" s="28"/>
      <c r="I176" s="16"/>
      <c r="J176" s="16">
        <f t="shared" si="26"/>
        <v>0</v>
      </c>
      <c r="K176" s="16">
        <f t="shared" si="26"/>
        <v>0</v>
      </c>
      <c r="L176" s="16">
        <f t="shared" si="26"/>
        <v>1</v>
      </c>
      <c r="M176" s="16">
        <f t="shared" si="26"/>
        <v>0</v>
      </c>
      <c r="N176" s="16">
        <f t="shared" si="26"/>
        <v>0</v>
      </c>
      <c r="O176" s="28"/>
    </row>
    <row r="177" spans="1:15" s="15" customFormat="1" x14ac:dyDescent="0.25">
      <c r="A177" s="25">
        <f t="shared" si="27"/>
        <v>13.000399999999999</v>
      </c>
      <c r="B177" s="25"/>
      <c r="C177" s="28" t="s">
        <v>35</v>
      </c>
      <c r="D177" s="28" t="s">
        <v>23</v>
      </c>
      <c r="E177" s="28" t="s">
        <v>30</v>
      </c>
      <c r="F177" s="26"/>
      <c r="G177" s="54"/>
      <c r="H177" s="28"/>
      <c r="I177" s="16"/>
      <c r="J177" s="16">
        <f t="shared" si="26"/>
        <v>0</v>
      </c>
      <c r="K177" s="16">
        <f t="shared" si="26"/>
        <v>0</v>
      </c>
      <c r="L177" s="16">
        <f t="shared" si="26"/>
        <v>1</v>
      </c>
      <c r="M177" s="16">
        <f t="shared" si="26"/>
        <v>0</v>
      </c>
      <c r="N177" s="16">
        <f t="shared" si="26"/>
        <v>0</v>
      </c>
      <c r="O177" s="28"/>
    </row>
    <row r="178" spans="1:15" s="15" customFormat="1" x14ac:dyDescent="0.25">
      <c r="A178" s="25">
        <f t="shared" si="27"/>
        <v>13.000499999999999</v>
      </c>
      <c r="B178" s="25"/>
      <c r="C178" s="28" t="s">
        <v>50</v>
      </c>
      <c r="D178" s="28" t="s">
        <v>21</v>
      </c>
      <c r="E178" s="28" t="s">
        <v>51</v>
      </c>
      <c r="F178" s="26"/>
      <c r="G178" s="54"/>
      <c r="H178" s="28"/>
      <c r="I178" s="16"/>
      <c r="J178" s="16">
        <f t="shared" si="26"/>
        <v>0</v>
      </c>
      <c r="K178" s="16">
        <f t="shared" si="26"/>
        <v>0</v>
      </c>
      <c r="L178" s="16">
        <f t="shared" si="26"/>
        <v>1</v>
      </c>
      <c r="M178" s="16">
        <f t="shared" si="26"/>
        <v>0</v>
      </c>
      <c r="N178" s="16">
        <f t="shared" si="26"/>
        <v>0</v>
      </c>
      <c r="O178" s="28"/>
    </row>
    <row r="179" spans="1:15" s="15" customFormat="1" x14ac:dyDescent="0.25">
      <c r="A179" s="25">
        <f t="shared" si="27"/>
        <v>13.000599999999999</v>
      </c>
      <c r="B179" s="25"/>
      <c r="C179" s="28" t="s">
        <v>37</v>
      </c>
      <c r="D179" s="28" t="s">
        <v>23</v>
      </c>
      <c r="E179" s="28" t="s">
        <v>32</v>
      </c>
      <c r="F179" s="26"/>
      <c r="G179" s="54"/>
      <c r="H179" s="28"/>
      <c r="I179" s="16"/>
      <c r="J179" s="16">
        <f t="shared" si="26"/>
        <v>0</v>
      </c>
      <c r="K179" s="16">
        <f t="shared" si="26"/>
        <v>0</v>
      </c>
      <c r="L179" s="16">
        <f t="shared" si="26"/>
        <v>1</v>
      </c>
      <c r="M179" s="16">
        <f t="shared" si="26"/>
        <v>0</v>
      </c>
      <c r="N179" s="16">
        <f t="shared" si="26"/>
        <v>0</v>
      </c>
      <c r="O179" s="28"/>
    </row>
    <row r="180" spans="1:15" s="34" customFormat="1" x14ac:dyDescent="0.25">
      <c r="A180" s="35"/>
      <c r="B180" s="35"/>
      <c r="C180" s="36" t="s">
        <v>187</v>
      </c>
      <c r="D180" s="25"/>
      <c r="E180" s="31"/>
      <c r="F180" s="32"/>
      <c r="G180" s="56"/>
      <c r="H180" s="31"/>
      <c r="I180" s="16"/>
      <c r="J180" s="16"/>
      <c r="K180" s="16"/>
      <c r="L180" s="16"/>
      <c r="M180" s="16"/>
      <c r="N180" s="16"/>
      <c r="O180" s="31"/>
    </row>
    <row r="181" spans="1:15" s="15" customFormat="1" x14ac:dyDescent="0.25">
      <c r="A181" s="25">
        <f>A179+0.0001</f>
        <v>13.000699999999998</v>
      </c>
      <c r="B181" s="25"/>
      <c r="C181" s="26" t="s">
        <v>103</v>
      </c>
      <c r="D181" s="26" t="s">
        <v>21</v>
      </c>
      <c r="E181" s="26" t="s">
        <v>104</v>
      </c>
      <c r="F181" s="26"/>
      <c r="G181" s="54"/>
      <c r="H181" s="28"/>
      <c r="I181" s="16"/>
      <c r="J181" s="16">
        <f t="shared" si="26"/>
        <v>0</v>
      </c>
      <c r="K181" s="16">
        <f t="shared" si="26"/>
        <v>0</v>
      </c>
      <c r="L181" s="16">
        <f t="shared" si="26"/>
        <v>1</v>
      </c>
      <c r="M181" s="16">
        <f t="shared" si="26"/>
        <v>0</v>
      </c>
      <c r="N181" s="16">
        <f t="shared" si="26"/>
        <v>0</v>
      </c>
      <c r="O181" s="28"/>
    </row>
    <row r="182" spans="1:15" s="15" customFormat="1" x14ac:dyDescent="0.25">
      <c r="A182" s="25">
        <f t="shared" ref="A182:A186" si="28">A181+0.0001</f>
        <v>13.000799999999998</v>
      </c>
      <c r="B182" s="25"/>
      <c r="C182" s="26" t="s">
        <v>45</v>
      </c>
      <c r="D182" s="26" t="s">
        <v>23</v>
      </c>
      <c r="E182" s="26" t="s">
        <v>49</v>
      </c>
      <c r="F182" s="26"/>
      <c r="G182" s="54"/>
      <c r="H182" s="28"/>
      <c r="I182" s="16"/>
      <c r="J182" s="16">
        <f t="shared" si="26"/>
        <v>0</v>
      </c>
      <c r="K182" s="16">
        <f t="shared" si="26"/>
        <v>0</v>
      </c>
      <c r="L182" s="16">
        <f t="shared" si="26"/>
        <v>1</v>
      </c>
      <c r="M182" s="16">
        <f t="shared" si="26"/>
        <v>0</v>
      </c>
      <c r="N182" s="16">
        <f t="shared" si="26"/>
        <v>0</v>
      </c>
      <c r="O182" s="28"/>
    </row>
    <row r="183" spans="1:15" s="15" customFormat="1" x14ac:dyDescent="0.25">
      <c r="A183" s="25">
        <f t="shared" si="28"/>
        <v>13.000899999999998</v>
      </c>
      <c r="B183" s="25"/>
      <c r="C183" s="26" t="s">
        <v>35</v>
      </c>
      <c r="D183" s="26" t="s">
        <v>21</v>
      </c>
      <c r="E183" s="26" t="s">
        <v>30</v>
      </c>
      <c r="F183" s="26"/>
      <c r="G183" s="54"/>
      <c r="H183" s="28"/>
      <c r="I183" s="16"/>
      <c r="J183" s="16">
        <f t="shared" si="26"/>
        <v>0</v>
      </c>
      <c r="K183" s="16">
        <f t="shared" si="26"/>
        <v>0</v>
      </c>
      <c r="L183" s="16">
        <f t="shared" si="26"/>
        <v>1</v>
      </c>
      <c r="M183" s="16">
        <f t="shared" si="26"/>
        <v>0</v>
      </c>
      <c r="N183" s="16">
        <f t="shared" si="26"/>
        <v>0</v>
      </c>
      <c r="O183" s="28"/>
    </row>
    <row r="184" spans="1:15" s="15" customFormat="1" x14ac:dyDescent="0.25">
      <c r="A184" s="25">
        <f t="shared" si="28"/>
        <v>13.000999999999998</v>
      </c>
      <c r="B184" s="25"/>
      <c r="C184" s="28" t="s">
        <v>36</v>
      </c>
      <c r="D184" s="28" t="s">
        <v>23</v>
      </c>
      <c r="E184" s="28" t="s">
        <v>31</v>
      </c>
      <c r="F184" s="26"/>
      <c r="G184" s="54"/>
      <c r="H184" s="28"/>
      <c r="I184" s="16"/>
      <c r="J184" s="16">
        <f t="shared" si="26"/>
        <v>0</v>
      </c>
      <c r="K184" s="16">
        <f t="shared" si="26"/>
        <v>0</v>
      </c>
      <c r="L184" s="16">
        <f t="shared" si="26"/>
        <v>1</v>
      </c>
      <c r="M184" s="16">
        <f t="shared" si="26"/>
        <v>0</v>
      </c>
      <c r="N184" s="16">
        <f t="shared" si="26"/>
        <v>0</v>
      </c>
      <c r="O184" s="28"/>
    </row>
    <row r="185" spans="1:15" s="15" customFormat="1" x14ac:dyDescent="0.25">
      <c r="A185" s="25">
        <f t="shared" si="28"/>
        <v>13.001099999999997</v>
      </c>
      <c r="B185" s="25"/>
      <c r="C185" s="28" t="s">
        <v>37</v>
      </c>
      <c r="D185" s="28" t="s">
        <v>21</v>
      </c>
      <c r="E185" s="28" t="s">
        <v>32</v>
      </c>
      <c r="F185" s="26"/>
      <c r="G185" s="54"/>
      <c r="H185" s="28"/>
      <c r="I185" s="16"/>
      <c r="J185" s="16">
        <f t="shared" si="26"/>
        <v>0</v>
      </c>
      <c r="K185" s="16">
        <f t="shared" si="26"/>
        <v>0</v>
      </c>
      <c r="L185" s="16">
        <f t="shared" si="26"/>
        <v>1</v>
      </c>
      <c r="M185" s="16">
        <f t="shared" si="26"/>
        <v>0</v>
      </c>
      <c r="N185" s="16">
        <f t="shared" si="26"/>
        <v>0</v>
      </c>
      <c r="O185" s="28"/>
    </row>
    <row r="186" spans="1:15" s="15" customFormat="1" x14ac:dyDescent="0.25">
      <c r="A186" s="25">
        <f t="shared" si="28"/>
        <v>13.001199999999997</v>
      </c>
      <c r="B186" s="25"/>
      <c r="C186" s="28" t="s">
        <v>34</v>
      </c>
      <c r="D186" s="28" t="s">
        <v>23</v>
      </c>
      <c r="E186" s="28" t="s">
        <v>29</v>
      </c>
      <c r="F186" s="26"/>
      <c r="G186" s="54"/>
      <c r="H186" s="28"/>
      <c r="I186" s="16"/>
      <c r="J186" s="16">
        <f t="shared" si="26"/>
        <v>0</v>
      </c>
      <c r="K186" s="16">
        <f t="shared" si="26"/>
        <v>0</v>
      </c>
      <c r="L186" s="16">
        <f t="shared" si="26"/>
        <v>1</v>
      </c>
      <c r="M186" s="16">
        <f t="shared" si="26"/>
        <v>0</v>
      </c>
      <c r="N186" s="16">
        <f t="shared" si="26"/>
        <v>0</v>
      </c>
      <c r="O186" s="28"/>
    </row>
    <row r="187" spans="1:15" s="13" customFormat="1" ht="15" customHeight="1" x14ac:dyDescent="0.25">
      <c r="A187" s="22">
        <v>14</v>
      </c>
      <c r="B187" s="59"/>
      <c r="C187" s="60"/>
      <c r="D187" s="23"/>
      <c r="E187" s="23"/>
      <c r="F187" s="24"/>
      <c r="G187" s="53"/>
      <c r="H187" s="23"/>
      <c r="I187" s="16" t="s">
        <v>7</v>
      </c>
      <c r="J187" s="12"/>
      <c r="K187" s="12"/>
      <c r="L187" s="12"/>
      <c r="M187" s="12"/>
      <c r="N187" s="12"/>
      <c r="O187" s="23"/>
    </row>
    <row r="188" spans="1:15" s="34" customFormat="1" x14ac:dyDescent="0.25">
      <c r="A188" s="35"/>
      <c r="B188" s="35"/>
      <c r="C188" s="36" t="s">
        <v>188</v>
      </c>
      <c r="D188" s="25"/>
      <c r="E188" s="31"/>
      <c r="F188" s="32"/>
      <c r="G188" s="56"/>
      <c r="H188" s="31"/>
      <c r="I188" s="16" t="s">
        <v>7</v>
      </c>
      <c r="J188" s="16">
        <f t="shared" si="17"/>
        <v>0</v>
      </c>
      <c r="K188" s="16">
        <f t="shared" si="17"/>
        <v>0</v>
      </c>
      <c r="L188" s="16">
        <f t="shared" si="17"/>
        <v>0</v>
      </c>
      <c r="M188" s="16">
        <f t="shared" si="17"/>
        <v>1</v>
      </c>
      <c r="N188" s="16">
        <f t="shared" si="17"/>
        <v>0</v>
      </c>
      <c r="O188" s="31"/>
    </row>
    <row r="189" spans="1:15" s="15" customFormat="1" x14ac:dyDescent="0.25">
      <c r="A189" s="25">
        <f>A187+0.0001</f>
        <v>14.0001</v>
      </c>
      <c r="B189" s="25"/>
      <c r="C189" s="28" t="s">
        <v>110</v>
      </c>
      <c r="D189" s="28" t="s">
        <v>21</v>
      </c>
      <c r="E189" s="28" t="s">
        <v>111</v>
      </c>
      <c r="F189" s="26"/>
      <c r="G189" s="54"/>
      <c r="H189" s="28"/>
      <c r="I189" s="16" t="s">
        <v>7</v>
      </c>
      <c r="J189" s="16">
        <f t="shared" si="17"/>
        <v>0</v>
      </c>
      <c r="K189" s="16">
        <f t="shared" si="17"/>
        <v>0</v>
      </c>
      <c r="L189" s="16">
        <f t="shared" si="17"/>
        <v>0</v>
      </c>
      <c r="M189" s="16">
        <f t="shared" si="17"/>
        <v>1</v>
      </c>
      <c r="N189" s="16">
        <f t="shared" si="17"/>
        <v>0</v>
      </c>
      <c r="O189" s="28"/>
    </row>
    <row r="190" spans="1:15" s="15" customFormat="1" x14ac:dyDescent="0.25">
      <c r="A190" s="25">
        <f t="shared" ref="A190" si="29">A189+0.0001</f>
        <v>14.0002</v>
      </c>
      <c r="B190" s="25"/>
      <c r="C190" s="28" t="s">
        <v>45</v>
      </c>
      <c r="D190" s="28" t="s">
        <v>23</v>
      </c>
      <c r="E190" s="28" t="s">
        <v>49</v>
      </c>
      <c r="F190" s="26"/>
      <c r="G190" s="54"/>
      <c r="H190" s="28"/>
      <c r="I190" s="16"/>
      <c r="J190" s="16">
        <f t="shared" si="17"/>
        <v>0</v>
      </c>
      <c r="K190" s="16">
        <f t="shared" si="17"/>
        <v>0</v>
      </c>
      <c r="L190" s="16">
        <f t="shared" si="17"/>
        <v>1</v>
      </c>
      <c r="M190" s="16">
        <f t="shared" si="17"/>
        <v>0</v>
      </c>
      <c r="N190" s="16">
        <f t="shared" si="17"/>
        <v>0</v>
      </c>
      <c r="O190" s="28"/>
    </row>
    <row r="191" spans="1:15" s="34" customFormat="1" x14ac:dyDescent="0.25">
      <c r="A191" s="35"/>
      <c r="B191" s="35"/>
      <c r="C191" s="36" t="s">
        <v>189</v>
      </c>
      <c r="D191" s="25"/>
      <c r="E191" s="31"/>
      <c r="F191" s="32"/>
      <c r="G191" s="56"/>
      <c r="H191" s="31"/>
      <c r="I191" s="16" t="s">
        <v>7</v>
      </c>
      <c r="J191" s="16">
        <f t="shared" si="17"/>
        <v>0</v>
      </c>
      <c r="K191" s="16">
        <f t="shared" si="17"/>
        <v>0</v>
      </c>
      <c r="L191" s="16">
        <f t="shared" si="17"/>
        <v>0</v>
      </c>
      <c r="M191" s="16">
        <f t="shared" si="17"/>
        <v>1</v>
      </c>
      <c r="N191" s="16">
        <f t="shared" si="17"/>
        <v>0</v>
      </c>
      <c r="O191" s="31"/>
    </row>
    <row r="192" spans="1:15" s="15" customFormat="1" x14ac:dyDescent="0.25">
      <c r="A192" s="25">
        <f>A190+0.0001</f>
        <v>14.000299999999999</v>
      </c>
      <c r="B192" s="25"/>
      <c r="C192" s="28" t="s">
        <v>45</v>
      </c>
      <c r="D192" s="28" t="s">
        <v>21</v>
      </c>
      <c r="E192" s="28" t="s">
        <v>49</v>
      </c>
      <c r="F192" s="26"/>
      <c r="G192" s="54"/>
      <c r="H192" s="28"/>
      <c r="I192" s="16"/>
      <c r="J192" s="16">
        <f t="shared" si="17"/>
        <v>0</v>
      </c>
      <c r="K192" s="16">
        <f t="shared" si="17"/>
        <v>0</v>
      </c>
      <c r="L192" s="16">
        <f t="shared" si="17"/>
        <v>1</v>
      </c>
      <c r="M192" s="16">
        <f t="shared" si="17"/>
        <v>0</v>
      </c>
      <c r="N192" s="16">
        <f t="shared" si="17"/>
        <v>0</v>
      </c>
      <c r="O192" s="28"/>
    </row>
    <row r="193" spans="1:15" s="15" customFormat="1" x14ac:dyDescent="0.25">
      <c r="A193" s="25">
        <f t="shared" ref="A193" si="30">A192+0.0001</f>
        <v>14.000399999999999</v>
      </c>
      <c r="B193" s="25"/>
      <c r="C193" s="28" t="s">
        <v>110</v>
      </c>
      <c r="D193" s="28" t="s">
        <v>23</v>
      </c>
      <c r="E193" s="28" t="s">
        <v>111</v>
      </c>
      <c r="F193" s="26"/>
      <c r="G193" s="54"/>
      <c r="H193" s="28"/>
      <c r="I193" s="16" t="s">
        <v>7</v>
      </c>
      <c r="J193" s="16">
        <f t="shared" si="17"/>
        <v>0</v>
      </c>
      <c r="K193" s="16">
        <f t="shared" si="17"/>
        <v>0</v>
      </c>
      <c r="L193" s="16">
        <f t="shared" si="17"/>
        <v>0</v>
      </c>
      <c r="M193" s="16">
        <f t="shared" si="17"/>
        <v>1</v>
      </c>
      <c r="N193" s="16">
        <f t="shared" si="17"/>
        <v>0</v>
      </c>
      <c r="O193" s="28"/>
    </row>
    <row r="194" spans="1:15" s="13" customFormat="1" ht="15" customHeight="1" x14ac:dyDescent="0.25">
      <c r="A194" s="22">
        <v>15</v>
      </c>
      <c r="B194" s="59" t="s">
        <v>190</v>
      </c>
      <c r="C194" s="60"/>
      <c r="D194" s="23"/>
      <c r="E194" s="23"/>
      <c r="F194" s="24"/>
      <c r="G194" s="53"/>
      <c r="H194" s="23"/>
      <c r="I194" s="16" t="s">
        <v>7</v>
      </c>
      <c r="J194" s="12"/>
      <c r="K194" s="12"/>
      <c r="L194" s="12"/>
      <c r="M194" s="12"/>
      <c r="N194" s="12"/>
      <c r="O194" s="23"/>
    </row>
    <row r="195" spans="1:15" s="34" customFormat="1" x14ac:dyDescent="0.25">
      <c r="A195" s="35"/>
      <c r="B195" s="35"/>
      <c r="C195" s="36" t="s">
        <v>191</v>
      </c>
      <c r="D195" s="25"/>
      <c r="E195" s="31"/>
      <c r="F195" s="32"/>
      <c r="G195" s="56"/>
      <c r="H195" s="31"/>
      <c r="I195" s="16"/>
      <c r="J195" s="16"/>
      <c r="K195" s="16"/>
      <c r="L195" s="16"/>
      <c r="M195" s="16"/>
      <c r="N195" s="16"/>
      <c r="O195" s="31"/>
    </row>
    <row r="196" spans="1:15" s="15" customFormat="1" x14ac:dyDescent="0.25">
      <c r="A196" s="25">
        <f>A194+0.0001</f>
        <v>15.0001</v>
      </c>
      <c r="B196" s="25"/>
      <c r="C196" s="26" t="s">
        <v>103</v>
      </c>
      <c r="D196" s="26" t="s">
        <v>21</v>
      </c>
      <c r="E196" s="26" t="s">
        <v>104</v>
      </c>
      <c r="F196" s="26"/>
      <c r="G196" s="54"/>
      <c r="H196" s="28"/>
      <c r="I196" s="16"/>
      <c r="J196" s="16">
        <f t="shared" ref="J196:N206" si="31">IF($I196=J$1,1,0)</f>
        <v>0</v>
      </c>
      <c r="K196" s="16">
        <f t="shared" si="31"/>
        <v>0</v>
      </c>
      <c r="L196" s="16">
        <f t="shared" si="31"/>
        <v>1</v>
      </c>
      <c r="M196" s="16">
        <f t="shared" si="31"/>
        <v>0</v>
      </c>
      <c r="N196" s="16">
        <f t="shared" si="31"/>
        <v>0</v>
      </c>
      <c r="O196" s="28"/>
    </row>
    <row r="197" spans="1:15" s="15" customFormat="1" x14ac:dyDescent="0.25">
      <c r="A197" s="25">
        <f t="shared" ref="A197:A201" si="32">A196+0.0001</f>
        <v>15.0002</v>
      </c>
      <c r="B197" s="25"/>
      <c r="C197" s="26" t="s">
        <v>110</v>
      </c>
      <c r="D197" s="26" t="s">
        <v>23</v>
      </c>
      <c r="E197" s="26" t="s">
        <v>111</v>
      </c>
      <c r="F197" s="26"/>
      <c r="G197" s="54"/>
      <c r="H197" s="28"/>
      <c r="I197" s="16"/>
      <c r="J197" s="16">
        <f t="shared" si="31"/>
        <v>0</v>
      </c>
      <c r="K197" s="16">
        <f t="shared" si="31"/>
        <v>0</v>
      </c>
      <c r="L197" s="16">
        <f t="shared" si="31"/>
        <v>1</v>
      </c>
      <c r="M197" s="16">
        <f t="shared" si="31"/>
        <v>0</v>
      </c>
      <c r="N197" s="16">
        <f t="shared" si="31"/>
        <v>0</v>
      </c>
      <c r="O197" s="28"/>
    </row>
    <row r="198" spans="1:15" s="15" customFormat="1" x14ac:dyDescent="0.25">
      <c r="A198" s="25">
        <f t="shared" si="32"/>
        <v>15.000299999999999</v>
      </c>
      <c r="B198" s="25"/>
      <c r="C198" s="26" t="s">
        <v>35</v>
      </c>
      <c r="D198" s="26" t="s">
        <v>21</v>
      </c>
      <c r="E198" s="26" t="s">
        <v>30</v>
      </c>
      <c r="F198" s="26"/>
      <c r="G198" s="54"/>
      <c r="H198" s="28"/>
      <c r="I198" s="16"/>
      <c r="J198" s="16">
        <f t="shared" si="31"/>
        <v>0</v>
      </c>
      <c r="K198" s="16">
        <f t="shared" si="31"/>
        <v>0</v>
      </c>
      <c r="L198" s="16">
        <f t="shared" si="31"/>
        <v>1</v>
      </c>
      <c r="M198" s="16">
        <f t="shared" si="31"/>
        <v>0</v>
      </c>
      <c r="N198" s="16">
        <f t="shared" si="31"/>
        <v>0</v>
      </c>
      <c r="O198" s="28"/>
    </row>
    <row r="199" spans="1:15" s="15" customFormat="1" x14ac:dyDescent="0.25">
      <c r="A199" s="25">
        <f t="shared" si="32"/>
        <v>15.000399999999999</v>
      </c>
      <c r="B199" s="25"/>
      <c r="C199" s="28" t="s">
        <v>36</v>
      </c>
      <c r="D199" s="28" t="s">
        <v>23</v>
      </c>
      <c r="E199" s="28" t="s">
        <v>31</v>
      </c>
      <c r="F199" s="26"/>
      <c r="G199" s="54"/>
      <c r="H199" s="28"/>
      <c r="I199" s="16"/>
      <c r="J199" s="16">
        <f t="shared" si="31"/>
        <v>0</v>
      </c>
      <c r="K199" s="16">
        <f t="shared" si="31"/>
        <v>0</v>
      </c>
      <c r="L199" s="16">
        <f t="shared" si="31"/>
        <v>1</v>
      </c>
      <c r="M199" s="16">
        <f t="shared" si="31"/>
        <v>0</v>
      </c>
      <c r="N199" s="16">
        <f t="shared" si="31"/>
        <v>0</v>
      </c>
      <c r="O199" s="28"/>
    </row>
    <row r="200" spans="1:15" s="15" customFormat="1" x14ac:dyDescent="0.25">
      <c r="A200" s="25">
        <f t="shared" si="32"/>
        <v>15.000499999999999</v>
      </c>
      <c r="B200" s="25"/>
      <c r="C200" s="28" t="s">
        <v>37</v>
      </c>
      <c r="D200" s="28" t="s">
        <v>21</v>
      </c>
      <c r="E200" s="28" t="s">
        <v>32</v>
      </c>
      <c r="F200" s="26"/>
      <c r="G200" s="54"/>
      <c r="H200" s="28"/>
      <c r="I200" s="16"/>
      <c r="J200" s="16">
        <f t="shared" si="31"/>
        <v>0</v>
      </c>
      <c r="K200" s="16">
        <f t="shared" si="31"/>
        <v>0</v>
      </c>
      <c r="L200" s="16">
        <f t="shared" si="31"/>
        <v>1</v>
      </c>
      <c r="M200" s="16">
        <f t="shared" si="31"/>
        <v>0</v>
      </c>
      <c r="N200" s="16">
        <f t="shared" si="31"/>
        <v>0</v>
      </c>
      <c r="O200" s="28"/>
    </row>
    <row r="201" spans="1:15" s="15" customFormat="1" x14ac:dyDescent="0.25">
      <c r="A201" s="25">
        <f t="shared" si="32"/>
        <v>15.000599999999999</v>
      </c>
      <c r="B201" s="25"/>
      <c r="C201" s="28" t="s">
        <v>34</v>
      </c>
      <c r="D201" s="28" t="s">
        <v>23</v>
      </c>
      <c r="E201" s="28" t="s">
        <v>29</v>
      </c>
      <c r="F201" s="26"/>
      <c r="G201" s="54"/>
      <c r="H201" s="28"/>
      <c r="I201" s="16"/>
      <c r="J201" s="16">
        <f t="shared" si="31"/>
        <v>0</v>
      </c>
      <c r="K201" s="16">
        <f t="shared" si="31"/>
        <v>0</v>
      </c>
      <c r="L201" s="16">
        <f t="shared" si="31"/>
        <v>1</v>
      </c>
      <c r="M201" s="16">
        <f t="shared" si="31"/>
        <v>0</v>
      </c>
      <c r="N201" s="16">
        <f t="shared" si="31"/>
        <v>0</v>
      </c>
      <c r="O201" s="28"/>
    </row>
    <row r="202" spans="1:15" s="34" customFormat="1" x14ac:dyDescent="0.25">
      <c r="A202" s="35"/>
      <c r="B202" s="35"/>
      <c r="C202" s="36" t="s">
        <v>192</v>
      </c>
      <c r="D202" s="25"/>
      <c r="E202" s="31"/>
      <c r="F202" s="32"/>
      <c r="G202" s="56"/>
      <c r="H202" s="31"/>
      <c r="I202" s="16"/>
      <c r="J202" s="16"/>
      <c r="K202" s="16"/>
      <c r="L202" s="16"/>
      <c r="M202" s="16"/>
      <c r="N202" s="16"/>
      <c r="O202" s="31"/>
    </row>
    <row r="203" spans="1:15" s="15" customFormat="1" x14ac:dyDescent="0.25">
      <c r="A203" s="25">
        <f>A201+0.0001</f>
        <v>15.000699999999998</v>
      </c>
      <c r="B203" s="25"/>
      <c r="C203" s="26"/>
      <c r="D203" s="26" t="s">
        <v>21</v>
      </c>
      <c r="E203" s="26" t="s">
        <v>193</v>
      </c>
      <c r="F203" s="26"/>
      <c r="G203" s="54"/>
      <c r="H203" s="28"/>
      <c r="I203" s="16" t="s">
        <v>7</v>
      </c>
      <c r="J203" s="16">
        <f t="shared" si="31"/>
        <v>0</v>
      </c>
      <c r="K203" s="16">
        <f t="shared" si="31"/>
        <v>0</v>
      </c>
      <c r="L203" s="16">
        <f t="shared" si="31"/>
        <v>0</v>
      </c>
      <c r="M203" s="16">
        <f t="shared" si="31"/>
        <v>1</v>
      </c>
      <c r="N203" s="16">
        <f t="shared" si="31"/>
        <v>0</v>
      </c>
      <c r="O203" s="28"/>
    </row>
    <row r="204" spans="1:15" s="15" customFormat="1" x14ac:dyDescent="0.25">
      <c r="A204" s="25">
        <f t="shared" ref="A204:A206" si="33">A203+0.0001</f>
        <v>15.000799999999998</v>
      </c>
      <c r="B204" s="25"/>
      <c r="C204" s="26"/>
      <c r="D204" s="26" t="s">
        <v>23</v>
      </c>
      <c r="E204" s="26" t="s">
        <v>194</v>
      </c>
      <c r="F204" s="26"/>
      <c r="G204" s="54"/>
      <c r="H204" s="28"/>
      <c r="I204" s="16" t="s">
        <v>7</v>
      </c>
      <c r="J204" s="16">
        <f t="shared" si="31"/>
        <v>0</v>
      </c>
      <c r="K204" s="16">
        <f t="shared" si="31"/>
        <v>0</v>
      </c>
      <c r="L204" s="16">
        <f t="shared" si="31"/>
        <v>0</v>
      </c>
      <c r="M204" s="16">
        <f t="shared" si="31"/>
        <v>1</v>
      </c>
      <c r="N204" s="16">
        <f t="shared" si="31"/>
        <v>0</v>
      </c>
      <c r="O204" s="28"/>
    </row>
    <row r="205" spans="1:15" s="15" customFormat="1" x14ac:dyDescent="0.25">
      <c r="A205" s="25">
        <f t="shared" si="33"/>
        <v>15.000899999999998</v>
      </c>
      <c r="B205" s="25"/>
      <c r="C205" s="26" t="s">
        <v>37</v>
      </c>
      <c r="D205" s="26" t="s">
        <v>21</v>
      </c>
      <c r="E205" s="26" t="s">
        <v>32</v>
      </c>
      <c r="F205" s="26"/>
      <c r="G205" s="54"/>
      <c r="H205" s="28"/>
      <c r="I205" s="16" t="s">
        <v>7</v>
      </c>
      <c r="J205" s="16">
        <f t="shared" si="31"/>
        <v>0</v>
      </c>
      <c r="K205" s="16">
        <f t="shared" si="31"/>
        <v>0</v>
      </c>
      <c r="L205" s="16">
        <f t="shared" si="31"/>
        <v>0</v>
      </c>
      <c r="M205" s="16">
        <f t="shared" si="31"/>
        <v>1</v>
      </c>
      <c r="N205" s="16">
        <f t="shared" si="31"/>
        <v>0</v>
      </c>
      <c r="O205" s="28"/>
    </row>
    <row r="206" spans="1:15" s="15" customFormat="1" x14ac:dyDescent="0.25">
      <c r="A206" s="25">
        <f t="shared" si="33"/>
        <v>15.000999999999998</v>
      </c>
      <c r="B206" s="25"/>
      <c r="C206" s="28" t="s">
        <v>34</v>
      </c>
      <c r="D206" s="28" t="s">
        <v>23</v>
      </c>
      <c r="E206" s="28" t="s">
        <v>29</v>
      </c>
      <c r="F206" s="26"/>
      <c r="G206" s="54"/>
      <c r="H206" s="28"/>
      <c r="I206" s="16" t="s">
        <v>7</v>
      </c>
      <c r="J206" s="16">
        <f t="shared" si="31"/>
        <v>0</v>
      </c>
      <c r="K206" s="16">
        <f t="shared" si="31"/>
        <v>0</v>
      </c>
      <c r="L206" s="16">
        <f t="shared" si="31"/>
        <v>0</v>
      </c>
      <c r="M206" s="16">
        <f t="shared" si="31"/>
        <v>1</v>
      </c>
      <c r="N206" s="16">
        <f t="shared" si="31"/>
        <v>0</v>
      </c>
      <c r="O206" s="28"/>
    </row>
    <row r="207" spans="1:15" s="13" customFormat="1" ht="15" customHeight="1" x14ac:dyDescent="0.25">
      <c r="A207" s="22">
        <v>16</v>
      </c>
      <c r="B207" s="59" t="s">
        <v>195</v>
      </c>
      <c r="C207" s="60"/>
      <c r="D207" s="23"/>
      <c r="E207" s="23"/>
      <c r="F207" s="24"/>
      <c r="G207" s="53"/>
      <c r="H207" s="23"/>
      <c r="I207" s="16" t="s">
        <v>7</v>
      </c>
      <c r="J207" s="12"/>
      <c r="K207" s="12"/>
      <c r="L207" s="12"/>
      <c r="M207" s="12"/>
      <c r="N207" s="12"/>
      <c r="O207" s="23"/>
    </row>
    <row r="208" spans="1:15" s="34" customFormat="1" x14ac:dyDescent="0.25">
      <c r="A208" s="35"/>
      <c r="B208" s="35"/>
      <c r="C208" s="36" t="s">
        <v>196</v>
      </c>
      <c r="D208" s="25"/>
      <c r="E208" s="31"/>
      <c r="F208" s="32"/>
      <c r="G208" s="56"/>
      <c r="H208" s="31"/>
      <c r="I208" s="16"/>
      <c r="J208" s="16"/>
      <c r="K208" s="16"/>
      <c r="L208" s="16"/>
      <c r="M208" s="16"/>
      <c r="N208" s="16"/>
      <c r="O208" s="31"/>
    </row>
    <row r="209" spans="1:15" s="15" customFormat="1" x14ac:dyDescent="0.25">
      <c r="A209" s="25">
        <f>A207+0.0001</f>
        <v>16.0001</v>
      </c>
      <c r="B209" s="25"/>
      <c r="C209" s="26"/>
      <c r="D209" s="26" t="s">
        <v>21</v>
      </c>
      <c r="E209" s="26" t="s">
        <v>200</v>
      </c>
      <c r="F209" s="26"/>
      <c r="G209" s="54"/>
      <c r="H209" s="28"/>
      <c r="I209" s="16"/>
      <c r="J209" s="16">
        <f t="shared" ref="J209:N223" si="34">IF($I209=J$1,1,0)</f>
        <v>0</v>
      </c>
      <c r="K209" s="16">
        <f t="shared" si="34"/>
        <v>0</v>
      </c>
      <c r="L209" s="16">
        <f t="shared" si="34"/>
        <v>1</v>
      </c>
      <c r="M209" s="16">
        <f t="shared" si="34"/>
        <v>0</v>
      </c>
      <c r="N209" s="16">
        <f t="shared" si="34"/>
        <v>0</v>
      </c>
      <c r="O209" s="28"/>
    </row>
    <row r="210" spans="1:15" s="15" customFormat="1" x14ac:dyDescent="0.25">
      <c r="A210" s="25">
        <f t="shared" ref="A210:A214" si="35">A209+0.0001</f>
        <v>16.0002</v>
      </c>
      <c r="B210" s="25"/>
      <c r="C210" s="26" t="s">
        <v>45</v>
      </c>
      <c r="D210" s="26" t="s">
        <v>23</v>
      </c>
      <c r="E210" s="26" t="s">
        <v>49</v>
      </c>
      <c r="F210" s="26"/>
      <c r="G210" s="54"/>
      <c r="H210" s="28"/>
      <c r="I210" s="16"/>
      <c r="J210" s="16">
        <f t="shared" si="34"/>
        <v>0</v>
      </c>
      <c r="K210" s="16">
        <f t="shared" si="34"/>
        <v>0</v>
      </c>
      <c r="L210" s="16">
        <f t="shared" si="34"/>
        <v>1</v>
      </c>
      <c r="M210" s="16">
        <f t="shared" si="34"/>
        <v>0</v>
      </c>
      <c r="N210" s="16">
        <f t="shared" si="34"/>
        <v>0</v>
      </c>
      <c r="O210" s="28"/>
    </row>
    <row r="211" spans="1:15" s="15" customFormat="1" x14ac:dyDescent="0.25">
      <c r="A211" s="25">
        <f t="shared" si="35"/>
        <v>16.000299999999999</v>
      </c>
      <c r="B211" s="25"/>
      <c r="C211" s="26" t="s">
        <v>35</v>
      </c>
      <c r="D211" s="26" t="s">
        <v>21</v>
      </c>
      <c r="E211" s="26" t="s">
        <v>30</v>
      </c>
      <c r="F211" s="26"/>
      <c r="G211" s="54"/>
      <c r="H211" s="28"/>
      <c r="I211" s="16"/>
      <c r="J211" s="16">
        <f t="shared" si="34"/>
        <v>0</v>
      </c>
      <c r="K211" s="16">
        <f t="shared" si="34"/>
        <v>0</v>
      </c>
      <c r="L211" s="16">
        <f t="shared" si="34"/>
        <v>1</v>
      </c>
      <c r="M211" s="16">
        <f t="shared" si="34"/>
        <v>0</v>
      </c>
      <c r="N211" s="16">
        <f t="shared" si="34"/>
        <v>0</v>
      </c>
      <c r="O211" s="28"/>
    </row>
    <row r="212" spans="1:15" s="15" customFormat="1" x14ac:dyDescent="0.25">
      <c r="A212" s="25">
        <f t="shared" si="35"/>
        <v>16.000399999999999</v>
      </c>
      <c r="B212" s="25"/>
      <c r="C212" s="28" t="s">
        <v>36</v>
      </c>
      <c r="D212" s="28" t="s">
        <v>23</v>
      </c>
      <c r="E212" s="28" t="s">
        <v>31</v>
      </c>
      <c r="F212" s="26"/>
      <c r="G212" s="54"/>
      <c r="H212" s="28"/>
      <c r="I212" s="16"/>
      <c r="J212" s="16">
        <f t="shared" si="34"/>
        <v>0</v>
      </c>
      <c r="K212" s="16">
        <f t="shared" si="34"/>
        <v>0</v>
      </c>
      <c r="L212" s="16">
        <f t="shared" si="34"/>
        <v>1</v>
      </c>
      <c r="M212" s="16">
        <f t="shared" si="34"/>
        <v>0</v>
      </c>
      <c r="N212" s="16">
        <f t="shared" si="34"/>
        <v>0</v>
      </c>
      <c r="O212" s="28"/>
    </row>
    <row r="213" spans="1:15" s="15" customFormat="1" x14ac:dyDescent="0.25">
      <c r="A213" s="25">
        <f t="shared" si="35"/>
        <v>16.000499999999999</v>
      </c>
      <c r="B213" s="25"/>
      <c r="C213" s="28" t="s">
        <v>37</v>
      </c>
      <c r="D213" s="28" t="s">
        <v>21</v>
      </c>
      <c r="E213" s="28" t="s">
        <v>32</v>
      </c>
      <c r="F213" s="26"/>
      <c r="G213" s="54"/>
      <c r="H213" s="28"/>
      <c r="I213" s="16"/>
      <c r="J213" s="16">
        <f t="shared" si="34"/>
        <v>0</v>
      </c>
      <c r="K213" s="16">
        <f t="shared" si="34"/>
        <v>0</v>
      </c>
      <c r="L213" s="16">
        <f t="shared" si="34"/>
        <v>1</v>
      </c>
      <c r="M213" s="16">
        <f t="shared" si="34"/>
        <v>0</v>
      </c>
      <c r="N213" s="16">
        <f t="shared" si="34"/>
        <v>0</v>
      </c>
      <c r="O213" s="28"/>
    </row>
    <row r="214" spans="1:15" s="15" customFormat="1" x14ac:dyDescent="0.25">
      <c r="A214" s="25">
        <f t="shared" si="35"/>
        <v>16.000599999999999</v>
      </c>
      <c r="B214" s="25"/>
      <c r="C214" s="28" t="s">
        <v>34</v>
      </c>
      <c r="D214" s="28" t="s">
        <v>23</v>
      </c>
      <c r="E214" s="28" t="s">
        <v>29</v>
      </c>
      <c r="F214" s="26"/>
      <c r="G214" s="54"/>
      <c r="H214" s="28"/>
      <c r="I214" s="16"/>
      <c r="J214" s="16">
        <f t="shared" si="34"/>
        <v>0</v>
      </c>
      <c r="K214" s="16">
        <f t="shared" si="34"/>
        <v>0</v>
      </c>
      <c r="L214" s="16">
        <f t="shared" si="34"/>
        <v>1</v>
      </c>
      <c r="M214" s="16">
        <f t="shared" si="34"/>
        <v>0</v>
      </c>
      <c r="N214" s="16">
        <f t="shared" si="34"/>
        <v>0</v>
      </c>
      <c r="O214" s="28"/>
    </row>
    <row r="215" spans="1:15" s="34" customFormat="1" x14ac:dyDescent="0.25">
      <c r="A215" s="35"/>
      <c r="B215" s="35"/>
      <c r="C215" s="36" t="s">
        <v>197</v>
      </c>
      <c r="D215" s="25"/>
      <c r="E215" s="31"/>
      <c r="F215" s="32"/>
      <c r="G215" s="56"/>
      <c r="H215" s="31"/>
      <c r="I215" s="16" t="s">
        <v>7</v>
      </c>
      <c r="J215" s="16">
        <f t="shared" si="34"/>
        <v>0</v>
      </c>
      <c r="K215" s="16">
        <f t="shared" si="34"/>
        <v>0</v>
      </c>
      <c r="L215" s="16">
        <f t="shared" si="34"/>
        <v>0</v>
      </c>
      <c r="M215" s="16">
        <f t="shared" si="34"/>
        <v>1</v>
      </c>
      <c r="N215" s="16">
        <f t="shared" si="34"/>
        <v>0</v>
      </c>
      <c r="O215" s="31"/>
    </row>
    <row r="216" spans="1:15" s="15" customFormat="1" x14ac:dyDescent="0.25">
      <c r="A216" s="25">
        <f>A214+0.0001</f>
        <v>16.000699999999998</v>
      </c>
      <c r="B216" s="25"/>
      <c r="C216" s="26"/>
      <c r="D216" s="26" t="s">
        <v>21</v>
      </c>
      <c r="E216" s="26" t="s">
        <v>200</v>
      </c>
      <c r="F216" s="26"/>
      <c r="G216" s="54"/>
      <c r="H216" s="28"/>
      <c r="I216" s="16" t="s">
        <v>7</v>
      </c>
      <c r="J216" s="16">
        <f t="shared" si="34"/>
        <v>0</v>
      </c>
      <c r="K216" s="16">
        <f t="shared" si="34"/>
        <v>0</v>
      </c>
      <c r="L216" s="16">
        <f t="shared" si="34"/>
        <v>0</v>
      </c>
      <c r="M216" s="16">
        <f t="shared" si="34"/>
        <v>1</v>
      </c>
      <c r="N216" s="16">
        <f t="shared" si="34"/>
        <v>0</v>
      </c>
      <c r="O216" s="28"/>
    </row>
    <row r="217" spans="1:15" s="15" customFormat="1" x14ac:dyDescent="0.25">
      <c r="A217" s="25">
        <f t="shared" ref="A217:A221" si="36">A216+0.0001</f>
        <v>16.000799999999998</v>
      </c>
      <c r="B217" s="25"/>
      <c r="C217" s="26" t="s">
        <v>38</v>
      </c>
      <c r="D217" s="26" t="s">
        <v>23</v>
      </c>
      <c r="E217" s="26" t="s">
        <v>33</v>
      </c>
      <c r="F217" s="26"/>
      <c r="G217" s="54"/>
      <c r="H217" s="28"/>
      <c r="I217" s="16" t="s">
        <v>7</v>
      </c>
      <c r="J217" s="16">
        <f t="shared" si="34"/>
        <v>0</v>
      </c>
      <c r="K217" s="16">
        <f t="shared" si="34"/>
        <v>0</v>
      </c>
      <c r="L217" s="16">
        <f t="shared" si="34"/>
        <v>0</v>
      </c>
      <c r="M217" s="16">
        <f t="shared" si="34"/>
        <v>1</v>
      </c>
      <c r="N217" s="16">
        <f t="shared" si="34"/>
        <v>0</v>
      </c>
      <c r="O217" s="28"/>
    </row>
    <row r="218" spans="1:15" s="15" customFormat="1" x14ac:dyDescent="0.25">
      <c r="A218" s="25">
        <f t="shared" si="36"/>
        <v>16.000899999999998</v>
      </c>
      <c r="B218" s="25"/>
      <c r="C218" s="26" t="s">
        <v>35</v>
      </c>
      <c r="D218" s="26" t="s">
        <v>21</v>
      </c>
      <c r="E218" s="26" t="s">
        <v>30</v>
      </c>
      <c r="F218" s="26"/>
      <c r="G218" s="54"/>
      <c r="H218" s="28"/>
      <c r="I218" s="16" t="s">
        <v>7</v>
      </c>
      <c r="J218" s="16">
        <f t="shared" si="34"/>
        <v>0</v>
      </c>
      <c r="K218" s="16">
        <f t="shared" si="34"/>
        <v>0</v>
      </c>
      <c r="L218" s="16">
        <f t="shared" si="34"/>
        <v>0</v>
      </c>
      <c r="M218" s="16">
        <f t="shared" si="34"/>
        <v>1</v>
      </c>
      <c r="N218" s="16">
        <f t="shared" si="34"/>
        <v>0</v>
      </c>
      <c r="O218" s="28"/>
    </row>
    <row r="219" spans="1:15" s="15" customFormat="1" x14ac:dyDescent="0.25">
      <c r="A219" s="25">
        <f t="shared" si="36"/>
        <v>16.000999999999998</v>
      </c>
      <c r="B219" s="25"/>
      <c r="C219" s="28" t="s">
        <v>36</v>
      </c>
      <c r="D219" s="28" t="s">
        <v>23</v>
      </c>
      <c r="E219" s="28" t="s">
        <v>31</v>
      </c>
      <c r="F219" s="26"/>
      <c r="G219" s="54"/>
      <c r="H219" s="28"/>
      <c r="I219" s="16" t="s">
        <v>7</v>
      </c>
      <c r="J219" s="16">
        <f t="shared" si="34"/>
        <v>0</v>
      </c>
      <c r="K219" s="16">
        <f t="shared" si="34"/>
        <v>0</v>
      </c>
      <c r="L219" s="16">
        <f t="shared" si="34"/>
        <v>0</v>
      </c>
      <c r="M219" s="16">
        <f t="shared" si="34"/>
        <v>1</v>
      </c>
      <c r="N219" s="16">
        <f t="shared" si="34"/>
        <v>0</v>
      </c>
      <c r="O219" s="28"/>
    </row>
    <row r="220" spans="1:15" s="15" customFormat="1" x14ac:dyDescent="0.25">
      <c r="A220" s="25">
        <f t="shared" si="36"/>
        <v>16.001099999999997</v>
      </c>
      <c r="B220" s="25"/>
      <c r="C220" s="28" t="s">
        <v>37</v>
      </c>
      <c r="D220" s="28" t="s">
        <v>21</v>
      </c>
      <c r="E220" s="28" t="s">
        <v>32</v>
      </c>
      <c r="F220" s="26"/>
      <c r="G220" s="54"/>
      <c r="H220" s="28"/>
      <c r="I220" s="16" t="s">
        <v>7</v>
      </c>
      <c r="J220" s="16">
        <f t="shared" si="34"/>
        <v>0</v>
      </c>
      <c r="K220" s="16">
        <f t="shared" si="34"/>
        <v>0</v>
      </c>
      <c r="L220" s="16">
        <f t="shared" si="34"/>
        <v>0</v>
      </c>
      <c r="M220" s="16">
        <f t="shared" si="34"/>
        <v>1</v>
      </c>
      <c r="N220" s="16">
        <f t="shared" si="34"/>
        <v>0</v>
      </c>
      <c r="O220" s="28"/>
    </row>
    <row r="221" spans="1:15" s="15" customFormat="1" x14ac:dyDescent="0.25">
      <c r="A221" s="25">
        <f t="shared" si="36"/>
        <v>16.001199999999997</v>
      </c>
      <c r="B221" s="25"/>
      <c r="C221" s="28" t="s">
        <v>34</v>
      </c>
      <c r="D221" s="28" t="s">
        <v>23</v>
      </c>
      <c r="E221" s="28" t="s">
        <v>29</v>
      </c>
      <c r="F221" s="26"/>
      <c r="G221" s="54"/>
      <c r="H221" s="28"/>
      <c r="I221" s="16" t="s">
        <v>7</v>
      </c>
      <c r="J221" s="16">
        <f t="shared" si="34"/>
        <v>0</v>
      </c>
      <c r="K221" s="16">
        <f t="shared" si="34"/>
        <v>0</v>
      </c>
      <c r="L221" s="16">
        <f t="shared" si="34"/>
        <v>0</v>
      </c>
      <c r="M221" s="16">
        <f t="shared" si="34"/>
        <v>1</v>
      </c>
      <c r="N221" s="16">
        <f t="shared" si="34"/>
        <v>0</v>
      </c>
      <c r="O221" s="28"/>
    </row>
    <row r="222" spans="1:15" s="34" customFormat="1" x14ac:dyDescent="0.25">
      <c r="A222" s="35"/>
      <c r="B222" s="35"/>
      <c r="C222" s="36" t="s">
        <v>198</v>
      </c>
      <c r="D222" s="25"/>
      <c r="E222" s="31"/>
      <c r="F222" s="32"/>
      <c r="G222" s="56"/>
      <c r="H222" s="31"/>
      <c r="I222" s="16" t="s">
        <v>7</v>
      </c>
      <c r="J222" s="16">
        <f t="shared" si="34"/>
        <v>0</v>
      </c>
      <c r="K222" s="16">
        <f t="shared" si="34"/>
        <v>0</v>
      </c>
      <c r="L222" s="16">
        <f t="shared" si="34"/>
        <v>0</v>
      </c>
      <c r="M222" s="16">
        <f t="shared" si="34"/>
        <v>1</v>
      </c>
      <c r="N222" s="16">
        <f t="shared" si="34"/>
        <v>0</v>
      </c>
      <c r="O222" s="31"/>
    </row>
    <row r="223" spans="1:15" s="15" customFormat="1" x14ac:dyDescent="0.25">
      <c r="A223" s="25">
        <f>A221+0.0001</f>
        <v>16.001299999999997</v>
      </c>
      <c r="B223" s="25"/>
      <c r="C223" s="26" t="s">
        <v>45</v>
      </c>
      <c r="D223" s="26" t="s">
        <v>21</v>
      </c>
      <c r="E223" s="26" t="s">
        <v>49</v>
      </c>
      <c r="F223" s="26"/>
      <c r="G223" s="54"/>
      <c r="H223" s="28"/>
      <c r="I223" s="16" t="s">
        <v>7</v>
      </c>
      <c r="J223" s="16">
        <f t="shared" si="34"/>
        <v>0</v>
      </c>
      <c r="K223" s="16">
        <f t="shared" si="34"/>
        <v>0</v>
      </c>
      <c r="L223" s="16">
        <f t="shared" si="34"/>
        <v>0</v>
      </c>
      <c r="M223" s="16">
        <f t="shared" si="34"/>
        <v>1</v>
      </c>
      <c r="N223" s="16">
        <f t="shared" si="34"/>
        <v>0</v>
      </c>
      <c r="O223" s="28"/>
    </row>
    <row r="224" spans="1:15" s="15" customFormat="1" x14ac:dyDescent="0.25">
      <c r="A224" s="25">
        <f t="shared" ref="A224:A228" si="37">A223+0.0001</f>
        <v>16.001399999999997</v>
      </c>
      <c r="B224" s="25"/>
      <c r="C224" s="26"/>
      <c r="D224" s="26" t="s">
        <v>23</v>
      </c>
      <c r="E224" s="26" t="s">
        <v>200</v>
      </c>
      <c r="F224" s="26"/>
      <c r="G224" s="54"/>
      <c r="H224" s="28"/>
      <c r="I224" s="16" t="s">
        <v>7</v>
      </c>
      <c r="J224" s="16">
        <f t="shared" ref="J224:N235" si="38">IF($I224=J$1,1,0)</f>
        <v>0</v>
      </c>
      <c r="K224" s="16">
        <f t="shared" si="38"/>
        <v>0</v>
      </c>
      <c r="L224" s="16">
        <f t="shared" si="38"/>
        <v>0</v>
      </c>
      <c r="M224" s="16">
        <f t="shared" si="38"/>
        <v>1</v>
      </c>
      <c r="N224" s="16">
        <f t="shared" si="38"/>
        <v>0</v>
      </c>
      <c r="O224" s="28"/>
    </row>
    <row r="225" spans="1:15" s="15" customFormat="1" x14ac:dyDescent="0.25">
      <c r="A225" s="25">
        <f t="shared" si="37"/>
        <v>16.001499999999997</v>
      </c>
      <c r="B225" s="25"/>
      <c r="C225" s="26" t="s">
        <v>36</v>
      </c>
      <c r="D225" s="26" t="s">
        <v>21</v>
      </c>
      <c r="E225" s="26" t="s">
        <v>31</v>
      </c>
      <c r="F225" s="26"/>
      <c r="G225" s="54"/>
      <c r="H225" s="28"/>
      <c r="I225" s="16" t="s">
        <v>7</v>
      </c>
      <c r="J225" s="16">
        <f t="shared" si="38"/>
        <v>0</v>
      </c>
      <c r="K225" s="16">
        <f t="shared" si="38"/>
        <v>0</v>
      </c>
      <c r="L225" s="16">
        <f t="shared" si="38"/>
        <v>0</v>
      </c>
      <c r="M225" s="16">
        <f t="shared" si="38"/>
        <v>1</v>
      </c>
      <c r="N225" s="16">
        <f t="shared" si="38"/>
        <v>0</v>
      </c>
      <c r="O225" s="28"/>
    </row>
    <row r="226" spans="1:15" s="15" customFormat="1" x14ac:dyDescent="0.25">
      <c r="A226" s="25">
        <f t="shared" si="37"/>
        <v>16.001599999999996</v>
      </c>
      <c r="B226" s="25"/>
      <c r="C226" s="28" t="s">
        <v>35</v>
      </c>
      <c r="D226" s="28" t="s">
        <v>23</v>
      </c>
      <c r="E226" s="28" t="s">
        <v>30</v>
      </c>
      <c r="F226" s="26"/>
      <c r="G226" s="54"/>
      <c r="H226" s="28"/>
      <c r="I226" s="16" t="s">
        <v>7</v>
      </c>
      <c r="J226" s="16">
        <f t="shared" si="38"/>
        <v>0</v>
      </c>
      <c r="K226" s="16">
        <f t="shared" si="38"/>
        <v>0</v>
      </c>
      <c r="L226" s="16">
        <f t="shared" si="38"/>
        <v>0</v>
      </c>
      <c r="M226" s="16">
        <f t="shared" si="38"/>
        <v>1</v>
      </c>
      <c r="N226" s="16">
        <f t="shared" si="38"/>
        <v>0</v>
      </c>
      <c r="O226" s="28"/>
    </row>
    <row r="227" spans="1:15" s="15" customFormat="1" x14ac:dyDescent="0.25">
      <c r="A227" s="25">
        <f t="shared" si="37"/>
        <v>16.001699999999996</v>
      </c>
      <c r="B227" s="25"/>
      <c r="C227" s="28" t="s">
        <v>50</v>
      </c>
      <c r="D227" s="28" t="s">
        <v>21</v>
      </c>
      <c r="E227" s="28" t="s">
        <v>51</v>
      </c>
      <c r="F227" s="26"/>
      <c r="G227" s="54"/>
      <c r="H227" s="28"/>
      <c r="I227" s="16" t="s">
        <v>7</v>
      </c>
      <c r="J227" s="16">
        <f t="shared" si="38"/>
        <v>0</v>
      </c>
      <c r="K227" s="16">
        <f t="shared" si="38"/>
        <v>0</v>
      </c>
      <c r="L227" s="16">
        <f t="shared" si="38"/>
        <v>0</v>
      </c>
      <c r="M227" s="16">
        <f t="shared" si="38"/>
        <v>1</v>
      </c>
      <c r="N227" s="16">
        <f t="shared" si="38"/>
        <v>0</v>
      </c>
      <c r="O227" s="28"/>
    </row>
    <row r="228" spans="1:15" s="15" customFormat="1" x14ac:dyDescent="0.25">
      <c r="A228" s="25">
        <f t="shared" si="37"/>
        <v>16.001799999999996</v>
      </c>
      <c r="B228" s="25"/>
      <c r="C228" s="28" t="s">
        <v>37</v>
      </c>
      <c r="D228" s="28" t="s">
        <v>23</v>
      </c>
      <c r="E228" s="28" t="s">
        <v>32</v>
      </c>
      <c r="F228" s="26"/>
      <c r="G228" s="54"/>
      <c r="H228" s="28"/>
      <c r="I228" s="16" t="s">
        <v>7</v>
      </c>
      <c r="J228" s="16">
        <f t="shared" si="38"/>
        <v>0</v>
      </c>
      <c r="K228" s="16">
        <f t="shared" si="38"/>
        <v>0</v>
      </c>
      <c r="L228" s="16">
        <f t="shared" si="38"/>
        <v>0</v>
      </c>
      <c r="M228" s="16">
        <f t="shared" si="38"/>
        <v>1</v>
      </c>
      <c r="N228" s="16">
        <f t="shared" si="38"/>
        <v>0</v>
      </c>
      <c r="O228" s="28"/>
    </row>
    <row r="229" spans="1:15" s="34" customFormat="1" x14ac:dyDescent="0.25">
      <c r="A229" s="35"/>
      <c r="B229" s="35"/>
      <c r="C229" s="36" t="s">
        <v>199</v>
      </c>
      <c r="D229" s="25"/>
      <c r="E229" s="31"/>
      <c r="F229" s="32"/>
      <c r="G229" s="56"/>
      <c r="H229" s="31"/>
      <c r="I229" s="16" t="s">
        <v>7</v>
      </c>
      <c r="J229" s="16">
        <f t="shared" si="38"/>
        <v>0</v>
      </c>
      <c r="K229" s="16">
        <f t="shared" si="38"/>
        <v>0</v>
      </c>
      <c r="L229" s="16">
        <f t="shared" si="38"/>
        <v>0</v>
      </c>
      <c r="M229" s="16">
        <f t="shared" si="38"/>
        <v>1</v>
      </c>
      <c r="N229" s="16">
        <f t="shared" si="38"/>
        <v>0</v>
      </c>
      <c r="O229" s="31"/>
    </row>
    <row r="230" spans="1:15" s="15" customFormat="1" x14ac:dyDescent="0.25">
      <c r="A230" s="25">
        <f>A228+0.0001</f>
        <v>16.001899999999996</v>
      </c>
      <c r="B230" s="25"/>
      <c r="C230" s="26" t="s">
        <v>61</v>
      </c>
      <c r="D230" s="26" t="s">
        <v>21</v>
      </c>
      <c r="E230" s="26" t="s">
        <v>62</v>
      </c>
      <c r="F230" s="26"/>
      <c r="G230" s="54"/>
      <c r="H230" s="28"/>
      <c r="I230" s="16" t="s">
        <v>7</v>
      </c>
      <c r="J230" s="16">
        <f t="shared" si="38"/>
        <v>0</v>
      </c>
      <c r="K230" s="16">
        <f t="shared" si="38"/>
        <v>0</v>
      </c>
      <c r="L230" s="16">
        <f t="shared" si="38"/>
        <v>0</v>
      </c>
      <c r="M230" s="16">
        <f t="shared" si="38"/>
        <v>1</v>
      </c>
      <c r="N230" s="16">
        <f t="shared" si="38"/>
        <v>0</v>
      </c>
      <c r="O230" s="28"/>
    </row>
    <row r="231" spans="1:15" s="15" customFormat="1" x14ac:dyDescent="0.25">
      <c r="A231" s="25">
        <f t="shared" ref="A231:A235" si="39">A230+0.0001</f>
        <v>16.001999999999995</v>
      </c>
      <c r="B231" s="25"/>
      <c r="C231" s="26"/>
      <c r="D231" s="26" t="s">
        <v>23</v>
      </c>
      <c r="E231" s="26" t="s">
        <v>200</v>
      </c>
      <c r="F231" s="26"/>
      <c r="G231" s="54"/>
      <c r="H231" s="28"/>
      <c r="I231" s="16" t="s">
        <v>7</v>
      </c>
      <c r="J231" s="16">
        <f t="shared" si="38"/>
        <v>0</v>
      </c>
      <c r="K231" s="16">
        <f t="shared" si="38"/>
        <v>0</v>
      </c>
      <c r="L231" s="16">
        <f t="shared" si="38"/>
        <v>0</v>
      </c>
      <c r="M231" s="16">
        <f t="shared" si="38"/>
        <v>1</v>
      </c>
      <c r="N231" s="16">
        <f t="shared" si="38"/>
        <v>0</v>
      </c>
      <c r="O231" s="28"/>
    </row>
    <row r="232" spans="1:15" s="15" customFormat="1" x14ac:dyDescent="0.25">
      <c r="A232" s="25">
        <f t="shared" si="39"/>
        <v>16.002099999999995</v>
      </c>
      <c r="B232" s="25"/>
      <c r="C232" s="26" t="s">
        <v>36</v>
      </c>
      <c r="D232" s="26" t="s">
        <v>21</v>
      </c>
      <c r="E232" s="26" t="s">
        <v>31</v>
      </c>
      <c r="F232" s="26"/>
      <c r="G232" s="54"/>
      <c r="H232" s="28"/>
      <c r="I232" s="16" t="s">
        <v>7</v>
      </c>
      <c r="J232" s="16">
        <f t="shared" si="38"/>
        <v>0</v>
      </c>
      <c r="K232" s="16">
        <f t="shared" si="38"/>
        <v>0</v>
      </c>
      <c r="L232" s="16">
        <f t="shared" si="38"/>
        <v>0</v>
      </c>
      <c r="M232" s="16">
        <f t="shared" si="38"/>
        <v>1</v>
      </c>
      <c r="N232" s="16">
        <f t="shared" si="38"/>
        <v>0</v>
      </c>
      <c r="O232" s="28"/>
    </row>
    <row r="233" spans="1:15" s="15" customFormat="1" x14ac:dyDescent="0.25">
      <c r="A233" s="25">
        <f t="shared" si="39"/>
        <v>16.002199999999995</v>
      </c>
      <c r="B233" s="25"/>
      <c r="C233" s="28" t="s">
        <v>35</v>
      </c>
      <c r="D233" s="28" t="s">
        <v>23</v>
      </c>
      <c r="E233" s="28" t="s">
        <v>30</v>
      </c>
      <c r="F233" s="26"/>
      <c r="G233" s="54"/>
      <c r="H233" s="28"/>
      <c r="I233" s="16" t="s">
        <v>7</v>
      </c>
      <c r="J233" s="16">
        <f t="shared" si="38"/>
        <v>0</v>
      </c>
      <c r="K233" s="16">
        <f t="shared" si="38"/>
        <v>0</v>
      </c>
      <c r="L233" s="16">
        <f t="shared" si="38"/>
        <v>0</v>
      </c>
      <c r="M233" s="16">
        <f t="shared" si="38"/>
        <v>1</v>
      </c>
      <c r="N233" s="16">
        <f t="shared" si="38"/>
        <v>0</v>
      </c>
      <c r="O233" s="28"/>
    </row>
    <row r="234" spans="1:15" s="15" customFormat="1" x14ac:dyDescent="0.25">
      <c r="A234" s="25">
        <f t="shared" si="39"/>
        <v>16.002299999999995</v>
      </c>
      <c r="B234" s="25"/>
      <c r="C234" s="28" t="s">
        <v>50</v>
      </c>
      <c r="D234" s="28" t="s">
        <v>21</v>
      </c>
      <c r="E234" s="28" t="s">
        <v>51</v>
      </c>
      <c r="F234" s="26"/>
      <c r="G234" s="54"/>
      <c r="H234" s="28"/>
      <c r="I234" s="16" t="s">
        <v>7</v>
      </c>
      <c r="J234" s="16">
        <f t="shared" si="38"/>
        <v>0</v>
      </c>
      <c r="K234" s="16">
        <f t="shared" si="38"/>
        <v>0</v>
      </c>
      <c r="L234" s="16">
        <f t="shared" si="38"/>
        <v>0</v>
      </c>
      <c r="M234" s="16">
        <f t="shared" si="38"/>
        <v>1</v>
      </c>
      <c r="N234" s="16">
        <f t="shared" si="38"/>
        <v>0</v>
      </c>
      <c r="O234" s="28"/>
    </row>
    <row r="235" spans="1:15" s="15" customFormat="1" x14ac:dyDescent="0.25">
      <c r="A235" s="25">
        <f t="shared" si="39"/>
        <v>16.002399999999994</v>
      </c>
      <c r="B235" s="25"/>
      <c r="C235" s="28" t="s">
        <v>37</v>
      </c>
      <c r="D235" s="28" t="s">
        <v>23</v>
      </c>
      <c r="E235" s="28" t="s">
        <v>32</v>
      </c>
      <c r="F235" s="26"/>
      <c r="G235" s="54"/>
      <c r="H235" s="28"/>
      <c r="I235" s="16" t="s">
        <v>7</v>
      </c>
      <c r="J235" s="16">
        <f t="shared" si="38"/>
        <v>0</v>
      </c>
      <c r="K235" s="16">
        <f t="shared" si="38"/>
        <v>0</v>
      </c>
      <c r="L235" s="16">
        <f t="shared" si="38"/>
        <v>0</v>
      </c>
      <c r="M235" s="16">
        <f t="shared" si="38"/>
        <v>1</v>
      </c>
      <c r="N235" s="16">
        <f t="shared" si="38"/>
        <v>0</v>
      </c>
      <c r="O235" s="28"/>
    </row>
    <row r="236" spans="1:15" ht="15.75" thickBot="1" x14ac:dyDescent="0.3">
      <c r="J236" s="2">
        <f>SUM(J2:J235)</f>
        <v>0</v>
      </c>
      <c r="K236" s="2">
        <f t="shared" ref="K236:N236" si="40">SUM(K2:K235)</f>
        <v>0</v>
      </c>
      <c r="L236" s="2">
        <f t="shared" si="40"/>
        <v>69</v>
      </c>
      <c r="M236" s="2">
        <f t="shared" si="40"/>
        <v>134</v>
      </c>
      <c r="N236" s="2">
        <f t="shared" si="40"/>
        <v>0</v>
      </c>
    </row>
    <row r="237" spans="1:15" ht="15.75" thickTop="1" x14ac:dyDescent="0.25"/>
    <row r="238" spans="1:15" x14ac:dyDescent="0.25">
      <c r="J238" s="5">
        <f t="shared" ref="J238:N238" si="41">IF($I238=J$1,1,0)</f>
        <v>0</v>
      </c>
      <c r="K238" s="5">
        <f t="shared" si="41"/>
        <v>0</v>
      </c>
      <c r="L238" s="5">
        <f t="shared" si="41"/>
        <v>1</v>
      </c>
      <c r="M238" s="5">
        <f t="shared" si="41"/>
        <v>0</v>
      </c>
      <c r="N238" s="5">
        <f t="shared" si="41"/>
        <v>0</v>
      </c>
    </row>
  </sheetData>
  <mergeCells count="17">
    <mergeCell ref="B157:C157"/>
    <mergeCell ref="B172:C172"/>
    <mergeCell ref="B187:C187"/>
    <mergeCell ref="B194:C194"/>
    <mergeCell ref="B207:C207"/>
    <mergeCell ref="B137:C137"/>
    <mergeCell ref="B130:C130"/>
    <mergeCell ref="B7:C7"/>
    <mergeCell ref="B54:C54"/>
    <mergeCell ref="C55:E55"/>
    <mergeCell ref="B62:C62"/>
    <mergeCell ref="C63:E63"/>
    <mergeCell ref="B73:C73"/>
    <mergeCell ref="C88:E88"/>
    <mergeCell ref="B22:C22"/>
    <mergeCell ref="B44:C44"/>
    <mergeCell ref="B123:C123"/>
  </mergeCells>
  <conditionalFormatting sqref="A236:O255">
    <cfRule type="expression" dxfId="76" priority="2186">
      <formula>$I236="Fail"</formula>
    </cfRule>
  </conditionalFormatting>
  <dataValidations count="1">
    <dataValidation type="list" allowBlank="1" showInputMessage="1" showErrorMessage="1" sqref="I2:I235">
      <formula1>$J$1:$N$1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75" id="{6D6F411D-1F78-40E7-9CD6-CE362AC95FFE}">
            <xm:f>RFA!$J163="Fail"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O150 O153:O154 B153:H154 B150:H150</xm:sqref>
        </x14:conditionalFormatting>
        <x14:conditionalFormatting xmlns:xm="http://schemas.microsoft.com/office/excel/2006/main">
          <x14:cfRule type="expression" priority="646" id="{6D6F411D-1F78-40E7-9CD6-CE362AC95FFE}">
            <xm:f>RFA!$J3="Fail"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J67:N68 J98:N99 J104:N105 J112:N113 J118:N119 J139:N156 J5:O21 A2:O4 A7:B7 D7:H7 A8:H21 A5:H6 I5:I235</xm:sqref>
        </x14:conditionalFormatting>
        <x14:conditionalFormatting xmlns:xm="http://schemas.microsoft.com/office/excel/2006/main">
          <x14:cfRule type="expression" priority="647" id="{6D6F411D-1F78-40E7-9CD6-CE362AC95FFE}">
            <xm:f>RFA!$J30="Fail"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H23 J22:O29 D22:H22 A22:B22 A24:H29 A23:F23</xm:sqref>
        </x14:conditionalFormatting>
        <x14:conditionalFormatting xmlns:xm="http://schemas.microsoft.com/office/excel/2006/main">
          <x14:cfRule type="expression" priority="648" id="{6D6F411D-1F78-40E7-9CD6-CE362AC95FFE}">
            <xm:f>RFA!$J40="Fail"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J30:O36 A30:H36</xm:sqref>
        </x14:conditionalFormatting>
        <x14:conditionalFormatting xmlns:xm="http://schemas.microsoft.com/office/excel/2006/main">
          <x14:cfRule type="expression" priority="651" id="{6D6F411D-1F78-40E7-9CD6-CE362AC95FFE}">
            <xm:f>RFA!$J190="Fail"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O152 O147 A147:H147 A142:A146 A152:H152 A148:A151 A153:A156</xm:sqref>
        </x14:conditionalFormatting>
        <x14:conditionalFormatting xmlns:xm="http://schemas.microsoft.com/office/excel/2006/main">
          <x14:cfRule type="expression" priority="657" id="{6D6F411D-1F78-40E7-9CD6-CE362AC95FFE}">
            <xm:f>RFA!$J211="Fail"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J158:O158 J165:O165 J180:O180 J173:O173 J202:O202 J195:O195 J229:O229 J222:O222 J215:O215 J208:O208 A173:H173 A180:H180 A195:H195 A202:H202 A208:H208 A215:H215 A222:H222 A229:H229 A165:H165 A158:H158</xm:sqref>
        </x14:conditionalFormatting>
        <x14:conditionalFormatting xmlns:xm="http://schemas.microsoft.com/office/excel/2006/main">
          <x14:cfRule type="expression" priority="47" id="{F6B269A0-A7F4-4834-8EA1-21F34EDDF26F}">
            <xm:f>RFA!$J214="Fail"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J207:O207 J194:O194 J172:O172 J157:O157 A157:B157 D157:H157 A172:B172 D172:H172 A194:B194 D194:H194 A207:B207 D207:H207</xm:sqref>
        </x14:conditionalFormatting>
        <x14:conditionalFormatting xmlns:xm="http://schemas.microsoft.com/office/excel/2006/main">
          <x14:cfRule type="expression" priority="804" id="{6D6F411D-1F78-40E7-9CD6-CE362AC95FFE}">
            <xm:f>RFA!$J215="Fail"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J166:O171 J159:O164 J181:O186 J174:O179 J203:O206 J196:O201 J230:O235 J223:O228 J216:O221 J209:O214 A159:H164 A166:H171 A174:H179 A181:H186 A196:H201 A203:H206 A209:H214 A216:H221 A223:H228 A230:H235</xm:sqref>
        </x14:conditionalFormatting>
        <x14:conditionalFormatting xmlns:xm="http://schemas.microsoft.com/office/excel/2006/main">
          <x14:cfRule type="expression" priority="851" id="{6D6F411D-1F78-40E7-9CD6-CE362AC95FFE}">
            <xm:f>RFA!$J236="Fail"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J187:O193 A187:B187 D187:H187 A188:H193</xm:sqref>
        </x14:conditionalFormatting>
        <x14:conditionalFormatting xmlns:xm="http://schemas.microsoft.com/office/excel/2006/main">
          <x14:cfRule type="expression" priority="36" id="{E5820C85-4D94-4E79-8AEA-3CBEB52EDAD4}">
            <xm:f>RFA!$J165="Fail"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O151 B151:H151</xm:sqref>
        </x14:conditionalFormatting>
        <x14:conditionalFormatting xmlns:xm="http://schemas.microsoft.com/office/excel/2006/main">
          <x14:cfRule type="expression" priority="854" id="{6D6F411D-1F78-40E7-9CD6-CE362AC95FFE}">
            <xm:f>RFA!$J119="Fail"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O98 O112 O142 J109:O111 J95:O97 B112:H112 A109:H111 A112:A115 B98:H98 A95:H97 A98:A101 B142:H142</xm:sqref>
        </x14:conditionalFormatting>
        <x14:conditionalFormatting xmlns:xm="http://schemas.microsoft.com/office/excel/2006/main">
          <x14:cfRule type="expression" priority="855" id="{6D6F411D-1F78-40E7-9CD6-CE362AC95FFE}">
            <xm:f>RFA!$J122="Fail"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O99 O113 O143 B113:H113 B99:H99 B143:H143</xm:sqref>
        </x14:conditionalFormatting>
        <x14:conditionalFormatting xmlns:xm="http://schemas.microsoft.com/office/excel/2006/main">
          <x14:cfRule type="expression" priority="867" id="{6D6F411D-1F78-40E7-9CD6-CE362AC95FFE}">
            <xm:f>RFA!$J166="Fail"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O149 B149:H149</xm:sqref>
        </x14:conditionalFormatting>
        <x14:conditionalFormatting xmlns:xm="http://schemas.microsoft.com/office/excel/2006/main">
          <x14:cfRule type="expression" priority="886" id="{6D6F411D-1F78-40E7-9CD6-CE362AC95FFE}">
            <xm:f>RFA!$J166="Fail"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O148 B148:H148</xm:sqref>
        </x14:conditionalFormatting>
        <x14:conditionalFormatting xmlns:xm="http://schemas.microsoft.com/office/excel/2006/main">
          <x14:cfRule type="expression" priority="912" id="{6D6F411D-1F78-40E7-9CD6-CE362AC95FFE}">
            <xm:f>RFA!$J126="Fail"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O146 J106:O108 J120:O123 B146:H146 D123:H123 A123:B123 B120:H122 B106:H108</xm:sqref>
        </x14:conditionalFormatting>
        <x14:conditionalFormatting xmlns:xm="http://schemas.microsoft.com/office/excel/2006/main">
          <x14:cfRule type="expression" priority="923" id="{6D6F411D-1F78-40E7-9CD6-CE362AC95FFE}">
            <xm:f>RFA!$J166="Fail"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O145 B145:H145</xm:sqref>
        </x14:conditionalFormatting>
        <x14:conditionalFormatting xmlns:xm="http://schemas.microsoft.com/office/excel/2006/main">
          <x14:cfRule type="expression" priority="934" id="{6D6F411D-1F78-40E7-9CD6-CE362AC95FFE}">
            <xm:f>RFA!$J88="Fail"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J55:O61 H55 A56:H61 A55:C55 F55 C63 C88</xm:sqref>
        </x14:conditionalFormatting>
        <x14:conditionalFormatting xmlns:xm="http://schemas.microsoft.com/office/excel/2006/main">
          <x14:cfRule type="expression" priority="1106" id="{6D6F411D-1F78-40E7-9CD6-CE362AC95FFE}">
            <xm:f>RFA!$J166="Fail"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O141 B141:H141</xm:sqref>
        </x14:conditionalFormatting>
        <x14:conditionalFormatting xmlns:xm="http://schemas.microsoft.com/office/excel/2006/main">
          <x14:cfRule type="expression" priority="1189" id="{6D6F411D-1F78-40E7-9CD6-CE362AC95FFE}">
            <xm:f>RFA!$J167="Fail"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O156 B156:H156</xm:sqref>
        </x14:conditionalFormatting>
        <x14:conditionalFormatting xmlns:xm="http://schemas.microsoft.com/office/excel/2006/main">
          <x14:cfRule type="expression" priority="1190" id="{6D6F411D-1F78-40E7-9CD6-CE362AC95FFE}">
            <xm:f>RFA!$J49="Fail"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O155 J37:O43 B155:H155 A37:H43</xm:sqref>
        </x14:conditionalFormatting>
        <x14:conditionalFormatting xmlns:xm="http://schemas.microsoft.com/office/excel/2006/main">
          <x14:cfRule type="expression" priority="1476" id="{6D6F411D-1F78-40E7-9CD6-CE362AC95FFE}">
            <xm:f>RFA!$J70="Fail"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O139:O140 J138:O138 J62:O62 J54:O54 J44:O47 D44:H44 A44:B44 A45:H47 D54:H54 A54:B54 D62:H62 A62:B62 A141 A138:H140</xm:sqref>
        </x14:conditionalFormatting>
        <x14:conditionalFormatting xmlns:xm="http://schemas.microsoft.com/office/excel/2006/main">
          <x14:cfRule type="expression" priority="1556" id="{6D6F411D-1F78-40E7-9CD6-CE362AC95FFE}">
            <xm:f>RFA!$J157="Fail"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J130:O137 A131:H136 A130:B130 D130:H130 A137:B137 D137:H137</xm:sqref>
        </x14:conditionalFormatting>
        <x14:conditionalFormatting xmlns:xm="http://schemas.microsoft.com/office/excel/2006/main">
          <x14:cfRule type="expression" priority="1617" id="{6D6F411D-1F78-40E7-9CD6-CE362AC95FFE}">
            <xm:f>RFA!$J76="Fail"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J48:O50 A48:H50</xm:sqref>
        </x14:conditionalFormatting>
        <x14:conditionalFormatting xmlns:xm="http://schemas.microsoft.com/office/excel/2006/main">
          <x14:cfRule type="expression" priority="1698" id="{6D6F411D-1F78-40E7-9CD6-CE362AC95FFE}">
            <xm:f>RFA!$J109="Fail"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J75:O80 A75:H80</xm:sqref>
        </x14:conditionalFormatting>
        <x14:conditionalFormatting xmlns:xm="http://schemas.microsoft.com/office/excel/2006/main">
          <x14:cfRule type="expression" priority="1723" id="{6D6F411D-1F78-40E7-9CD6-CE362AC95FFE}">
            <xm:f>RFA!$J108="Fail"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J73:O73 A73:B73 D73:H73</xm:sqref>
        </x14:conditionalFormatting>
        <x14:conditionalFormatting xmlns:xm="http://schemas.microsoft.com/office/excel/2006/main">
          <x14:cfRule type="expression" priority="1794" id="{6D6F411D-1F78-40E7-9CD6-CE362AC95FFE}">
            <xm:f>RFA!$J119="Fail"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J89:O94 J81:O87 A81:H87 A89:H94</xm:sqref>
        </x14:conditionalFormatting>
        <x14:conditionalFormatting xmlns:xm="http://schemas.microsoft.com/office/excel/2006/main">
          <x14:cfRule type="expression" priority="1831" id="{6D6F411D-1F78-40E7-9CD6-CE362AC95FFE}">
            <xm:f>RFA!$J122="Fail"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O104:O105 O118:O119 O144 J114:O117 J100:O103 B144:H144 A116:H117 B114:H115 B118:H119 A118:A122 A102:H103 B100:H101 B104:H105 A104:A108</xm:sqref>
        </x14:conditionalFormatting>
        <x14:conditionalFormatting xmlns:xm="http://schemas.microsoft.com/office/excel/2006/main">
          <x14:cfRule type="expression" priority="1942" id="{6D6F411D-1F78-40E7-9CD6-CE362AC95FFE}">
            <xm:f>RFA!$J99="Fail"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J124:O129 J69:O69 B69:H69 A124:H129</xm:sqref>
        </x14:conditionalFormatting>
        <x14:conditionalFormatting xmlns:xm="http://schemas.microsoft.com/office/excel/2006/main">
          <x14:cfRule type="expression" priority="2053" id="{6D6F411D-1F78-40E7-9CD6-CE362AC95FFE}">
            <xm:f>RFA!$J99="Fail"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O68 J74:O74 J70:O72 A70:H72 B68:H68 A74:H74</xm:sqref>
        </x14:conditionalFormatting>
        <x14:conditionalFormatting xmlns:xm="http://schemas.microsoft.com/office/excel/2006/main">
          <x14:cfRule type="expression" priority="2164" id="{6D6F411D-1F78-40E7-9CD6-CE362AC95FFE}">
            <xm:f>RFA!$J83="Fail"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J63:O66 O67 J88:O88 J51:O53 A63:B63 A64:E66 A51:H53 F63:H66 B67:H67 A67:A69 A88:B88 F88:H88</xm:sqref>
        </x14:conditionalFormatting>
        <x14:conditionalFormatting xmlns:xm="http://schemas.microsoft.com/office/excel/2006/main">
          <x14:cfRule type="expression" priority="2185" id="{6D6F411D-1F78-40E7-9CD6-CE362AC95FFE}">
            <xm:f>RFA!$J31="Fail"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G55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52"/>
  <sheetViews>
    <sheetView topLeftCell="B1" zoomScaleNormal="100" workbookViewId="0">
      <pane ySplit="1" topLeftCell="A2" activePane="bottomLeft" state="frozen"/>
      <selection pane="bottomLeft" activeCell="D13" sqref="D13"/>
    </sheetView>
  </sheetViews>
  <sheetFormatPr defaultRowHeight="15" x14ac:dyDescent="0.25"/>
  <cols>
    <col min="1" max="1" width="11.28515625" style="18" bestFit="1" customWidth="1"/>
    <col min="2" max="2" width="45.85546875" customWidth="1"/>
    <col min="3" max="3" width="45.7109375" customWidth="1"/>
    <col min="4" max="4" width="36.42578125" customWidth="1"/>
    <col min="5" max="5" width="20.42578125" style="15" customWidth="1"/>
    <col min="6" max="6" width="14.7109375" style="15" customWidth="1"/>
    <col min="7" max="10" width="9.140625" style="15"/>
    <col min="11" max="11" width="16.5703125" style="15" customWidth="1"/>
    <col min="12" max="12" width="39" style="15" customWidth="1"/>
    <col min="13" max="16384" width="9.140625" style="15"/>
  </cols>
  <sheetData>
    <row r="1" spans="1:12" ht="30" customHeight="1" x14ac:dyDescent="0.25">
      <c r="A1" s="19" t="s">
        <v>1</v>
      </c>
      <c r="B1" s="7" t="s">
        <v>11</v>
      </c>
      <c r="C1" s="7" t="s">
        <v>2</v>
      </c>
      <c r="D1" s="8" t="s">
        <v>4</v>
      </c>
      <c r="E1" s="21"/>
      <c r="F1" s="20" t="s">
        <v>0</v>
      </c>
      <c r="G1" s="21" t="s">
        <v>5</v>
      </c>
      <c r="H1" s="21" t="s">
        <v>6</v>
      </c>
      <c r="I1" s="21"/>
      <c r="J1" s="21" t="s">
        <v>7</v>
      </c>
      <c r="K1" s="21" t="s">
        <v>8</v>
      </c>
      <c r="L1" s="21" t="s">
        <v>12</v>
      </c>
    </row>
    <row r="2" spans="1:12" s="13" customFormat="1" x14ac:dyDescent="0.25">
      <c r="A2" s="22">
        <v>1</v>
      </c>
      <c r="B2" s="43" t="s">
        <v>201</v>
      </c>
      <c r="C2" s="44" t="s">
        <v>202</v>
      </c>
      <c r="D2" s="43"/>
      <c r="E2" s="23"/>
      <c r="F2" s="49"/>
      <c r="G2" s="12"/>
      <c r="H2" s="12"/>
      <c r="I2" s="12"/>
      <c r="J2" s="12"/>
      <c r="K2" s="12"/>
      <c r="L2" s="23"/>
    </row>
    <row r="3" spans="1:12" x14ac:dyDescent="0.25">
      <c r="A3" s="25">
        <v>1</v>
      </c>
      <c r="B3" s="45" t="s">
        <v>203</v>
      </c>
      <c r="C3" s="45" t="s">
        <v>204</v>
      </c>
      <c r="D3" s="46" t="s">
        <v>205</v>
      </c>
      <c r="E3" s="26"/>
      <c r="F3" s="16"/>
      <c r="G3" s="16">
        <f t="shared" ref="G3:K18" si="0">IF($F3=G$1,1,0)</f>
        <v>0</v>
      </c>
      <c r="H3" s="16">
        <f t="shared" si="0"/>
        <v>0</v>
      </c>
      <c r="I3" s="16">
        <f t="shared" si="0"/>
        <v>1</v>
      </c>
      <c r="J3" s="16">
        <f t="shared" si="0"/>
        <v>0</v>
      </c>
      <c r="K3" s="16">
        <f t="shared" si="0"/>
        <v>0</v>
      </c>
      <c r="L3" s="28"/>
    </row>
    <row r="4" spans="1:12" s="13" customFormat="1" x14ac:dyDescent="0.25">
      <c r="A4" s="22">
        <v>2</v>
      </c>
      <c r="B4" s="47"/>
      <c r="C4" s="45" t="s">
        <v>206</v>
      </c>
      <c r="D4" s="46" t="s">
        <v>207</v>
      </c>
      <c r="E4" s="31"/>
      <c r="F4" s="16"/>
      <c r="G4" s="33"/>
      <c r="H4" s="33"/>
      <c r="I4" s="33"/>
      <c r="J4" s="33"/>
      <c r="K4" s="33"/>
      <c r="L4" s="31"/>
    </row>
    <row r="5" spans="1:12" x14ac:dyDescent="0.25">
      <c r="A5" s="25">
        <f t="shared" ref="A5:A6" si="1">A4+0.0001</f>
        <v>2.0001000000000002</v>
      </c>
      <c r="B5" s="47"/>
      <c r="C5" s="45" t="s">
        <v>208</v>
      </c>
      <c r="D5" s="46" t="s">
        <v>209</v>
      </c>
      <c r="E5" s="26"/>
      <c r="F5" s="16"/>
      <c r="G5" s="16">
        <f t="shared" si="0"/>
        <v>0</v>
      </c>
      <c r="H5" s="16">
        <f t="shared" si="0"/>
        <v>0</v>
      </c>
      <c r="I5" s="16">
        <f t="shared" si="0"/>
        <v>1</v>
      </c>
      <c r="J5" s="16">
        <f t="shared" si="0"/>
        <v>0</v>
      </c>
      <c r="K5" s="16">
        <f t="shared" si="0"/>
        <v>0</v>
      </c>
      <c r="L5" s="28"/>
    </row>
    <row r="6" spans="1:12" x14ac:dyDescent="0.25">
      <c r="A6" s="25">
        <f t="shared" si="1"/>
        <v>2.0002000000000004</v>
      </c>
      <c r="B6" s="47"/>
      <c r="C6" s="45" t="s">
        <v>210</v>
      </c>
      <c r="D6" s="46" t="s">
        <v>211</v>
      </c>
      <c r="E6" s="26"/>
      <c r="F6" s="16" t="s">
        <v>7</v>
      </c>
      <c r="G6" s="16">
        <f t="shared" si="0"/>
        <v>0</v>
      </c>
      <c r="H6" s="16">
        <f t="shared" si="0"/>
        <v>0</v>
      </c>
      <c r="I6" s="16">
        <f t="shared" si="0"/>
        <v>0</v>
      </c>
      <c r="J6" s="16">
        <f t="shared" si="0"/>
        <v>1</v>
      </c>
      <c r="K6" s="16">
        <f t="shared" si="0"/>
        <v>0</v>
      </c>
      <c r="L6" s="28"/>
    </row>
    <row r="7" spans="1:12" s="13" customFormat="1" ht="15" customHeight="1" x14ac:dyDescent="0.25">
      <c r="A7" s="22">
        <v>3</v>
      </c>
      <c r="B7" s="46"/>
      <c r="C7" s="47" t="s">
        <v>212</v>
      </c>
      <c r="D7" s="46" t="s">
        <v>213</v>
      </c>
      <c r="E7" s="31"/>
      <c r="F7" s="50" t="s">
        <v>7</v>
      </c>
      <c r="G7" s="16">
        <f t="shared" si="0"/>
        <v>0</v>
      </c>
      <c r="H7" s="16">
        <f t="shared" si="0"/>
        <v>0</v>
      </c>
      <c r="I7" s="16">
        <f t="shared" si="0"/>
        <v>0</v>
      </c>
      <c r="J7" s="16">
        <f t="shared" si="0"/>
        <v>1</v>
      </c>
      <c r="K7" s="16">
        <f t="shared" si="0"/>
        <v>0</v>
      </c>
      <c r="L7" s="31"/>
    </row>
    <row r="8" spans="1:12" s="34" customFormat="1" x14ac:dyDescent="0.25">
      <c r="A8" s="35"/>
      <c r="B8" s="43"/>
      <c r="C8" s="43" t="s">
        <v>214</v>
      </c>
      <c r="D8" s="43"/>
      <c r="E8" s="31"/>
      <c r="F8" s="50"/>
      <c r="G8" s="16"/>
      <c r="H8" s="16"/>
      <c r="I8" s="16"/>
      <c r="J8" s="16"/>
      <c r="K8" s="16">
        <f t="shared" si="0"/>
        <v>0</v>
      </c>
      <c r="L8" s="31"/>
    </row>
    <row r="9" spans="1:12" x14ac:dyDescent="0.25">
      <c r="A9" s="25">
        <f>A7+0.0001</f>
        <v>3.0001000000000002</v>
      </c>
      <c r="B9" s="45" t="s">
        <v>203</v>
      </c>
      <c r="C9" s="47" t="s">
        <v>215</v>
      </c>
      <c r="D9" s="46" t="s">
        <v>216</v>
      </c>
      <c r="E9" s="26"/>
      <c r="F9" s="50"/>
      <c r="G9" s="16">
        <f t="shared" si="0"/>
        <v>0</v>
      </c>
      <c r="H9" s="16">
        <f t="shared" si="0"/>
        <v>0</v>
      </c>
      <c r="I9" s="16">
        <f t="shared" si="0"/>
        <v>1</v>
      </c>
      <c r="J9" s="16">
        <f t="shared" si="0"/>
        <v>0</v>
      </c>
      <c r="K9" s="16">
        <f t="shared" si="0"/>
        <v>0</v>
      </c>
      <c r="L9" s="28"/>
    </row>
    <row r="10" spans="1:12" x14ac:dyDescent="0.25">
      <c r="A10" s="25">
        <f t="shared" ref="A10:A28" si="2">A9+0.0001</f>
        <v>3.0002000000000004</v>
      </c>
      <c r="B10" s="47"/>
      <c r="C10" s="47" t="s">
        <v>217</v>
      </c>
      <c r="D10" s="46" t="s">
        <v>218</v>
      </c>
      <c r="E10" s="26"/>
      <c r="F10" s="50"/>
      <c r="G10" s="16">
        <f t="shared" si="0"/>
        <v>0</v>
      </c>
      <c r="H10" s="16">
        <f t="shared" si="0"/>
        <v>0</v>
      </c>
      <c r="I10" s="16">
        <f t="shared" si="0"/>
        <v>1</v>
      </c>
      <c r="J10" s="16">
        <f t="shared" si="0"/>
        <v>0</v>
      </c>
      <c r="K10" s="16">
        <f t="shared" si="0"/>
        <v>0</v>
      </c>
      <c r="L10" s="28"/>
    </row>
    <row r="11" spans="1:12" x14ac:dyDescent="0.25">
      <c r="A11" s="25">
        <f t="shared" si="2"/>
        <v>3.0003000000000006</v>
      </c>
      <c r="B11" s="43"/>
      <c r="C11" s="44" t="s">
        <v>219</v>
      </c>
      <c r="D11" s="43"/>
      <c r="E11" s="28"/>
      <c r="F11" s="50"/>
      <c r="G11" s="16"/>
      <c r="H11" s="16"/>
      <c r="I11" s="16"/>
      <c r="J11" s="16"/>
      <c r="K11" s="16">
        <f t="shared" si="0"/>
        <v>0</v>
      </c>
      <c r="L11" s="28"/>
    </row>
    <row r="12" spans="1:12" x14ac:dyDescent="0.25">
      <c r="A12" s="25">
        <f t="shared" si="2"/>
        <v>3.0004000000000008</v>
      </c>
      <c r="B12" s="45" t="s">
        <v>203</v>
      </c>
      <c r="C12" s="47" t="s">
        <v>220</v>
      </c>
      <c r="D12" s="46" t="s">
        <v>221</v>
      </c>
      <c r="E12" s="28"/>
      <c r="F12" s="50"/>
      <c r="G12" s="16">
        <f t="shared" si="0"/>
        <v>0</v>
      </c>
      <c r="H12" s="16">
        <f t="shared" si="0"/>
        <v>0</v>
      </c>
      <c r="I12" s="16">
        <f t="shared" si="0"/>
        <v>1</v>
      </c>
      <c r="J12" s="16">
        <f t="shared" si="0"/>
        <v>0</v>
      </c>
      <c r="K12" s="16">
        <f t="shared" si="0"/>
        <v>0</v>
      </c>
      <c r="L12" s="28"/>
    </row>
    <row r="13" spans="1:12" x14ac:dyDescent="0.25">
      <c r="A13" s="25">
        <f t="shared" si="2"/>
        <v>3.0005000000000011</v>
      </c>
      <c r="B13" s="45"/>
      <c r="C13" s="47" t="s">
        <v>222</v>
      </c>
      <c r="D13" s="46" t="s">
        <v>283</v>
      </c>
      <c r="E13" s="28"/>
      <c r="F13" s="50"/>
      <c r="G13" s="16">
        <f t="shared" si="0"/>
        <v>0</v>
      </c>
      <c r="H13" s="16">
        <f t="shared" si="0"/>
        <v>0</v>
      </c>
      <c r="I13" s="16">
        <f t="shared" si="0"/>
        <v>1</v>
      </c>
      <c r="J13" s="16">
        <f t="shared" si="0"/>
        <v>0</v>
      </c>
      <c r="K13" s="16">
        <f t="shared" si="0"/>
        <v>0</v>
      </c>
      <c r="L13" s="28"/>
    </row>
    <row r="14" spans="1:12" x14ac:dyDescent="0.25">
      <c r="A14" s="25">
        <f t="shared" si="2"/>
        <v>3.0006000000000013</v>
      </c>
      <c r="B14" s="47"/>
      <c r="C14" s="47" t="s">
        <v>222</v>
      </c>
      <c r="D14" s="46" t="s">
        <v>223</v>
      </c>
      <c r="E14" s="28"/>
      <c r="F14" s="50"/>
      <c r="G14" s="16">
        <f t="shared" si="0"/>
        <v>0</v>
      </c>
      <c r="H14" s="16">
        <f t="shared" si="0"/>
        <v>0</v>
      </c>
      <c r="I14" s="16">
        <f t="shared" si="0"/>
        <v>1</v>
      </c>
      <c r="J14" s="16">
        <f t="shared" si="0"/>
        <v>0</v>
      </c>
      <c r="K14" s="16">
        <f t="shared" si="0"/>
        <v>0</v>
      </c>
      <c r="L14" s="28"/>
    </row>
    <row r="15" spans="1:12" s="34" customFormat="1" x14ac:dyDescent="0.25">
      <c r="A15" s="35"/>
      <c r="B15" s="47"/>
      <c r="C15" s="47" t="s">
        <v>224</v>
      </c>
      <c r="D15" s="46" t="s">
        <v>225</v>
      </c>
      <c r="E15" s="31"/>
      <c r="F15" s="50"/>
      <c r="G15" s="16"/>
      <c r="H15" s="16"/>
      <c r="I15" s="16"/>
      <c r="J15" s="16"/>
      <c r="K15" s="16">
        <f t="shared" si="0"/>
        <v>0</v>
      </c>
      <c r="L15" s="31"/>
    </row>
    <row r="16" spans="1:12" x14ac:dyDescent="0.25">
      <c r="A16" s="25">
        <f>A14+0.0001</f>
        <v>3.0007000000000015</v>
      </c>
      <c r="B16" s="43"/>
      <c r="C16" s="48" t="s">
        <v>226</v>
      </c>
      <c r="D16" s="43"/>
      <c r="E16" s="28"/>
      <c r="F16" s="50"/>
      <c r="G16" s="16"/>
      <c r="H16" s="16"/>
      <c r="I16" s="16"/>
      <c r="J16" s="16"/>
      <c r="K16" s="16">
        <f t="shared" si="0"/>
        <v>0</v>
      </c>
      <c r="L16" s="28"/>
    </row>
    <row r="17" spans="1:12" x14ac:dyDescent="0.25">
      <c r="A17" s="25">
        <f t="shared" si="2"/>
        <v>3.0008000000000017</v>
      </c>
      <c r="B17" s="45" t="s">
        <v>227</v>
      </c>
      <c r="C17" s="47" t="s">
        <v>228</v>
      </c>
      <c r="D17" s="46" t="s">
        <v>229</v>
      </c>
      <c r="E17" s="28"/>
      <c r="F17" s="50"/>
      <c r="G17" s="16">
        <f t="shared" si="0"/>
        <v>0</v>
      </c>
      <c r="H17" s="16">
        <f t="shared" si="0"/>
        <v>0</v>
      </c>
      <c r="I17" s="16">
        <f t="shared" si="0"/>
        <v>1</v>
      </c>
      <c r="J17" s="16">
        <f t="shared" si="0"/>
        <v>0</v>
      </c>
      <c r="K17" s="16">
        <f t="shared" si="0"/>
        <v>0</v>
      </c>
      <c r="L17" s="28"/>
    </row>
    <row r="18" spans="1:12" x14ac:dyDescent="0.25">
      <c r="A18" s="25">
        <f t="shared" si="2"/>
        <v>3.0009000000000019</v>
      </c>
      <c r="B18" s="43"/>
      <c r="C18" s="44" t="s">
        <v>230</v>
      </c>
      <c r="D18" s="43"/>
      <c r="E18" s="28"/>
      <c r="F18" s="50"/>
      <c r="G18" s="16"/>
      <c r="H18" s="16"/>
      <c r="I18" s="16"/>
      <c r="J18" s="16"/>
      <c r="K18" s="16">
        <f t="shared" si="0"/>
        <v>0</v>
      </c>
      <c r="L18" s="28"/>
    </row>
    <row r="19" spans="1:12" x14ac:dyDescent="0.25">
      <c r="A19" s="25">
        <f t="shared" si="2"/>
        <v>3.0010000000000021</v>
      </c>
      <c r="B19" s="45" t="s">
        <v>231</v>
      </c>
      <c r="C19" s="45" t="s">
        <v>232</v>
      </c>
      <c r="D19" s="46" t="s">
        <v>233</v>
      </c>
      <c r="E19" s="28"/>
      <c r="F19" s="50"/>
      <c r="G19" s="16">
        <f t="shared" ref="G19:K34" si="3">IF($F19=G$1,1,0)</f>
        <v>0</v>
      </c>
      <c r="H19" s="16">
        <f t="shared" si="3"/>
        <v>0</v>
      </c>
      <c r="I19" s="16">
        <f t="shared" si="3"/>
        <v>1</v>
      </c>
      <c r="J19" s="16">
        <f t="shared" si="3"/>
        <v>0</v>
      </c>
      <c r="K19" s="16">
        <f t="shared" si="3"/>
        <v>0</v>
      </c>
      <c r="L19" s="28"/>
    </row>
    <row r="20" spans="1:12" x14ac:dyDescent="0.25">
      <c r="A20" s="25">
        <f t="shared" si="2"/>
        <v>3.0011000000000023</v>
      </c>
      <c r="B20" s="43"/>
      <c r="C20" s="44" t="s">
        <v>234</v>
      </c>
      <c r="D20" s="43"/>
      <c r="E20" s="28"/>
      <c r="F20" s="50"/>
      <c r="G20" s="16"/>
      <c r="H20" s="16"/>
      <c r="I20" s="16"/>
      <c r="J20" s="16"/>
      <c r="K20" s="16">
        <f t="shared" si="3"/>
        <v>0</v>
      </c>
      <c r="L20" s="28"/>
    </row>
    <row r="21" spans="1:12" x14ac:dyDescent="0.25">
      <c r="A21" s="25">
        <f t="shared" si="2"/>
        <v>3.0012000000000025</v>
      </c>
      <c r="B21" s="45" t="s">
        <v>231</v>
      </c>
      <c r="C21" s="45" t="s">
        <v>232</v>
      </c>
      <c r="D21" s="46" t="s">
        <v>235</v>
      </c>
      <c r="E21" s="28"/>
      <c r="F21" s="50"/>
      <c r="G21" s="16">
        <f t="shared" si="3"/>
        <v>0</v>
      </c>
      <c r="H21" s="16">
        <f t="shared" si="3"/>
        <v>0</v>
      </c>
      <c r="I21" s="16">
        <f t="shared" si="3"/>
        <v>1</v>
      </c>
      <c r="J21" s="16">
        <f t="shared" si="3"/>
        <v>0</v>
      </c>
      <c r="K21" s="16">
        <f t="shared" si="3"/>
        <v>0</v>
      </c>
      <c r="L21" s="28"/>
    </row>
    <row r="22" spans="1:12" s="34" customFormat="1" x14ac:dyDescent="0.25">
      <c r="A22" s="35"/>
      <c r="B22" s="43"/>
      <c r="C22" s="44" t="s">
        <v>236</v>
      </c>
      <c r="D22" s="43"/>
      <c r="E22" s="31"/>
      <c r="F22" s="50"/>
      <c r="G22" s="16"/>
      <c r="H22" s="16"/>
      <c r="I22" s="16"/>
      <c r="J22" s="16"/>
      <c r="K22" s="16">
        <f t="shared" si="3"/>
        <v>0</v>
      </c>
      <c r="L22" s="31"/>
    </row>
    <row r="23" spans="1:12" x14ac:dyDescent="0.25">
      <c r="A23" s="25">
        <f>A21+0.0001</f>
        <v>3.0013000000000027</v>
      </c>
      <c r="B23" s="45" t="s">
        <v>231</v>
      </c>
      <c r="C23" s="47" t="s">
        <v>237</v>
      </c>
      <c r="D23" s="46" t="s">
        <v>238</v>
      </c>
      <c r="E23" s="28"/>
      <c r="F23" s="16"/>
      <c r="G23" s="16">
        <f t="shared" si="3"/>
        <v>0</v>
      </c>
      <c r="H23" s="16">
        <f t="shared" si="3"/>
        <v>0</v>
      </c>
      <c r="I23" s="16">
        <f t="shared" si="3"/>
        <v>1</v>
      </c>
      <c r="J23" s="16">
        <f t="shared" si="3"/>
        <v>0</v>
      </c>
      <c r="K23" s="16">
        <f t="shared" si="3"/>
        <v>0</v>
      </c>
      <c r="L23" s="28"/>
    </row>
    <row r="24" spans="1:12" x14ac:dyDescent="0.25">
      <c r="A24" s="25">
        <f t="shared" si="2"/>
        <v>3.001400000000003</v>
      </c>
      <c r="B24" s="47"/>
      <c r="C24" s="47" t="s">
        <v>148</v>
      </c>
      <c r="D24" s="46" t="s">
        <v>239</v>
      </c>
      <c r="E24" s="28"/>
      <c r="F24" s="16"/>
      <c r="G24" s="16">
        <f t="shared" si="3"/>
        <v>0</v>
      </c>
      <c r="H24" s="16">
        <f t="shared" si="3"/>
        <v>0</v>
      </c>
      <c r="I24" s="16">
        <f t="shared" si="3"/>
        <v>1</v>
      </c>
      <c r="J24" s="16">
        <f t="shared" si="3"/>
        <v>0</v>
      </c>
      <c r="K24" s="16">
        <f t="shared" si="3"/>
        <v>0</v>
      </c>
      <c r="L24" s="28"/>
    </row>
    <row r="25" spans="1:12" x14ac:dyDescent="0.25">
      <c r="A25" s="25">
        <f t="shared" si="2"/>
        <v>3.0015000000000032</v>
      </c>
      <c r="B25" s="47"/>
      <c r="C25" s="47" t="s">
        <v>240</v>
      </c>
      <c r="D25" s="46" t="s">
        <v>241</v>
      </c>
      <c r="E25" s="28"/>
      <c r="F25" s="16"/>
      <c r="G25" s="16">
        <f t="shared" si="3"/>
        <v>0</v>
      </c>
      <c r="H25" s="16">
        <f t="shared" si="3"/>
        <v>0</v>
      </c>
      <c r="I25" s="16">
        <f t="shared" si="3"/>
        <v>1</v>
      </c>
      <c r="J25" s="16">
        <f t="shared" si="3"/>
        <v>0</v>
      </c>
      <c r="K25" s="16">
        <f t="shared" si="3"/>
        <v>0</v>
      </c>
      <c r="L25" s="28"/>
    </row>
    <row r="26" spans="1:12" x14ac:dyDescent="0.25">
      <c r="A26" s="25">
        <f t="shared" si="2"/>
        <v>3.0016000000000034</v>
      </c>
      <c r="B26" s="43"/>
      <c r="C26" s="44" t="s">
        <v>242</v>
      </c>
      <c r="D26" s="43"/>
      <c r="E26" s="28"/>
      <c r="F26" s="16"/>
      <c r="G26" s="16"/>
      <c r="H26" s="16"/>
      <c r="I26" s="16"/>
      <c r="J26" s="16"/>
      <c r="K26" s="16">
        <f t="shared" si="3"/>
        <v>0</v>
      </c>
      <c r="L26" s="28"/>
    </row>
    <row r="27" spans="1:12" x14ac:dyDescent="0.25">
      <c r="A27" s="25">
        <f t="shared" si="2"/>
        <v>3.0017000000000036</v>
      </c>
      <c r="B27" s="45" t="s">
        <v>231</v>
      </c>
      <c r="C27" s="47" t="s">
        <v>243</v>
      </c>
      <c r="D27" s="46" t="s">
        <v>244</v>
      </c>
      <c r="E27" s="28"/>
      <c r="F27" s="16"/>
      <c r="G27" s="16">
        <f t="shared" si="3"/>
        <v>0</v>
      </c>
      <c r="H27" s="16">
        <f t="shared" si="3"/>
        <v>0</v>
      </c>
      <c r="I27" s="16">
        <f t="shared" si="3"/>
        <v>1</v>
      </c>
      <c r="J27" s="16">
        <f t="shared" si="3"/>
        <v>0</v>
      </c>
      <c r="K27" s="16">
        <f t="shared" si="3"/>
        <v>0</v>
      </c>
      <c r="L27" s="28"/>
    </row>
    <row r="28" spans="1:12" x14ac:dyDescent="0.25">
      <c r="A28" s="25">
        <f t="shared" si="2"/>
        <v>3.0018000000000038</v>
      </c>
      <c r="B28" s="47"/>
      <c r="C28" s="47" t="s">
        <v>245</v>
      </c>
      <c r="D28" s="46" t="s">
        <v>246</v>
      </c>
      <c r="E28" s="28"/>
      <c r="F28" s="16"/>
      <c r="G28" s="16">
        <f t="shared" si="3"/>
        <v>0</v>
      </c>
      <c r="H28" s="16">
        <f t="shared" si="3"/>
        <v>0</v>
      </c>
      <c r="I28" s="16">
        <f t="shared" si="3"/>
        <v>1</v>
      </c>
      <c r="J28" s="16">
        <f t="shared" si="3"/>
        <v>0</v>
      </c>
      <c r="K28" s="16">
        <f t="shared" si="3"/>
        <v>0</v>
      </c>
      <c r="L28" s="28"/>
    </row>
    <row r="29" spans="1:12" s="13" customFormat="1" ht="15" customHeight="1" x14ac:dyDescent="0.25">
      <c r="A29" s="22">
        <v>4</v>
      </c>
      <c r="B29" s="43"/>
      <c r="C29" s="44" t="s">
        <v>247</v>
      </c>
      <c r="D29" s="43"/>
      <c r="E29" s="31"/>
      <c r="F29" s="50"/>
      <c r="G29" s="33"/>
      <c r="H29" s="33"/>
      <c r="I29" s="33"/>
      <c r="J29" s="33"/>
      <c r="K29" s="33"/>
      <c r="L29" s="31"/>
    </row>
    <row r="30" spans="1:12" s="34" customFormat="1" x14ac:dyDescent="0.25">
      <c r="A30" s="35"/>
      <c r="B30" s="47"/>
      <c r="C30" s="47" t="s">
        <v>248</v>
      </c>
      <c r="D30" s="46" t="s">
        <v>249</v>
      </c>
      <c r="E30" s="31"/>
      <c r="F30" s="16"/>
      <c r="G30" s="16">
        <f t="shared" si="3"/>
        <v>0</v>
      </c>
      <c r="H30" s="16">
        <f t="shared" si="3"/>
        <v>0</v>
      </c>
      <c r="I30" s="16">
        <f t="shared" si="3"/>
        <v>1</v>
      </c>
      <c r="J30" s="16">
        <f t="shared" si="3"/>
        <v>0</v>
      </c>
      <c r="K30" s="16">
        <f t="shared" si="3"/>
        <v>0</v>
      </c>
      <c r="L30" s="31"/>
    </row>
    <row r="31" spans="1:12" x14ac:dyDescent="0.25">
      <c r="A31" s="25">
        <f>A29+0.0001</f>
        <v>4.0000999999999998</v>
      </c>
      <c r="B31" s="47"/>
      <c r="C31" s="47" t="s">
        <v>250</v>
      </c>
      <c r="D31" s="46" t="s">
        <v>251</v>
      </c>
      <c r="E31" s="26"/>
      <c r="F31" s="16"/>
      <c r="G31" s="16">
        <f t="shared" si="3"/>
        <v>0</v>
      </c>
      <c r="H31" s="16">
        <f t="shared" si="3"/>
        <v>0</v>
      </c>
      <c r="I31" s="16">
        <f t="shared" si="3"/>
        <v>1</v>
      </c>
      <c r="J31" s="16">
        <f t="shared" si="3"/>
        <v>0</v>
      </c>
      <c r="K31" s="16">
        <f t="shared" si="3"/>
        <v>0</v>
      </c>
      <c r="L31" s="28"/>
    </row>
    <row r="32" spans="1:12" x14ac:dyDescent="0.25">
      <c r="A32" s="25">
        <f>A31+0.0001</f>
        <v>4.0001999999999995</v>
      </c>
      <c r="B32" s="43"/>
      <c r="C32" s="44" t="s">
        <v>252</v>
      </c>
      <c r="D32" s="43"/>
      <c r="E32" s="26"/>
      <c r="F32" s="16"/>
      <c r="G32" s="16"/>
      <c r="H32" s="16"/>
      <c r="I32" s="16"/>
      <c r="J32" s="16"/>
      <c r="K32" s="16">
        <f t="shared" si="3"/>
        <v>0</v>
      </c>
      <c r="L32" s="28"/>
    </row>
    <row r="33" spans="1:12" x14ac:dyDescent="0.25">
      <c r="A33" s="25">
        <f>A32+0.0001</f>
        <v>4.0002999999999993</v>
      </c>
      <c r="B33" s="46"/>
      <c r="C33" s="47" t="s">
        <v>253</v>
      </c>
      <c r="D33" s="46" t="s">
        <v>254</v>
      </c>
      <c r="E33" s="28"/>
      <c r="F33" s="16"/>
      <c r="G33" s="16">
        <f t="shared" si="3"/>
        <v>0</v>
      </c>
      <c r="H33" s="16">
        <f t="shared" si="3"/>
        <v>0</v>
      </c>
      <c r="I33" s="16">
        <f t="shared" si="3"/>
        <v>1</v>
      </c>
      <c r="J33" s="16">
        <f t="shared" si="3"/>
        <v>0</v>
      </c>
      <c r="K33" s="16">
        <f t="shared" si="3"/>
        <v>0</v>
      </c>
      <c r="L33" s="28"/>
    </row>
    <row r="34" spans="1:12" x14ac:dyDescent="0.25">
      <c r="A34" s="25">
        <f t="shared" ref="A34:A38" si="4">A33+0.0001</f>
        <v>4.0003999999999991</v>
      </c>
      <c r="B34" s="46"/>
      <c r="C34" s="47" t="s">
        <v>255</v>
      </c>
      <c r="D34" s="46" t="s">
        <v>256</v>
      </c>
      <c r="E34" s="28"/>
      <c r="F34" s="16"/>
      <c r="G34" s="16">
        <f t="shared" si="3"/>
        <v>0</v>
      </c>
      <c r="H34" s="16">
        <f t="shared" si="3"/>
        <v>0</v>
      </c>
      <c r="I34" s="16">
        <f t="shared" si="3"/>
        <v>1</v>
      </c>
      <c r="J34" s="16">
        <f t="shared" si="3"/>
        <v>0</v>
      </c>
      <c r="K34" s="16">
        <f t="shared" si="3"/>
        <v>0</v>
      </c>
      <c r="L34" s="28"/>
    </row>
    <row r="35" spans="1:12" x14ac:dyDescent="0.25">
      <c r="A35" s="25">
        <f t="shared" si="4"/>
        <v>4.0004999999999988</v>
      </c>
      <c r="B35" s="43"/>
      <c r="C35" s="44" t="s">
        <v>257</v>
      </c>
      <c r="D35" s="43"/>
      <c r="E35" s="28"/>
      <c r="F35" s="16"/>
      <c r="G35" s="16"/>
      <c r="H35" s="16"/>
      <c r="I35" s="16"/>
      <c r="J35" s="16"/>
      <c r="K35" s="16">
        <f t="shared" ref="K35:K45" si="5">IF($F35=K$1,1,0)</f>
        <v>0</v>
      </c>
      <c r="L35" s="28"/>
    </row>
    <row r="36" spans="1:12" ht="25.5" x14ac:dyDescent="0.25">
      <c r="A36" s="25">
        <f t="shared" si="4"/>
        <v>4.0005999999999986</v>
      </c>
      <c r="B36" s="46"/>
      <c r="C36" s="47" t="s">
        <v>258</v>
      </c>
      <c r="D36" s="46" t="s">
        <v>259</v>
      </c>
      <c r="E36" s="28" t="s">
        <v>291</v>
      </c>
      <c r="F36" s="16"/>
      <c r="G36" s="16">
        <f t="shared" ref="G36:J45" si="6">IF($F36=G$1,1,0)</f>
        <v>0</v>
      </c>
      <c r="H36" s="16">
        <f t="shared" si="6"/>
        <v>0</v>
      </c>
      <c r="I36" s="16">
        <f t="shared" si="6"/>
        <v>1</v>
      </c>
      <c r="J36" s="16">
        <f t="shared" si="6"/>
        <v>0</v>
      </c>
      <c r="K36" s="16">
        <f t="shared" si="5"/>
        <v>0</v>
      </c>
      <c r="L36" s="28"/>
    </row>
    <row r="37" spans="1:12" x14ac:dyDescent="0.25">
      <c r="A37" s="25">
        <f t="shared" si="4"/>
        <v>4.0006999999999984</v>
      </c>
      <c r="B37" s="46"/>
      <c r="C37" s="47" t="s">
        <v>260</v>
      </c>
      <c r="D37" s="46" t="s">
        <v>261</v>
      </c>
      <c r="E37" s="28"/>
      <c r="F37" s="16"/>
      <c r="G37" s="16">
        <f t="shared" si="6"/>
        <v>0</v>
      </c>
      <c r="H37" s="16">
        <f t="shared" si="6"/>
        <v>0</v>
      </c>
      <c r="I37" s="16">
        <f t="shared" si="6"/>
        <v>1</v>
      </c>
      <c r="J37" s="16">
        <f t="shared" si="6"/>
        <v>0</v>
      </c>
      <c r="K37" s="16">
        <f t="shared" si="5"/>
        <v>0</v>
      </c>
      <c r="L37" s="28"/>
    </row>
    <row r="38" spans="1:12" x14ac:dyDescent="0.25">
      <c r="A38" s="25">
        <f t="shared" si="4"/>
        <v>4.0007999999999981</v>
      </c>
      <c r="B38" s="46"/>
      <c r="C38" s="47" t="s">
        <v>262</v>
      </c>
      <c r="D38" s="46" t="s">
        <v>263</v>
      </c>
      <c r="E38" s="28"/>
      <c r="F38" s="16"/>
      <c r="G38" s="16">
        <f t="shared" si="6"/>
        <v>0</v>
      </c>
      <c r="H38" s="16">
        <f t="shared" si="6"/>
        <v>0</v>
      </c>
      <c r="I38" s="16">
        <f t="shared" si="6"/>
        <v>1</v>
      </c>
      <c r="J38" s="16">
        <f t="shared" si="6"/>
        <v>0</v>
      </c>
      <c r="K38" s="16">
        <f t="shared" si="5"/>
        <v>0</v>
      </c>
      <c r="L38" s="28"/>
    </row>
    <row r="39" spans="1:12" s="34" customFormat="1" x14ac:dyDescent="0.25">
      <c r="A39" s="35"/>
      <c r="B39" s="46"/>
      <c r="C39" s="47" t="s">
        <v>264</v>
      </c>
      <c r="D39" s="46" t="s">
        <v>265</v>
      </c>
      <c r="E39" s="31"/>
      <c r="F39" s="16"/>
      <c r="G39" s="16">
        <f t="shared" si="6"/>
        <v>0</v>
      </c>
      <c r="H39" s="16">
        <f t="shared" si="6"/>
        <v>0</v>
      </c>
      <c r="I39" s="16">
        <f t="shared" si="6"/>
        <v>1</v>
      </c>
      <c r="J39" s="16">
        <f t="shared" si="6"/>
        <v>0</v>
      </c>
      <c r="K39" s="16">
        <f t="shared" si="5"/>
        <v>0</v>
      </c>
      <c r="L39" s="31"/>
    </row>
    <row r="40" spans="1:12" x14ac:dyDescent="0.25">
      <c r="A40" s="25">
        <f>A38+0.0001</f>
        <v>4.0008999999999979</v>
      </c>
      <c r="B40" s="46"/>
      <c r="C40" s="47" t="s">
        <v>266</v>
      </c>
      <c r="D40" s="46" t="s">
        <v>267</v>
      </c>
      <c r="E40" s="26"/>
      <c r="F40" s="16"/>
      <c r="G40" s="16">
        <f t="shared" si="6"/>
        <v>0</v>
      </c>
      <c r="H40" s="16">
        <f t="shared" si="6"/>
        <v>0</v>
      </c>
      <c r="I40" s="16">
        <f t="shared" si="6"/>
        <v>1</v>
      </c>
      <c r="J40" s="16">
        <f t="shared" si="6"/>
        <v>0</v>
      </c>
      <c r="K40" s="16">
        <f t="shared" si="5"/>
        <v>0</v>
      </c>
      <c r="L40" s="28"/>
    </row>
    <row r="41" spans="1:12" x14ac:dyDescent="0.25">
      <c r="A41" s="25">
        <f>A40+0.0001</f>
        <v>4.0009999999999977</v>
      </c>
      <c r="B41" s="46"/>
      <c r="C41" s="47" t="s">
        <v>268</v>
      </c>
      <c r="D41" s="46" t="s">
        <v>269</v>
      </c>
      <c r="E41" s="26"/>
      <c r="F41" s="16"/>
      <c r="G41" s="16">
        <f t="shared" si="6"/>
        <v>0</v>
      </c>
      <c r="H41" s="16">
        <f t="shared" si="6"/>
        <v>0</v>
      </c>
      <c r="I41" s="16">
        <f t="shared" si="6"/>
        <v>1</v>
      </c>
      <c r="J41" s="16">
        <f t="shared" si="6"/>
        <v>0</v>
      </c>
      <c r="K41" s="16">
        <f t="shared" si="5"/>
        <v>0</v>
      </c>
      <c r="L41" s="28"/>
    </row>
    <row r="42" spans="1:12" x14ac:dyDescent="0.25">
      <c r="A42" s="25">
        <f>A41+0.0001</f>
        <v>4.0010999999999974</v>
      </c>
      <c r="B42" s="46"/>
      <c r="C42" s="47" t="s">
        <v>270</v>
      </c>
      <c r="D42" s="46" t="s">
        <v>271</v>
      </c>
      <c r="E42" s="28"/>
      <c r="F42" s="16"/>
      <c r="G42" s="16">
        <f t="shared" si="6"/>
        <v>0</v>
      </c>
      <c r="H42" s="16">
        <f t="shared" si="6"/>
        <v>0</v>
      </c>
      <c r="I42" s="16">
        <f t="shared" si="6"/>
        <v>1</v>
      </c>
      <c r="J42" s="16">
        <f t="shared" si="6"/>
        <v>0</v>
      </c>
      <c r="K42" s="16">
        <f t="shared" si="5"/>
        <v>0</v>
      </c>
      <c r="L42" s="28"/>
    </row>
    <row r="43" spans="1:12" x14ac:dyDescent="0.25">
      <c r="A43" s="25">
        <f t="shared" ref="A43:A47" si="7">A42+0.0001</f>
        <v>4.0011999999999972</v>
      </c>
      <c r="B43" s="46"/>
      <c r="C43" s="47" t="s">
        <v>272</v>
      </c>
      <c r="D43" s="46" t="s">
        <v>273</v>
      </c>
      <c r="E43" s="28"/>
      <c r="F43" s="16"/>
      <c r="G43" s="16">
        <f t="shared" si="6"/>
        <v>0</v>
      </c>
      <c r="H43" s="16">
        <f t="shared" si="6"/>
        <v>0</v>
      </c>
      <c r="I43" s="16">
        <f t="shared" si="6"/>
        <v>1</v>
      </c>
      <c r="J43" s="16">
        <f t="shared" si="6"/>
        <v>0</v>
      </c>
      <c r="K43" s="16">
        <f t="shared" si="5"/>
        <v>0</v>
      </c>
      <c r="L43" s="28"/>
    </row>
    <row r="44" spans="1:12" x14ac:dyDescent="0.25">
      <c r="A44" s="25">
        <f t="shared" si="7"/>
        <v>4.001299999999997</v>
      </c>
      <c r="B44" s="46"/>
      <c r="C44" s="47" t="s">
        <v>274</v>
      </c>
      <c r="D44" s="46" t="s">
        <v>275</v>
      </c>
      <c r="E44" s="28"/>
      <c r="F44" s="16"/>
      <c r="G44" s="16">
        <f t="shared" si="6"/>
        <v>0</v>
      </c>
      <c r="H44" s="16">
        <f t="shared" si="6"/>
        <v>0</v>
      </c>
      <c r="I44" s="16">
        <f t="shared" si="6"/>
        <v>1</v>
      </c>
      <c r="J44" s="16">
        <f t="shared" si="6"/>
        <v>0</v>
      </c>
      <c r="K44" s="16">
        <f t="shared" si="5"/>
        <v>0</v>
      </c>
      <c r="L44" s="28"/>
    </row>
    <row r="45" spans="1:12" x14ac:dyDescent="0.25">
      <c r="A45" s="25">
        <f t="shared" si="7"/>
        <v>4.0013999999999967</v>
      </c>
      <c r="B45" s="46"/>
      <c r="C45" s="47" t="s">
        <v>276</v>
      </c>
      <c r="D45" s="46" t="s">
        <v>277</v>
      </c>
      <c r="E45" s="28"/>
      <c r="F45" s="16"/>
      <c r="G45" s="16">
        <f t="shared" si="6"/>
        <v>0</v>
      </c>
      <c r="H45" s="16">
        <f t="shared" si="6"/>
        <v>0</v>
      </c>
      <c r="I45" s="16">
        <f t="shared" si="6"/>
        <v>1</v>
      </c>
      <c r="J45" s="16">
        <f t="shared" si="6"/>
        <v>0</v>
      </c>
      <c r="K45" s="16">
        <f t="shared" si="5"/>
        <v>0</v>
      </c>
      <c r="L45" s="28"/>
    </row>
    <row r="46" spans="1:12" x14ac:dyDescent="0.25">
      <c r="A46" s="25">
        <f t="shared" si="7"/>
        <v>4.0014999999999965</v>
      </c>
      <c r="B46" s="43"/>
      <c r="C46" s="44" t="s">
        <v>278</v>
      </c>
      <c r="D46" s="43"/>
      <c r="E46" s="28"/>
      <c r="F46" s="16"/>
      <c r="G46" s="16"/>
      <c r="H46" s="16"/>
      <c r="I46" s="16"/>
      <c r="J46" s="16"/>
      <c r="K46" s="16"/>
      <c r="L46" s="28"/>
    </row>
    <row r="47" spans="1:12" x14ac:dyDescent="0.25">
      <c r="A47" s="25">
        <f t="shared" si="7"/>
        <v>4.0015999999999963</v>
      </c>
      <c r="B47" s="46"/>
      <c r="C47" s="47" t="s">
        <v>279</v>
      </c>
      <c r="D47" s="46" t="s">
        <v>280</v>
      </c>
      <c r="E47" s="28"/>
      <c r="F47" s="16"/>
      <c r="G47" s="16">
        <f t="shared" ref="G47:K48" si="8">IF($F47=G$1,1,0)</f>
        <v>0</v>
      </c>
      <c r="H47" s="16">
        <f t="shared" si="8"/>
        <v>0</v>
      </c>
      <c r="I47" s="16">
        <f t="shared" si="8"/>
        <v>1</v>
      </c>
      <c r="J47" s="16">
        <f t="shared" si="8"/>
        <v>0</v>
      </c>
      <c r="K47" s="16">
        <f t="shared" si="8"/>
        <v>0</v>
      </c>
      <c r="L47" s="28"/>
    </row>
    <row r="48" spans="1:12" s="34" customFormat="1" x14ac:dyDescent="0.25">
      <c r="A48" s="35"/>
      <c r="B48" s="46"/>
      <c r="C48" s="47" t="s">
        <v>281</v>
      </c>
      <c r="D48" s="46" t="s">
        <v>282</v>
      </c>
      <c r="E48" s="31"/>
      <c r="F48" s="16"/>
      <c r="G48" s="16">
        <f t="shared" si="8"/>
        <v>0</v>
      </c>
      <c r="H48" s="16">
        <f t="shared" si="8"/>
        <v>0</v>
      </c>
      <c r="I48" s="16">
        <f t="shared" si="8"/>
        <v>1</v>
      </c>
      <c r="J48" s="16">
        <f t="shared" si="8"/>
        <v>0</v>
      </c>
      <c r="K48" s="16">
        <f t="shared" si="8"/>
        <v>0</v>
      </c>
      <c r="L48" s="31"/>
    </row>
    <row r="49" spans="1:12" x14ac:dyDescent="0.25">
      <c r="A49" s="25"/>
      <c r="E49" s="28"/>
      <c r="F49" s="16"/>
      <c r="G49" s="16"/>
      <c r="H49" s="16"/>
      <c r="I49" s="16"/>
      <c r="J49" s="16"/>
      <c r="K49" s="16"/>
      <c r="L49" s="28"/>
    </row>
    <row r="50" spans="1:12" ht="15.75" thickBot="1" x14ac:dyDescent="0.3">
      <c r="G50" s="2">
        <f>SUM(G2:G49)</f>
        <v>0</v>
      </c>
      <c r="H50" s="2">
        <f>SUM(H2:H49)</f>
        <v>0</v>
      </c>
      <c r="I50" s="2">
        <f>SUM(I2:I49)</f>
        <v>31</v>
      </c>
      <c r="J50" s="2">
        <f>SUM(J2:J49)</f>
        <v>2</v>
      </c>
      <c r="K50" s="2">
        <f>SUM(K2:K49)</f>
        <v>0</v>
      </c>
    </row>
    <row r="51" spans="1:12" ht="15.75" thickTop="1" x14ac:dyDescent="0.25"/>
    <row r="52" spans="1:12" x14ac:dyDescent="0.25">
      <c r="G52" s="16">
        <f t="shared" ref="G52:K52" si="9">IF($F52=G$1,1,0)</f>
        <v>0</v>
      </c>
      <c r="H52" s="16">
        <f t="shared" si="9"/>
        <v>0</v>
      </c>
      <c r="I52" s="16">
        <f t="shared" si="9"/>
        <v>1</v>
      </c>
      <c r="J52" s="16">
        <f t="shared" si="9"/>
        <v>0</v>
      </c>
      <c r="K52" s="16">
        <f t="shared" si="9"/>
        <v>0</v>
      </c>
    </row>
  </sheetData>
  <conditionalFormatting sqref="A9:A13 A17:A21 A2:A6 L10:L11 A23:A28 A50:A69 E2:L3 E50:K69 E16:E21 E9:E14 E4:E6 E8:F8 L8 E15:F15 L15 E41:E45 L41:L42 E39:F40 L39 E29:L29 E22:F28 L22 L32:L33 E30:E36 L30 E48 L48 G4:L6 E7:L7 G30:K49">
    <cfRule type="expression" dxfId="44" priority="264">
      <formula>$F2="Fail"</formula>
    </cfRule>
  </conditionalFormatting>
  <conditionalFormatting sqref="L16:L21">
    <cfRule type="expression" dxfId="43" priority="258">
      <formula>$F16="Fail"</formula>
    </cfRule>
  </conditionalFormatting>
  <conditionalFormatting sqref="F6">
    <cfRule type="expression" dxfId="42" priority="262">
      <formula>$F6="Fail"</formula>
    </cfRule>
  </conditionalFormatting>
  <conditionalFormatting sqref="L50:L69">
    <cfRule type="expression" dxfId="41" priority="261">
      <formula>$F50="Fail"</formula>
    </cfRule>
  </conditionalFormatting>
  <conditionalFormatting sqref="A8">
    <cfRule type="expression" dxfId="40" priority="249">
      <formula>$F8="Fail"</formula>
    </cfRule>
  </conditionalFormatting>
  <conditionalFormatting sqref="L23:L28">
    <cfRule type="expression" dxfId="39" priority="260">
      <formula>$F23="Fail"</formula>
    </cfRule>
  </conditionalFormatting>
  <conditionalFormatting sqref="L12:L14">
    <cfRule type="expression" dxfId="38" priority="259">
      <formula>$F12="Fail"</formula>
    </cfRule>
  </conditionalFormatting>
  <conditionalFormatting sqref="L9">
    <cfRule type="expression" dxfId="37" priority="257">
      <formula>$F9="Fail"</formula>
    </cfRule>
  </conditionalFormatting>
  <conditionalFormatting sqref="A7">
    <cfRule type="expression" dxfId="36" priority="256">
      <formula>$F7="Fail"</formula>
    </cfRule>
  </conditionalFormatting>
  <conditionalFormatting sqref="A15">
    <cfRule type="expression" dxfId="35" priority="255">
      <formula>$F15="Fail"</formula>
    </cfRule>
  </conditionalFormatting>
  <conditionalFormatting sqref="A40:A47">
    <cfRule type="expression" dxfId="34" priority="223">
      <formula>$F40="Fail"</formula>
    </cfRule>
  </conditionalFormatting>
  <conditionalFormatting sqref="A39">
    <cfRule type="expression" dxfId="33" priority="239">
      <formula>$F39="Fail"</formula>
    </cfRule>
  </conditionalFormatting>
  <conditionalFormatting sqref="A14">
    <cfRule type="expression" dxfId="32" priority="253">
      <formula>$F14="Fail"</formula>
    </cfRule>
  </conditionalFormatting>
  <conditionalFormatting sqref="A16">
    <cfRule type="expression" dxfId="31" priority="252">
      <formula>$F16="Fail"</formula>
    </cfRule>
  </conditionalFormatting>
  <conditionalFormatting sqref="A29">
    <cfRule type="expression" dxfId="30" priority="245">
      <formula>$F29="Fail"</formula>
    </cfRule>
  </conditionalFormatting>
  <conditionalFormatting sqref="A22">
    <cfRule type="expression" dxfId="29" priority="247">
      <formula>$F22="Fail"</formula>
    </cfRule>
  </conditionalFormatting>
  <conditionalFormatting sqref="L37">
    <cfRule type="expression" dxfId="28" priority="228">
      <formula>$F37="Fail"</formula>
    </cfRule>
  </conditionalFormatting>
  <conditionalFormatting sqref="A31:A38">
    <cfRule type="expression" dxfId="27" priority="243">
      <formula>$F31="Fail"</formula>
    </cfRule>
  </conditionalFormatting>
  <conditionalFormatting sqref="L34:L36">
    <cfRule type="expression" dxfId="26" priority="241">
      <formula>$F34="Fail"</formula>
    </cfRule>
  </conditionalFormatting>
  <conditionalFormatting sqref="E38">
    <cfRule type="expression" dxfId="25" priority="232">
      <formula>$F38="Fail"</formula>
    </cfRule>
  </conditionalFormatting>
  <conditionalFormatting sqref="L31">
    <cfRule type="expression" dxfId="24" priority="240">
      <formula>$F31="Fail"</formula>
    </cfRule>
  </conditionalFormatting>
  <conditionalFormatting sqref="E47">
    <cfRule type="expression" dxfId="23" priority="219">
      <formula>$F47="Fail"</formula>
    </cfRule>
  </conditionalFormatting>
  <conditionalFormatting sqref="A30">
    <cfRule type="expression" dxfId="22" priority="236">
      <formula>$F30="Fail"</formula>
    </cfRule>
  </conditionalFormatting>
  <conditionalFormatting sqref="L46">
    <cfRule type="expression" dxfId="21" priority="215">
      <formula>$F46="Fail"</formula>
    </cfRule>
  </conditionalFormatting>
  <conditionalFormatting sqref="A48">
    <cfRule type="expression" dxfId="20" priority="234">
      <formula>$F48="Fail"</formula>
    </cfRule>
  </conditionalFormatting>
  <conditionalFormatting sqref="E37">
    <cfRule type="expression" dxfId="19" priority="229">
      <formula>$F37="Fail"</formula>
    </cfRule>
  </conditionalFormatting>
  <conditionalFormatting sqref="L38">
    <cfRule type="expression" dxfId="18" priority="231">
      <formula>$F38="Fail"</formula>
    </cfRule>
  </conditionalFormatting>
  <conditionalFormatting sqref="L43:L45">
    <cfRule type="expression" dxfId="17" priority="222">
      <formula>$F43="Fail"</formula>
    </cfRule>
  </conditionalFormatting>
  <conditionalFormatting sqref="E46">
    <cfRule type="expression" dxfId="16" priority="216">
      <formula>$F46="Fail"</formula>
    </cfRule>
  </conditionalFormatting>
  <conditionalFormatting sqref="L40">
    <cfRule type="expression" dxfId="15" priority="221">
      <formula>$F40="Fail"</formula>
    </cfRule>
  </conditionalFormatting>
  <conditionalFormatting sqref="L47">
    <cfRule type="expression" dxfId="14" priority="218">
      <formula>$F47="Fail"</formula>
    </cfRule>
  </conditionalFormatting>
  <conditionalFormatting sqref="E49:F49">
    <cfRule type="expression" dxfId="13" priority="57">
      <formula>$F49="Fail"</formula>
    </cfRule>
  </conditionalFormatting>
  <conditionalFormatting sqref="G8:K9">
    <cfRule type="expression" dxfId="12" priority="48">
      <formula>$F8="Fail"</formula>
    </cfRule>
  </conditionalFormatting>
  <conditionalFormatting sqref="G10:K28">
    <cfRule type="expression" dxfId="11" priority="47">
      <formula>$F10="Fail"</formula>
    </cfRule>
  </conditionalFormatting>
  <conditionalFormatting sqref="A49">
    <cfRule type="expression" dxfId="10" priority="53">
      <formula>$F49="Fail"</formula>
    </cfRule>
  </conditionalFormatting>
  <conditionalFormatting sqref="L49">
    <cfRule type="expression" dxfId="9" priority="56">
      <formula>$F49="Fail"</formula>
    </cfRule>
  </conditionalFormatting>
  <conditionalFormatting sqref="F9:F14">
    <cfRule type="expression" dxfId="8" priority="38">
      <formula>$F9="Fail"</formula>
    </cfRule>
  </conditionalFormatting>
  <conditionalFormatting sqref="F30:F45">
    <cfRule type="expression" dxfId="7" priority="37">
      <formula>$F30="Fail"</formula>
    </cfRule>
  </conditionalFormatting>
  <conditionalFormatting sqref="F37:F38">
    <cfRule type="expression" dxfId="6" priority="36">
      <formula>$F37="Fail"</formula>
    </cfRule>
  </conditionalFormatting>
  <conditionalFormatting sqref="F41:F45">
    <cfRule type="expression" dxfId="5" priority="34">
      <formula>$F41="Fail"</formula>
    </cfRule>
  </conditionalFormatting>
  <conditionalFormatting sqref="F16:F21">
    <cfRule type="expression" dxfId="4" priority="12">
      <formula>$F16="Fail"</formula>
    </cfRule>
  </conditionalFormatting>
  <conditionalFormatting sqref="F46">
    <cfRule type="expression" dxfId="3" priority="11">
      <formula>$F46="Fail"</formula>
    </cfRule>
  </conditionalFormatting>
  <conditionalFormatting sqref="B2:D48">
    <cfRule type="expression" dxfId="2" priority="7">
      <formula>#REF!="Fail"</formula>
    </cfRule>
  </conditionalFormatting>
  <conditionalFormatting sqref="F4:F5">
    <cfRule type="expression" dxfId="1" priority="6">
      <formula>$F4="Fail"</formula>
    </cfRule>
  </conditionalFormatting>
  <conditionalFormatting sqref="F47:F48">
    <cfRule type="expression" dxfId="0" priority="1">
      <formula>$F47="Fail"</formula>
    </cfRule>
  </conditionalFormatting>
  <dataValidations disablePrompts="1" count="1">
    <dataValidation type="list" allowBlank="1" showInputMessage="1" showErrorMessage="1" sqref="F2:F49">
      <formula1>$G$1:$K$1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RFA</vt:lpstr>
      <vt:lpstr>SCI</vt:lpstr>
      <vt:lpstr>Transaction list 2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Riefat Dollie (SEB)</cp:lastModifiedBy>
  <cp:lastPrinted>2014-10-15T08:03:49Z</cp:lastPrinted>
  <dcterms:created xsi:type="dcterms:W3CDTF">2014-07-31T09:50:05Z</dcterms:created>
  <dcterms:modified xsi:type="dcterms:W3CDTF">2014-12-05T07:40:06Z</dcterms:modified>
</cp:coreProperties>
</file>