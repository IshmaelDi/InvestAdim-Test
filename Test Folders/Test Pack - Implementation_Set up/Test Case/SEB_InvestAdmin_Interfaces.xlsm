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13.xml" ContentType="application/vnd.ms-excel.controlproperties+xml"/>
  <Override PartName="/xl/drawings/drawing8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trlProps/ctrlProp14.xml" ContentType="application/vnd.ms-excel.controlproperties+xml"/>
  <Override PartName="/xl/drawings/drawing9.xml" ContentType="application/vnd.openxmlformats-officedocument.drawing+xml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989124\Desktop\Test Documents\Test Cases\Test Cases\"/>
    </mc:Choice>
  </mc:AlternateContent>
  <bookViews>
    <workbookView xWindow="120" yWindow="105" windowWidth="20370" windowHeight="8625" firstSheet="5" activeTab="8"/>
  </bookViews>
  <sheets>
    <sheet name="Summary" sheetId="3" r:id="rId1"/>
    <sheet name="CURO Process" sheetId="10" r:id="rId2"/>
    <sheet name="Audit" sheetId="4" r:id="rId3"/>
    <sheet name="Multidata" sheetId="7" r:id="rId4"/>
    <sheet name="Automated Instructions Process" sheetId="11" r:id="rId5"/>
    <sheet name="Walker" sheetId="9" r:id="rId6"/>
    <sheet name="FDM Interface" sheetId="12" r:id="rId7"/>
    <sheet name="SIM Interface" sheetId="13" r:id="rId8"/>
    <sheet name="Accounting Interface" sheetId="14" r:id="rId9"/>
  </sheets>
  <calcPr calcId="162913"/>
</workbook>
</file>

<file path=xl/calcChain.xml><?xml version="1.0" encoding="utf-8"?>
<calcChain xmlns="http://schemas.openxmlformats.org/spreadsheetml/2006/main">
  <c r="G4" i="3" l="1"/>
  <c r="C4" i="3"/>
  <c r="L12" i="14"/>
  <c r="K12" i="14"/>
  <c r="J12" i="14"/>
  <c r="I12" i="14"/>
  <c r="H12" i="14"/>
  <c r="L10" i="14"/>
  <c r="K8" i="14"/>
  <c r="J8" i="14"/>
  <c r="I8" i="14"/>
  <c r="K7" i="14"/>
  <c r="J7" i="14"/>
  <c r="I7" i="14"/>
  <c r="K6" i="14"/>
  <c r="J6" i="14"/>
  <c r="I6" i="14"/>
  <c r="K5" i="14"/>
  <c r="J5" i="14"/>
  <c r="J10" i="14" s="1"/>
  <c r="E4" i="3" s="1"/>
  <c r="I5" i="14"/>
  <c r="K4" i="14"/>
  <c r="J4" i="14"/>
  <c r="I4" i="14"/>
  <c r="A4" i="14"/>
  <c r="A5" i="14" s="1"/>
  <c r="A6" i="14" s="1"/>
  <c r="A7" i="14" s="1"/>
  <c r="A8" i="14" s="1"/>
  <c r="A9" i="14" s="1"/>
  <c r="K3" i="14"/>
  <c r="J3" i="14"/>
  <c r="I3" i="14"/>
  <c r="I10" i="14" s="1"/>
  <c r="D4" i="3" s="1"/>
  <c r="H10" i="14"/>
  <c r="H4" i="3" l="1"/>
  <c r="K10" i="14"/>
  <c r="F4" i="3" s="1"/>
  <c r="K8" i="7"/>
  <c r="J8" i="7"/>
  <c r="I8" i="7"/>
  <c r="H8" i="7"/>
  <c r="K7" i="7"/>
  <c r="J7" i="7"/>
  <c r="I7" i="7"/>
  <c r="H7" i="7"/>
  <c r="K6" i="7"/>
  <c r="J6" i="7"/>
  <c r="I6" i="7"/>
  <c r="H6" i="7"/>
  <c r="K5" i="7"/>
  <c r="J5" i="7"/>
  <c r="I5" i="7"/>
  <c r="H5" i="7"/>
  <c r="K3" i="7"/>
  <c r="J3" i="7"/>
  <c r="I3" i="7"/>
  <c r="H3" i="7"/>
  <c r="L7" i="9" l="1"/>
  <c r="K7" i="9"/>
  <c r="J7" i="9"/>
  <c r="I7" i="9"/>
  <c r="H7" i="9"/>
  <c r="L6" i="9"/>
  <c r="K6" i="9"/>
  <c r="J6" i="9"/>
  <c r="I6" i="9"/>
  <c r="H6" i="9"/>
  <c r="K9" i="13" l="1"/>
  <c r="J9" i="13"/>
  <c r="I9" i="13"/>
  <c r="H9" i="13"/>
  <c r="L13" i="13"/>
  <c r="K13" i="13"/>
  <c r="J13" i="13"/>
  <c r="I13" i="13"/>
  <c r="H13" i="13"/>
  <c r="L11" i="13"/>
  <c r="G6" i="3" s="1"/>
  <c r="K8" i="13"/>
  <c r="J8" i="13"/>
  <c r="I8" i="13"/>
  <c r="H8" i="13"/>
  <c r="K7" i="13"/>
  <c r="J7" i="13"/>
  <c r="I7" i="13"/>
  <c r="H7" i="13"/>
  <c r="K6" i="13"/>
  <c r="J6" i="13"/>
  <c r="I6" i="13"/>
  <c r="H6" i="13"/>
  <c r="K5" i="13"/>
  <c r="J5" i="13"/>
  <c r="I5" i="13"/>
  <c r="H5" i="13"/>
  <c r="K4" i="13"/>
  <c r="J4" i="13"/>
  <c r="I4" i="13"/>
  <c r="H4" i="13"/>
  <c r="A4" i="13"/>
  <c r="A5" i="13" s="1"/>
  <c r="A6" i="13" s="1"/>
  <c r="A7" i="13" s="1"/>
  <c r="A8" i="13" s="1"/>
  <c r="A10" i="13" s="1"/>
  <c r="K3" i="13"/>
  <c r="J3" i="13"/>
  <c r="I3" i="13"/>
  <c r="H3" i="13"/>
  <c r="K8" i="12"/>
  <c r="J8" i="12"/>
  <c r="I8" i="12"/>
  <c r="K7" i="12"/>
  <c r="J7" i="12"/>
  <c r="I7" i="12"/>
  <c r="K6" i="12"/>
  <c r="J6" i="12"/>
  <c r="I6" i="12"/>
  <c r="K5" i="12"/>
  <c r="J5" i="12"/>
  <c r="I5" i="12"/>
  <c r="L12" i="12"/>
  <c r="K12" i="12"/>
  <c r="J12" i="12"/>
  <c r="I12" i="12"/>
  <c r="H12" i="12"/>
  <c r="L10" i="12"/>
  <c r="K4" i="12"/>
  <c r="J4" i="12"/>
  <c r="I4" i="12"/>
  <c r="A4" i="12"/>
  <c r="A5" i="12" s="1"/>
  <c r="A6" i="12" s="1"/>
  <c r="A7" i="12" s="1"/>
  <c r="A8" i="12" s="1"/>
  <c r="A9" i="12" s="1"/>
  <c r="J10" i="12" l="1"/>
  <c r="I10" i="12"/>
  <c r="D7" i="3" s="1"/>
  <c r="K11" i="13"/>
  <c r="F6" i="3" s="1"/>
  <c r="H11" i="13"/>
  <c r="C6" i="3" s="1"/>
  <c r="I11" i="13"/>
  <c r="D6" i="3" s="1"/>
  <c r="J11" i="13"/>
  <c r="E6" i="3" s="1"/>
  <c r="H10" i="12"/>
  <c r="C7" i="3" s="1"/>
  <c r="K10" i="12"/>
  <c r="G7" i="3" s="1"/>
  <c r="L20" i="11"/>
  <c r="K20" i="11"/>
  <c r="J20" i="11"/>
  <c r="I20" i="11"/>
  <c r="H20" i="11"/>
  <c r="L19" i="11"/>
  <c r="K19" i="11"/>
  <c r="J19" i="11"/>
  <c r="I19" i="11"/>
  <c r="H19" i="11"/>
  <c r="L17" i="11"/>
  <c r="K17" i="11"/>
  <c r="J17" i="11"/>
  <c r="I17" i="11"/>
  <c r="H17" i="11"/>
  <c r="L15" i="11"/>
  <c r="K15" i="11"/>
  <c r="J15" i="11"/>
  <c r="I15" i="11"/>
  <c r="H15" i="11"/>
  <c r="L13" i="11"/>
  <c r="K13" i="11"/>
  <c r="J13" i="11"/>
  <c r="I13" i="11"/>
  <c r="H13" i="11"/>
  <c r="L11" i="11"/>
  <c r="K11" i="11"/>
  <c r="J11" i="11"/>
  <c r="I11" i="11"/>
  <c r="H11" i="11"/>
  <c r="A10" i="11"/>
  <c r="A11" i="11" s="1"/>
  <c r="L8" i="11"/>
  <c r="K8" i="11"/>
  <c r="J8" i="11"/>
  <c r="I8" i="11"/>
  <c r="H8" i="11"/>
  <c r="L7" i="11"/>
  <c r="K7" i="11"/>
  <c r="J7" i="11"/>
  <c r="I7" i="11"/>
  <c r="H7" i="11"/>
  <c r="L6" i="11"/>
  <c r="K6" i="11"/>
  <c r="J6" i="11"/>
  <c r="I6" i="11"/>
  <c r="H6" i="11"/>
  <c r="L5" i="11"/>
  <c r="K5" i="11"/>
  <c r="J5" i="11"/>
  <c r="I5" i="11"/>
  <c r="H5" i="11"/>
  <c r="L4" i="11"/>
  <c r="K4" i="11"/>
  <c r="J4" i="11"/>
  <c r="I4" i="11"/>
  <c r="H4" i="11"/>
  <c r="A4" i="11"/>
  <c r="A5" i="11" s="1"/>
  <c r="A6" i="11" s="1"/>
  <c r="A7" i="11" s="1"/>
  <c r="A8" i="11" s="1"/>
  <c r="K29" i="10"/>
  <c r="J29" i="10"/>
  <c r="I29" i="10"/>
  <c r="H29" i="10"/>
  <c r="G29" i="10"/>
  <c r="K27" i="10"/>
  <c r="G3" i="3" s="1"/>
  <c r="A26" i="10"/>
  <c r="J21" i="10"/>
  <c r="I21" i="10"/>
  <c r="H21" i="10"/>
  <c r="G21" i="10"/>
  <c r="J18" i="10"/>
  <c r="I18" i="10"/>
  <c r="H18" i="10"/>
  <c r="G18" i="10"/>
  <c r="J17" i="10"/>
  <c r="I17" i="10"/>
  <c r="H17" i="10"/>
  <c r="G17" i="10"/>
  <c r="J11" i="10"/>
  <c r="I11" i="10"/>
  <c r="H11" i="10"/>
  <c r="G11" i="10"/>
  <c r="J10" i="10"/>
  <c r="I10" i="10"/>
  <c r="H10" i="10"/>
  <c r="G10" i="10"/>
  <c r="A10" i="10"/>
  <c r="A11" i="10" s="1"/>
  <c r="J4" i="10"/>
  <c r="I4" i="10"/>
  <c r="H4" i="10"/>
  <c r="G4" i="10"/>
  <c r="A4" i="10"/>
  <c r="A5" i="10" s="1"/>
  <c r="A6" i="10" s="1"/>
  <c r="A7" i="10" s="1"/>
  <c r="A8" i="10" s="1"/>
  <c r="J3" i="10"/>
  <c r="I3" i="10"/>
  <c r="H3" i="10"/>
  <c r="G3" i="10"/>
  <c r="H55" i="11" l="1"/>
  <c r="C9" i="3" s="1"/>
  <c r="L55" i="11"/>
  <c r="G9" i="3" s="1"/>
  <c r="F7" i="3"/>
  <c r="E7" i="3"/>
  <c r="I55" i="11"/>
  <c r="D9" i="3" s="1"/>
  <c r="J55" i="11"/>
  <c r="E9" i="3" s="1"/>
  <c r="K55" i="11"/>
  <c r="F9" i="3" s="1"/>
  <c r="I27" i="10"/>
  <c r="E3" i="3" s="1"/>
  <c r="H27" i="10"/>
  <c r="D3" i="3" s="1"/>
  <c r="J27" i="10"/>
  <c r="F3" i="3" s="1"/>
  <c r="G27" i="10"/>
  <c r="C3" i="3" s="1"/>
  <c r="A12" i="11"/>
  <c r="A13" i="11"/>
  <c r="A14" i="1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13" i="10"/>
  <c r="A14" i="10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12" i="10"/>
  <c r="L62" i="9"/>
  <c r="K62" i="9"/>
  <c r="J62" i="9"/>
  <c r="I62" i="9"/>
  <c r="L59" i="9"/>
  <c r="K59" i="9"/>
  <c r="J59" i="9"/>
  <c r="I59" i="9"/>
  <c r="H62" i="9"/>
  <c r="H59" i="9"/>
  <c r="I56" i="9"/>
  <c r="J56" i="9"/>
  <c r="K56" i="9"/>
  <c r="L56" i="9"/>
  <c r="I53" i="9"/>
  <c r="J53" i="9"/>
  <c r="K53" i="9"/>
  <c r="L53" i="9"/>
  <c r="H53" i="9"/>
  <c r="H56" i="9"/>
  <c r="L50" i="9"/>
  <c r="K50" i="9"/>
  <c r="J50" i="9"/>
  <c r="I50" i="9"/>
  <c r="H50" i="9"/>
  <c r="A50" i="9"/>
  <c r="A53" i="9" s="1"/>
  <c r="A56" i="9" s="1"/>
  <c r="A59" i="9" s="1"/>
  <c r="L45" i="9"/>
  <c r="K45" i="9"/>
  <c r="J45" i="9"/>
  <c r="I45" i="9"/>
  <c r="L42" i="9"/>
  <c r="K42" i="9"/>
  <c r="J42" i="9"/>
  <c r="I42" i="9"/>
  <c r="L37" i="9"/>
  <c r="K37" i="9"/>
  <c r="J37" i="9"/>
  <c r="I37" i="9"/>
  <c r="L32" i="9"/>
  <c r="K32" i="9"/>
  <c r="J32" i="9"/>
  <c r="I32" i="9"/>
  <c r="L27" i="9"/>
  <c r="K27" i="9"/>
  <c r="J27" i="9"/>
  <c r="I27" i="9"/>
  <c r="L22" i="9"/>
  <c r="K22" i="9"/>
  <c r="J22" i="9"/>
  <c r="I22" i="9"/>
  <c r="L20" i="9"/>
  <c r="K20" i="9"/>
  <c r="J20" i="9"/>
  <c r="I20" i="9"/>
  <c r="L14" i="9"/>
  <c r="K14" i="9"/>
  <c r="J14" i="9"/>
  <c r="I14" i="9"/>
  <c r="H48" i="9"/>
  <c r="H45" i="9"/>
  <c r="H42" i="9"/>
  <c r="H37" i="9"/>
  <c r="H32" i="9"/>
  <c r="H27" i="9"/>
  <c r="H22" i="9"/>
  <c r="H20" i="9"/>
  <c r="H14" i="9"/>
  <c r="H13" i="9"/>
  <c r="H12" i="9"/>
  <c r="J48" i="9"/>
  <c r="J13" i="9"/>
  <c r="J12" i="9"/>
  <c r="L13" i="9"/>
  <c r="K13" i="9"/>
  <c r="I13" i="9"/>
  <c r="L12" i="9"/>
  <c r="K12" i="9"/>
  <c r="I12" i="9"/>
  <c r="A12" i="9"/>
  <c r="A13" i="9" s="1"/>
  <c r="A14" i="9" s="1"/>
  <c r="A20" i="9" s="1"/>
  <c r="A22" i="9" s="1"/>
  <c r="A27" i="9" s="1"/>
  <c r="A32" i="9" s="1"/>
  <c r="A37" i="9" s="1"/>
  <c r="A42" i="9" s="1"/>
  <c r="A45" i="9" s="1"/>
  <c r="A48" i="9" s="1"/>
  <c r="A62" i="9" l="1"/>
  <c r="A65" i="9"/>
  <c r="A72" i="9" s="1"/>
  <c r="A73" i="9" s="1"/>
  <c r="A74" i="9" s="1"/>
  <c r="A75" i="9" s="1"/>
  <c r="A76" i="9" s="1"/>
  <c r="A79" i="9" s="1"/>
  <c r="A82" i="9" s="1"/>
  <c r="A85" i="9" s="1"/>
  <c r="A90" i="9" s="1"/>
  <c r="A93" i="9" s="1"/>
  <c r="A100" i="9" s="1"/>
  <c r="A101" i="9" s="1"/>
  <c r="A105" i="9" s="1"/>
  <c r="A106" i="9" s="1"/>
  <c r="L10" i="9"/>
  <c r="K10" i="9"/>
  <c r="J10" i="9"/>
  <c r="I10" i="9"/>
  <c r="H10" i="9"/>
  <c r="L9" i="9"/>
  <c r="K9" i="9"/>
  <c r="J9" i="9"/>
  <c r="I9" i="9"/>
  <c r="H9" i="9"/>
  <c r="L8" i="9"/>
  <c r="K8" i="9"/>
  <c r="J8" i="9"/>
  <c r="I8" i="9"/>
  <c r="H8" i="9"/>
  <c r="L5" i="9"/>
  <c r="K5" i="9"/>
  <c r="J5" i="9"/>
  <c r="I5" i="9"/>
  <c r="H5" i="9"/>
  <c r="L3" i="9"/>
  <c r="K3" i="9"/>
  <c r="J3" i="9"/>
  <c r="I3" i="9"/>
  <c r="H3" i="9"/>
  <c r="L8" i="7"/>
  <c r="L7" i="7"/>
  <c r="L6" i="7"/>
  <c r="L5" i="7"/>
  <c r="L3" i="7"/>
  <c r="G57" i="4"/>
  <c r="H57" i="4"/>
  <c r="I57" i="4"/>
  <c r="J57" i="4"/>
  <c r="K57" i="4"/>
  <c r="A5" i="9"/>
  <c r="A8" i="9" s="1"/>
  <c r="A9" i="9" s="1"/>
  <c r="A10" i="9" s="1"/>
  <c r="H107" i="9" l="1"/>
  <c r="C10" i="3" s="1"/>
  <c r="L107" i="9"/>
  <c r="J107" i="9"/>
  <c r="K107" i="9"/>
  <c r="I107" i="9"/>
  <c r="G10" i="3" l="1"/>
  <c r="F10" i="3"/>
  <c r="E10" i="3"/>
  <c r="D10" i="3"/>
  <c r="L9" i="7"/>
  <c r="G8" i="3" s="1"/>
  <c r="K9" i="7"/>
  <c r="F8" i="3" s="1"/>
  <c r="J9" i="7"/>
  <c r="E8" i="3" s="1"/>
  <c r="I9" i="7"/>
  <c r="D8" i="3" s="1"/>
  <c r="H9" i="7"/>
  <c r="C8" i="3" s="1"/>
  <c r="A5" i="7"/>
  <c r="A6" i="7" s="1"/>
  <c r="H9" i="3"/>
  <c r="H8" i="3" l="1"/>
  <c r="A7" i="7"/>
  <c r="A8" i="7"/>
  <c r="H10" i="3"/>
  <c r="K55" i="4"/>
  <c r="G5" i="3" s="1"/>
  <c r="J55" i="4"/>
  <c r="F5" i="3" s="1"/>
  <c r="I55" i="4"/>
  <c r="E5" i="3" s="1"/>
  <c r="H55" i="4"/>
  <c r="D5" i="3" s="1"/>
  <c r="G55" i="4"/>
  <c r="C5" i="3" s="1"/>
  <c r="A10" i="4"/>
  <c r="A11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4" i="4"/>
  <c r="A5" i="4" s="1"/>
  <c r="A6" i="4" s="1"/>
  <c r="A7" i="4" s="1"/>
  <c r="A8" i="4" s="1"/>
  <c r="H6" i="3" l="1"/>
  <c r="H7" i="3"/>
  <c r="H5" i="3"/>
  <c r="A13" i="4"/>
  <c r="A12" i="4"/>
  <c r="H3" i="3" l="1"/>
</calcChain>
</file>

<file path=xl/sharedStrings.xml><?xml version="1.0" encoding="utf-8"?>
<sst xmlns="http://schemas.openxmlformats.org/spreadsheetml/2006/main" count="383" uniqueCount="227">
  <si>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</si>
  <si>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</si>
  <si>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</si>
  <si>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</si>
  <si>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</si>
  <si>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</si>
  <si>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</si>
  <si>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</si>
  <si>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</si>
  <si>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</si>
  <si>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</si>
  <si>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</si>
  <si>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</si>
  <si>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CURO</t>
  </si>
  <si>
    <t>Audit</t>
  </si>
  <si>
    <t>SIM</t>
  </si>
  <si>
    <t>FDM</t>
  </si>
  <si>
    <t>Multi Data</t>
  </si>
  <si>
    <t xml:space="preserve">Disinvestments </t>
  </si>
  <si>
    <t>Ensure Multidata file is created</t>
  </si>
  <si>
    <t>Path to be supplied where file is created</t>
  </si>
  <si>
    <t>Validation of File format</t>
  </si>
  <si>
    <t>As per required specification</t>
  </si>
  <si>
    <t>Ensure that file upload was successful</t>
  </si>
  <si>
    <t xml:space="preserve">Job was successful / Report  </t>
  </si>
  <si>
    <t>Unsuccessful upload of file</t>
  </si>
  <si>
    <t xml:space="preserve">Job was unsuccessful / Report  </t>
  </si>
  <si>
    <t>Errors on File</t>
  </si>
  <si>
    <t>Error Report generated</t>
  </si>
  <si>
    <t>Multidata File Specification / Layout</t>
  </si>
  <si>
    <t>Walker File Specification / Layout</t>
  </si>
  <si>
    <t>Ensure Walker file is created</t>
  </si>
  <si>
    <t>Walker File Job</t>
  </si>
  <si>
    <t>Walker</t>
  </si>
  <si>
    <t>Parameter Identification</t>
  </si>
  <si>
    <t>Cost Centre</t>
  </si>
  <si>
    <t>Record Type</t>
  </si>
  <si>
    <t>Record Version</t>
  </si>
  <si>
    <t>Forced Indicator</t>
  </si>
  <si>
    <t>Contra Indicator</t>
  </si>
  <si>
    <t>Tabulation Indicator</t>
  </si>
  <si>
    <t>Posting Indicator</t>
  </si>
  <si>
    <t>JDL</t>
  </si>
  <si>
    <t>Filler</t>
  </si>
  <si>
    <t>End of Line</t>
  </si>
  <si>
    <t>This indicates the start of a new group of journals eg. GRP01. (5)</t>
  </si>
  <si>
    <t>Cost centre that will be used to populate a Group number for this group of journals. (6)</t>
  </si>
  <si>
    <t>Options:</t>
  </si>
  <si>
    <t>·          P = Normal GL Journals</t>
  </si>
  <si>
    <t>·          S = Loading Statistics</t>
  </si>
  <si>
    <t>·          B = Loading Budget</t>
  </si>
  <si>
    <t>Default</t>
  </si>
  <si>
    <t xml:space="preserve">        P = Normal GL Journals (1)</t>
  </si>
  <si>
    <t xml:space="preserve">Version type for the record being processed. </t>
  </si>
  <si>
    <t>Forced indicator only used at the close of a financial year.</t>
  </si>
  <si>
    <t>Format = FJJMM (JJ = Year, MM = Month)</t>
  </si>
  <si>
    <t xml:space="preserve">Default </t>
  </si>
  <si>
    <t>·         Blank Space (5)</t>
  </si>
  <si>
    <t>Only used for the reversal of incorrect / erroneous batches</t>
  </si>
  <si>
    <t>·      value is X for reversal (ie. no changing of sign on journals necessary)</t>
  </si>
  <si>
    <t>·      Blank Space (1)</t>
  </si>
  <si>
    <t>Indications tabulation of response file.</t>
  </si>
  <si>
    <t>·          F = Errors Only</t>
  </si>
  <si>
    <t>·          F = Errors Only (1)</t>
  </si>
  <si>
    <t>·          N = Edit Only, NOT Post</t>
  </si>
  <si>
    <t>·          Blank Space (1)</t>
  </si>
  <si>
    <t>Sending instruction.</t>
  </si>
  <si>
    <t>·          Blank Space (6)</t>
  </si>
  <si>
    <t>Filler only.</t>
  </si>
  <si>
    <r>
      <t xml:space="preserve">Default  </t>
    </r>
    <r>
      <rPr>
        <sz val="9"/>
        <rFont val="Verdana"/>
        <family val="2"/>
      </rPr>
      <t>00 = Normal Journal (2)</t>
    </r>
  </si>
  <si>
    <r>
      <t xml:space="preserve">·         </t>
    </r>
    <r>
      <rPr>
        <b/>
        <sz val="9"/>
        <rFont val="Verdana"/>
        <family val="2"/>
      </rPr>
      <t>GB: This can be used during forced period each month</t>
    </r>
  </si>
  <si>
    <t>Walker File Layout</t>
  </si>
  <si>
    <t>Journal Number</t>
  </si>
  <si>
    <t>Journal specifications.</t>
  </si>
  <si>
    <t>·          In a GRP01 group, the journal number should be unique.</t>
  </si>
  <si>
    <r>
      <t xml:space="preserve">·          Journal entries are bound by this number ie.  these entries should accumulate to zero eg. </t>
    </r>
    <r>
      <rPr>
        <b/>
        <sz val="9"/>
        <rFont val="Verdana"/>
        <family val="2"/>
      </rPr>
      <t>994240000001</t>
    </r>
  </si>
  <si>
    <t>Journal Number – Program Indicator</t>
  </si>
  <si>
    <t>Program indicator</t>
  </si>
  <si>
    <r>
      <t xml:space="preserve">·           </t>
    </r>
    <r>
      <rPr>
        <b/>
        <sz val="9"/>
        <rFont val="Verdana"/>
        <family val="2"/>
      </rPr>
      <t>99</t>
    </r>
  </si>
  <si>
    <t>Journal Number – Program Reference</t>
  </si>
  <si>
    <t>Program reference.</t>
  </si>
  <si>
    <r>
      <t xml:space="preserve"> </t>
    </r>
    <r>
      <rPr>
        <b/>
        <sz val="9"/>
        <rFont val="Verdana"/>
        <family val="2"/>
      </rPr>
      <t>Default</t>
    </r>
  </si>
  <si>
    <t>·           101</t>
  </si>
  <si>
    <t>Journal Number – Journal Counter</t>
  </si>
  <si>
    <r>
      <t xml:space="preserve">Unique </t>
    </r>
    <r>
      <rPr>
        <i/>
        <sz val="9"/>
        <rFont val="Verdana"/>
        <family val="2"/>
      </rPr>
      <t>journal number</t>
    </r>
    <r>
      <rPr>
        <sz val="9"/>
        <rFont val="Verdana"/>
        <family val="2"/>
      </rPr>
      <t>.</t>
    </r>
  </si>
  <si>
    <t>·          System generated.</t>
  </si>
  <si>
    <t>·          Each journal file must have a unique file number.</t>
  </si>
  <si>
    <t>·          Number must be unique per transaction date</t>
  </si>
  <si>
    <t>Transaction Date</t>
  </si>
  <si>
    <t>Transaction date:</t>
  </si>
  <si>
    <t>·          System generated, date, date the file is generated.</t>
  </si>
  <si>
    <t>·          Cannot be greater than Book Month Date(12)</t>
  </si>
  <si>
    <t>·          Must be an actual date, i.e. cannot be 31 Feb.</t>
  </si>
  <si>
    <r>
      <t>Format</t>
    </r>
    <r>
      <rPr>
        <sz val="9"/>
        <rFont val="Verdana"/>
        <family val="2"/>
      </rPr>
      <t xml:space="preserve"> = ccyymmdd</t>
    </r>
  </si>
  <si>
    <r>
      <t>Example</t>
    </r>
    <r>
      <rPr>
        <sz val="9"/>
        <rFont val="Verdana"/>
        <family val="2"/>
      </rPr>
      <t xml:space="preserve"> = 20070101 </t>
    </r>
  </si>
  <si>
    <t>ACK: Company Code</t>
  </si>
  <si>
    <t>·      Eg. A702 (refer to the chart of accounts document)</t>
  </si>
  <si>
    <t>ACK: Account Code</t>
  </si>
  <si>
    <t>·          Eg: GH000 (refer to the chart of accounts document)</t>
  </si>
  <si>
    <t>ACK: Tax Type / Fund</t>
  </si>
  <si>
    <r>
      <t xml:space="preserve">Eg: N00000 where applicable. </t>
    </r>
    <r>
      <rPr>
        <b/>
        <sz val="9"/>
        <rFont val="Verdana"/>
        <family val="2"/>
      </rPr>
      <t>AKA Segment 3</t>
    </r>
  </si>
  <si>
    <t>ACK: Cost Centre</t>
  </si>
  <si>
    <t>Fund Code – Mandatory for certain accounts. If the Fund Code/ Cost Centre isn’t maintained in Walker then the posting will fail when posting to such an account  AKA Segment 4</t>
  </si>
  <si>
    <t>ACK: Product</t>
  </si>
  <si>
    <t>For LAMDA use only so not used for SNAP</t>
  </si>
  <si>
    <t>·          Blank Space (9)</t>
  </si>
  <si>
    <t>ACK: TXNTYPE</t>
  </si>
  <si>
    <t>·          Blank Space (3)</t>
  </si>
  <si>
    <t>ACK: Channel</t>
  </si>
  <si>
    <t>Book Month – Date Effective Date</t>
  </si>
  <si>
    <t>Transaction date</t>
  </si>
  <si>
    <t>Amount</t>
  </si>
  <si>
    <t>System generated, actual transaction amount.</t>
  </si>
  <si>
    <t>A decimal point must not be used (123 = R1.23)</t>
  </si>
  <si>
    <t>Put the amount in cents without decimals eg. 123</t>
  </si>
  <si>
    <t>Sign</t>
  </si>
  <si>
    <t>Sign for the amount.</t>
  </si>
  <si>
    <t xml:space="preserve">·          “-“ = CR; </t>
  </si>
  <si>
    <t>·          “+” = DR;</t>
  </si>
  <si>
    <r>
      <t>·          Blank</t>
    </r>
    <r>
      <rPr>
        <b/>
        <sz val="9"/>
        <rFont val="Verdana"/>
        <family val="2"/>
      </rPr>
      <t xml:space="preserve"> </t>
    </r>
    <r>
      <rPr>
        <sz val="9"/>
        <rFont val="Verdana"/>
        <family val="2"/>
      </rPr>
      <t>Space</t>
    </r>
    <r>
      <rPr>
        <b/>
        <sz val="9"/>
        <rFont val="Verdana"/>
        <family val="2"/>
      </rPr>
      <t xml:space="preserve"> = +;</t>
    </r>
  </si>
  <si>
    <t>Default:</t>
  </si>
  <si>
    <t>·          “+” = DR Blank Space</t>
  </si>
  <si>
    <t>Analysis</t>
  </si>
  <si>
    <t>Analysis code for the transaction. The full 20 characters must be used, so padded with trailing spaces if required.</t>
  </si>
  <si>
    <t>Policy Number</t>
  </si>
  <si>
    <t>Fill with leading zeros</t>
  </si>
  <si>
    <t>Only bulk transaction per chart / cost centre posted to GL.</t>
  </si>
  <si>
    <t>·          Fill with zero {0} (12)</t>
  </si>
  <si>
    <t>Blank</t>
  </si>
  <si>
    <t>8 Spaces</t>
  </si>
  <si>
    <t>Hiport Code</t>
  </si>
  <si>
    <t>·         By transaction. (10)</t>
  </si>
  <si>
    <t>Walker File Content</t>
  </si>
  <si>
    <t xml:space="preserve">Verify Price File </t>
  </si>
  <si>
    <t>Verify Price File Upload</t>
  </si>
  <si>
    <t>Check to see if Prices received From Curo</t>
  </si>
  <si>
    <t>This email is sent from Curo to Olga</t>
  </si>
  <si>
    <t>Ensure that there are prices available</t>
  </si>
  <si>
    <t>Prices Available</t>
  </si>
  <si>
    <t>Upload File to Mainframe</t>
  </si>
  <si>
    <t>File Upload</t>
  </si>
  <si>
    <t>File Uploaded to Mainframe by Olga</t>
  </si>
  <si>
    <t xml:space="preserve">The File is dropped of at a location on the Mainframe </t>
  </si>
  <si>
    <t>The Mainframe Process poles the directory</t>
  </si>
  <si>
    <t xml:space="preserve">Mainframe Process detects and Loads the Prices </t>
  </si>
  <si>
    <t>Prices are loaded for the Day</t>
  </si>
  <si>
    <t xml:space="preserve">Prices are created </t>
  </si>
  <si>
    <t xml:space="preserve">Notification Email is sent out </t>
  </si>
  <si>
    <t>This Notification -Olga might have a copy</t>
  </si>
  <si>
    <t>Olga will mail the relevant people</t>
  </si>
  <si>
    <t>Verify that Prices are created</t>
  </si>
  <si>
    <t>Refer to the Investment Manager Test Case</t>
  </si>
  <si>
    <t xml:space="preserve">Ensure that you are able to perform transactions against the Funds that were allocated money </t>
  </si>
  <si>
    <t>Perform and Investment</t>
  </si>
  <si>
    <t>Bulk Investment Process</t>
  </si>
  <si>
    <t>Ensure that:</t>
  </si>
  <si>
    <t>Automated Instruction File was created</t>
  </si>
  <si>
    <t>This file is created by the Tester</t>
  </si>
  <si>
    <t>Refer to the Automated Instructions test case</t>
  </si>
  <si>
    <t>Ensure that the File was dropped off at the drop of location</t>
  </si>
  <si>
    <t>\....\TestFiles\ToSanlam</t>
  </si>
  <si>
    <t>The file is Dropped of by Pamela</t>
  </si>
  <si>
    <t>A notifcation is sent to have the Scripts Trigger this process</t>
  </si>
  <si>
    <t>Hein groenewald will manually trigger this process on the test Environment</t>
  </si>
  <si>
    <t>Ensure that this commucation is done via email</t>
  </si>
  <si>
    <t>Notfication sent to schedule batch run.</t>
  </si>
  <si>
    <t xml:space="preserve">SHR_600 is triggered Manually </t>
  </si>
  <si>
    <t>These are the scripts that will be trigered</t>
  </si>
  <si>
    <t>For North:</t>
  </si>
  <si>
    <t>D:\WS_FTP_files\Jobs_Test\SEB\SebRFANorth_INSToSCI.bat</t>
  </si>
  <si>
    <t>For South</t>
  </si>
  <si>
    <t>D:\WS_FTP_files\Jobs_Test\SEB\SebRFASouth_INSToSCI.bat</t>
  </si>
  <si>
    <t>Process Complete</t>
  </si>
  <si>
    <t>All transaction in the Instruction File is Processed and Applied</t>
  </si>
  <si>
    <t>The Tester will ensure that the transactions are processed</t>
  </si>
  <si>
    <t>Only applicable to the Automated Instructions Test Cases</t>
  </si>
  <si>
    <t>Check that the scheduled batch was kicked off</t>
  </si>
  <si>
    <t>Logging - Batch Run Succesfull</t>
  </si>
  <si>
    <t>Ensure that the Instruction Files are generated for North and South</t>
  </si>
  <si>
    <t>File  - INS-SCI-DEP-&lt;date&gt;-024N.xls</t>
  </si>
  <si>
    <t>File  - INS-SCI-DEP-&lt;date&gt;-024S.xls</t>
  </si>
  <si>
    <t>This must be executed in conjunction with the Investment Automated Instruction Test Case</t>
  </si>
  <si>
    <t>This Process Runs on the 3rd Day of Every Month</t>
  </si>
  <si>
    <t>Check to see that the Output file has been genrerated</t>
  </si>
  <si>
    <t>This report is available for the 3rd Day of the month</t>
  </si>
  <si>
    <t>Email output</t>
  </si>
  <si>
    <t>SEB IA Inbox &gt; SCI ASSETS Email</t>
  </si>
  <si>
    <t>FDM.XLS - This will display the data for the previous month</t>
  </si>
  <si>
    <t>Ensure that the file is generated and that it contains data</t>
  </si>
  <si>
    <t>Generated for Nam and RSA</t>
  </si>
  <si>
    <t>e.g. 03/09/2014</t>
  </si>
  <si>
    <t>Verify SCI Assets File/ Report Created</t>
  </si>
  <si>
    <t>Verify SIM Interface File/ Report Created</t>
  </si>
  <si>
    <t>SEB IA Inbox &gt; SIM Interface Email / NAM SIM Interface</t>
  </si>
  <si>
    <t>SIM INTERFACE.TXT This will display the data for the previous month</t>
  </si>
  <si>
    <t>NAM SIM INTERFACE.TXT This will display the data for the previous month for Namibia</t>
  </si>
  <si>
    <t>Check to see that the Output files has been genrerated</t>
  </si>
  <si>
    <t>Ensure that the Files are Generated:</t>
  </si>
  <si>
    <t>File Naming Convention</t>
  </si>
  <si>
    <t>CDAT.GRP.G0003V00.&lt;YYYYMMDD&gt;</t>
  </si>
  <si>
    <t>File Format</t>
  </si>
  <si>
    <t>*.txt</t>
  </si>
  <si>
    <t>Automated Instruction Interface</t>
  </si>
  <si>
    <t>This Process Runs every evening</t>
  </si>
  <si>
    <t>"Test" Email Notification - Start and End of Batch</t>
  </si>
  <si>
    <t>Check to see that the WAlker file has been genrerated</t>
  </si>
  <si>
    <t>Email  1 subject Line - Test Bookeeping</t>
  </si>
  <si>
    <t>Email 2 subject Line - Test Payments</t>
  </si>
  <si>
    <t>Check File format</t>
  </si>
  <si>
    <t>Check File for data</t>
  </si>
  <si>
    <t>Content for RSA and NAM 600 AND 650</t>
  </si>
  <si>
    <t>Accounting Interface</t>
  </si>
  <si>
    <t>How is prices get received tfrom CURO</t>
  </si>
  <si>
    <t>How to upload files to mainframe</t>
  </si>
  <si>
    <t>How to send emails</t>
  </si>
  <si>
    <t>How do I verify that prices are created</t>
  </si>
  <si>
    <t>How to validate file format</t>
  </si>
  <si>
    <t>Where the file is created</t>
  </si>
  <si>
    <t>How to upload the file and run the JOB</t>
  </si>
  <si>
    <t>How to generate error file</t>
  </si>
  <si>
    <t>This whole Automated Instruction Process, I don’t know how it works</t>
  </si>
  <si>
    <t>Walker file Job, I don’t know how it works</t>
  </si>
  <si>
    <t>I don’t know how the whole process works</t>
  </si>
  <si>
    <t>I dint know how accounting Interface works</t>
  </si>
  <si>
    <t>Notes/Added Notes</t>
  </si>
  <si>
    <t>Added Notes</t>
  </si>
  <si>
    <t>I don’t know how SIM Inteface works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</si>
</sst>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9"/>
      <name val="Verdana"/>
      <family val="2"/>
    </font>
    <font>
      <b/>
      <sz val="9"/>
      <name val="Verdana"/>
      <family val="2"/>
    </font>
    <font>
      <i/>
      <sz val="9"/>
      <name val="Verdana"/>
      <family val="2"/>
    </font>
    <font>
      <b/>
      <sz val="10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Verdan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54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4" fontId="6" fillId="5" borderId="2" xfId="0" applyNumberFormat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1" fillId="0" borderId="2" xfId="0" quotePrefix="1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wrapText="1"/>
    </xf>
    <xf numFmtId="0" fontId="8" fillId="0" borderId="2" xfId="1" applyFont="1" applyBorder="1" applyAlignment="1">
      <alignment horizontal="left" wrapText="1"/>
    </xf>
    <xf numFmtId="0" fontId="8" fillId="0" borderId="3" xfId="1" applyFont="1" applyBorder="1" applyAlignment="1">
      <alignment horizontal="center" wrapText="1"/>
    </xf>
    <xf numFmtId="0" fontId="8" fillId="0" borderId="3" xfId="1" applyFont="1" applyBorder="1" applyAlignment="1">
      <alignment horizontal="left" wrapText="1"/>
    </xf>
    <xf numFmtId="0" fontId="8" fillId="0" borderId="8" xfId="1" applyFont="1" applyBorder="1" applyAlignment="1">
      <alignment wrapText="1"/>
    </xf>
    <xf numFmtId="0" fontId="9" fillId="0" borderId="11" xfId="1" applyFont="1" applyBorder="1" applyAlignment="1">
      <alignment wrapText="1"/>
    </xf>
    <xf numFmtId="0" fontId="8" fillId="0" borderId="3" xfId="1" applyFont="1" applyBorder="1" applyAlignment="1">
      <alignment wrapText="1"/>
    </xf>
    <xf numFmtId="0" fontId="8" fillId="0" borderId="7" xfId="1" applyFont="1" applyBorder="1" applyAlignment="1">
      <alignment wrapText="1"/>
    </xf>
    <xf numFmtId="0" fontId="9" fillId="0" borderId="7" xfId="1" applyFont="1" applyBorder="1" applyAlignment="1">
      <alignment wrapText="1"/>
    </xf>
    <xf numFmtId="0" fontId="8" fillId="0" borderId="7" xfId="1" applyFont="1" applyBorder="1" applyAlignment="1">
      <alignment horizontal="left" wrapText="1" indent="6"/>
    </xf>
    <xf numFmtId="0" fontId="8" fillId="0" borderId="4" xfId="1" applyFont="1" applyBorder="1" applyAlignment="1">
      <alignment horizontal="left" wrapText="1" indent="1"/>
    </xf>
    <xf numFmtId="0" fontId="8" fillId="0" borderId="7" xfId="1" applyFont="1" applyBorder="1" applyAlignment="1">
      <alignment horizontal="left" wrapText="1" indent="2"/>
    </xf>
    <xf numFmtId="0" fontId="8" fillId="0" borderId="4" xfId="1" applyFont="1" applyBorder="1" applyAlignment="1">
      <alignment horizontal="left" wrapText="1" indent="2"/>
    </xf>
    <xf numFmtId="0" fontId="8" fillId="0" borderId="3" xfId="1" applyFont="1" applyBorder="1" applyAlignment="1">
      <alignment vertical="top" wrapText="1"/>
    </xf>
    <xf numFmtId="0" fontId="9" fillId="0" borderId="7" xfId="1" applyFont="1" applyBorder="1" applyAlignment="1">
      <alignment vertical="top" wrapText="1"/>
    </xf>
    <xf numFmtId="0" fontId="8" fillId="0" borderId="7" xfId="1" applyFont="1" applyBorder="1" applyAlignment="1">
      <alignment horizontal="left" vertical="top" wrapText="1" indent="2"/>
    </xf>
    <xf numFmtId="0" fontId="8" fillId="0" borderId="4" xfId="1" applyFont="1" applyBorder="1" applyAlignment="1">
      <alignment horizontal="left" vertical="top" wrapText="1" indent="2"/>
    </xf>
    <xf numFmtId="0" fontId="9" fillId="0" borderId="14" xfId="1" applyFont="1" applyBorder="1" applyAlignment="1">
      <alignment wrapText="1"/>
    </xf>
    <xf numFmtId="0" fontId="8" fillId="0" borderId="11" xfId="1" applyFont="1" applyBorder="1" applyAlignment="1">
      <alignment horizontal="left" wrapText="1" indent="2"/>
    </xf>
    <xf numFmtId="0" fontId="8" fillId="0" borderId="6" xfId="1" applyFont="1" applyBorder="1" applyAlignment="1">
      <alignment wrapText="1"/>
    </xf>
    <xf numFmtId="0" fontId="8" fillId="0" borderId="2" xfId="1" applyFont="1" applyBorder="1" applyAlignment="1">
      <alignment horizontal="center"/>
    </xf>
    <xf numFmtId="0" fontId="8" fillId="0" borderId="4" xfId="1" applyFont="1" applyBorder="1" applyAlignment="1"/>
    <xf numFmtId="0" fontId="9" fillId="0" borderId="3" xfId="1" applyFont="1" applyBorder="1" applyAlignment="1"/>
    <xf numFmtId="0" fontId="8" fillId="0" borderId="7" xfId="1" applyFont="1" applyBorder="1" applyAlignment="1">
      <alignment horizontal="left"/>
    </xf>
    <xf numFmtId="0" fontId="9" fillId="0" borderId="7" xfId="1" applyFont="1" applyBorder="1" applyAlignment="1"/>
    <xf numFmtId="0" fontId="8" fillId="0" borderId="2" xfId="1" applyFont="1" applyBorder="1" applyAlignment="1">
      <alignment horizontal="left"/>
    </xf>
    <xf numFmtId="164" fontId="2" fillId="2" borderId="2" xfId="0" applyNumberFormat="1" applyFont="1" applyFill="1" applyBorder="1" applyAlignment="1">
      <alignment horizontal="right" wrapText="1"/>
    </xf>
    <xf numFmtId="164" fontId="6" fillId="5" borderId="2" xfId="0" applyNumberFormat="1" applyFont="1" applyFill="1" applyBorder="1" applyAlignment="1">
      <alignment horizontal="right" vertical="center" wrapText="1"/>
    </xf>
    <xf numFmtId="164" fontId="1" fillId="3" borderId="2" xfId="0" applyNumberFormat="1" applyFont="1" applyFill="1" applyBorder="1" applyAlignment="1">
      <alignment horizontal="right" vertical="center" wrapText="1"/>
    </xf>
    <xf numFmtId="0" fontId="8" fillId="0" borderId="2" xfId="1" applyFont="1" applyBorder="1" applyAlignment="1">
      <alignment horizontal="right" wrapText="1"/>
    </xf>
    <xf numFmtId="164" fontId="0" fillId="0" borderId="0" xfId="0" applyNumberFormat="1" applyAlignment="1">
      <alignment horizontal="right" wrapText="1"/>
    </xf>
    <xf numFmtId="164" fontId="8" fillId="0" borderId="2" xfId="1" applyNumberFormat="1" applyFont="1" applyBorder="1" applyAlignment="1">
      <alignment horizontal="right" wrapText="1"/>
    </xf>
    <xf numFmtId="0" fontId="8" fillId="0" borderId="2" xfId="1" applyFont="1" applyBorder="1" applyAlignment="1">
      <alignment horizontal="right"/>
    </xf>
    <xf numFmtId="0" fontId="8" fillId="0" borderId="3" xfId="1" applyFont="1" applyBorder="1" applyAlignment="1">
      <alignment horizontal="right" wrapText="1"/>
    </xf>
    <xf numFmtId="0" fontId="8" fillId="0" borderId="2" xfId="1" applyFont="1" applyBorder="1" applyAlignment="1">
      <alignment horizontal="center" wrapText="1"/>
    </xf>
    <xf numFmtId="0" fontId="8" fillId="0" borderId="3" xfId="1" applyFont="1" applyBorder="1" applyAlignment="1">
      <alignment horizontal="center" wrapText="1"/>
    </xf>
    <xf numFmtId="164" fontId="8" fillId="0" borderId="3" xfId="1" applyNumberFormat="1" applyFont="1" applyBorder="1" applyAlignment="1">
      <alignment horizontal="right" wrapText="1"/>
    </xf>
    <xf numFmtId="164" fontId="1" fillId="5" borderId="2" xfId="0" applyNumberFormat="1" applyFont="1" applyFill="1" applyBorder="1" applyAlignment="1">
      <alignment vertical="center" wrapText="1"/>
    </xf>
    <xf numFmtId="0" fontId="1" fillId="6" borderId="2" xfId="0" applyFont="1" applyFill="1" applyBorder="1" applyAlignment="1">
      <alignment vertical="center" wrapText="1"/>
    </xf>
    <xf numFmtId="164" fontId="11" fillId="0" borderId="2" xfId="0" applyNumberFormat="1" applyFont="1" applyFill="1" applyBorder="1" applyAlignment="1">
      <alignment vertical="center" wrapText="1"/>
    </xf>
    <xf numFmtId="0" fontId="11" fillId="0" borderId="2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wrapText="1"/>
    </xf>
    <xf numFmtId="0" fontId="3" fillId="0" borderId="0" xfId="0" applyFont="1" applyFill="1" applyAlignment="1">
      <alignment wrapText="1"/>
    </xf>
    <xf numFmtId="0" fontId="11" fillId="3" borderId="2" xfId="0" applyFont="1" applyFill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1" fillId="0" borderId="2" xfId="0" applyFont="1" applyFill="1" applyBorder="1" applyAlignment="1">
      <alignment vertical="center" wrapText="1"/>
    </xf>
    <xf numFmtId="0" fontId="8" fillId="0" borderId="2" xfId="1" applyFont="1" applyBorder="1" applyAlignment="1">
      <alignment horizontal="center" wrapText="1"/>
    </xf>
    <xf numFmtId="0" fontId="8" fillId="0" borderId="3" xfId="1" applyFont="1" applyBorder="1" applyAlignment="1">
      <alignment horizontal="center" wrapText="1"/>
    </xf>
    <xf numFmtId="0" fontId="8" fillId="0" borderId="5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wrapText="1"/>
    </xf>
    <xf numFmtId="0" fontId="8" fillId="0" borderId="9" xfId="1" applyFont="1" applyBorder="1" applyAlignment="1">
      <alignment horizontal="center" wrapText="1"/>
    </xf>
    <xf numFmtId="0" fontId="8" fillId="0" borderId="10" xfId="1" applyFont="1" applyBorder="1" applyAlignment="1">
      <alignment horizontal="center" wrapText="1"/>
    </xf>
    <xf numFmtId="0" fontId="8" fillId="0" borderId="15" xfId="1" applyFont="1" applyBorder="1" applyAlignment="1">
      <alignment horizontal="center" wrapText="1"/>
    </xf>
    <xf numFmtId="0" fontId="8" fillId="0" borderId="7" xfId="1" applyFont="1" applyBorder="1" applyAlignment="1">
      <alignment horizontal="left"/>
    </xf>
    <xf numFmtId="0" fontId="14" fillId="0" borderId="2" xfId="0" applyFont="1" applyBorder="1" applyAlignment="1">
      <alignment vertical="center" wrapText="1"/>
    </xf>
    <xf numFmtId="0" fontId="15" fillId="5" borderId="2" xfId="0" applyFont="1" applyFill="1" applyBorder="1" applyAlignment="1">
      <alignment vertical="center" wrapText="1"/>
    </xf>
    <xf numFmtId="0" fontId="12" fillId="6" borderId="9" xfId="0" applyFont="1" applyFill="1" applyBorder="1" applyAlignment="1">
      <alignment vertical="center" wrapText="1"/>
    </xf>
    <xf numFmtId="0" fontId="13" fillId="6" borderId="12" xfId="0" applyFont="1" applyFill="1" applyBorder="1" applyAlignment="1">
      <alignment vertical="center" wrapText="1"/>
    </xf>
    <xf numFmtId="0" fontId="13" fillId="6" borderId="8" xfId="0" applyFont="1" applyFill="1" applyBorder="1" applyAlignment="1">
      <alignment vertical="center" wrapText="1"/>
    </xf>
    <xf numFmtId="0" fontId="13" fillId="6" borderId="10" xfId="0" applyFont="1" applyFill="1" applyBorder="1" applyAlignment="1">
      <alignment vertical="center" wrapText="1"/>
    </xf>
    <xf numFmtId="0" fontId="13" fillId="6" borderId="0" xfId="0" applyFont="1" applyFill="1" applyAlignment="1">
      <alignment vertical="center" wrapText="1"/>
    </xf>
    <xf numFmtId="0" fontId="13" fillId="6" borderId="14" xfId="0" applyFont="1" applyFill="1" applyBorder="1" applyAlignment="1">
      <alignment vertical="center" wrapText="1"/>
    </xf>
    <xf numFmtId="0" fontId="13" fillId="6" borderId="15" xfId="0" applyFont="1" applyFill="1" applyBorder="1" applyAlignment="1">
      <alignment vertical="center" wrapText="1"/>
    </xf>
    <xf numFmtId="0" fontId="13" fillId="6" borderId="13" xfId="0" applyFont="1" applyFill="1" applyBorder="1" applyAlignment="1">
      <alignment vertical="center" wrapText="1"/>
    </xf>
    <xf numFmtId="0" fontId="13" fillId="6" borderId="11" xfId="0" applyFont="1" applyFill="1" applyBorder="1" applyAlignment="1">
      <alignment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horizontal="center" vertical="center" wrapText="1"/>
    </xf>
    <xf numFmtId="0" fontId="16" fillId="0" borderId="3" xfId="1" applyFont="1" applyBorder="1" applyAlignment="1">
      <alignment horizontal="center" vertical="center"/>
    </xf>
    <xf numFmtId="0" fontId="16" fillId="0" borderId="7" xfId="1" applyFont="1" applyBorder="1" applyAlignment="1">
      <alignment horizontal="center" vertical="center"/>
    </xf>
    <xf numFmtId="0" fontId="16" fillId="0" borderId="4" xfId="1" applyFont="1" applyBorder="1" applyAlignment="1">
      <alignment horizontal="center" vertical="center"/>
    </xf>
    <xf numFmtId="0" fontId="0" fillId="0" borderId="3" xfId="0" applyBorder="1" applyAlignment="1">
      <alignment horizontal="right" wrapText="1"/>
    </xf>
    <xf numFmtId="0" fontId="0" fillId="0" borderId="7" xfId="0" applyBorder="1" applyAlignment="1">
      <alignment horizontal="right" wrapText="1"/>
    </xf>
    <xf numFmtId="0" fontId="0" fillId="0" borderId="4" xfId="0" applyBorder="1" applyAlignment="1">
      <alignment horizontal="right" wrapText="1"/>
    </xf>
    <xf numFmtId="0" fontId="8" fillId="0" borderId="3" xfId="1" applyFont="1" applyBorder="1" applyAlignment="1">
      <alignment horizontal="right"/>
    </xf>
    <xf numFmtId="0" fontId="8" fillId="0" borderId="7" xfId="1" applyFont="1" applyBorder="1" applyAlignment="1">
      <alignment horizontal="right"/>
    </xf>
    <xf numFmtId="0" fontId="8" fillId="0" borderId="4" xfId="1" applyFont="1" applyBorder="1" applyAlignment="1">
      <alignment horizontal="right"/>
    </xf>
    <xf numFmtId="0" fontId="8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wrapText="1"/>
    </xf>
    <xf numFmtId="0" fontId="8" fillId="0" borderId="3" xfId="1" applyFont="1" applyBorder="1" applyAlignment="1">
      <alignment horizontal="center" wrapText="1"/>
    </xf>
    <xf numFmtId="0" fontId="8" fillId="0" borderId="7" xfId="1" applyFont="1" applyBorder="1" applyAlignment="1">
      <alignment horizontal="center" wrapText="1"/>
    </xf>
    <xf numFmtId="0" fontId="8" fillId="0" borderId="4" xfId="1" applyFont="1" applyBorder="1" applyAlignment="1">
      <alignment horizontal="center" wrapText="1"/>
    </xf>
    <xf numFmtId="0" fontId="8" fillId="0" borderId="5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wrapText="1"/>
    </xf>
    <xf numFmtId="0" fontId="8" fillId="0" borderId="9" xfId="1" applyFont="1" applyBorder="1" applyAlignment="1">
      <alignment horizontal="center" wrapText="1"/>
    </xf>
    <xf numFmtId="0" fontId="8" fillId="0" borderId="10" xfId="1" applyFont="1" applyBorder="1" applyAlignment="1">
      <alignment horizontal="center" wrapText="1"/>
    </xf>
    <xf numFmtId="0" fontId="8" fillId="0" borderId="15" xfId="1" applyFont="1" applyBorder="1" applyAlignment="1">
      <alignment horizontal="center" wrapText="1"/>
    </xf>
    <xf numFmtId="0" fontId="8" fillId="0" borderId="5" xfId="1" applyFont="1" applyBorder="1" applyAlignment="1">
      <alignment horizontal="left" wrapText="1"/>
    </xf>
    <xf numFmtId="0" fontId="8" fillId="0" borderId="9" xfId="1" applyFont="1" applyBorder="1" applyAlignment="1">
      <alignment horizontal="left" wrapText="1"/>
    </xf>
    <xf numFmtId="0" fontId="8" fillId="0" borderId="10" xfId="1" applyFont="1" applyBorder="1" applyAlignment="1">
      <alignment horizontal="left" wrapText="1"/>
    </xf>
    <xf numFmtId="0" fontId="8" fillId="0" borderId="15" xfId="1" applyFont="1" applyBorder="1" applyAlignment="1">
      <alignment horizontal="left" wrapText="1"/>
    </xf>
    <xf numFmtId="0" fontId="8" fillId="0" borderId="2" xfId="1" applyFont="1" applyBorder="1" applyAlignment="1">
      <alignment horizontal="right" wrapText="1"/>
    </xf>
    <xf numFmtId="0" fontId="8" fillId="0" borderId="3" xfId="1" applyFont="1" applyBorder="1" applyAlignment="1">
      <alignment horizontal="right" wrapText="1"/>
    </xf>
    <xf numFmtId="0" fontId="8" fillId="0" borderId="7" xfId="1" applyFont="1" applyBorder="1" applyAlignment="1">
      <alignment horizontal="right" wrapText="1"/>
    </xf>
    <xf numFmtId="0" fontId="8" fillId="0" borderId="4" xfId="1" applyFont="1" applyBorder="1" applyAlignment="1">
      <alignment horizontal="right" wrapText="1"/>
    </xf>
    <xf numFmtId="164" fontId="8" fillId="0" borderId="3" xfId="1" quotePrefix="1" applyNumberFormat="1" applyFont="1" applyBorder="1" applyAlignment="1">
      <alignment horizontal="right" wrapText="1"/>
    </xf>
    <xf numFmtId="0" fontId="8" fillId="0" borderId="7" xfId="1" quotePrefix="1" applyFont="1" applyBorder="1" applyAlignment="1">
      <alignment horizontal="right" wrapText="1"/>
    </xf>
    <xf numFmtId="0" fontId="8" fillId="0" borderId="4" xfId="1" quotePrefix="1" applyFont="1" applyBorder="1" applyAlignment="1">
      <alignment horizontal="right" wrapText="1"/>
    </xf>
    <xf numFmtId="164" fontId="8" fillId="0" borderId="3" xfId="1" applyNumberFormat="1" applyFont="1" applyBorder="1" applyAlignment="1">
      <alignment horizontal="right" wrapText="1"/>
    </xf>
    <xf numFmtId="164" fontId="8" fillId="0" borderId="7" xfId="1" applyNumberFormat="1" applyFont="1" applyBorder="1" applyAlignment="1">
      <alignment horizontal="right" wrapText="1"/>
    </xf>
    <xf numFmtId="164" fontId="8" fillId="0" borderId="4" xfId="1" applyNumberFormat="1" applyFont="1" applyBorder="1" applyAlignment="1">
      <alignment horizontal="right" wrapText="1"/>
    </xf>
    <xf numFmtId="164" fontId="8" fillId="0" borderId="2" xfId="1" applyNumberFormat="1" applyFont="1" applyBorder="1" applyAlignment="1">
      <alignment horizontal="right" wrapText="1"/>
    </xf>
    <xf numFmtId="164" fontId="8" fillId="0" borderId="2" xfId="1" quotePrefix="1" applyNumberFormat="1" applyFont="1" applyBorder="1" applyAlignment="1">
      <alignment horizontal="right" wrapText="1"/>
    </xf>
    <xf numFmtId="0" fontId="8" fillId="0" borderId="3" xfId="1" applyFont="1" applyBorder="1" applyAlignment="1">
      <alignment horizontal="center"/>
    </xf>
    <xf numFmtId="0" fontId="8" fillId="0" borderId="7" xfId="1" applyFont="1" applyBorder="1" applyAlignment="1">
      <alignment horizontal="center"/>
    </xf>
    <xf numFmtId="0" fontId="8" fillId="0" borderId="4" xfId="1" applyFont="1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8" fillId="0" borderId="3" xfId="1" applyFont="1" applyBorder="1" applyAlignment="1">
      <alignment horizontal="left"/>
    </xf>
    <xf numFmtId="0" fontId="8" fillId="0" borderId="7" xfId="1" applyFont="1" applyBorder="1" applyAlignment="1">
      <alignment horizontal="left"/>
    </xf>
    <xf numFmtId="0" fontId="8" fillId="0" borderId="4" xfId="1" applyFont="1" applyBorder="1" applyAlignment="1">
      <alignment horizontal="left"/>
    </xf>
    <xf numFmtId="0" fontId="8" fillId="0" borderId="0" xfId="1" applyFont="1" applyBorder="1" applyAlignment="1">
      <alignment horizontal="center" wrapText="1"/>
    </xf>
    <xf numFmtId="0" fontId="8" fillId="0" borderId="12" xfId="1" applyFont="1" applyBorder="1" applyAlignment="1">
      <alignment horizontal="center" wrapText="1"/>
    </xf>
    <xf numFmtId="0" fontId="8" fillId="0" borderId="13" xfId="1" applyFont="1" applyBorder="1" applyAlignment="1">
      <alignment horizont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wrapText="1"/>
    </xf>
    <xf numFmtId="0" fontId="14" fillId="0" borderId="2" xfId="0" quotePrefix="1" applyFont="1" applyBorder="1" applyAlignment="1">
      <alignment vertical="center" wrapText="1"/>
    </xf>
    <xf numFmtId="0" fontId="17" fillId="0" borderId="0" xfId="0" applyFont="1" applyAlignment="1">
      <alignment wrapText="1"/>
    </xf>
    <xf numFmtId="0" fontId="19" fillId="6" borderId="8" xfId="0" applyFont="1" applyFill="1" applyBorder="1" applyAlignment="1">
      <alignment vertical="center" wrapText="1"/>
    </xf>
    <xf numFmtId="0" fontId="19" fillId="6" borderId="14" xfId="0" applyFont="1" applyFill="1" applyBorder="1" applyAlignment="1">
      <alignment vertical="center" wrapText="1"/>
    </xf>
    <xf numFmtId="0" fontId="19" fillId="6" borderId="11" xfId="0" applyFont="1" applyFill="1" applyBorder="1" applyAlignment="1">
      <alignment vertical="center" wrapText="1"/>
    </xf>
    <xf numFmtId="0" fontId="15" fillId="5" borderId="2" xfId="0" applyFont="1" applyFill="1" applyBorder="1" applyAlignment="1">
      <alignment horizontal="left" vertical="center" wrapText="1"/>
    </xf>
    <xf numFmtId="0" fontId="15" fillId="3" borderId="3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 wrapText="1"/>
    </xf>
    <xf numFmtId="0" fontId="15" fillId="3" borderId="4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20" fillId="0" borderId="0" xfId="0" applyFont="1" applyAlignment="1">
      <alignment wrapText="1"/>
    </xf>
  </cellXfs>
  <cellStyles count="2">
    <cellStyle name="Normal" xfId="0" builtinId="0"/>
    <cellStyle name="Normal 2" xfId="1"/>
  </cellStyles>
  <dxfs count="194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9525</xdr:rowOff>
        </xdr:from>
        <xdr:to>
          <xdr:col>0</xdr:col>
          <xdr:colOff>581025</xdr:colOff>
          <xdr:row>4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9525</xdr:rowOff>
        </xdr:from>
        <xdr:to>
          <xdr:col>0</xdr:col>
          <xdr:colOff>581025</xdr:colOff>
          <xdr:row>5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9525</xdr:rowOff>
        </xdr:from>
        <xdr:to>
          <xdr:col>0</xdr:col>
          <xdr:colOff>581025</xdr:colOff>
          <xdr:row>6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9525</xdr:rowOff>
        </xdr:from>
        <xdr:to>
          <xdr:col>0</xdr:col>
          <xdr:colOff>581025</xdr:colOff>
          <xdr:row>7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9525</xdr:rowOff>
        </xdr:from>
        <xdr:to>
          <xdr:col>0</xdr:col>
          <xdr:colOff>581025</xdr:colOff>
          <xdr:row>8</xdr:row>
          <xdr:rowOff>171450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9525</xdr:rowOff>
        </xdr:from>
        <xdr:to>
          <xdr:col>0</xdr:col>
          <xdr:colOff>581025</xdr:colOff>
          <xdr:row>9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2</xdr:row>
          <xdr:rowOff>85725</xdr:rowOff>
        </xdr:from>
        <xdr:to>
          <xdr:col>3</xdr:col>
          <xdr:colOff>1143000</xdr:colOff>
          <xdr:row>5</xdr:row>
          <xdr:rowOff>28575</xdr:rowOff>
        </xdr:to>
        <xdr:sp macro="" textlink="">
          <xdr:nvSpPr>
            <xdr:cNvPr id="18434" name="Object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2</xdr:row>
          <xdr:rowOff>133350</xdr:rowOff>
        </xdr:from>
        <xdr:to>
          <xdr:col>3</xdr:col>
          <xdr:colOff>2428875</xdr:colOff>
          <xdr:row>5</xdr:row>
          <xdr:rowOff>76200</xdr:rowOff>
        </xdr:to>
        <xdr:sp macro="" textlink="">
          <xdr:nvSpPr>
            <xdr:cNvPr id="18435" name="Object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5</xdr:row>
          <xdr:rowOff>247650</xdr:rowOff>
        </xdr:from>
        <xdr:to>
          <xdr:col>3</xdr:col>
          <xdr:colOff>1466850</xdr:colOff>
          <xdr:row>7</xdr:row>
          <xdr:rowOff>114300</xdr:rowOff>
        </xdr:to>
        <xdr:sp macro="" textlink="">
          <xdr:nvSpPr>
            <xdr:cNvPr id="19462" name="Object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</xdr:row>
          <xdr:rowOff>76200</xdr:rowOff>
        </xdr:from>
        <xdr:to>
          <xdr:col>3</xdr:col>
          <xdr:colOff>1828800</xdr:colOff>
          <xdr:row>5</xdr:row>
          <xdr:rowOff>19050</xdr:rowOff>
        </xdr:to>
        <xdr:sp macro="" textlink="">
          <xdr:nvSpPr>
            <xdr:cNvPr id="19463" name="Object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1647825</xdr:colOff>
          <xdr:row>1</xdr:row>
          <xdr:rowOff>152400</xdr:rowOff>
        </xdr:from>
        <xdr:to>
          <xdr:col>4</xdr:col>
          <xdr:colOff>695325</xdr:colOff>
          <xdr:row>4</xdr:row>
          <xdr:rowOff>95250</xdr:rowOff>
        </xdr:to>
        <xdr:sp macro="" textlink="">
          <xdr:nvSpPr>
            <xdr:cNvPr id="19466" name="Object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1543050</xdr:colOff>
          <xdr:row>5</xdr:row>
          <xdr:rowOff>285750</xdr:rowOff>
        </xdr:from>
        <xdr:to>
          <xdr:col>4</xdr:col>
          <xdr:colOff>228600</xdr:colOff>
          <xdr:row>7</xdr:row>
          <xdr:rowOff>152400</xdr:rowOff>
        </xdr:to>
        <xdr:sp macro="" textlink="">
          <xdr:nvSpPr>
            <xdr:cNvPr id="19467" name="Object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1933575</xdr:colOff>
          <xdr:row>4</xdr:row>
          <xdr:rowOff>133350</xdr:rowOff>
        </xdr:to>
        <xdr:sp macro="" textlink="">
          <xdr:nvSpPr>
            <xdr:cNvPr id="20484" name="Object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1181100</xdr:colOff>
          <xdr:row>2</xdr:row>
          <xdr:rowOff>114300</xdr:rowOff>
        </xdr:from>
        <xdr:to>
          <xdr:col>4</xdr:col>
          <xdr:colOff>276225</xdr:colOff>
          <xdr:row>5</xdr:row>
          <xdr:rowOff>57150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3" Type="http://schemas.openxmlformats.org/officeDocument/2006/relationships/vmlDrawing" Target="../drawings/vmlDrawing8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oleObject" Target="../embeddings/oleObject8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10"/>
  <sheetViews>
    <sheetView zoomScaleNormal="100" workbookViewId="0">
      <selection activeCell="G5" sqref="G5"/>
    </sheetView>
  </sheetViews>
  <sheetFormatPr defaultRowHeight="15" x14ac:dyDescent="0.25"/>
  <cols>
    <col min="1" max="1" width="9.140625" style="3"/>
    <col min="2" max="2" width="46.28515625" style="3" bestFit="1" customWidth="1"/>
    <col min="3" max="8" width="15" style="3" customWidth="1"/>
    <col min="9" max="16384" width="9.140625" style="3"/>
  </cols>
  <sheetData>
    <row r="2" spans="2:8" x14ac:dyDescent="0.25">
      <c r="B2" s="13"/>
      <c r="C2" s="13" t="s">
        <v>5</v>
      </c>
      <c r="D2" s="13" t="s">
        <v>6</v>
      </c>
      <c r="E2" s="13" t="s">
        <v>9</v>
      </c>
      <c r="F2" s="13" t="s">
        <v>7</v>
      </c>
      <c r="G2" s="13" t="s">
        <v>8</v>
      </c>
      <c r="H2" s="13" t="s">
        <v>10</v>
      </c>
    </row>
    <row r="3" spans="2:8" ht="15" customHeight="1" x14ac:dyDescent="0.25">
      <c r="B3" s="22" t="s">
        <v>13</v>
      </c>
      <c r="C3" s="14">
        <f>+'CURO Process'!G27</f>
        <v>0</v>
      </c>
      <c r="D3" s="14">
        <f>+'CURO Process'!H27</f>
        <v>0</v>
      </c>
      <c r="E3" s="14">
        <f>+'CURO Process'!I27</f>
        <v>7</v>
      </c>
      <c r="F3" s="14">
        <f>+'CURO Process'!J27</f>
        <v>0</v>
      </c>
      <c r="G3" s="14">
        <f>+'CURO Process'!K27</f>
        <v>0</v>
      </c>
      <c r="H3" s="14">
        <f>SUM(C3:E3)</f>
        <v>7</v>
      </c>
    </row>
    <row r="4" spans="2:8" ht="15" customHeight="1" x14ac:dyDescent="0.25">
      <c r="B4" s="22" t="s">
        <v>211</v>
      </c>
      <c r="C4" s="14">
        <f>'Accounting Interface'!H10</f>
        <v>0</v>
      </c>
      <c r="D4" s="14">
        <f>'Accounting Interface'!I10</f>
        <v>0</v>
      </c>
      <c r="E4" s="14">
        <f>'Accounting Interface'!J10</f>
        <v>0</v>
      </c>
      <c r="F4" s="14">
        <f>'Accounting Interface'!K10</f>
        <v>0</v>
      </c>
      <c r="G4" s="14">
        <f>'Accounting Interface'!L10</f>
        <v>0</v>
      </c>
      <c r="H4" s="14">
        <f>SUM(C4:E4)</f>
        <v>0</v>
      </c>
    </row>
    <row r="5" spans="2:8" ht="15" customHeight="1" x14ac:dyDescent="0.25">
      <c r="B5" s="13" t="s">
        <v>14</v>
      </c>
      <c r="C5" s="14">
        <f>Audit!G55</f>
        <v>0</v>
      </c>
      <c r="D5" s="14">
        <f>Audit!H55</f>
        <v>0</v>
      </c>
      <c r="E5" s="14">
        <f>Audit!I55</f>
        <v>0</v>
      </c>
      <c r="F5" s="15">
        <f>Audit!J55</f>
        <v>0</v>
      </c>
      <c r="G5" s="15">
        <f>Audit!K55</f>
        <v>0</v>
      </c>
      <c r="H5" s="14">
        <f t="shared" ref="H5:H7" si="0">SUM(C5:E5)</f>
        <v>0</v>
      </c>
    </row>
    <row r="6" spans="2:8" ht="15" customHeight="1" x14ac:dyDescent="0.25">
      <c r="B6" s="13" t="s">
        <v>15</v>
      </c>
      <c r="C6" s="14">
        <f>'SIM Interface'!$H$11</f>
        <v>0</v>
      </c>
      <c r="D6" s="14">
        <f>'SIM Interface'!$I$11</f>
        <v>0</v>
      </c>
      <c r="E6" s="14">
        <f>'SIM Interface'!$J$11</f>
        <v>7</v>
      </c>
      <c r="F6" s="15">
        <f>'SIM Interface'!$K$11</f>
        <v>0</v>
      </c>
      <c r="G6" s="15">
        <f>'SIM Interface'!$L$11</f>
        <v>0</v>
      </c>
      <c r="H6" s="14">
        <f t="shared" si="0"/>
        <v>7</v>
      </c>
    </row>
    <row r="7" spans="2:8" ht="15" customHeight="1" x14ac:dyDescent="0.25">
      <c r="B7" s="13" t="s">
        <v>16</v>
      </c>
      <c r="C7" s="14">
        <f>'FDM Interface'!H10</f>
        <v>0</v>
      </c>
      <c r="D7" s="14">
        <f>'FDM Interface'!I10</f>
        <v>0</v>
      </c>
      <c r="E7" s="14">
        <f>'FDM Interface'!J10</f>
        <v>0</v>
      </c>
      <c r="F7" s="15">
        <f>'FDM Interface'!J10</f>
        <v>0</v>
      </c>
      <c r="G7" s="15">
        <f>'FDM Interface'!K10</f>
        <v>0</v>
      </c>
      <c r="H7" s="14">
        <f t="shared" si="0"/>
        <v>0</v>
      </c>
    </row>
    <row r="8" spans="2:8" x14ac:dyDescent="0.25">
      <c r="B8" s="13" t="s">
        <v>17</v>
      </c>
      <c r="C8" s="14">
        <f>Multidata!H9</f>
        <v>0</v>
      </c>
      <c r="D8" s="14">
        <f>Multidata!I9</f>
        <v>0</v>
      </c>
      <c r="E8" s="14">
        <f>Multidata!J9</f>
        <v>5</v>
      </c>
      <c r="F8" s="15">
        <f>Multidata!K9</f>
        <v>0</v>
      </c>
      <c r="G8" s="15">
        <f>Multidata!L9</f>
        <v>0</v>
      </c>
      <c r="H8" s="14">
        <f t="shared" ref="H8" si="1">SUM(C8:E8)</f>
        <v>5</v>
      </c>
    </row>
    <row r="9" spans="2:8" ht="15" customHeight="1" x14ac:dyDescent="0.25">
      <c r="B9" s="13" t="s">
        <v>202</v>
      </c>
      <c r="C9" s="14">
        <f>'Automated Instructions Process'!H55</f>
        <v>0</v>
      </c>
      <c r="D9" s="14">
        <f>'Automated Instructions Process'!I55</f>
        <v>0</v>
      </c>
      <c r="E9" s="14">
        <f>'Automated Instructions Process'!J55</f>
        <v>0</v>
      </c>
      <c r="F9" s="14">
        <f>'Automated Instructions Process'!K55</f>
        <v>0</v>
      </c>
      <c r="G9" s="14">
        <f>'Automated Instructions Process'!L55</f>
        <v>11</v>
      </c>
      <c r="H9" s="14">
        <f t="shared" ref="H9" si="2">SUM(C9:E9)</f>
        <v>0</v>
      </c>
    </row>
    <row r="10" spans="2:8" ht="15" customHeight="1" x14ac:dyDescent="0.25">
      <c r="B10" s="13" t="s">
        <v>33</v>
      </c>
      <c r="C10" s="14">
        <f>Walker!H107</f>
        <v>15</v>
      </c>
      <c r="D10" s="14">
        <f>Walker!I107</f>
        <v>0</v>
      </c>
      <c r="E10" s="14">
        <f>Walker!J107</f>
        <v>17</v>
      </c>
      <c r="F10" s="15">
        <f>Walker!K107</f>
        <v>1</v>
      </c>
      <c r="G10" s="15">
        <f>Walker!L107</f>
        <v>0</v>
      </c>
      <c r="H10" s="14">
        <f t="shared" ref="H10" si="3">SUM(C10:E10)</f>
        <v>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eet1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heet2_Click">
                <anchor mov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Sheet3_Click">
                <anchor moveWithCells="1">
                  <from>
                    <xdr:col>0</xdr:col>
                    <xdr:colOff>38100</xdr:colOff>
                    <xdr:row>5</xdr:row>
                    <xdr:rowOff>9525</xdr:rowOff>
                  </from>
                  <to>
                    <xdr:col>0</xdr:col>
                    <xdr:colOff>581025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Sheet4_Click">
                <anchor moveWithCells="1">
                  <from>
                    <xdr:col>0</xdr:col>
                    <xdr:colOff>38100</xdr:colOff>
                    <xdr:row>6</xdr:row>
                    <xdr:rowOff>9525</xdr:rowOff>
                  </from>
                  <to>
                    <xdr:col>0</xdr:col>
                    <xdr:colOff>581025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Sheet5_Click">
                <anchor moveWithCells="1">
                  <from>
                    <xdr:col>0</xdr:col>
                    <xdr:colOff>38100</xdr:colOff>
                    <xdr:row>7</xdr:row>
                    <xdr:rowOff>9525</xdr:rowOff>
                  </from>
                  <to>
                    <xdr:col>0</xdr:col>
                    <xdr:colOff>581025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Sheet6_Click">
                <anchor moveWithCells="1">
                  <from>
                    <xdr:col>0</xdr:col>
                    <xdr:colOff>38100</xdr:colOff>
                    <xdr:row>8</xdr:row>
                    <xdr:rowOff>9525</xdr:rowOff>
                  </from>
                  <to>
                    <xdr:col>0</xdr:col>
                    <xdr:colOff>581025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Sheet7_Click">
                <anchor moveWithCells="1">
                  <from>
                    <xdr:col>0</xdr:col>
                    <xdr:colOff>38100</xdr:colOff>
                    <xdr:row>9</xdr:row>
                    <xdr:rowOff>9525</xdr:rowOff>
                  </from>
                  <to>
                    <xdr:col>0</xdr:col>
                    <xdr:colOff>581025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29"/>
  <sheetViews>
    <sheetView zoomScaleNormal="100" workbookViewId="0">
      <pane ySplit="1" topLeftCell="A2" activePane="bottomLeft" state="frozen"/>
      <selection pane="bottomLeft" activeCell="D1" sqref="D1:D1048576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44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42" t="s">
        <v>224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 t="s">
        <v>133</v>
      </c>
      <c r="C2" s="18"/>
      <c r="D2" s="79" t="s">
        <v>134</v>
      </c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 t="s">
        <v>135</v>
      </c>
      <c r="C3" s="9" t="s">
        <v>136</v>
      </c>
      <c r="D3" s="78" t="s">
        <v>212</v>
      </c>
      <c r="E3" s="6"/>
      <c r="F3" s="8"/>
      <c r="G3" s="8">
        <f t="shared" ref="G3:J4" si="0">IF($F3=G$1,1,0)</f>
        <v>0</v>
      </c>
      <c r="H3" s="8">
        <f t="shared" si="0"/>
        <v>0</v>
      </c>
      <c r="I3" s="8">
        <f t="shared" si="0"/>
        <v>1</v>
      </c>
      <c r="J3" s="8">
        <f t="shared" si="0"/>
        <v>0</v>
      </c>
      <c r="K3" s="8"/>
      <c r="L3" s="7"/>
    </row>
    <row r="4" spans="1:12" x14ac:dyDescent="0.25">
      <c r="A4" s="5">
        <f t="shared" ref="A4:A25" si="1">A3+0.0001</f>
        <v>1.0001</v>
      </c>
      <c r="B4" s="6" t="s">
        <v>137</v>
      </c>
      <c r="C4" s="9" t="s">
        <v>138</v>
      </c>
      <c r="D4" s="78"/>
      <c r="E4" s="6"/>
      <c r="F4" s="8"/>
      <c r="G4" s="8">
        <f t="shared" si="0"/>
        <v>0</v>
      </c>
      <c r="H4" s="8">
        <f t="shared" si="0"/>
        <v>0</v>
      </c>
      <c r="I4" s="8">
        <f t="shared" si="0"/>
        <v>1</v>
      </c>
      <c r="J4" s="8">
        <f t="shared" si="0"/>
        <v>0</v>
      </c>
      <c r="K4" s="8"/>
      <c r="L4" s="7"/>
    </row>
    <row r="5" spans="1:12" x14ac:dyDescent="0.25">
      <c r="A5" s="5">
        <f t="shared" si="1"/>
        <v>1.0002</v>
      </c>
      <c r="B5" s="6"/>
      <c r="C5" s="9"/>
      <c r="D5" s="78"/>
      <c r="E5" s="6"/>
      <c r="F5" s="8"/>
      <c r="G5" s="8"/>
      <c r="H5" s="8"/>
      <c r="I5" s="8"/>
      <c r="J5" s="8"/>
      <c r="K5" s="8"/>
      <c r="L5" s="7"/>
    </row>
    <row r="6" spans="1:12" x14ac:dyDescent="0.25">
      <c r="A6" s="5">
        <f t="shared" si="1"/>
        <v>1.0003</v>
      </c>
      <c r="B6" s="7"/>
      <c r="C6" s="6"/>
      <c r="D6" s="78"/>
      <c r="E6" s="7"/>
      <c r="F6" s="8"/>
      <c r="G6" s="8"/>
      <c r="H6" s="8"/>
      <c r="I6" s="8"/>
      <c r="J6" s="8"/>
      <c r="K6" s="8"/>
      <c r="L6" s="7"/>
    </row>
    <row r="7" spans="1:12" x14ac:dyDescent="0.25">
      <c r="A7" s="5">
        <f t="shared" si="1"/>
        <v>1.0004</v>
      </c>
      <c r="B7" s="6"/>
      <c r="C7" s="6"/>
      <c r="D7" s="78"/>
      <c r="E7" s="7"/>
      <c r="F7" s="8"/>
      <c r="G7" s="8"/>
      <c r="H7" s="8"/>
      <c r="I7" s="8"/>
      <c r="J7" s="8"/>
      <c r="K7" s="8"/>
      <c r="L7" s="7"/>
    </row>
    <row r="8" spans="1:12" x14ac:dyDescent="0.25">
      <c r="A8" s="5">
        <f t="shared" si="1"/>
        <v>1.0004999999999999</v>
      </c>
      <c r="B8" s="7"/>
      <c r="C8" s="6"/>
      <c r="D8" s="78"/>
      <c r="E8" s="7"/>
      <c r="F8" s="8"/>
      <c r="G8" s="8"/>
      <c r="H8" s="8"/>
      <c r="I8" s="8"/>
      <c r="J8" s="8"/>
      <c r="K8" s="8"/>
      <c r="L8" s="7"/>
    </row>
    <row r="9" spans="1:12" s="20" customFormat="1" x14ac:dyDescent="0.25">
      <c r="A9" s="16">
        <v>2</v>
      </c>
      <c r="B9" s="17" t="s">
        <v>139</v>
      </c>
      <c r="C9" s="18" t="s">
        <v>140</v>
      </c>
      <c r="D9" s="79"/>
      <c r="E9" s="17"/>
      <c r="F9" s="19"/>
      <c r="G9" s="19"/>
      <c r="H9" s="19"/>
      <c r="I9" s="19"/>
      <c r="J9" s="19"/>
      <c r="K9" s="19"/>
      <c r="L9" s="17"/>
    </row>
    <row r="10" spans="1:12" x14ac:dyDescent="0.25">
      <c r="A10" s="5">
        <f t="shared" si="1"/>
        <v>2.0001000000000002</v>
      </c>
      <c r="B10" s="6" t="s">
        <v>141</v>
      </c>
      <c r="C10" s="9" t="s">
        <v>142</v>
      </c>
      <c r="D10" s="78"/>
      <c r="E10" s="6"/>
      <c r="F10" s="8"/>
      <c r="G10" s="8">
        <f t="shared" ref="G10:J11" si="2">IF($F10=G$1,1,0)</f>
        <v>0</v>
      </c>
      <c r="H10" s="8">
        <f t="shared" si="2"/>
        <v>0</v>
      </c>
      <c r="I10" s="8">
        <f t="shared" si="2"/>
        <v>1</v>
      </c>
      <c r="J10" s="8">
        <f t="shared" si="2"/>
        <v>0</v>
      </c>
      <c r="K10" s="8"/>
      <c r="L10" s="7"/>
    </row>
    <row r="11" spans="1:12" x14ac:dyDescent="0.25">
      <c r="A11" s="5">
        <f t="shared" si="1"/>
        <v>2.0002000000000004</v>
      </c>
      <c r="B11" s="6"/>
      <c r="C11" s="9" t="s">
        <v>143</v>
      </c>
      <c r="D11" s="78" t="s">
        <v>213</v>
      </c>
      <c r="E11" s="6"/>
      <c r="F11" s="8"/>
      <c r="G11" s="8">
        <f t="shared" si="2"/>
        <v>0</v>
      </c>
      <c r="H11" s="8">
        <f t="shared" si="2"/>
        <v>0</v>
      </c>
      <c r="I11" s="8">
        <f t="shared" si="2"/>
        <v>1</v>
      </c>
      <c r="J11" s="8">
        <f t="shared" si="2"/>
        <v>0</v>
      </c>
      <c r="K11" s="8"/>
      <c r="L11" s="7"/>
    </row>
    <row r="12" spans="1:12" x14ac:dyDescent="0.25">
      <c r="A12" s="5">
        <f t="shared" si="1"/>
        <v>2.0003000000000006</v>
      </c>
      <c r="B12" s="6"/>
      <c r="C12" s="9"/>
      <c r="D12" s="78"/>
      <c r="E12" s="6"/>
      <c r="F12" s="8"/>
      <c r="G12" s="8"/>
      <c r="H12" s="8"/>
      <c r="I12" s="8"/>
      <c r="J12" s="8"/>
      <c r="K12" s="8"/>
      <c r="L12" s="7"/>
    </row>
    <row r="13" spans="1:12" x14ac:dyDescent="0.25">
      <c r="A13" s="5">
        <f>A11+0.0001</f>
        <v>2.0003000000000006</v>
      </c>
      <c r="B13" s="6"/>
      <c r="C13" s="9"/>
      <c r="D13" s="78"/>
      <c r="E13" s="6"/>
      <c r="F13" s="8"/>
      <c r="G13" s="8"/>
      <c r="H13" s="8"/>
      <c r="I13" s="8"/>
      <c r="J13" s="8"/>
      <c r="K13" s="8"/>
      <c r="L13" s="7"/>
    </row>
    <row r="14" spans="1:12" x14ac:dyDescent="0.25">
      <c r="A14" s="5">
        <f>A11+0.0001</f>
        <v>2.0003000000000006</v>
      </c>
      <c r="B14" s="7"/>
      <c r="C14" s="6"/>
      <c r="D14" s="143"/>
      <c r="E14" s="6"/>
      <c r="F14" s="8"/>
      <c r="G14" s="8"/>
      <c r="H14" s="8"/>
      <c r="I14" s="8"/>
      <c r="J14" s="8"/>
      <c r="K14" s="8"/>
      <c r="L14" s="7"/>
    </row>
    <row r="15" spans="1:12" x14ac:dyDescent="0.25">
      <c r="A15" s="5">
        <f t="shared" si="1"/>
        <v>2.0004000000000008</v>
      </c>
      <c r="B15" s="7"/>
      <c r="C15" s="6"/>
      <c r="D15" s="78"/>
      <c r="E15" s="7"/>
      <c r="F15" s="8"/>
      <c r="G15" s="8"/>
      <c r="H15" s="8"/>
      <c r="I15" s="8"/>
      <c r="J15" s="8"/>
      <c r="K15" s="8"/>
      <c r="L15" s="7"/>
    </row>
    <row r="16" spans="1:12" x14ac:dyDescent="0.25">
      <c r="A16" s="60">
        <f t="shared" si="1"/>
        <v>2.0005000000000011</v>
      </c>
      <c r="B16" s="17" t="s">
        <v>144</v>
      </c>
      <c r="C16" s="18" t="s">
        <v>145</v>
      </c>
      <c r="D16" s="79"/>
      <c r="E16" s="17"/>
      <c r="F16" s="19"/>
      <c r="G16" s="19"/>
      <c r="H16" s="19"/>
      <c r="I16" s="19"/>
      <c r="J16" s="19"/>
      <c r="K16" s="19"/>
      <c r="L16" s="7"/>
    </row>
    <row r="17" spans="1:12" x14ac:dyDescent="0.25">
      <c r="A17" s="5">
        <f t="shared" si="1"/>
        <v>2.0006000000000013</v>
      </c>
      <c r="B17" s="6" t="s">
        <v>146</v>
      </c>
      <c r="C17" s="6" t="s">
        <v>147</v>
      </c>
      <c r="D17" s="78" t="s">
        <v>148</v>
      </c>
      <c r="E17" s="7"/>
      <c r="F17" s="8"/>
      <c r="G17" s="8">
        <f t="shared" ref="G17:J18" si="3">IF($F17=G$1,1,0)</f>
        <v>0</v>
      </c>
      <c r="H17" s="8">
        <f t="shared" si="3"/>
        <v>0</v>
      </c>
      <c r="I17" s="8">
        <f t="shared" si="3"/>
        <v>1</v>
      </c>
      <c r="J17" s="8">
        <f t="shared" si="3"/>
        <v>0</v>
      </c>
      <c r="K17" s="8"/>
      <c r="L17" s="7"/>
    </row>
    <row r="18" spans="1:12" x14ac:dyDescent="0.25">
      <c r="A18" s="5">
        <f t="shared" si="1"/>
        <v>2.0007000000000015</v>
      </c>
      <c r="B18" s="6"/>
      <c r="C18" s="6" t="s">
        <v>149</v>
      </c>
      <c r="D18" s="78" t="s">
        <v>214</v>
      </c>
      <c r="E18" s="7"/>
      <c r="F18" s="8"/>
      <c r="G18" s="8">
        <f t="shared" si="3"/>
        <v>0</v>
      </c>
      <c r="H18" s="8">
        <f t="shared" si="3"/>
        <v>0</v>
      </c>
      <c r="I18" s="8">
        <f t="shared" si="3"/>
        <v>1</v>
      </c>
      <c r="J18" s="8">
        <f t="shared" si="3"/>
        <v>0</v>
      </c>
      <c r="K18" s="8"/>
      <c r="L18" s="7"/>
    </row>
    <row r="19" spans="1:12" x14ac:dyDescent="0.25">
      <c r="A19" s="5">
        <f t="shared" si="1"/>
        <v>2.0008000000000017</v>
      </c>
      <c r="B19" s="6"/>
      <c r="C19" s="6"/>
      <c r="D19" s="78"/>
      <c r="E19" s="7"/>
      <c r="F19" s="8"/>
      <c r="G19" s="8"/>
      <c r="H19" s="8"/>
      <c r="I19" s="8"/>
      <c r="J19" s="8"/>
      <c r="K19" s="8"/>
      <c r="L19" s="7"/>
    </row>
    <row r="20" spans="1:12" x14ac:dyDescent="0.25">
      <c r="A20" s="60">
        <f t="shared" si="1"/>
        <v>2.0009000000000019</v>
      </c>
      <c r="B20" s="17" t="s">
        <v>150</v>
      </c>
      <c r="C20" s="18"/>
      <c r="D20" s="79"/>
      <c r="E20" s="17"/>
      <c r="F20" s="19"/>
      <c r="G20" s="19"/>
      <c r="H20" s="19"/>
      <c r="I20" s="19"/>
      <c r="J20" s="19"/>
      <c r="K20" s="19"/>
      <c r="L20" s="7"/>
    </row>
    <row r="21" spans="1:12" ht="25.5" x14ac:dyDescent="0.25">
      <c r="A21" s="5">
        <f t="shared" si="1"/>
        <v>2.0010000000000021</v>
      </c>
      <c r="B21" s="6" t="s">
        <v>151</v>
      </c>
      <c r="C21" s="6" t="s">
        <v>152</v>
      </c>
      <c r="D21" s="78" t="s">
        <v>153</v>
      </c>
      <c r="E21" s="7"/>
      <c r="F21" s="8"/>
      <c r="G21" s="8">
        <f t="shared" ref="G21:J21" si="4">IF($F21=G$1,1,0)</f>
        <v>0</v>
      </c>
      <c r="H21" s="8">
        <f t="shared" si="4"/>
        <v>0</v>
      </c>
      <c r="I21" s="8">
        <f t="shared" si="4"/>
        <v>1</v>
      </c>
      <c r="J21" s="8">
        <f t="shared" si="4"/>
        <v>0</v>
      </c>
      <c r="K21" s="8"/>
      <c r="L21" s="7"/>
    </row>
    <row r="22" spans="1:12" x14ac:dyDescent="0.25">
      <c r="A22" s="5">
        <f t="shared" si="1"/>
        <v>2.0011000000000023</v>
      </c>
      <c r="B22" s="6"/>
      <c r="C22" s="6"/>
      <c r="D22" s="78" t="s">
        <v>215</v>
      </c>
      <c r="E22" s="7"/>
      <c r="F22" s="8"/>
      <c r="G22" s="8"/>
      <c r="H22" s="8"/>
      <c r="I22" s="8"/>
      <c r="J22" s="8"/>
      <c r="K22" s="8"/>
      <c r="L22" s="7"/>
    </row>
    <row r="23" spans="1:12" x14ac:dyDescent="0.25">
      <c r="A23" s="5">
        <f t="shared" si="1"/>
        <v>2.0012000000000025</v>
      </c>
      <c r="B23" s="6"/>
      <c r="C23" s="6"/>
      <c r="D23" s="78"/>
      <c r="E23" s="7"/>
      <c r="F23" s="8"/>
      <c r="G23" s="8"/>
      <c r="H23" s="8"/>
      <c r="I23" s="8"/>
      <c r="J23" s="8"/>
      <c r="K23" s="8"/>
      <c r="L23" s="7"/>
    </row>
    <row r="24" spans="1:12" x14ac:dyDescent="0.25">
      <c r="A24" s="5">
        <f t="shared" si="1"/>
        <v>2.0013000000000027</v>
      </c>
      <c r="B24" s="6"/>
      <c r="C24" s="6"/>
      <c r="D24" s="78"/>
      <c r="E24" s="7"/>
      <c r="F24" s="8"/>
      <c r="G24" s="8"/>
      <c r="H24" s="8"/>
      <c r="I24" s="8"/>
      <c r="J24" s="8"/>
      <c r="K24" s="8"/>
      <c r="L24" s="7"/>
    </row>
    <row r="25" spans="1:12" x14ac:dyDescent="0.25">
      <c r="A25" s="5">
        <f t="shared" si="1"/>
        <v>2.001400000000003</v>
      </c>
      <c r="B25" s="7"/>
      <c r="C25" s="6"/>
      <c r="D25" s="78"/>
      <c r="E25" s="7"/>
      <c r="F25" s="8"/>
      <c r="G25" s="8"/>
      <c r="H25" s="8"/>
      <c r="I25" s="8"/>
      <c r="J25" s="8"/>
      <c r="K25" s="8"/>
      <c r="L25" s="7"/>
    </row>
    <row r="26" spans="1:12" x14ac:dyDescent="0.25">
      <c r="A26" s="5" t="e">
        <f>#REF!+0.0001</f>
        <v>#REF!</v>
      </c>
      <c r="B26" s="7"/>
      <c r="C26" s="6"/>
      <c r="D26" s="78"/>
      <c r="E26" s="7"/>
      <c r="F26" s="8"/>
      <c r="G26" s="8"/>
      <c r="H26" s="8"/>
      <c r="I26" s="8"/>
      <c r="J26" s="8"/>
      <c r="K26" s="8"/>
      <c r="L26" s="7"/>
    </row>
    <row r="27" spans="1:12" ht="15.75" thickBot="1" x14ac:dyDescent="0.3">
      <c r="G27" s="2">
        <f>SUM(G2:G26)</f>
        <v>0</v>
      </c>
      <c r="H27" s="2">
        <f>SUM(H2:H26)</f>
        <v>0</v>
      </c>
      <c r="I27" s="2">
        <f>SUM(I2:I26)</f>
        <v>7</v>
      </c>
      <c r="J27" s="2">
        <f>SUM(J2:J26)</f>
        <v>0</v>
      </c>
      <c r="K27" s="2">
        <f>SUM(K2:K26)</f>
        <v>0</v>
      </c>
    </row>
    <row r="28" spans="1:12" ht="15.75" thickTop="1" x14ac:dyDescent="0.25"/>
    <row r="29" spans="1:12" x14ac:dyDescent="0.25">
      <c r="G29" s="8">
        <f>IF($F29=G$1,1,0)</f>
        <v>0</v>
      </c>
      <c r="H29" s="8">
        <f>IF($F29=H$1,1,0)</f>
        <v>0</v>
      </c>
      <c r="I29" s="8">
        <f t="shared" ref="I29:K29" si="5">IF($F29=I$1,1,0)</f>
        <v>1</v>
      </c>
      <c r="J29" s="8">
        <f t="shared" si="5"/>
        <v>0</v>
      </c>
      <c r="K29" s="8">
        <f t="shared" si="5"/>
        <v>0</v>
      </c>
    </row>
  </sheetData>
  <conditionalFormatting sqref="A27:K46 A2:K2 A5:K8 K3:K4 B26:K26 A14:A26 B21:C25 L26:L46 A3:F4">
    <cfRule type="expression" dxfId="193" priority="29">
      <formula>$F2="Fail"</formula>
    </cfRule>
  </conditionalFormatting>
  <conditionalFormatting sqref="A9:K9 B14:K15 B13:C13 A10:E11 K10:K11">
    <cfRule type="expression" dxfId="192" priority="28">
      <formula>$F9="Fail"</formula>
    </cfRule>
  </conditionalFormatting>
  <conditionalFormatting sqref="B25:C25">
    <cfRule type="expression" dxfId="191" priority="27">
      <formula>$F25="Fail"</formula>
    </cfRule>
  </conditionalFormatting>
  <conditionalFormatting sqref="B19:K19 B15:C15 K17:K18 B17:E18">
    <cfRule type="expression" dxfId="190" priority="26">
      <formula>$F15="Fail"</formula>
    </cfRule>
  </conditionalFormatting>
  <conditionalFormatting sqref="B19:C19 D22:K25 D21:E21 K21">
    <cfRule type="expression" dxfId="189" priority="25">
      <formula>$F19="Fail"</formula>
    </cfRule>
  </conditionalFormatting>
  <conditionalFormatting sqref="A13:K13">
    <cfRule type="expression" dxfId="188" priority="24">
      <formula>$F13="Fail"</formula>
    </cfRule>
  </conditionalFormatting>
  <conditionalFormatting sqref="A12:K12">
    <cfRule type="expression" dxfId="187" priority="23">
      <formula>$F12="Fail"</formula>
    </cfRule>
  </conditionalFormatting>
  <conditionalFormatting sqref="B12:C12">
    <cfRule type="expression" dxfId="186" priority="22">
      <formula>$F12="Fail"</formula>
    </cfRule>
  </conditionalFormatting>
  <conditionalFormatting sqref="L2:L8">
    <cfRule type="expression" dxfId="185" priority="21">
      <formula>$F2="Fail"</formula>
    </cfRule>
  </conditionalFormatting>
  <conditionalFormatting sqref="L14:L15 L9:L11">
    <cfRule type="expression" dxfId="184" priority="20">
      <formula>$F9="Fail"</formula>
    </cfRule>
  </conditionalFormatting>
  <conditionalFormatting sqref="L16:L19">
    <cfRule type="expression" dxfId="183" priority="19">
      <formula>$F16="Fail"</formula>
    </cfRule>
  </conditionalFormatting>
  <conditionalFormatting sqref="L20:L25">
    <cfRule type="expression" dxfId="182" priority="18">
      <formula>$F20="Fail"</formula>
    </cfRule>
  </conditionalFormatting>
  <conditionalFormatting sqref="L13">
    <cfRule type="expression" dxfId="181" priority="17">
      <formula>$F13="Fail"</formula>
    </cfRule>
  </conditionalFormatting>
  <conditionalFormatting sqref="L12">
    <cfRule type="expression" dxfId="180" priority="16">
      <formula>$F12="Fail"</formula>
    </cfRule>
  </conditionalFormatting>
  <conditionalFormatting sqref="B16:E16">
    <cfRule type="expression" dxfId="179" priority="15">
      <formula>$F16="Fail"</formula>
    </cfRule>
  </conditionalFormatting>
  <conditionalFormatting sqref="B20:D20">
    <cfRule type="expression" dxfId="178" priority="14">
      <formula>$F20="Fail"</formula>
    </cfRule>
  </conditionalFormatting>
  <conditionalFormatting sqref="E20">
    <cfRule type="expression" dxfId="177" priority="13">
      <formula>$F20="Fail"</formula>
    </cfRule>
  </conditionalFormatting>
  <conditionalFormatting sqref="G3:J3">
    <cfRule type="expression" dxfId="176" priority="12">
      <formula>$F3="Fail"</formula>
    </cfRule>
  </conditionalFormatting>
  <conditionalFormatting sqref="G4:J4">
    <cfRule type="expression" dxfId="175" priority="11">
      <formula>$F4="Fail"</formula>
    </cfRule>
  </conditionalFormatting>
  <conditionalFormatting sqref="G10:J11">
    <cfRule type="expression" dxfId="174" priority="10">
      <formula>$F10="Fail"</formula>
    </cfRule>
  </conditionalFormatting>
  <conditionalFormatting sqref="G17:J18">
    <cfRule type="expression" dxfId="173" priority="9">
      <formula>$F17="Fail"</formula>
    </cfRule>
  </conditionalFormatting>
  <conditionalFormatting sqref="F16:K16">
    <cfRule type="expression" dxfId="172" priority="8">
      <formula>$F16="Fail"</formula>
    </cfRule>
  </conditionalFormatting>
  <conditionalFormatting sqref="F20:K20">
    <cfRule type="expression" dxfId="171" priority="7">
      <formula>$F20="Fail"</formula>
    </cfRule>
  </conditionalFormatting>
  <conditionalFormatting sqref="G21:J21">
    <cfRule type="expression" dxfId="170" priority="6">
      <formula>$F21="Fail"</formula>
    </cfRule>
  </conditionalFormatting>
  <conditionalFormatting sqref="F10">
    <cfRule type="expression" dxfId="169" priority="5">
      <formula>$F10="Fail"</formula>
    </cfRule>
  </conditionalFormatting>
  <conditionalFormatting sqref="F11">
    <cfRule type="expression" dxfId="168" priority="4">
      <formula>$F11="Fail"</formula>
    </cfRule>
  </conditionalFormatting>
  <conditionalFormatting sqref="F17">
    <cfRule type="expression" dxfId="167" priority="3">
      <formula>$F17="Fail"</formula>
    </cfRule>
  </conditionalFormatting>
  <conditionalFormatting sqref="F18">
    <cfRule type="expression" dxfId="166" priority="2">
      <formula>$F18="Fail"</formula>
    </cfRule>
  </conditionalFormatting>
  <conditionalFormatting sqref="F21">
    <cfRule type="expression" dxfId="165" priority="1">
      <formula>$F21="Fail"</formula>
    </cfRule>
  </conditionalFormatting>
  <dataValidations count="1">
    <dataValidation type="list" allowBlank="1" showInputMessage="1" showErrorMessage="1" sqref="F2:F26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57"/>
  <sheetViews>
    <sheetView zoomScaleNormal="100" workbookViewId="0">
      <pane ySplit="1" topLeftCell="A41" activePane="bottomLeft" state="frozen"/>
      <selection pane="bottomLeft" activeCell="F48" sqref="F47:F48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/>
      <c r="C3" s="9"/>
      <c r="D3" s="7"/>
      <c r="E3" s="6"/>
      <c r="F3" s="8"/>
      <c r="G3" s="8"/>
      <c r="H3" s="8"/>
      <c r="I3" s="8"/>
      <c r="J3" s="8"/>
      <c r="K3" s="8"/>
      <c r="L3" s="7"/>
    </row>
    <row r="4" spans="1:12" x14ac:dyDescent="0.25">
      <c r="A4" s="5">
        <f t="shared" ref="A4:A54" si="0">A3+0.0001</f>
        <v>1.0001</v>
      </c>
      <c r="B4" s="6"/>
      <c r="C4" s="9"/>
      <c r="D4" s="7"/>
      <c r="E4" s="6"/>
      <c r="F4" s="8"/>
      <c r="G4" s="8"/>
      <c r="H4" s="8"/>
      <c r="I4" s="8"/>
      <c r="J4" s="8"/>
      <c r="K4" s="8"/>
      <c r="L4" s="7"/>
    </row>
    <row r="5" spans="1:12" x14ac:dyDescent="0.25">
      <c r="A5" s="5">
        <f t="shared" si="0"/>
        <v>1.0002</v>
      </c>
      <c r="B5" s="6"/>
      <c r="C5" s="9"/>
      <c r="D5" s="7"/>
      <c r="E5" s="6"/>
      <c r="F5" s="8"/>
      <c r="G5" s="8"/>
      <c r="H5" s="8"/>
      <c r="I5" s="8"/>
      <c r="J5" s="8"/>
      <c r="K5" s="8"/>
      <c r="L5" s="7"/>
    </row>
    <row r="6" spans="1:12" x14ac:dyDescent="0.25">
      <c r="A6" s="5">
        <f t="shared" si="0"/>
        <v>1.0003</v>
      </c>
      <c r="B6" s="7"/>
      <c r="C6" s="6"/>
      <c r="D6" s="7"/>
      <c r="E6" s="7"/>
      <c r="F6" s="8"/>
      <c r="G6" s="8"/>
      <c r="H6" s="8"/>
      <c r="I6" s="8"/>
      <c r="J6" s="8"/>
      <c r="K6" s="8"/>
      <c r="L6" s="7"/>
    </row>
    <row r="7" spans="1:12" x14ac:dyDescent="0.25">
      <c r="A7" s="5">
        <f t="shared" si="0"/>
        <v>1.0004</v>
      </c>
      <c r="B7" s="6"/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x14ac:dyDescent="0.25">
      <c r="A8" s="5">
        <f t="shared" si="0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x14ac:dyDescent="0.25">
      <c r="A9" s="16">
        <v>2</v>
      </c>
      <c r="B9" s="17"/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x14ac:dyDescent="0.25">
      <c r="A10" s="5">
        <f t="shared" si="0"/>
        <v>2.0001000000000002</v>
      </c>
      <c r="B10" s="6"/>
      <c r="C10" s="9"/>
      <c r="D10" s="7"/>
      <c r="E10" s="6"/>
      <c r="F10" s="8"/>
      <c r="G10" s="8"/>
      <c r="H10" s="8"/>
      <c r="I10" s="8"/>
      <c r="J10" s="8"/>
      <c r="K10" s="8"/>
      <c r="L10" s="7"/>
    </row>
    <row r="11" spans="1:12" x14ac:dyDescent="0.25">
      <c r="A11" s="5">
        <f t="shared" si="0"/>
        <v>2.0002000000000004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x14ac:dyDescent="0.25">
      <c r="A12" s="5">
        <f t="shared" si="0"/>
        <v>2.0003000000000006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x14ac:dyDescent="0.25">
      <c r="A13" s="5">
        <f>A11+0.0001</f>
        <v>2.0003000000000006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x14ac:dyDescent="0.25">
      <c r="A14" s="5">
        <f>A11+0.0001</f>
        <v>2.0003000000000006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x14ac:dyDescent="0.25">
      <c r="A15" s="5">
        <f t="shared" si="0"/>
        <v>2.0004000000000008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x14ac:dyDescent="0.25">
      <c r="A16" s="5">
        <f t="shared" si="0"/>
        <v>2.0005000000000011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x14ac:dyDescent="0.25">
      <c r="A17" s="5">
        <f t="shared" si="0"/>
        <v>2.0006000000000013</v>
      </c>
      <c r="B17" s="6"/>
      <c r="C17" s="6"/>
      <c r="D17" s="7"/>
      <c r="E17" s="7"/>
      <c r="F17" s="8"/>
      <c r="G17" s="8"/>
      <c r="H17" s="8"/>
      <c r="I17" s="8"/>
      <c r="J17" s="8"/>
      <c r="K17" s="8"/>
      <c r="L17" s="7"/>
    </row>
    <row r="18" spans="1:12" x14ac:dyDescent="0.25">
      <c r="A18" s="5">
        <f t="shared" si="0"/>
        <v>2.0007000000000015</v>
      </c>
      <c r="B18" s="6"/>
      <c r="C18" s="6"/>
      <c r="D18" s="7"/>
      <c r="E18" s="7"/>
      <c r="F18" s="8"/>
      <c r="G18" s="8"/>
      <c r="H18" s="8"/>
      <c r="I18" s="8"/>
      <c r="J18" s="8"/>
      <c r="K18" s="8"/>
      <c r="L18" s="7"/>
    </row>
    <row r="19" spans="1:12" x14ac:dyDescent="0.25">
      <c r="A19" s="5">
        <f t="shared" si="0"/>
        <v>2.0008000000000017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x14ac:dyDescent="0.25">
      <c r="A20" s="5">
        <f t="shared" si="0"/>
        <v>2.0009000000000019</v>
      </c>
      <c r="B20" s="6"/>
      <c r="C20" s="6"/>
      <c r="D20" s="7"/>
      <c r="E20" s="7"/>
      <c r="F20" s="8"/>
      <c r="G20" s="8"/>
      <c r="H20" s="8"/>
      <c r="I20" s="8"/>
      <c r="J20" s="8"/>
      <c r="K20" s="8"/>
      <c r="L20" s="7"/>
    </row>
    <row r="21" spans="1:12" x14ac:dyDescent="0.25">
      <c r="A21" s="5">
        <f t="shared" si="0"/>
        <v>2.0010000000000021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x14ac:dyDescent="0.25">
      <c r="A22" s="5">
        <f t="shared" si="0"/>
        <v>2.0011000000000023</v>
      </c>
      <c r="B22" s="6"/>
      <c r="C22" s="6"/>
      <c r="D22" s="7"/>
      <c r="E22" s="7"/>
      <c r="F22" s="8"/>
      <c r="G22" s="8"/>
      <c r="H22" s="8"/>
      <c r="I22" s="8"/>
      <c r="J22" s="8"/>
      <c r="K22" s="8"/>
      <c r="L22" s="7"/>
    </row>
    <row r="23" spans="1:12" x14ac:dyDescent="0.25">
      <c r="A23" s="5">
        <f t="shared" si="0"/>
        <v>2.0012000000000025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x14ac:dyDescent="0.25">
      <c r="A24" s="5">
        <f t="shared" si="0"/>
        <v>2.0013000000000027</v>
      </c>
      <c r="B24" s="6"/>
      <c r="C24" s="6"/>
      <c r="D24" s="7"/>
      <c r="E24" s="7"/>
      <c r="F24" s="8"/>
      <c r="G24" s="8"/>
      <c r="H24" s="8"/>
      <c r="I24" s="8"/>
      <c r="J24" s="8"/>
      <c r="K24" s="8"/>
      <c r="L24" s="7"/>
    </row>
    <row r="25" spans="1:12" x14ac:dyDescent="0.25">
      <c r="A25" s="5">
        <f t="shared" si="0"/>
        <v>2.001400000000003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x14ac:dyDescent="0.25">
      <c r="A26" s="5">
        <f t="shared" si="0"/>
        <v>2.0015000000000032</v>
      </c>
      <c r="B26" s="6"/>
      <c r="C26" s="6"/>
      <c r="D26" s="7"/>
      <c r="E26" s="7"/>
      <c r="F26" s="8"/>
      <c r="G26" s="8"/>
      <c r="H26" s="8"/>
      <c r="I26" s="8"/>
      <c r="J26" s="8"/>
      <c r="K26" s="8"/>
      <c r="L26" s="7"/>
    </row>
    <row r="27" spans="1:12" x14ac:dyDescent="0.25">
      <c r="A27" s="5">
        <f t="shared" si="0"/>
        <v>2.0016000000000034</v>
      </c>
      <c r="B27" s="6"/>
      <c r="C27" s="6"/>
      <c r="D27" s="7"/>
      <c r="E27" s="7"/>
      <c r="F27" s="8"/>
      <c r="G27" s="8"/>
      <c r="H27" s="8"/>
      <c r="I27" s="8"/>
      <c r="J27" s="8"/>
      <c r="K27" s="8"/>
      <c r="L27" s="7"/>
    </row>
    <row r="28" spans="1:12" x14ac:dyDescent="0.25">
      <c r="A28" s="5">
        <f t="shared" si="0"/>
        <v>2.0017000000000036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25">
      <c r="A29" s="5">
        <f t="shared" si="0"/>
        <v>2.0018000000000038</v>
      </c>
      <c r="B29" s="6"/>
      <c r="C29" s="6"/>
      <c r="D29" s="7"/>
      <c r="E29" s="7"/>
      <c r="F29" s="8"/>
      <c r="G29" s="8"/>
      <c r="H29" s="8"/>
      <c r="I29" s="8"/>
      <c r="J29" s="8"/>
      <c r="K29" s="8"/>
      <c r="L29" s="7"/>
    </row>
    <row r="30" spans="1:12" x14ac:dyDescent="0.25">
      <c r="A30" s="5">
        <f t="shared" si="0"/>
        <v>2.001900000000004</v>
      </c>
      <c r="B30" s="6"/>
      <c r="C30" s="6"/>
      <c r="D30" s="7"/>
      <c r="E30" s="7"/>
      <c r="F30" s="8"/>
      <c r="G30" s="8"/>
      <c r="H30" s="8"/>
      <c r="I30" s="8"/>
      <c r="J30" s="8"/>
      <c r="K30" s="8"/>
      <c r="L30" s="7"/>
    </row>
    <row r="31" spans="1:12" x14ac:dyDescent="0.25">
      <c r="A31" s="5">
        <f t="shared" si="0"/>
        <v>2.0020000000000042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x14ac:dyDescent="0.25">
      <c r="A32" s="5">
        <f t="shared" si="0"/>
        <v>2.0021000000000044</v>
      </c>
      <c r="B32" s="7"/>
      <c r="C32" s="6"/>
      <c r="D32" s="7"/>
      <c r="E32" s="7"/>
      <c r="F32" s="8"/>
      <c r="G32" s="8"/>
      <c r="H32" s="8"/>
      <c r="I32" s="8"/>
      <c r="J32" s="8"/>
      <c r="K32" s="8"/>
      <c r="L32" s="7"/>
    </row>
    <row r="33" spans="1:12" x14ac:dyDescent="0.25">
      <c r="A33" s="5">
        <f t="shared" si="0"/>
        <v>2.0022000000000046</v>
      </c>
      <c r="B33" s="7"/>
      <c r="C33" s="6"/>
      <c r="D33" s="7"/>
      <c r="E33" s="7"/>
      <c r="F33" s="8"/>
      <c r="G33" s="8"/>
      <c r="H33" s="8"/>
      <c r="I33" s="8"/>
      <c r="J33" s="8"/>
      <c r="K33" s="8"/>
      <c r="L33" s="7"/>
    </row>
    <row r="34" spans="1:12" x14ac:dyDescent="0.25">
      <c r="A34" s="5">
        <f t="shared" si="0"/>
        <v>2.0023000000000049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x14ac:dyDescent="0.25">
      <c r="A35" s="5">
        <f t="shared" si="0"/>
        <v>2.0024000000000051</v>
      </c>
      <c r="B35" s="7"/>
      <c r="C35" s="6"/>
      <c r="D35" s="7"/>
      <c r="E35" s="7"/>
      <c r="F35" s="8"/>
      <c r="G35" s="8"/>
      <c r="H35" s="8"/>
      <c r="I35" s="8"/>
      <c r="J35" s="8"/>
      <c r="K35" s="8"/>
      <c r="L35" s="7"/>
    </row>
    <row r="36" spans="1:12" x14ac:dyDescent="0.25">
      <c r="A36" s="5">
        <f t="shared" si="0"/>
        <v>2.0025000000000053</v>
      </c>
      <c r="B36" s="6"/>
      <c r="C36" s="9"/>
      <c r="D36" s="7"/>
      <c r="E36" s="7"/>
      <c r="F36" s="8"/>
      <c r="G36" s="8"/>
      <c r="H36" s="8"/>
      <c r="I36" s="8"/>
      <c r="J36" s="8"/>
      <c r="K36" s="8"/>
      <c r="L36" s="7"/>
    </row>
    <row r="37" spans="1:12" x14ac:dyDescent="0.25">
      <c r="A37" s="5">
        <f t="shared" si="0"/>
        <v>2.0026000000000055</v>
      </c>
      <c r="B37" s="7"/>
      <c r="C37" s="6"/>
      <c r="D37" s="7"/>
      <c r="E37" s="7"/>
      <c r="F37" s="8"/>
      <c r="G37" s="8"/>
      <c r="H37" s="8"/>
      <c r="I37" s="8"/>
      <c r="J37" s="8"/>
      <c r="K37" s="8"/>
      <c r="L37" s="7"/>
    </row>
    <row r="38" spans="1:12" x14ac:dyDescent="0.25">
      <c r="A38" s="5">
        <f t="shared" si="0"/>
        <v>2.0027000000000057</v>
      </c>
      <c r="B38" s="6"/>
      <c r="C38" s="6"/>
      <c r="D38" s="7"/>
      <c r="E38" s="7"/>
      <c r="F38" s="8"/>
      <c r="G38" s="8"/>
      <c r="H38" s="8"/>
      <c r="I38" s="8"/>
      <c r="J38" s="8"/>
      <c r="K38" s="8"/>
      <c r="L38" s="7"/>
    </row>
    <row r="39" spans="1:12" x14ac:dyDescent="0.25">
      <c r="A39" s="5">
        <f t="shared" si="0"/>
        <v>2.0028000000000059</v>
      </c>
      <c r="B39" s="6"/>
      <c r="C39" s="6"/>
      <c r="D39" s="7"/>
      <c r="E39" s="7"/>
      <c r="F39" s="8"/>
      <c r="G39" s="8"/>
      <c r="H39" s="8"/>
      <c r="I39" s="8"/>
      <c r="J39" s="8"/>
      <c r="K39" s="8"/>
      <c r="L39" s="7"/>
    </row>
    <row r="40" spans="1:12" x14ac:dyDescent="0.25">
      <c r="A40" s="5">
        <f t="shared" si="0"/>
        <v>2.0029000000000061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x14ac:dyDescent="0.25">
      <c r="A41" s="5">
        <f t="shared" si="0"/>
        <v>2.0030000000000063</v>
      </c>
      <c r="B41" s="6"/>
      <c r="C41" s="6"/>
      <c r="D41" s="7"/>
      <c r="E41" s="7"/>
      <c r="F41" s="8"/>
      <c r="G41" s="8"/>
      <c r="H41" s="8"/>
      <c r="I41" s="8"/>
      <c r="J41" s="8"/>
      <c r="K41" s="8"/>
      <c r="L41" s="7"/>
    </row>
    <row r="42" spans="1:12" x14ac:dyDescent="0.25">
      <c r="A42" s="5">
        <f t="shared" si="0"/>
        <v>2.0031000000000065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x14ac:dyDescent="0.25">
      <c r="A43" s="5">
        <f t="shared" si="0"/>
        <v>2.0032000000000068</v>
      </c>
      <c r="B43" s="6"/>
      <c r="C43" s="6"/>
      <c r="D43" s="7"/>
      <c r="E43" s="7"/>
      <c r="F43" s="8"/>
      <c r="G43" s="8"/>
      <c r="H43" s="8"/>
      <c r="I43" s="8"/>
      <c r="J43" s="8"/>
      <c r="K43" s="8"/>
      <c r="L43" s="7"/>
    </row>
    <row r="44" spans="1:12" x14ac:dyDescent="0.25">
      <c r="A44" s="5">
        <f t="shared" si="0"/>
        <v>2.003300000000007</v>
      </c>
      <c r="B44" s="6"/>
      <c r="C44" s="6"/>
      <c r="D44" s="7"/>
      <c r="E44" s="7"/>
      <c r="F44" s="8"/>
      <c r="G44" s="8"/>
      <c r="H44" s="8"/>
      <c r="I44" s="8"/>
      <c r="J44" s="8"/>
      <c r="K44" s="8"/>
      <c r="L44" s="7"/>
    </row>
    <row r="45" spans="1:12" x14ac:dyDescent="0.25">
      <c r="A45" s="5">
        <f t="shared" si="0"/>
        <v>2.0034000000000072</v>
      </c>
      <c r="B45" s="6"/>
      <c r="C45" s="6"/>
      <c r="D45" s="7"/>
      <c r="E45" s="7"/>
      <c r="F45" s="8"/>
      <c r="G45" s="8"/>
      <c r="H45" s="8"/>
      <c r="I45" s="8"/>
      <c r="J45" s="8"/>
      <c r="K45" s="8"/>
      <c r="L45" s="7"/>
    </row>
    <row r="46" spans="1:12" x14ac:dyDescent="0.25">
      <c r="A46" s="5">
        <f t="shared" si="0"/>
        <v>2.0035000000000074</v>
      </c>
      <c r="B46" s="7"/>
      <c r="C46" s="6"/>
      <c r="D46" s="7"/>
      <c r="E46" s="7"/>
      <c r="F46" s="8"/>
      <c r="G46" s="8"/>
      <c r="H46" s="8"/>
      <c r="I46" s="8"/>
      <c r="J46" s="8"/>
      <c r="K46" s="8"/>
      <c r="L46" s="7"/>
    </row>
    <row r="47" spans="1:12" x14ac:dyDescent="0.25">
      <c r="A47" s="5">
        <f t="shared" si="0"/>
        <v>2.0036000000000076</v>
      </c>
      <c r="B47" s="6"/>
      <c r="C47" s="6"/>
      <c r="D47" s="7"/>
      <c r="E47" s="7"/>
      <c r="F47" s="8"/>
      <c r="G47" s="8"/>
      <c r="H47" s="8"/>
      <c r="I47" s="8"/>
      <c r="J47" s="8"/>
      <c r="K47" s="8"/>
      <c r="L47" s="7"/>
    </row>
    <row r="48" spans="1:12" x14ac:dyDescent="0.25">
      <c r="A48" s="5">
        <f t="shared" si="0"/>
        <v>2.0037000000000078</v>
      </c>
      <c r="B48" s="6"/>
      <c r="C48" s="6"/>
      <c r="D48" s="7"/>
      <c r="E48" s="7"/>
      <c r="F48" s="8"/>
      <c r="G48" s="8"/>
      <c r="H48" s="8"/>
      <c r="I48" s="8"/>
      <c r="J48" s="8"/>
      <c r="K48" s="8"/>
      <c r="L48" s="7"/>
    </row>
    <row r="49" spans="1:12" x14ac:dyDescent="0.25">
      <c r="A49" s="5">
        <f t="shared" si="0"/>
        <v>2.003800000000008</v>
      </c>
      <c r="B49" s="6"/>
      <c r="C49" s="6"/>
      <c r="D49" s="7"/>
      <c r="E49" s="7"/>
      <c r="F49" s="8"/>
      <c r="G49" s="8"/>
      <c r="H49" s="8"/>
      <c r="I49" s="8"/>
      <c r="J49" s="8"/>
      <c r="K49" s="8"/>
      <c r="L49" s="7"/>
    </row>
    <row r="50" spans="1:12" x14ac:dyDescent="0.25">
      <c r="A50" s="5">
        <f t="shared" si="0"/>
        <v>2.0039000000000082</v>
      </c>
      <c r="B50" s="6"/>
      <c r="C50" s="6"/>
      <c r="D50" s="7"/>
      <c r="E50" s="7"/>
      <c r="F50" s="8"/>
      <c r="G50" s="8"/>
      <c r="H50" s="8"/>
      <c r="I50" s="8"/>
      <c r="J50" s="8"/>
      <c r="K50" s="8"/>
      <c r="L50" s="7"/>
    </row>
    <row r="51" spans="1:12" x14ac:dyDescent="0.25">
      <c r="A51" s="5">
        <f t="shared" si="0"/>
        <v>2.0040000000000084</v>
      </c>
      <c r="B51" s="6"/>
      <c r="C51" s="6"/>
      <c r="D51" s="7"/>
      <c r="E51" s="7"/>
      <c r="F51" s="8"/>
      <c r="G51" s="8"/>
      <c r="H51" s="8"/>
      <c r="I51" s="8"/>
      <c r="J51" s="8"/>
      <c r="K51" s="8"/>
      <c r="L51" s="7"/>
    </row>
    <row r="52" spans="1:12" x14ac:dyDescent="0.25">
      <c r="A52" s="5">
        <f t="shared" si="0"/>
        <v>2.0041000000000087</v>
      </c>
      <c r="B52" s="7"/>
      <c r="C52" s="6"/>
      <c r="D52" s="7"/>
      <c r="E52" s="7"/>
      <c r="F52" s="8"/>
      <c r="G52" s="8"/>
      <c r="H52" s="8"/>
      <c r="I52" s="8"/>
      <c r="J52" s="8"/>
      <c r="K52" s="8"/>
      <c r="L52" s="7"/>
    </row>
    <row r="53" spans="1:12" x14ac:dyDescent="0.25">
      <c r="A53" s="5">
        <f t="shared" si="0"/>
        <v>2.0042000000000089</v>
      </c>
      <c r="B53" s="7"/>
      <c r="C53" s="6"/>
      <c r="D53" s="7"/>
      <c r="E53" s="7"/>
      <c r="F53" s="8"/>
      <c r="G53" s="8"/>
      <c r="H53" s="8"/>
      <c r="I53" s="8"/>
      <c r="J53" s="8"/>
      <c r="K53" s="8"/>
      <c r="L53" s="7"/>
    </row>
    <row r="54" spans="1:12" x14ac:dyDescent="0.25">
      <c r="A54" s="5">
        <f t="shared" si="0"/>
        <v>2.0043000000000091</v>
      </c>
      <c r="B54" s="7"/>
      <c r="C54" s="6"/>
      <c r="D54" s="7"/>
      <c r="E54" s="7"/>
      <c r="F54" s="8"/>
      <c r="G54" s="8"/>
      <c r="H54" s="8"/>
      <c r="I54" s="8"/>
      <c r="J54" s="8"/>
      <c r="K54" s="8"/>
      <c r="L54" s="7"/>
    </row>
    <row r="55" spans="1:12" ht="15.75" thickBot="1" x14ac:dyDescent="0.3">
      <c r="G55" s="2">
        <f>SUM(G2:G54)</f>
        <v>0</v>
      </c>
      <c r="H55" s="2">
        <f>SUM(H2:H54)</f>
        <v>0</v>
      </c>
      <c r="I55" s="2">
        <f>SUM(I2:I54)</f>
        <v>0</v>
      </c>
      <c r="J55" s="2">
        <f>SUM(J2:J54)</f>
        <v>0</v>
      </c>
      <c r="K55" s="2">
        <f>SUM(K2:K54)</f>
        <v>0</v>
      </c>
    </row>
    <row r="56" spans="1:12" ht="15.75" thickTop="1" x14ac:dyDescent="0.25"/>
    <row r="57" spans="1:12" x14ac:dyDescent="0.25">
      <c r="G57" s="8">
        <f>IF($F57=G$1,1,0)</f>
        <v>0</v>
      </c>
      <c r="H57" s="8">
        <f>IF($F57=H$1,1,0)</f>
        <v>0</v>
      </c>
      <c r="I57" s="8">
        <f t="shared" ref="I57:K57" si="1">IF($F57=I$1,1,0)</f>
        <v>1</v>
      </c>
      <c r="J57" s="8">
        <f t="shared" si="1"/>
        <v>0</v>
      </c>
      <c r="K57" s="8">
        <f t="shared" si="1"/>
        <v>0</v>
      </c>
    </row>
  </sheetData>
  <conditionalFormatting sqref="B47:K54 A2:K8 A55:K74">
    <cfRule type="expression" dxfId="164" priority="19">
      <formula>$F2="Fail"</formula>
    </cfRule>
  </conditionalFormatting>
  <conditionalFormatting sqref="A9:K9 B34:K40 B14:K15 A14:A54 B13:C13 A10:E11 G10:K11 B16:C16 B33:C33">
    <cfRule type="expression" dxfId="163" priority="18">
      <formula>$F9="Fail"</formula>
    </cfRule>
  </conditionalFormatting>
  <conditionalFormatting sqref="B41:K46">
    <cfRule type="expression" dxfId="162" priority="17">
      <formula>$F41="Fail"</formula>
    </cfRule>
  </conditionalFormatting>
  <conditionalFormatting sqref="B26:K33 B25:C25 B34:C34">
    <cfRule type="expression" dxfId="161" priority="16">
      <formula>$F25="Fail"</formula>
    </cfRule>
  </conditionalFormatting>
  <conditionalFormatting sqref="B16:K19 B15:C15 B20:C20">
    <cfRule type="expression" dxfId="160" priority="15">
      <formula>$F15="Fail"</formula>
    </cfRule>
  </conditionalFormatting>
  <conditionalFormatting sqref="B19:C26 D20:K25">
    <cfRule type="expression" dxfId="159" priority="14">
      <formula>$F19="Fail"</formula>
    </cfRule>
  </conditionalFormatting>
  <conditionalFormatting sqref="A13:K13">
    <cfRule type="expression" dxfId="158" priority="13">
      <formula>$F13="Fail"</formula>
    </cfRule>
  </conditionalFormatting>
  <conditionalFormatting sqref="A12:K12">
    <cfRule type="expression" dxfId="157" priority="12">
      <formula>$F12="Fail"</formula>
    </cfRule>
  </conditionalFormatting>
  <conditionalFormatting sqref="B12:C12">
    <cfRule type="expression" dxfId="156" priority="11">
      <formula>$F12="Fail"</formula>
    </cfRule>
  </conditionalFormatting>
  <conditionalFormatting sqref="F10">
    <cfRule type="expression" dxfId="155" priority="10">
      <formula>$F10="Fail"</formula>
    </cfRule>
  </conditionalFormatting>
  <conditionalFormatting sqref="F11">
    <cfRule type="expression" dxfId="154" priority="9">
      <formula>$F11="Fail"</formula>
    </cfRule>
  </conditionalFormatting>
  <conditionalFormatting sqref="L47:L74 L2:L8">
    <cfRule type="expression" dxfId="153" priority="8">
      <formula>$F2="Fail"</formula>
    </cfRule>
  </conditionalFormatting>
  <conditionalFormatting sqref="L34:L40 L14:L15 L9:L11">
    <cfRule type="expression" dxfId="152" priority="7">
      <formula>$F9="Fail"</formula>
    </cfRule>
  </conditionalFormatting>
  <conditionalFormatting sqref="L41:L46">
    <cfRule type="expression" dxfId="151" priority="6">
      <formula>$F41="Fail"</formula>
    </cfRule>
  </conditionalFormatting>
  <conditionalFormatting sqref="L26:L33">
    <cfRule type="expression" dxfId="150" priority="5">
      <formula>$F26="Fail"</formula>
    </cfRule>
  </conditionalFormatting>
  <conditionalFormatting sqref="L16:L19">
    <cfRule type="expression" dxfId="149" priority="4">
      <formula>$F16="Fail"</formula>
    </cfRule>
  </conditionalFormatting>
  <conditionalFormatting sqref="L20:L25">
    <cfRule type="expression" dxfId="148" priority="3">
      <formula>$F20="Fail"</formula>
    </cfRule>
  </conditionalFormatting>
  <conditionalFormatting sqref="L13">
    <cfRule type="expression" dxfId="147" priority="2">
      <formula>$F13="Fail"</formula>
    </cfRule>
  </conditionalFormatting>
  <conditionalFormatting sqref="L12">
    <cfRule type="expression" dxfId="146" priority="1">
      <formula>$F12="Fail"</formula>
    </cfRule>
  </conditionalFormatting>
  <dataValidations count="1">
    <dataValidation type="list" allowBlank="1" showInputMessage="1" showErrorMessage="1" sqref="F2:F5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10"/>
  <sheetViews>
    <sheetView zoomScaleNormal="100"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1" max="1" width="11.28515625" style="4" bestFit="1" customWidth="1"/>
    <col min="2" max="2" width="34" style="1" customWidth="1"/>
    <col min="3" max="3" width="32.85546875" style="1" customWidth="1"/>
    <col min="4" max="4" width="33.85546875" style="1" customWidth="1"/>
    <col min="5" max="5" width="39" style="144" customWidth="1"/>
    <col min="6" max="6" width="20.42578125" style="1" customWidth="1"/>
    <col min="7" max="7" width="14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42" t="s">
        <v>225</v>
      </c>
      <c r="F1" s="12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20" customFormat="1" ht="25.5" x14ac:dyDescent="0.25">
      <c r="A2" s="16">
        <v>1</v>
      </c>
      <c r="B2" s="17" t="s">
        <v>29</v>
      </c>
      <c r="C2" s="18"/>
      <c r="D2" s="17"/>
      <c r="E2" s="79"/>
      <c r="F2" s="17"/>
      <c r="G2" s="19"/>
      <c r="H2" s="19"/>
      <c r="I2" s="19"/>
      <c r="J2" s="19"/>
      <c r="K2" s="19"/>
      <c r="L2" s="19"/>
      <c r="M2" s="17"/>
    </row>
    <row r="3" spans="1:13" x14ac:dyDescent="0.25">
      <c r="A3" s="5">
        <v>1.0001</v>
      </c>
      <c r="B3" s="6"/>
      <c r="C3" s="9" t="s">
        <v>21</v>
      </c>
      <c r="D3" s="7" t="s">
        <v>22</v>
      </c>
      <c r="E3" s="78" t="s">
        <v>216</v>
      </c>
      <c r="F3" s="6"/>
      <c r="G3" s="8"/>
      <c r="H3" s="8">
        <f t="shared" ref="H3:K3" si="0">IF($G3=H$1,1,0)</f>
        <v>0</v>
      </c>
      <c r="I3" s="8">
        <f t="shared" si="0"/>
        <v>0</v>
      </c>
      <c r="J3" s="8">
        <f t="shared" si="0"/>
        <v>1</v>
      </c>
      <c r="K3" s="8">
        <f t="shared" si="0"/>
        <v>0</v>
      </c>
      <c r="L3" s="8">
        <f t="shared" ref="L3:L8" si="1">IF($G3=L$1,1,0)</f>
        <v>0</v>
      </c>
      <c r="M3" s="7"/>
    </row>
    <row r="4" spans="1:13" s="20" customFormat="1" x14ac:dyDescent="0.25">
      <c r="A4" s="16">
        <v>2</v>
      </c>
      <c r="B4" s="17" t="s">
        <v>18</v>
      </c>
      <c r="C4" s="18"/>
      <c r="D4" s="17"/>
      <c r="E4" s="79"/>
      <c r="F4" s="17"/>
      <c r="G4" s="19"/>
      <c r="H4" s="19"/>
      <c r="I4" s="19"/>
      <c r="J4" s="19"/>
      <c r="K4" s="19"/>
      <c r="L4" s="19"/>
      <c r="M4" s="17"/>
    </row>
    <row r="5" spans="1:13" ht="25.5" x14ac:dyDescent="0.25">
      <c r="A5" s="5">
        <f t="shared" ref="A5:A7" si="2">A4+0.0001</f>
        <v>2.0001000000000002</v>
      </c>
      <c r="B5" s="6"/>
      <c r="C5" s="6" t="s">
        <v>19</v>
      </c>
      <c r="D5" s="7" t="s">
        <v>20</v>
      </c>
      <c r="E5" s="78" t="s">
        <v>217</v>
      </c>
      <c r="F5" s="6"/>
      <c r="G5" s="8"/>
      <c r="H5" s="8">
        <f t="shared" ref="H5:K8" si="3">IF($G5=H$1,1,0)</f>
        <v>0</v>
      </c>
      <c r="I5" s="8">
        <f t="shared" si="3"/>
        <v>0</v>
      </c>
      <c r="J5" s="8">
        <f t="shared" si="3"/>
        <v>1</v>
      </c>
      <c r="K5" s="8">
        <f t="shared" si="3"/>
        <v>0</v>
      </c>
      <c r="L5" s="8">
        <f t="shared" si="1"/>
        <v>0</v>
      </c>
      <c r="M5" s="7"/>
    </row>
    <row r="6" spans="1:13" ht="25.5" x14ac:dyDescent="0.25">
      <c r="A6" s="5">
        <f t="shared" si="2"/>
        <v>2.0002000000000004</v>
      </c>
      <c r="B6" s="6"/>
      <c r="C6" s="9" t="s">
        <v>23</v>
      </c>
      <c r="D6" s="7" t="s">
        <v>24</v>
      </c>
      <c r="E6" s="78" t="s">
        <v>218</v>
      </c>
      <c r="F6" s="6"/>
      <c r="G6" s="8"/>
      <c r="H6" s="8">
        <f t="shared" si="3"/>
        <v>0</v>
      </c>
      <c r="I6" s="8">
        <f t="shared" si="3"/>
        <v>0</v>
      </c>
      <c r="J6" s="8">
        <f t="shared" si="3"/>
        <v>1</v>
      </c>
      <c r="K6" s="8">
        <f t="shared" si="3"/>
        <v>0</v>
      </c>
      <c r="L6" s="8">
        <f t="shared" si="1"/>
        <v>0</v>
      </c>
      <c r="M6" s="7"/>
    </row>
    <row r="7" spans="1:13" x14ac:dyDescent="0.25">
      <c r="A7" s="5">
        <f t="shared" si="2"/>
        <v>2.0003000000000006</v>
      </c>
      <c r="B7" s="6"/>
      <c r="C7" s="9" t="s">
        <v>25</v>
      </c>
      <c r="D7" s="7" t="s">
        <v>26</v>
      </c>
      <c r="E7" s="78" t="s">
        <v>218</v>
      </c>
      <c r="F7" s="6"/>
      <c r="G7" s="8"/>
      <c r="H7" s="8">
        <f t="shared" si="3"/>
        <v>0</v>
      </c>
      <c r="I7" s="8">
        <f t="shared" si="3"/>
        <v>0</v>
      </c>
      <c r="J7" s="8">
        <f t="shared" si="3"/>
        <v>1</v>
      </c>
      <c r="K7" s="8">
        <f t="shared" si="3"/>
        <v>0</v>
      </c>
      <c r="L7" s="8">
        <f t="shared" si="1"/>
        <v>0</v>
      </c>
      <c r="M7" s="7"/>
    </row>
    <row r="8" spans="1:13" x14ac:dyDescent="0.25">
      <c r="A8" s="5">
        <f>A6+0.0001</f>
        <v>2.0003000000000006</v>
      </c>
      <c r="B8" s="6"/>
      <c r="C8" s="9" t="s">
        <v>27</v>
      </c>
      <c r="D8" s="7" t="s">
        <v>28</v>
      </c>
      <c r="E8" s="78" t="s">
        <v>219</v>
      </c>
      <c r="F8" s="6"/>
      <c r="G8" s="8"/>
      <c r="H8" s="8">
        <f t="shared" si="3"/>
        <v>0</v>
      </c>
      <c r="I8" s="8">
        <f t="shared" si="3"/>
        <v>0</v>
      </c>
      <c r="J8" s="8">
        <f t="shared" si="3"/>
        <v>1</v>
      </c>
      <c r="K8" s="8">
        <f t="shared" si="3"/>
        <v>0</v>
      </c>
      <c r="L8" s="8">
        <f t="shared" si="1"/>
        <v>0</v>
      </c>
      <c r="M8" s="7"/>
    </row>
    <row r="9" spans="1:13" ht="15.75" thickBot="1" x14ac:dyDescent="0.3">
      <c r="H9" s="2">
        <f>SUM(H2:H8)</f>
        <v>0</v>
      </c>
      <c r="I9" s="2">
        <f>SUM(I2:I8)</f>
        <v>0</v>
      </c>
      <c r="J9" s="2">
        <f>SUM(J2:J8)</f>
        <v>5</v>
      </c>
      <c r="K9" s="2">
        <f>SUM(K2:K8)</f>
        <v>0</v>
      </c>
      <c r="L9" s="2">
        <f>SUM(L2:L8)</f>
        <v>0</v>
      </c>
    </row>
    <row r="10" spans="1:13" ht="15.75" thickTop="1" x14ac:dyDescent="0.25"/>
  </sheetData>
  <conditionalFormatting sqref="A2:M2 A9:M28 A3:G3 M3 B8:C8 A6:F6 A5:B5 F5 C4:L4 E7:G7">
    <cfRule type="expression" dxfId="145" priority="32">
      <formula>$G2="Fail"</formula>
    </cfRule>
  </conditionalFormatting>
  <conditionalFormatting sqref="A4">
    <cfRule type="expression" dxfId="144" priority="31">
      <formula>$G4="Fail"</formula>
    </cfRule>
  </conditionalFormatting>
  <conditionalFormatting sqref="A8:G8">
    <cfRule type="expression" dxfId="143" priority="26">
      <formula>$G8="Fail"</formula>
    </cfRule>
  </conditionalFormatting>
  <conditionalFormatting sqref="A7:C7">
    <cfRule type="expression" dxfId="142" priority="25">
      <formula>$G7="Fail"</formula>
    </cfRule>
  </conditionalFormatting>
  <conditionalFormatting sqref="B7:C7">
    <cfRule type="expression" dxfId="141" priority="24">
      <formula>$G7="Fail"</formula>
    </cfRule>
  </conditionalFormatting>
  <conditionalFormatting sqref="G5">
    <cfRule type="expression" dxfId="140" priority="23">
      <formula>$G5="Fail"</formula>
    </cfRule>
  </conditionalFormatting>
  <conditionalFormatting sqref="G6">
    <cfRule type="expression" dxfId="139" priority="22">
      <formula>$G6="Fail"</formula>
    </cfRule>
  </conditionalFormatting>
  <conditionalFormatting sqref="M4:M6">
    <cfRule type="expression" dxfId="138" priority="20">
      <formula>$G4="Fail"</formula>
    </cfRule>
  </conditionalFormatting>
  <conditionalFormatting sqref="M8">
    <cfRule type="expression" dxfId="137" priority="15">
      <formula>$G8="Fail"</formula>
    </cfRule>
  </conditionalFormatting>
  <conditionalFormatting sqref="M7">
    <cfRule type="expression" dxfId="136" priority="14">
      <formula>$G7="Fail"</formula>
    </cfRule>
  </conditionalFormatting>
  <conditionalFormatting sqref="C5:E5">
    <cfRule type="expression" dxfId="135" priority="13">
      <formula>$G5="Fail"</formula>
    </cfRule>
  </conditionalFormatting>
  <conditionalFormatting sqref="B4">
    <cfRule type="expression" dxfId="134" priority="12">
      <formula>$G4="Fail"</formula>
    </cfRule>
  </conditionalFormatting>
  <conditionalFormatting sqref="D7">
    <cfRule type="expression" dxfId="133" priority="11">
      <formula>$G7="Fail"</formula>
    </cfRule>
  </conditionalFormatting>
  <conditionalFormatting sqref="L3">
    <cfRule type="expression" dxfId="132" priority="10">
      <formula>$G3="Fail"</formula>
    </cfRule>
  </conditionalFormatting>
  <conditionalFormatting sqref="L5">
    <cfRule type="expression" dxfId="131" priority="9">
      <formula>$G5="Fail"</formula>
    </cfRule>
  </conditionalFormatting>
  <conditionalFormatting sqref="L6">
    <cfRule type="expression" dxfId="130" priority="8">
      <formula>$G6="Fail"</formula>
    </cfRule>
  </conditionalFormatting>
  <conditionalFormatting sqref="L7">
    <cfRule type="expression" dxfId="129" priority="7">
      <formula>$G7="Fail"</formula>
    </cfRule>
  </conditionalFormatting>
  <conditionalFormatting sqref="L8">
    <cfRule type="expression" dxfId="128" priority="6">
      <formula>$G8="Fail"</formula>
    </cfRule>
  </conditionalFormatting>
  <conditionalFormatting sqref="H3:K3">
    <cfRule type="expression" dxfId="127" priority="5">
      <formula>$G3="Fail"</formula>
    </cfRule>
  </conditionalFormatting>
  <conditionalFormatting sqref="H5:K5">
    <cfRule type="expression" dxfId="126" priority="4">
      <formula>$G5="Fail"</formula>
    </cfRule>
  </conditionalFormatting>
  <conditionalFormatting sqref="H6:K6">
    <cfRule type="expression" dxfId="125" priority="3">
      <formula>$G6="Fail"</formula>
    </cfRule>
  </conditionalFormatting>
  <conditionalFormatting sqref="H7:K7">
    <cfRule type="expression" dxfId="124" priority="2">
      <formula>$G7="Fail"</formula>
    </cfRule>
  </conditionalFormatting>
  <conditionalFormatting sqref="H8:K8">
    <cfRule type="expression" dxfId="123" priority="1">
      <formula>$G8="Fail"</formula>
    </cfRule>
  </conditionalFormatting>
  <dataValidations count="1">
    <dataValidation type="list" allowBlank="1" showInputMessage="1" showErrorMessage="1" sqref="G2:G8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56"/>
  <sheetViews>
    <sheetView topLeftCell="D1" zoomScaleNormal="100"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1" max="1" width="11.28515625" style="4" bestFit="1" customWidth="1"/>
    <col min="2" max="2" width="56.85546875" style="1" customWidth="1"/>
    <col min="3" max="3" width="50.7109375" style="1" customWidth="1"/>
    <col min="4" max="4" width="39" style="1" customWidth="1"/>
    <col min="5" max="5" width="39" style="144" customWidth="1"/>
    <col min="6" max="6" width="20.42578125" style="1" customWidth="1"/>
    <col min="7" max="7" width="14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42" t="s">
        <v>225</v>
      </c>
      <c r="F1" s="12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20" customFormat="1" x14ac:dyDescent="0.25">
      <c r="A2" s="16">
        <v>1</v>
      </c>
      <c r="B2" s="17" t="s">
        <v>154</v>
      </c>
      <c r="C2" s="18"/>
      <c r="D2" s="17"/>
      <c r="E2" s="79"/>
      <c r="F2" s="17"/>
      <c r="G2" s="19"/>
      <c r="H2" s="19"/>
      <c r="I2" s="19"/>
      <c r="J2" s="19"/>
      <c r="K2" s="19"/>
      <c r="L2" s="19"/>
      <c r="M2" s="17"/>
    </row>
    <row r="3" spans="1:13" x14ac:dyDescent="0.25">
      <c r="A3" s="5">
        <v>1</v>
      </c>
      <c r="B3" s="61" t="s">
        <v>155</v>
      </c>
      <c r="C3" s="9"/>
      <c r="D3" s="7"/>
      <c r="E3" s="89" t="s">
        <v>220</v>
      </c>
      <c r="F3" s="6"/>
      <c r="G3" s="8"/>
      <c r="H3" s="8"/>
      <c r="I3" s="8"/>
      <c r="J3" s="8"/>
      <c r="K3" s="8"/>
      <c r="L3" s="8"/>
      <c r="M3" s="7"/>
    </row>
    <row r="4" spans="1:13" ht="25.5" x14ac:dyDescent="0.25">
      <c r="A4" s="5">
        <f t="shared" ref="A4:A54" si="0">A3+0.0001</f>
        <v>1.0001</v>
      </c>
      <c r="B4" s="6" t="s">
        <v>156</v>
      </c>
      <c r="C4" s="9" t="s">
        <v>157</v>
      </c>
      <c r="D4" s="7" t="s">
        <v>158</v>
      </c>
      <c r="E4" s="90"/>
      <c r="F4" s="6"/>
      <c r="G4" s="8" t="s">
        <v>8</v>
      </c>
      <c r="H4" s="8">
        <f t="shared" ref="H4:L8" si="1">IF($G4=H$1,1,0)</f>
        <v>0</v>
      </c>
      <c r="I4" s="8">
        <f t="shared" si="1"/>
        <v>0</v>
      </c>
      <c r="J4" s="8">
        <f t="shared" si="1"/>
        <v>0</v>
      </c>
      <c r="K4" s="8">
        <f t="shared" si="1"/>
        <v>0</v>
      </c>
      <c r="L4" s="8">
        <f t="shared" si="1"/>
        <v>1</v>
      </c>
      <c r="M4" s="7"/>
    </row>
    <row r="5" spans="1:13" x14ac:dyDescent="0.25">
      <c r="A5" s="5">
        <f t="shared" si="0"/>
        <v>1.0002</v>
      </c>
      <c r="B5" s="6" t="s">
        <v>159</v>
      </c>
      <c r="C5" s="9" t="s">
        <v>160</v>
      </c>
      <c r="D5" s="7" t="s">
        <v>161</v>
      </c>
      <c r="E5" s="90"/>
      <c r="F5" s="6"/>
      <c r="G5" s="8" t="s">
        <v>8</v>
      </c>
      <c r="H5" s="8">
        <f t="shared" si="1"/>
        <v>0</v>
      </c>
      <c r="I5" s="8">
        <f t="shared" si="1"/>
        <v>0</v>
      </c>
      <c r="J5" s="8">
        <f t="shared" si="1"/>
        <v>0</v>
      </c>
      <c r="K5" s="8">
        <f t="shared" si="1"/>
        <v>0</v>
      </c>
      <c r="L5" s="8">
        <f t="shared" si="1"/>
        <v>1</v>
      </c>
      <c r="M5" s="7"/>
    </row>
    <row r="6" spans="1:13" ht="25.5" x14ac:dyDescent="0.25">
      <c r="A6" s="5">
        <f t="shared" si="0"/>
        <v>1.0003</v>
      </c>
      <c r="B6" s="7" t="s">
        <v>162</v>
      </c>
      <c r="C6" s="6" t="s">
        <v>163</v>
      </c>
      <c r="D6" s="7" t="s">
        <v>164</v>
      </c>
      <c r="E6" s="90"/>
      <c r="F6" s="7"/>
      <c r="G6" s="8" t="s">
        <v>8</v>
      </c>
      <c r="H6" s="8">
        <f t="shared" si="1"/>
        <v>0</v>
      </c>
      <c r="I6" s="8">
        <f t="shared" si="1"/>
        <v>0</v>
      </c>
      <c r="J6" s="8">
        <f t="shared" si="1"/>
        <v>0</v>
      </c>
      <c r="K6" s="8">
        <f t="shared" si="1"/>
        <v>0</v>
      </c>
      <c r="L6" s="8">
        <f t="shared" si="1"/>
        <v>1</v>
      </c>
      <c r="M6" s="7"/>
    </row>
    <row r="7" spans="1:13" x14ac:dyDescent="0.25">
      <c r="A7" s="5">
        <f t="shared" si="0"/>
        <v>1.0004</v>
      </c>
      <c r="B7" s="6"/>
      <c r="C7" s="9" t="s">
        <v>165</v>
      </c>
      <c r="D7" s="7"/>
      <c r="E7" s="90"/>
      <c r="F7" s="7"/>
      <c r="G7" s="8" t="s">
        <v>8</v>
      </c>
      <c r="H7" s="8">
        <f t="shared" si="1"/>
        <v>0</v>
      </c>
      <c r="I7" s="8">
        <f t="shared" si="1"/>
        <v>0</v>
      </c>
      <c r="J7" s="8">
        <f t="shared" si="1"/>
        <v>0</v>
      </c>
      <c r="K7" s="8">
        <f t="shared" si="1"/>
        <v>0</v>
      </c>
      <c r="L7" s="8">
        <f t="shared" si="1"/>
        <v>1</v>
      </c>
      <c r="M7" s="7"/>
    </row>
    <row r="8" spans="1:13" x14ac:dyDescent="0.25">
      <c r="A8" s="5">
        <f t="shared" si="0"/>
        <v>1.0004999999999999</v>
      </c>
      <c r="B8" s="7"/>
      <c r="C8" s="9" t="s">
        <v>166</v>
      </c>
      <c r="D8" s="7"/>
      <c r="E8" s="90"/>
      <c r="F8" s="7"/>
      <c r="G8" s="8" t="s">
        <v>8</v>
      </c>
      <c r="H8" s="8">
        <f t="shared" si="1"/>
        <v>0</v>
      </c>
      <c r="I8" s="8">
        <f t="shared" si="1"/>
        <v>0</v>
      </c>
      <c r="J8" s="8">
        <f t="shared" si="1"/>
        <v>0</v>
      </c>
      <c r="K8" s="8">
        <f t="shared" si="1"/>
        <v>0</v>
      </c>
      <c r="L8" s="8">
        <f t="shared" si="1"/>
        <v>1</v>
      </c>
      <c r="M8" s="7"/>
    </row>
    <row r="9" spans="1:13" s="66" customFormat="1" x14ac:dyDescent="0.25">
      <c r="A9" s="62">
        <v>2</v>
      </c>
      <c r="B9" s="63"/>
      <c r="C9" s="64"/>
      <c r="D9" s="63"/>
      <c r="E9" s="90"/>
      <c r="F9" s="63"/>
      <c r="G9" s="65"/>
      <c r="H9" s="65"/>
      <c r="I9" s="65"/>
      <c r="J9" s="65"/>
      <c r="K9" s="65"/>
      <c r="L9" s="65"/>
      <c r="M9" s="63"/>
    </row>
    <row r="10" spans="1:13" x14ac:dyDescent="0.25">
      <c r="A10" s="5">
        <f t="shared" si="0"/>
        <v>2.0001000000000002</v>
      </c>
      <c r="B10" s="67" t="s">
        <v>167</v>
      </c>
      <c r="C10" s="9" t="s">
        <v>168</v>
      </c>
      <c r="D10" s="7"/>
      <c r="E10" s="90"/>
      <c r="F10" s="6"/>
      <c r="G10" s="8" t="s">
        <v>8</v>
      </c>
      <c r="H10" s="8"/>
      <c r="I10" s="8"/>
      <c r="J10" s="8"/>
      <c r="K10" s="8"/>
      <c r="L10" s="8"/>
      <c r="M10" s="7"/>
    </row>
    <row r="11" spans="1:13" ht="25.5" x14ac:dyDescent="0.25">
      <c r="A11" s="5">
        <f t="shared" si="0"/>
        <v>2.0002000000000004</v>
      </c>
      <c r="B11" s="6"/>
      <c r="C11" s="9" t="s">
        <v>169</v>
      </c>
      <c r="D11" s="7"/>
      <c r="E11" s="90"/>
      <c r="F11" s="6"/>
      <c r="G11" s="8" t="s">
        <v>8</v>
      </c>
      <c r="H11" s="8">
        <f t="shared" ref="H11:L11" si="2">IF($G11=H$1,1,0)</f>
        <v>0</v>
      </c>
      <c r="I11" s="8">
        <f t="shared" si="2"/>
        <v>0</v>
      </c>
      <c r="J11" s="8">
        <f t="shared" si="2"/>
        <v>0</v>
      </c>
      <c r="K11" s="8">
        <f t="shared" si="2"/>
        <v>0</v>
      </c>
      <c r="L11" s="8">
        <f t="shared" si="2"/>
        <v>1</v>
      </c>
      <c r="M11" s="7"/>
    </row>
    <row r="12" spans="1:13" x14ac:dyDescent="0.25">
      <c r="A12" s="5">
        <f t="shared" si="0"/>
        <v>2.0003000000000006</v>
      </c>
      <c r="B12" s="6"/>
      <c r="C12" s="9" t="s">
        <v>170</v>
      </c>
      <c r="D12" s="7"/>
      <c r="E12" s="90"/>
      <c r="F12" s="6"/>
      <c r="G12" s="8" t="s">
        <v>8</v>
      </c>
      <c r="H12" s="8"/>
      <c r="I12" s="8"/>
      <c r="J12" s="8"/>
      <c r="K12" s="8"/>
      <c r="L12" s="8"/>
      <c r="M12" s="7"/>
    </row>
    <row r="13" spans="1:13" ht="25.5" x14ac:dyDescent="0.25">
      <c r="A13" s="5">
        <f>A11+0.0001</f>
        <v>2.0003000000000006</v>
      </c>
      <c r="B13" s="6"/>
      <c r="C13" s="9" t="s">
        <v>171</v>
      </c>
      <c r="D13" s="7"/>
      <c r="E13" s="90"/>
      <c r="F13" s="6"/>
      <c r="G13" s="8" t="s">
        <v>8</v>
      </c>
      <c r="H13" s="8">
        <f t="shared" ref="H13:L13" si="3">IF($G13=H$1,1,0)</f>
        <v>0</v>
      </c>
      <c r="I13" s="8">
        <f t="shared" si="3"/>
        <v>0</v>
      </c>
      <c r="J13" s="8">
        <f t="shared" si="3"/>
        <v>0</v>
      </c>
      <c r="K13" s="8">
        <f t="shared" si="3"/>
        <v>0</v>
      </c>
      <c r="L13" s="8">
        <f t="shared" si="3"/>
        <v>1</v>
      </c>
      <c r="M13" s="7"/>
    </row>
    <row r="14" spans="1:13" x14ac:dyDescent="0.25">
      <c r="A14" s="5">
        <f>A11+0.0001</f>
        <v>2.0003000000000006</v>
      </c>
      <c r="B14" s="7"/>
      <c r="C14" s="6"/>
      <c r="D14" s="21"/>
      <c r="E14" s="90"/>
      <c r="F14" s="6"/>
      <c r="G14" s="8" t="s">
        <v>8</v>
      </c>
      <c r="H14" s="8"/>
      <c r="I14" s="8"/>
      <c r="J14" s="8"/>
      <c r="K14" s="8"/>
      <c r="L14" s="8"/>
      <c r="M14" s="7"/>
    </row>
    <row r="15" spans="1:13" ht="25.5" x14ac:dyDescent="0.25">
      <c r="A15" s="5">
        <f t="shared" si="0"/>
        <v>2.0004000000000008</v>
      </c>
      <c r="B15" s="67" t="s">
        <v>172</v>
      </c>
      <c r="C15" s="6" t="s">
        <v>173</v>
      </c>
      <c r="D15" s="7"/>
      <c r="E15" s="90"/>
      <c r="F15" s="7"/>
      <c r="G15" s="8" t="s">
        <v>8</v>
      </c>
      <c r="H15" s="8">
        <f t="shared" ref="H15:L20" si="4">IF($G15=H$1,1,0)</f>
        <v>0</v>
      </c>
      <c r="I15" s="8">
        <f t="shared" si="4"/>
        <v>0</v>
      </c>
      <c r="J15" s="8">
        <f t="shared" si="4"/>
        <v>0</v>
      </c>
      <c r="K15" s="8">
        <f t="shared" si="4"/>
        <v>0</v>
      </c>
      <c r="L15" s="8">
        <f t="shared" si="4"/>
        <v>1</v>
      </c>
      <c r="M15" s="7"/>
    </row>
    <row r="16" spans="1:13" ht="25.5" x14ac:dyDescent="0.25">
      <c r="A16" s="5">
        <f t="shared" si="0"/>
        <v>2.0005000000000011</v>
      </c>
      <c r="B16" s="7"/>
      <c r="C16" s="6" t="s">
        <v>174</v>
      </c>
      <c r="D16" s="7" t="s">
        <v>175</v>
      </c>
      <c r="E16" s="90"/>
      <c r="F16" s="7"/>
      <c r="G16" s="8" t="s">
        <v>8</v>
      </c>
      <c r="H16" s="8"/>
      <c r="I16" s="8"/>
      <c r="J16" s="8"/>
      <c r="K16" s="8"/>
      <c r="L16" s="8"/>
      <c r="M16" s="7"/>
    </row>
    <row r="17" spans="1:13" x14ac:dyDescent="0.25">
      <c r="A17" s="5">
        <f t="shared" si="0"/>
        <v>2.0006000000000013</v>
      </c>
      <c r="B17" s="68" t="s">
        <v>176</v>
      </c>
      <c r="C17" s="6" t="s">
        <v>177</v>
      </c>
      <c r="D17" s="7"/>
      <c r="E17" s="90"/>
      <c r="F17" s="7"/>
      <c r="G17" s="8" t="s">
        <v>8</v>
      </c>
      <c r="H17" s="8">
        <f t="shared" si="4"/>
        <v>0</v>
      </c>
      <c r="I17" s="8">
        <f t="shared" si="4"/>
        <v>0</v>
      </c>
      <c r="J17" s="8">
        <f t="shared" si="4"/>
        <v>0</v>
      </c>
      <c r="K17" s="8">
        <f t="shared" si="4"/>
        <v>0</v>
      </c>
      <c r="L17" s="8">
        <f t="shared" si="4"/>
        <v>1</v>
      </c>
      <c r="M17" s="7"/>
    </row>
    <row r="18" spans="1:13" x14ac:dyDescent="0.25">
      <c r="A18" s="5">
        <f t="shared" si="0"/>
        <v>2.0007000000000015</v>
      </c>
      <c r="B18" s="6"/>
      <c r="C18" s="6"/>
      <c r="D18" s="7"/>
      <c r="E18" s="90"/>
      <c r="F18" s="7"/>
      <c r="G18" s="8"/>
      <c r="H18" s="8"/>
      <c r="I18" s="8"/>
      <c r="J18" s="8"/>
      <c r="K18" s="8"/>
      <c r="L18" s="8"/>
      <c r="M18" s="7"/>
    </row>
    <row r="19" spans="1:13" ht="25.5" x14ac:dyDescent="0.25">
      <c r="A19" s="5">
        <f t="shared" si="0"/>
        <v>2.0008000000000017</v>
      </c>
      <c r="B19" s="6" t="s">
        <v>178</v>
      </c>
      <c r="C19" s="6" t="s">
        <v>179</v>
      </c>
      <c r="D19" s="7"/>
      <c r="E19" s="90"/>
      <c r="F19" s="7"/>
      <c r="G19" s="8" t="s">
        <v>8</v>
      </c>
      <c r="H19" s="8">
        <f t="shared" si="4"/>
        <v>0</v>
      </c>
      <c r="I19" s="8">
        <f t="shared" si="4"/>
        <v>0</v>
      </c>
      <c r="J19" s="8">
        <f t="shared" si="4"/>
        <v>0</v>
      </c>
      <c r="K19" s="8">
        <f t="shared" si="4"/>
        <v>0</v>
      </c>
      <c r="L19" s="8">
        <f t="shared" si="4"/>
        <v>1</v>
      </c>
      <c r="M19" s="7"/>
    </row>
    <row r="20" spans="1:13" x14ac:dyDescent="0.25">
      <c r="A20" s="5">
        <f t="shared" si="0"/>
        <v>2.0009000000000019</v>
      </c>
      <c r="B20" s="6"/>
      <c r="C20" s="6" t="s">
        <v>180</v>
      </c>
      <c r="D20" s="7"/>
      <c r="E20" s="90"/>
      <c r="F20" s="7"/>
      <c r="G20" s="8" t="s">
        <v>8</v>
      </c>
      <c r="H20" s="8">
        <f t="shared" si="4"/>
        <v>0</v>
      </c>
      <c r="I20" s="8">
        <f t="shared" si="4"/>
        <v>0</v>
      </c>
      <c r="J20" s="8">
        <f t="shared" si="4"/>
        <v>0</v>
      </c>
      <c r="K20" s="8">
        <f t="shared" si="4"/>
        <v>0</v>
      </c>
      <c r="L20" s="8">
        <f t="shared" si="4"/>
        <v>1</v>
      </c>
      <c r="M20" s="7"/>
    </row>
    <row r="21" spans="1:13" x14ac:dyDescent="0.25">
      <c r="A21" s="5">
        <f t="shared" si="0"/>
        <v>2.0010000000000021</v>
      </c>
      <c r="B21" s="6"/>
      <c r="C21" s="6"/>
      <c r="D21" s="7"/>
      <c r="E21" s="91"/>
      <c r="F21" s="7"/>
      <c r="G21" s="8"/>
      <c r="H21" s="8"/>
      <c r="I21" s="8"/>
      <c r="J21" s="8"/>
      <c r="K21" s="8"/>
      <c r="L21" s="8"/>
      <c r="M21" s="7"/>
    </row>
    <row r="22" spans="1:13" ht="23.25" x14ac:dyDescent="0.25">
      <c r="A22" s="5">
        <f t="shared" si="0"/>
        <v>2.0011000000000023</v>
      </c>
      <c r="B22" s="80" t="s">
        <v>181</v>
      </c>
      <c r="C22" s="81"/>
      <c r="D22" s="82"/>
      <c r="E22" s="145"/>
      <c r="F22" s="7"/>
      <c r="G22" s="8"/>
      <c r="H22" s="8"/>
      <c r="I22" s="8"/>
      <c r="J22" s="8"/>
      <c r="K22" s="8"/>
      <c r="L22" s="8"/>
      <c r="M22" s="7"/>
    </row>
    <row r="23" spans="1:13" ht="23.25" x14ac:dyDescent="0.25">
      <c r="A23" s="5">
        <f t="shared" si="0"/>
        <v>2.0012000000000025</v>
      </c>
      <c r="B23" s="83"/>
      <c r="C23" s="84"/>
      <c r="D23" s="85"/>
      <c r="E23" s="146"/>
      <c r="F23" s="7"/>
      <c r="G23" s="8"/>
      <c r="H23" s="8"/>
      <c r="I23" s="8"/>
      <c r="J23" s="8"/>
      <c r="K23" s="8"/>
      <c r="L23" s="8"/>
      <c r="M23" s="7"/>
    </row>
    <row r="24" spans="1:13" ht="23.25" x14ac:dyDescent="0.25">
      <c r="A24" s="5">
        <f t="shared" si="0"/>
        <v>2.0013000000000027</v>
      </c>
      <c r="B24" s="86"/>
      <c r="C24" s="87"/>
      <c r="D24" s="88"/>
      <c r="E24" s="147"/>
      <c r="F24" s="7"/>
      <c r="G24" s="8"/>
      <c r="H24" s="8"/>
      <c r="I24" s="8"/>
      <c r="J24" s="8"/>
      <c r="K24" s="8"/>
      <c r="L24" s="8"/>
      <c r="M24" s="7"/>
    </row>
    <row r="25" spans="1:13" x14ac:dyDescent="0.25">
      <c r="A25" s="5">
        <f t="shared" si="0"/>
        <v>2.001400000000003</v>
      </c>
      <c r="B25" s="7"/>
      <c r="C25" s="6"/>
      <c r="D25" s="7"/>
      <c r="E25" s="78"/>
      <c r="F25" s="7"/>
      <c r="G25" s="8"/>
      <c r="H25" s="8"/>
      <c r="I25" s="8"/>
      <c r="J25" s="8"/>
      <c r="K25" s="8"/>
      <c r="L25" s="8"/>
      <c r="M25" s="7"/>
    </row>
    <row r="26" spans="1:13" x14ac:dyDescent="0.25">
      <c r="A26" s="5">
        <f t="shared" si="0"/>
        <v>2.0015000000000032</v>
      </c>
      <c r="B26" s="6"/>
      <c r="C26" s="6"/>
      <c r="D26" s="7"/>
      <c r="E26" s="78"/>
      <c r="F26" s="7"/>
      <c r="G26" s="8"/>
      <c r="H26" s="8"/>
      <c r="I26" s="8"/>
      <c r="J26" s="8"/>
      <c r="K26" s="8"/>
      <c r="L26" s="8"/>
      <c r="M26" s="7"/>
    </row>
    <row r="27" spans="1:13" x14ac:dyDescent="0.25">
      <c r="A27" s="5">
        <f t="shared" si="0"/>
        <v>2.0016000000000034</v>
      </c>
      <c r="B27" s="6"/>
      <c r="C27" s="6"/>
      <c r="D27" s="7"/>
      <c r="E27" s="78"/>
      <c r="F27" s="7"/>
      <c r="G27" s="8"/>
      <c r="H27" s="8"/>
      <c r="I27" s="8"/>
      <c r="J27" s="8"/>
      <c r="K27" s="8"/>
      <c r="L27" s="8"/>
      <c r="M27" s="7"/>
    </row>
    <row r="28" spans="1:13" x14ac:dyDescent="0.25">
      <c r="A28" s="5">
        <f t="shared" si="0"/>
        <v>2.0017000000000036</v>
      </c>
      <c r="B28" s="6"/>
      <c r="C28" s="6"/>
      <c r="D28" s="7"/>
      <c r="E28" s="78"/>
      <c r="F28" s="7"/>
      <c r="G28" s="8"/>
      <c r="H28" s="8"/>
      <c r="I28" s="8"/>
      <c r="J28" s="8"/>
      <c r="K28" s="8"/>
      <c r="L28" s="8"/>
      <c r="M28" s="7"/>
    </row>
    <row r="29" spans="1:13" x14ac:dyDescent="0.25">
      <c r="A29" s="5">
        <f t="shared" si="0"/>
        <v>2.0018000000000038</v>
      </c>
      <c r="B29" s="6"/>
      <c r="C29" s="6"/>
      <c r="D29" s="7"/>
      <c r="E29" s="78"/>
      <c r="F29" s="7"/>
      <c r="G29" s="8"/>
      <c r="H29" s="8"/>
      <c r="I29" s="8"/>
      <c r="J29" s="8"/>
      <c r="K29" s="8"/>
      <c r="L29" s="8"/>
      <c r="M29" s="7"/>
    </row>
    <row r="30" spans="1:13" x14ac:dyDescent="0.25">
      <c r="A30" s="5">
        <f t="shared" si="0"/>
        <v>2.001900000000004</v>
      </c>
      <c r="B30" s="6"/>
      <c r="C30" s="6"/>
      <c r="D30" s="7"/>
      <c r="E30" s="78"/>
      <c r="F30" s="7"/>
      <c r="G30" s="8"/>
      <c r="H30" s="8"/>
      <c r="I30" s="8"/>
      <c r="J30" s="8"/>
      <c r="K30" s="8"/>
      <c r="L30" s="8"/>
      <c r="M30" s="7"/>
    </row>
    <row r="31" spans="1:13" x14ac:dyDescent="0.25">
      <c r="A31" s="5">
        <f t="shared" si="0"/>
        <v>2.0020000000000042</v>
      </c>
      <c r="B31" s="7"/>
      <c r="C31" s="6"/>
      <c r="D31" s="7"/>
      <c r="E31" s="78"/>
      <c r="F31" s="7"/>
      <c r="G31" s="8"/>
      <c r="H31" s="8"/>
      <c r="I31" s="8"/>
      <c r="J31" s="8"/>
      <c r="K31" s="8"/>
      <c r="L31" s="8"/>
      <c r="M31" s="7"/>
    </row>
    <row r="32" spans="1:13" x14ac:dyDescent="0.25">
      <c r="A32" s="5">
        <f t="shared" si="0"/>
        <v>2.0021000000000044</v>
      </c>
      <c r="B32" s="7"/>
      <c r="C32" s="6"/>
      <c r="D32" s="7"/>
      <c r="E32" s="78"/>
      <c r="F32" s="7"/>
      <c r="G32" s="8"/>
      <c r="H32" s="8"/>
      <c r="I32" s="8"/>
      <c r="J32" s="8"/>
      <c r="K32" s="8"/>
      <c r="L32" s="8"/>
      <c r="M32" s="7"/>
    </row>
    <row r="33" spans="1:13" x14ac:dyDescent="0.25">
      <c r="A33" s="5">
        <f t="shared" si="0"/>
        <v>2.0022000000000046</v>
      </c>
      <c r="B33" s="7"/>
      <c r="C33" s="6"/>
      <c r="D33" s="7"/>
      <c r="E33" s="78"/>
      <c r="F33" s="7"/>
      <c r="G33" s="8"/>
      <c r="H33" s="8"/>
      <c r="I33" s="8"/>
      <c r="J33" s="8"/>
      <c r="K33" s="8"/>
      <c r="L33" s="8"/>
      <c r="M33" s="7"/>
    </row>
    <row r="34" spans="1:13" x14ac:dyDescent="0.25">
      <c r="A34" s="5">
        <f t="shared" si="0"/>
        <v>2.0023000000000049</v>
      </c>
      <c r="B34" s="6"/>
      <c r="C34" s="6"/>
      <c r="D34" s="7"/>
      <c r="E34" s="78"/>
      <c r="F34" s="7"/>
      <c r="G34" s="8"/>
      <c r="H34" s="8"/>
      <c r="I34" s="8"/>
      <c r="J34" s="8"/>
      <c r="K34" s="8"/>
      <c r="L34" s="8"/>
      <c r="M34" s="7"/>
    </row>
    <row r="35" spans="1:13" x14ac:dyDescent="0.25">
      <c r="A35" s="5">
        <f t="shared" si="0"/>
        <v>2.0024000000000051</v>
      </c>
      <c r="B35" s="7"/>
      <c r="C35" s="6"/>
      <c r="D35" s="7"/>
      <c r="E35" s="78"/>
      <c r="F35" s="7"/>
      <c r="G35" s="8"/>
      <c r="H35" s="8"/>
      <c r="I35" s="8"/>
      <c r="J35" s="8"/>
      <c r="K35" s="8"/>
      <c r="L35" s="8"/>
      <c r="M35" s="7"/>
    </row>
    <row r="36" spans="1:13" x14ac:dyDescent="0.25">
      <c r="A36" s="5">
        <f t="shared" si="0"/>
        <v>2.0025000000000053</v>
      </c>
      <c r="B36" s="6"/>
      <c r="C36" s="9"/>
      <c r="D36" s="7"/>
      <c r="E36" s="78"/>
      <c r="F36" s="7"/>
      <c r="G36" s="8"/>
      <c r="H36" s="8"/>
      <c r="I36" s="8"/>
      <c r="J36" s="8"/>
      <c r="K36" s="8"/>
      <c r="L36" s="8"/>
      <c r="M36" s="7"/>
    </row>
    <row r="37" spans="1:13" x14ac:dyDescent="0.25">
      <c r="A37" s="5">
        <f t="shared" si="0"/>
        <v>2.0026000000000055</v>
      </c>
      <c r="B37" s="7"/>
      <c r="C37" s="6"/>
      <c r="D37" s="7"/>
      <c r="E37" s="78"/>
      <c r="F37" s="7"/>
      <c r="G37" s="8"/>
      <c r="H37" s="8"/>
      <c r="I37" s="8"/>
      <c r="J37" s="8"/>
      <c r="K37" s="8"/>
      <c r="L37" s="8"/>
      <c r="M37" s="7"/>
    </row>
    <row r="38" spans="1:13" x14ac:dyDescent="0.25">
      <c r="A38" s="5">
        <f t="shared" si="0"/>
        <v>2.0027000000000057</v>
      </c>
      <c r="B38" s="6"/>
      <c r="C38" s="6"/>
      <c r="D38" s="7"/>
      <c r="E38" s="78"/>
      <c r="F38" s="7"/>
      <c r="G38" s="8"/>
      <c r="H38" s="8"/>
      <c r="I38" s="8"/>
      <c r="J38" s="8"/>
      <c r="K38" s="8"/>
      <c r="L38" s="8"/>
      <c r="M38" s="7"/>
    </row>
    <row r="39" spans="1:13" x14ac:dyDescent="0.25">
      <c r="A39" s="5">
        <f t="shared" si="0"/>
        <v>2.0028000000000059</v>
      </c>
      <c r="B39" s="6"/>
      <c r="C39" s="6"/>
      <c r="D39" s="7"/>
      <c r="E39" s="78"/>
      <c r="F39" s="7"/>
      <c r="G39" s="8"/>
      <c r="H39" s="8"/>
      <c r="I39" s="8"/>
      <c r="J39" s="8"/>
      <c r="K39" s="8"/>
      <c r="L39" s="8"/>
      <c r="M39" s="7"/>
    </row>
    <row r="40" spans="1:13" x14ac:dyDescent="0.25">
      <c r="A40" s="5">
        <f t="shared" si="0"/>
        <v>2.0029000000000061</v>
      </c>
      <c r="B40" s="6"/>
      <c r="C40" s="6"/>
      <c r="D40" s="7"/>
      <c r="E40" s="78"/>
      <c r="F40" s="7"/>
      <c r="G40" s="8"/>
      <c r="H40" s="8"/>
      <c r="I40" s="8"/>
      <c r="J40" s="8"/>
      <c r="K40" s="8"/>
      <c r="L40" s="8"/>
      <c r="M40" s="7"/>
    </row>
    <row r="41" spans="1:13" x14ac:dyDescent="0.25">
      <c r="A41" s="5">
        <f t="shared" si="0"/>
        <v>2.0030000000000063</v>
      </c>
      <c r="B41" s="6"/>
      <c r="C41" s="6"/>
      <c r="D41" s="7"/>
      <c r="E41" s="78"/>
      <c r="F41" s="7"/>
      <c r="G41" s="8"/>
      <c r="H41" s="8"/>
      <c r="I41" s="8"/>
      <c r="J41" s="8"/>
      <c r="K41" s="8"/>
      <c r="L41" s="8"/>
      <c r="M41" s="7"/>
    </row>
    <row r="42" spans="1:13" x14ac:dyDescent="0.25">
      <c r="A42" s="5">
        <f t="shared" si="0"/>
        <v>2.0031000000000065</v>
      </c>
      <c r="B42" s="6"/>
      <c r="C42" s="6"/>
      <c r="D42" s="7"/>
      <c r="E42" s="78"/>
      <c r="F42" s="7"/>
      <c r="G42" s="8"/>
      <c r="H42" s="8"/>
      <c r="I42" s="8"/>
      <c r="J42" s="8"/>
      <c r="K42" s="8"/>
      <c r="L42" s="8"/>
      <c r="M42" s="7"/>
    </row>
    <row r="43" spans="1:13" x14ac:dyDescent="0.25">
      <c r="A43" s="5">
        <f t="shared" si="0"/>
        <v>2.0032000000000068</v>
      </c>
      <c r="B43" s="6"/>
      <c r="C43" s="6"/>
      <c r="D43" s="7"/>
      <c r="E43" s="78"/>
      <c r="F43" s="7"/>
      <c r="G43" s="8"/>
      <c r="H43" s="8"/>
      <c r="I43" s="8"/>
      <c r="J43" s="8"/>
      <c r="K43" s="8"/>
      <c r="L43" s="8"/>
      <c r="M43" s="7"/>
    </row>
    <row r="44" spans="1:13" x14ac:dyDescent="0.25">
      <c r="A44" s="5">
        <f t="shared" si="0"/>
        <v>2.003300000000007</v>
      </c>
      <c r="B44" s="6"/>
      <c r="C44" s="6"/>
      <c r="D44" s="7"/>
      <c r="E44" s="78"/>
      <c r="F44" s="7"/>
      <c r="G44" s="8"/>
      <c r="H44" s="8"/>
      <c r="I44" s="8"/>
      <c r="J44" s="8"/>
      <c r="K44" s="8"/>
      <c r="L44" s="8"/>
      <c r="M44" s="7"/>
    </row>
    <row r="45" spans="1:13" x14ac:dyDescent="0.25">
      <c r="A45" s="5">
        <f t="shared" si="0"/>
        <v>2.0034000000000072</v>
      </c>
      <c r="B45" s="6"/>
      <c r="C45" s="6"/>
      <c r="D45" s="7"/>
      <c r="E45" s="78"/>
      <c r="F45" s="7"/>
      <c r="G45" s="8"/>
      <c r="H45" s="8"/>
      <c r="I45" s="8"/>
      <c r="J45" s="8"/>
      <c r="K45" s="8"/>
      <c r="L45" s="8"/>
      <c r="M45" s="7"/>
    </row>
    <row r="46" spans="1:13" x14ac:dyDescent="0.25">
      <c r="A46" s="5">
        <f t="shared" si="0"/>
        <v>2.0035000000000074</v>
      </c>
      <c r="B46" s="7"/>
      <c r="C46" s="6"/>
      <c r="D46" s="7"/>
      <c r="E46" s="78"/>
      <c r="F46" s="7"/>
      <c r="G46" s="8"/>
      <c r="H46" s="8"/>
      <c r="I46" s="8"/>
      <c r="J46" s="8"/>
      <c r="K46" s="8"/>
      <c r="L46" s="8"/>
      <c r="M46" s="7"/>
    </row>
    <row r="47" spans="1:13" x14ac:dyDescent="0.25">
      <c r="A47" s="5">
        <f t="shared" si="0"/>
        <v>2.0036000000000076</v>
      </c>
      <c r="B47" s="6"/>
      <c r="C47" s="6"/>
      <c r="D47" s="7"/>
      <c r="E47" s="78"/>
      <c r="F47" s="7"/>
      <c r="G47" s="8"/>
      <c r="H47" s="8"/>
      <c r="I47" s="8"/>
      <c r="J47" s="8"/>
      <c r="K47" s="8"/>
      <c r="L47" s="8"/>
      <c r="M47" s="7"/>
    </row>
    <row r="48" spans="1:13" x14ac:dyDescent="0.25">
      <c r="A48" s="5">
        <f t="shared" si="0"/>
        <v>2.0037000000000078</v>
      </c>
      <c r="B48" s="6"/>
      <c r="C48" s="6"/>
      <c r="D48" s="7"/>
      <c r="E48" s="78"/>
      <c r="F48" s="7"/>
      <c r="G48" s="8"/>
      <c r="H48" s="8"/>
      <c r="I48" s="8"/>
      <c r="J48" s="8"/>
      <c r="K48" s="8"/>
      <c r="L48" s="8"/>
      <c r="M48" s="7"/>
    </row>
    <row r="49" spans="1:13" x14ac:dyDescent="0.25">
      <c r="A49" s="5">
        <f t="shared" si="0"/>
        <v>2.003800000000008</v>
      </c>
      <c r="B49" s="6"/>
      <c r="C49" s="6"/>
      <c r="D49" s="7"/>
      <c r="E49" s="78"/>
      <c r="F49" s="7"/>
      <c r="G49" s="8"/>
      <c r="H49" s="8"/>
      <c r="I49" s="8"/>
      <c r="J49" s="8"/>
      <c r="K49" s="8"/>
      <c r="L49" s="8"/>
      <c r="M49" s="7"/>
    </row>
    <row r="50" spans="1:13" x14ac:dyDescent="0.25">
      <c r="A50" s="5">
        <f t="shared" si="0"/>
        <v>2.0039000000000082</v>
      </c>
      <c r="B50" s="6"/>
      <c r="C50" s="6"/>
      <c r="D50" s="7"/>
      <c r="E50" s="78"/>
      <c r="F50" s="7"/>
      <c r="G50" s="8"/>
      <c r="H50" s="8"/>
      <c r="I50" s="8"/>
      <c r="J50" s="8"/>
      <c r="K50" s="8"/>
      <c r="L50" s="8"/>
      <c r="M50" s="7"/>
    </row>
    <row r="51" spans="1:13" x14ac:dyDescent="0.25">
      <c r="A51" s="5">
        <f t="shared" si="0"/>
        <v>2.0040000000000084</v>
      </c>
      <c r="B51" s="6"/>
      <c r="C51" s="6"/>
      <c r="D51" s="7"/>
      <c r="E51" s="78"/>
      <c r="F51" s="7"/>
      <c r="G51" s="8"/>
      <c r="H51" s="8"/>
      <c r="I51" s="8"/>
      <c r="J51" s="8"/>
      <c r="K51" s="8"/>
      <c r="L51" s="8"/>
      <c r="M51" s="7"/>
    </row>
    <row r="52" spans="1:13" x14ac:dyDescent="0.25">
      <c r="A52" s="5">
        <f t="shared" si="0"/>
        <v>2.0041000000000087</v>
      </c>
      <c r="B52" s="7"/>
      <c r="C52" s="6"/>
      <c r="D52" s="7"/>
      <c r="E52" s="78"/>
      <c r="F52" s="7"/>
      <c r="G52" s="8"/>
      <c r="H52" s="8"/>
      <c r="I52" s="8"/>
      <c r="J52" s="8"/>
      <c r="K52" s="8"/>
      <c r="L52" s="8"/>
      <c r="M52" s="7"/>
    </row>
    <row r="53" spans="1:13" x14ac:dyDescent="0.25">
      <c r="A53" s="5">
        <f t="shared" si="0"/>
        <v>2.0042000000000089</v>
      </c>
      <c r="B53" s="7"/>
      <c r="C53" s="6"/>
      <c r="D53" s="7"/>
      <c r="E53" s="78"/>
      <c r="F53" s="7"/>
      <c r="G53" s="8"/>
      <c r="H53" s="8"/>
      <c r="I53" s="8"/>
      <c r="J53" s="8"/>
      <c r="K53" s="8"/>
      <c r="L53" s="8"/>
      <c r="M53" s="7"/>
    </row>
    <row r="54" spans="1:13" x14ac:dyDescent="0.25">
      <c r="A54" s="5">
        <f t="shared" si="0"/>
        <v>2.0043000000000091</v>
      </c>
      <c r="B54" s="7"/>
      <c r="C54" s="6"/>
      <c r="D54" s="7"/>
      <c r="E54" s="78"/>
      <c r="F54" s="7"/>
      <c r="G54" s="8"/>
      <c r="H54" s="8"/>
      <c r="I54" s="8"/>
      <c r="J54" s="8"/>
      <c r="K54" s="8"/>
      <c r="L54" s="8"/>
      <c r="M54" s="7"/>
    </row>
    <row r="55" spans="1:13" ht="15.75" thickBot="1" x14ac:dyDescent="0.3">
      <c r="H55" s="2">
        <f>SUM(H2:H54)</f>
        <v>0</v>
      </c>
      <c r="I55" s="2">
        <f>SUM(I2:I54)</f>
        <v>0</v>
      </c>
      <c r="J55" s="2">
        <f>SUM(J2:J54)</f>
        <v>0</v>
      </c>
      <c r="K55" s="2">
        <f>SUM(K2:K54)</f>
        <v>0</v>
      </c>
      <c r="L55" s="2">
        <f>SUM(L2:L54)</f>
        <v>11</v>
      </c>
    </row>
    <row r="56" spans="1:13" ht="15.75" thickTop="1" x14ac:dyDescent="0.25"/>
  </sheetData>
  <mergeCells count="2">
    <mergeCell ref="B22:D24"/>
    <mergeCell ref="E3:E21"/>
  </mergeCells>
  <conditionalFormatting sqref="A55:L74 B47:L54 A2:L2 A7:B8 D7:D8 B34:L40 B14:D14 A14:A54 A10:A11 H10:L10 B16:C16 H14:L14 B33:C34 C15:D15 B18:D18 D17 H16:L16 B20 D25:L25 B25:C26 B22 F22:L24 D19:D20 H21:L21 D10:D13 H12:L12 M14:M15 M2:M11 A3:D6 F3:L3 A9:D9 F9:L9 F19:F20 F17 F18:L18 F10:F15 F5:F8 F4:G4">
    <cfRule type="expression" dxfId="122" priority="38">
      <formula>$G2="Fail"</formula>
    </cfRule>
  </conditionalFormatting>
  <conditionalFormatting sqref="B41:L46">
    <cfRule type="expression" dxfId="121" priority="36">
      <formula>$G41="Fail"</formula>
    </cfRule>
  </conditionalFormatting>
  <conditionalFormatting sqref="B26:L33">
    <cfRule type="expression" dxfId="120" priority="35">
      <formula>$G26="Fail"</formula>
    </cfRule>
  </conditionalFormatting>
  <conditionalFormatting sqref="B16:D16 F16">
    <cfRule type="expression" dxfId="119" priority="34">
      <formula>$G16="Fail"</formula>
    </cfRule>
  </conditionalFormatting>
  <conditionalFormatting sqref="B21:D21 F21">
    <cfRule type="expression" dxfId="118" priority="33">
      <formula>$G21="Fail"</formula>
    </cfRule>
  </conditionalFormatting>
  <conditionalFormatting sqref="A13">
    <cfRule type="expression" dxfId="117" priority="32">
      <formula>$G13="Fail"</formula>
    </cfRule>
  </conditionalFormatting>
  <conditionalFormatting sqref="A12">
    <cfRule type="expression" dxfId="116" priority="31">
      <formula>$G12="Fail"</formula>
    </cfRule>
  </conditionalFormatting>
  <conditionalFormatting sqref="M47:M74">
    <cfRule type="expression" dxfId="115" priority="29">
      <formula>$G47="Fail"</formula>
    </cfRule>
  </conditionalFormatting>
  <conditionalFormatting sqref="M34:M40">
    <cfRule type="expression" dxfId="114" priority="28">
      <formula>$G34="Fail"</formula>
    </cfRule>
  </conditionalFormatting>
  <conditionalFormatting sqref="M41:M46">
    <cfRule type="expression" dxfId="113" priority="27">
      <formula>$G41="Fail"</formula>
    </cfRule>
  </conditionalFormatting>
  <conditionalFormatting sqref="M26:M33">
    <cfRule type="expression" dxfId="112" priority="26">
      <formula>$G26="Fail"</formula>
    </cfRule>
  </conditionalFormatting>
  <conditionalFormatting sqref="M16:M19">
    <cfRule type="expression" dxfId="111" priority="25">
      <formula>$G16="Fail"</formula>
    </cfRule>
  </conditionalFormatting>
  <conditionalFormatting sqref="M20:M25">
    <cfRule type="expression" dxfId="110" priority="24">
      <formula>$G20="Fail"</formula>
    </cfRule>
  </conditionalFormatting>
  <conditionalFormatting sqref="M13">
    <cfRule type="expression" dxfId="109" priority="23">
      <formula>$G13="Fail"</formula>
    </cfRule>
  </conditionalFormatting>
  <conditionalFormatting sqref="M12">
    <cfRule type="expression" dxfId="108" priority="22">
      <formula>$G12="Fail"</formula>
    </cfRule>
  </conditionalFormatting>
  <conditionalFormatting sqref="C7:C8">
    <cfRule type="expression" dxfId="107" priority="21">
      <formula>$G7="Fail"</formula>
    </cfRule>
  </conditionalFormatting>
  <conditionalFormatting sqref="B10:C13">
    <cfRule type="expression" dxfId="106" priority="20">
      <formula>$G10="Fail"</formula>
    </cfRule>
  </conditionalFormatting>
  <conditionalFormatting sqref="B15">
    <cfRule type="expression" dxfId="105" priority="19">
      <formula>$G15="Fail"</formula>
    </cfRule>
  </conditionalFormatting>
  <conditionalFormatting sqref="B17:C17">
    <cfRule type="expression" dxfId="104" priority="18">
      <formula>$G17="Fail"</formula>
    </cfRule>
  </conditionalFormatting>
  <conditionalFormatting sqref="B19">
    <cfRule type="expression" dxfId="103" priority="17">
      <formula>$G19="Fail"</formula>
    </cfRule>
  </conditionalFormatting>
  <conditionalFormatting sqref="C19">
    <cfRule type="expression" dxfId="102" priority="16">
      <formula>$G19="Fail"</formula>
    </cfRule>
  </conditionalFormatting>
  <conditionalFormatting sqref="C20">
    <cfRule type="expression" dxfId="101" priority="15">
      <formula>$G20="Fail"</formula>
    </cfRule>
  </conditionalFormatting>
  <conditionalFormatting sqref="H4:L4">
    <cfRule type="expression" dxfId="100" priority="14">
      <formula>$G4="Fail"</formula>
    </cfRule>
  </conditionalFormatting>
  <conditionalFormatting sqref="H5:L5">
    <cfRule type="expression" dxfId="99" priority="13">
      <formula>$G5="Fail"</formula>
    </cfRule>
  </conditionalFormatting>
  <conditionalFormatting sqref="H6:L8">
    <cfRule type="expression" dxfId="98" priority="12">
      <formula>$G6="Fail"</formula>
    </cfRule>
  </conditionalFormatting>
  <conditionalFormatting sqref="H11:L11">
    <cfRule type="expression" dxfId="97" priority="11">
      <formula>$G11="Fail"</formula>
    </cfRule>
  </conditionalFormatting>
  <conditionalFormatting sqref="H13:L13">
    <cfRule type="expression" dxfId="96" priority="10">
      <formula>$G13="Fail"</formula>
    </cfRule>
  </conditionalFormatting>
  <conditionalFormatting sqref="H15:L15">
    <cfRule type="expression" dxfId="95" priority="9">
      <formula>$G15="Fail"</formula>
    </cfRule>
  </conditionalFormatting>
  <conditionalFormatting sqref="H17:L17">
    <cfRule type="expression" dxfId="94" priority="5">
      <formula>$G17="Fail"</formula>
    </cfRule>
  </conditionalFormatting>
  <conditionalFormatting sqref="H19:L20">
    <cfRule type="expression" dxfId="93" priority="4">
      <formula>$G19="Fail"</formula>
    </cfRule>
  </conditionalFormatting>
  <conditionalFormatting sqref="G5:G8">
    <cfRule type="expression" dxfId="92" priority="3">
      <formula>$G5="Fail"</formula>
    </cfRule>
  </conditionalFormatting>
  <conditionalFormatting sqref="G10:G17">
    <cfRule type="expression" dxfId="91" priority="2">
      <formula>$G10="Fail"</formula>
    </cfRule>
  </conditionalFormatting>
  <conditionalFormatting sqref="G19:G21">
    <cfRule type="expression" dxfId="90" priority="1">
      <formula>$G19="Fail"</formula>
    </cfRule>
  </conditionalFormatting>
  <conditionalFormatting sqref="E3">
    <cfRule type="expression" dxfId="89" priority="365">
      <formula>$G9="Fail"</formula>
    </cfRule>
  </conditionalFormatting>
  <dataValidations count="1">
    <dataValidation type="list" allowBlank="1" showInputMessage="1" showErrorMessage="1" sqref="G2:G54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108"/>
  <sheetViews>
    <sheetView zoomScaleNormal="100" workbookViewId="0">
      <pane ySplit="1" topLeftCell="A112" activePane="bottomLeft" state="frozen"/>
      <selection pane="bottomLeft" activeCell="D1" sqref="D1:D1048576"/>
    </sheetView>
  </sheetViews>
  <sheetFormatPr defaultRowHeight="15" x14ac:dyDescent="0.25"/>
  <cols>
    <col min="1" max="1" width="11.28515625" style="53" bestFit="1" customWidth="1"/>
    <col min="2" max="2" width="48.5703125" style="1" customWidth="1"/>
    <col min="3" max="3" width="48.7109375" style="1" bestFit="1" customWidth="1"/>
    <col min="4" max="4" width="39.42578125" style="144" customWidth="1"/>
    <col min="5" max="5" width="39.42578125" style="1" customWidth="1"/>
    <col min="6" max="6" width="20.42578125" style="1" customWidth="1"/>
    <col min="7" max="7" width="14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49" t="s">
        <v>1</v>
      </c>
      <c r="B1" s="11" t="s">
        <v>11</v>
      </c>
      <c r="C1" s="11" t="s">
        <v>2</v>
      </c>
      <c r="D1" s="142" t="s">
        <v>224</v>
      </c>
      <c r="E1" s="12"/>
      <c r="F1" s="12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20" customFormat="1" x14ac:dyDescent="0.25">
      <c r="A2" s="50">
        <v>1</v>
      </c>
      <c r="B2" s="17" t="s">
        <v>30</v>
      </c>
      <c r="C2" s="18"/>
      <c r="D2" s="79"/>
      <c r="E2" s="17"/>
      <c r="F2" s="17"/>
      <c r="G2" s="19"/>
      <c r="H2" s="19"/>
      <c r="I2" s="19"/>
      <c r="J2" s="19"/>
      <c r="K2" s="19"/>
      <c r="L2" s="19"/>
      <c r="M2" s="17"/>
    </row>
    <row r="3" spans="1:13" x14ac:dyDescent="0.25">
      <c r="A3" s="51">
        <v>1.0001</v>
      </c>
      <c r="B3" s="6"/>
      <c r="C3" s="9" t="s">
        <v>21</v>
      </c>
      <c r="D3" s="78" t="s">
        <v>22</v>
      </c>
      <c r="E3" s="7"/>
      <c r="F3" s="6"/>
      <c r="G3" s="8"/>
      <c r="H3" s="8">
        <f>IF($G3=H$1,1,0)</f>
        <v>0</v>
      </c>
      <c r="I3" s="8">
        <f>IF($G3=I$1,1,0)</f>
        <v>0</v>
      </c>
      <c r="J3" s="8">
        <f t="shared" ref="J3:L13" si="0">IF($G3=J$1,1,0)</f>
        <v>1</v>
      </c>
      <c r="K3" s="8">
        <f t="shared" si="0"/>
        <v>0</v>
      </c>
      <c r="L3" s="8">
        <f t="shared" si="0"/>
        <v>0</v>
      </c>
      <c r="M3" s="7"/>
    </row>
    <row r="4" spans="1:13" s="20" customFormat="1" x14ac:dyDescent="0.25">
      <c r="A4" s="50">
        <v>2</v>
      </c>
      <c r="B4" s="17" t="s">
        <v>32</v>
      </c>
      <c r="C4" s="18"/>
      <c r="D4" s="79"/>
      <c r="E4" s="17"/>
      <c r="F4" s="17"/>
      <c r="G4" s="19"/>
      <c r="H4" s="19"/>
      <c r="I4" s="19"/>
      <c r="J4" s="19"/>
      <c r="K4" s="19"/>
      <c r="L4" s="19"/>
      <c r="M4" s="17"/>
    </row>
    <row r="5" spans="1:13" x14ac:dyDescent="0.25">
      <c r="A5" s="51">
        <f t="shared" ref="A5:A13" si="1">A4+0.0001</f>
        <v>2.0001000000000002</v>
      </c>
      <c r="B5" s="6"/>
      <c r="C5" s="6" t="s">
        <v>31</v>
      </c>
      <c r="D5" s="78" t="s">
        <v>20</v>
      </c>
      <c r="E5" s="7"/>
      <c r="F5" s="6"/>
      <c r="G5" s="8"/>
      <c r="H5" s="8">
        <f t="shared" ref="H5:I7" si="2">IF($G5=H$1,1,0)</f>
        <v>0</v>
      </c>
      <c r="I5" s="8">
        <f t="shared" si="2"/>
        <v>0</v>
      </c>
      <c r="J5" s="8">
        <f t="shared" si="0"/>
        <v>1</v>
      </c>
      <c r="K5" s="8">
        <f t="shared" si="0"/>
        <v>0</v>
      </c>
      <c r="L5" s="8">
        <f t="shared" si="0"/>
        <v>0</v>
      </c>
      <c r="M5" s="7"/>
    </row>
    <row r="6" spans="1:13" x14ac:dyDescent="0.25">
      <c r="A6" s="51"/>
      <c r="B6" s="6"/>
      <c r="C6" s="6" t="s">
        <v>198</v>
      </c>
      <c r="D6" s="78" t="s">
        <v>199</v>
      </c>
      <c r="E6" s="7"/>
      <c r="F6" s="6"/>
      <c r="G6" s="8"/>
      <c r="H6" s="8">
        <f t="shared" si="2"/>
        <v>0</v>
      </c>
      <c r="I6" s="8">
        <f t="shared" si="2"/>
        <v>0</v>
      </c>
      <c r="J6" s="8">
        <f t="shared" si="0"/>
        <v>1</v>
      </c>
      <c r="K6" s="8">
        <f t="shared" si="0"/>
        <v>0</v>
      </c>
      <c r="L6" s="8">
        <f t="shared" si="0"/>
        <v>0</v>
      </c>
      <c r="M6" s="7"/>
    </row>
    <row r="7" spans="1:13" x14ac:dyDescent="0.25">
      <c r="A7" s="51"/>
      <c r="B7" s="6"/>
      <c r="C7" s="6" t="s">
        <v>200</v>
      </c>
      <c r="D7" s="78" t="s">
        <v>201</v>
      </c>
      <c r="E7" s="7"/>
      <c r="F7" s="6"/>
      <c r="G7" s="8"/>
      <c r="H7" s="8">
        <f t="shared" si="2"/>
        <v>0</v>
      </c>
      <c r="I7" s="8">
        <f t="shared" si="2"/>
        <v>0</v>
      </c>
      <c r="J7" s="8">
        <f t="shared" si="0"/>
        <v>1</v>
      </c>
      <c r="K7" s="8">
        <f t="shared" si="0"/>
        <v>0</v>
      </c>
      <c r="L7" s="8">
        <f t="shared" si="0"/>
        <v>0</v>
      </c>
      <c r="M7" s="7"/>
    </row>
    <row r="8" spans="1:13" x14ac:dyDescent="0.25">
      <c r="A8" s="51">
        <f>A5+0.0001</f>
        <v>2.0002000000000004</v>
      </c>
      <c r="B8" s="6"/>
      <c r="C8" s="9" t="s">
        <v>23</v>
      </c>
      <c r="D8" s="78" t="s">
        <v>24</v>
      </c>
      <c r="E8" s="7"/>
      <c r="F8" s="6"/>
      <c r="G8" s="8"/>
      <c r="H8" s="8">
        <f t="shared" ref="H8:L22" si="3">IF($G8=H$1,1,0)</f>
        <v>0</v>
      </c>
      <c r="I8" s="8">
        <f t="shared" si="3"/>
        <v>0</v>
      </c>
      <c r="J8" s="8">
        <f t="shared" si="0"/>
        <v>1</v>
      </c>
      <c r="K8" s="8">
        <f t="shared" si="0"/>
        <v>0</v>
      </c>
      <c r="L8" s="8">
        <f t="shared" si="0"/>
        <v>0</v>
      </c>
      <c r="M8" s="7"/>
    </row>
    <row r="9" spans="1:13" x14ac:dyDescent="0.25">
      <c r="A9" s="51">
        <f t="shared" si="1"/>
        <v>2.0003000000000006</v>
      </c>
      <c r="B9" s="6"/>
      <c r="C9" s="9" t="s">
        <v>25</v>
      </c>
      <c r="D9" s="78" t="s">
        <v>26</v>
      </c>
      <c r="E9" s="7"/>
      <c r="F9" s="6"/>
      <c r="G9" s="8"/>
      <c r="H9" s="8">
        <f t="shared" si="3"/>
        <v>0</v>
      </c>
      <c r="I9" s="8">
        <f t="shared" si="3"/>
        <v>0</v>
      </c>
      <c r="J9" s="8">
        <f t="shared" si="0"/>
        <v>1</v>
      </c>
      <c r="K9" s="8">
        <f t="shared" si="0"/>
        <v>0</v>
      </c>
      <c r="L9" s="8">
        <f t="shared" si="0"/>
        <v>0</v>
      </c>
      <c r="M9" s="7"/>
    </row>
    <row r="10" spans="1:13" x14ac:dyDescent="0.25">
      <c r="A10" s="51">
        <f t="shared" si="1"/>
        <v>2.0004000000000008</v>
      </c>
      <c r="B10" s="7"/>
      <c r="C10" s="9" t="s">
        <v>27</v>
      </c>
      <c r="D10" s="78" t="s">
        <v>28</v>
      </c>
      <c r="E10" s="7"/>
      <c r="F10" s="7"/>
      <c r="G10" s="8"/>
      <c r="H10" s="8">
        <f t="shared" si="3"/>
        <v>0</v>
      </c>
      <c r="I10" s="8">
        <f t="shared" si="3"/>
        <v>0</v>
      </c>
      <c r="J10" s="8">
        <f t="shared" si="0"/>
        <v>1</v>
      </c>
      <c r="K10" s="8">
        <f t="shared" si="0"/>
        <v>0</v>
      </c>
      <c r="L10" s="8">
        <f t="shared" si="0"/>
        <v>0</v>
      </c>
      <c r="M10" s="7"/>
    </row>
    <row r="11" spans="1:13" s="20" customFormat="1" x14ac:dyDescent="0.25">
      <c r="A11" s="50">
        <v>3</v>
      </c>
      <c r="B11" s="17" t="s">
        <v>71</v>
      </c>
      <c r="C11" s="18"/>
      <c r="D11" s="79"/>
      <c r="E11" s="17"/>
      <c r="F11" s="17"/>
      <c r="G11" s="19"/>
      <c r="H11" s="19"/>
      <c r="I11" s="19"/>
      <c r="J11" s="19"/>
      <c r="K11" s="19"/>
      <c r="L11" s="19"/>
      <c r="M11" s="17"/>
    </row>
    <row r="12" spans="1:13" ht="24" x14ac:dyDescent="0.25">
      <c r="A12" s="51">
        <f t="shared" si="1"/>
        <v>3.0001000000000002</v>
      </c>
      <c r="B12" s="23" t="s">
        <v>34</v>
      </c>
      <c r="C12" s="24" t="s">
        <v>45</v>
      </c>
      <c r="D12" s="92" t="s">
        <v>221</v>
      </c>
      <c r="E12" s="24"/>
      <c r="F12" s="24"/>
      <c r="G12" s="48" t="s">
        <v>7</v>
      </c>
      <c r="H12" s="8">
        <f t="shared" si="3"/>
        <v>0</v>
      </c>
      <c r="I12" s="55">
        <f t="shared" si="3"/>
        <v>0</v>
      </c>
      <c r="J12" s="8">
        <f t="shared" si="0"/>
        <v>0</v>
      </c>
      <c r="K12" s="55">
        <f t="shared" si="0"/>
        <v>1</v>
      </c>
      <c r="L12" s="55">
        <f t="shared" si="0"/>
        <v>0</v>
      </c>
      <c r="M12" s="43"/>
    </row>
    <row r="13" spans="1:13" ht="24" x14ac:dyDescent="0.25">
      <c r="A13" s="51">
        <f t="shared" si="1"/>
        <v>3.0002000000000004</v>
      </c>
      <c r="B13" s="25" t="s">
        <v>35</v>
      </c>
      <c r="C13" s="26" t="s">
        <v>46</v>
      </c>
      <c r="D13" s="93"/>
      <c r="E13" s="26"/>
      <c r="F13" s="26"/>
      <c r="G13" s="48"/>
      <c r="H13" s="8">
        <f t="shared" si="3"/>
        <v>0</v>
      </c>
      <c r="I13" s="55">
        <f t="shared" si="3"/>
        <v>0</v>
      </c>
      <c r="J13" s="8">
        <f t="shared" si="0"/>
        <v>1</v>
      </c>
      <c r="K13" s="55">
        <f t="shared" si="0"/>
        <v>0</v>
      </c>
      <c r="L13" s="55">
        <f t="shared" si="0"/>
        <v>0</v>
      </c>
      <c r="M13" s="43"/>
    </row>
    <row r="14" spans="1:13" x14ac:dyDescent="0.25">
      <c r="A14" s="122">
        <f>+A13+0.0001</f>
        <v>3.0003000000000006</v>
      </c>
      <c r="B14" s="107" t="s">
        <v>36</v>
      </c>
      <c r="C14" s="45" t="s">
        <v>47</v>
      </c>
      <c r="D14" s="93"/>
      <c r="E14" s="45"/>
      <c r="F14" s="45"/>
      <c r="G14" s="133"/>
      <c r="H14" s="130">
        <f t="shared" si="3"/>
        <v>0</v>
      </c>
      <c r="I14" s="130">
        <f t="shared" si="3"/>
        <v>0</v>
      </c>
      <c r="J14" s="130">
        <f t="shared" si="3"/>
        <v>1</v>
      </c>
      <c r="K14" s="130">
        <f t="shared" si="3"/>
        <v>0</v>
      </c>
      <c r="L14" s="130">
        <f t="shared" si="3"/>
        <v>0</v>
      </c>
      <c r="M14" s="127"/>
    </row>
    <row r="15" spans="1:13" x14ac:dyDescent="0.25">
      <c r="A15" s="117"/>
      <c r="B15" s="107"/>
      <c r="C15" s="46" t="s">
        <v>48</v>
      </c>
      <c r="D15" s="93"/>
      <c r="E15" s="77"/>
      <c r="F15" s="46"/>
      <c r="G15" s="134"/>
      <c r="H15" s="131"/>
      <c r="I15" s="131"/>
      <c r="J15" s="131"/>
      <c r="K15" s="131"/>
      <c r="L15" s="131"/>
      <c r="M15" s="128"/>
    </row>
    <row r="16" spans="1:13" x14ac:dyDescent="0.25">
      <c r="A16" s="117"/>
      <c r="B16" s="107"/>
      <c r="C16" s="46" t="s">
        <v>49</v>
      </c>
      <c r="D16" s="93"/>
      <c r="E16" s="77"/>
      <c r="F16" s="46"/>
      <c r="G16" s="134"/>
      <c r="H16" s="131"/>
      <c r="I16" s="131"/>
      <c r="J16" s="131"/>
      <c r="K16" s="131"/>
      <c r="L16" s="131"/>
      <c r="M16" s="128"/>
    </row>
    <row r="17" spans="1:13" x14ac:dyDescent="0.25">
      <c r="A17" s="117"/>
      <c r="B17" s="107"/>
      <c r="C17" s="46" t="s">
        <v>50</v>
      </c>
      <c r="D17" s="93"/>
      <c r="E17" s="77"/>
      <c r="F17" s="46"/>
      <c r="G17" s="134"/>
      <c r="H17" s="131"/>
      <c r="I17" s="131"/>
      <c r="J17" s="131"/>
      <c r="K17" s="131"/>
      <c r="L17" s="131"/>
      <c r="M17" s="128"/>
    </row>
    <row r="18" spans="1:13" ht="14.25" customHeight="1" x14ac:dyDescent="0.25">
      <c r="A18" s="117"/>
      <c r="B18" s="107"/>
      <c r="C18" s="47" t="s">
        <v>51</v>
      </c>
      <c r="D18" s="93"/>
      <c r="E18" s="47"/>
      <c r="F18" s="47"/>
      <c r="G18" s="134"/>
      <c r="H18" s="131"/>
      <c r="I18" s="131"/>
      <c r="J18" s="131"/>
      <c r="K18" s="131"/>
      <c r="L18" s="131"/>
      <c r="M18" s="128"/>
    </row>
    <row r="19" spans="1:13" x14ac:dyDescent="0.25">
      <c r="A19" s="118"/>
      <c r="B19" s="108"/>
      <c r="C19" s="44" t="s">
        <v>52</v>
      </c>
      <c r="D19" s="93"/>
      <c r="E19" s="44"/>
      <c r="F19" s="44"/>
      <c r="G19" s="135"/>
      <c r="H19" s="132"/>
      <c r="I19" s="132"/>
      <c r="J19" s="132"/>
      <c r="K19" s="132"/>
      <c r="L19" s="132"/>
      <c r="M19" s="129"/>
    </row>
    <row r="20" spans="1:13" x14ac:dyDescent="0.25">
      <c r="A20" s="122">
        <f>+A14+0.0001</f>
        <v>3.0004000000000008</v>
      </c>
      <c r="B20" s="103" t="s">
        <v>37</v>
      </c>
      <c r="C20" s="27" t="s">
        <v>53</v>
      </c>
      <c r="D20" s="93"/>
      <c r="E20" s="27"/>
      <c r="F20" s="27"/>
      <c r="G20" s="133"/>
      <c r="H20" s="130">
        <f t="shared" si="3"/>
        <v>0</v>
      </c>
      <c r="I20" s="130">
        <f t="shared" si="3"/>
        <v>0</v>
      </c>
      <c r="J20" s="130">
        <f t="shared" si="3"/>
        <v>1</v>
      </c>
      <c r="K20" s="130">
        <f t="shared" si="3"/>
        <v>0</v>
      </c>
      <c r="L20" s="130">
        <f t="shared" si="3"/>
        <v>0</v>
      </c>
      <c r="M20" s="127"/>
    </row>
    <row r="21" spans="1:13" x14ac:dyDescent="0.25">
      <c r="A21" s="118"/>
      <c r="B21" s="105"/>
      <c r="C21" s="28" t="s">
        <v>69</v>
      </c>
      <c r="D21" s="93"/>
      <c r="E21" s="28"/>
      <c r="F21" s="28"/>
      <c r="G21" s="135"/>
      <c r="H21" s="132"/>
      <c r="I21" s="132"/>
      <c r="J21" s="132"/>
      <c r="K21" s="132"/>
      <c r="L21" s="132"/>
      <c r="M21" s="129"/>
    </row>
    <row r="22" spans="1:13" ht="24" x14ac:dyDescent="0.25">
      <c r="A22" s="122">
        <f>+A20+0.0001</f>
        <v>3.0005000000000011</v>
      </c>
      <c r="B22" s="136" t="s">
        <v>38</v>
      </c>
      <c r="C22" s="29" t="s">
        <v>54</v>
      </c>
      <c r="D22" s="93"/>
      <c r="E22" s="29"/>
      <c r="F22" s="29"/>
      <c r="G22" s="133"/>
      <c r="H22" s="130">
        <f t="shared" si="3"/>
        <v>0</v>
      </c>
      <c r="I22" s="130">
        <f t="shared" si="3"/>
        <v>0</v>
      </c>
      <c r="J22" s="130">
        <f t="shared" si="3"/>
        <v>1</v>
      </c>
      <c r="K22" s="130">
        <f t="shared" si="3"/>
        <v>0</v>
      </c>
      <c r="L22" s="130">
        <f t="shared" si="3"/>
        <v>0</v>
      </c>
      <c r="M22" s="127"/>
    </row>
    <row r="23" spans="1:13" ht="15" customHeight="1" x14ac:dyDescent="0.25">
      <c r="A23" s="117"/>
      <c r="B23" s="136"/>
      <c r="C23" s="30" t="s">
        <v>55</v>
      </c>
      <c r="D23" s="93"/>
      <c r="E23" s="30"/>
      <c r="F23" s="30"/>
      <c r="G23" s="134"/>
      <c r="H23" s="131"/>
      <c r="I23" s="131"/>
      <c r="J23" s="131"/>
      <c r="K23" s="131"/>
      <c r="L23" s="131"/>
      <c r="M23" s="128"/>
    </row>
    <row r="24" spans="1:13" x14ac:dyDescent="0.25">
      <c r="A24" s="117"/>
      <c r="B24" s="136"/>
      <c r="C24" s="31" t="s">
        <v>56</v>
      </c>
      <c r="D24" s="93"/>
      <c r="E24" s="31"/>
      <c r="F24" s="31"/>
      <c r="G24" s="134"/>
      <c r="H24" s="131"/>
      <c r="I24" s="131"/>
      <c r="J24" s="131"/>
      <c r="K24" s="131"/>
      <c r="L24" s="131"/>
      <c r="M24" s="128"/>
    </row>
    <row r="25" spans="1:13" x14ac:dyDescent="0.25">
      <c r="A25" s="117"/>
      <c r="B25" s="136"/>
      <c r="C25" s="32" t="s">
        <v>57</v>
      </c>
      <c r="D25" s="93"/>
      <c r="E25" s="32"/>
      <c r="F25" s="32"/>
      <c r="G25" s="134"/>
      <c r="H25" s="131"/>
      <c r="I25" s="131"/>
      <c r="J25" s="131"/>
      <c r="K25" s="131"/>
      <c r="L25" s="131"/>
      <c r="M25" s="128"/>
    </row>
    <row r="26" spans="1:13" ht="24" x14ac:dyDescent="0.25">
      <c r="A26" s="118"/>
      <c r="B26" s="136"/>
      <c r="C26" s="33" t="s">
        <v>70</v>
      </c>
      <c r="D26" s="93"/>
      <c r="E26" s="33"/>
      <c r="F26" s="33"/>
      <c r="G26" s="135"/>
      <c r="H26" s="132"/>
      <c r="I26" s="132"/>
      <c r="J26" s="132"/>
      <c r="K26" s="132"/>
      <c r="L26" s="132"/>
      <c r="M26" s="129"/>
    </row>
    <row r="27" spans="1:13" ht="15" customHeight="1" x14ac:dyDescent="0.25">
      <c r="A27" s="122">
        <f>+A22+0.0001</f>
        <v>3.0006000000000013</v>
      </c>
      <c r="B27" s="137" t="s">
        <v>39</v>
      </c>
      <c r="C27" s="29" t="s">
        <v>58</v>
      </c>
      <c r="D27" s="93"/>
      <c r="E27" s="29"/>
      <c r="F27" s="29"/>
      <c r="G27" s="133"/>
      <c r="H27" s="95">
        <f t="shared" ref="H27:L50" si="4">IF($G27=H$1,1,0)</f>
        <v>0</v>
      </c>
      <c r="I27" s="95">
        <f t="shared" si="4"/>
        <v>0</v>
      </c>
      <c r="J27" s="95">
        <f t="shared" si="4"/>
        <v>1</v>
      </c>
      <c r="K27" s="95">
        <f t="shared" si="4"/>
        <v>0</v>
      </c>
      <c r="L27" s="95">
        <f t="shared" si="4"/>
        <v>0</v>
      </c>
      <c r="M27" s="127"/>
    </row>
    <row r="28" spans="1:13" ht="15" customHeight="1" x14ac:dyDescent="0.25">
      <c r="A28" s="117"/>
      <c r="B28" s="136"/>
      <c r="C28" s="31" t="s">
        <v>47</v>
      </c>
      <c r="D28" s="93"/>
      <c r="E28" s="31"/>
      <c r="F28" s="31"/>
      <c r="G28" s="134"/>
      <c r="H28" s="96"/>
      <c r="I28" s="96"/>
      <c r="J28" s="96"/>
      <c r="K28" s="96"/>
      <c r="L28" s="96"/>
      <c r="M28" s="128"/>
    </row>
    <row r="29" spans="1:13" ht="24" x14ac:dyDescent="0.25">
      <c r="A29" s="117"/>
      <c r="B29" s="136"/>
      <c r="C29" s="34" t="s">
        <v>59</v>
      </c>
      <c r="D29" s="93"/>
      <c r="E29" s="34"/>
      <c r="F29" s="34"/>
      <c r="G29" s="134"/>
      <c r="H29" s="96"/>
      <c r="I29" s="96"/>
      <c r="J29" s="96"/>
      <c r="K29" s="96"/>
      <c r="L29" s="96"/>
      <c r="M29" s="128"/>
    </row>
    <row r="30" spans="1:13" ht="15" customHeight="1" x14ac:dyDescent="0.25">
      <c r="A30" s="117"/>
      <c r="B30" s="136"/>
      <c r="C30" s="31" t="s">
        <v>51</v>
      </c>
      <c r="D30" s="93"/>
      <c r="E30" s="31"/>
      <c r="F30" s="31"/>
      <c r="G30" s="134"/>
      <c r="H30" s="96"/>
      <c r="I30" s="96"/>
      <c r="J30" s="96"/>
      <c r="K30" s="96"/>
      <c r="L30" s="96"/>
      <c r="M30" s="128"/>
    </row>
    <row r="31" spans="1:13" x14ac:dyDescent="0.25">
      <c r="A31" s="118"/>
      <c r="B31" s="138"/>
      <c r="C31" s="35" t="s">
        <v>60</v>
      </c>
      <c r="D31" s="93"/>
      <c r="E31" s="35"/>
      <c r="F31" s="35"/>
      <c r="G31" s="135"/>
      <c r="H31" s="97"/>
      <c r="I31" s="97"/>
      <c r="J31" s="97"/>
      <c r="K31" s="97"/>
      <c r="L31" s="97"/>
      <c r="M31" s="129"/>
    </row>
    <row r="32" spans="1:13" x14ac:dyDescent="0.25">
      <c r="A32" s="122">
        <f>+A27+0.0001</f>
        <v>3.0007000000000015</v>
      </c>
      <c r="B32" s="137" t="s">
        <v>40</v>
      </c>
      <c r="C32" s="36" t="s">
        <v>61</v>
      </c>
      <c r="D32" s="93"/>
      <c r="E32" s="36"/>
      <c r="F32" s="36"/>
      <c r="G32" s="133"/>
      <c r="H32" s="95">
        <f t="shared" si="4"/>
        <v>0</v>
      </c>
      <c r="I32" s="95">
        <f t="shared" si="4"/>
        <v>0</v>
      </c>
      <c r="J32" s="95">
        <f t="shared" si="4"/>
        <v>1</v>
      </c>
      <c r="K32" s="95">
        <f t="shared" si="4"/>
        <v>0</v>
      </c>
      <c r="L32" s="95">
        <f t="shared" si="4"/>
        <v>0</v>
      </c>
      <c r="M32" s="127"/>
    </row>
    <row r="33" spans="1:13" x14ac:dyDescent="0.25">
      <c r="A33" s="117"/>
      <c r="B33" s="136"/>
      <c r="C33" s="37" t="s">
        <v>47</v>
      </c>
      <c r="D33" s="93"/>
      <c r="E33" s="37"/>
      <c r="F33" s="37"/>
      <c r="G33" s="134"/>
      <c r="H33" s="96"/>
      <c r="I33" s="96"/>
      <c r="J33" s="96"/>
      <c r="K33" s="96"/>
      <c r="L33" s="96"/>
      <c r="M33" s="128"/>
    </row>
    <row r="34" spans="1:13" x14ac:dyDescent="0.25">
      <c r="A34" s="117"/>
      <c r="B34" s="136"/>
      <c r="C34" s="38" t="s">
        <v>62</v>
      </c>
      <c r="D34" s="93"/>
      <c r="E34" s="38"/>
      <c r="F34" s="38"/>
      <c r="G34" s="134"/>
      <c r="H34" s="96"/>
      <c r="I34" s="96"/>
      <c r="J34" s="96"/>
      <c r="K34" s="96"/>
      <c r="L34" s="96"/>
      <c r="M34" s="128"/>
    </row>
    <row r="35" spans="1:13" x14ac:dyDescent="0.25">
      <c r="A35" s="117"/>
      <c r="B35" s="136"/>
      <c r="C35" s="37" t="s">
        <v>51</v>
      </c>
      <c r="D35" s="93"/>
      <c r="E35" s="37"/>
      <c r="F35" s="37"/>
      <c r="G35" s="134"/>
      <c r="H35" s="96"/>
      <c r="I35" s="96"/>
      <c r="J35" s="96"/>
      <c r="K35" s="96"/>
      <c r="L35" s="96"/>
      <c r="M35" s="128"/>
    </row>
    <row r="36" spans="1:13" x14ac:dyDescent="0.25">
      <c r="A36" s="118"/>
      <c r="B36" s="138"/>
      <c r="C36" s="39" t="s">
        <v>63</v>
      </c>
      <c r="D36" s="93"/>
      <c r="E36" s="39"/>
      <c r="F36" s="39"/>
      <c r="G36" s="135"/>
      <c r="H36" s="97"/>
      <c r="I36" s="97"/>
      <c r="J36" s="97"/>
      <c r="K36" s="97"/>
      <c r="L36" s="97"/>
      <c r="M36" s="129"/>
    </row>
    <row r="37" spans="1:13" x14ac:dyDescent="0.25">
      <c r="A37" s="122">
        <f>+A32+0.0001</f>
        <v>3.0008000000000017</v>
      </c>
      <c r="B37" s="136" t="s">
        <v>41</v>
      </c>
      <c r="C37" s="29" t="s">
        <v>61</v>
      </c>
      <c r="D37" s="93"/>
      <c r="E37" s="29"/>
      <c r="F37" s="29"/>
      <c r="G37" s="133"/>
      <c r="H37" s="95">
        <f t="shared" si="4"/>
        <v>0</v>
      </c>
      <c r="I37" s="95">
        <f t="shared" si="4"/>
        <v>0</v>
      </c>
      <c r="J37" s="95">
        <f t="shared" si="4"/>
        <v>1</v>
      </c>
      <c r="K37" s="95">
        <f t="shared" si="4"/>
        <v>0</v>
      </c>
      <c r="L37" s="95">
        <f t="shared" si="4"/>
        <v>0</v>
      </c>
      <c r="M37" s="127"/>
    </row>
    <row r="38" spans="1:13" x14ac:dyDescent="0.25">
      <c r="A38" s="117"/>
      <c r="B38" s="136"/>
      <c r="C38" s="31" t="s">
        <v>47</v>
      </c>
      <c r="D38" s="93"/>
      <c r="E38" s="31"/>
      <c r="F38" s="31"/>
      <c r="G38" s="134"/>
      <c r="H38" s="96"/>
      <c r="I38" s="96"/>
      <c r="J38" s="96"/>
      <c r="K38" s="96"/>
      <c r="L38" s="96"/>
      <c r="M38" s="128"/>
    </row>
    <row r="39" spans="1:13" x14ac:dyDescent="0.25">
      <c r="A39" s="117"/>
      <c r="B39" s="136"/>
      <c r="C39" s="34" t="s">
        <v>64</v>
      </c>
      <c r="D39" s="93"/>
      <c r="E39" s="34"/>
      <c r="F39" s="34"/>
      <c r="G39" s="134"/>
      <c r="H39" s="96"/>
      <c r="I39" s="96"/>
      <c r="J39" s="96"/>
      <c r="K39" s="96"/>
      <c r="L39" s="96"/>
      <c r="M39" s="128"/>
    </row>
    <row r="40" spans="1:13" x14ac:dyDescent="0.25">
      <c r="A40" s="117"/>
      <c r="B40" s="136"/>
      <c r="C40" s="31" t="s">
        <v>51</v>
      </c>
      <c r="D40" s="93"/>
      <c r="E40" s="31"/>
      <c r="F40" s="31"/>
      <c r="G40" s="134"/>
      <c r="H40" s="96"/>
      <c r="I40" s="96"/>
      <c r="J40" s="96"/>
      <c r="K40" s="96"/>
      <c r="L40" s="96"/>
      <c r="M40" s="128"/>
    </row>
    <row r="41" spans="1:13" x14ac:dyDescent="0.25">
      <c r="A41" s="118"/>
      <c r="B41" s="136"/>
      <c r="C41" s="35" t="s">
        <v>65</v>
      </c>
      <c r="D41" s="93"/>
      <c r="E41" s="35"/>
      <c r="F41" s="35"/>
      <c r="G41" s="135"/>
      <c r="H41" s="97"/>
      <c r="I41" s="97"/>
      <c r="J41" s="97"/>
      <c r="K41" s="97"/>
      <c r="L41" s="97"/>
      <c r="M41" s="129"/>
    </row>
    <row r="42" spans="1:13" x14ac:dyDescent="0.25">
      <c r="A42" s="119">
        <f>+A37+0.0001</f>
        <v>3.0009000000000019</v>
      </c>
      <c r="B42" s="103" t="s">
        <v>42</v>
      </c>
      <c r="C42" s="29" t="s">
        <v>66</v>
      </c>
      <c r="D42" s="93"/>
      <c r="E42" s="29"/>
      <c r="F42" s="29"/>
      <c r="G42" s="133"/>
      <c r="H42" s="95">
        <f t="shared" si="4"/>
        <v>0</v>
      </c>
      <c r="I42" s="95">
        <f t="shared" si="4"/>
        <v>0</v>
      </c>
      <c r="J42" s="95">
        <f t="shared" si="4"/>
        <v>1</v>
      </c>
      <c r="K42" s="95">
        <f t="shared" si="4"/>
        <v>0</v>
      </c>
      <c r="L42" s="95">
        <f t="shared" si="4"/>
        <v>0</v>
      </c>
      <c r="M42" s="127"/>
    </row>
    <row r="43" spans="1:13" x14ac:dyDescent="0.25">
      <c r="A43" s="120"/>
      <c r="B43" s="104"/>
      <c r="C43" s="31" t="s">
        <v>51</v>
      </c>
      <c r="D43" s="93"/>
      <c r="E43" s="31"/>
      <c r="F43" s="31"/>
      <c r="G43" s="134"/>
      <c r="H43" s="96"/>
      <c r="I43" s="96"/>
      <c r="J43" s="96"/>
      <c r="K43" s="96"/>
      <c r="L43" s="96"/>
      <c r="M43" s="128"/>
    </row>
    <row r="44" spans="1:13" x14ac:dyDescent="0.25">
      <c r="A44" s="121"/>
      <c r="B44" s="104"/>
      <c r="C44" s="35" t="s">
        <v>67</v>
      </c>
      <c r="D44" s="93"/>
      <c r="E44" s="35"/>
      <c r="F44" s="35"/>
      <c r="G44" s="135"/>
      <c r="H44" s="97"/>
      <c r="I44" s="97"/>
      <c r="J44" s="97"/>
      <c r="K44" s="97"/>
      <c r="L44" s="97"/>
      <c r="M44" s="129"/>
    </row>
    <row r="45" spans="1:13" x14ac:dyDescent="0.25">
      <c r="A45" s="122">
        <f>+A42+0.0001</f>
        <v>3.0010000000000021</v>
      </c>
      <c r="B45" s="103" t="s">
        <v>43</v>
      </c>
      <c r="C45" s="27" t="s">
        <v>68</v>
      </c>
      <c r="D45" s="93"/>
      <c r="E45" s="27"/>
      <c r="F45" s="27"/>
      <c r="G45" s="133"/>
      <c r="H45" s="95">
        <f t="shared" si="4"/>
        <v>0</v>
      </c>
      <c r="I45" s="95">
        <f t="shared" si="4"/>
        <v>0</v>
      </c>
      <c r="J45" s="95">
        <f t="shared" si="4"/>
        <v>1</v>
      </c>
      <c r="K45" s="95">
        <f t="shared" si="4"/>
        <v>0</v>
      </c>
      <c r="L45" s="95">
        <f t="shared" si="4"/>
        <v>0</v>
      </c>
      <c r="M45" s="127"/>
    </row>
    <row r="46" spans="1:13" x14ac:dyDescent="0.25">
      <c r="A46" s="117"/>
      <c r="B46" s="104"/>
      <c r="C46" s="40" t="s">
        <v>51</v>
      </c>
      <c r="D46" s="93"/>
      <c r="E46" s="40"/>
      <c r="F46" s="40"/>
      <c r="G46" s="134"/>
      <c r="H46" s="96"/>
      <c r="I46" s="96"/>
      <c r="J46" s="96"/>
      <c r="K46" s="96"/>
      <c r="L46" s="96"/>
      <c r="M46" s="128"/>
    </row>
    <row r="47" spans="1:13" x14ac:dyDescent="0.25">
      <c r="A47" s="118"/>
      <c r="B47" s="105"/>
      <c r="C47" s="41" t="s">
        <v>65</v>
      </c>
      <c r="D47" s="93"/>
      <c r="E47" s="41"/>
      <c r="F47" s="41"/>
      <c r="G47" s="135"/>
      <c r="H47" s="97"/>
      <c r="I47" s="97"/>
      <c r="J47" s="97"/>
      <c r="K47" s="97"/>
      <c r="L47" s="97"/>
      <c r="M47" s="129"/>
    </row>
    <row r="48" spans="1:13" x14ac:dyDescent="0.25">
      <c r="A48" s="54">
        <f>+A45+0.0001</f>
        <v>3.0011000000000023</v>
      </c>
      <c r="B48" s="23" t="s">
        <v>44</v>
      </c>
      <c r="C48" s="42" t="s">
        <v>44</v>
      </c>
      <c r="D48" s="93"/>
      <c r="E48" s="42"/>
      <c r="F48" s="42"/>
      <c r="G48" s="48"/>
      <c r="H48" s="8">
        <f t="shared" si="4"/>
        <v>0</v>
      </c>
      <c r="I48" s="55">
        <v>0</v>
      </c>
      <c r="J48" s="8">
        <f t="shared" ref="J48" si="5">IF($G48=J$1,1,0)</f>
        <v>1</v>
      </c>
      <c r="K48" s="55">
        <v>0</v>
      </c>
      <c r="L48" s="55">
        <v>0</v>
      </c>
      <c r="M48" s="43"/>
    </row>
    <row r="49" spans="1:13" s="20" customFormat="1" x14ac:dyDescent="0.25">
      <c r="A49" s="50">
        <v>4</v>
      </c>
      <c r="B49" s="17" t="s">
        <v>132</v>
      </c>
      <c r="C49" s="18"/>
      <c r="D49" s="93"/>
      <c r="E49" s="17"/>
      <c r="F49" s="17"/>
      <c r="G49" s="19"/>
      <c r="H49" s="19"/>
      <c r="I49" s="19"/>
      <c r="J49" s="19"/>
      <c r="K49" s="19"/>
      <c r="L49" s="19"/>
      <c r="M49" s="17"/>
    </row>
    <row r="50" spans="1:13" x14ac:dyDescent="0.25">
      <c r="A50" s="119">
        <f>+A49+0.0001</f>
        <v>4.0000999999999998</v>
      </c>
      <c r="B50" s="106" t="s">
        <v>72</v>
      </c>
      <c r="C50" s="106" t="s">
        <v>73</v>
      </c>
      <c r="D50" s="93"/>
      <c r="E50" s="72"/>
      <c r="F50" s="106"/>
      <c r="G50" s="111"/>
      <c r="H50" s="95">
        <f t="shared" si="4"/>
        <v>0</v>
      </c>
      <c r="I50" s="95">
        <f t="shared" si="4"/>
        <v>0</v>
      </c>
      <c r="J50" s="95">
        <f t="shared" si="4"/>
        <v>1</v>
      </c>
      <c r="K50" s="95">
        <f t="shared" si="4"/>
        <v>0</v>
      </c>
      <c r="L50" s="95">
        <f t="shared" si="4"/>
        <v>0</v>
      </c>
      <c r="M50" s="101"/>
    </row>
    <row r="51" spans="1:13" ht="24" customHeight="1" x14ac:dyDescent="0.25">
      <c r="A51" s="120"/>
      <c r="B51" s="106"/>
      <c r="C51" s="106" t="s">
        <v>74</v>
      </c>
      <c r="D51" s="93"/>
      <c r="E51" s="72"/>
      <c r="F51" s="106"/>
      <c r="G51" s="111"/>
      <c r="H51" s="96"/>
      <c r="I51" s="96"/>
      <c r="J51" s="96"/>
      <c r="K51" s="96"/>
      <c r="L51" s="96"/>
      <c r="M51" s="101"/>
    </row>
    <row r="52" spans="1:13" ht="35.25" customHeight="1" x14ac:dyDescent="0.25">
      <c r="A52" s="121"/>
      <c r="B52" s="106"/>
      <c r="C52" s="106" t="s">
        <v>75</v>
      </c>
      <c r="D52" s="93"/>
      <c r="E52" s="72"/>
      <c r="F52" s="106"/>
      <c r="G52" s="111"/>
      <c r="H52" s="97"/>
      <c r="I52" s="97"/>
      <c r="J52" s="97"/>
      <c r="K52" s="97"/>
      <c r="L52" s="97"/>
      <c r="M52" s="101"/>
    </row>
    <row r="53" spans="1:13" x14ac:dyDescent="0.25">
      <c r="A53" s="122">
        <f>+A50+0.0001</f>
        <v>4.0001999999999995</v>
      </c>
      <c r="B53" s="107" t="s">
        <v>76</v>
      </c>
      <c r="C53" s="107" t="s">
        <v>77</v>
      </c>
      <c r="D53" s="93"/>
      <c r="E53" s="73"/>
      <c r="F53" s="107"/>
      <c r="G53" s="111"/>
      <c r="H53" s="95">
        <f t="shared" ref="H53:L56" si="6">IF($G53=H$1,1,0)</f>
        <v>0</v>
      </c>
      <c r="I53" s="95">
        <f t="shared" si="6"/>
        <v>0</v>
      </c>
      <c r="J53" s="95">
        <f t="shared" si="6"/>
        <v>1</v>
      </c>
      <c r="K53" s="95">
        <f t="shared" si="6"/>
        <v>0</v>
      </c>
      <c r="L53" s="95">
        <f t="shared" si="6"/>
        <v>0</v>
      </c>
      <c r="M53" s="102"/>
    </row>
    <row r="54" spans="1:13" x14ac:dyDescent="0.25">
      <c r="A54" s="117"/>
      <c r="B54" s="107"/>
      <c r="C54" s="107" t="s">
        <v>51</v>
      </c>
      <c r="D54" s="93"/>
      <c r="E54" s="73"/>
      <c r="F54" s="107"/>
      <c r="G54" s="111"/>
      <c r="H54" s="96"/>
      <c r="I54" s="96"/>
      <c r="J54" s="96"/>
      <c r="K54" s="96"/>
      <c r="L54" s="96"/>
      <c r="M54" s="102"/>
    </row>
    <row r="55" spans="1:13" x14ac:dyDescent="0.25">
      <c r="A55" s="118"/>
      <c r="B55" s="107"/>
      <c r="C55" s="107" t="s">
        <v>78</v>
      </c>
      <c r="D55" s="93"/>
      <c r="E55" s="73"/>
      <c r="F55" s="107"/>
      <c r="G55" s="111"/>
      <c r="H55" s="97"/>
      <c r="I55" s="97"/>
      <c r="J55" s="97"/>
      <c r="K55" s="97"/>
      <c r="L55" s="97"/>
      <c r="M55" s="102"/>
    </row>
    <row r="56" spans="1:13" x14ac:dyDescent="0.25">
      <c r="A56" s="116">
        <f>+A53+0.0001</f>
        <v>4.0002999999999993</v>
      </c>
      <c r="B56" s="107" t="s">
        <v>79</v>
      </c>
      <c r="C56" s="107" t="s">
        <v>80</v>
      </c>
      <c r="D56" s="93"/>
      <c r="E56" s="73"/>
      <c r="F56" s="107"/>
      <c r="G56" s="111"/>
      <c r="H56" s="95">
        <f t="shared" si="6"/>
        <v>0</v>
      </c>
      <c r="I56" s="95">
        <f>IF($G56=I$1,1,0)</f>
        <v>0</v>
      </c>
      <c r="J56" s="95">
        <f t="shared" si="6"/>
        <v>1</v>
      </c>
      <c r="K56" s="95">
        <f t="shared" si="6"/>
        <v>0</v>
      </c>
      <c r="L56" s="95">
        <f t="shared" si="6"/>
        <v>0</v>
      </c>
      <c r="M56" s="102"/>
    </row>
    <row r="57" spans="1:13" x14ac:dyDescent="0.25">
      <c r="A57" s="117"/>
      <c r="B57" s="107"/>
      <c r="C57" s="107" t="s">
        <v>81</v>
      </c>
      <c r="D57" s="93"/>
      <c r="E57" s="73"/>
      <c r="F57" s="107"/>
      <c r="G57" s="111"/>
      <c r="H57" s="96"/>
      <c r="I57" s="96"/>
      <c r="J57" s="96"/>
      <c r="K57" s="96"/>
      <c r="L57" s="96"/>
      <c r="M57" s="102"/>
    </row>
    <row r="58" spans="1:13" x14ac:dyDescent="0.25">
      <c r="A58" s="118"/>
      <c r="B58" s="107"/>
      <c r="C58" s="107" t="s">
        <v>82</v>
      </c>
      <c r="D58" s="93"/>
      <c r="E58" s="73"/>
      <c r="F58" s="107"/>
      <c r="G58" s="111"/>
      <c r="H58" s="97"/>
      <c r="I58" s="97"/>
      <c r="J58" s="97"/>
      <c r="K58" s="97"/>
      <c r="L58" s="97"/>
      <c r="M58" s="102"/>
    </row>
    <row r="59" spans="1:13" x14ac:dyDescent="0.25">
      <c r="A59" s="116">
        <f t="shared" ref="A59" si="7">+A56+0.0001</f>
        <v>4.0003999999999991</v>
      </c>
      <c r="B59" s="108" t="s">
        <v>83</v>
      </c>
      <c r="C59" s="108" t="s">
        <v>84</v>
      </c>
      <c r="D59" s="93"/>
      <c r="E59" s="74"/>
      <c r="F59" s="108"/>
      <c r="G59" s="112"/>
      <c r="H59" s="98">
        <f t="shared" ref="H59:L62" si="8">IF($G59=H$1,1,0)</f>
        <v>0</v>
      </c>
      <c r="I59" s="98">
        <f t="shared" si="8"/>
        <v>0</v>
      </c>
      <c r="J59" s="98">
        <f t="shared" si="8"/>
        <v>1</v>
      </c>
      <c r="K59" s="98">
        <f t="shared" si="8"/>
        <v>0</v>
      </c>
      <c r="L59" s="98">
        <f t="shared" si="8"/>
        <v>0</v>
      </c>
      <c r="M59" s="103"/>
    </row>
    <row r="60" spans="1:13" x14ac:dyDescent="0.25">
      <c r="A60" s="117"/>
      <c r="B60" s="109"/>
      <c r="C60" s="109" t="s">
        <v>85</v>
      </c>
      <c r="D60" s="93"/>
      <c r="E60" s="75"/>
      <c r="F60" s="109"/>
      <c r="G60" s="113"/>
      <c r="H60" s="99"/>
      <c r="I60" s="99"/>
      <c r="J60" s="99"/>
      <c r="K60" s="99"/>
      <c r="L60" s="99"/>
      <c r="M60" s="104"/>
    </row>
    <row r="61" spans="1:13" x14ac:dyDescent="0.25">
      <c r="A61" s="117"/>
      <c r="B61" s="109"/>
      <c r="C61" s="109" t="s">
        <v>86</v>
      </c>
      <c r="D61" s="93"/>
      <c r="E61" s="75"/>
      <c r="F61" s="109"/>
      <c r="G61" s="113"/>
      <c r="H61" s="99"/>
      <c r="I61" s="99"/>
      <c r="J61" s="99"/>
      <c r="K61" s="99"/>
      <c r="L61" s="99"/>
      <c r="M61" s="104"/>
    </row>
    <row r="62" spans="1:13" x14ac:dyDescent="0.25">
      <c r="A62" s="117">
        <f t="shared" ref="A62" si="9">+A59+0.0001</f>
        <v>4.0004999999999988</v>
      </c>
      <c r="B62" s="109"/>
      <c r="C62" s="109" t="s">
        <v>87</v>
      </c>
      <c r="D62" s="93"/>
      <c r="E62" s="75"/>
      <c r="F62" s="109"/>
      <c r="G62" s="113"/>
      <c r="H62" s="99">
        <f t="shared" si="8"/>
        <v>0</v>
      </c>
      <c r="I62" s="99">
        <f t="shared" si="8"/>
        <v>0</v>
      </c>
      <c r="J62" s="99">
        <f t="shared" si="8"/>
        <v>1</v>
      </c>
      <c r="K62" s="99">
        <f t="shared" si="8"/>
        <v>0</v>
      </c>
      <c r="L62" s="99">
        <f t="shared" si="8"/>
        <v>0</v>
      </c>
      <c r="M62" s="104"/>
    </row>
    <row r="63" spans="1:13" x14ac:dyDescent="0.25">
      <c r="A63" s="117"/>
      <c r="B63" s="109"/>
      <c r="C63" s="109"/>
      <c r="D63" s="93"/>
      <c r="E63" s="75"/>
      <c r="F63" s="109"/>
      <c r="G63" s="113"/>
      <c r="H63" s="99"/>
      <c r="I63" s="99"/>
      <c r="J63" s="99"/>
      <c r="K63" s="99"/>
      <c r="L63" s="99"/>
      <c r="M63" s="104"/>
    </row>
    <row r="64" spans="1:13" x14ac:dyDescent="0.25">
      <c r="A64" s="118"/>
      <c r="B64" s="110"/>
      <c r="C64" s="110"/>
      <c r="D64" s="93"/>
      <c r="E64" s="76"/>
      <c r="F64" s="110"/>
      <c r="G64" s="114"/>
      <c r="H64" s="100"/>
      <c r="I64" s="100"/>
      <c r="J64" s="100"/>
      <c r="K64" s="100"/>
      <c r="L64" s="100"/>
      <c r="M64" s="105"/>
    </row>
    <row r="65" spans="1:13" x14ac:dyDescent="0.25">
      <c r="A65" s="116">
        <f>+A59+0.0001</f>
        <v>4.0004999999999988</v>
      </c>
      <c r="B65" s="107" t="s">
        <v>88</v>
      </c>
      <c r="C65" s="107" t="s">
        <v>89</v>
      </c>
      <c r="D65" s="93"/>
      <c r="E65" s="73"/>
      <c r="F65" s="107"/>
      <c r="G65" s="111"/>
      <c r="H65" s="98">
        <v>1</v>
      </c>
      <c r="I65" s="116">
        <v>0</v>
      </c>
      <c r="J65" s="116">
        <v>0</v>
      </c>
      <c r="K65" s="116">
        <v>0</v>
      </c>
      <c r="L65" s="116">
        <v>0</v>
      </c>
      <c r="M65" s="102"/>
    </row>
    <row r="66" spans="1:13" ht="15" customHeight="1" x14ac:dyDescent="0.25">
      <c r="A66" s="117"/>
      <c r="B66" s="107"/>
      <c r="C66" s="107" t="s">
        <v>90</v>
      </c>
      <c r="D66" s="93"/>
      <c r="E66" s="73"/>
      <c r="F66" s="107"/>
      <c r="G66" s="111"/>
      <c r="H66" s="99"/>
      <c r="I66" s="117"/>
      <c r="J66" s="117"/>
      <c r="K66" s="117"/>
      <c r="L66" s="117"/>
      <c r="M66" s="102"/>
    </row>
    <row r="67" spans="1:13" ht="15" customHeight="1" x14ac:dyDescent="0.25">
      <c r="A67" s="117"/>
      <c r="B67" s="107"/>
      <c r="C67" s="107" t="s">
        <v>91</v>
      </c>
      <c r="D67" s="93"/>
      <c r="E67" s="73"/>
      <c r="F67" s="107"/>
      <c r="G67" s="111"/>
      <c r="H67" s="99"/>
      <c r="I67" s="117"/>
      <c r="J67" s="117"/>
      <c r="K67" s="117"/>
      <c r="L67" s="117"/>
      <c r="M67" s="102"/>
    </row>
    <row r="68" spans="1:13" ht="15" customHeight="1" x14ac:dyDescent="0.25">
      <c r="A68" s="117"/>
      <c r="B68" s="107"/>
      <c r="C68" s="107" t="s">
        <v>92</v>
      </c>
      <c r="D68" s="93"/>
      <c r="E68" s="73"/>
      <c r="F68" s="107"/>
      <c r="G68" s="111"/>
      <c r="H68" s="99"/>
      <c r="I68" s="117"/>
      <c r="J68" s="117"/>
      <c r="K68" s="117"/>
      <c r="L68" s="117"/>
      <c r="M68" s="102"/>
    </row>
    <row r="69" spans="1:13" x14ac:dyDescent="0.25">
      <c r="A69" s="117"/>
      <c r="B69" s="107"/>
      <c r="C69" s="107" t="s">
        <v>93</v>
      </c>
      <c r="D69" s="93"/>
      <c r="E69" s="73"/>
      <c r="F69" s="107"/>
      <c r="G69" s="111"/>
      <c r="H69" s="99"/>
      <c r="I69" s="117"/>
      <c r="J69" s="117"/>
      <c r="K69" s="117"/>
      <c r="L69" s="117"/>
      <c r="M69" s="102"/>
    </row>
    <row r="70" spans="1:13" x14ac:dyDescent="0.25">
      <c r="A70" s="117"/>
      <c r="B70" s="107"/>
      <c r="C70" s="107" t="s">
        <v>94</v>
      </c>
      <c r="D70" s="93"/>
      <c r="E70" s="73"/>
      <c r="F70" s="107"/>
      <c r="G70" s="111"/>
      <c r="H70" s="99"/>
      <c r="I70" s="117"/>
      <c r="J70" s="117"/>
      <c r="K70" s="117"/>
      <c r="L70" s="117"/>
      <c r="M70" s="102"/>
    </row>
    <row r="71" spans="1:13" x14ac:dyDescent="0.25">
      <c r="A71" s="118"/>
      <c r="B71" s="107"/>
      <c r="C71" s="107"/>
      <c r="D71" s="93"/>
      <c r="E71" s="73"/>
      <c r="F71" s="107"/>
      <c r="G71" s="111"/>
      <c r="H71" s="100"/>
      <c r="I71" s="118"/>
      <c r="J71" s="118"/>
      <c r="K71" s="118"/>
      <c r="L71" s="118"/>
      <c r="M71" s="102"/>
    </row>
    <row r="72" spans="1:13" ht="24" x14ac:dyDescent="0.25">
      <c r="A72" s="52">
        <f>+A65+0.0001</f>
        <v>4.0005999999999986</v>
      </c>
      <c r="B72" s="57" t="s">
        <v>95</v>
      </c>
      <c r="C72" s="57" t="s">
        <v>96</v>
      </c>
      <c r="D72" s="93"/>
      <c r="E72" s="70"/>
      <c r="F72" s="57"/>
      <c r="G72" s="48"/>
      <c r="H72" s="52">
        <v>1</v>
      </c>
      <c r="I72" s="52">
        <v>0</v>
      </c>
      <c r="J72" s="52">
        <v>0</v>
      </c>
      <c r="K72" s="52">
        <v>0</v>
      </c>
      <c r="L72" s="52">
        <v>0</v>
      </c>
      <c r="M72" s="57"/>
    </row>
    <row r="73" spans="1:13" ht="24" x14ac:dyDescent="0.25">
      <c r="A73" s="52">
        <f>+A72+0.0001</f>
        <v>4.0006999999999984</v>
      </c>
      <c r="B73" s="57" t="s">
        <v>97</v>
      </c>
      <c r="C73" s="57" t="s">
        <v>98</v>
      </c>
      <c r="D73" s="93"/>
      <c r="E73" s="70"/>
      <c r="F73" s="57"/>
      <c r="G73" s="48"/>
      <c r="H73" s="52">
        <v>1</v>
      </c>
      <c r="I73" s="52">
        <v>0</v>
      </c>
      <c r="J73" s="52">
        <v>0</v>
      </c>
      <c r="K73" s="52">
        <v>0</v>
      </c>
      <c r="L73" s="52">
        <v>0</v>
      </c>
      <c r="M73" s="57"/>
    </row>
    <row r="74" spans="1:13" x14ac:dyDescent="0.25">
      <c r="A74" s="52">
        <f>+A73+0.0001</f>
        <v>4.0007999999999981</v>
      </c>
      <c r="B74" s="57" t="s">
        <v>99</v>
      </c>
      <c r="C74" s="57" t="s">
        <v>100</v>
      </c>
      <c r="D74" s="93"/>
      <c r="E74" s="70"/>
      <c r="F74" s="57"/>
      <c r="G74" s="48"/>
      <c r="H74" s="52">
        <v>1</v>
      </c>
      <c r="I74" s="52">
        <v>0</v>
      </c>
      <c r="J74" s="52">
        <v>0</v>
      </c>
      <c r="K74" s="52">
        <v>0</v>
      </c>
      <c r="L74" s="52">
        <v>0</v>
      </c>
      <c r="M74" s="57"/>
    </row>
    <row r="75" spans="1:13" ht="46.5" x14ac:dyDescent="0.25">
      <c r="A75" s="52">
        <f>+A74+0.0001</f>
        <v>4.0008999999999979</v>
      </c>
      <c r="B75" s="57" t="s">
        <v>101</v>
      </c>
      <c r="C75" s="57" t="s">
        <v>102</v>
      </c>
      <c r="D75" s="93"/>
      <c r="E75" s="70"/>
      <c r="F75" s="57"/>
      <c r="G75" s="48"/>
      <c r="H75" s="52">
        <v>1</v>
      </c>
      <c r="I75" s="52">
        <v>0</v>
      </c>
      <c r="J75" s="52">
        <v>0</v>
      </c>
      <c r="K75" s="52">
        <v>0</v>
      </c>
      <c r="L75" s="52">
        <v>0</v>
      </c>
      <c r="M75" s="57"/>
    </row>
    <row r="76" spans="1:13" x14ac:dyDescent="0.25">
      <c r="A76" s="122">
        <f>+A75+0.0001</f>
        <v>4.0009999999999977</v>
      </c>
      <c r="B76" s="102" t="s">
        <v>103</v>
      </c>
      <c r="C76" s="102" t="s">
        <v>104</v>
      </c>
      <c r="D76" s="93"/>
      <c r="E76" s="70"/>
      <c r="F76" s="102"/>
      <c r="G76" s="48"/>
      <c r="H76" s="116">
        <v>1</v>
      </c>
      <c r="I76" s="115">
        <v>0</v>
      </c>
      <c r="J76" s="115">
        <v>0</v>
      </c>
      <c r="K76" s="115">
        <v>0</v>
      </c>
      <c r="L76" s="115">
        <v>0</v>
      </c>
      <c r="M76" s="102"/>
    </row>
    <row r="77" spans="1:13" x14ac:dyDescent="0.25">
      <c r="A77" s="123"/>
      <c r="B77" s="102"/>
      <c r="C77" s="102" t="s">
        <v>51</v>
      </c>
      <c r="D77" s="93"/>
      <c r="E77" s="70"/>
      <c r="F77" s="102"/>
      <c r="G77" s="48"/>
      <c r="H77" s="117"/>
      <c r="I77" s="115"/>
      <c r="J77" s="115"/>
      <c r="K77" s="115"/>
      <c r="L77" s="115"/>
      <c r="M77" s="102"/>
    </row>
    <row r="78" spans="1:13" x14ac:dyDescent="0.25">
      <c r="A78" s="124"/>
      <c r="B78" s="102"/>
      <c r="C78" s="102" t="s">
        <v>105</v>
      </c>
      <c r="D78" s="93"/>
      <c r="E78" s="70"/>
      <c r="F78" s="102"/>
      <c r="G78" s="48"/>
      <c r="H78" s="118"/>
      <c r="I78" s="115"/>
      <c r="J78" s="115"/>
      <c r="K78" s="115"/>
      <c r="L78" s="115"/>
      <c r="M78" s="102"/>
    </row>
    <row r="79" spans="1:13" x14ac:dyDescent="0.25">
      <c r="A79" s="122">
        <f>+A76+0.0001</f>
        <v>4.0010999999999974</v>
      </c>
      <c r="B79" s="102" t="s">
        <v>106</v>
      </c>
      <c r="C79" s="102" t="s">
        <v>104</v>
      </c>
      <c r="D79" s="93"/>
      <c r="E79" s="70"/>
      <c r="F79" s="102"/>
      <c r="G79" s="48"/>
      <c r="H79" s="116">
        <v>1</v>
      </c>
      <c r="I79" s="115">
        <v>0</v>
      </c>
      <c r="J79" s="115">
        <v>0</v>
      </c>
      <c r="K79" s="115">
        <v>0</v>
      </c>
      <c r="L79" s="115">
        <v>0</v>
      </c>
      <c r="M79" s="102"/>
    </row>
    <row r="80" spans="1:13" x14ac:dyDescent="0.25">
      <c r="A80" s="123"/>
      <c r="B80" s="102"/>
      <c r="C80" s="102" t="s">
        <v>51</v>
      </c>
      <c r="D80" s="93"/>
      <c r="E80" s="70"/>
      <c r="F80" s="102"/>
      <c r="G80" s="48"/>
      <c r="H80" s="117"/>
      <c r="I80" s="115"/>
      <c r="J80" s="115"/>
      <c r="K80" s="115"/>
      <c r="L80" s="115"/>
      <c r="M80" s="102"/>
    </row>
    <row r="81" spans="1:13" x14ac:dyDescent="0.25">
      <c r="A81" s="124"/>
      <c r="B81" s="102"/>
      <c r="C81" s="102" t="s">
        <v>107</v>
      </c>
      <c r="D81" s="93"/>
      <c r="E81" s="70"/>
      <c r="F81" s="102"/>
      <c r="G81" s="48"/>
      <c r="H81" s="118"/>
      <c r="I81" s="115"/>
      <c r="J81" s="115"/>
      <c r="K81" s="115"/>
      <c r="L81" s="115"/>
      <c r="M81" s="102"/>
    </row>
    <row r="82" spans="1:13" x14ac:dyDescent="0.25">
      <c r="A82" s="122">
        <f>+A79+0.0001</f>
        <v>4.0011999999999972</v>
      </c>
      <c r="B82" s="102" t="s">
        <v>108</v>
      </c>
      <c r="C82" s="102" t="s">
        <v>104</v>
      </c>
      <c r="D82" s="93"/>
      <c r="E82" s="70"/>
      <c r="F82" s="102"/>
      <c r="G82" s="48"/>
      <c r="H82" s="116">
        <v>1</v>
      </c>
      <c r="I82" s="115">
        <v>0</v>
      </c>
      <c r="J82" s="115">
        <v>0</v>
      </c>
      <c r="K82" s="115">
        <v>0</v>
      </c>
      <c r="L82" s="115">
        <v>0</v>
      </c>
      <c r="M82" s="102"/>
    </row>
    <row r="83" spans="1:13" x14ac:dyDescent="0.25">
      <c r="A83" s="123"/>
      <c r="B83" s="102"/>
      <c r="C83" s="102" t="s">
        <v>51</v>
      </c>
      <c r="D83" s="93"/>
      <c r="E83" s="70"/>
      <c r="F83" s="102"/>
      <c r="G83" s="48"/>
      <c r="H83" s="117"/>
      <c r="I83" s="115"/>
      <c r="J83" s="115"/>
      <c r="K83" s="115"/>
      <c r="L83" s="115"/>
      <c r="M83" s="102"/>
    </row>
    <row r="84" spans="1:13" x14ac:dyDescent="0.25">
      <c r="A84" s="124"/>
      <c r="B84" s="102"/>
      <c r="C84" s="102" t="s">
        <v>65</v>
      </c>
      <c r="D84" s="93"/>
      <c r="E84" s="70"/>
      <c r="F84" s="102"/>
      <c r="G84" s="48"/>
      <c r="H84" s="118"/>
      <c r="I84" s="115"/>
      <c r="J84" s="115"/>
      <c r="K84" s="115"/>
      <c r="L84" s="115"/>
      <c r="M84" s="102"/>
    </row>
    <row r="85" spans="1:13" x14ac:dyDescent="0.25">
      <c r="A85" s="126">
        <f>+A82+0.0001</f>
        <v>4.001299999999997</v>
      </c>
      <c r="B85" s="102" t="s">
        <v>109</v>
      </c>
      <c r="C85" s="102" t="s">
        <v>110</v>
      </c>
      <c r="D85" s="93"/>
      <c r="E85" s="70"/>
      <c r="F85" s="102"/>
      <c r="G85" s="48"/>
      <c r="H85" s="116">
        <v>1</v>
      </c>
      <c r="I85" s="115">
        <v>0</v>
      </c>
      <c r="J85" s="115">
        <v>0</v>
      </c>
      <c r="K85" s="115">
        <v>0</v>
      </c>
      <c r="L85" s="115">
        <v>0</v>
      </c>
      <c r="M85" s="102"/>
    </row>
    <row r="86" spans="1:13" ht="15" customHeight="1" x14ac:dyDescent="0.25">
      <c r="A86" s="115"/>
      <c r="B86" s="102"/>
      <c r="C86" s="102" t="s">
        <v>90</v>
      </c>
      <c r="D86" s="93"/>
      <c r="E86" s="70"/>
      <c r="F86" s="102"/>
      <c r="G86" s="48"/>
      <c r="H86" s="117"/>
      <c r="I86" s="115"/>
      <c r="J86" s="115"/>
      <c r="K86" s="115"/>
      <c r="L86" s="115"/>
      <c r="M86" s="102"/>
    </row>
    <row r="87" spans="1:13" ht="15" customHeight="1" x14ac:dyDescent="0.25">
      <c r="A87" s="115"/>
      <c r="B87" s="102"/>
      <c r="C87" s="102" t="s">
        <v>92</v>
      </c>
      <c r="D87" s="93"/>
      <c r="E87" s="70"/>
      <c r="F87" s="102"/>
      <c r="G87" s="48"/>
      <c r="H87" s="117"/>
      <c r="I87" s="115"/>
      <c r="J87" s="115"/>
      <c r="K87" s="115"/>
      <c r="L87" s="115"/>
      <c r="M87" s="102"/>
    </row>
    <row r="88" spans="1:13" x14ac:dyDescent="0.25">
      <c r="A88" s="115"/>
      <c r="B88" s="102"/>
      <c r="C88" s="102" t="s">
        <v>93</v>
      </c>
      <c r="D88" s="93"/>
      <c r="E88" s="70"/>
      <c r="F88" s="102"/>
      <c r="G88" s="48"/>
      <c r="H88" s="117"/>
      <c r="I88" s="115"/>
      <c r="J88" s="115"/>
      <c r="K88" s="115"/>
      <c r="L88" s="115"/>
      <c r="M88" s="102"/>
    </row>
    <row r="89" spans="1:13" x14ac:dyDescent="0.25">
      <c r="A89" s="115"/>
      <c r="B89" s="102"/>
      <c r="C89" s="102" t="s">
        <v>94</v>
      </c>
      <c r="D89" s="93"/>
      <c r="E89" s="70"/>
      <c r="F89" s="102"/>
      <c r="G89" s="48"/>
      <c r="H89" s="118"/>
      <c r="I89" s="115"/>
      <c r="J89" s="115"/>
      <c r="K89" s="115"/>
      <c r="L89" s="115"/>
      <c r="M89" s="102"/>
    </row>
    <row r="90" spans="1:13" x14ac:dyDescent="0.25">
      <c r="A90" s="122">
        <f>+A85+0.0001</f>
        <v>4.0013999999999967</v>
      </c>
      <c r="B90" s="102" t="s">
        <v>111</v>
      </c>
      <c r="C90" s="102" t="s">
        <v>112</v>
      </c>
      <c r="D90" s="93"/>
      <c r="E90" s="70"/>
      <c r="F90" s="102"/>
      <c r="G90" s="48"/>
      <c r="H90" s="116">
        <v>1</v>
      </c>
      <c r="I90" s="115">
        <v>0</v>
      </c>
      <c r="J90" s="115">
        <v>0</v>
      </c>
      <c r="K90" s="115">
        <v>0</v>
      </c>
      <c r="L90" s="115">
        <v>0</v>
      </c>
      <c r="M90" s="102"/>
    </row>
    <row r="91" spans="1:13" x14ac:dyDescent="0.25">
      <c r="A91" s="123"/>
      <c r="B91" s="102"/>
      <c r="C91" s="102" t="s">
        <v>113</v>
      </c>
      <c r="D91" s="93"/>
      <c r="E91" s="70"/>
      <c r="F91" s="102"/>
      <c r="G91" s="48"/>
      <c r="H91" s="117"/>
      <c r="I91" s="115"/>
      <c r="J91" s="115"/>
      <c r="K91" s="115"/>
      <c r="L91" s="115"/>
      <c r="M91" s="102"/>
    </row>
    <row r="92" spans="1:13" x14ac:dyDescent="0.25">
      <c r="A92" s="124"/>
      <c r="B92" s="102"/>
      <c r="C92" s="102" t="s">
        <v>114</v>
      </c>
      <c r="D92" s="93"/>
      <c r="E92" s="70"/>
      <c r="F92" s="102"/>
      <c r="G92" s="48"/>
      <c r="H92" s="118"/>
      <c r="I92" s="115"/>
      <c r="J92" s="115"/>
      <c r="K92" s="115"/>
      <c r="L92" s="115"/>
      <c r="M92" s="102"/>
    </row>
    <row r="93" spans="1:13" x14ac:dyDescent="0.25">
      <c r="A93" s="125">
        <f>+A90+0.0001</f>
        <v>4.0014999999999965</v>
      </c>
      <c r="B93" s="102" t="s">
        <v>115</v>
      </c>
      <c r="C93" s="102" t="s">
        <v>116</v>
      </c>
      <c r="D93" s="93"/>
      <c r="E93" s="70"/>
      <c r="F93" s="102"/>
      <c r="G93" s="48"/>
      <c r="H93" s="116">
        <v>1</v>
      </c>
      <c r="I93" s="115">
        <v>0</v>
      </c>
      <c r="J93" s="115">
        <v>0</v>
      </c>
      <c r="K93" s="115">
        <v>0</v>
      </c>
      <c r="L93" s="115">
        <v>0</v>
      </c>
      <c r="M93" s="102"/>
    </row>
    <row r="94" spans="1:13" x14ac:dyDescent="0.25">
      <c r="A94" s="115"/>
      <c r="B94" s="102"/>
      <c r="C94" s="102" t="s">
        <v>47</v>
      </c>
      <c r="D94" s="93"/>
      <c r="E94" s="70"/>
      <c r="F94" s="102"/>
      <c r="G94" s="48"/>
      <c r="H94" s="117"/>
      <c r="I94" s="115"/>
      <c r="J94" s="115"/>
      <c r="K94" s="115"/>
      <c r="L94" s="115"/>
      <c r="M94" s="102"/>
    </row>
    <row r="95" spans="1:13" x14ac:dyDescent="0.25">
      <c r="A95" s="115"/>
      <c r="B95" s="102"/>
      <c r="C95" s="102" t="s">
        <v>117</v>
      </c>
      <c r="D95" s="93"/>
      <c r="E95" s="70"/>
      <c r="F95" s="102"/>
      <c r="G95" s="48"/>
      <c r="H95" s="117"/>
      <c r="I95" s="115"/>
      <c r="J95" s="115"/>
      <c r="K95" s="115"/>
      <c r="L95" s="115"/>
      <c r="M95" s="102"/>
    </row>
    <row r="96" spans="1:13" x14ac:dyDescent="0.25">
      <c r="A96" s="115"/>
      <c r="B96" s="102"/>
      <c r="C96" s="102" t="s">
        <v>118</v>
      </c>
      <c r="D96" s="93"/>
      <c r="E96" s="70"/>
      <c r="F96" s="102"/>
      <c r="G96" s="48"/>
      <c r="H96" s="117"/>
      <c r="I96" s="115"/>
      <c r="J96" s="115"/>
      <c r="K96" s="115"/>
      <c r="L96" s="115"/>
      <c r="M96" s="102"/>
    </row>
    <row r="97" spans="1:13" x14ac:dyDescent="0.25">
      <c r="A97" s="115"/>
      <c r="B97" s="102"/>
      <c r="C97" s="102" t="s">
        <v>119</v>
      </c>
      <c r="D97" s="93"/>
      <c r="E97" s="70"/>
      <c r="F97" s="102"/>
      <c r="G97" s="48"/>
      <c r="H97" s="117"/>
      <c r="I97" s="115"/>
      <c r="J97" s="115"/>
      <c r="K97" s="115"/>
      <c r="L97" s="115"/>
      <c r="M97" s="102"/>
    </row>
    <row r="98" spans="1:13" x14ac:dyDescent="0.25">
      <c r="A98" s="115"/>
      <c r="B98" s="102"/>
      <c r="C98" s="102" t="s">
        <v>120</v>
      </c>
      <c r="D98" s="93"/>
      <c r="E98" s="70"/>
      <c r="F98" s="102"/>
      <c r="G98" s="48"/>
      <c r="H98" s="117"/>
      <c r="I98" s="115"/>
      <c r="J98" s="115"/>
      <c r="K98" s="115"/>
      <c r="L98" s="115"/>
      <c r="M98" s="102"/>
    </row>
    <row r="99" spans="1:13" x14ac:dyDescent="0.25">
      <c r="A99" s="115"/>
      <c r="B99" s="102"/>
      <c r="C99" s="102" t="s">
        <v>121</v>
      </c>
      <c r="D99" s="93"/>
      <c r="E99" s="70"/>
      <c r="F99" s="102"/>
      <c r="G99" s="48"/>
      <c r="H99" s="118"/>
      <c r="I99" s="115"/>
      <c r="J99" s="115"/>
      <c r="K99" s="115"/>
      <c r="L99" s="115"/>
      <c r="M99" s="102"/>
    </row>
    <row r="100" spans="1:13" ht="35.25" x14ac:dyDescent="0.25">
      <c r="A100" s="54">
        <f>+A93+0.0001</f>
        <v>4.0015999999999963</v>
      </c>
      <c r="B100" s="57" t="s">
        <v>122</v>
      </c>
      <c r="C100" s="57" t="s">
        <v>123</v>
      </c>
      <c r="D100" s="93"/>
      <c r="E100" s="70"/>
      <c r="F100" s="57"/>
      <c r="G100" s="48"/>
      <c r="H100" s="52">
        <v>1</v>
      </c>
      <c r="I100" s="52">
        <v>0</v>
      </c>
      <c r="J100" s="52">
        <v>0</v>
      </c>
      <c r="K100" s="52">
        <v>0</v>
      </c>
      <c r="L100" s="52">
        <v>0</v>
      </c>
      <c r="M100" s="57"/>
    </row>
    <row r="101" spans="1:13" x14ac:dyDescent="0.25">
      <c r="A101" s="125">
        <f>+A100+0.0001</f>
        <v>4.001699999999996</v>
      </c>
      <c r="B101" s="102" t="s">
        <v>124</v>
      </c>
      <c r="C101" s="102" t="s">
        <v>125</v>
      </c>
      <c r="D101" s="93"/>
      <c r="E101" s="70"/>
      <c r="F101" s="102"/>
      <c r="G101" s="48"/>
      <c r="H101" s="116">
        <v>1</v>
      </c>
      <c r="I101" s="115">
        <v>0</v>
      </c>
      <c r="J101" s="115">
        <v>0</v>
      </c>
      <c r="K101" s="115">
        <v>0</v>
      </c>
      <c r="L101" s="115">
        <v>0</v>
      </c>
      <c r="M101" s="102"/>
    </row>
    <row r="102" spans="1:13" ht="15" customHeight="1" x14ac:dyDescent="0.25">
      <c r="A102" s="115"/>
      <c r="B102" s="102"/>
      <c r="C102" s="102" t="s">
        <v>126</v>
      </c>
      <c r="D102" s="93"/>
      <c r="E102" s="70"/>
      <c r="F102" s="102"/>
      <c r="G102" s="48"/>
      <c r="H102" s="117"/>
      <c r="I102" s="115"/>
      <c r="J102" s="115"/>
      <c r="K102" s="115"/>
      <c r="L102" s="115"/>
      <c r="M102" s="102"/>
    </row>
    <row r="103" spans="1:13" x14ac:dyDescent="0.25">
      <c r="A103" s="115"/>
      <c r="B103" s="102"/>
      <c r="C103" s="102" t="s">
        <v>51</v>
      </c>
      <c r="D103" s="93"/>
      <c r="E103" s="70"/>
      <c r="F103" s="102"/>
      <c r="G103" s="48"/>
      <c r="H103" s="117"/>
      <c r="I103" s="115"/>
      <c r="J103" s="115"/>
      <c r="K103" s="115"/>
      <c r="L103" s="115"/>
      <c r="M103" s="102"/>
    </row>
    <row r="104" spans="1:13" x14ac:dyDescent="0.25">
      <c r="A104" s="115"/>
      <c r="B104" s="102"/>
      <c r="C104" s="102" t="s">
        <v>127</v>
      </c>
      <c r="D104" s="93"/>
      <c r="E104" s="70"/>
      <c r="F104" s="102"/>
      <c r="G104" s="48"/>
      <c r="H104" s="118"/>
      <c r="I104" s="115"/>
      <c r="J104" s="115"/>
      <c r="K104" s="115"/>
      <c r="L104" s="115"/>
      <c r="M104" s="102"/>
    </row>
    <row r="105" spans="1:13" x14ac:dyDescent="0.25">
      <c r="A105" s="59">
        <f>+A101+0.0001</f>
        <v>4.0017999999999958</v>
      </c>
      <c r="B105" s="58" t="s">
        <v>128</v>
      </c>
      <c r="C105" s="58" t="s">
        <v>129</v>
      </c>
      <c r="D105" s="93"/>
      <c r="E105" s="71"/>
      <c r="F105" s="58"/>
      <c r="G105" s="48"/>
      <c r="H105" s="56">
        <v>1</v>
      </c>
      <c r="I105" s="56">
        <v>0</v>
      </c>
      <c r="J105" s="56">
        <v>0</v>
      </c>
      <c r="K105" s="56">
        <v>0</v>
      </c>
      <c r="L105" s="56">
        <v>0</v>
      </c>
      <c r="M105" s="58"/>
    </row>
    <row r="106" spans="1:13" x14ac:dyDescent="0.25">
      <c r="A106" s="54">
        <f>+A105+0.0001</f>
        <v>4.0018999999999956</v>
      </c>
      <c r="B106" s="57" t="s">
        <v>130</v>
      </c>
      <c r="C106" s="57" t="s">
        <v>131</v>
      </c>
      <c r="D106" s="94"/>
      <c r="E106" s="70"/>
      <c r="F106" s="57"/>
      <c r="G106" s="48"/>
      <c r="H106" s="52">
        <v>1</v>
      </c>
      <c r="I106" s="52">
        <v>0</v>
      </c>
      <c r="J106" s="52">
        <v>0</v>
      </c>
      <c r="K106" s="52">
        <v>0</v>
      </c>
      <c r="L106" s="52">
        <v>0</v>
      </c>
      <c r="M106" s="57"/>
    </row>
    <row r="107" spans="1:13" ht="15.75" thickBot="1" x14ac:dyDescent="0.3">
      <c r="H107" s="2">
        <f>SUM(H3:H106)</f>
        <v>15</v>
      </c>
      <c r="I107" s="2">
        <f>SUM(I3:I48)</f>
        <v>0</v>
      </c>
      <c r="J107" s="2">
        <f>SUM(J3:J48)</f>
        <v>17</v>
      </c>
      <c r="K107" s="2">
        <f>SUM(K3:K48)</f>
        <v>1</v>
      </c>
      <c r="L107" s="2">
        <f>SUM(L3:L48)</f>
        <v>0</v>
      </c>
    </row>
    <row r="108" spans="1:13" ht="15.75" thickTop="1" x14ac:dyDescent="0.25"/>
  </sheetData>
  <mergeCells count="198">
    <mergeCell ref="G14:G19"/>
    <mergeCell ref="A20:A21"/>
    <mergeCell ref="B20:B21"/>
    <mergeCell ref="G20:G21"/>
    <mergeCell ref="A22:A26"/>
    <mergeCell ref="B22:B26"/>
    <mergeCell ref="G22:G26"/>
    <mergeCell ref="G45:G47"/>
    <mergeCell ref="A37:A41"/>
    <mergeCell ref="B37:B41"/>
    <mergeCell ref="G37:G41"/>
    <mergeCell ref="A42:A44"/>
    <mergeCell ref="B42:B44"/>
    <mergeCell ref="G42:G44"/>
    <mergeCell ref="A14:A19"/>
    <mergeCell ref="A45:A47"/>
    <mergeCell ref="B45:B47"/>
    <mergeCell ref="B14:B19"/>
    <mergeCell ref="A27:A31"/>
    <mergeCell ref="B27:B31"/>
    <mergeCell ref="G27:G31"/>
    <mergeCell ref="A32:A36"/>
    <mergeCell ref="B32:B36"/>
    <mergeCell ref="G32:G36"/>
    <mergeCell ref="H37:H41"/>
    <mergeCell ref="H42:H44"/>
    <mergeCell ref="H45:H47"/>
    <mergeCell ref="I14:I19"/>
    <mergeCell ref="I20:I21"/>
    <mergeCell ref="I22:I26"/>
    <mergeCell ref="I27:I31"/>
    <mergeCell ref="I32:I36"/>
    <mergeCell ref="I37:I41"/>
    <mergeCell ref="I42:I44"/>
    <mergeCell ref="I45:I47"/>
    <mergeCell ref="H14:H19"/>
    <mergeCell ref="H20:H21"/>
    <mergeCell ref="H22:H26"/>
    <mergeCell ref="H27:H31"/>
    <mergeCell ref="H32:H36"/>
    <mergeCell ref="J37:J41"/>
    <mergeCell ref="J42:J44"/>
    <mergeCell ref="J45:J47"/>
    <mergeCell ref="K14:K19"/>
    <mergeCell ref="K20:K21"/>
    <mergeCell ref="K22:K26"/>
    <mergeCell ref="K27:K31"/>
    <mergeCell ref="K32:K36"/>
    <mergeCell ref="K37:K41"/>
    <mergeCell ref="K42:K44"/>
    <mergeCell ref="K45:K47"/>
    <mergeCell ref="J14:J19"/>
    <mergeCell ref="J20:J21"/>
    <mergeCell ref="J22:J26"/>
    <mergeCell ref="J27:J31"/>
    <mergeCell ref="J32:J36"/>
    <mergeCell ref="L37:L41"/>
    <mergeCell ref="L42:L44"/>
    <mergeCell ref="L45:L47"/>
    <mergeCell ref="M14:M19"/>
    <mergeCell ref="M20:M21"/>
    <mergeCell ref="M22:M26"/>
    <mergeCell ref="M27:M31"/>
    <mergeCell ref="M32:M36"/>
    <mergeCell ref="M37:M41"/>
    <mergeCell ref="M42:M44"/>
    <mergeCell ref="M45:M47"/>
    <mergeCell ref="L14:L19"/>
    <mergeCell ref="L20:L21"/>
    <mergeCell ref="L22:L26"/>
    <mergeCell ref="L27:L31"/>
    <mergeCell ref="L32:L36"/>
    <mergeCell ref="A93:A99"/>
    <mergeCell ref="B93:B99"/>
    <mergeCell ref="A101:A104"/>
    <mergeCell ref="B101:B104"/>
    <mergeCell ref="A85:A89"/>
    <mergeCell ref="B85:B89"/>
    <mergeCell ref="A90:A92"/>
    <mergeCell ref="B90:B92"/>
    <mergeCell ref="A79:A81"/>
    <mergeCell ref="B79:B81"/>
    <mergeCell ref="A82:A84"/>
    <mergeCell ref="B82:B84"/>
    <mergeCell ref="G65:G71"/>
    <mergeCell ref="C53:C55"/>
    <mergeCell ref="C56:C58"/>
    <mergeCell ref="A50:A52"/>
    <mergeCell ref="B50:B52"/>
    <mergeCell ref="A53:A55"/>
    <mergeCell ref="B53:B55"/>
    <mergeCell ref="B76:B78"/>
    <mergeCell ref="A56:A58"/>
    <mergeCell ref="B56:B58"/>
    <mergeCell ref="A59:A64"/>
    <mergeCell ref="B59:B64"/>
    <mergeCell ref="A65:A71"/>
    <mergeCell ref="B65:B71"/>
    <mergeCell ref="A76:A78"/>
    <mergeCell ref="C50:C52"/>
    <mergeCell ref="C65:C71"/>
    <mergeCell ref="C76:C78"/>
    <mergeCell ref="F82:F84"/>
    <mergeCell ref="F85:F89"/>
    <mergeCell ref="F90:F92"/>
    <mergeCell ref="F93:F99"/>
    <mergeCell ref="F101:F104"/>
    <mergeCell ref="F65:F71"/>
    <mergeCell ref="F76:F78"/>
    <mergeCell ref="F79:F81"/>
    <mergeCell ref="C82:C84"/>
    <mergeCell ref="C85:C89"/>
    <mergeCell ref="C90:C92"/>
    <mergeCell ref="C93:C99"/>
    <mergeCell ref="C101:C104"/>
    <mergeCell ref="C79:C81"/>
    <mergeCell ref="H90:H92"/>
    <mergeCell ref="H93:H99"/>
    <mergeCell ref="H101:H104"/>
    <mergeCell ref="I65:I71"/>
    <mergeCell ref="I76:I78"/>
    <mergeCell ref="I79:I81"/>
    <mergeCell ref="I82:I84"/>
    <mergeCell ref="I85:I89"/>
    <mergeCell ref="I90:I92"/>
    <mergeCell ref="I93:I99"/>
    <mergeCell ref="I101:I104"/>
    <mergeCell ref="H65:H71"/>
    <mergeCell ref="H76:H78"/>
    <mergeCell ref="H79:H81"/>
    <mergeCell ref="H82:H84"/>
    <mergeCell ref="H85:H89"/>
    <mergeCell ref="K85:K89"/>
    <mergeCell ref="K90:K92"/>
    <mergeCell ref="K93:K99"/>
    <mergeCell ref="K101:K104"/>
    <mergeCell ref="J65:J71"/>
    <mergeCell ref="J76:J78"/>
    <mergeCell ref="J79:J81"/>
    <mergeCell ref="J82:J84"/>
    <mergeCell ref="J85:J89"/>
    <mergeCell ref="C59:C64"/>
    <mergeCell ref="L90:L92"/>
    <mergeCell ref="L93:L99"/>
    <mergeCell ref="L101:L104"/>
    <mergeCell ref="M65:M71"/>
    <mergeCell ref="M76:M78"/>
    <mergeCell ref="M79:M81"/>
    <mergeCell ref="M82:M84"/>
    <mergeCell ref="M85:M89"/>
    <mergeCell ref="M90:M92"/>
    <mergeCell ref="M93:M99"/>
    <mergeCell ref="M101:M104"/>
    <mergeCell ref="L65:L71"/>
    <mergeCell ref="L76:L78"/>
    <mergeCell ref="L79:L81"/>
    <mergeCell ref="L82:L84"/>
    <mergeCell ref="L85:L89"/>
    <mergeCell ref="J90:J92"/>
    <mergeCell ref="J93:J99"/>
    <mergeCell ref="J101:J104"/>
    <mergeCell ref="K65:K71"/>
    <mergeCell ref="K76:K78"/>
    <mergeCell ref="K79:K81"/>
    <mergeCell ref="K82:K84"/>
    <mergeCell ref="F50:F52"/>
    <mergeCell ref="F53:F55"/>
    <mergeCell ref="F56:F58"/>
    <mergeCell ref="F59:F64"/>
    <mergeCell ref="G50:G52"/>
    <mergeCell ref="G53:G55"/>
    <mergeCell ref="G56:G58"/>
    <mergeCell ref="G59:G64"/>
    <mergeCell ref="H50:H52"/>
    <mergeCell ref="D12:D106"/>
    <mergeCell ref="L53:L55"/>
    <mergeCell ref="L56:L58"/>
    <mergeCell ref="L59:L64"/>
    <mergeCell ref="M50:M52"/>
    <mergeCell ref="M53:M55"/>
    <mergeCell ref="M56:M58"/>
    <mergeCell ref="M59:M64"/>
    <mergeCell ref="J53:J55"/>
    <mergeCell ref="J56:J58"/>
    <mergeCell ref="J59:J64"/>
    <mergeCell ref="K50:K52"/>
    <mergeCell ref="K53:K55"/>
    <mergeCell ref="K56:K58"/>
    <mergeCell ref="K59:K64"/>
    <mergeCell ref="J50:J52"/>
    <mergeCell ref="L50:L52"/>
    <mergeCell ref="H53:H55"/>
    <mergeCell ref="H56:H58"/>
    <mergeCell ref="H59:H64"/>
    <mergeCell ref="I50:I52"/>
    <mergeCell ref="I53:I55"/>
    <mergeCell ref="I56:I58"/>
    <mergeCell ref="I59:I64"/>
  </mergeCells>
  <conditionalFormatting sqref="A4:L4 A5:B10 C8:E8 H8:L10 A4:A11 M4:M11 A107:M107 F5:G10 J48 H20 H22 H27 H32 H37 H42 H45 H48">
    <cfRule type="expression" dxfId="88" priority="339">
      <formula>$G4="Fail"</formula>
    </cfRule>
  </conditionalFormatting>
  <conditionalFormatting sqref="C11:L11">
    <cfRule type="expression" dxfId="87" priority="338">
      <formula>$G11="Fail"</formula>
    </cfRule>
  </conditionalFormatting>
  <conditionalFormatting sqref="A9">
    <cfRule type="expression" dxfId="86" priority="317">
      <formula>$G9="Fail"</formula>
    </cfRule>
  </conditionalFormatting>
  <conditionalFormatting sqref="A11">
    <cfRule type="expression" dxfId="85" priority="316">
      <formula>$G11="Fail"</formula>
    </cfRule>
  </conditionalFormatting>
  <conditionalFormatting sqref="A10">
    <cfRule type="expression" dxfId="84" priority="318">
      <formula>$G10="Fail"</formula>
    </cfRule>
  </conditionalFormatting>
  <conditionalFormatting sqref="C10">
    <cfRule type="expression" dxfId="83" priority="315">
      <formula>$G10="Fail"</formula>
    </cfRule>
  </conditionalFormatting>
  <conditionalFormatting sqref="C10:E10">
    <cfRule type="expression" dxfId="82" priority="314">
      <formula>$G10="Fail"</formula>
    </cfRule>
  </conditionalFormatting>
  <conditionalFormatting sqref="C9">
    <cfRule type="expression" dxfId="81" priority="313">
      <formula>$G9="Fail"</formula>
    </cfRule>
  </conditionalFormatting>
  <conditionalFormatting sqref="C9">
    <cfRule type="expression" dxfId="80" priority="312">
      <formula>$G9="Fail"</formula>
    </cfRule>
  </conditionalFormatting>
  <conditionalFormatting sqref="C5:E7">
    <cfRule type="expression" dxfId="79" priority="311">
      <formula>$G5="Fail"</formula>
    </cfRule>
  </conditionalFormatting>
  <conditionalFormatting sqref="D9:E9">
    <cfRule type="expression" dxfId="78" priority="310">
      <formula>$G9="Fail"</formula>
    </cfRule>
  </conditionalFormatting>
  <conditionalFormatting sqref="B11">
    <cfRule type="expression" dxfId="77" priority="306">
      <formula>$G11="Fail"</formula>
    </cfRule>
  </conditionalFormatting>
  <conditionalFormatting sqref="H3:L3">
    <cfRule type="expression" dxfId="76" priority="236">
      <formula>$G3="Fail"</formula>
    </cfRule>
  </conditionalFormatting>
  <conditionalFormatting sqref="H5:L7">
    <cfRule type="expression" dxfId="75" priority="235">
      <formula>$G5="Fail"</formula>
    </cfRule>
  </conditionalFormatting>
  <conditionalFormatting sqref="G12:G18 A14:C18 C13 E13:E18 B12:D12">
    <cfRule type="expression" dxfId="74" priority="363">
      <formula>#REF!="Fail"</formula>
    </cfRule>
  </conditionalFormatting>
  <conditionalFormatting sqref="E12">
    <cfRule type="expression" dxfId="73" priority="39">
      <formula>#REF!="Fail"</formula>
    </cfRule>
  </conditionalFormatting>
  <conditionalFormatting sqref="F12:F18">
    <cfRule type="expression" dxfId="72" priority="38">
      <formula>#REF!="Fail"</formula>
    </cfRule>
  </conditionalFormatting>
  <conditionalFormatting sqref="I12:I13">
    <cfRule type="expression" dxfId="71" priority="36">
      <formula>#REF!="Fail"</formula>
    </cfRule>
  </conditionalFormatting>
  <conditionalFormatting sqref="K12:K13">
    <cfRule type="expression" dxfId="70" priority="34">
      <formula>#REF!="Fail"</formula>
    </cfRule>
  </conditionalFormatting>
  <conditionalFormatting sqref="L12:L13">
    <cfRule type="expression" dxfId="69" priority="33">
      <formula>#REF!="Fail"</formula>
    </cfRule>
  </conditionalFormatting>
  <conditionalFormatting sqref="M12:M18">
    <cfRule type="expression" dxfId="68" priority="32">
      <formula>#REF!="Fail"</formula>
    </cfRule>
  </conditionalFormatting>
  <conditionalFormatting sqref="A12:A13">
    <cfRule type="expression" dxfId="67" priority="31">
      <formula>$G12="Fail"</formula>
    </cfRule>
  </conditionalFormatting>
  <conditionalFormatting sqref="A12:A13">
    <cfRule type="expression" dxfId="66" priority="30">
      <formula>$G12="Fail"</formula>
    </cfRule>
  </conditionalFormatting>
  <conditionalFormatting sqref="I45:L45">
    <cfRule type="expression" dxfId="65" priority="12">
      <formula>$G45="Fail"</formula>
    </cfRule>
  </conditionalFormatting>
  <conditionalFormatting sqref="I27:L27">
    <cfRule type="expression" dxfId="64" priority="16">
      <formula>$G27="Fail"</formula>
    </cfRule>
  </conditionalFormatting>
  <conditionalFormatting sqref="I32:L32">
    <cfRule type="expression" dxfId="63" priority="15">
      <formula>$G32="Fail"</formula>
    </cfRule>
  </conditionalFormatting>
  <conditionalFormatting sqref="J12:J13">
    <cfRule type="expression" dxfId="62" priority="24">
      <formula>$G12="Fail"</formula>
    </cfRule>
  </conditionalFormatting>
  <conditionalFormatting sqref="H12:H14">
    <cfRule type="expression" dxfId="61" priority="23">
      <formula>$G12="Fail"</formula>
    </cfRule>
  </conditionalFormatting>
  <conditionalFormatting sqref="I14">
    <cfRule type="expression" dxfId="60" priority="22">
      <formula>$G14="Fail"</formula>
    </cfRule>
  </conditionalFormatting>
  <conditionalFormatting sqref="J14">
    <cfRule type="expression" dxfId="59" priority="21">
      <formula>$G14="Fail"</formula>
    </cfRule>
  </conditionalFormatting>
  <conditionalFormatting sqref="K14">
    <cfRule type="expression" dxfId="58" priority="20">
      <formula>$G14="Fail"</formula>
    </cfRule>
  </conditionalFormatting>
  <conditionalFormatting sqref="L14">
    <cfRule type="expression" dxfId="57" priority="19">
      <formula>$G14="Fail"</formula>
    </cfRule>
  </conditionalFormatting>
  <conditionalFormatting sqref="I20:L20">
    <cfRule type="expression" dxfId="56" priority="18">
      <formula>$G20="Fail"</formula>
    </cfRule>
  </conditionalFormatting>
  <conditionalFormatting sqref="I22:L22">
    <cfRule type="expression" dxfId="55" priority="17">
      <formula>$G22="Fail"</formula>
    </cfRule>
  </conditionalFormatting>
  <conditionalFormatting sqref="I37:L37">
    <cfRule type="expression" dxfId="54" priority="14">
      <formula>$G37="Fail"</formula>
    </cfRule>
  </conditionalFormatting>
  <conditionalFormatting sqref="I42:L42">
    <cfRule type="expression" dxfId="53" priority="13">
      <formula>$G42="Fail"</formula>
    </cfRule>
  </conditionalFormatting>
  <conditionalFormatting sqref="M49">
    <cfRule type="expression" dxfId="52" priority="11">
      <formula>$G49="Fail"</formula>
    </cfRule>
  </conditionalFormatting>
  <conditionalFormatting sqref="C49 E49:L49">
    <cfRule type="expression" dxfId="51" priority="10">
      <formula>$G49="Fail"</formula>
    </cfRule>
  </conditionalFormatting>
  <conditionalFormatting sqref="A49">
    <cfRule type="expression" dxfId="50" priority="7">
      <formula>$G49="Fail"</formula>
    </cfRule>
  </conditionalFormatting>
  <conditionalFormatting sqref="B49">
    <cfRule type="expression" dxfId="49" priority="8">
      <formula>$G49="Fail"</formula>
    </cfRule>
  </conditionalFormatting>
  <conditionalFormatting sqref="A49">
    <cfRule type="expression" dxfId="48" priority="6">
      <formula>$G49="Fail"</formula>
    </cfRule>
  </conditionalFormatting>
  <conditionalFormatting sqref="H50">
    <cfRule type="expression" dxfId="47" priority="5">
      <formula>$G50="Fail"</formula>
    </cfRule>
  </conditionalFormatting>
  <conditionalFormatting sqref="I50:L50">
    <cfRule type="expression" dxfId="46" priority="3">
      <formula>$G50="Fail"</formula>
    </cfRule>
  </conditionalFormatting>
  <conditionalFormatting sqref="H53:L53">
    <cfRule type="expression" dxfId="45" priority="2">
      <formula>$G53="Fail"</formula>
    </cfRule>
  </conditionalFormatting>
  <conditionalFormatting sqref="H56:L56">
    <cfRule type="expression" dxfId="44" priority="1">
      <formula>$G56="Fail"</formula>
    </cfRule>
  </conditionalFormatting>
  <dataValidations count="1">
    <dataValidation type="list" allowBlank="1" showInputMessage="1" showErrorMessage="1" sqref="G2:G106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9" id="{B83C35C9-E32D-421F-A5D0-31A94559F1C0}">
            <xm:f>Multidata!$G2="Fail"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A2:M2 A3:G3 M3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M12"/>
  <sheetViews>
    <sheetView topLeftCell="C1" zoomScaleNormal="100"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39" style="153" customWidth="1"/>
    <col min="6" max="6" width="20.42578125" style="1" customWidth="1"/>
    <col min="7" max="7" width="14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42" t="s">
        <v>225</v>
      </c>
      <c r="F1" s="12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20" customFormat="1" x14ac:dyDescent="0.25">
      <c r="A2" s="16">
        <v>1</v>
      </c>
      <c r="B2" s="17" t="s">
        <v>191</v>
      </c>
      <c r="C2" s="18"/>
      <c r="D2" s="18" t="s">
        <v>185</v>
      </c>
      <c r="E2" s="148"/>
      <c r="F2" s="17"/>
      <c r="G2" s="19"/>
      <c r="H2" s="19"/>
      <c r="I2" s="19"/>
      <c r="J2" s="19"/>
      <c r="K2" s="19"/>
      <c r="L2" s="19"/>
      <c r="M2" s="17"/>
    </row>
    <row r="3" spans="1:13" x14ac:dyDescent="0.25">
      <c r="A3" s="5">
        <v>1</v>
      </c>
      <c r="B3" s="6" t="s">
        <v>182</v>
      </c>
      <c r="C3" s="9"/>
      <c r="D3" s="9"/>
      <c r="E3" s="149" t="s">
        <v>222</v>
      </c>
      <c r="F3" s="6"/>
      <c r="G3" s="8" t="s">
        <v>5</v>
      </c>
      <c r="H3" s="8"/>
      <c r="I3" s="8"/>
      <c r="J3" s="8"/>
      <c r="K3" s="8"/>
      <c r="L3" s="8"/>
      <c r="M3" s="7"/>
    </row>
    <row r="4" spans="1:13" x14ac:dyDescent="0.25">
      <c r="A4" s="5">
        <f t="shared" ref="A4:A9" si="0">A3+0.0001</f>
        <v>1.0001</v>
      </c>
      <c r="B4" s="6" t="s">
        <v>183</v>
      </c>
      <c r="C4" s="9" t="s">
        <v>186</v>
      </c>
      <c r="D4" s="9"/>
      <c r="E4" s="150"/>
      <c r="F4" s="6"/>
      <c r="G4" s="8" t="s">
        <v>5</v>
      </c>
      <c r="H4" s="8"/>
      <c r="I4" s="8">
        <f t="shared" ref="I4:K8" si="1">IF($G4=I$1,1,0)</f>
        <v>0</v>
      </c>
      <c r="J4" s="8">
        <f t="shared" si="1"/>
        <v>0</v>
      </c>
      <c r="K4" s="8">
        <f t="shared" si="1"/>
        <v>0</v>
      </c>
      <c r="L4" s="8"/>
      <c r="M4" s="7"/>
    </row>
    <row r="5" spans="1:13" x14ac:dyDescent="0.25">
      <c r="A5" s="5">
        <f t="shared" si="0"/>
        <v>1.0002</v>
      </c>
      <c r="B5" s="6"/>
      <c r="C5" s="9" t="s">
        <v>184</v>
      </c>
      <c r="D5" s="9"/>
      <c r="E5" s="150"/>
      <c r="F5" s="6"/>
      <c r="G5" s="8" t="s">
        <v>5</v>
      </c>
      <c r="H5" s="8"/>
      <c r="I5" s="8">
        <f t="shared" si="1"/>
        <v>0</v>
      </c>
      <c r="J5" s="8">
        <f t="shared" si="1"/>
        <v>0</v>
      </c>
      <c r="K5" s="8">
        <f t="shared" si="1"/>
        <v>0</v>
      </c>
      <c r="L5" s="8"/>
      <c r="M5" s="7"/>
    </row>
    <row r="6" spans="1:13" ht="25.5" x14ac:dyDescent="0.25">
      <c r="A6" s="5">
        <f t="shared" si="0"/>
        <v>1.0003</v>
      </c>
      <c r="B6" s="7"/>
      <c r="C6" s="6" t="s">
        <v>187</v>
      </c>
      <c r="D6" s="6"/>
      <c r="E6" s="150"/>
      <c r="F6" s="7"/>
      <c r="G6" s="8" t="s">
        <v>5</v>
      </c>
      <c r="H6" s="8"/>
      <c r="I6" s="8">
        <f t="shared" si="1"/>
        <v>0</v>
      </c>
      <c r="J6" s="8">
        <f t="shared" si="1"/>
        <v>0</v>
      </c>
      <c r="K6" s="8">
        <f t="shared" si="1"/>
        <v>0</v>
      </c>
      <c r="L6" s="8"/>
      <c r="M6" s="7"/>
    </row>
    <row r="7" spans="1:13" x14ac:dyDescent="0.25">
      <c r="A7" s="5">
        <f t="shared" si="0"/>
        <v>1.0004</v>
      </c>
      <c r="B7" s="6"/>
      <c r="C7" s="6" t="s">
        <v>188</v>
      </c>
      <c r="D7" s="6" t="s">
        <v>190</v>
      </c>
      <c r="E7" s="150"/>
      <c r="F7" s="7"/>
      <c r="G7" s="8" t="s">
        <v>5</v>
      </c>
      <c r="H7" s="8"/>
      <c r="I7" s="8">
        <f t="shared" si="1"/>
        <v>0</v>
      </c>
      <c r="J7" s="8">
        <f t="shared" si="1"/>
        <v>0</v>
      </c>
      <c r="K7" s="8">
        <f t="shared" si="1"/>
        <v>0</v>
      </c>
      <c r="L7" s="8"/>
      <c r="M7" s="7"/>
    </row>
    <row r="8" spans="1:13" x14ac:dyDescent="0.25">
      <c r="A8" s="5">
        <f t="shared" si="0"/>
        <v>1.0004999999999999</v>
      </c>
      <c r="B8" s="7"/>
      <c r="C8" s="6" t="s">
        <v>189</v>
      </c>
      <c r="D8" s="6"/>
      <c r="E8" s="151"/>
      <c r="F8" s="7"/>
      <c r="G8" s="8" t="s">
        <v>5</v>
      </c>
      <c r="H8" s="8"/>
      <c r="I8" s="8">
        <f t="shared" si="1"/>
        <v>0</v>
      </c>
      <c r="J8" s="8">
        <f t="shared" si="1"/>
        <v>0</v>
      </c>
      <c r="K8" s="8">
        <f t="shared" si="1"/>
        <v>0</v>
      </c>
      <c r="L8" s="8"/>
      <c r="M8" s="7"/>
    </row>
    <row r="9" spans="1:13" x14ac:dyDescent="0.25">
      <c r="A9" s="5">
        <f t="shared" si="0"/>
        <v>1.0005999999999999</v>
      </c>
      <c r="B9" s="7"/>
      <c r="C9" s="6"/>
      <c r="D9" s="7"/>
      <c r="E9" s="152"/>
      <c r="F9" s="7"/>
      <c r="G9" s="8"/>
      <c r="H9" s="8"/>
      <c r="I9" s="8"/>
      <c r="J9" s="8"/>
      <c r="K9" s="8"/>
      <c r="L9" s="8"/>
      <c r="M9" s="7"/>
    </row>
    <row r="10" spans="1:13" ht="15.75" thickBot="1" x14ac:dyDescent="0.3">
      <c r="H10" s="2">
        <f>SUM(H2:H9)</f>
        <v>0</v>
      </c>
      <c r="I10" s="2">
        <f>SUM(I2:I9)</f>
        <v>0</v>
      </c>
      <c r="J10" s="2">
        <f>SUM(J2:J9)</f>
        <v>0</v>
      </c>
      <c r="K10" s="2">
        <f>SUM(K2:K9)</f>
        <v>0</v>
      </c>
      <c r="L10" s="2">
        <f>SUM(L2:L9)</f>
        <v>0</v>
      </c>
    </row>
    <row r="11" spans="1:13" ht="15.75" thickTop="1" x14ac:dyDescent="0.25"/>
    <row r="12" spans="1:13" x14ac:dyDescent="0.25">
      <c r="H12" s="8">
        <f>IF($G12=H$1,1,0)</f>
        <v>0</v>
      </c>
      <c r="I12" s="8">
        <f>IF($G12=I$1,1,0)</f>
        <v>0</v>
      </c>
      <c r="J12" s="8">
        <f t="shared" ref="J12:L12" si="2">IF($G12=J$1,1,0)</f>
        <v>1</v>
      </c>
      <c r="K12" s="8">
        <f t="shared" si="2"/>
        <v>0</v>
      </c>
      <c r="L12" s="8">
        <f t="shared" si="2"/>
        <v>0</v>
      </c>
    </row>
  </sheetData>
  <mergeCells count="1">
    <mergeCell ref="E3:E8"/>
  </mergeCells>
  <conditionalFormatting sqref="A10:L29 L3:L4 B9:L9 M9:M29 F2:L2 A2:A9 F3:G8">
    <cfRule type="expression" dxfId="42" priority="38">
      <formula>$G2="Fail"</formula>
    </cfRule>
  </conditionalFormatting>
  <conditionalFormatting sqref="M2:M8">
    <cfRule type="expression" dxfId="41" priority="30">
      <formula>$G2="Fail"</formula>
    </cfRule>
  </conditionalFormatting>
  <conditionalFormatting sqref="H3:K3">
    <cfRule type="expression" dxfId="40" priority="21">
      <formula>$G3="Fail"</formula>
    </cfRule>
  </conditionalFormatting>
  <conditionalFormatting sqref="H4:K4">
    <cfRule type="expression" dxfId="39" priority="20">
      <formula>$G4="Fail"</formula>
    </cfRule>
  </conditionalFormatting>
  <conditionalFormatting sqref="B2:E2 B3:D8">
    <cfRule type="expression" dxfId="38" priority="9">
      <formula>$H2="Fail"</formula>
    </cfRule>
  </conditionalFormatting>
  <conditionalFormatting sqref="L5">
    <cfRule type="expression" dxfId="37" priority="8">
      <formula>$G5="Fail"</formula>
    </cfRule>
  </conditionalFormatting>
  <conditionalFormatting sqref="H5:K5">
    <cfRule type="expression" dxfId="36" priority="7">
      <formula>$G5="Fail"</formula>
    </cfRule>
  </conditionalFormatting>
  <conditionalFormatting sqref="L6">
    <cfRule type="expression" dxfId="35" priority="6">
      <formula>$G6="Fail"</formula>
    </cfRule>
  </conditionalFormatting>
  <conditionalFormatting sqref="H6:K6">
    <cfRule type="expression" dxfId="34" priority="5">
      <formula>$G6="Fail"</formula>
    </cfRule>
  </conditionalFormatting>
  <conditionalFormatting sqref="L7">
    <cfRule type="expression" dxfId="33" priority="4">
      <formula>$G7="Fail"</formula>
    </cfRule>
  </conditionalFormatting>
  <conditionalFormatting sqref="H7:K7">
    <cfRule type="expression" dxfId="32" priority="3">
      <formula>$G7="Fail"</formula>
    </cfRule>
  </conditionalFormatting>
  <conditionalFormatting sqref="L8">
    <cfRule type="expression" dxfId="31" priority="2">
      <formula>$G8="Fail"</formula>
    </cfRule>
  </conditionalFormatting>
  <conditionalFormatting sqref="H8:K8">
    <cfRule type="expression" dxfId="30" priority="1">
      <formula>$G8="Fail"</formula>
    </cfRule>
  </conditionalFormatting>
  <conditionalFormatting sqref="E3">
    <cfRule type="expression" dxfId="29" priority="370">
      <formula>$H6="Fail"</formula>
    </cfRule>
  </conditionalFormatting>
  <dataValidations count="1">
    <dataValidation type="list" allowBlank="1" showInputMessage="1" showErrorMessage="1" sqref="G2:G9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8434" r:id="rId4">
          <objectPr defaultSize="0" r:id="rId5">
            <anchor moveWithCells="1">
              <from>
                <xdr:col>3</xdr:col>
                <xdr:colOff>123825</xdr:colOff>
                <xdr:row>2</xdr:row>
                <xdr:rowOff>85725</xdr:rowOff>
              </from>
              <to>
                <xdr:col>3</xdr:col>
                <xdr:colOff>1143000</xdr:colOff>
                <xdr:row>5</xdr:row>
                <xdr:rowOff>28575</xdr:rowOff>
              </to>
            </anchor>
          </objectPr>
        </oleObject>
      </mc:Choice>
      <mc:Fallback>
        <oleObject progId="Packager Shell Object" dvAspect="DVASPECT_ICON" shapeId="18434" r:id="rId4"/>
      </mc:Fallback>
    </mc:AlternateContent>
    <mc:AlternateContent xmlns:mc="http://schemas.openxmlformats.org/markup-compatibility/2006">
      <mc:Choice Requires="x14">
        <oleObject progId="Packager Shell Object" dvAspect="DVASPECT_ICON" shapeId="18435" r:id="rId6">
          <objectPr defaultSize="0" autoPict="0" r:id="rId7">
            <anchor moveWithCells="1">
              <from>
                <xdr:col>3</xdr:col>
                <xdr:colOff>1295400</xdr:colOff>
                <xdr:row>2</xdr:row>
                <xdr:rowOff>133350</xdr:rowOff>
              </from>
              <to>
                <xdr:col>3</xdr:col>
                <xdr:colOff>2428875</xdr:colOff>
                <xdr:row>5</xdr:row>
                <xdr:rowOff>76200</xdr:rowOff>
              </to>
            </anchor>
          </objectPr>
        </oleObject>
      </mc:Choice>
      <mc:Fallback>
        <oleObject progId="Packager Shell Object" dvAspect="DVASPECT_ICON" shapeId="18435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8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13"/>
  <sheetViews>
    <sheetView topLeftCell="C1" zoomScaleNormal="100"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39" style="144" customWidth="1"/>
    <col min="6" max="6" width="20.42578125" style="1" customWidth="1"/>
    <col min="7" max="7" width="14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42" t="s">
        <v>225</v>
      </c>
      <c r="F1" s="12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20" customFormat="1" x14ac:dyDescent="0.25">
      <c r="A2" s="16">
        <v>1</v>
      </c>
      <c r="B2" s="17" t="s">
        <v>192</v>
      </c>
      <c r="C2" s="18"/>
      <c r="D2" s="18" t="s">
        <v>185</v>
      </c>
      <c r="E2" s="148"/>
      <c r="F2" s="17"/>
      <c r="G2" s="19"/>
      <c r="H2" s="19"/>
      <c r="I2" s="19"/>
      <c r="J2" s="19"/>
      <c r="K2" s="19"/>
      <c r="L2" s="19"/>
      <c r="M2" s="17"/>
    </row>
    <row r="3" spans="1:13" x14ac:dyDescent="0.25">
      <c r="A3" s="5">
        <v>1</v>
      </c>
      <c r="B3" s="6" t="s">
        <v>182</v>
      </c>
      <c r="C3" s="9" t="s">
        <v>197</v>
      </c>
      <c r="D3" s="9"/>
      <c r="E3" s="139" t="s">
        <v>226</v>
      </c>
      <c r="F3" s="6"/>
      <c r="G3" s="8"/>
      <c r="H3" s="8">
        <f t="shared" ref="H3:K9" si="0">IF($G3=H$1,1,0)</f>
        <v>0</v>
      </c>
      <c r="I3" s="8">
        <f t="shared" si="0"/>
        <v>0</v>
      </c>
      <c r="J3" s="8">
        <f t="shared" si="0"/>
        <v>1</v>
      </c>
      <c r="K3" s="8">
        <f t="shared" si="0"/>
        <v>0</v>
      </c>
      <c r="L3" s="8"/>
      <c r="M3" s="7"/>
    </row>
    <row r="4" spans="1:13" x14ac:dyDescent="0.25">
      <c r="A4" s="5">
        <f t="shared" ref="A4:A8" si="1">A3+0.0001</f>
        <v>1.0001</v>
      </c>
      <c r="B4" s="6" t="s">
        <v>196</v>
      </c>
      <c r="C4" s="9" t="s">
        <v>193</v>
      </c>
      <c r="D4" s="9"/>
      <c r="E4" s="140"/>
      <c r="F4" s="6"/>
      <c r="G4" s="8"/>
      <c r="H4" s="8">
        <f t="shared" si="0"/>
        <v>0</v>
      </c>
      <c r="I4" s="8">
        <f t="shared" si="0"/>
        <v>0</v>
      </c>
      <c r="J4" s="8">
        <f t="shared" si="0"/>
        <v>1</v>
      </c>
      <c r="K4" s="8">
        <f t="shared" si="0"/>
        <v>0</v>
      </c>
      <c r="L4" s="8"/>
      <c r="M4" s="7"/>
    </row>
    <row r="5" spans="1:13" x14ac:dyDescent="0.25">
      <c r="A5" s="5">
        <f t="shared" si="1"/>
        <v>1.0002</v>
      </c>
      <c r="B5" s="6"/>
      <c r="C5" s="9" t="s">
        <v>184</v>
      </c>
      <c r="D5" s="9"/>
      <c r="E5" s="140"/>
      <c r="F5" s="6"/>
      <c r="G5" s="8"/>
      <c r="H5" s="8">
        <f t="shared" si="0"/>
        <v>0</v>
      </c>
      <c r="I5" s="8">
        <f t="shared" si="0"/>
        <v>0</v>
      </c>
      <c r="J5" s="8">
        <f t="shared" si="0"/>
        <v>1</v>
      </c>
      <c r="K5" s="8">
        <f t="shared" si="0"/>
        <v>0</v>
      </c>
      <c r="L5" s="8"/>
      <c r="M5" s="7"/>
    </row>
    <row r="6" spans="1:13" ht="25.5" x14ac:dyDescent="0.25">
      <c r="A6" s="5">
        <f t="shared" si="1"/>
        <v>1.0003</v>
      </c>
      <c r="B6" s="7"/>
      <c r="C6" s="6" t="s">
        <v>194</v>
      </c>
      <c r="D6" s="6"/>
      <c r="E6" s="140"/>
      <c r="F6" s="7"/>
      <c r="G6" s="8"/>
      <c r="H6" s="8">
        <f t="shared" si="0"/>
        <v>0</v>
      </c>
      <c r="I6" s="8">
        <f t="shared" si="0"/>
        <v>0</v>
      </c>
      <c r="J6" s="8">
        <f t="shared" si="0"/>
        <v>1</v>
      </c>
      <c r="K6" s="8">
        <f t="shared" si="0"/>
        <v>0</v>
      </c>
      <c r="L6" s="8"/>
      <c r="M6" s="7"/>
    </row>
    <row r="7" spans="1:13" ht="25.5" x14ac:dyDescent="0.25">
      <c r="A7" s="5">
        <f t="shared" si="1"/>
        <v>1.0004</v>
      </c>
      <c r="B7" s="6"/>
      <c r="C7" s="6" t="s">
        <v>195</v>
      </c>
      <c r="D7" s="6"/>
      <c r="E7" s="140"/>
      <c r="F7" s="7"/>
      <c r="G7" s="8"/>
      <c r="H7" s="8">
        <f t="shared" si="0"/>
        <v>0</v>
      </c>
      <c r="I7" s="8">
        <f t="shared" si="0"/>
        <v>0</v>
      </c>
      <c r="J7" s="8">
        <f t="shared" si="0"/>
        <v>1</v>
      </c>
      <c r="K7" s="8">
        <f t="shared" si="0"/>
        <v>0</v>
      </c>
      <c r="L7" s="8"/>
      <c r="M7" s="7"/>
    </row>
    <row r="8" spans="1:13" x14ac:dyDescent="0.25">
      <c r="A8" s="5">
        <f t="shared" si="1"/>
        <v>1.0004999999999999</v>
      </c>
      <c r="B8" s="7"/>
      <c r="C8" s="6" t="s">
        <v>188</v>
      </c>
      <c r="D8" s="6"/>
      <c r="E8" s="140"/>
      <c r="F8" s="7"/>
      <c r="G8" s="8"/>
      <c r="H8" s="8">
        <f t="shared" si="0"/>
        <v>0</v>
      </c>
      <c r="I8" s="8">
        <f t="shared" si="0"/>
        <v>0</v>
      </c>
      <c r="J8" s="8">
        <f t="shared" si="0"/>
        <v>1</v>
      </c>
      <c r="K8" s="8">
        <f t="shared" si="0"/>
        <v>0</v>
      </c>
      <c r="L8" s="8"/>
      <c r="M8" s="7"/>
    </row>
    <row r="9" spans="1:13" x14ac:dyDescent="0.25">
      <c r="A9" s="5"/>
      <c r="B9" s="69"/>
      <c r="C9" s="6" t="s">
        <v>189</v>
      </c>
      <c r="D9" s="6"/>
      <c r="E9" s="141"/>
      <c r="F9" s="7"/>
      <c r="G9" s="8"/>
      <c r="H9" s="8">
        <f t="shared" si="0"/>
        <v>0</v>
      </c>
      <c r="I9" s="8">
        <f t="shared" si="0"/>
        <v>0</v>
      </c>
      <c r="J9" s="8">
        <f t="shared" si="0"/>
        <v>1</v>
      </c>
      <c r="K9" s="8">
        <f t="shared" si="0"/>
        <v>0</v>
      </c>
      <c r="L9" s="8"/>
      <c r="M9" s="7"/>
    </row>
    <row r="10" spans="1:13" x14ac:dyDescent="0.25">
      <c r="A10" s="5">
        <f>A8+0.0001</f>
        <v>1.0005999999999999</v>
      </c>
      <c r="B10" s="7"/>
      <c r="C10" s="6"/>
      <c r="D10" s="7"/>
      <c r="E10" s="78"/>
      <c r="F10" s="7"/>
      <c r="G10" s="8"/>
      <c r="H10" s="8"/>
      <c r="I10" s="8"/>
      <c r="J10" s="8"/>
      <c r="K10" s="8"/>
      <c r="L10" s="8"/>
      <c r="M10" s="7"/>
    </row>
    <row r="11" spans="1:13" ht="15.75" thickBot="1" x14ac:dyDescent="0.3">
      <c r="H11" s="2">
        <f>SUM(H2:H10)</f>
        <v>0</v>
      </c>
      <c r="I11" s="2">
        <f>SUM(I2:I10)</f>
        <v>0</v>
      </c>
      <c r="J11" s="2">
        <f>SUM(J2:J10)</f>
        <v>7</v>
      </c>
      <c r="K11" s="2">
        <f>SUM(K2:K10)</f>
        <v>0</v>
      </c>
      <c r="L11" s="2">
        <f>SUM(L2:L10)</f>
        <v>0</v>
      </c>
    </row>
    <row r="12" spans="1:13" ht="15.75" thickTop="1" x14ac:dyDescent="0.25"/>
    <row r="13" spans="1:13" x14ac:dyDescent="0.25">
      <c r="H13" s="8">
        <f>IF($G13=H$1,1,0)</f>
        <v>0</v>
      </c>
      <c r="I13" s="8">
        <f>IF($G13=I$1,1,0)</f>
        <v>0</v>
      </c>
      <c r="J13" s="8">
        <f t="shared" ref="J13:L13" si="2">IF($G13=J$1,1,0)</f>
        <v>1</v>
      </c>
      <c r="K13" s="8">
        <f t="shared" si="2"/>
        <v>0</v>
      </c>
      <c r="L13" s="8">
        <f t="shared" si="2"/>
        <v>0</v>
      </c>
    </row>
  </sheetData>
  <mergeCells count="1">
    <mergeCell ref="E3:E9"/>
  </mergeCells>
  <conditionalFormatting sqref="A11:L30 L3:L4 B10:L10 F2:L2 A2:A10 M2:M30 H8:L9 F3:G9">
    <cfRule type="expression" dxfId="28" priority="17">
      <formula>$G2="Fail"</formula>
    </cfRule>
  </conditionalFormatting>
  <conditionalFormatting sqref="H3:K3">
    <cfRule type="expression" dxfId="27" priority="15">
      <formula>$G3="Fail"</formula>
    </cfRule>
  </conditionalFormatting>
  <conditionalFormatting sqref="H4:K4">
    <cfRule type="expression" dxfId="26" priority="14">
      <formula>$G4="Fail"</formula>
    </cfRule>
  </conditionalFormatting>
  <conditionalFormatting sqref="D2:E2 D3:D9">
    <cfRule type="expression" dxfId="25" priority="13">
      <formula>$H2="Fail"</formula>
    </cfRule>
  </conditionalFormatting>
  <conditionalFormatting sqref="L5">
    <cfRule type="expression" dxfId="24" priority="12">
      <formula>$G5="Fail"</formula>
    </cfRule>
  </conditionalFormatting>
  <conditionalFormatting sqref="H5:K5">
    <cfRule type="expression" dxfId="23" priority="11">
      <formula>$G5="Fail"</formula>
    </cfRule>
  </conditionalFormatting>
  <conditionalFormatting sqref="L6">
    <cfRule type="expression" dxfId="22" priority="10">
      <formula>$G6="Fail"</formula>
    </cfRule>
  </conditionalFormatting>
  <conditionalFormatting sqref="H6:K6">
    <cfRule type="expression" dxfId="21" priority="9">
      <formula>$G6="Fail"</formula>
    </cfRule>
  </conditionalFormatting>
  <conditionalFormatting sqref="L7">
    <cfRule type="expression" dxfId="20" priority="8">
      <formula>$G7="Fail"</formula>
    </cfRule>
  </conditionalFormatting>
  <conditionalFormatting sqref="H7:K7">
    <cfRule type="expression" dxfId="19" priority="7">
      <formula>$G7="Fail"</formula>
    </cfRule>
  </conditionalFormatting>
  <conditionalFormatting sqref="B3:C8 C8:C9">
    <cfRule type="expression" dxfId="18" priority="1">
      <formula>$I3="Fail"</formula>
    </cfRule>
  </conditionalFormatting>
  <conditionalFormatting sqref="C2">
    <cfRule type="expression" dxfId="17" priority="4">
      <formula>$H2="Fail"</formula>
    </cfRule>
  </conditionalFormatting>
  <conditionalFormatting sqref="B2">
    <cfRule type="expression" dxfId="16" priority="3">
      <formula>$I2="Fail"</formula>
    </cfRule>
  </conditionalFormatting>
  <conditionalFormatting sqref="B9:C9">
    <cfRule type="expression" dxfId="15" priority="2">
      <formula>$H9="Fail"</formula>
    </cfRule>
  </conditionalFormatting>
  <conditionalFormatting sqref="E3">
    <cfRule type="expression" dxfId="14" priority="375">
      <formula>$H6="Fail"</formula>
    </cfRule>
  </conditionalFormatting>
  <dataValidations count="1">
    <dataValidation type="list" allowBlank="1" showInputMessage="1" showErrorMessage="1" sqref="G2:G10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9462" r:id="rId4">
          <objectPr defaultSize="0" r:id="rId5">
            <anchor moveWithCells="1">
              <from>
                <xdr:col>3</xdr:col>
                <xdr:colOff>161925</xdr:colOff>
                <xdr:row>5</xdr:row>
                <xdr:rowOff>247650</xdr:rowOff>
              </from>
              <to>
                <xdr:col>3</xdr:col>
                <xdr:colOff>1466850</xdr:colOff>
                <xdr:row>7</xdr:row>
                <xdr:rowOff>114300</xdr:rowOff>
              </to>
            </anchor>
          </objectPr>
        </oleObject>
      </mc:Choice>
      <mc:Fallback>
        <oleObject progId="Packager Shell Object" dvAspect="DVASPECT_ICON" shapeId="19462" r:id="rId4"/>
      </mc:Fallback>
    </mc:AlternateContent>
    <mc:AlternateContent xmlns:mc="http://schemas.openxmlformats.org/markup-compatibility/2006">
      <mc:Choice Requires="x14">
        <oleObject progId="Packager Shell Object" dvAspect="DVASPECT_ICON" shapeId="19463" r:id="rId6">
          <objectPr defaultSize="0" r:id="rId7">
            <anchor moveWithCells="1">
              <from>
                <xdr:col>3</xdr:col>
                <xdr:colOff>152400</xdr:colOff>
                <xdr:row>2</xdr:row>
                <xdr:rowOff>76200</xdr:rowOff>
              </from>
              <to>
                <xdr:col>3</xdr:col>
                <xdr:colOff>1828800</xdr:colOff>
                <xdr:row>5</xdr:row>
                <xdr:rowOff>19050</xdr:rowOff>
              </to>
            </anchor>
          </objectPr>
        </oleObject>
      </mc:Choice>
      <mc:Fallback>
        <oleObject progId="Packager Shell Object" dvAspect="DVASPECT_ICON" shapeId="19463" r:id="rId6"/>
      </mc:Fallback>
    </mc:AlternateContent>
    <mc:AlternateContent xmlns:mc="http://schemas.openxmlformats.org/markup-compatibility/2006">
      <mc:Choice Requires="x14">
        <oleObject progId="Packager Shell Object" dvAspect="DVASPECT_ICON" shapeId="19466" r:id="rId8">
          <objectPr defaultSize="0" r:id="rId9">
            <anchor moveWithCells="1">
              <from>
                <xdr:col>3</xdr:col>
                <xdr:colOff>1647825</xdr:colOff>
                <xdr:row>1</xdr:row>
                <xdr:rowOff>152400</xdr:rowOff>
              </from>
              <to>
                <xdr:col>4</xdr:col>
                <xdr:colOff>695325</xdr:colOff>
                <xdr:row>4</xdr:row>
                <xdr:rowOff>95250</xdr:rowOff>
              </to>
            </anchor>
          </objectPr>
        </oleObject>
      </mc:Choice>
      <mc:Fallback>
        <oleObject progId="Packager Shell Object" dvAspect="DVASPECT_ICON" shapeId="19466" r:id="rId8"/>
      </mc:Fallback>
    </mc:AlternateContent>
    <mc:AlternateContent xmlns:mc="http://schemas.openxmlformats.org/markup-compatibility/2006">
      <mc:Choice Requires="x14">
        <oleObject progId="Packager Shell Object" dvAspect="DVASPECT_ICON" shapeId="19467" r:id="rId10">
          <objectPr defaultSize="0" r:id="rId11">
            <anchor moveWithCells="1">
              <from>
                <xdr:col>3</xdr:col>
                <xdr:colOff>1543050</xdr:colOff>
                <xdr:row>5</xdr:row>
                <xdr:rowOff>285750</xdr:rowOff>
              </from>
              <to>
                <xdr:col>4</xdr:col>
                <xdr:colOff>228600</xdr:colOff>
                <xdr:row>7</xdr:row>
                <xdr:rowOff>152400</xdr:rowOff>
              </to>
            </anchor>
          </objectPr>
        </oleObject>
      </mc:Choice>
      <mc:Fallback>
        <oleObject progId="Packager Shell Object" dvAspect="DVASPECT_ICON" shapeId="19467" r:id="rId10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12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M12"/>
  <sheetViews>
    <sheetView tabSelected="1" topLeftCell="C1" zoomScaleNormal="100"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39" style="144" customWidth="1"/>
    <col min="6" max="6" width="20.42578125" style="1" customWidth="1"/>
    <col min="7" max="7" width="14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42" t="s">
        <v>225</v>
      </c>
      <c r="F1" s="12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20" customFormat="1" x14ac:dyDescent="0.25">
      <c r="A2" s="16">
        <v>1</v>
      </c>
      <c r="B2" s="17" t="s">
        <v>191</v>
      </c>
      <c r="C2" s="18"/>
      <c r="D2" s="18" t="s">
        <v>185</v>
      </c>
      <c r="E2" s="148"/>
      <c r="F2" s="17"/>
      <c r="G2" s="19"/>
      <c r="H2" s="19"/>
      <c r="I2" s="19"/>
      <c r="J2" s="19"/>
      <c r="K2" s="19"/>
      <c r="L2" s="19"/>
      <c r="M2" s="17"/>
    </row>
    <row r="3" spans="1:13" x14ac:dyDescent="0.25">
      <c r="A3" s="5">
        <v>1</v>
      </c>
      <c r="B3" s="6" t="s">
        <v>203</v>
      </c>
      <c r="C3" s="9" t="s">
        <v>204</v>
      </c>
      <c r="D3" s="9"/>
      <c r="E3" s="139" t="s">
        <v>223</v>
      </c>
      <c r="F3" s="6"/>
      <c r="G3" s="8" t="s">
        <v>5</v>
      </c>
      <c r="H3" s="8"/>
      <c r="I3" s="8">
        <f t="shared" ref="I3:K8" si="0">IF($G3=I$1,1,0)</f>
        <v>0</v>
      </c>
      <c r="J3" s="8">
        <f t="shared" si="0"/>
        <v>0</v>
      </c>
      <c r="K3" s="8">
        <f t="shared" si="0"/>
        <v>0</v>
      </c>
      <c r="L3" s="8"/>
      <c r="M3" s="7"/>
    </row>
    <row r="4" spans="1:13" x14ac:dyDescent="0.25">
      <c r="A4" s="5">
        <f t="shared" ref="A4:A9" si="1">A3+0.0001</f>
        <v>1.0001</v>
      </c>
      <c r="B4" s="6" t="s">
        <v>205</v>
      </c>
      <c r="C4" s="9" t="s">
        <v>186</v>
      </c>
      <c r="D4" s="9"/>
      <c r="E4" s="140"/>
      <c r="F4" s="6"/>
      <c r="G4" s="8" t="s">
        <v>5</v>
      </c>
      <c r="H4" s="8"/>
      <c r="I4" s="8">
        <f t="shared" si="0"/>
        <v>0</v>
      </c>
      <c r="J4" s="8">
        <f t="shared" si="0"/>
        <v>0</v>
      </c>
      <c r="K4" s="8">
        <f t="shared" si="0"/>
        <v>0</v>
      </c>
      <c r="L4" s="8"/>
      <c r="M4" s="7"/>
    </row>
    <row r="5" spans="1:13" x14ac:dyDescent="0.25">
      <c r="A5" s="5">
        <f t="shared" si="1"/>
        <v>1.0002</v>
      </c>
      <c r="B5" s="6"/>
      <c r="C5" s="9" t="s">
        <v>206</v>
      </c>
      <c r="D5" s="9"/>
      <c r="E5" s="140"/>
      <c r="F5" s="6"/>
      <c r="G5" s="8" t="s">
        <v>5</v>
      </c>
      <c r="H5" s="8"/>
      <c r="I5" s="8">
        <f t="shared" si="0"/>
        <v>0</v>
      </c>
      <c r="J5" s="8">
        <f t="shared" si="0"/>
        <v>0</v>
      </c>
      <c r="K5" s="8">
        <f t="shared" si="0"/>
        <v>0</v>
      </c>
      <c r="L5" s="8"/>
      <c r="M5" s="7"/>
    </row>
    <row r="6" spans="1:13" x14ac:dyDescent="0.25">
      <c r="A6" s="5">
        <f t="shared" si="1"/>
        <v>1.0003</v>
      </c>
      <c r="B6" s="7"/>
      <c r="C6" s="9" t="s">
        <v>207</v>
      </c>
      <c r="D6" s="6"/>
      <c r="E6" s="140"/>
      <c r="F6" s="7"/>
      <c r="G6" s="8" t="s">
        <v>5</v>
      </c>
      <c r="H6" s="8"/>
      <c r="I6" s="8">
        <f t="shared" si="0"/>
        <v>0</v>
      </c>
      <c r="J6" s="8">
        <f t="shared" si="0"/>
        <v>0</v>
      </c>
      <c r="K6" s="8">
        <f t="shared" si="0"/>
        <v>0</v>
      </c>
      <c r="L6" s="8"/>
      <c r="M6" s="7"/>
    </row>
    <row r="7" spans="1:13" x14ac:dyDescent="0.25">
      <c r="A7" s="5">
        <f t="shared" si="1"/>
        <v>1.0004</v>
      </c>
      <c r="B7" s="6" t="s">
        <v>208</v>
      </c>
      <c r="C7" s="6" t="s">
        <v>201</v>
      </c>
      <c r="D7" s="6" t="s">
        <v>190</v>
      </c>
      <c r="E7" s="140"/>
      <c r="F7" s="7"/>
      <c r="G7" s="8" t="s">
        <v>5</v>
      </c>
      <c r="H7" s="8"/>
      <c r="I7" s="8">
        <f t="shared" si="0"/>
        <v>0</v>
      </c>
      <c r="J7" s="8">
        <f t="shared" si="0"/>
        <v>0</v>
      </c>
      <c r="K7" s="8">
        <f t="shared" si="0"/>
        <v>0</v>
      </c>
      <c r="L7" s="8"/>
      <c r="M7" s="7"/>
    </row>
    <row r="8" spans="1:13" x14ac:dyDescent="0.25">
      <c r="A8" s="5">
        <f t="shared" si="1"/>
        <v>1.0004999999999999</v>
      </c>
      <c r="B8" s="7" t="s">
        <v>209</v>
      </c>
      <c r="C8" s="6" t="s">
        <v>210</v>
      </c>
      <c r="D8" s="6"/>
      <c r="E8" s="141"/>
      <c r="F8" s="7"/>
      <c r="G8" s="8" t="s">
        <v>5</v>
      </c>
      <c r="H8" s="8"/>
      <c r="I8" s="8">
        <f t="shared" si="0"/>
        <v>0</v>
      </c>
      <c r="J8" s="8">
        <f t="shared" si="0"/>
        <v>0</v>
      </c>
      <c r="K8" s="8">
        <f t="shared" si="0"/>
        <v>0</v>
      </c>
      <c r="L8" s="8"/>
      <c r="M8" s="7"/>
    </row>
    <row r="9" spans="1:13" x14ac:dyDescent="0.25">
      <c r="A9" s="5">
        <f t="shared" si="1"/>
        <v>1.0005999999999999</v>
      </c>
      <c r="B9" s="7"/>
      <c r="C9" s="6"/>
      <c r="D9" s="7"/>
      <c r="E9" s="78"/>
      <c r="F9" s="7"/>
      <c r="G9" s="8"/>
      <c r="H9" s="8"/>
      <c r="I9" s="8"/>
      <c r="J9" s="8"/>
      <c r="K9" s="8"/>
      <c r="L9" s="8"/>
      <c r="M9" s="7"/>
    </row>
    <row r="10" spans="1:13" ht="15.75" thickBot="1" x14ac:dyDescent="0.3">
      <c r="H10" s="2">
        <f>SUM(H2:H9)</f>
        <v>0</v>
      </c>
      <c r="I10" s="2">
        <f>SUM(I2:I9)</f>
        <v>0</v>
      </c>
      <c r="J10" s="2">
        <f>SUM(J2:J9)</f>
        <v>0</v>
      </c>
      <c r="K10" s="2">
        <f>SUM(K2:K9)</f>
        <v>0</v>
      </c>
      <c r="L10" s="2">
        <f>SUM(L2:L9)</f>
        <v>0</v>
      </c>
    </row>
    <row r="11" spans="1:13" ht="15.75" thickTop="1" x14ac:dyDescent="0.25"/>
    <row r="12" spans="1:13" x14ac:dyDescent="0.25">
      <c r="H12" s="8">
        <f>IF($G12=H$1,1,0)</f>
        <v>0</v>
      </c>
      <c r="I12" s="8">
        <f>IF($G12=I$1,1,0)</f>
        <v>0</v>
      </c>
      <c r="J12" s="8">
        <f t="shared" ref="J12:L12" si="2">IF($G12=J$1,1,0)</f>
        <v>1</v>
      </c>
      <c r="K12" s="8">
        <f t="shared" si="2"/>
        <v>0</v>
      </c>
      <c r="L12" s="8">
        <f t="shared" si="2"/>
        <v>0</v>
      </c>
    </row>
  </sheetData>
  <mergeCells count="1">
    <mergeCell ref="E3:E8"/>
  </mergeCells>
  <conditionalFormatting sqref="A10:L29 L3:L4 B9:L9 M9:M29 F2:L2 A2:A9 F3:G8">
    <cfRule type="expression" dxfId="13" priority="13">
      <formula>$G2="Fail"</formula>
    </cfRule>
  </conditionalFormatting>
  <conditionalFormatting sqref="M2:M8">
    <cfRule type="expression" dxfId="12" priority="12">
      <formula>$G2="Fail"</formula>
    </cfRule>
  </conditionalFormatting>
  <conditionalFormatting sqref="H3:K3">
    <cfRule type="expression" dxfId="11" priority="11">
      <formula>$G3="Fail"</formula>
    </cfRule>
  </conditionalFormatting>
  <conditionalFormatting sqref="H4:K4">
    <cfRule type="expression" dxfId="10" priority="10">
      <formula>$G4="Fail"</formula>
    </cfRule>
  </conditionalFormatting>
  <conditionalFormatting sqref="B2:E2 B3:D8">
    <cfRule type="expression" dxfId="9" priority="9">
      <formula>$H2="Fail"</formula>
    </cfRule>
  </conditionalFormatting>
  <conditionalFormatting sqref="L5">
    <cfRule type="expression" dxfId="8" priority="8">
      <formula>$G5="Fail"</formula>
    </cfRule>
  </conditionalFormatting>
  <conditionalFormatting sqref="H5:K5">
    <cfRule type="expression" dxfId="7" priority="7">
      <formula>$G5="Fail"</formula>
    </cfRule>
  </conditionalFormatting>
  <conditionalFormatting sqref="L6">
    <cfRule type="expression" dxfId="6" priority="6">
      <formula>$G6="Fail"</formula>
    </cfRule>
  </conditionalFormatting>
  <conditionalFormatting sqref="H6:K6">
    <cfRule type="expression" dxfId="5" priority="5">
      <formula>$G6="Fail"</formula>
    </cfRule>
  </conditionalFormatting>
  <conditionalFormatting sqref="L7">
    <cfRule type="expression" dxfId="4" priority="4">
      <formula>$G7="Fail"</formula>
    </cfRule>
  </conditionalFormatting>
  <conditionalFormatting sqref="H7:K7">
    <cfRule type="expression" dxfId="3" priority="3">
      <formula>$G7="Fail"</formula>
    </cfRule>
  </conditionalFormatting>
  <conditionalFormatting sqref="L8">
    <cfRule type="expression" dxfId="2" priority="2">
      <formula>$G8="Fail"</formula>
    </cfRule>
  </conditionalFormatting>
  <conditionalFormatting sqref="H8:K8">
    <cfRule type="expression" dxfId="1" priority="1">
      <formula>$G8="Fail"</formula>
    </cfRule>
  </conditionalFormatting>
  <conditionalFormatting sqref="E3">
    <cfRule type="expression" dxfId="0" priority="380">
      <formula>$H5="Fail"</formula>
    </cfRule>
  </conditionalFormatting>
  <dataValidations count="1">
    <dataValidation type="list" allowBlank="1" showInputMessage="1" showErrorMessage="1" sqref="G2:G9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84" r:id="rId4">
          <objectPr defaultSize="0" r:id="rId5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1933575</xdr:colOff>
                <xdr:row>4</xdr:row>
                <xdr:rowOff>133350</xdr:rowOff>
              </to>
            </anchor>
          </objectPr>
        </oleObject>
      </mc:Choice>
      <mc:Fallback>
        <oleObject progId="Packager Shell Object" dvAspect="DVASPECT_ICON" shapeId="20484" r:id="rId4"/>
      </mc:Fallback>
    </mc:AlternateContent>
    <mc:AlternateContent xmlns:mc="http://schemas.openxmlformats.org/markup-compatibility/2006">
      <mc:Choice Requires="x14">
        <oleObject progId="Packager Shell Object" shapeId="20485" r:id="rId6">
          <objectPr defaultSize="0" r:id="rId7">
            <anchor moveWithCells="1">
              <from>
                <xdr:col>3</xdr:col>
                <xdr:colOff>1181100</xdr:colOff>
                <xdr:row>2</xdr:row>
                <xdr:rowOff>114300</xdr:rowOff>
              </from>
              <to>
                <xdr:col>4</xdr:col>
                <xdr:colOff>276225</xdr:colOff>
                <xdr:row>5</xdr:row>
                <xdr:rowOff>57150</xdr:rowOff>
              </to>
            </anchor>
          </objectPr>
        </oleObject>
      </mc:Choice>
      <mc:Fallback>
        <oleObject progId="Packager Shell Object" shapeId="20485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8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CURO Process</vt:lpstr>
      <vt:lpstr>Audit</vt:lpstr>
      <vt:lpstr>Multidata</vt:lpstr>
      <vt:lpstr>Automated Instructions Process</vt:lpstr>
      <vt:lpstr>Walker</vt:lpstr>
      <vt:lpstr>FDM Interface</vt:lpstr>
      <vt:lpstr>SIM Interface</vt:lpstr>
      <vt:lpstr>Accounting Interface</vt:lpstr>
    </vt:vector>
  </TitlesOfParts>
  <Company>Sanlam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Direro Ishmael (SC)</cp:lastModifiedBy>
  <dcterms:created xsi:type="dcterms:W3CDTF">2014-07-31T09:50:05Z</dcterms:created>
  <dcterms:modified xsi:type="dcterms:W3CDTF">2020-07-06T16:29:29Z</dcterms:modified>
</cp:coreProperties>
</file>