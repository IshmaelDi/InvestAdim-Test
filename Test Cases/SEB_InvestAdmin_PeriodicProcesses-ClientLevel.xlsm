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989124\Desktop\Test Documents\Test Cases\Test Cases\"/>
    </mc:Choice>
  </mc:AlternateContent>
  <bookViews>
    <workbookView xWindow="120" yWindow="105" windowWidth="20370" windowHeight="10020" activeTab="2"/>
  </bookViews>
  <sheets>
    <sheet name="Summary" sheetId="3" r:id="rId1"/>
    <sheet name="Test Case" sheetId="2" r:id="rId2"/>
    <sheet name="Sheet1" sheetId="4" r:id="rId3"/>
  </sheets>
  <calcPr calcId="162913"/>
</workbook>
</file>

<file path=xl/calcChain.xml><?xml version="1.0" encoding="utf-8"?>
<calcChain xmlns="http://schemas.openxmlformats.org/spreadsheetml/2006/main">
  <c r="H85" i="2" l="1"/>
  <c r="I85" i="2"/>
  <c r="J85" i="2"/>
  <c r="K85" i="2"/>
  <c r="L85" i="2"/>
  <c r="H86" i="2"/>
  <c r="I86" i="2"/>
  <c r="J86" i="2"/>
  <c r="K86" i="2"/>
  <c r="L86" i="2"/>
  <c r="H87" i="2"/>
  <c r="I87" i="2"/>
  <c r="J87" i="2"/>
  <c r="K87" i="2"/>
  <c r="L87" i="2"/>
  <c r="H88" i="2"/>
  <c r="I88" i="2"/>
  <c r="J88" i="2"/>
  <c r="K88" i="2"/>
  <c r="L88" i="2"/>
  <c r="H89" i="2"/>
  <c r="I89" i="2"/>
  <c r="J89" i="2"/>
  <c r="K89" i="2"/>
  <c r="L89" i="2"/>
  <c r="H90" i="2"/>
  <c r="I90" i="2"/>
  <c r="J90" i="2"/>
  <c r="K90" i="2"/>
  <c r="L90" i="2"/>
  <c r="H91" i="2"/>
  <c r="I91" i="2"/>
  <c r="J91" i="2"/>
  <c r="K91" i="2"/>
  <c r="L91" i="2"/>
  <c r="H92" i="2"/>
  <c r="I92" i="2"/>
  <c r="J92" i="2"/>
  <c r="K92" i="2"/>
  <c r="L92" i="2"/>
  <c r="H93" i="2"/>
  <c r="I93" i="2"/>
  <c r="J93" i="2"/>
  <c r="K93" i="2"/>
  <c r="L93" i="2"/>
  <c r="H94" i="2"/>
  <c r="I94" i="2"/>
  <c r="J94" i="2"/>
  <c r="K94" i="2"/>
  <c r="L94" i="2"/>
  <c r="H95" i="2"/>
  <c r="I95" i="2"/>
  <c r="J95" i="2"/>
  <c r="K95" i="2"/>
  <c r="L95" i="2"/>
  <c r="H96" i="2"/>
  <c r="I96" i="2"/>
  <c r="J96" i="2"/>
  <c r="K96" i="2"/>
  <c r="L96" i="2"/>
  <c r="H97" i="2"/>
  <c r="I97" i="2"/>
  <c r="J97" i="2"/>
  <c r="K97" i="2"/>
  <c r="L97" i="2"/>
  <c r="H71" i="2"/>
  <c r="I71" i="2"/>
  <c r="J71" i="2"/>
  <c r="K71" i="2"/>
  <c r="L71" i="2"/>
  <c r="H70" i="2"/>
  <c r="I70" i="2"/>
  <c r="J70" i="2"/>
  <c r="K70" i="2"/>
  <c r="L70" i="2"/>
  <c r="H69" i="2"/>
  <c r="I69" i="2"/>
  <c r="J69" i="2"/>
  <c r="K69" i="2"/>
  <c r="L69" i="2"/>
  <c r="H68" i="2"/>
  <c r="I68" i="2"/>
  <c r="J68" i="2"/>
  <c r="K68" i="2"/>
  <c r="L68" i="2"/>
  <c r="H67" i="2"/>
  <c r="I67" i="2"/>
  <c r="J67" i="2"/>
  <c r="K67" i="2"/>
  <c r="L67" i="2"/>
  <c r="H66" i="2"/>
  <c r="I66" i="2"/>
  <c r="J66" i="2"/>
  <c r="K66" i="2"/>
  <c r="L66" i="2"/>
  <c r="H65" i="2"/>
  <c r="I65" i="2"/>
  <c r="J65" i="2"/>
  <c r="K65" i="2"/>
  <c r="L65" i="2"/>
  <c r="H64" i="2"/>
  <c r="I64" i="2"/>
  <c r="J64" i="2"/>
  <c r="K64" i="2"/>
  <c r="L64" i="2"/>
  <c r="H63" i="2"/>
  <c r="I63" i="2"/>
  <c r="J63" i="2"/>
  <c r="K63" i="2"/>
  <c r="L63" i="2"/>
  <c r="H62" i="2"/>
  <c r="I62" i="2"/>
  <c r="J62" i="2"/>
  <c r="K62" i="2"/>
  <c r="L62" i="2"/>
  <c r="H61" i="2"/>
  <c r="I61" i="2"/>
  <c r="J61" i="2"/>
  <c r="K61" i="2"/>
  <c r="L61" i="2"/>
  <c r="H60" i="2"/>
  <c r="I60" i="2"/>
  <c r="J60" i="2"/>
  <c r="K60" i="2"/>
  <c r="L60" i="2"/>
  <c r="H59" i="2"/>
  <c r="I59" i="2"/>
  <c r="J59" i="2"/>
  <c r="K59" i="2"/>
  <c r="L59" i="2"/>
  <c r="A73" i="2"/>
  <c r="A74" i="2" s="1"/>
  <c r="A5" i="2"/>
  <c r="A45" i="2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H31" i="2"/>
  <c r="I31" i="2"/>
  <c r="J31" i="2"/>
  <c r="K31" i="2"/>
  <c r="L31" i="2"/>
  <c r="H32" i="2"/>
  <c r="I32" i="2"/>
  <c r="J32" i="2"/>
  <c r="K32" i="2"/>
  <c r="L32" i="2"/>
  <c r="H33" i="2"/>
  <c r="I33" i="2"/>
  <c r="J33" i="2"/>
  <c r="K33" i="2"/>
  <c r="L33" i="2"/>
  <c r="H34" i="2"/>
  <c r="I34" i="2"/>
  <c r="J34" i="2"/>
  <c r="K34" i="2"/>
  <c r="L34" i="2"/>
  <c r="H35" i="2"/>
  <c r="I35" i="2"/>
  <c r="J35" i="2"/>
  <c r="K35" i="2"/>
  <c r="L35" i="2"/>
  <c r="H36" i="2"/>
  <c r="I36" i="2"/>
  <c r="J36" i="2"/>
  <c r="K36" i="2"/>
  <c r="L36" i="2"/>
  <c r="H37" i="2"/>
  <c r="I37" i="2"/>
  <c r="J37" i="2"/>
  <c r="K37" i="2"/>
  <c r="L37" i="2"/>
  <c r="H38" i="2"/>
  <c r="I38" i="2"/>
  <c r="J38" i="2"/>
  <c r="K38" i="2"/>
  <c r="L38" i="2"/>
  <c r="H39" i="2"/>
  <c r="I39" i="2"/>
  <c r="J39" i="2"/>
  <c r="K39" i="2"/>
  <c r="L39" i="2"/>
  <c r="H40" i="2"/>
  <c r="I40" i="2"/>
  <c r="J40" i="2"/>
  <c r="K40" i="2"/>
  <c r="L40" i="2"/>
  <c r="H41" i="2"/>
  <c r="I41" i="2"/>
  <c r="J41" i="2"/>
  <c r="K41" i="2"/>
  <c r="L41" i="2"/>
  <c r="H42" i="2"/>
  <c r="I42" i="2"/>
  <c r="J42" i="2"/>
  <c r="K42" i="2"/>
  <c r="L42" i="2"/>
  <c r="H43" i="2"/>
  <c r="I43" i="2"/>
  <c r="J43" i="2"/>
  <c r="K43" i="2"/>
  <c r="L43" i="2"/>
  <c r="A75" i="2" l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H8" i="2" l="1"/>
  <c r="I8" i="2"/>
  <c r="J8" i="2"/>
  <c r="K8" i="2"/>
  <c r="L8" i="2"/>
  <c r="H9" i="2"/>
  <c r="I9" i="2"/>
  <c r="J9" i="2"/>
  <c r="K9" i="2"/>
  <c r="L9" i="2"/>
  <c r="H10" i="2"/>
  <c r="I10" i="2"/>
  <c r="J10" i="2"/>
  <c r="K10" i="2"/>
  <c r="L10" i="2"/>
  <c r="H11" i="2"/>
  <c r="I11" i="2"/>
  <c r="J11" i="2"/>
  <c r="K11" i="2"/>
  <c r="L11" i="2"/>
  <c r="H12" i="2"/>
  <c r="I12" i="2"/>
  <c r="J12" i="2"/>
  <c r="K12" i="2"/>
  <c r="L12" i="2"/>
  <c r="H13" i="2"/>
  <c r="I13" i="2"/>
  <c r="J13" i="2"/>
  <c r="K13" i="2"/>
  <c r="L13" i="2"/>
  <c r="H14" i="2"/>
  <c r="I14" i="2"/>
  <c r="J14" i="2"/>
  <c r="K14" i="2"/>
  <c r="L14" i="2"/>
  <c r="H15" i="2"/>
  <c r="I15" i="2"/>
  <c r="J15" i="2"/>
  <c r="K15" i="2"/>
  <c r="L15" i="2"/>
  <c r="H16" i="2"/>
  <c r="I16" i="2"/>
  <c r="J16" i="2"/>
  <c r="K16" i="2"/>
  <c r="L16" i="2"/>
  <c r="H17" i="2"/>
  <c r="I17" i="2"/>
  <c r="J17" i="2"/>
  <c r="K17" i="2"/>
  <c r="L17" i="2"/>
  <c r="H18" i="2"/>
  <c r="I18" i="2"/>
  <c r="J18" i="2"/>
  <c r="K18" i="2"/>
  <c r="L18" i="2"/>
  <c r="H19" i="2"/>
  <c r="I19" i="2"/>
  <c r="J19" i="2"/>
  <c r="K19" i="2"/>
  <c r="L19" i="2"/>
  <c r="H20" i="2"/>
  <c r="I20" i="2"/>
  <c r="J20" i="2"/>
  <c r="K20" i="2"/>
  <c r="L20" i="2"/>
  <c r="H21" i="2"/>
  <c r="I21" i="2"/>
  <c r="J21" i="2"/>
  <c r="K21" i="2"/>
  <c r="L21" i="2"/>
  <c r="H22" i="2"/>
  <c r="I22" i="2"/>
  <c r="J22" i="2"/>
  <c r="K22" i="2"/>
  <c r="L22" i="2"/>
  <c r="H23" i="2"/>
  <c r="I23" i="2"/>
  <c r="J23" i="2"/>
  <c r="K23" i="2"/>
  <c r="L23" i="2"/>
  <c r="H24" i="2"/>
  <c r="I24" i="2"/>
  <c r="J24" i="2"/>
  <c r="K24" i="2"/>
  <c r="L24" i="2"/>
  <c r="H25" i="2"/>
  <c r="I25" i="2"/>
  <c r="J25" i="2"/>
  <c r="K25" i="2"/>
  <c r="L25" i="2"/>
  <c r="H26" i="2"/>
  <c r="I26" i="2"/>
  <c r="J26" i="2"/>
  <c r="K26" i="2"/>
  <c r="L26" i="2"/>
  <c r="H27" i="2"/>
  <c r="I27" i="2"/>
  <c r="J27" i="2"/>
  <c r="K27" i="2"/>
  <c r="L27" i="2"/>
  <c r="H28" i="2"/>
  <c r="I28" i="2"/>
  <c r="J28" i="2"/>
  <c r="K28" i="2"/>
  <c r="L28" i="2"/>
  <c r="H29" i="2"/>
  <c r="I29" i="2"/>
  <c r="J29" i="2"/>
  <c r="K29" i="2"/>
  <c r="L29" i="2"/>
  <c r="H30" i="2"/>
  <c r="I30" i="2"/>
  <c r="J30" i="2"/>
  <c r="K30" i="2"/>
  <c r="L30" i="2"/>
  <c r="H45" i="2"/>
  <c r="I45" i="2"/>
  <c r="J45" i="2"/>
  <c r="K45" i="2"/>
  <c r="L45" i="2"/>
  <c r="H46" i="2"/>
  <c r="I46" i="2"/>
  <c r="J46" i="2"/>
  <c r="K46" i="2"/>
  <c r="L46" i="2"/>
  <c r="H47" i="2"/>
  <c r="I47" i="2"/>
  <c r="J47" i="2"/>
  <c r="K47" i="2"/>
  <c r="L47" i="2"/>
  <c r="H48" i="2"/>
  <c r="I48" i="2"/>
  <c r="J48" i="2"/>
  <c r="K48" i="2"/>
  <c r="L48" i="2"/>
  <c r="H49" i="2"/>
  <c r="I49" i="2"/>
  <c r="J49" i="2"/>
  <c r="K49" i="2"/>
  <c r="L49" i="2"/>
  <c r="H50" i="2"/>
  <c r="I50" i="2"/>
  <c r="J50" i="2"/>
  <c r="K50" i="2"/>
  <c r="L50" i="2"/>
  <c r="H51" i="2"/>
  <c r="I51" i="2"/>
  <c r="J51" i="2"/>
  <c r="K51" i="2"/>
  <c r="L51" i="2"/>
  <c r="H52" i="2"/>
  <c r="I52" i="2"/>
  <c r="J52" i="2"/>
  <c r="K52" i="2"/>
  <c r="L52" i="2"/>
  <c r="H53" i="2"/>
  <c r="I53" i="2"/>
  <c r="J53" i="2"/>
  <c r="K53" i="2"/>
  <c r="L53" i="2"/>
  <c r="H54" i="2"/>
  <c r="I54" i="2"/>
  <c r="J54" i="2"/>
  <c r="K54" i="2"/>
  <c r="L54" i="2"/>
  <c r="H55" i="2"/>
  <c r="I55" i="2"/>
  <c r="J55" i="2"/>
  <c r="K55" i="2"/>
  <c r="L55" i="2"/>
  <c r="H56" i="2"/>
  <c r="I56" i="2"/>
  <c r="J56" i="2"/>
  <c r="K56" i="2"/>
  <c r="L56" i="2"/>
  <c r="H57" i="2"/>
  <c r="I57" i="2"/>
  <c r="J57" i="2"/>
  <c r="K57" i="2"/>
  <c r="L57" i="2"/>
  <c r="H58" i="2"/>
  <c r="I58" i="2"/>
  <c r="J58" i="2"/>
  <c r="K58" i="2"/>
  <c r="L58" i="2"/>
  <c r="H73" i="2"/>
  <c r="I73" i="2"/>
  <c r="J73" i="2"/>
  <c r="K73" i="2"/>
  <c r="L73" i="2"/>
  <c r="H74" i="2"/>
  <c r="I74" i="2"/>
  <c r="J74" i="2"/>
  <c r="K74" i="2"/>
  <c r="L74" i="2"/>
  <c r="H75" i="2"/>
  <c r="I75" i="2"/>
  <c r="J75" i="2"/>
  <c r="K75" i="2"/>
  <c r="L75" i="2"/>
  <c r="H76" i="2"/>
  <c r="I76" i="2"/>
  <c r="J76" i="2"/>
  <c r="K76" i="2"/>
  <c r="L76" i="2"/>
  <c r="H77" i="2"/>
  <c r="I77" i="2"/>
  <c r="J77" i="2"/>
  <c r="K77" i="2"/>
  <c r="L77" i="2"/>
  <c r="H78" i="2"/>
  <c r="I78" i="2"/>
  <c r="J78" i="2"/>
  <c r="K78" i="2"/>
  <c r="L78" i="2"/>
  <c r="H79" i="2"/>
  <c r="I79" i="2"/>
  <c r="J79" i="2"/>
  <c r="K79" i="2"/>
  <c r="L79" i="2"/>
  <c r="H80" i="2"/>
  <c r="I80" i="2"/>
  <c r="J80" i="2"/>
  <c r="K80" i="2"/>
  <c r="L80" i="2"/>
  <c r="H81" i="2"/>
  <c r="I81" i="2"/>
  <c r="J81" i="2"/>
  <c r="K81" i="2"/>
  <c r="L81" i="2"/>
  <c r="H82" i="2"/>
  <c r="I82" i="2"/>
  <c r="J82" i="2"/>
  <c r="K82" i="2"/>
  <c r="L82" i="2"/>
  <c r="H83" i="2"/>
  <c r="I83" i="2"/>
  <c r="J83" i="2"/>
  <c r="K83" i="2"/>
  <c r="L83" i="2"/>
  <c r="H84" i="2"/>
  <c r="I84" i="2"/>
  <c r="J84" i="2"/>
  <c r="K84" i="2"/>
  <c r="L84" i="2"/>
  <c r="I98" i="2" l="1"/>
  <c r="L98" i="2"/>
  <c r="H98" i="2"/>
  <c r="J98" i="2"/>
  <c r="K98" i="2"/>
  <c r="L72" i="2"/>
  <c r="K72" i="2"/>
  <c r="H72" i="2"/>
  <c r="J72" i="2"/>
  <c r="I72" i="2"/>
  <c r="H6" i="2"/>
  <c r="I6" i="2"/>
  <c r="J6" i="2"/>
  <c r="K6" i="2"/>
  <c r="L6" i="2"/>
  <c r="H7" i="2"/>
  <c r="I7" i="2"/>
  <c r="J7" i="2"/>
  <c r="K7" i="2"/>
  <c r="L7" i="2"/>
  <c r="L5" i="2"/>
  <c r="K5" i="2"/>
  <c r="J5" i="2"/>
  <c r="I5" i="2"/>
  <c r="H5" i="2"/>
  <c r="H44" i="2" l="1"/>
  <c r="H99" i="2" s="1"/>
  <c r="L44" i="2"/>
  <c r="L99" i="2" s="1"/>
  <c r="I44" i="2"/>
  <c r="I99" i="2" s="1"/>
  <c r="J44" i="2"/>
  <c r="J99" i="2" s="1"/>
  <c r="K44" i="2"/>
  <c r="K99" i="2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C3" i="3" l="1"/>
  <c r="C4" i="3" s="1"/>
  <c r="D3" i="3" l="1"/>
  <c r="D4" i="3" s="1"/>
  <c r="E3" i="3" l="1"/>
  <c r="H3" i="3" l="1"/>
  <c r="H4" i="3" s="1"/>
  <c r="E4" i="3"/>
  <c r="F3" i="3"/>
  <c r="F4" i="3" s="1"/>
  <c r="G3" i="3" l="1"/>
  <c r="G4" i="3" s="1"/>
</calcChain>
</file>

<file path=xl/sharedStrings.xml><?xml version="1.0" encoding="utf-8"?>
<sst xmlns="http://schemas.openxmlformats.org/spreadsheetml/2006/main" count="256" uniqueCount="81">
  <si>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</si>
  <si>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</si>
  <si>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</si>
  <si>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</si>
  <si>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</si>
  <si>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</si>
  <si>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</si>
  <si>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</si>
  <si>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</si>
  <si>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</si>
  <si>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</si>
  <si>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</si>
  <si>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</si>
  <si>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>Setup / maintain override fees</t>
  </si>
  <si>
    <t>Override Fees</t>
  </si>
  <si>
    <t>Select a client</t>
  </si>
  <si>
    <t>Client record must be displayed on screen</t>
  </si>
  <si>
    <t>Client Maintenance</t>
  </si>
  <si>
    <t>Exclusive Fee maintenance</t>
  </si>
  <si>
    <t>Submit button</t>
  </si>
  <si>
    <t>Retirement fund details updated</t>
  </si>
  <si>
    <t>The following fields must be displayed</t>
  </si>
  <si>
    <t>Consultant - select from dropdown</t>
  </si>
  <si>
    <t>Fund</t>
  </si>
  <si>
    <t>Asset Group</t>
  </si>
  <si>
    <t>Latest asset split start date</t>
  </si>
  <si>
    <t>Administration fee scales</t>
  </si>
  <si>
    <t>Exclusive fee maintenance screen appears with a payable and override column and user able to change current selection</t>
  </si>
  <si>
    <t>Investment Fees with radio buttons (yes/no) in override column  and user able to change current selection</t>
  </si>
  <si>
    <t>Administrator Fees with radio buttons (yes/no) in both columns and user able to change current selection</t>
  </si>
  <si>
    <t>Consultant Fees with radio buttons (yes/no) in both columns and user able to change current selection</t>
  </si>
  <si>
    <t>External Fees with radio buttons (yes/no) in payable column and user able to change current selection</t>
  </si>
  <si>
    <t>Select from dropdown</t>
  </si>
  <si>
    <t>Will be auto filled as soon as asset group is selected</t>
  </si>
  <si>
    <t>Will be activated as soon as fund and asset group (domestic/foreign cash/non cash/hedge) is selected, otherwise greyed out</t>
  </si>
  <si>
    <t>Click on investment manager fee scales button</t>
  </si>
  <si>
    <t>Start Date</t>
  </si>
  <si>
    <t>End date</t>
  </si>
  <si>
    <t>Domestic Assets %</t>
  </si>
  <si>
    <t>Foreign Cash %</t>
  </si>
  <si>
    <t>Foreign Equities %</t>
  </si>
  <si>
    <t>Foreign other %</t>
  </si>
  <si>
    <t>Foreign bonds %</t>
  </si>
  <si>
    <t>Foreign Africa %</t>
  </si>
  <si>
    <t>Investment manager history</t>
  </si>
  <si>
    <t>Update button disabled</t>
  </si>
  <si>
    <t>Click on create button</t>
  </si>
  <si>
    <t>Enter start date and click next</t>
  </si>
  <si>
    <t>Exit button</t>
  </si>
  <si>
    <t>INV-21</t>
  </si>
  <si>
    <t>Investment Manager Fee Scales screen for selected portfolio will appear</t>
  </si>
  <si>
    <t>Click on consultant fee scales button</t>
  </si>
  <si>
    <t>The broker manager fee scales maintenance screen for selected portfolio will appear</t>
  </si>
  <si>
    <t>dropdown to select consultant</t>
  </si>
  <si>
    <t>Select consultant and click next</t>
  </si>
  <si>
    <t>Screen where user can create fee scales will appear</t>
  </si>
  <si>
    <t>Click on administration fee scales button</t>
  </si>
  <si>
    <t>The administration fee scales maintenance screen for selected portfolio will appear</t>
  </si>
  <si>
    <t>Start date</t>
  </si>
  <si>
    <t>Domestic assets %</t>
  </si>
  <si>
    <t>Foreign equities &amp;</t>
  </si>
  <si>
    <t>Update button</t>
  </si>
  <si>
    <t>Must be disabled</t>
  </si>
  <si>
    <t>Enter start date and click on next</t>
  </si>
  <si>
    <t>Enter scale amount and fee%, enter Min and Max and select radio button yes/no for pricing</t>
  </si>
  <si>
    <t>Entered data must display</t>
  </si>
  <si>
    <t>Reset button</t>
  </si>
  <si>
    <t>Clears entered data</t>
  </si>
  <si>
    <t>Successful creation of fee scales</t>
  </si>
  <si>
    <t>User directed back to exclusive fee maintenance screen</t>
  </si>
  <si>
    <t>Investment manager fee scales button, consultant fee scales button and administration fee scale button</t>
  </si>
  <si>
    <t>Consultant Fee Scales</t>
  </si>
  <si>
    <t xml:space="preserve">Investment Manager Fee Scales  </t>
  </si>
  <si>
    <t>SCI Accountint Req 6.1</t>
  </si>
  <si>
    <t xml:space="preserve"> Fees on all SIM &amp; SMMI products</t>
  </si>
  <si>
    <t>LISA TEST SCHEME 1</t>
  </si>
  <si>
    <t>D101010-Wimpie Jonker</t>
  </si>
  <si>
    <t>Allan Gray Dom Bal Port</t>
  </si>
  <si>
    <t>Dom/Fpr Cash /Non CASH/Hedge</t>
  </si>
  <si>
    <t>Added Notes</t>
  </si>
  <si>
    <t>Don’t know How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</si>
</sst>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8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3" borderId="2" xfId="0" applyFont="1" applyFill="1" applyBorder="1" applyAlignment="1">
      <alignment horizontal="left" vertical="center" wrapText="1"/>
    </xf>
    <xf numFmtId="164" fontId="2" fillId="2" borderId="2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64" fontId="6" fillId="5" borderId="2" xfId="0" applyNumberFormat="1" applyFont="1" applyFill="1" applyBorder="1" applyAlignment="1">
      <alignment vertical="center" wrapText="1"/>
    </xf>
    <xf numFmtId="0" fontId="6" fillId="5" borderId="2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2" fillId="2" borderId="2" xfId="0" applyFont="1" applyFill="1" applyBorder="1" applyAlignment="1">
      <alignment horizontal="center" vertical="center"/>
    </xf>
    <xf numFmtId="164" fontId="7" fillId="6" borderId="2" xfId="0" applyNumberFormat="1" applyFont="1" applyFill="1" applyBorder="1" applyAlignment="1">
      <alignment vertical="center" wrapText="1"/>
    </xf>
    <xf numFmtId="0" fontId="7" fillId="6" borderId="2" xfId="0" applyFont="1" applyFill="1" applyBorder="1" applyAlignment="1">
      <alignment vertical="center" wrapText="1"/>
    </xf>
    <xf numFmtId="0" fontId="3" fillId="6" borderId="2" xfId="0" applyFont="1" applyFill="1" applyBorder="1" applyAlignment="1">
      <alignment wrapText="1"/>
    </xf>
    <xf numFmtId="164" fontId="6" fillId="6" borderId="2" xfId="0" applyNumberFormat="1" applyFont="1" applyFill="1" applyBorder="1" applyAlignment="1">
      <alignment vertical="center" wrapText="1"/>
    </xf>
    <xf numFmtId="0" fontId="6" fillId="6" borderId="2" xfId="0" applyFont="1" applyFill="1" applyBorder="1" applyAlignment="1">
      <alignment vertical="center" wrapText="1"/>
    </xf>
    <xf numFmtId="0" fontId="6" fillId="6" borderId="2" xfId="0" applyFont="1" applyFill="1" applyBorder="1" applyAlignment="1">
      <alignment horizontal="left" vertical="center" wrapText="1"/>
    </xf>
    <xf numFmtId="0" fontId="5" fillId="6" borderId="2" xfId="0" applyFont="1" applyFill="1" applyBorder="1" applyAlignment="1">
      <alignment wrapText="1"/>
    </xf>
    <xf numFmtId="0" fontId="3" fillId="6" borderId="0" xfId="0" applyFont="1" applyFill="1" applyAlignment="1">
      <alignment wrapText="1"/>
    </xf>
    <xf numFmtId="0" fontId="8" fillId="6" borderId="2" xfId="0" applyFont="1" applyFill="1" applyBorder="1" applyAlignment="1">
      <alignment vertical="center" wrapText="1"/>
    </xf>
    <xf numFmtId="0" fontId="0" fillId="6" borderId="0" xfId="0" applyFill="1" applyAlignment="1">
      <alignment wrapText="1"/>
    </xf>
    <xf numFmtId="0" fontId="7" fillId="6" borderId="2" xfId="0" applyFont="1" applyFill="1" applyBorder="1" applyAlignment="1">
      <alignment horizontal="left" vertical="center" wrapText="1"/>
    </xf>
    <xf numFmtId="164" fontId="1" fillId="6" borderId="0" xfId="0" applyNumberFormat="1" applyFont="1" applyFill="1" applyBorder="1" applyAlignment="1">
      <alignment vertical="center" wrapText="1"/>
    </xf>
    <xf numFmtId="0" fontId="1" fillId="6" borderId="0" xfId="0" applyFont="1" applyFill="1" applyBorder="1" applyAlignment="1">
      <alignment vertical="center" wrapText="1"/>
    </xf>
    <xf numFmtId="0" fontId="0" fillId="6" borderId="0" xfId="0" applyFill="1" applyBorder="1" applyAlignment="1">
      <alignment wrapText="1"/>
    </xf>
    <xf numFmtId="0" fontId="0" fillId="6" borderId="3" xfId="0" applyFill="1" applyBorder="1" applyAlignment="1">
      <alignment wrapText="1"/>
    </xf>
    <xf numFmtId="0" fontId="0" fillId="0" borderId="6" xfId="0" applyBorder="1" applyAlignment="1">
      <alignment wrapText="1"/>
    </xf>
    <xf numFmtId="0" fontId="9" fillId="7" borderId="2" xfId="0" applyFont="1" applyFill="1" applyBorder="1" applyAlignment="1">
      <alignment horizontal="center" wrapText="1"/>
    </xf>
    <xf numFmtId="2" fontId="1" fillId="0" borderId="2" xfId="0" applyNumberFormat="1" applyFont="1" applyBorder="1" applyAlignment="1">
      <alignment vertical="center" wrapText="1"/>
    </xf>
    <xf numFmtId="0" fontId="10" fillId="7" borderId="4" xfId="0" applyFont="1" applyFill="1" applyBorder="1" applyAlignment="1">
      <alignment horizontal="center" wrapText="1"/>
    </xf>
    <xf numFmtId="0" fontId="10" fillId="7" borderId="5" xfId="0" applyFont="1" applyFill="1" applyBorder="1" applyAlignment="1">
      <alignment horizontal="center" wrapText="1"/>
    </xf>
    <xf numFmtId="0" fontId="9" fillId="7" borderId="6" xfId="0" applyFont="1" applyFill="1" applyBorder="1" applyAlignment="1">
      <alignment horizont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</cellXfs>
  <cellStyles count="1">
    <cellStyle name="Normal" xfId="0" builtinId="0"/>
  </cellStyles>
  <dxfs count="2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57150</xdr:rowOff>
        </xdr:from>
        <xdr:to>
          <xdr:col>0</xdr:col>
          <xdr:colOff>581025</xdr:colOff>
          <xdr:row>5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581025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0</xdr:rowOff>
        </xdr:from>
        <xdr:to>
          <xdr:col>0</xdr:col>
          <xdr:colOff>581025</xdr:colOff>
          <xdr:row>3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0</xdr:rowOff>
        </xdr:from>
        <xdr:to>
          <xdr:col>0</xdr:col>
          <xdr:colOff>581025</xdr:colOff>
          <xdr:row>3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0</xdr:rowOff>
        </xdr:from>
        <xdr:to>
          <xdr:col>0</xdr:col>
          <xdr:colOff>581025</xdr:colOff>
          <xdr:row>3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28575</xdr:rowOff>
        </xdr:from>
        <xdr:to>
          <xdr:col>1</xdr:col>
          <xdr:colOff>161925</xdr:colOff>
          <xdr:row>1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4"/>
  <sheetViews>
    <sheetView zoomScaleNormal="100" workbookViewId="0">
      <selection activeCell="D15" sqref="D15"/>
    </sheetView>
  </sheetViews>
  <sheetFormatPr defaultRowHeight="15" x14ac:dyDescent="0.25"/>
  <cols>
    <col min="1" max="1" width="9.140625" style="3"/>
    <col min="2" max="2" width="46.28515625" style="3" bestFit="1" customWidth="1"/>
    <col min="3" max="8" width="15" style="3" customWidth="1"/>
    <col min="9" max="16384" width="9.140625" style="3"/>
  </cols>
  <sheetData>
    <row r="2" spans="2:8" x14ac:dyDescent="0.25">
      <c r="B2" s="13"/>
      <c r="C2" s="13" t="s">
        <v>5</v>
      </c>
      <c r="D2" s="13" t="s">
        <v>6</v>
      </c>
      <c r="E2" s="13" t="s">
        <v>9</v>
      </c>
      <c r="F2" s="13" t="s">
        <v>7</v>
      </c>
      <c r="G2" s="13" t="s">
        <v>8</v>
      </c>
      <c r="H2" s="13" t="s">
        <v>10</v>
      </c>
    </row>
    <row r="3" spans="2:8" x14ac:dyDescent="0.25">
      <c r="B3" s="21" t="s">
        <v>13</v>
      </c>
      <c r="C3" s="14">
        <f>'Test Case'!H99</f>
        <v>91</v>
      </c>
      <c r="D3" s="14">
        <f>'Test Case'!I99</f>
        <v>0</v>
      </c>
      <c r="E3" s="14">
        <f>'Test Case'!J99</f>
        <v>0</v>
      </c>
      <c r="F3" s="15">
        <f>'Test Case'!K99</f>
        <v>0</v>
      </c>
      <c r="G3" s="15">
        <f>'Test Case'!L99</f>
        <v>0</v>
      </c>
      <c r="H3" s="14">
        <f>SUM(C3:E3)</f>
        <v>91</v>
      </c>
    </row>
    <row r="4" spans="2:8" x14ac:dyDescent="0.25">
      <c r="B4" s="13"/>
      <c r="C4" s="14">
        <f t="shared" ref="C4:H4" si="0">SUM(C3:C3)</f>
        <v>91</v>
      </c>
      <c r="D4" s="14">
        <f t="shared" si="0"/>
        <v>0</v>
      </c>
      <c r="E4" s="14">
        <f t="shared" si="0"/>
        <v>0</v>
      </c>
      <c r="F4" s="15">
        <f t="shared" si="0"/>
        <v>0</v>
      </c>
      <c r="G4" s="15">
        <f t="shared" si="0"/>
        <v>0</v>
      </c>
      <c r="H4" s="14">
        <f t="shared" si="0"/>
        <v>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4</xdr:row>
                    <xdr:rowOff>57150</xdr:rowOff>
                  </from>
                  <to>
                    <xdr:col>0</xdr:col>
                    <xdr:colOff>581025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_Click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2_Click">
                <anchor moveWithCells="1">
                  <from>
                    <xdr:col>0</xdr:col>
                    <xdr:colOff>38100</xdr:colOff>
                    <xdr:row>3</xdr:row>
                    <xdr:rowOff>0</xdr:rowOff>
                  </from>
                  <to>
                    <xdr:col>0</xdr:col>
                    <xdr:colOff>581025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_Click">
                <anchor moveWithCells="1">
                  <from>
                    <xdr:col>0</xdr:col>
                    <xdr:colOff>38100</xdr:colOff>
                    <xdr:row>3</xdr:row>
                    <xdr:rowOff>0</xdr:rowOff>
                  </from>
                  <to>
                    <xdr:col>0</xdr:col>
                    <xdr:colOff>581025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_Click">
                <anchor moveWithCells="1">
                  <from>
                    <xdr:col>0</xdr:col>
                    <xdr:colOff>38100</xdr:colOff>
                    <xdr:row>3</xdr:row>
                    <xdr:rowOff>0</xdr:rowOff>
                  </from>
                  <to>
                    <xdr:col>0</xdr:col>
                    <xdr:colOff>581025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00"/>
  <sheetViews>
    <sheetView zoomScaleNormal="100" workbookViewId="0">
      <pane ySplit="2" topLeftCell="A77" activePane="bottomLeft" state="frozen"/>
      <selection pane="bottomLeft" activeCell="E73" sqref="E73:E97"/>
    </sheetView>
  </sheetViews>
  <sheetFormatPr defaultRowHeight="15" x14ac:dyDescent="0.25"/>
  <cols>
    <col min="1" max="1" width="7.85546875" style="4" customWidth="1"/>
    <col min="2" max="2" width="33.42578125" style="1" customWidth="1"/>
    <col min="3" max="3" width="50.7109375" style="1" customWidth="1"/>
    <col min="4" max="5" width="39" style="1" customWidth="1"/>
    <col min="6" max="6" width="20.42578125" style="1" customWidth="1"/>
    <col min="7" max="7" width="14.7109375" style="1" customWidth="1"/>
    <col min="8" max="11" width="9.140625" style="1"/>
    <col min="12" max="12" width="16.5703125" style="1" customWidth="1"/>
    <col min="13" max="13" width="39" style="1" customWidth="1"/>
    <col min="14" max="16384" width="9.140625" style="1"/>
  </cols>
  <sheetData>
    <row r="1" spans="1:13" ht="23.25" x14ac:dyDescent="0.35">
      <c r="B1" s="40" t="s">
        <v>74</v>
      </c>
      <c r="C1" s="41"/>
      <c r="D1" s="38" t="s">
        <v>73</v>
      </c>
      <c r="E1" s="42"/>
      <c r="F1" s="37"/>
    </row>
    <row r="2" spans="1:13" ht="30" customHeight="1" x14ac:dyDescent="0.25">
      <c r="A2" s="10" t="s">
        <v>1</v>
      </c>
      <c r="B2" s="11" t="s">
        <v>11</v>
      </c>
      <c r="C2" s="11" t="s">
        <v>2</v>
      </c>
      <c r="D2" s="12" t="s">
        <v>4</v>
      </c>
      <c r="E2" s="12" t="s">
        <v>79</v>
      </c>
      <c r="F2" s="12" t="s">
        <v>3</v>
      </c>
      <c r="G2" s="11" t="s">
        <v>0</v>
      </c>
      <c r="H2" s="12" t="s">
        <v>5</v>
      </c>
      <c r="I2" s="12" t="s">
        <v>6</v>
      </c>
      <c r="J2" s="12"/>
      <c r="K2" s="12" t="s">
        <v>7</v>
      </c>
      <c r="L2" s="12" t="s">
        <v>8</v>
      </c>
      <c r="M2" s="12" t="s">
        <v>12</v>
      </c>
    </row>
    <row r="3" spans="1:13" s="20" customFormat="1" x14ac:dyDescent="0.25">
      <c r="A3" s="16"/>
      <c r="B3" s="17" t="s">
        <v>14</v>
      </c>
      <c r="C3" s="18"/>
      <c r="D3" s="17"/>
      <c r="E3" s="17"/>
      <c r="F3" s="17"/>
      <c r="G3" s="19"/>
      <c r="H3" s="19"/>
      <c r="I3" s="19"/>
      <c r="J3" s="19"/>
      <c r="K3" s="19"/>
      <c r="L3" s="19"/>
      <c r="M3" s="17"/>
    </row>
    <row r="4" spans="1:13" s="29" customFormat="1" x14ac:dyDescent="0.25">
      <c r="A4" s="25">
        <v>1</v>
      </c>
      <c r="B4" s="30" t="s">
        <v>72</v>
      </c>
      <c r="C4" s="27"/>
      <c r="D4" s="26"/>
      <c r="E4" s="26"/>
      <c r="F4" s="26"/>
      <c r="G4" s="28"/>
      <c r="H4" s="28"/>
      <c r="I4" s="28"/>
      <c r="J4" s="28"/>
      <c r="K4" s="28"/>
      <c r="L4" s="28"/>
      <c r="M4" s="26"/>
    </row>
    <row r="5" spans="1:13" x14ac:dyDescent="0.25">
      <c r="A5" s="5">
        <f>A4+0.0001</f>
        <v>1.0001</v>
      </c>
      <c r="B5" s="6" t="s">
        <v>15</v>
      </c>
      <c r="C5" s="9" t="s">
        <v>16</v>
      </c>
      <c r="D5" s="7"/>
      <c r="E5" s="43" t="s">
        <v>80</v>
      </c>
      <c r="F5" s="6"/>
      <c r="G5" s="8" t="s">
        <v>5</v>
      </c>
      <c r="H5" s="8">
        <f t="shared" ref="H5:L20" si="0">IF($G5=H$2,1,0)</f>
        <v>1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8">
        <f t="shared" si="0"/>
        <v>0</v>
      </c>
      <c r="M5" s="7"/>
    </row>
    <row r="6" spans="1:13" x14ac:dyDescent="0.25">
      <c r="A6" s="5">
        <f t="shared" ref="A6:A43" si="1">A5+0.0001</f>
        <v>1.0002</v>
      </c>
      <c r="B6" s="6" t="s">
        <v>17</v>
      </c>
      <c r="C6" s="9"/>
      <c r="D6" s="7" t="s">
        <v>75</v>
      </c>
      <c r="E6" s="44"/>
      <c r="F6" s="6"/>
      <c r="G6" s="8" t="s">
        <v>5</v>
      </c>
      <c r="H6" s="8">
        <f t="shared" si="0"/>
        <v>1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8">
        <f t="shared" si="0"/>
        <v>0</v>
      </c>
      <c r="M6" s="7"/>
    </row>
    <row r="7" spans="1:13" ht="38.25" x14ac:dyDescent="0.25">
      <c r="A7" s="5">
        <f t="shared" si="1"/>
        <v>1.0003</v>
      </c>
      <c r="B7" s="6" t="s">
        <v>18</v>
      </c>
      <c r="C7" s="9" t="s">
        <v>27</v>
      </c>
      <c r="D7" s="7"/>
      <c r="E7" s="44"/>
      <c r="F7" s="6"/>
      <c r="G7" s="8" t="s">
        <v>5</v>
      </c>
      <c r="H7" s="8">
        <f t="shared" si="0"/>
        <v>1</v>
      </c>
      <c r="I7" s="8">
        <f t="shared" si="0"/>
        <v>0</v>
      </c>
      <c r="J7" s="8">
        <f t="shared" si="0"/>
        <v>0</v>
      </c>
      <c r="K7" s="8">
        <f t="shared" si="0"/>
        <v>0</v>
      </c>
      <c r="L7" s="8">
        <f t="shared" si="0"/>
        <v>0</v>
      </c>
      <c r="M7" s="7"/>
    </row>
    <row r="8" spans="1:13" ht="25.5" x14ac:dyDescent="0.25">
      <c r="A8" s="5">
        <f t="shared" si="1"/>
        <v>1.0004</v>
      </c>
      <c r="B8" s="6" t="s">
        <v>21</v>
      </c>
      <c r="C8" s="9" t="s">
        <v>28</v>
      </c>
      <c r="D8" s="7"/>
      <c r="E8" s="44"/>
      <c r="F8" s="6"/>
      <c r="G8" s="8" t="s">
        <v>5</v>
      </c>
      <c r="H8" s="8">
        <f t="shared" si="0"/>
        <v>1</v>
      </c>
      <c r="I8" s="8">
        <f t="shared" si="0"/>
        <v>0</v>
      </c>
      <c r="J8" s="8">
        <f t="shared" si="0"/>
        <v>0</v>
      </c>
      <c r="K8" s="8">
        <f t="shared" si="0"/>
        <v>0</v>
      </c>
      <c r="L8" s="8">
        <f t="shared" si="0"/>
        <v>0</v>
      </c>
      <c r="M8" s="7"/>
    </row>
    <row r="9" spans="1:13" ht="25.5" x14ac:dyDescent="0.25">
      <c r="A9" s="5">
        <f t="shared" si="1"/>
        <v>1.0004999999999999</v>
      </c>
      <c r="B9" s="6"/>
      <c r="C9" s="9" t="s">
        <v>29</v>
      </c>
      <c r="D9" s="7"/>
      <c r="E9" s="44"/>
      <c r="F9" s="6"/>
      <c r="G9" s="8" t="s">
        <v>5</v>
      </c>
      <c r="H9" s="8">
        <f t="shared" si="0"/>
        <v>1</v>
      </c>
      <c r="I9" s="8">
        <f t="shared" si="0"/>
        <v>0</v>
      </c>
      <c r="J9" s="8">
        <f t="shared" si="0"/>
        <v>0</v>
      </c>
      <c r="K9" s="8">
        <f t="shared" si="0"/>
        <v>0</v>
      </c>
      <c r="L9" s="8">
        <f t="shared" si="0"/>
        <v>0</v>
      </c>
      <c r="M9" s="7"/>
    </row>
    <row r="10" spans="1:13" ht="25.5" x14ac:dyDescent="0.25">
      <c r="A10" s="5">
        <f t="shared" si="1"/>
        <v>1.0005999999999999</v>
      </c>
      <c r="B10" s="6"/>
      <c r="C10" s="9" t="s">
        <v>30</v>
      </c>
      <c r="D10" s="7"/>
      <c r="E10" s="44"/>
      <c r="F10" s="6"/>
      <c r="G10" s="8" t="s">
        <v>5</v>
      </c>
      <c r="H10" s="8">
        <f t="shared" si="0"/>
        <v>1</v>
      </c>
      <c r="I10" s="8">
        <f t="shared" si="0"/>
        <v>0</v>
      </c>
      <c r="J10" s="8">
        <f t="shared" si="0"/>
        <v>0</v>
      </c>
      <c r="K10" s="8">
        <f t="shared" si="0"/>
        <v>0</v>
      </c>
      <c r="L10" s="8">
        <f t="shared" si="0"/>
        <v>0</v>
      </c>
      <c r="M10" s="7"/>
    </row>
    <row r="11" spans="1:13" ht="25.5" x14ac:dyDescent="0.25">
      <c r="A11" s="5">
        <f t="shared" si="1"/>
        <v>1.0006999999999999</v>
      </c>
      <c r="B11" s="6"/>
      <c r="C11" s="9" t="s">
        <v>31</v>
      </c>
      <c r="D11" s="7"/>
      <c r="E11" s="44"/>
      <c r="F11" s="6"/>
      <c r="G11" s="8" t="s">
        <v>5</v>
      </c>
      <c r="H11" s="8">
        <f t="shared" si="0"/>
        <v>1</v>
      </c>
      <c r="I11" s="8">
        <f t="shared" si="0"/>
        <v>0</v>
      </c>
      <c r="J11" s="8">
        <f t="shared" si="0"/>
        <v>0</v>
      </c>
      <c r="K11" s="8">
        <f t="shared" si="0"/>
        <v>0</v>
      </c>
      <c r="L11" s="8">
        <f t="shared" si="0"/>
        <v>0</v>
      </c>
      <c r="M11" s="7"/>
    </row>
    <row r="12" spans="1:13" x14ac:dyDescent="0.25">
      <c r="A12" s="5">
        <f t="shared" si="1"/>
        <v>1.0007999999999999</v>
      </c>
      <c r="B12" s="6"/>
      <c r="C12" s="9" t="s">
        <v>22</v>
      </c>
      <c r="D12" s="7" t="s">
        <v>76</v>
      </c>
      <c r="E12" s="44"/>
      <c r="F12" s="6"/>
      <c r="G12" s="8" t="s">
        <v>5</v>
      </c>
      <c r="H12" s="8">
        <f t="shared" si="0"/>
        <v>1</v>
      </c>
      <c r="I12" s="8">
        <f t="shared" si="0"/>
        <v>0</v>
      </c>
      <c r="J12" s="8">
        <f t="shared" si="0"/>
        <v>0</v>
      </c>
      <c r="K12" s="8">
        <f t="shared" si="0"/>
        <v>0</v>
      </c>
      <c r="L12" s="8">
        <f t="shared" si="0"/>
        <v>0</v>
      </c>
      <c r="M12" s="7"/>
    </row>
    <row r="13" spans="1:13" x14ac:dyDescent="0.25">
      <c r="A13" s="5">
        <f t="shared" si="1"/>
        <v>1.0008999999999999</v>
      </c>
      <c r="B13" s="6" t="s">
        <v>19</v>
      </c>
      <c r="C13" s="9" t="s">
        <v>20</v>
      </c>
      <c r="D13" s="7" t="s">
        <v>77</v>
      </c>
      <c r="E13" s="44"/>
      <c r="F13" s="6"/>
      <c r="G13" s="8" t="s">
        <v>5</v>
      </c>
      <c r="H13" s="8">
        <f t="shared" si="0"/>
        <v>1</v>
      </c>
      <c r="I13" s="8">
        <f t="shared" si="0"/>
        <v>0</v>
      </c>
      <c r="J13" s="8">
        <f t="shared" si="0"/>
        <v>0</v>
      </c>
      <c r="K13" s="8">
        <f t="shared" si="0"/>
        <v>0</v>
      </c>
      <c r="L13" s="8">
        <f t="shared" si="0"/>
        <v>0</v>
      </c>
      <c r="M13" s="7"/>
    </row>
    <row r="14" spans="1:13" x14ac:dyDescent="0.25">
      <c r="A14" s="5">
        <f t="shared" si="1"/>
        <v>1.0009999999999999</v>
      </c>
      <c r="B14" s="6" t="s">
        <v>23</v>
      </c>
      <c r="C14" s="9" t="s">
        <v>32</v>
      </c>
      <c r="D14" s="7" t="s">
        <v>78</v>
      </c>
      <c r="E14" s="44"/>
      <c r="F14" s="6"/>
      <c r="G14" s="8" t="s">
        <v>5</v>
      </c>
      <c r="H14" s="8">
        <f t="shared" si="0"/>
        <v>1</v>
      </c>
      <c r="I14" s="8">
        <f t="shared" si="0"/>
        <v>0</v>
      </c>
      <c r="J14" s="8">
        <f t="shared" si="0"/>
        <v>0</v>
      </c>
      <c r="K14" s="8">
        <f t="shared" si="0"/>
        <v>0</v>
      </c>
      <c r="L14" s="8">
        <f t="shared" si="0"/>
        <v>0</v>
      </c>
      <c r="M14" s="7"/>
    </row>
    <row r="15" spans="1:13" x14ac:dyDescent="0.25">
      <c r="A15" s="5">
        <f t="shared" si="1"/>
        <v>1.0010999999999999</v>
      </c>
      <c r="B15" s="6" t="s">
        <v>24</v>
      </c>
      <c r="C15" s="9" t="s">
        <v>32</v>
      </c>
      <c r="D15" s="7"/>
      <c r="E15" s="44"/>
      <c r="F15" s="6"/>
      <c r="G15" s="8" t="s">
        <v>5</v>
      </c>
      <c r="H15" s="8">
        <f t="shared" si="0"/>
        <v>1</v>
      </c>
      <c r="I15" s="8">
        <f t="shared" si="0"/>
        <v>0</v>
      </c>
      <c r="J15" s="8">
        <f t="shared" si="0"/>
        <v>0</v>
      </c>
      <c r="K15" s="8">
        <f t="shared" si="0"/>
        <v>0</v>
      </c>
      <c r="L15" s="8">
        <f t="shared" si="0"/>
        <v>0</v>
      </c>
      <c r="M15" s="7"/>
    </row>
    <row r="16" spans="1:13" x14ac:dyDescent="0.25">
      <c r="A16" s="5">
        <f t="shared" si="1"/>
        <v>1.0011999999999999</v>
      </c>
      <c r="B16" s="6" t="s">
        <v>25</v>
      </c>
      <c r="C16" s="9" t="s">
        <v>33</v>
      </c>
      <c r="D16" s="7"/>
      <c r="E16" s="44"/>
      <c r="F16" s="6"/>
      <c r="G16" s="8" t="s">
        <v>5</v>
      </c>
      <c r="H16" s="8">
        <f t="shared" si="0"/>
        <v>1</v>
      </c>
      <c r="I16" s="8">
        <f t="shared" si="0"/>
        <v>0</v>
      </c>
      <c r="J16" s="8">
        <f t="shared" si="0"/>
        <v>0</v>
      </c>
      <c r="K16" s="8">
        <f t="shared" si="0"/>
        <v>0</v>
      </c>
      <c r="L16" s="8">
        <f t="shared" si="0"/>
        <v>0</v>
      </c>
      <c r="M16" s="7"/>
    </row>
    <row r="17" spans="1:13" ht="38.25" x14ac:dyDescent="0.25">
      <c r="A17" s="5">
        <f t="shared" si="1"/>
        <v>1.0012999999999999</v>
      </c>
      <c r="B17" s="6" t="s">
        <v>70</v>
      </c>
      <c r="C17" s="9" t="s">
        <v>34</v>
      </c>
      <c r="D17" s="7"/>
      <c r="E17" s="44"/>
      <c r="F17" s="6"/>
      <c r="G17" s="8" t="s">
        <v>5</v>
      </c>
      <c r="H17" s="8">
        <f t="shared" si="0"/>
        <v>1</v>
      </c>
      <c r="I17" s="8">
        <f t="shared" si="0"/>
        <v>0</v>
      </c>
      <c r="J17" s="8">
        <f t="shared" si="0"/>
        <v>0</v>
      </c>
      <c r="K17" s="8">
        <f t="shared" si="0"/>
        <v>0</v>
      </c>
      <c r="L17" s="8">
        <f t="shared" si="0"/>
        <v>0</v>
      </c>
      <c r="M17" s="7"/>
    </row>
    <row r="18" spans="1:13" ht="25.5" x14ac:dyDescent="0.25">
      <c r="A18" s="5">
        <f t="shared" si="1"/>
        <v>1.0013999999999998</v>
      </c>
      <c r="B18" s="6" t="s">
        <v>35</v>
      </c>
      <c r="C18" s="9" t="s">
        <v>50</v>
      </c>
      <c r="D18" s="7"/>
      <c r="E18" s="44"/>
      <c r="F18" s="6"/>
      <c r="G18" s="8" t="s">
        <v>5</v>
      </c>
      <c r="H18" s="8">
        <f t="shared" si="0"/>
        <v>1</v>
      </c>
      <c r="I18" s="8">
        <f t="shared" si="0"/>
        <v>0</v>
      </c>
      <c r="J18" s="8">
        <f t="shared" si="0"/>
        <v>0</v>
      </c>
      <c r="K18" s="8">
        <f t="shared" si="0"/>
        <v>0</v>
      </c>
      <c r="L18" s="8">
        <f t="shared" si="0"/>
        <v>0</v>
      </c>
      <c r="M18" s="7"/>
    </row>
    <row r="19" spans="1:13" x14ac:dyDescent="0.25">
      <c r="A19" s="5">
        <f t="shared" si="1"/>
        <v>1.0014999999999998</v>
      </c>
      <c r="B19" s="6" t="s">
        <v>21</v>
      </c>
      <c r="C19" s="9" t="s">
        <v>36</v>
      </c>
      <c r="D19" s="7"/>
      <c r="E19" s="44"/>
      <c r="F19" s="6"/>
      <c r="G19" s="8" t="s">
        <v>5</v>
      </c>
      <c r="H19" s="8">
        <f t="shared" si="0"/>
        <v>1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7"/>
    </row>
    <row r="20" spans="1:13" x14ac:dyDescent="0.25">
      <c r="A20" s="5">
        <f t="shared" si="1"/>
        <v>1.0015999999999998</v>
      </c>
      <c r="B20" s="6"/>
      <c r="C20" s="9" t="s">
        <v>37</v>
      </c>
      <c r="D20" s="7"/>
      <c r="E20" s="44"/>
      <c r="F20" s="6"/>
      <c r="G20" s="8" t="s">
        <v>5</v>
      </c>
      <c r="H20" s="8">
        <f t="shared" si="0"/>
        <v>1</v>
      </c>
      <c r="I20" s="8">
        <f t="shared" si="0"/>
        <v>0</v>
      </c>
      <c r="J20" s="8">
        <f t="shared" si="0"/>
        <v>0</v>
      </c>
      <c r="K20" s="8">
        <f t="shared" si="0"/>
        <v>0</v>
      </c>
      <c r="L20" s="8">
        <f t="shared" si="0"/>
        <v>0</v>
      </c>
      <c r="M20" s="7"/>
    </row>
    <row r="21" spans="1:13" x14ac:dyDescent="0.25">
      <c r="A21" s="5">
        <f t="shared" si="1"/>
        <v>1.0016999999999998</v>
      </c>
      <c r="B21" s="6"/>
      <c r="C21" s="9" t="s">
        <v>38</v>
      </c>
      <c r="D21" s="7"/>
      <c r="E21" s="44"/>
      <c r="F21" s="6"/>
      <c r="G21" s="8" t="s">
        <v>5</v>
      </c>
      <c r="H21" s="8">
        <f t="shared" ref="H21:L84" si="2">IF($G21=H$2,1,0)</f>
        <v>1</v>
      </c>
      <c r="I21" s="8">
        <f t="shared" si="2"/>
        <v>0</v>
      </c>
      <c r="J21" s="8">
        <f t="shared" si="2"/>
        <v>0</v>
      </c>
      <c r="K21" s="8">
        <f t="shared" si="2"/>
        <v>0</v>
      </c>
      <c r="L21" s="8">
        <f t="shared" si="2"/>
        <v>0</v>
      </c>
      <c r="M21" s="7"/>
    </row>
    <row r="22" spans="1:13" x14ac:dyDescent="0.25">
      <c r="A22" s="5">
        <f t="shared" si="1"/>
        <v>1.0017999999999998</v>
      </c>
      <c r="B22" s="6"/>
      <c r="C22" s="9" t="s">
        <v>39</v>
      </c>
      <c r="D22" s="7"/>
      <c r="E22" s="44"/>
      <c r="F22" s="6"/>
      <c r="G22" s="8" t="s">
        <v>5</v>
      </c>
      <c r="H22" s="8">
        <f t="shared" si="2"/>
        <v>1</v>
      </c>
      <c r="I22" s="8">
        <f t="shared" si="2"/>
        <v>0</v>
      </c>
      <c r="J22" s="8">
        <f t="shared" si="2"/>
        <v>0</v>
      </c>
      <c r="K22" s="8">
        <f t="shared" si="2"/>
        <v>0</v>
      </c>
      <c r="L22" s="8">
        <f t="shared" si="2"/>
        <v>0</v>
      </c>
      <c r="M22" s="7"/>
    </row>
    <row r="23" spans="1:13" x14ac:dyDescent="0.25">
      <c r="A23" s="5">
        <f t="shared" si="1"/>
        <v>1.0018999999999998</v>
      </c>
      <c r="B23" s="6"/>
      <c r="C23" s="9" t="s">
        <v>40</v>
      </c>
      <c r="D23" s="7"/>
      <c r="E23" s="44"/>
      <c r="F23" s="6"/>
      <c r="G23" s="8" t="s">
        <v>5</v>
      </c>
      <c r="H23" s="8">
        <f t="shared" si="2"/>
        <v>1</v>
      </c>
      <c r="I23" s="8">
        <f t="shared" si="2"/>
        <v>0</v>
      </c>
      <c r="J23" s="8">
        <f t="shared" si="2"/>
        <v>0</v>
      </c>
      <c r="K23" s="8">
        <f t="shared" si="2"/>
        <v>0</v>
      </c>
      <c r="L23" s="8">
        <f t="shared" si="2"/>
        <v>0</v>
      </c>
      <c r="M23" s="7"/>
    </row>
    <row r="24" spans="1:13" x14ac:dyDescent="0.25">
      <c r="A24" s="5">
        <f t="shared" si="1"/>
        <v>1.0019999999999998</v>
      </c>
      <c r="B24" s="6"/>
      <c r="C24" s="9" t="s">
        <v>41</v>
      </c>
      <c r="D24" s="7"/>
      <c r="E24" s="44"/>
      <c r="F24" s="6"/>
      <c r="G24" s="8" t="s">
        <v>5</v>
      </c>
      <c r="H24" s="8">
        <f t="shared" si="2"/>
        <v>1</v>
      </c>
      <c r="I24" s="8">
        <f t="shared" si="2"/>
        <v>0</v>
      </c>
      <c r="J24" s="8">
        <f t="shared" si="2"/>
        <v>0</v>
      </c>
      <c r="K24" s="8">
        <f t="shared" si="2"/>
        <v>0</v>
      </c>
      <c r="L24" s="8">
        <f t="shared" si="2"/>
        <v>0</v>
      </c>
      <c r="M24" s="7"/>
    </row>
    <row r="25" spans="1:13" x14ac:dyDescent="0.25">
      <c r="A25" s="5">
        <f t="shared" si="1"/>
        <v>1.0020999999999998</v>
      </c>
      <c r="B25" s="8"/>
      <c r="C25" s="8" t="s">
        <v>42</v>
      </c>
      <c r="D25" s="7"/>
      <c r="E25" s="44"/>
      <c r="F25" s="6"/>
      <c r="G25" s="8" t="s">
        <v>5</v>
      </c>
      <c r="H25" s="8">
        <f t="shared" si="2"/>
        <v>1</v>
      </c>
      <c r="I25" s="8">
        <f t="shared" si="2"/>
        <v>0</v>
      </c>
      <c r="J25" s="8">
        <f t="shared" si="2"/>
        <v>0</v>
      </c>
      <c r="K25" s="8">
        <f t="shared" si="2"/>
        <v>0</v>
      </c>
      <c r="L25" s="8">
        <f t="shared" si="2"/>
        <v>0</v>
      </c>
      <c r="M25" s="7"/>
    </row>
    <row r="26" spans="1:13" x14ac:dyDescent="0.25">
      <c r="A26" s="5">
        <f t="shared" si="1"/>
        <v>1.0021999999999998</v>
      </c>
      <c r="B26" s="8"/>
      <c r="C26" s="8" t="s">
        <v>43</v>
      </c>
      <c r="D26" s="7"/>
      <c r="E26" s="44"/>
      <c r="F26" s="6"/>
      <c r="G26" s="8" t="s">
        <v>5</v>
      </c>
      <c r="H26" s="8">
        <f t="shared" si="2"/>
        <v>1</v>
      </c>
      <c r="I26" s="8">
        <f t="shared" si="2"/>
        <v>0</v>
      </c>
      <c r="J26" s="8">
        <f t="shared" si="2"/>
        <v>0</v>
      </c>
      <c r="K26" s="8">
        <f t="shared" si="2"/>
        <v>0</v>
      </c>
      <c r="L26" s="8">
        <f t="shared" si="2"/>
        <v>0</v>
      </c>
      <c r="M26" s="7"/>
    </row>
    <row r="27" spans="1:13" x14ac:dyDescent="0.25">
      <c r="A27" s="5">
        <f t="shared" si="1"/>
        <v>1.0022999999999997</v>
      </c>
      <c r="B27" s="6"/>
      <c r="C27" s="9" t="s">
        <v>44</v>
      </c>
      <c r="D27" s="7"/>
      <c r="E27" s="44"/>
      <c r="F27" s="6"/>
      <c r="G27" s="8" t="s">
        <v>5</v>
      </c>
      <c r="H27" s="8">
        <f t="shared" si="2"/>
        <v>1</v>
      </c>
      <c r="I27" s="8">
        <f t="shared" si="2"/>
        <v>0</v>
      </c>
      <c r="J27" s="8">
        <f t="shared" si="2"/>
        <v>0</v>
      </c>
      <c r="K27" s="8">
        <f t="shared" si="2"/>
        <v>0</v>
      </c>
      <c r="L27" s="8">
        <f t="shared" si="2"/>
        <v>0</v>
      </c>
      <c r="M27" s="7"/>
    </row>
    <row r="28" spans="1:13" x14ac:dyDescent="0.25">
      <c r="A28" s="5">
        <f t="shared" si="1"/>
        <v>1.0023999999999997</v>
      </c>
      <c r="B28" s="6" t="s">
        <v>45</v>
      </c>
      <c r="C28" s="9"/>
      <c r="D28" s="7"/>
      <c r="E28" s="44"/>
      <c r="F28" s="6"/>
      <c r="G28" s="8" t="s">
        <v>5</v>
      </c>
      <c r="H28" s="8">
        <f t="shared" si="2"/>
        <v>1</v>
      </c>
      <c r="I28" s="8">
        <f t="shared" si="2"/>
        <v>0</v>
      </c>
      <c r="J28" s="8">
        <f t="shared" si="2"/>
        <v>0</v>
      </c>
      <c r="K28" s="8">
        <f t="shared" si="2"/>
        <v>0</v>
      </c>
      <c r="L28" s="8">
        <f t="shared" si="2"/>
        <v>0</v>
      </c>
      <c r="M28" s="7"/>
    </row>
    <row r="29" spans="1:13" x14ac:dyDescent="0.25">
      <c r="A29" s="5">
        <f t="shared" si="1"/>
        <v>1.0024999999999997</v>
      </c>
      <c r="B29" s="6" t="s">
        <v>46</v>
      </c>
      <c r="C29" s="9" t="s">
        <v>47</v>
      </c>
      <c r="D29" s="7"/>
      <c r="E29" s="44"/>
      <c r="F29" s="6" t="s">
        <v>49</v>
      </c>
      <c r="G29" s="8" t="s">
        <v>5</v>
      </c>
      <c r="H29" s="8">
        <f t="shared" si="2"/>
        <v>1</v>
      </c>
      <c r="I29" s="8">
        <f t="shared" si="2"/>
        <v>0</v>
      </c>
      <c r="J29" s="8">
        <f t="shared" si="2"/>
        <v>0</v>
      </c>
      <c r="K29" s="8">
        <f t="shared" si="2"/>
        <v>0</v>
      </c>
      <c r="L29" s="8">
        <f t="shared" si="2"/>
        <v>0</v>
      </c>
      <c r="M29" s="7"/>
    </row>
    <row r="30" spans="1:13" x14ac:dyDescent="0.25">
      <c r="A30" s="5">
        <f t="shared" si="1"/>
        <v>1.0025999999999997</v>
      </c>
      <c r="B30" s="7" t="s">
        <v>21</v>
      </c>
      <c r="C30" s="6" t="s">
        <v>58</v>
      </c>
      <c r="D30" s="7"/>
      <c r="E30" s="44"/>
      <c r="F30" s="6" t="s">
        <v>49</v>
      </c>
      <c r="G30" s="8" t="s">
        <v>5</v>
      </c>
      <c r="H30" s="8">
        <f t="shared" si="2"/>
        <v>1</v>
      </c>
      <c r="I30" s="8">
        <f t="shared" si="2"/>
        <v>0</v>
      </c>
      <c r="J30" s="8">
        <f t="shared" si="2"/>
        <v>0</v>
      </c>
      <c r="K30" s="8">
        <f t="shared" si="2"/>
        <v>0</v>
      </c>
      <c r="L30" s="8">
        <f t="shared" si="2"/>
        <v>0</v>
      </c>
      <c r="M30" s="7"/>
    </row>
    <row r="31" spans="1:13" x14ac:dyDescent="0.25">
      <c r="A31" s="5">
        <f t="shared" si="1"/>
        <v>1.0026999999999997</v>
      </c>
      <c r="B31" s="7"/>
      <c r="C31" s="6" t="s">
        <v>37</v>
      </c>
      <c r="D31" s="7"/>
      <c r="E31" s="44"/>
      <c r="F31" s="6"/>
      <c r="G31" s="8" t="s">
        <v>5</v>
      </c>
      <c r="H31" s="8">
        <f t="shared" ref="H31:L43" si="3">IF($G31=H$2,1,0)</f>
        <v>1</v>
      </c>
      <c r="I31" s="8">
        <f t="shared" si="3"/>
        <v>0</v>
      </c>
      <c r="J31" s="8">
        <f t="shared" si="3"/>
        <v>0</v>
      </c>
      <c r="K31" s="8">
        <f t="shared" si="3"/>
        <v>0</v>
      </c>
      <c r="L31" s="8">
        <f t="shared" si="3"/>
        <v>0</v>
      </c>
      <c r="M31" s="7"/>
    </row>
    <row r="32" spans="1:13" x14ac:dyDescent="0.25">
      <c r="A32" s="5">
        <f t="shared" si="1"/>
        <v>1.0027999999999997</v>
      </c>
      <c r="B32" s="7"/>
      <c r="C32" s="6" t="s">
        <v>59</v>
      </c>
      <c r="D32" s="7"/>
      <c r="E32" s="44"/>
      <c r="F32" s="6"/>
      <c r="G32" s="8" t="s">
        <v>5</v>
      </c>
      <c r="H32" s="8">
        <f t="shared" si="3"/>
        <v>1</v>
      </c>
      <c r="I32" s="8">
        <f t="shared" si="3"/>
        <v>0</v>
      </c>
      <c r="J32" s="8">
        <f t="shared" si="3"/>
        <v>0</v>
      </c>
      <c r="K32" s="8">
        <f t="shared" si="3"/>
        <v>0</v>
      </c>
      <c r="L32" s="8">
        <f t="shared" si="3"/>
        <v>0</v>
      </c>
      <c r="M32" s="7"/>
    </row>
    <row r="33" spans="1:13" x14ac:dyDescent="0.25">
      <c r="A33" s="5">
        <f t="shared" si="1"/>
        <v>1.0028999999999997</v>
      </c>
      <c r="B33" s="7"/>
      <c r="C33" s="6" t="s">
        <v>39</v>
      </c>
      <c r="D33" s="7"/>
      <c r="E33" s="44"/>
      <c r="F33" s="6"/>
      <c r="G33" s="8" t="s">
        <v>5</v>
      </c>
      <c r="H33" s="8">
        <f t="shared" si="3"/>
        <v>1</v>
      </c>
      <c r="I33" s="8">
        <f t="shared" si="3"/>
        <v>0</v>
      </c>
      <c r="J33" s="8">
        <f t="shared" si="3"/>
        <v>0</v>
      </c>
      <c r="K33" s="8">
        <f t="shared" si="3"/>
        <v>0</v>
      </c>
      <c r="L33" s="8">
        <f t="shared" si="3"/>
        <v>0</v>
      </c>
      <c r="M33" s="7"/>
    </row>
    <row r="34" spans="1:13" x14ac:dyDescent="0.25">
      <c r="A34" s="5">
        <f t="shared" si="1"/>
        <v>1.0029999999999997</v>
      </c>
      <c r="B34" s="7"/>
      <c r="C34" s="6" t="s">
        <v>60</v>
      </c>
      <c r="D34" s="7"/>
      <c r="E34" s="44"/>
      <c r="F34" s="6"/>
      <c r="G34" s="8" t="s">
        <v>5</v>
      </c>
      <c r="H34" s="8">
        <f t="shared" si="3"/>
        <v>1</v>
      </c>
      <c r="I34" s="8">
        <f t="shared" si="3"/>
        <v>0</v>
      </c>
      <c r="J34" s="8">
        <f t="shared" si="3"/>
        <v>0</v>
      </c>
      <c r="K34" s="8">
        <f t="shared" si="3"/>
        <v>0</v>
      </c>
      <c r="L34" s="8">
        <f t="shared" si="3"/>
        <v>0</v>
      </c>
      <c r="M34" s="7"/>
    </row>
    <row r="35" spans="1:13" x14ac:dyDescent="0.25">
      <c r="A35" s="5">
        <f t="shared" si="1"/>
        <v>1.0030999999999997</v>
      </c>
      <c r="B35" s="7"/>
      <c r="C35" s="6" t="s">
        <v>41</v>
      </c>
      <c r="D35" s="7"/>
      <c r="E35" s="44"/>
      <c r="F35" s="6"/>
      <c r="G35" s="8" t="s">
        <v>5</v>
      </c>
      <c r="H35" s="8">
        <f t="shared" si="3"/>
        <v>1</v>
      </c>
      <c r="I35" s="8">
        <f t="shared" si="3"/>
        <v>0</v>
      </c>
      <c r="J35" s="8">
        <f t="shared" si="3"/>
        <v>0</v>
      </c>
      <c r="K35" s="8">
        <f t="shared" si="3"/>
        <v>0</v>
      </c>
      <c r="L35" s="8">
        <f t="shared" si="3"/>
        <v>0</v>
      </c>
      <c r="M35" s="7"/>
    </row>
    <row r="36" spans="1:13" x14ac:dyDescent="0.25">
      <c r="A36" s="5">
        <f t="shared" si="1"/>
        <v>1.0031999999999996</v>
      </c>
      <c r="B36" s="7"/>
      <c r="C36" s="6" t="s">
        <v>42</v>
      </c>
      <c r="D36" s="7"/>
      <c r="E36" s="44"/>
      <c r="F36" s="6"/>
      <c r="G36" s="8" t="s">
        <v>5</v>
      </c>
      <c r="H36" s="8">
        <f t="shared" si="3"/>
        <v>1</v>
      </c>
      <c r="I36" s="8">
        <f t="shared" si="3"/>
        <v>0</v>
      </c>
      <c r="J36" s="8">
        <f t="shared" si="3"/>
        <v>0</v>
      </c>
      <c r="K36" s="8">
        <f t="shared" si="3"/>
        <v>0</v>
      </c>
      <c r="L36" s="8">
        <f t="shared" si="3"/>
        <v>0</v>
      </c>
      <c r="M36" s="7"/>
    </row>
    <row r="37" spans="1:13" x14ac:dyDescent="0.25">
      <c r="A37" s="5">
        <f t="shared" si="1"/>
        <v>1.0032999999999996</v>
      </c>
      <c r="B37" s="7"/>
      <c r="C37" s="6" t="s">
        <v>43</v>
      </c>
      <c r="D37" s="7"/>
      <c r="E37" s="44"/>
      <c r="F37" s="6"/>
      <c r="G37" s="8" t="s">
        <v>5</v>
      </c>
      <c r="H37" s="8">
        <f t="shared" si="3"/>
        <v>1</v>
      </c>
      <c r="I37" s="8">
        <f t="shared" si="3"/>
        <v>0</v>
      </c>
      <c r="J37" s="8">
        <f t="shared" si="3"/>
        <v>0</v>
      </c>
      <c r="K37" s="8">
        <f t="shared" si="3"/>
        <v>0</v>
      </c>
      <c r="L37" s="8">
        <f t="shared" si="3"/>
        <v>0</v>
      </c>
      <c r="M37" s="7"/>
    </row>
    <row r="38" spans="1:13" x14ac:dyDescent="0.25">
      <c r="A38" s="5">
        <f t="shared" si="1"/>
        <v>1.0033999999999996</v>
      </c>
      <c r="B38" s="7" t="s">
        <v>61</v>
      </c>
      <c r="C38" s="6" t="s">
        <v>62</v>
      </c>
      <c r="D38" s="7"/>
      <c r="E38" s="44"/>
      <c r="F38" s="6"/>
      <c r="G38" s="8" t="s">
        <v>5</v>
      </c>
      <c r="H38" s="8">
        <f t="shared" si="3"/>
        <v>1</v>
      </c>
      <c r="I38" s="8">
        <f t="shared" si="3"/>
        <v>0</v>
      </c>
      <c r="J38" s="8">
        <f t="shared" si="3"/>
        <v>0</v>
      </c>
      <c r="K38" s="8">
        <f t="shared" si="3"/>
        <v>0</v>
      </c>
      <c r="L38" s="8">
        <f t="shared" si="3"/>
        <v>0</v>
      </c>
      <c r="M38" s="7"/>
    </row>
    <row r="39" spans="1:13" x14ac:dyDescent="0.25">
      <c r="A39" s="5">
        <f t="shared" si="1"/>
        <v>1.0034999999999996</v>
      </c>
      <c r="B39" s="6" t="s">
        <v>46</v>
      </c>
      <c r="C39" s="8" t="s">
        <v>63</v>
      </c>
      <c r="D39" s="7"/>
      <c r="E39" s="44"/>
      <c r="F39" s="6"/>
      <c r="G39" s="8" t="s">
        <v>5</v>
      </c>
      <c r="H39" s="8">
        <f t="shared" si="3"/>
        <v>1</v>
      </c>
      <c r="I39" s="8">
        <f t="shared" si="3"/>
        <v>0</v>
      </c>
      <c r="J39" s="8">
        <f t="shared" si="3"/>
        <v>0</v>
      </c>
      <c r="K39" s="8">
        <f t="shared" si="3"/>
        <v>0</v>
      </c>
      <c r="L39" s="8">
        <f t="shared" si="3"/>
        <v>0</v>
      </c>
      <c r="M39" s="7"/>
    </row>
    <row r="40" spans="1:13" ht="38.25" x14ac:dyDescent="0.25">
      <c r="A40" s="5">
        <f t="shared" si="1"/>
        <v>1.0035999999999996</v>
      </c>
      <c r="B40" s="7" t="s">
        <v>64</v>
      </c>
      <c r="C40" s="8" t="s">
        <v>65</v>
      </c>
      <c r="D40" s="7"/>
      <c r="E40" s="44"/>
      <c r="F40" s="6"/>
      <c r="G40" s="8" t="s">
        <v>5</v>
      </c>
      <c r="H40" s="8">
        <f t="shared" si="3"/>
        <v>1</v>
      </c>
      <c r="I40" s="8">
        <f t="shared" si="3"/>
        <v>0</v>
      </c>
      <c r="J40" s="8">
        <f t="shared" si="3"/>
        <v>0</v>
      </c>
      <c r="K40" s="8">
        <f t="shared" si="3"/>
        <v>0</v>
      </c>
      <c r="L40" s="8">
        <f t="shared" si="3"/>
        <v>0</v>
      </c>
      <c r="M40" s="7"/>
    </row>
    <row r="41" spans="1:13" x14ac:dyDescent="0.25">
      <c r="A41" s="5">
        <f t="shared" si="1"/>
        <v>1.0036999999999996</v>
      </c>
      <c r="B41" s="7" t="s">
        <v>66</v>
      </c>
      <c r="C41" s="8" t="s">
        <v>67</v>
      </c>
      <c r="D41" s="7"/>
      <c r="E41" s="44"/>
      <c r="F41" s="6"/>
      <c r="G41" s="8" t="s">
        <v>5</v>
      </c>
      <c r="H41" s="8">
        <f t="shared" si="3"/>
        <v>1</v>
      </c>
      <c r="I41" s="8">
        <f t="shared" si="3"/>
        <v>0</v>
      </c>
      <c r="J41" s="8">
        <f t="shared" si="3"/>
        <v>0</v>
      </c>
      <c r="K41" s="8">
        <f t="shared" si="3"/>
        <v>0</v>
      </c>
      <c r="L41" s="8">
        <f t="shared" si="3"/>
        <v>0</v>
      </c>
      <c r="M41" s="7"/>
    </row>
    <row r="42" spans="1:13" x14ac:dyDescent="0.25">
      <c r="A42" s="5">
        <f t="shared" si="1"/>
        <v>1.0037999999999996</v>
      </c>
      <c r="B42" s="7" t="s">
        <v>19</v>
      </c>
      <c r="C42" s="6" t="s">
        <v>68</v>
      </c>
      <c r="D42" s="7"/>
      <c r="E42" s="44"/>
      <c r="F42" s="6"/>
      <c r="G42" s="8" t="s">
        <v>5</v>
      </c>
      <c r="H42" s="8">
        <f t="shared" si="3"/>
        <v>1</v>
      </c>
      <c r="I42" s="8">
        <f t="shared" si="3"/>
        <v>0</v>
      </c>
      <c r="J42" s="8">
        <f t="shared" si="3"/>
        <v>0</v>
      </c>
      <c r="K42" s="8">
        <f t="shared" si="3"/>
        <v>0</v>
      </c>
      <c r="L42" s="8">
        <f t="shared" si="3"/>
        <v>0</v>
      </c>
      <c r="M42" s="7"/>
    </row>
    <row r="43" spans="1:13" ht="30" x14ac:dyDescent="0.25">
      <c r="A43" s="5">
        <f t="shared" si="1"/>
        <v>1.0038999999999996</v>
      </c>
      <c r="B43" s="7" t="s">
        <v>48</v>
      </c>
      <c r="C43" s="8" t="s">
        <v>69</v>
      </c>
      <c r="D43" s="7"/>
      <c r="E43" s="45"/>
      <c r="F43" s="6"/>
      <c r="G43" s="8" t="s">
        <v>5</v>
      </c>
      <c r="H43" s="8">
        <f t="shared" si="3"/>
        <v>1</v>
      </c>
      <c r="I43" s="8">
        <f t="shared" si="3"/>
        <v>0</v>
      </c>
      <c r="J43" s="8">
        <f t="shared" si="3"/>
        <v>0</v>
      </c>
      <c r="K43" s="8">
        <f t="shared" si="3"/>
        <v>0</v>
      </c>
      <c r="L43" s="8">
        <f t="shared" si="3"/>
        <v>0</v>
      </c>
      <c r="M43" s="7"/>
    </row>
    <row r="44" spans="1:13" s="20" customFormat="1" x14ac:dyDescent="0.25">
      <c r="A44" s="22">
        <v>2</v>
      </c>
      <c r="B44" s="23" t="s">
        <v>71</v>
      </c>
      <c r="C44" s="24"/>
      <c r="D44" s="23"/>
      <c r="E44" s="23"/>
      <c r="F44" s="23"/>
      <c r="G44" s="24"/>
      <c r="H44" s="24">
        <f>SUM(H5:H43)</f>
        <v>39</v>
      </c>
      <c r="I44" s="24">
        <f t="shared" ref="I44:L44" si="4">SUM(I5:I43)</f>
        <v>0</v>
      </c>
      <c r="J44" s="24">
        <f t="shared" si="4"/>
        <v>0</v>
      </c>
      <c r="K44" s="24">
        <f t="shared" si="4"/>
        <v>0</v>
      </c>
      <c r="L44" s="24">
        <f t="shared" si="4"/>
        <v>0</v>
      </c>
      <c r="M44" s="23"/>
    </row>
    <row r="45" spans="1:13" ht="25.5" x14ac:dyDescent="0.25">
      <c r="A45" s="5">
        <f>A44+0.0001</f>
        <v>2.0001000000000002</v>
      </c>
      <c r="B45" s="6" t="s">
        <v>51</v>
      </c>
      <c r="C45" s="9" t="s">
        <v>52</v>
      </c>
      <c r="D45" s="7"/>
      <c r="E45" s="43" t="s">
        <v>80</v>
      </c>
      <c r="F45" s="6"/>
      <c r="G45" s="8" t="s">
        <v>5</v>
      </c>
      <c r="H45" s="8">
        <f t="shared" si="2"/>
        <v>1</v>
      </c>
      <c r="I45" s="8">
        <f t="shared" si="2"/>
        <v>0</v>
      </c>
      <c r="J45" s="8">
        <f t="shared" si="2"/>
        <v>0</v>
      </c>
      <c r="K45" s="8">
        <f t="shared" si="2"/>
        <v>0</v>
      </c>
      <c r="L45" s="8">
        <f t="shared" si="2"/>
        <v>0</v>
      </c>
      <c r="M45" s="7"/>
    </row>
    <row r="46" spans="1:13" x14ac:dyDescent="0.25">
      <c r="A46" s="5">
        <f>A45+0.0001</f>
        <v>2.0002000000000004</v>
      </c>
      <c r="B46" s="6" t="s">
        <v>21</v>
      </c>
      <c r="C46" s="9" t="s">
        <v>53</v>
      </c>
      <c r="D46" s="7"/>
      <c r="E46" s="44"/>
      <c r="F46" s="6"/>
      <c r="G46" s="8" t="s">
        <v>5</v>
      </c>
      <c r="H46" s="8">
        <f t="shared" si="2"/>
        <v>1</v>
      </c>
      <c r="I46" s="8">
        <f t="shared" si="2"/>
        <v>0</v>
      </c>
      <c r="J46" s="8">
        <f t="shared" si="2"/>
        <v>0</v>
      </c>
      <c r="K46" s="8">
        <f t="shared" si="2"/>
        <v>0</v>
      </c>
      <c r="L46" s="8">
        <f t="shared" si="2"/>
        <v>0</v>
      </c>
      <c r="M46" s="7"/>
    </row>
    <row r="47" spans="1:13" x14ac:dyDescent="0.25">
      <c r="A47" s="5">
        <f t="shared" ref="A47:A97" si="5">A46+0.0001</f>
        <v>2.0003000000000006</v>
      </c>
      <c r="B47" s="6" t="s">
        <v>54</v>
      </c>
      <c r="C47" s="9" t="s">
        <v>55</v>
      </c>
      <c r="D47" s="7"/>
      <c r="E47" s="44"/>
      <c r="F47" s="6"/>
      <c r="G47" s="8" t="s">
        <v>5</v>
      </c>
      <c r="H47" s="8">
        <f t="shared" si="2"/>
        <v>1</v>
      </c>
      <c r="I47" s="8">
        <f t="shared" si="2"/>
        <v>0</v>
      </c>
      <c r="J47" s="8">
        <f t="shared" si="2"/>
        <v>0</v>
      </c>
      <c r="K47" s="8">
        <f t="shared" si="2"/>
        <v>0</v>
      </c>
      <c r="L47" s="8">
        <f t="shared" si="2"/>
        <v>0</v>
      </c>
      <c r="M47" s="7"/>
    </row>
    <row r="48" spans="1:13" x14ac:dyDescent="0.25">
      <c r="A48" s="5">
        <f t="shared" si="5"/>
        <v>2.0004000000000008</v>
      </c>
      <c r="B48" s="6" t="s">
        <v>21</v>
      </c>
      <c r="C48" s="9" t="s">
        <v>36</v>
      </c>
      <c r="D48" s="7"/>
      <c r="E48" s="44"/>
      <c r="F48" s="6"/>
      <c r="G48" s="8" t="s">
        <v>5</v>
      </c>
      <c r="H48" s="8">
        <f t="shared" si="2"/>
        <v>1</v>
      </c>
      <c r="I48" s="8">
        <f t="shared" si="2"/>
        <v>0</v>
      </c>
      <c r="J48" s="8">
        <f t="shared" si="2"/>
        <v>0</v>
      </c>
      <c r="K48" s="8">
        <f t="shared" si="2"/>
        <v>0</v>
      </c>
      <c r="L48" s="8">
        <f t="shared" si="2"/>
        <v>0</v>
      </c>
      <c r="M48" s="7"/>
    </row>
    <row r="49" spans="1:13" x14ac:dyDescent="0.25">
      <c r="A49" s="5">
        <f t="shared" si="5"/>
        <v>2.0005000000000011</v>
      </c>
      <c r="B49" s="6"/>
      <c r="C49" s="9" t="s">
        <v>37</v>
      </c>
      <c r="D49" s="7"/>
      <c r="E49" s="44"/>
      <c r="F49" s="6"/>
      <c r="G49" s="8" t="s">
        <v>5</v>
      </c>
      <c r="H49" s="8">
        <f t="shared" si="2"/>
        <v>1</v>
      </c>
      <c r="I49" s="8">
        <f t="shared" si="2"/>
        <v>0</v>
      </c>
      <c r="J49" s="8">
        <f t="shared" si="2"/>
        <v>0</v>
      </c>
      <c r="K49" s="8">
        <f t="shared" si="2"/>
        <v>0</v>
      </c>
      <c r="L49" s="8">
        <f t="shared" si="2"/>
        <v>0</v>
      </c>
      <c r="M49" s="7"/>
    </row>
    <row r="50" spans="1:13" x14ac:dyDescent="0.25">
      <c r="A50" s="5">
        <f t="shared" si="5"/>
        <v>2.0006000000000013</v>
      </c>
      <c r="B50" s="6"/>
      <c r="C50" s="9" t="s">
        <v>38</v>
      </c>
      <c r="D50" s="7"/>
      <c r="E50" s="44"/>
      <c r="F50" s="6"/>
      <c r="G50" s="8" t="s">
        <v>5</v>
      </c>
      <c r="H50" s="8">
        <f t="shared" si="2"/>
        <v>1</v>
      </c>
      <c r="I50" s="8">
        <f t="shared" si="2"/>
        <v>0</v>
      </c>
      <c r="J50" s="8">
        <f t="shared" si="2"/>
        <v>0</v>
      </c>
      <c r="K50" s="8">
        <f t="shared" si="2"/>
        <v>0</v>
      </c>
      <c r="L50" s="8">
        <f t="shared" si="2"/>
        <v>0</v>
      </c>
      <c r="M50" s="7"/>
    </row>
    <row r="51" spans="1:13" x14ac:dyDescent="0.25">
      <c r="A51" s="5">
        <f t="shared" si="5"/>
        <v>2.0007000000000015</v>
      </c>
      <c r="B51" s="6"/>
      <c r="C51" s="9" t="s">
        <v>39</v>
      </c>
      <c r="D51" s="7"/>
      <c r="E51" s="44"/>
      <c r="F51" s="6"/>
      <c r="G51" s="8" t="s">
        <v>5</v>
      </c>
      <c r="H51" s="8">
        <f t="shared" si="2"/>
        <v>1</v>
      </c>
      <c r="I51" s="8">
        <f t="shared" si="2"/>
        <v>0</v>
      </c>
      <c r="J51" s="8">
        <f t="shared" si="2"/>
        <v>0</v>
      </c>
      <c r="K51" s="8">
        <f t="shared" si="2"/>
        <v>0</v>
      </c>
      <c r="L51" s="8">
        <f t="shared" si="2"/>
        <v>0</v>
      </c>
      <c r="M51" s="7"/>
    </row>
    <row r="52" spans="1:13" x14ac:dyDescent="0.25">
      <c r="A52" s="5">
        <f t="shared" si="5"/>
        <v>2.0008000000000017</v>
      </c>
      <c r="B52" s="6"/>
      <c r="C52" s="9" t="s">
        <v>40</v>
      </c>
      <c r="D52" s="7"/>
      <c r="E52" s="44"/>
      <c r="F52" s="6"/>
      <c r="G52" s="8" t="s">
        <v>5</v>
      </c>
      <c r="H52" s="8">
        <f t="shared" si="2"/>
        <v>1</v>
      </c>
      <c r="I52" s="8">
        <f t="shared" si="2"/>
        <v>0</v>
      </c>
      <c r="J52" s="8">
        <f t="shared" si="2"/>
        <v>0</v>
      </c>
      <c r="K52" s="8">
        <f t="shared" si="2"/>
        <v>0</v>
      </c>
      <c r="L52" s="8">
        <f t="shared" si="2"/>
        <v>0</v>
      </c>
      <c r="M52" s="7"/>
    </row>
    <row r="53" spans="1:13" x14ac:dyDescent="0.25">
      <c r="A53" s="5">
        <f t="shared" si="5"/>
        <v>2.0009000000000019</v>
      </c>
      <c r="B53" s="6"/>
      <c r="C53" s="9" t="s">
        <v>41</v>
      </c>
      <c r="D53" s="7"/>
      <c r="E53" s="44"/>
      <c r="F53" s="6"/>
      <c r="G53" s="8" t="s">
        <v>5</v>
      </c>
      <c r="H53" s="8">
        <f t="shared" si="2"/>
        <v>1</v>
      </c>
      <c r="I53" s="8">
        <f t="shared" si="2"/>
        <v>0</v>
      </c>
      <c r="J53" s="8">
        <f t="shared" si="2"/>
        <v>0</v>
      </c>
      <c r="K53" s="8">
        <f t="shared" si="2"/>
        <v>0</v>
      </c>
      <c r="L53" s="8">
        <f t="shared" si="2"/>
        <v>0</v>
      </c>
      <c r="M53" s="7"/>
    </row>
    <row r="54" spans="1:13" x14ac:dyDescent="0.25">
      <c r="A54" s="5">
        <f t="shared" si="5"/>
        <v>2.0010000000000021</v>
      </c>
      <c r="B54" s="8"/>
      <c r="C54" s="8" t="s">
        <v>42</v>
      </c>
      <c r="D54" s="7"/>
      <c r="E54" s="44"/>
      <c r="F54" s="6"/>
      <c r="G54" s="8" t="s">
        <v>5</v>
      </c>
      <c r="H54" s="8">
        <f t="shared" si="2"/>
        <v>1</v>
      </c>
      <c r="I54" s="8">
        <f t="shared" si="2"/>
        <v>0</v>
      </c>
      <c r="J54" s="8">
        <f t="shared" si="2"/>
        <v>0</v>
      </c>
      <c r="K54" s="8">
        <f t="shared" si="2"/>
        <v>0</v>
      </c>
      <c r="L54" s="8">
        <f t="shared" si="2"/>
        <v>0</v>
      </c>
      <c r="M54" s="7"/>
    </row>
    <row r="55" spans="1:13" x14ac:dyDescent="0.25">
      <c r="A55" s="5">
        <f t="shared" si="5"/>
        <v>2.0011000000000023</v>
      </c>
      <c r="B55" s="8"/>
      <c r="C55" s="8" t="s">
        <v>43</v>
      </c>
      <c r="D55" s="7"/>
      <c r="E55" s="44"/>
      <c r="F55" s="6"/>
      <c r="G55" s="8" t="s">
        <v>5</v>
      </c>
      <c r="H55" s="8">
        <f t="shared" si="2"/>
        <v>1</v>
      </c>
      <c r="I55" s="8">
        <f t="shared" si="2"/>
        <v>0</v>
      </c>
      <c r="J55" s="8">
        <f t="shared" si="2"/>
        <v>0</v>
      </c>
      <c r="K55" s="8">
        <f t="shared" si="2"/>
        <v>0</v>
      </c>
      <c r="L55" s="8">
        <f t="shared" si="2"/>
        <v>0</v>
      </c>
      <c r="M55" s="7"/>
    </row>
    <row r="56" spans="1:13" x14ac:dyDescent="0.25">
      <c r="A56" s="5">
        <f t="shared" si="5"/>
        <v>2.0012000000000025</v>
      </c>
      <c r="B56" s="6"/>
      <c r="C56" s="9" t="s">
        <v>44</v>
      </c>
      <c r="D56" s="7"/>
      <c r="E56" s="44"/>
      <c r="F56" s="6"/>
      <c r="G56" s="8" t="s">
        <v>5</v>
      </c>
      <c r="H56" s="8">
        <f t="shared" si="2"/>
        <v>1</v>
      </c>
      <c r="I56" s="8">
        <f t="shared" si="2"/>
        <v>0</v>
      </c>
      <c r="J56" s="8">
        <f t="shared" si="2"/>
        <v>0</v>
      </c>
      <c r="K56" s="8">
        <f t="shared" si="2"/>
        <v>0</v>
      </c>
      <c r="L56" s="8">
        <f t="shared" si="2"/>
        <v>0</v>
      </c>
      <c r="M56" s="7"/>
    </row>
    <row r="57" spans="1:13" x14ac:dyDescent="0.25">
      <c r="A57" s="5">
        <f t="shared" si="5"/>
        <v>2.0013000000000027</v>
      </c>
      <c r="B57" s="6" t="s">
        <v>45</v>
      </c>
      <c r="C57" s="9"/>
      <c r="D57" s="7"/>
      <c r="E57" s="44"/>
      <c r="F57" s="6"/>
      <c r="G57" s="8" t="s">
        <v>5</v>
      </c>
      <c r="H57" s="8">
        <f t="shared" si="2"/>
        <v>1</v>
      </c>
      <c r="I57" s="8">
        <f t="shared" si="2"/>
        <v>0</v>
      </c>
      <c r="J57" s="8">
        <f t="shared" si="2"/>
        <v>0</v>
      </c>
      <c r="K57" s="8">
        <f t="shared" si="2"/>
        <v>0</v>
      </c>
      <c r="L57" s="8">
        <f t="shared" si="2"/>
        <v>0</v>
      </c>
      <c r="M57" s="7"/>
    </row>
    <row r="58" spans="1:13" x14ac:dyDescent="0.25">
      <c r="A58" s="5">
        <f t="shared" si="5"/>
        <v>2.001400000000003</v>
      </c>
      <c r="B58" s="6" t="s">
        <v>46</v>
      </c>
      <c r="C58" s="9" t="s">
        <v>47</v>
      </c>
      <c r="D58" s="7"/>
      <c r="E58" s="44"/>
      <c r="F58" s="6" t="s">
        <v>49</v>
      </c>
      <c r="G58" s="8" t="s">
        <v>5</v>
      </c>
      <c r="H58" s="8">
        <f t="shared" si="2"/>
        <v>1</v>
      </c>
      <c r="I58" s="8">
        <f t="shared" si="2"/>
        <v>0</v>
      </c>
      <c r="J58" s="8">
        <f t="shared" si="2"/>
        <v>0</v>
      </c>
      <c r="K58" s="8">
        <f t="shared" si="2"/>
        <v>0</v>
      </c>
      <c r="L58" s="8">
        <f t="shared" si="2"/>
        <v>0</v>
      </c>
      <c r="M58" s="7"/>
    </row>
    <row r="59" spans="1:13" x14ac:dyDescent="0.25">
      <c r="A59" s="5">
        <f t="shared" si="5"/>
        <v>2.0015000000000032</v>
      </c>
      <c r="B59" s="7" t="s">
        <v>21</v>
      </c>
      <c r="C59" s="6" t="s">
        <v>58</v>
      </c>
      <c r="D59" s="7"/>
      <c r="E59" s="44"/>
      <c r="F59" s="6"/>
      <c r="G59" s="8" t="s">
        <v>5</v>
      </c>
      <c r="H59" s="8">
        <f t="shared" ref="H59:L71" si="6">IF($G59=H$2,1,0)</f>
        <v>1</v>
      </c>
      <c r="I59" s="8">
        <f t="shared" si="6"/>
        <v>0</v>
      </c>
      <c r="J59" s="8">
        <f t="shared" si="6"/>
        <v>0</v>
      </c>
      <c r="K59" s="8">
        <f t="shared" si="6"/>
        <v>0</v>
      </c>
      <c r="L59" s="8">
        <f t="shared" si="6"/>
        <v>0</v>
      </c>
      <c r="M59" s="7"/>
    </row>
    <row r="60" spans="1:13" x14ac:dyDescent="0.25">
      <c r="A60" s="5">
        <f t="shared" si="5"/>
        <v>2.0016000000000034</v>
      </c>
      <c r="B60" s="7"/>
      <c r="C60" s="6" t="s">
        <v>37</v>
      </c>
      <c r="D60" s="7"/>
      <c r="E60" s="44"/>
      <c r="F60" s="6"/>
      <c r="G60" s="8" t="s">
        <v>5</v>
      </c>
      <c r="H60" s="8">
        <f t="shared" si="6"/>
        <v>1</v>
      </c>
      <c r="I60" s="8">
        <f t="shared" si="6"/>
        <v>0</v>
      </c>
      <c r="J60" s="8">
        <f t="shared" si="6"/>
        <v>0</v>
      </c>
      <c r="K60" s="8">
        <f t="shared" si="6"/>
        <v>0</v>
      </c>
      <c r="L60" s="8">
        <f t="shared" si="6"/>
        <v>0</v>
      </c>
      <c r="M60" s="7"/>
    </row>
    <row r="61" spans="1:13" x14ac:dyDescent="0.25">
      <c r="A61" s="5">
        <f t="shared" si="5"/>
        <v>2.0017000000000036</v>
      </c>
      <c r="B61" s="7"/>
      <c r="C61" s="6" t="s">
        <v>59</v>
      </c>
      <c r="D61" s="7"/>
      <c r="E61" s="44"/>
      <c r="F61" s="6"/>
      <c r="G61" s="8" t="s">
        <v>5</v>
      </c>
      <c r="H61" s="8">
        <f t="shared" si="6"/>
        <v>1</v>
      </c>
      <c r="I61" s="8">
        <f t="shared" si="6"/>
        <v>0</v>
      </c>
      <c r="J61" s="8">
        <f t="shared" si="6"/>
        <v>0</v>
      </c>
      <c r="K61" s="8">
        <f t="shared" si="6"/>
        <v>0</v>
      </c>
      <c r="L61" s="8">
        <f t="shared" si="6"/>
        <v>0</v>
      </c>
      <c r="M61" s="7"/>
    </row>
    <row r="62" spans="1:13" x14ac:dyDescent="0.25">
      <c r="A62" s="5">
        <f t="shared" si="5"/>
        <v>2.0018000000000038</v>
      </c>
      <c r="B62" s="7"/>
      <c r="C62" s="6" t="s">
        <v>39</v>
      </c>
      <c r="D62" s="7"/>
      <c r="E62" s="44"/>
      <c r="F62" s="6"/>
      <c r="G62" s="8" t="s">
        <v>5</v>
      </c>
      <c r="H62" s="8">
        <f t="shared" si="6"/>
        <v>1</v>
      </c>
      <c r="I62" s="8">
        <f t="shared" si="6"/>
        <v>0</v>
      </c>
      <c r="J62" s="8">
        <f t="shared" si="6"/>
        <v>0</v>
      </c>
      <c r="K62" s="8">
        <f t="shared" si="6"/>
        <v>0</v>
      </c>
      <c r="L62" s="8">
        <f t="shared" si="6"/>
        <v>0</v>
      </c>
      <c r="M62" s="7"/>
    </row>
    <row r="63" spans="1:13" x14ac:dyDescent="0.25">
      <c r="A63" s="5">
        <f t="shared" si="5"/>
        <v>2.001900000000004</v>
      </c>
      <c r="B63" s="7"/>
      <c r="C63" s="6" t="s">
        <v>60</v>
      </c>
      <c r="D63" s="7"/>
      <c r="E63" s="44"/>
      <c r="F63" s="6"/>
      <c r="G63" s="8" t="s">
        <v>5</v>
      </c>
      <c r="H63" s="8">
        <f t="shared" si="6"/>
        <v>1</v>
      </c>
      <c r="I63" s="8">
        <f t="shared" si="6"/>
        <v>0</v>
      </c>
      <c r="J63" s="8">
        <f t="shared" si="6"/>
        <v>0</v>
      </c>
      <c r="K63" s="8">
        <f t="shared" si="6"/>
        <v>0</v>
      </c>
      <c r="L63" s="8">
        <f t="shared" si="6"/>
        <v>0</v>
      </c>
      <c r="M63" s="7"/>
    </row>
    <row r="64" spans="1:13" x14ac:dyDescent="0.25">
      <c r="A64" s="5">
        <f t="shared" si="5"/>
        <v>2.0020000000000042</v>
      </c>
      <c r="B64" s="7"/>
      <c r="C64" s="6" t="s">
        <v>41</v>
      </c>
      <c r="D64" s="7"/>
      <c r="E64" s="44"/>
      <c r="F64" s="6"/>
      <c r="G64" s="8" t="s">
        <v>5</v>
      </c>
      <c r="H64" s="8">
        <f t="shared" si="6"/>
        <v>1</v>
      </c>
      <c r="I64" s="8">
        <f t="shared" si="6"/>
        <v>0</v>
      </c>
      <c r="J64" s="8">
        <f t="shared" si="6"/>
        <v>0</v>
      </c>
      <c r="K64" s="8">
        <f t="shared" si="6"/>
        <v>0</v>
      </c>
      <c r="L64" s="8">
        <f t="shared" si="6"/>
        <v>0</v>
      </c>
      <c r="M64" s="7"/>
    </row>
    <row r="65" spans="1:13" x14ac:dyDescent="0.25">
      <c r="A65" s="5">
        <f t="shared" si="5"/>
        <v>2.0021000000000044</v>
      </c>
      <c r="B65" s="7"/>
      <c r="C65" s="6" t="s">
        <v>42</v>
      </c>
      <c r="D65" s="7"/>
      <c r="E65" s="44"/>
      <c r="F65" s="6"/>
      <c r="G65" s="8" t="s">
        <v>5</v>
      </c>
      <c r="H65" s="8">
        <f t="shared" si="6"/>
        <v>1</v>
      </c>
      <c r="I65" s="8">
        <f t="shared" si="6"/>
        <v>0</v>
      </c>
      <c r="J65" s="8">
        <f t="shared" si="6"/>
        <v>0</v>
      </c>
      <c r="K65" s="8">
        <f t="shared" si="6"/>
        <v>0</v>
      </c>
      <c r="L65" s="8">
        <f t="shared" si="6"/>
        <v>0</v>
      </c>
      <c r="M65" s="7"/>
    </row>
    <row r="66" spans="1:13" x14ac:dyDescent="0.25">
      <c r="A66" s="5">
        <f t="shared" si="5"/>
        <v>2.0022000000000046</v>
      </c>
      <c r="B66" s="7"/>
      <c r="C66" s="6" t="s">
        <v>43</v>
      </c>
      <c r="D66" s="7"/>
      <c r="E66" s="44"/>
      <c r="F66" s="6"/>
      <c r="G66" s="8" t="s">
        <v>5</v>
      </c>
      <c r="H66" s="8">
        <f t="shared" si="6"/>
        <v>1</v>
      </c>
      <c r="I66" s="8">
        <f t="shared" si="6"/>
        <v>0</v>
      </c>
      <c r="J66" s="8">
        <f t="shared" si="6"/>
        <v>0</v>
      </c>
      <c r="K66" s="8">
        <f t="shared" si="6"/>
        <v>0</v>
      </c>
      <c r="L66" s="8">
        <f t="shared" si="6"/>
        <v>0</v>
      </c>
      <c r="M66" s="7"/>
    </row>
    <row r="67" spans="1:13" x14ac:dyDescent="0.25">
      <c r="A67" s="5">
        <f t="shared" si="5"/>
        <v>2.0023000000000049</v>
      </c>
      <c r="B67" s="7" t="s">
        <v>61</v>
      </c>
      <c r="C67" s="6" t="s">
        <v>62</v>
      </c>
      <c r="D67" s="39">
        <v>45000000</v>
      </c>
      <c r="E67" s="44"/>
      <c r="F67" s="6"/>
      <c r="G67" s="8" t="s">
        <v>5</v>
      </c>
      <c r="H67" s="8">
        <f t="shared" si="6"/>
        <v>1</v>
      </c>
      <c r="I67" s="8">
        <f t="shared" si="6"/>
        <v>0</v>
      </c>
      <c r="J67" s="8">
        <f t="shared" si="6"/>
        <v>0</v>
      </c>
      <c r="K67" s="8">
        <f t="shared" si="6"/>
        <v>0</v>
      </c>
      <c r="L67" s="8">
        <f t="shared" si="6"/>
        <v>0</v>
      </c>
      <c r="M67" s="7"/>
    </row>
    <row r="68" spans="1:13" ht="38.25" x14ac:dyDescent="0.25">
      <c r="A68" s="5">
        <f t="shared" si="5"/>
        <v>2.0024000000000051</v>
      </c>
      <c r="B68" s="7" t="s">
        <v>64</v>
      </c>
      <c r="C68" s="8" t="s">
        <v>65</v>
      </c>
      <c r="D68" s="7"/>
      <c r="E68" s="44"/>
      <c r="F68" s="6"/>
      <c r="G68" s="8" t="s">
        <v>5</v>
      </c>
      <c r="H68" s="8">
        <f t="shared" si="6"/>
        <v>1</v>
      </c>
      <c r="I68" s="8">
        <f t="shared" si="6"/>
        <v>0</v>
      </c>
      <c r="J68" s="8">
        <f t="shared" si="6"/>
        <v>0</v>
      </c>
      <c r="K68" s="8">
        <f t="shared" si="6"/>
        <v>0</v>
      </c>
      <c r="L68" s="8">
        <f t="shared" si="6"/>
        <v>0</v>
      </c>
      <c r="M68" s="7"/>
    </row>
    <row r="69" spans="1:13" x14ac:dyDescent="0.25">
      <c r="A69" s="5">
        <f t="shared" si="5"/>
        <v>2.0025000000000053</v>
      </c>
      <c r="B69" s="7" t="s">
        <v>66</v>
      </c>
      <c r="C69" s="8" t="s">
        <v>67</v>
      </c>
      <c r="D69" s="7"/>
      <c r="E69" s="44"/>
      <c r="F69" s="6"/>
      <c r="G69" s="8" t="s">
        <v>5</v>
      </c>
      <c r="H69" s="8">
        <f t="shared" si="6"/>
        <v>1</v>
      </c>
      <c r="I69" s="8">
        <f t="shared" si="6"/>
        <v>0</v>
      </c>
      <c r="J69" s="8">
        <f t="shared" si="6"/>
        <v>0</v>
      </c>
      <c r="K69" s="8">
        <f t="shared" si="6"/>
        <v>0</v>
      </c>
      <c r="L69" s="8">
        <f t="shared" si="6"/>
        <v>0</v>
      </c>
      <c r="M69" s="7"/>
    </row>
    <row r="70" spans="1:13" x14ac:dyDescent="0.25">
      <c r="A70" s="5">
        <f t="shared" si="5"/>
        <v>2.0026000000000055</v>
      </c>
      <c r="B70" s="7" t="s">
        <v>19</v>
      </c>
      <c r="C70" s="6" t="s">
        <v>68</v>
      </c>
      <c r="D70" s="7"/>
      <c r="E70" s="44"/>
      <c r="F70" s="6"/>
      <c r="G70" s="8" t="s">
        <v>5</v>
      </c>
      <c r="H70" s="8">
        <f t="shared" si="6"/>
        <v>1</v>
      </c>
      <c r="I70" s="8">
        <f t="shared" si="6"/>
        <v>0</v>
      </c>
      <c r="J70" s="8">
        <f t="shared" si="6"/>
        <v>0</v>
      </c>
      <c r="K70" s="8">
        <f t="shared" si="6"/>
        <v>0</v>
      </c>
      <c r="L70" s="8">
        <f t="shared" si="6"/>
        <v>0</v>
      </c>
      <c r="M70" s="7"/>
    </row>
    <row r="71" spans="1:13" ht="30" x14ac:dyDescent="0.25">
      <c r="A71" s="5">
        <f t="shared" si="5"/>
        <v>2.0027000000000057</v>
      </c>
      <c r="B71" s="7" t="s">
        <v>48</v>
      </c>
      <c r="C71" s="8" t="s">
        <v>69</v>
      </c>
      <c r="D71" s="7"/>
      <c r="E71" s="45"/>
      <c r="F71" s="6"/>
      <c r="G71" s="8" t="s">
        <v>5</v>
      </c>
      <c r="H71" s="8">
        <f t="shared" si="6"/>
        <v>1</v>
      </c>
      <c r="I71" s="8">
        <f t="shared" si="6"/>
        <v>0</v>
      </c>
      <c r="J71" s="8">
        <f t="shared" si="6"/>
        <v>0</v>
      </c>
      <c r="K71" s="8">
        <f t="shared" si="6"/>
        <v>0</v>
      </c>
      <c r="L71" s="8">
        <f t="shared" si="6"/>
        <v>0</v>
      </c>
      <c r="M71" s="7"/>
    </row>
    <row r="72" spans="1:13" s="29" customFormat="1" x14ac:dyDescent="0.25">
      <c r="A72" s="22">
        <v>3</v>
      </c>
      <c r="B72" s="23" t="s">
        <v>26</v>
      </c>
      <c r="C72" s="32"/>
      <c r="D72" s="23"/>
      <c r="E72" s="23"/>
      <c r="F72" s="23"/>
      <c r="G72" s="24"/>
      <c r="H72" s="24">
        <f>SUM(H45:H71)</f>
        <v>27</v>
      </c>
      <c r="I72" s="24">
        <f t="shared" ref="I72:L72" si="7">SUM(I45:I71)</f>
        <v>0</v>
      </c>
      <c r="J72" s="24">
        <f t="shared" si="7"/>
        <v>0</v>
      </c>
      <c r="K72" s="24">
        <f t="shared" si="7"/>
        <v>0</v>
      </c>
      <c r="L72" s="24">
        <f t="shared" si="7"/>
        <v>0</v>
      </c>
      <c r="M72" s="23"/>
    </row>
    <row r="73" spans="1:13" ht="25.5" x14ac:dyDescent="0.25">
      <c r="A73" s="5">
        <f>A72+0.0001</f>
        <v>3.0001000000000002</v>
      </c>
      <c r="B73" s="6" t="s">
        <v>56</v>
      </c>
      <c r="C73" s="9" t="s">
        <v>57</v>
      </c>
      <c r="D73" s="7"/>
      <c r="E73" s="43" t="s">
        <v>80</v>
      </c>
      <c r="F73" s="6"/>
      <c r="G73" s="8" t="s">
        <v>5</v>
      </c>
      <c r="H73" s="8">
        <f t="shared" si="2"/>
        <v>1</v>
      </c>
      <c r="I73" s="8">
        <f t="shared" si="2"/>
        <v>0</v>
      </c>
      <c r="J73" s="8">
        <f t="shared" si="2"/>
        <v>0</v>
      </c>
      <c r="K73" s="8">
        <f t="shared" si="2"/>
        <v>0</v>
      </c>
      <c r="L73" s="8">
        <f t="shared" si="2"/>
        <v>0</v>
      </c>
      <c r="M73" s="7"/>
    </row>
    <row r="74" spans="1:13" x14ac:dyDescent="0.25">
      <c r="A74" s="5">
        <f>A73+0.0001</f>
        <v>3.0002000000000004</v>
      </c>
      <c r="B74" s="6" t="s">
        <v>21</v>
      </c>
      <c r="C74" s="9" t="s">
        <v>36</v>
      </c>
      <c r="D74" s="7"/>
      <c r="E74" s="44"/>
      <c r="F74" s="6"/>
      <c r="G74" s="8" t="s">
        <v>5</v>
      </c>
      <c r="H74" s="8">
        <f t="shared" si="2"/>
        <v>1</v>
      </c>
      <c r="I74" s="8">
        <f t="shared" si="2"/>
        <v>0</v>
      </c>
      <c r="J74" s="8">
        <f t="shared" si="2"/>
        <v>0</v>
      </c>
      <c r="K74" s="8">
        <f t="shared" si="2"/>
        <v>0</v>
      </c>
      <c r="L74" s="8">
        <f t="shared" si="2"/>
        <v>0</v>
      </c>
      <c r="M74" s="7"/>
    </row>
    <row r="75" spans="1:13" x14ac:dyDescent="0.25">
      <c r="A75" s="5">
        <f t="shared" si="5"/>
        <v>3.0003000000000006</v>
      </c>
      <c r="B75" s="6"/>
      <c r="C75" s="9" t="s">
        <v>37</v>
      </c>
      <c r="D75" s="7"/>
      <c r="E75" s="44"/>
      <c r="F75" s="6"/>
      <c r="G75" s="8" t="s">
        <v>5</v>
      </c>
      <c r="H75" s="8">
        <f t="shared" si="2"/>
        <v>1</v>
      </c>
      <c r="I75" s="8">
        <f t="shared" si="2"/>
        <v>0</v>
      </c>
      <c r="J75" s="8">
        <f t="shared" si="2"/>
        <v>0</v>
      </c>
      <c r="K75" s="8">
        <f t="shared" si="2"/>
        <v>0</v>
      </c>
      <c r="L75" s="8">
        <f t="shared" si="2"/>
        <v>0</v>
      </c>
      <c r="M75" s="7"/>
    </row>
    <row r="76" spans="1:13" x14ac:dyDescent="0.25">
      <c r="A76" s="5">
        <f t="shared" si="5"/>
        <v>3.0004000000000008</v>
      </c>
      <c r="B76" s="6"/>
      <c r="C76" s="9" t="s">
        <v>38</v>
      </c>
      <c r="D76" s="7"/>
      <c r="E76" s="44"/>
      <c r="F76" s="6"/>
      <c r="G76" s="8" t="s">
        <v>5</v>
      </c>
      <c r="H76" s="8">
        <f t="shared" si="2"/>
        <v>1</v>
      </c>
      <c r="I76" s="8">
        <f t="shared" si="2"/>
        <v>0</v>
      </c>
      <c r="J76" s="8">
        <f t="shared" si="2"/>
        <v>0</v>
      </c>
      <c r="K76" s="8">
        <f t="shared" si="2"/>
        <v>0</v>
      </c>
      <c r="L76" s="8">
        <f t="shared" si="2"/>
        <v>0</v>
      </c>
      <c r="M76" s="7"/>
    </row>
    <row r="77" spans="1:13" x14ac:dyDescent="0.25">
      <c r="A77" s="5">
        <f t="shared" si="5"/>
        <v>3.0005000000000011</v>
      </c>
      <c r="B77" s="6"/>
      <c r="C77" s="9" t="s">
        <v>39</v>
      </c>
      <c r="D77" s="7"/>
      <c r="E77" s="44"/>
      <c r="F77" s="6"/>
      <c r="G77" s="8" t="s">
        <v>5</v>
      </c>
      <c r="H77" s="8">
        <f t="shared" si="2"/>
        <v>1</v>
      </c>
      <c r="I77" s="8">
        <f t="shared" si="2"/>
        <v>0</v>
      </c>
      <c r="J77" s="8">
        <f t="shared" si="2"/>
        <v>0</v>
      </c>
      <c r="K77" s="8">
        <f t="shared" si="2"/>
        <v>0</v>
      </c>
      <c r="L77" s="8">
        <f t="shared" si="2"/>
        <v>0</v>
      </c>
      <c r="M77" s="7"/>
    </row>
    <row r="78" spans="1:13" x14ac:dyDescent="0.25">
      <c r="A78" s="5">
        <f t="shared" si="5"/>
        <v>3.0006000000000013</v>
      </c>
      <c r="B78" s="6"/>
      <c r="C78" s="9" t="s">
        <v>40</v>
      </c>
      <c r="D78" s="7"/>
      <c r="E78" s="44"/>
      <c r="F78" s="6"/>
      <c r="G78" s="8" t="s">
        <v>5</v>
      </c>
      <c r="H78" s="8">
        <f t="shared" si="2"/>
        <v>1</v>
      </c>
      <c r="I78" s="8">
        <f t="shared" si="2"/>
        <v>0</v>
      </c>
      <c r="J78" s="8">
        <f t="shared" si="2"/>
        <v>0</v>
      </c>
      <c r="K78" s="8">
        <f t="shared" si="2"/>
        <v>0</v>
      </c>
      <c r="L78" s="8">
        <f t="shared" si="2"/>
        <v>0</v>
      </c>
      <c r="M78" s="7"/>
    </row>
    <row r="79" spans="1:13" x14ac:dyDescent="0.25">
      <c r="A79" s="5">
        <f t="shared" si="5"/>
        <v>3.0007000000000015</v>
      </c>
      <c r="B79" s="6"/>
      <c r="C79" s="9" t="s">
        <v>41</v>
      </c>
      <c r="D79" s="7"/>
      <c r="E79" s="44"/>
      <c r="F79" s="6"/>
      <c r="G79" s="8" t="s">
        <v>5</v>
      </c>
      <c r="H79" s="8">
        <f t="shared" si="2"/>
        <v>1</v>
      </c>
      <c r="I79" s="8">
        <f t="shared" si="2"/>
        <v>0</v>
      </c>
      <c r="J79" s="8">
        <f t="shared" si="2"/>
        <v>0</v>
      </c>
      <c r="K79" s="8">
        <f t="shared" si="2"/>
        <v>0</v>
      </c>
      <c r="L79" s="8">
        <f t="shared" si="2"/>
        <v>0</v>
      </c>
      <c r="M79" s="7"/>
    </row>
    <row r="80" spans="1:13" x14ac:dyDescent="0.25">
      <c r="A80" s="5">
        <f t="shared" si="5"/>
        <v>3.0008000000000017</v>
      </c>
      <c r="B80" s="8"/>
      <c r="C80" s="8" t="s">
        <v>42</v>
      </c>
      <c r="D80" s="7"/>
      <c r="E80" s="44"/>
      <c r="F80" s="6"/>
      <c r="G80" s="8" t="s">
        <v>5</v>
      </c>
      <c r="H80" s="8">
        <f t="shared" si="2"/>
        <v>1</v>
      </c>
      <c r="I80" s="8">
        <f t="shared" si="2"/>
        <v>0</v>
      </c>
      <c r="J80" s="8">
        <f t="shared" si="2"/>
        <v>0</v>
      </c>
      <c r="K80" s="8">
        <f t="shared" si="2"/>
        <v>0</v>
      </c>
      <c r="L80" s="8">
        <f t="shared" si="2"/>
        <v>0</v>
      </c>
      <c r="M80" s="7"/>
    </row>
    <row r="81" spans="1:13" x14ac:dyDescent="0.25">
      <c r="A81" s="5">
        <f t="shared" si="5"/>
        <v>3.0009000000000019</v>
      </c>
      <c r="B81" s="8"/>
      <c r="C81" s="8" t="s">
        <v>43</v>
      </c>
      <c r="D81" s="7"/>
      <c r="E81" s="44"/>
      <c r="F81" s="6"/>
      <c r="G81" s="8" t="s">
        <v>5</v>
      </c>
      <c r="H81" s="8">
        <f t="shared" si="2"/>
        <v>1</v>
      </c>
      <c r="I81" s="8">
        <f t="shared" si="2"/>
        <v>0</v>
      </c>
      <c r="J81" s="8">
        <f t="shared" si="2"/>
        <v>0</v>
      </c>
      <c r="K81" s="8">
        <f t="shared" si="2"/>
        <v>0</v>
      </c>
      <c r="L81" s="8">
        <f t="shared" si="2"/>
        <v>0</v>
      </c>
      <c r="M81" s="7"/>
    </row>
    <row r="82" spans="1:13" x14ac:dyDescent="0.25">
      <c r="A82" s="5">
        <f t="shared" si="5"/>
        <v>3.0010000000000021</v>
      </c>
      <c r="B82" s="6"/>
      <c r="C82" s="9" t="s">
        <v>44</v>
      </c>
      <c r="D82" s="7"/>
      <c r="E82" s="44"/>
      <c r="F82" s="6"/>
      <c r="G82" s="8" t="s">
        <v>5</v>
      </c>
      <c r="H82" s="8">
        <f t="shared" si="2"/>
        <v>1</v>
      </c>
      <c r="I82" s="8">
        <f t="shared" si="2"/>
        <v>0</v>
      </c>
      <c r="J82" s="8">
        <f t="shared" si="2"/>
        <v>0</v>
      </c>
      <c r="K82" s="8">
        <f t="shared" si="2"/>
        <v>0</v>
      </c>
      <c r="L82" s="8">
        <f t="shared" si="2"/>
        <v>0</v>
      </c>
      <c r="M82" s="7"/>
    </row>
    <row r="83" spans="1:13" x14ac:dyDescent="0.25">
      <c r="A83" s="5">
        <f t="shared" si="5"/>
        <v>3.0011000000000023</v>
      </c>
      <c r="B83" s="6" t="s">
        <v>45</v>
      </c>
      <c r="C83" s="9"/>
      <c r="D83" s="7"/>
      <c r="E83" s="44"/>
      <c r="F83" s="6"/>
      <c r="G83" s="8" t="s">
        <v>5</v>
      </c>
      <c r="H83" s="8">
        <f t="shared" si="2"/>
        <v>1</v>
      </c>
      <c r="I83" s="8">
        <f t="shared" si="2"/>
        <v>0</v>
      </c>
      <c r="J83" s="8">
        <f t="shared" si="2"/>
        <v>0</v>
      </c>
      <c r="K83" s="8">
        <f t="shared" si="2"/>
        <v>0</v>
      </c>
      <c r="L83" s="8">
        <f t="shared" si="2"/>
        <v>0</v>
      </c>
      <c r="M83" s="7"/>
    </row>
    <row r="84" spans="1:13" x14ac:dyDescent="0.25">
      <c r="A84" s="5">
        <f t="shared" si="5"/>
        <v>3.0012000000000025</v>
      </c>
      <c r="B84" s="6" t="s">
        <v>46</v>
      </c>
      <c r="C84" s="9" t="s">
        <v>47</v>
      </c>
      <c r="D84" s="7"/>
      <c r="E84" s="44"/>
      <c r="F84" s="6" t="s">
        <v>49</v>
      </c>
      <c r="G84" s="8" t="s">
        <v>5</v>
      </c>
      <c r="H84" s="8">
        <f t="shared" si="2"/>
        <v>1</v>
      </c>
      <c r="I84" s="8">
        <f t="shared" si="2"/>
        <v>0</v>
      </c>
      <c r="J84" s="8">
        <f t="shared" si="2"/>
        <v>0</v>
      </c>
      <c r="K84" s="8">
        <f t="shared" si="2"/>
        <v>0</v>
      </c>
      <c r="L84" s="8">
        <f t="shared" si="2"/>
        <v>0</v>
      </c>
      <c r="M84" s="7"/>
    </row>
    <row r="85" spans="1:13" x14ac:dyDescent="0.25">
      <c r="A85" s="5">
        <f t="shared" si="5"/>
        <v>3.0013000000000027</v>
      </c>
      <c r="B85" s="7" t="s">
        <v>21</v>
      </c>
      <c r="C85" s="6" t="s">
        <v>58</v>
      </c>
      <c r="D85" s="7"/>
      <c r="E85" s="44"/>
      <c r="F85" s="6"/>
      <c r="G85" s="8" t="s">
        <v>5</v>
      </c>
      <c r="H85" s="8">
        <f t="shared" ref="H85:L97" si="8">IF($G85=H$2,1,0)</f>
        <v>1</v>
      </c>
      <c r="I85" s="8">
        <f t="shared" si="8"/>
        <v>0</v>
      </c>
      <c r="J85" s="8">
        <f t="shared" si="8"/>
        <v>0</v>
      </c>
      <c r="K85" s="8">
        <f t="shared" si="8"/>
        <v>0</v>
      </c>
      <c r="L85" s="8">
        <f t="shared" si="8"/>
        <v>0</v>
      </c>
      <c r="M85" s="7"/>
    </row>
    <row r="86" spans="1:13" x14ac:dyDescent="0.25">
      <c r="A86" s="5">
        <f t="shared" si="5"/>
        <v>3.001400000000003</v>
      </c>
      <c r="B86" s="7"/>
      <c r="C86" s="6" t="s">
        <v>37</v>
      </c>
      <c r="D86" s="7"/>
      <c r="E86" s="44"/>
      <c r="F86" s="6"/>
      <c r="G86" s="8" t="s">
        <v>5</v>
      </c>
      <c r="H86" s="8">
        <f t="shared" si="8"/>
        <v>1</v>
      </c>
      <c r="I86" s="8">
        <f t="shared" si="8"/>
        <v>0</v>
      </c>
      <c r="J86" s="8">
        <f t="shared" si="8"/>
        <v>0</v>
      </c>
      <c r="K86" s="8">
        <f t="shared" si="8"/>
        <v>0</v>
      </c>
      <c r="L86" s="8">
        <f t="shared" si="8"/>
        <v>0</v>
      </c>
      <c r="M86" s="7"/>
    </row>
    <row r="87" spans="1:13" x14ac:dyDescent="0.25">
      <c r="A87" s="5">
        <f t="shared" si="5"/>
        <v>3.0015000000000032</v>
      </c>
      <c r="B87" s="7"/>
      <c r="C87" s="6" t="s">
        <v>59</v>
      </c>
      <c r="D87" s="7"/>
      <c r="E87" s="44"/>
      <c r="F87" s="6"/>
      <c r="G87" s="8" t="s">
        <v>5</v>
      </c>
      <c r="H87" s="8">
        <f t="shared" si="8"/>
        <v>1</v>
      </c>
      <c r="I87" s="8">
        <f t="shared" si="8"/>
        <v>0</v>
      </c>
      <c r="J87" s="8">
        <f t="shared" si="8"/>
        <v>0</v>
      </c>
      <c r="K87" s="8">
        <f t="shared" si="8"/>
        <v>0</v>
      </c>
      <c r="L87" s="8">
        <f t="shared" si="8"/>
        <v>0</v>
      </c>
      <c r="M87" s="7"/>
    </row>
    <row r="88" spans="1:13" x14ac:dyDescent="0.25">
      <c r="A88" s="5">
        <f t="shared" si="5"/>
        <v>3.0016000000000034</v>
      </c>
      <c r="B88" s="7"/>
      <c r="C88" s="6" t="s">
        <v>39</v>
      </c>
      <c r="D88" s="7"/>
      <c r="E88" s="44"/>
      <c r="F88" s="6"/>
      <c r="G88" s="8" t="s">
        <v>5</v>
      </c>
      <c r="H88" s="8">
        <f t="shared" si="8"/>
        <v>1</v>
      </c>
      <c r="I88" s="8">
        <f t="shared" si="8"/>
        <v>0</v>
      </c>
      <c r="J88" s="8">
        <f t="shared" si="8"/>
        <v>0</v>
      </c>
      <c r="K88" s="8">
        <f t="shared" si="8"/>
        <v>0</v>
      </c>
      <c r="L88" s="8">
        <f t="shared" si="8"/>
        <v>0</v>
      </c>
      <c r="M88" s="7"/>
    </row>
    <row r="89" spans="1:13" x14ac:dyDescent="0.25">
      <c r="A89" s="5">
        <f t="shared" si="5"/>
        <v>3.0017000000000036</v>
      </c>
      <c r="B89" s="7"/>
      <c r="C89" s="6" t="s">
        <v>60</v>
      </c>
      <c r="D89" s="7"/>
      <c r="E89" s="44"/>
      <c r="F89" s="6"/>
      <c r="G89" s="8" t="s">
        <v>5</v>
      </c>
      <c r="H89" s="8">
        <f t="shared" si="8"/>
        <v>1</v>
      </c>
      <c r="I89" s="8">
        <f t="shared" si="8"/>
        <v>0</v>
      </c>
      <c r="J89" s="8">
        <f t="shared" si="8"/>
        <v>0</v>
      </c>
      <c r="K89" s="8">
        <f t="shared" si="8"/>
        <v>0</v>
      </c>
      <c r="L89" s="8">
        <f t="shared" si="8"/>
        <v>0</v>
      </c>
      <c r="M89" s="7"/>
    </row>
    <row r="90" spans="1:13" x14ac:dyDescent="0.25">
      <c r="A90" s="5">
        <f t="shared" si="5"/>
        <v>3.0018000000000038</v>
      </c>
      <c r="B90" s="7"/>
      <c r="C90" s="6" t="s">
        <v>41</v>
      </c>
      <c r="D90" s="7"/>
      <c r="E90" s="44"/>
      <c r="F90" s="6"/>
      <c r="G90" s="8" t="s">
        <v>5</v>
      </c>
      <c r="H90" s="8">
        <f t="shared" si="8"/>
        <v>1</v>
      </c>
      <c r="I90" s="8">
        <f t="shared" si="8"/>
        <v>0</v>
      </c>
      <c r="J90" s="8">
        <f t="shared" si="8"/>
        <v>0</v>
      </c>
      <c r="K90" s="8">
        <f t="shared" si="8"/>
        <v>0</v>
      </c>
      <c r="L90" s="8">
        <f t="shared" si="8"/>
        <v>0</v>
      </c>
      <c r="M90" s="7"/>
    </row>
    <row r="91" spans="1:13" x14ac:dyDescent="0.25">
      <c r="A91" s="5">
        <f t="shared" si="5"/>
        <v>3.001900000000004</v>
      </c>
      <c r="B91" s="7"/>
      <c r="C91" s="6" t="s">
        <v>42</v>
      </c>
      <c r="D91" s="7"/>
      <c r="E91" s="44"/>
      <c r="F91" s="6"/>
      <c r="G91" s="8" t="s">
        <v>5</v>
      </c>
      <c r="H91" s="8">
        <f t="shared" si="8"/>
        <v>1</v>
      </c>
      <c r="I91" s="8">
        <f t="shared" si="8"/>
        <v>0</v>
      </c>
      <c r="J91" s="8">
        <f t="shared" si="8"/>
        <v>0</v>
      </c>
      <c r="K91" s="8">
        <f t="shared" si="8"/>
        <v>0</v>
      </c>
      <c r="L91" s="8">
        <f t="shared" si="8"/>
        <v>0</v>
      </c>
      <c r="M91" s="7"/>
    </row>
    <row r="92" spans="1:13" x14ac:dyDescent="0.25">
      <c r="A92" s="5">
        <f t="shared" si="5"/>
        <v>3.0020000000000042</v>
      </c>
      <c r="B92" s="7"/>
      <c r="C92" s="6" t="s">
        <v>43</v>
      </c>
      <c r="D92" s="7"/>
      <c r="E92" s="44"/>
      <c r="F92" s="6"/>
      <c r="G92" s="8" t="s">
        <v>5</v>
      </c>
      <c r="H92" s="8">
        <f t="shared" si="8"/>
        <v>1</v>
      </c>
      <c r="I92" s="8">
        <f t="shared" si="8"/>
        <v>0</v>
      </c>
      <c r="J92" s="8">
        <f t="shared" si="8"/>
        <v>0</v>
      </c>
      <c r="K92" s="8">
        <f t="shared" si="8"/>
        <v>0</v>
      </c>
      <c r="L92" s="8">
        <f t="shared" si="8"/>
        <v>0</v>
      </c>
      <c r="M92" s="7"/>
    </row>
    <row r="93" spans="1:13" x14ac:dyDescent="0.25">
      <c r="A93" s="5">
        <f t="shared" si="5"/>
        <v>3.0021000000000044</v>
      </c>
      <c r="B93" s="7" t="s">
        <v>61</v>
      </c>
      <c r="C93" s="6" t="s">
        <v>62</v>
      </c>
      <c r="D93" s="7"/>
      <c r="E93" s="44"/>
      <c r="F93" s="6"/>
      <c r="G93" s="8" t="s">
        <v>5</v>
      </c>
      <c r="H93" s="8">
        <f t="shared" si="8"/>
        <v>1</v>
      </c>
      <c r="I93" s="8">
        <f t="shared" si="8"/>
        <v>0</v>
      </c>
      <c r="J93" s="8">
        <f t="shared" si="8"/>
        <v>0</v>
      </c>
      <c r="K93" s="8">
        <f t="shared" si="8"/>
        <v>0</v>
      </c>
      <c r="L93" s="8">
        <f t="shared" si="8"/>
        <v>0</v>
      </c>
      <c r="M93" s="7"/>
    </row>
    <row r="94" spans="1:13" ht="38.25" x14ac:dyDescent="0.25">
      <c r="A94" s="5">
        <f t="shared" si="5"/>
        <v>3.0022000000000046</v>
      </c>
      <c r="B94" s="7" t="s">
        <v>64</v>
      </c>
      <c r="C94" s="8" t="s">
        <v>65</v>
      </c>
      <c r="D94" s="7"/>
      <c r="E94" s="44"/>
      <c r="F94" s="6"/>
      <c r="G94" s="8" t="s">
        <v>5</v>
      </c>
      <c r="H94" s="8">
        <f t="shared" si="8"/>
        <v>1</v>
      </c>
      <c r="I94" s="8">
        <f t="shared" si="8"/>
        <v>0</v>
      </c>
      <c r="J94" s="8">
        <f t="shared" si="8"/>
        <v>0</v>
      </c>
      <c r="K94" s="8">
        <f t="shared" si="8"/>
        <v>0</v>
      </c>
      <c r="L94" s="8">
        <f t="shared" si="8"/>
        <v>0</v>
      </c>
      <c r="M94" s="7"/>
    </row>
    <row r="95" spans="1:13" x14ac:dyDescent="0.25">
      <c r="A95" s="5">
        <f t="shared" si="5"/>
        <v>3.0023000000000049</v>
      </c>
      <c r="B95" s="7" t="s">
        <v>66</v>
      </c>
      <c r="C95" s="8" t="s">
        <v>67</v>
      </c>
      <c r="D95" s="7"/>
      <c r="E95" s="44"/>
      <c r="F95" s="6"/>
      <c r="G95" s="8" t="s">
        <v>5</v>
      </c>
      <c r="H95" s="8">
        <f t="shared" si="8"/>
        <v>1</v>
      </c>
      <c r="I95" s="8">
        <f t="shared" si="8"/>
        <v>0</v>
      </c>
      <c r="J95" s="8">
        <f t="shared" si="8"/>
        <v>0</v>
      </c>
      <c r="K95" s="8">
        <f t="shared" si="8"/>
        <v>0</v>
      </c>
      <c r="L95" s="8">
        <f t="shared" si="8"/>
        <v>0</v>
      </c>
      <c r="M95" s="7"/>
    </row>
    <row r="96" spans="1:13" x14ac:dyDescent="0.25">
      <c r="A96" s="5">
        <f t="shared" si="5"/>
        <v>3.0024000000000051</v>
      </c>
      <c r="B96" s="7" t="s">
        <v>19</v>
      </c>
      <c r="C96" s="6" t="s">
        <v>68</v>
      </c>
      <c r="D96" s="7"/>
      <c r="E96" s="44"/>
      <c r="F96" s="6"/>
      <c r="G96" s="8" t="s">
        <v>5</v>
      </c>
      <c r="H96" s="8">
        <f t="shared" si="8"/>
        <v>1</v>
      </c>
      <c r="I96" s="8">
        <f t="shared" si="8"/>
        <v>0</v>
      </c>
      <c r="J96" s="8">
        <f t="shared" si="8"/>
        <v>0</v>
      </c>
      <c r="K96" s="8">
        <f t="shared" si="8"/>
        <v>0</v>
      </c>
      <c r="L96" s="8">
        <f t="shared" si="8"/>
        <v>0</v>
      </c>
      <c r="M96" s="7"/>
    </row>
    <row r="97" spans="1:13" ht="30" x14ac:dyDescent="0.25">
      <c r="A97" s="5">
        <f t="shared" si="5"/>
        <v>3.0025000000000053</v>
      </c>
      <c r="B97" s="7" t="s">
        <v>48</v>
      </c>
      <c r="C97" s="8" t="s">
        <v>69</v>
      </c>
      <c r="D97" s="7"/>
      <c r="E97" s="45"/>
      <c r="F97" s="6"/>
      <c r="G97" s="8" t="s">
        <v>5</v>
      </c>
      <c r="H97" s="8">
        <f t="shared" si="8"/>
        <v>1</v>
      </c>
      <c r="I97" s="8">
        <f t="shared" si="8"/>
        <v>0</v>
      </c>
      <c r="J97" s="8">
        <f t="shared" si="8"/>
        <v>0</v>
      </c>
      <c r="K97" s="8">
        <f t="shared" si="8"/>
        <v>0</v>
      </c>
      <c r="L97" s="8">
        <f t="shared" si="8"/>
        <v>0</v>
      </c>
      <c r="M97" s="7"/>
    </row>
    <row r="98" spans="1:13" s="31" customFormat="1" x14ac:dyDescent="0.25">
      <c r="A98" s="33"/>
      <c r="B98" s="34"/>
      <c r="C98" s="35"/>
      <c r="D98" s="34"/>
      <c r="E98" s="34"/>
      <c r="F98" s="34"/>
      <c r="G98" s="35"/>
      <c r="H98" s="36">
        <f>SUM(H73:H97)</f>
        <v>25</v>
      </c>
      <c r="I98" s="36">
        <f t="shared" ref="I98:L98" si="9">SUM(I73:I97)</f>
        <v>0</v>
      </c>
      <c r="J98" s="36">
        <f t="shared" si="9"/>
        <v>0</v>
      </c>
      <c r="K98" s="36">
        <f t="shared" si="9"/>
        <v>0</v>
      </c>
      <c r="L98" s="36">
        <f t="shared" si="9"/>
        <v>0</v>
      </c>
      <c r="M98" s="34"/>
    </row>
    <row r="99" spans="1:13" ht="15.75" thickBot="1" x14ac:dyDescent="0.3">
      <c r="H99" s="2">
        <f>H44+H72+H98</f>
        <v>91</v>
      </c>
      <c r="I99" s="2">
        <f>I44+I72+I98</f>
        <v>0</v>
      </c>
      <c r="J99" s="2">
        <f>J44+J72+J98</f>
        <v>0</v>
      </c>
      <c r="K99" s="2">
        <f>K44+K72+K98</f>
        <v>0</v>
      </c>
      <c r="L99" s="2">
        <f>L44+L72+L98</f>
        <v>0</v>
      </c>
    </row>
    <row r="100" spans="1:13" ht="15.75" thickTop="1" x14ac:dyDescent="0.25"/>
  </sheetData>
  <mergeCells count="4">
    <mergeCell ref="B1:C1"/>
    <mergeCell ref="E5:E43"/>
    <mergeCell ref="E45:E71"/>
    <mergeCell ref="E73:E97"/>
  </mergeCells>
  <conditionalFormatting sqref="B30:B38">
    <cfRule type="expression" dxfId="27" priority="25">
      <formula>$G30="Fail"</formula>
    </cfRule>
  </conditionalFormatting>
  <conditionalFormatting sqref="B39">
    <cfRule type="expression" dxfId="26" priority="24">
      <formula>$G39="Fail"</formula>
    </cfRule>
  </conditionalFormatting>
  <conditionalFormatting sqref="B40">
    <cfRule type="expression" dxfId="25" priority="23">
      <formula>$G40="Fail"</formula>
    </cfRule>
  </conditionalFormatting>
  <conditionalFormatting sqref="B41">
    <cfRule type="expression" dxfId="24" priority="22">
      <formula>$G41="Fail"</formula>
    </cfRule>
  </conditionalFormatting>
  <conditionalFormatting sqref="B42">
    <cfRule type="expression" dxfId="23" priority="21">
      <formula>$G42="Fail"</formula>
    </cfRule>
  </conditionalFormatting>
  <conditionalFormatting sqref="C42">
    <cfRule type="expression" dxfId="22" priority="20">
      <formula>$G43="Fail"</formula>
    </cfRule>
  </conditionalFormatting>
  <conditionalFormatting sqref="B43:B44">
    <cfRule type="expression" dxfId="21" priority="19">
      <formula>$G43="Fail"</formula>
    </cfRule>
  </conditionalFormatting>
  <conditionalFormatting sqref="C38">
    <cfRule type="expression" dxfId="20" priority="26">
      <formula>#REF!="Fail"</formula>
    </cfRule>
  </conditionalFormatting>
  <conditionalFormatting sqref="C34:C37">
    <cfRule type="expression" dxfId="19" priority="27">
      <formula>#REF!="Fail"</formula>
    </cfRule>
  </conditionalFormatting>
  <conditionalFormatting sqref="B59:B67">
    <cfRule type="expression" dxfId="18" priority="16">
      <formula>$G59="Fail"</formula>
    </cfRule>
  </conditionalFormatting>
  <conditionalFormatting sqref="B68">
    <cfRule type="expression" dxfId="17" priority="14">
      <formula>$G68="Fail"</formula>
    </cfRule>
  </conditionalFormatting>
  <conditionalFormatting sqref="B69">
    <cfRule type="expression" dxfId="16" priority="13">
      <formula>$G69="Fail"</formula>
    </cfRule>
  </conditionalFormatting>
  <conditionalFormatting sqref="B70">
    <cfRule type="expression" dxfId="15" priority="12">
      <formula>$G70="Fail"</formula>
    </cfRule>
  </conditionalFormatting>
  <conditionalFormatting sqref="C70">
    <cfRule type="expression" dxfId="14" priority="11">
      <formula>$G71="Fail"</formula>
    </cfRule>
  </conditionalFormatting>
  <conditionalFormatting sqref="B71">
    <cfRule type="expression" dxfId="13" priority="10">
      <formula>$G71="Fail"</formula>
    </cfRule>
  </conditionalFormatting>
  <conditionalFormatting sqref="C67">
    <cfRule type="expression" dxfId="12" priority="17">
      <formula>#REF!="Fail"</formula>
    </cfRule>
  </conditionalFormatting>
  <conditionalFormatting sqref="C63:C66">
    <cfRule type="expression" dxfId="11" priority="18">
      <formula>#REF!="Fail"</formula>
    </cfRule>
  </conditionalFormatting>
  <conditionalFormatting sqref="B85:B93">
    <cfRule type="expression" dxfId="10" priority="7">
      <formula>$G85="Fail"</formula>
    </cfRule>
  </conditionalFormatting>
  <conditionalFormatting sqref="B94">
    <cfRule type="expression" dxfId="9" priority="6">
      <formula>$G94="Fail"</formula>
    </cfRule>
  </conditionalFormatting>
  <conditionalFormatting sqref="B95">
    <cfRule type="expression" dxfId="8" priority="5">
      <formula>$G95="Fail"</formula>
    </cfRule>
  </conditionalFormatting>
  <conditionalFormatting sqref="B96">
    <cfRule type="expression" dxfId="7" priority="4">
      <formula>$G96="Fail"</formula>
    </cfRule>
  </conditionalFormatting>
  <conditionalFormatting sqref="C96">
    <cfRule type="expression" dxfId="6" priority="3">
      <formula>$G97="Fail"</formula>
    </cfRule>
  </conditionalFormatting>
  <conditionalFormatting sqref="B97:B98">
    <cfRule type="expression" dxfId="5" priority="2">
      <formula>$G97="Fail"</formula>
    </cfRule>
  </conditionalFormatting>
  <conditionalFormatting sqref="C93">
    <cfRule type="expression" dxfId="4" priority="8">
      <formula>#REF!="Fail"</formula>
    </cfRule>
  </conditionalFormatting>
  <conditionalFormatting sqref="C89:C92">
    <cfRule type="expression" dxfId="3" priority="9">
      <formula>#REF!="Fail"</formula>
    </cfRule>
  </conditionalFormatting>
  <conditionalFormatting sqref="A44:M44 A5:D43 F5:M43 A72:M72 A45:D71 F45:M71 A73:D97 F73:M97">
    <cfRule type="expression" dxfId="2" priority="1">
      <formula>$G5="Fail"</formula>
    </cfRule>
  </conditionalFormatting>
  <conditionalFormatting sqref="E5">
    <cfRule type="expression" dxfId="1" priority="29">
      <formula>$G7="Fail"</formula>
    </cfRule>
  </conditionalFormatting>
  <conditionalFormatting sqref="E45 E73">
    <cfRule type="expression" dxfId="0" priority="31">
      <formula>$G52="Fail"</formula>
    </cfRule>
  </conditionalFormatting>
  <dataValidations count="1">
    <dataValidation type="list" allowBlank="1" showInputMessage="1" showErrorMessage="1" sqref="G3:G98">
      <formula1>$H$2:$L$2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1</xdr:row>
                    <xdr:rowOff>28575</xdr:rowOff>
                  </from>
                  <to>
                    <xdr:col>1</xdr:col>
                    <xdr:colOff>161925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Test Case</vt:lpstr>
      <vt:lpstr>Sheet1</vt:lpstr>
    </vt:vector>
  </TitlesOfParts>
  <Company>Sanlam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Direro Ishmael (SC)</cp:lastModifiedBy>
  <dcterms:created xsi:type="dcterms:W3CDTF">2014-07-31T09:50:05Z</dcterms:created>
  <dcterms:modified xsi:type="dcterms:W3CDTF">2020-07-05T14:09:35Z</dcterms:modified>
</cp:coreProperties>
</file>