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989124\Desktop\Test Documents\Test Cases\Test Cases\"/>
    </mc:Choice>
  </mc:AlternateContent>
  <bookViews>
    <workbookView xWindow="120" yWindow="45" windowWidth="20370" windowHeight="8685" activeTab="1"/>
  </bookViews>
  <sheets>
    <sheet name="Summary" sheetId="3" r:id="rId1"/>
    <sheet name="Test Case" sheetId="2" r:id="rId2"/>
    <sheet name="2" sheetId="4" r:id="rId3"/>
    <sheet name="3" sheetId="5" r:id="rId4"/>
    <sheet name="4" sheetId="6" r:id="rId5"/>
    <sheet name="Sheet1" sheetId="7" r:id="rId6"/>
  </sheets>
  <calcPr calcId="162913"/>
</workbook>
</file>

<file path=xl/calcChain.xml><?xml version="1.0" encoding="utf-8"?>
<calcChain xmlns="http://schemas.openxmlformats.org/spreadsheetml/2006/main">
  <c r="L51" i="4" l="1"/>
  <c r="K51" i="4"/>
  <c r="J51" i="4"/>
  <c r="I51" i="4"/>
  <c r="H51" i="4"/>
  <c r="L50" i="4"/>
  <c r="K50" i="4"/>
  <c r="J50" i="4"/>
  <c r="I50" i="4"/>
  <c r="H50" i="4"/>
  <c r="L49" i="4"/>
  <c r="K49" i="4"/>
  <c r="J49" i="4"/>
  <c r="I49" i="4"/>
  <c r="H49" i="4"/>
  <c r="L48" i="4"/>
  <c r="K48" i="4"/>
  <c r="J48" i="4"/>
  <c r="I48" i="4"/>
  <c r="H48" i="4"/>
  <c r="L47" i="4"/>
  <c r="K47" i="4"/>
  <c r="J47" i="4"/>
  <c r="I47" i="4"/>
  <c r="H47" i="4"/>
  <c r="L46" i="4"/>
  <c r="K46" i="4"/>
  <c r="J46" i="4"/>
  <c r="I46" i="4"/>
  <c r="H46" i="4"/>
  <c r="L45" i="4"/>
  <c r="K45" i="4"/>
  <c r="J45" i="4"/>
  <c r="I45" i="4"/>
  <c r="H45" i="4"/>
  <c r="L44" i="4"/>
  <c r="K44" i="4"/>
  <c r="J44" i="4"/>
  <c r="I44" i="4"/>
  <c r="H44" i="4"/>
  <c r="L43" i="4"/>
  <c r="K43" i="4"/>
  <c r="J43" i="4"/>
  <c r="I43" i="4"/>
  <c r="H43" i="4"/>
  <c r="L42" i="4"/>
  <c r="K42" i="4"/>
  <c r="J42" i="4"/>
  <c r="I42" i="4"/>
  <c r="H42" i="4"/>
  <c r="L41" i="4"/>
  <c r="K41" i="4"/>
  <c r="J41" i="4"/>
  <c r="I41" i="4"/>
  <c r="H41" i="4"/>
  <c r="L40" i="4"/>
  <c r="K40" i="4"/>
  <c r="J40" i="4"/>
  <c r="I40" i="4"/>
  <c r="H40" i="4"/>
  <c r="L39" i="4"/>
  <c r="K39" i="4"/>
  <c r="J39" i="4"/>
  <c r="I39" i="4"/>
  <c r="H39" i="4"/>
  <c r="L38" i="4"/>
  <c r="K38" i="4"/>
  <c r="J38" i="4"/>
  <c r="I38" i="4"/>
  <c r="H38" i="4"/>
  <c r="L37" i="4"/>
  <c r="K37" i="4"/>
  <c r="J37" i="4"/>
  <c r="I37" i="4"/>
  <c r="H37" i="4"/>
  <c r="L36" i="4"/>
  <c r="K36" i="4"/>
  <c r="J36" i="4"/>
  <c r="I36" i="4"/>
  <c r="H36" i="4"/>
  <c r="L35" i="4"/>
  <c r="K35" i="4"/>
  <c r="J35" i="4"/>
  <c r="I35" i="4"/>
  <c r="H35" i="4"/>
  <c r="L34" i="4"/>
  <c r="K34" i="4"/>
  <c r="J34" i="4"/>
  <c r="I34" i="4"/>
  <c r="H34" i="4"/>
  <c r="L33" i="4"/>
  <c r="K33" i="4"/>
  <c r="J33" i="4"/>
  <c r="I33" i="4"/>
  <c r="H33" i="4"/>
  <c r="L32" i="4"/>
  <c r="K32" i="4"/>
  <c r="J32" i="4"/>
  <c r="I32" i="4"/>
  <c r="H32" i="4"/>
  <c r="L31" i="4"/>
  <c r="K31" i="4"/>
  <c r="J31" i="4"/>
  <c r="I31" i="4"/>
  <c r="H31" i="4"/>
  <c r="L30" i="4"/>
  <c r="K30" i="4"/>
  <c r="J30" i="4"/>
  <c r="I30" i="4"/>
  <c r="H30" i="4"/>
  <c r="L29" i="4"/>
  <c r="K29" i="4"/>
  <c r="J29" i="4"/>
  <c r="I29" i="4"/>
  <c r="H29" i="4"/>
  <c r="L28" i="4"/>
  <c r="K28" i="4"/>
  <c r="J28" i="4"/>
  <c r="I28" i="4"/>
  <c r="H28" i="4"/>
  <c r="L27" i="4"/>
  <c r="K27" i="4"/>
  <c r="J27" i="4"/>
  <c r="I27" i="4"/>
  <c r="H27" i="4"/>
  <c r="L26" i="4"/>
  <c r="K26" i="4"/>
  <c r="J26" i="4"/>
  <c r="I26" i="4"/>
  <c r="H26" i="4"/>
  <c r="L25" i="4"/>
  <c r="K25" i="4"/>
  <c r="J25" i="4"/>
  <c r="I25" i="4"/>
  <c r="H25" i="4"/>
  <c r="L24" i="4"/>
  <c r="K24" i="4"/>
  <c r="J24" i="4"/>
  <c r="I24" i="4"/>
  <c r="H24" i="4"/>
  <c r="L23" i="4"/>
  <c r="K23" i="4"/>
  <c r="J23" i="4"/>
  <c r="I23" i="4"/>
  <c r="H23" i="4"/>
  <c r="L22" i="4"/>
  <c r="K22" i="4"/>
  <c r="J22" i="4"/>
  <c r="I22" i="4"/>
  <c r="H22" i="4"/>
  <c r="L21" i="4"/>
  <c r="K21" i="4"/>
  <c r="J21" i="4"/>
  <c r="I21" i="4"/>
  <c r="H21" i="4"/>
  <c r="L20" i="4"/>
  <c r="K20" i="4"/>
  <c r="J20" i="4"/>
  <c r="I20" i="4"/>
  <c r="H20" i="4"/>
  <c r="L19" i="4"/>
  <c r="K19" i="4"/>
  <c r="J19" i="4"/>
  <c r="I19" i="4"/>
  <c r="H19" i="4"/>
  <c r="L18" i="4"/>
  <c r="K18" i="4"/>
  <c r="J18" i="4"/>
  <c r="I18" i="4"/>
  <c r="H18" i="4"/>
  <c r="L17" i="4"/>
  <c r="K17" i="4"/>
  <c r="J17" i="4"/>
  <c r="I17" i="4"/>
  <c r="H17" i="4"/>
  <c r="L16" i="4"/>
  <c r="K16" i="4"/>
  <c r="J16" i="4"/>
  <c r="I16" i="4"/>
  <c r="H16" i="4"/>
  <c r="A16" i="4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L14" i="4"/>
  <c r="K14" i="4"/>
  <c r="J14" i="4"/>
  <c r="I14" i="4"/>
  <c r="H14" i="4"/>
  <c r="L13" i="4"/>
  <c r="K13" i="4"/>
  <c r="J13" i="4"/>
  <c r="I13" i="4"/>
  <c r="H13" i="4"/>
  <c r="L12" i="4"/>
  <c r="K12" i="4"/>
  <c r="J12" i="4"/>
  <c r="I12" i="4"/>
  <c r="H12" i="4"/>
  <c r="L11" i="4"/>
  <c r="K11" i="4"/>
  <c r="J11" i="4"/>
  <c r="I11" i="4"/>
  <c r="H11" i="4"/>
  <c r="L10" i="4"/>
  <c r="K10" i="4"/>
  <c r="J10" i="4"/>
  <c r="I10" i="4"/>
  <c r="H10" i="4"/>
  <c r="L9" i="4"/>
  <c r="K9" i="4"/>
  <c r="J9" i="4"/>
  <c r="I9" i="4"/>
  <c r="H9" i="4"/>
  <c r="L8" i="4"/>
  <c r="K8" i="4"/>
  <c r="J8" i="4"/>
  <c r="I8" i="4"/>
  <c r="H8" i="4"/>
  <c r="L7" i="4"/>
  <c r="K7" i="4"/>
  <c r="J7" i="4"/>
  <c r="I7" i="4"/>
  <c r="H7" i="4"/>
  <c r="L6" i="4"/>
  <c r="K6" i="4"/>
  <c r="J6" i="4"/>
  <c r="I6" i="4"/>
  <c r="H6" i="4"/>
  <c r="L5" i="4"/>
  <c r="K5" i="4"/>
  <c r="J5" i="4"/>
  <c r="I5" i="4"/>
  <c r="H5" i="4"/>
  <c r="L4" i="4"/>
  <c r="K4" i="4"/>
  <c r="J4" i="4"/>
  <c r="I4" i="4"/>
  <c r="H4" i="4"/>
  <c r="L3" i="4"/>
  <c r="K3" i="4"/>
  <c r="J3" i="4"/>
  <c r="I3" i="4"/>
  <c r="H3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L107" i="2"/>
  <c r="K107" i="2"/>
  <c r="J107" i="2"/>
  <c r="I107" i="2"/>
  <c r="H107" i="2"/>
  <c r="L106" i="2"/>
  <c r="K106" i="2"/>
  <c r="J106" i="2"/>
  <c r="I106" i="2"/>
  <c r="H106" i="2"/>
  <c r="L105" i="2"/>
  <c r="K105" i="2"/>
  <c r="J105" i="2"/>
  <c r="I105" i="2"/>
  <c r="H105" i="2"/>
  <c r="L104" i="2"/>
  <c r="K104" i="2"/>
  <c r="J104" i="2"/>
  <c r="I104" i="2"/>
  <c r="H104" i="2"/>
  <c r="L103" i="2"/>
  <c r="K103" i="2"/>
  <c r="J103" i="2"/>
  <c r="I103" i="2"/>
  <c r="H103" i="2"/>
  <c r="L102" i="2"/>
  <c r="K102" i="2"/>
  <c r="J102" i="2"/>
  <c r="I102" i="2"/>
  <c r="H102" i="2"/>
  <c r="L101" i="2"/>
  <c r="K101" i="2"/>
  <c r="J101" i="2"/>
  <c r="I101" i="2"/>
  <c r="H101" i="2"/>
  <c r="L100" i="2"/>
  <c r="K100" i="2"/>
  <c r="J100" i="2"/>
  <c r="I100" i="2"/>
  <c r="H100" i="2"/>
  <c r="L99" i="2"/>
  <c r="K99" i="2"/>
  <c r="J99" i="2"/>
  <c r="I99" i="2"/>
  <c r="H99" i="2"/>
  <c r="L98" i="2"/>
  <c r="K98" i="2"/>
  <c r="J98" i="2"/>
  <c r="I98" i="2"/>
  <c r="H98" i="2"/>
  <c r="L97" i="2"/>
  <c r="K97" i="2"/>
  <c r="J97" i="2"/>
  <c r="I97" i="2"/>
  <c r="H97" i="2"/>
  <c r="L96" i="2"/>
  <c r="K96" i="2"/>
  <c r="J96" i="2"/>
  <c r="I96" i="2"/>
  <c r="H96" i="2"/>
  <c r="L95" i="2"/>
  <c r="K95" i="2"/>
  <c r="J95" i="2"/>
  <c r="I95" i="2"/>
  <c r="H95" i="2"/>
  <c r="L94" i="2"/>
  <c r="K94" i="2"/>
  <c r="J94" i="2"/>
  <c r="I94" i="2"/>
  <c r="H94" i="2"/>
  <c r="L93" i="2"/>
  <c r="K93" i="2"/>
  <c r="J93" i="2"/>
  <c r="I93" i="2"/>
  <c r="H93" i="2"/>
  <c r="L92" i="2"/>
  <c r="K92" i="2"/>
  <c r="J92" i="2"/>
  <c r="I92" i="2"/>
  <c r="H92" i="2"/>
  <c r="L91" i="2"/>
  <c r="K91" i="2"/>
  <c r="J91" i="2"/>
  <c r="I91" i="2"/>
  <c r="H91" i="2"/>
  <c r="L90" i="2"/>
  <c r="K90" i="2"/>
  <c r="J90" i="2"/>
  <c r="I90" i="2"/>
  <c r="H90" i="2"/>
  <c r="L89" i="2"/>
  <c r="K89" i="2"/>
  <c r="J89" i="2"/>
  <c r="I89" i="2"/>
  <c r="H89" i="2"/>
  <c r="L88" i="2"/>
  <c r="K88" i="2"/>
  <c r="J88" i="2"/>
  <c r="I88" i="2"/>
  <c r="H88" i="2"/>
  <c r="L87" i="2"/>
  <c r="K87" i="2"/>
  <c r="J87" i="2"/>
  <c r="I87" i="2"/>
  <c r="H87" i="2"/>
  <c r="L86" i="2"/>
  <c r="K86" i="2"/>
  <c r="J86" i="2"/>
  <c r="I86" i="2"/>
  <c r="H86" i="2"/>
  <c r="L85" i="2"/>
  <c r="K85" i="2"/>
  <c r="J85" i="2"/>
  <c r="I85" i="2"/>
  <c r="H85" i="2"/>
  <c r="L84" i="2"/>
  <c r="K84" i="2"/>
  <c r="J84" i="2"/>
  <c r="I84" i="2"/>
  <c r="H84" i="2"/>
  <c r="L83" i="2"/>
  <c r="K83" i="2"/>
  <c r="J83" i="2"/>
  <c r="I83" i="2"/>
  <c r="H83" i="2"/>
  <c r="L82" i="2"/>
  <c r="K82" i="2"/>
  <c r="J82" i="2"/>
  <c r="I82" i="2"/>
  <c r="H82" i="2"/>
  <c r="L81" i="2"/>
  <c r="K81" i="2"/>
  <c r="J81" i="2"/>
  <c r="I81" i="2"/>
  <c r="H81" i="2"/>
  <c r="L80" i="2"/>
  <c r="K80" i="2"/>
  <c r="J80" i="2"/>
  <c r="I80" i="2"/>
  <c r="H80" i="2"/>
  <c r="L79" i="2"/>
  <c r="K79" i="2"/>
  <c r="J79" i="2"/>
  <c r="I79" i="2"/>
  <c r="H79" i="2"/>
  <c r="L78" i="2"/>
  <c r="K78" i="2"/>
  <c r="J78" i="2"/>
  <c r="I78" i="2"/>
  <c r="H78" i="2"/>
  <c r="L77" i="2"/>
  <c r="K77" i="2"/>
  <c r="J77" i="2"/>
  <c r="I77" i="2"/>
  <c r="H77" i="2"/>
  <c r="L76" i="2"/>
  <c r="K76" i="2"/>
  <c r="J76" i="2"/>
  <c r="I76" i="2"/>
  <c r="H76" i="2"/>
  <c r="L75" i="2"/>
  <c r="K75" i="2"/>
  <c r="J75" i="2"/>
  <c r="I75" i="2"/>
  <c r="H75" i="2"/>
  <c r="L74" i="2"/>
  <c r="K74" i="2"/>
  <c r="J74" i="2"/>
  <c r="I74" i="2"/>
  <c r="H74" i="2"/>
  <c r="L73" i="2"/>
  <c r="K73" i="2"/>
  <c r="J73" i="2"/>
  <c r="I73" i="2"/>
  <c r="H73" i="2"/>
  <c r="L72" i="2"/>
  <c r="K72" i="2"/>
  <c r="J72" i="2"/>
  <c r="I72" i="2"/>
  <c r="H72" i="2"/>
  <c r="L71" i="2"/>
  <c r="K71" i="2"/>
  <c r="J71" i="2"/>
  <c r="I71" i="2"/>
  <c r="H71" i="2"/>
  <c r="L70" i="2"/>
  <c r="K70" i="2"/>
  <c r="J70" i="2"/>
  <c r="I70" i="2"/>
  <c r="H70" i="2"/>
  <c r="L69" i="2"/>
  <c r="K69" i="2"/>
  <c r="J69" i="2"/>
  <c r="I69" i="2"/>
  <c r="H69" i="2"/>
  <c r="L68" i="2"/>
  <c r="K68" i="2"/>
  <c r="J68" i="2"/>
  <c r="I68" i="2"/>
  <c r="H68" i="2"/>
  <c r="L67" i="2"/>
  <c r="K67" i="2"/>
  <c r="J67" i="2"/>
  <c r="I67" i="2"/>
  <c r="H67" i="2"/>
  <c r="L66" i="2"/>
  <c r="K66" i="2"/>
  <c r="J66" i="2"/>
  <c r="I66" i="2"/>
  <c r="H66" i="2"/>
  <c r="L65" i="2"/>
  <c r="K65" i="2"/>
  <c r="J65" i="2"/>
  <c r="I65" i="2"/>
  <c r="H65" i="2"/>
  <c r="L64" i="2"/>
  <c r="K64" i="2"/>
  <c r="J64" i="2"/>
  <c r="I64" i="2"/>
  <c r="H64" i="2"/>
  <c r="L63" i="2"/>
  <c r="K63" i="2"/>
  <c r="J63" i="2"/>
  <c r="I63" i="2"/>
  <c r="H63" i="2"/>
  <c r="L62" i="2"/>
  <c r="K62" i="2"/>
  <c r="J62" i="2"/>
  <c r="I62" i="2"/>
  <c r="H62" i="2"/>
  <c r="L61" i="2"/>
  <c r="K61" i="2"/>
  <c r="J61" i="2"/>
  <c r="I61" i="2"/>
  <c r="H61" i="2"/>
  <c r="L59" i="2"/>
  <c r="K59" i="2"/>
  <c r="J59" i="2"/>
  <c r="I59" i="2"/>
  <c r="H59" i="2"/>
  <c r="L58" i="2"/>
  <c r="K58" i="2"/>
  <c r="J58" i="2"/>
  <c r="I58" i="2"/>
  <c r="H58" i="2"/>
  <c r="L110" i="5"/>
  <c r="K110" i="5"/>
  <c r="J110" i="5"/>
  <c r="I110" i="5"/>
  <c r="H110" i="5"/>
  <c r="L109" i="5"/>
  <c r="K109" i="5"/>
  <c r="J109" i="5"/>
  <c r="I109" i="5"/>
  <c r="H109" i="5"/>
  <c r="L108" i="5"/>
  <c r="K108" i="5"/>
  <c r="J108" i="5"/>
  <c r="I108" i="5"/>
  <c r="H108" i="5"/>
  <c r="L107" i="5"/>
  <c r="K107" i="5"/>
  <c r="J107" i="5"/>
  <c r="I107" i="5"/>
  <c r="H107" i="5"/>
  <c r="L106" i="5"/>
  <c r="K106" i="5"/>
  <c r="J106" i="5"/>
  <c r="I106" i="5"/>
  <c r="H106" i="5"/>
  <c r="L105" i="5"/>
  <c r="K105" i="5"/>
  <c r="J105" i="5"/>
  <c r="I105" i="5"/>
  <c r="H105" i="5"/>
  <c r="L104" i="5"/>
  <c r="K104" i="5"/>
  <c r="J104" i="5"/>
  <c r="I104" i="5"/>
  <c r="H104" i="5"/>
  <c r="L103" i="5"/>
  <c r="K103" i="5"/>
  <c r="J103" i="5"/>
  <c r="I103" i="5"/>
  <c r="H103" i="5"/>
  <c r="L102" i="5"/>
  <c r="K102" i="5"/>
  <c r="J102" i="5"/>
  <c r="I102" i="5"/>
  <c r="H102" i="5"/>
  <c r="L101" i="5"/>
  <c r="K101" i="5"/>
  <c r="J101" i="5"/>
  <c r="I101" i="5"/>
  <c r="H101" i="5"/>
  <c r="L100" i="5"/>
  <c r="K100" i="5"/>
  <c r="J100" i="5"/>
  <c r="I100" i="5"/>
  <c r="H100" i="5"/>
  <c r="L99" i="5"/>
  <c r="K99" i="5"/>
  <c r="J99" i="5"/>
  <c r="I99" i="5"/>
  <c r="H99" i="5"/>
  <c r="L98" i="5"/>
  <c r="K98" i="5"/>
  <c r="J98" i="5"/>
  <c r="I98" i="5"/>
  <c r="H98" i="5"/>
  <c r="L97" i="5"/>
  <c r="K97" i="5"/>
  <c r="J97" i="5"/>
  <c r="I97" i="5"/>
  <c r="H97" i="5"/>
  <c r="L96" i="5"/>
  <c r="K96" i="5"/>
  <c r="J96" i="5"/>
  <c r="I96" i="5"/>
  <c r="H96" i="5"/>
  <c r="L95" i="5"/>
  <c r="K95" i="5"/>
  <c r="J95" i="5"/>
  <c r="I95" i="5"/>
  <c r="H95" i="5"/>
  <c r="L94" i="5"/>
  <c r="K94" i="5"/>
  <c r="J94" i="5"/>
  <c r="I94" i="5"/>
  <c r="H94" i="5"/>
  <c r="L93" i="5"/>
  <c r="K93" i="5"/>
  <c r="J93" i="5"/>
  <c r="I93" i="5"/>
  <c r="H93" i="5"/>
  <c r="L92" i="5"/>
  <c r="K92" i="5"/>
  <c r="J92" i="5"/>
  <c r="I92" i="5"/>
  <c r="H92" i="5"/>
  <c r="L91" i="5"/>
  <c r="K91" i="5"/>
  <c r="J91" i="5"/>
  <c r="I91" i="5"/>
  <c r="H91" i="5"/>
  <c r="L90" i="5"/>
  <c r="K90" i="5"/>
  <c r="J90" i="5"/>
  <c r="I90" i="5"/>
  <c r="H90" i="5"/>
  <c r="L89" i="5"/>
  <c r="K89" i="5"/>
  <c r="J89" i="5"/>
  <c r="I89" i="5"/>
  <c r="H89" i="5"/>
  <c r="L88" i="5"/>
  <c r="K88" i="5"/>
  <c r="J88" i="5"/>
  <c r="I88" i="5"/>
  <c r="H88" i="5"/>
  <c r="L87" i="5"/>
  <c r="K87" i="5"/>
  <c r="J87" i="5"/>
  <c r="I87" i="5"/>
  <c r="H87" i="5"/>
  <c r="L86" i="5"/>
  <c r="K86" i="5"/>
  <c r="J86" i="5"/>
  <c r="I86" i="5"/>
  <c r="H86" i="5"/>
  <c r="L85" i="5"/>
  <c r="K85" i="5"/>
  <c r="J85" i="5"/>
  <c r="I85" i="5"/>
  <c r="H85" i="5"/>
  <c r="L84" i="5"/>
  <c r="K84" i="5"/>
  <c r="J84" i="5"/>
  <c r="I84" i="5"/>
  <c r="H84" i="5"/>
  <c r="L83" i="5"/>
  <c r="K83" i="5"/>
  <c r="J83" i="5"/>
  <c r="I83" i="5"/>
  <c r="H83" i="5"/>
  <c r="L82" i="5"/>
  <c r="K82" i="5"/>
  <c r="J82" i="5"/>
  <c r="I82" i="5"/>
  <c r="H82" i="5"/>
  <c r="L81" i="5"/>
  <c r="K81" i="5"/>
  <c r="J81" i="5"/>
  <c r="I81" i="5"/>
  <c r="H81" i="5"/>
  <c r="L80" i="5"/>
  <c r="K80" i="5"/>
  <c r="J80" i="5"/>
  <c r="I80" i="5"/>
  <c r="H80" i="5"/>
  <c r="L79" i="5"/>
  <c r="K79" i="5"/>
  <c r="J79" i="5"/>
  <c r="I79" i="5"/>
  <c r="H79" i="5"/>
  <c r="L78" i="5"/>
  <c r="K78" i="5"/>
  <c r="J78" i="5"/>
  <c r="I78" i="5"/>
  <c r="H78" i="5"/>
  <c r="L77" i="5"/>
  <c r="K77" i="5"/>
  <c r="J77" i="5"/>
  <c r="I77" i="5"/>
  <c r="H77" i="5"/>
  <c r="L76" i="5"/>
  <c r="K76" i="5"/>
  <c r="J76" i="5"/>
  <c r="I76" i="5"/>
  <c r="H76" i="5"/>
  <c r="L75" i="5"/>
  <c r="K75" i="5"/>
  <c r="J75" i="5"/>
  <c r="I75" i="5"/>
  <c r="H75" i="5"/>
  <c r="L74" i="5"/>
  <c r="K74" i="5"/>
  <c r="J74" i="5"/>
  <c r="I74" i="5"/>
  <c r="H74" i="5"/>
  <c r="L73" i="5"/>
  <c r="K73" i="5"/>
  <c r="J73" i="5"/>
  <c r="I73" i="5"/>
  <c r="H73" i="5"/>
  <c r="L72" i="5"/>
  <c r="K72" i="5"/>
  <c r="J72" i="5"/>
  <c r="I72" i="5"/>
  <c r="H72" i="5"/>
  <c r="L71" i="5"/>
  <c r="K71" i="5"/>
  <c r="J71" i="5"/>
  <c r="I71" i="5"/>
  <c r="H71" i="5"/>
  <c r="L70" i="5"/>
  <c r="K70" i="5"/>
  <c r="J70" i="5"/>
  <c r="I70" i="5"/>
  <c r="H70" i="5"/>
  <c r="L69" i="5"/>
  <c r="K69" i="5"/>
  <c r="J69" i="5"/>
  <c r="I69" i="5"/>
  <c r="H69" i="5"/>
  <c r="L68" i="5"/>
  <c r="K68" i="5"/>
  <c r="J68" i="5"/>
  <c r="I68" i="5"/>
  <c r="H68" i="5"/>
  <c r="L67" i="5"/>
  <c r="K67" i="5"/>
  <c r="J67" i="5"/>
  <c r="I67" i="5"/>
  <c r="H67" i="5"/>
  <c r="L66" i="5"/>
  <c r="K66" i="5"/>
  <c r="J66" i="5"/>
  <c r="I66" i="5"/>
  <c r="H66" i="5"/>
  <c r="L65" i="5"/>
  <c r="K65" i="5"/>
  <c r="J65" i="5"/>
  <c r="I65" i="5"/>
  <c r="H65" i="5"/>
  <c r="L64" i="5"/>
  <c r="K64" i="5"/>
  <c r="J64" i="5"/>
  <c r="I64" i="5"/>
  <c r="H64" i="5"/>
  <c r="L63" i="5"/>
  <c r="K63" i="5"/>
  <c r="J63" i="5"/>
  <c r="I63" i="5"/>
  <c r="H63" i="5"/>
  <c r="L62" i="5"/>
  <c r="K62" i="5"/>
  <c r="J62" i="5"/>
  <c r="I62" i="5"/>
  <c r="H62" i="5"/>
  <c r="L61" i="5"/>
  <c r="K61" i="5"/>
  <c r="J61" i="5"/>
  <c r="I61" i="5"/>
  <c r="H61" i="5"/>
  <c r="L60" i="5"/>
  <c r="K60" i="5"/>
  <c r="J60" i="5"/>
  <c r="I60" i="5"/>
  <c r="H60" i="5"/>
  <c r="L59" i="5"/>
  <c r="K59" i="5"/>
  <c r="J59" i="5"/>
  <c r="I59" i="5"/>
  <c r="H59" i="5"/>
  <c r="L58" i="5"/>
  <c r="K58" i="5"/>
  <c r="J58" i="5"/>
  <c r="I58" i="5"/>
  <c r="H58" i="5"/>
  <c r="L57" i="5"/>
  <c r="K57" i="5"/>
  <c r="J57" i="5"/>
  <c r="I57" i="5"/>
  <c r="H57" i="5"/>
  <c r="L56" i="5"/>
  <c r="K56" i="5"/>
  <c r="J56" i="5"/>
  <c r="I56" i="5"/>
  <c r="H56" i="5"/>
  <c r="L55" i="5"/>
  <c r="K55" i="5"/>
  <c r="J55" i="5"/>
  <c r="I55" i="5"/>
  <c r="H55" i="5"/>
  <c r="L54" i="5"/>
  <c r="K54" i="5"/>
  <c r="J54" i="5"/>
  <c r="I54" i="5"/>
  <c r="H54" i="5"/>
  <c r="L53" i="5"/>
  <c r="K53" i="5"/>
  <c r="J53" i="5"/>
  <c r="I53" i="5"/>
  <c r="H53" i="5"/>
  <c r="L51" i="5"/>
  <c r="K51" i="5"/>
  <c r="J51" i="5"/>
  <c r="I51" i="5"/>
  <c r="H51" i="5"/>
  <c r="L50" i="5"/>
  <c r="K50" i="5"/>
  <c r="J50" i="5"/>
  <c r="I50" i="5"/>
  <c r="H50" i="5"/>
  <c r="L49" i="5"/>
  <c r="K49" i="5"/>
  <c r="J49" i="5"/>
  <c r="I49" i="5"/>
  <c r="H49" i="5"/>
  <c r="L48" i="5"/>
  <c r="K48" i="5"/>
  <c r="J48" i="5"/>
  <c r="I48" i="5"/>
  <c r="H48" i="5"/>
  <c r="L47" i="5"/>
  <c r="K47" i="5"/>
  <c r="J47" i="5"/>
  <c r="I47" i="5"/>
  <c r="H47" i="5"/>
  <c r="L46" i="5"/>
  <c r="K46" i="5"/>
  <c r="J46" i="5"/>
  <c r="I46" i="5"/>
  <c r="H46" i="5"/>
  <c r="L45" i="5"/>
  <c r="K45" i="5"/>
  <c r="J45" i="5"/>
  <c r="I45" i="5"/>
  <c r="H45" i="5"/>
  <c r="L44" i="5"/>
  <c r="K44" i="5"/>
  <c r="J44" i="5"/>
  <c r="I44" i="5"/>
  <c r="H44" i="5"/>
  <c r="L43" i="5"/>
  <c r="K43" i="5"/>
  <c r="J43" i="5"/>
  <c r="I43" i="5"/>
  <c r="H43" i="5"/>
  <c r="L42" i="5"/>
  <c r="K42" i="5"/>
  <c r="J42" i="5"/>
  <c r="I42" i="5"/>
  <c r="H42" i="5"/>
  <c r="L41" i="5"/>
  <c r="K41" i="5"/>
  <c r="J41" i="5"/>
  <c r="I41" i="5"/>
  <c r="H41" i="5"/>
  <c r="L40" i="5"/>
  <c r="K40" i="5"/>
  <c r="J40" i="5"/>
  <c r="I40" i="5"/>
  <c r="H40" i="5"/>
  <c r="L39" i="5"/>
  <c r="K39" i="5"/>
  <c r="J39" i="5"/>
  <c r="I39" i="5"/>
  <c r="H39" i="5"/>
  <c r="L38" i="5"/>
  <c r="K38" i="5"/>
  <c r="J38" i="5"/>
  <c r="I38" i="5"/>
  <c r="H38" i="5"/>
  <c r="L37" i="5"/>
  <c r="K37" i="5"/>
  <c r="J37" i="5"/>
  <c r="I37" i="5"/>
  <c r="H37" i="5"/>
  <c r="L36" i="5"/>
  <c r="K36" i="5"/>
  <c r="J36" i="5"/>
  <c r="I36" i="5"/>
  <c r="H36" i="5"/>
  <c r="L35" i="5"/>
  <c r="K35" i="5"/>
  <c r="J35" i="5"/>
  <c r="I35" i="5"/>
  <c r="H35" i="5"/>
  <c r="L34" i="5"/>
  <c r="K34" i="5"/>
  <c r="J34" i="5"/>
  <c r="I34" i="5"/>
  <c r="H34" i="5"/>
  <c r="L33" i="5"/>
  <c r="K33" i="5"/>
  <c r="J33" i="5"/>
  <c r="I33" i="5"/>
  <c r="H33" i="5"/>
  <c r="L32" i="5"/>
  <c r="K32" i="5"/>
  <c r="J32" i="5"/>
  <c r="I32" i="5"/>
  <c r="H32" i="5"/>
  <c r="L31" i="5"/>
  <c r="K31" i="5"/>
  <c r="J31" i="5"/>
  <c r="I31" i="5"/>
  <c r="H31" i="5"/>
  <c r="L30" i="5"/>
  <c r="K30" i="5"/>
  <c r="J30" i="5"/>
  <c r="I30" i="5"/>
  <c r="H30" i="5"/>
  <c r="L29" i="5"/>
  <c r="K29" i="5"/>
  <c r="J29" i="5"/>
  <c r="I29" i="5"/>
  <c r="H29" i="5"/>
  <c r="L28" i="5"/>
  <c r="K28" i="5"/>
  <c r="J28" i="5"/>
  <c r="I28" i="5"/>
  <c r="H28" i="5"/>
  <c r="L27" i="5"/>
  <c r="K27" i="5"/>
  <c r="J27" i="5"/>
  <c r="I27" i="5"/>
  <c r="H27" i="5"/>
  <c r="L26" i="5"/>
  <c r="K26" i="5"/>
  <c r="J26" i="5"/>
  <c r="I26" i="5"/>
  <c r="H26" i="5"/>
  <c r="L25" i="5"/>
  <c r="K25" i="5"/>
  <c r="J25" i="5"/>
  <c r="I25" i="5"/>
  <c r="H25" i="5"/>
  <c r="L24" i="5"/>
  <c r="K24" i="5"/>
  <c r="J24" i="5"/>
  <c r="I24" i="5"/>
  <c r="H24" i="5"/>
  <c r="L23" i="5"/>
  <c r="K23" i="5"/>
  <c r="J23" i="5"/>
  <c r="I23" i="5"/>
  <c r="H23" i="5"/>
  <c r="L22" i="5"/>
  <c r="K22" i="5"/>
  <c r="J22" i="5"/>
  <c r="I22" i="5"/>
  <c r="H22" i="5"/>
  <c r="L21" i="5"/>
  <c r="K21" i="5"/>
  <c r="J21" i="5"/>
  <c r="I21" i="5"/>
  <c r="H21" i="5"/>
  <c r="L20" i="5"/>
  <c r="K20" i="5"/>
  <c r="J20" i="5"/>
  <c r="I20" i="5"/>
  <c r="H20" i="5"/>
  <c r="L19" i="5"/>
  <c r="K19" i="5"/>
  <c r="J19" i="5"/>
  <c r="I19" i="5"/>
  <c r="H19" i="5"/>
  <c r="L18" i="5"/>
  <c r="K18" i="5"/>
  <c r="J18" i="5"/>
  <c r="I18" i="5"/>
  <c r="H18" i="5"/>
  <c r="L17" i="5"/>
  <c r="K17" i="5"/>
  <c r="J17" i="5"/>
  <c r="I17" i="5"/>
  <c r="H17" i="5"/>
  <c r="L16" i="5"/>
  <c r="K16" i="5"/>
  <c r="J16" i="5"/>
  <c r="I16" i="5"/>
  <c r="H16" i="5"/>
  <c r="L15" i="5"/>
  <c r="K15" i="5"/>
  <c r="J15" i="5"/>
  <c r="I15" i="5"/>
  <c r="H15" i="5"/>
  <c r="L14" i="5"/>
  <c r="K14" i="5"/>
  <c r="J14" i="5"/>
  <c r="I14" i="5"/>
  <c r="H14" i="5"/>
  <c r="L13" i="5"/>
  <c r="K13" i="5"/>
  <c r="J13" i="5"/>
  <c r="I13" i="5"/>
  <c r="H13" i="5"/>
  <c r="L12" i="5"/>
  <c r="K12" i="5"/>
  <c r="J12" i="5"/>
  <c r="I12" i="5"/>
  <c r="H12" i="5"/>
  <c r="L11" i="5"/>
  <c r="K11" i="5"/>
  <c r="J11" i="5"/>
  <c r="I11" i="5"/>
  <c r="H11" i="5"/>
  <c r="L10" i="5"/>
  <c r="K10" i="5"/>
  <c r="J10" i="5"/>
  <c r="I10" i="5"/>
  <c r="H10" i="5"/>
  <c r="L9" i="5"/>
  <c r="K9" i="5"/>
  <c r="J9" i="5"/>
  <c r="I9" i="5"/>
  <c r="H9" i="5"/>
  <c r="L8" i="5"/>
  <c r="K8" i="5"/>
  <c r="J8" i="5"/>
  <c r="I8" i="5"/>
  <c r="H8" i="5"/>
  <c r="L7" i="5"/>
  <c r="K7" i="5"/>
  <c r="J7" i="5"/>
  <c r="I7" i="5"/>
  <c r="H7" i="5"/>
  <c r="L6" i="5"/>
  <c r="K6" i="5"/>
  <c r="J6" i="5"/>
  <c r="I6" i="5"/>
  <c r="H6" i="5"/>
  <c r="L5" i="5"/>
  <c r="K5" i="5"/>
  <c r="J5" i="5"/>
  <c r="I5" i="5"/>
  <c r="H5" i="5"/>
  <c r="L4" i="5"/>
  <c r="K4" i="5"/>
  <c r="J4" i="5"/>
  <c r="I4" i="5"/>
  <c r="H4" i="5"/>
  <c r="L3" i="5"/>
  <c r="K3" i="5"/>
  <c r="J3" i="5"/>
  <c r="I3" i="5"/>
  <c r="H3" i="5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I111" i="5" l="1"/>
  <c r="J111" i="5"/>
  <c r="K111" i="5"/>
  <c r="L111" i="5"/>
  <c r="L60" i="2"/>
  <c r="K60" i="2"/>
  <c r="J60" i="2"/>
  <c r="I60" i="2"/>
  <c r="H60" i="2"/>
  <c r="A58" i="2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L56" i="2"/>
  <c r="K56" i="2"/>
  <c r="J56" i="2"/>
  <c r="I56" i="2"/>
  <c r="H56" i="2"/>
  <c r="L55" i="2"/>
  <c r="K55" i="2"/>
  <c r="J55" i="2"/>
  <c r="I55" i="2"/>
  <c r="H55" i="2"/>
  <c r="L54" i="2"/>
  <c r="K54" i="2"/>
  <c r="J54" i="2"/>
  <c r="I54" i="2"/>
  <c r="H54" i="2"/>
  <c r="L53" i="2"/>
  <c r="K53" i="2"/>
  <c r="J53" i="2"/>
  <c r="I53" i="2"/>
  <c r="H53" i="2"/>
  <c r="L52" i="2"/>
  <c r="K52" i="2"/>
  <c r="J52" i="2"/>
  <c r="I52" i="2"/>
  <c r="H52" i="2"/>
  <c r="L51" i="2"/>
  <c r="K51" i="2"/>
  <c r="J51" i="2"/>
  <c r="I51" i="2"/>
  <c r="H51" i="2"/>
  <c r="L50" i="2"/>
  <c r="K50" i="2"/>
  <c r="J50" i="2"/>
  <c r="I50" i="2"/>
  <c r="H50" i="2"/>
  <c r="L49" i="2"/>
  <c r="K49" i="2"/>
  <c r="J49" i="2"/>
  <c r="I49" i="2"/>
  <c r="H49" i="2"/>
  <c r="L48" i="2"/>
  <c r="K48" i="2"/>
  <c r="J48" i="2"/>
  <c r="I48" i="2"/>
  <c r="H48" i="2"/>
  <c r="L47" i="2"/>
  <c r="K47" i="2"/>
  <c r="J47" i="2"/>
  <c r="I47" i="2"/>
  <c r="H47" i="2"/>
  <c r="L46" i="2"/>
  <c r="K46" i="2"/>
  <c r="J46" i="2"/>
  <c r="I46" i="2"/>
  <c r="H46" i="2"/>
  <c r="L45" i="2"/>
  <c r="K45" i="2"/>
  <c r="J45" i="2"/>
  <c r="I45" i="2"/>
  <c r="H45" i="2"/>
  <c r="L44" i="2"/>
  <c r="K44" i="2"/>
  <c r="J44" i="2"/>
  <c r="I44" i="2"/>
  <c r="H44" i="2"/>
  <c r="L43" i="2"/>
  <c r="K43" i="2"/>
  <c r="J43" i="2"/>
  <c r="I43" i="2"/>
  <c r="H43" i="2"/>
  <c r="L42" i="2"/>
  <c r="K42" i="2"/>
  <c r="J42" i="2"/>
  <c r="I42" i="2"/>
  <c r="H42" i="2"/>
  <c r="L41" i="2"/>
  <c r="K41" i="2"/>
  <c r="J41" i="2"/>
  <c r="I41" i="2"/>
  <c r="H41" i="2"/>
  <c r="L40" i="2"/>
  <c r="K40" i="2"/>
  <c r="J40" i="2"/>
  <c r="I40" i="2"/>
  <c r="H40" i="2"/>
  <c r="L39" i="2"/>
  <c r="K39" i="2"/>
  <c r="J39" i="2"/>
  <c r="I39" i="2"/>
  <c r="H39" i="2"/>
  <c r="L38" i="2"/>
  <c r="K38" i="2"/>
  <c r="J38" i="2"/>
  <c r="I38" i="2"/>
  <c r="H38" i="2"/>
  <c r="L37" i="2"/>
  <c r="K37" i="2"/>
  <c r="J37" i="2"/>
  <c r="I37" i="2"/>
  <c r="H37" i="2"/>
  <c r="L36" i="2"/>
  <c r="K36" i="2"/>
  <c r="J36" i="2"/>
  <c r="I36" i="2"/>
  <c r="H36" i="2"/>
  <c r="L35" i="2"/>
  <c r="K35" i="2"/>
  <c r="J35" i="2"/>
  <c r="I35" i="2"/>
  <c r="H35" i="2"/>
  <c r="L34" i="2"/>
  <c r="K34" i="2"/>
  <c r="J34" i="2"/>
  <c r="I34" i="2"/>
  <c r="H34" i="2"/>
  <c r="L33" i="2"/>
  <c r="K33" i="2"/>
  <c r="J33" i="2"/>
  <c r="I33" i="2"/>
  <c r="H33" i="2"/>
  <c r="L32" i="2"/>
  <c r="K32" i="2"/>
  <c r="J32" i="2"/>
  <c r="I32" i="2"/>
  <c r="H32" i="2"/>
  <c r="L31" i="2"/>
  <c r="K31" i="2"/>
  <c r="J31" i="2"/>
  <c r="I31" i="2"/>
  <c r="H31" i="2"/>
  <c r="L30" i="2"/>
  <c r="K30" i="2"/>
  <c r="J30" i="2"/>
  <c r="I30" i="2"/>
  <c r="H30" i="2"/>
  <c r="L29" i="2"/>
  <c r="K29" i="2"/>
  <c r="J29" i="2"/>
  <c r="I29" i="2"/>
  <c r="H29" i="2"/>
  <c r="L28" i="2"/>
  <c r="K28" i="2"/>
  <c r="J28" i="2"/>
  <c r="I28" i="2"/>
  <c r="H28" i="2"/>
  <c r="L27" i="2"/>
  <c r="K27" i="2"/>
  <c r="J27" i="2"/>
  <c r="I27" i="2"/>
  <c r="H27" i="2"/>
  <c r="L26" i="2"/>
  <c r="K26" i="2"/>
  <c r="J26" i="2"/>
  <c r="I26" i="2"/>
  <c r="H26" i="2"/>
  <c r="L25" i="2"/>
  <c r="K25" i="2"/>
  <c r="J25" i="2"/>
  <c r="I25" i="2"/>
  <c r="H25" i="2"/>
  <c r="L24" i="2"/>
  <c r="K24" i="2"/>
  <c r="J24" i="2"/>
  <c r="I24" i="2"/>
  <c r="H24" i="2"/>
  <c r="L23" i="2"/>
  <c r="K23" i="2"/>
  <c r="J23" i="2"/>
  <c r="I23" i="2"/>
  <c r="H23" i="2"/>
  <c r="L22" i="2"/>
  <c r="K22" i="2"/>
  <c r="J22" i="2"/>
  <c r="I22" i="2"/>
  <c r="H22" i="2"/>
  <c r="L21" i="2"/>
  <c r="K21" i="2"/>
  <c r="J21" i="2"/>
  <c r="I21" i="2"/>
  <c r="H21" i="2"/>
  <c r="L20" i="2"/>
  <c r="K20" i="2"/>
  <c r="J20" i="2"/>
  <c r="I20" i="2"/>
  <c r="H20" i="2"/>
  <c r="L19" i="2"/>
  <c r="K19" i="2"/>
  <c r="J19" i="2"/>
  <c r="I19" i="2"/>
  <c r="H19" i="2"/>
  <c r="L18" i="2"/>
  <c r="K18" i="2"/>
  <c r="J18" i="2"/>
  <c r="I18" i="2"/>
  <c r="H18" i="2"/>
  <c r="L17" i="2"/>
  <c r="K17" i="2"/>
  <c r="J17" i="2"/>
  <c r="I17" i="2"/>
  <c r="H17" i="2"/>
  <c r="L16" i="2"/>
  <c r="K16" i="2"/>
  <c r="J16" i="2"/>
  <c r="I16" i="2"/>
  <c r="H16" i="2"/>
  <c r="L15" i="2"/>
  <c r="K15" i="2"/>
  <c r="J15" i="2"/>
  <c r="I15" i="2"/>
  <c r="H15" i="2"/>
  <c r="L14" i="2"/>
  <c r="K14" i="2"/>
  <c r="J14" i="2"/>
  <c r="I14" i="2"/>
  <c r="H14" i="2"/>
  <c r="L13" i="2"/>
  <c r="K13" i="2"/>
  <c r="J13" i="2"/>
  <c r="I13" i="2"/>
  <c r="H13" i="2"/>
  <c r="L12" i="2"/>
  <c r="K12" i="2"/>
  <c r="J12" i="2"/>
  <c r="I12" i="2"/>
  <c r="H12" i="2"/>
  <c r="L11" i="2"/>
  <c r="K11" i="2"/>
  <c r="J11" i="2"/>
  <c r="I11" i="2"/>
  <c r="H11" i="2"/>
  <c r="L10" i="2"/>
  <c r="K10" i="2"/>
  <c r="J10" i="2"/>
  <c r="I10" i="2"/>
  <c r="H10" i="2"/>
  <c r="L9" i="2"/>
  <c r="K9" i="2"/>
  <c r="J9" i="2"/>
  <c r="I9" i="2"/>
  <c r="H9" i="2"/>
  <c r="L8" i="2"/>
  <c r="K8" i="2"/>
  <c r="J8" i="2"/>
  <c r="I8" i="2"/>
  <c r="H8" i="2"/>
  <c r="L7" i="2"/>
  <c r="K7" i="2"/>
  <c r="J7" i="2"/>
  <c r="I7" i="2"/>
  <c r="H7" i="2"/>
  <c r="L6" i="2"/>
  <c r="K6" i="2"/>
  <c r="J6" i="2"/>
  <c r="I6" i="2"/>
  <c r="H6" i="2"/>
  <c r="L5" i="2"/>
  <c r="K5" i="2"/>
  <c r="J5" i="2"/>
  <c r="I5" i="2"/>
  <c r="H5" i="2"/>
  <c r="L4" i="2"/>
  <c r="K4" i="2"/>
  <c r="J4" i="2"/>
  <c r="I4" i="2"/>
  <c r="H4" i="2"/>
  <c r="L3" i="2"/>
  <c r="K3" i="2"/>
  <c r="J3" i="2"/>
  <c r="I3" i="2"/>
  <c r="H3" i="2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79" i="2" l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J108" i="2"/>
  <c r="K108" i="2"/>
  <c r="H108" i="2"/>
  <c r="L108" i="2"/>
  <c r="I108" i="2"/>
  <c r="F6" i="3"/>
  <c r="H55" i="6"/>
  <c r="D6" i="3" s="1"/>
  <c r="A10" i="6"/>
  <c r="A11" i="6" s="1"/>
  <c r="A13" i="6" s="1"/>
  <c r="A4" i="6"/>
  <c r="A5" i="6" s="1"/>
  <c r="A6" i="6" s="1"/>
  <c r="A7" i="6" s="1"/>
  <c r="A8" i="6" s="1"/>
  <c r="K55" i="6"/>
  <c r="G6" i="3" s="1"/>
  <c r="J55" i="6"/>
  <c r="I55" i="6"/>
  <c r="E6" i="3" s="1"/>
  <c r="G55" i="6"/>
  <c r="C6" i="3" s="1"/>
  <c r="D5" i="3"/>
  <c r="A53" i="5"/>
  <c r="A54" i="5" s="1"/>
  <c r="G5" i="3"/>
  <c r="F5" i="3"/>
  <c r="E5" i="3"/>
  <c r="H111" i="5"/>
  <c r="C5" i="3" s="1"/>
  <c r="L52" i="4"/>
  <c r="G4" i="3" s="1"/>
  <c r="K52" i="4"/>
  <c r="F4" i="3" s="1"/>
  <c r="J52" i="4"/>
  <c r="E4" i="3" s="1"/>
  <c r="I52" i="4"/>
  <c r="D4" i="3" s="1"/>
  <c r="H52" i="4"/>
  <c r="C4" i="3" s="1"/>
  <c r="A36" i="4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H6" i="3" l="1"/>
  <c r="H4" i="3"/>
  <c r="H5" i="3"/>
  <c r="A12" i="6"/>
  <c r="A14" i="6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6" i="5"/>
  <c r="A57" i="5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55" i="5"/>
  <c r="A79" i="5" l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C3" i="3"/>
  <c r="D3" i="3" l="1"/>
  <c r="E3" i="3" l="1"/>
  <c r="H3" i="3" s="1"/>
  <c r="F3" i="3" l="1"/>
  <c r="G3" i="3" l="1"/>
</calcChain>
</file>

<file path=xl/sharedStrings.xml><?xml version="1.0" encoding="utf-8"?>
<sst xmlns="http://schemas.openxmlformats.org/spreadsheetml/2006/main" count="767" uniqueCount="216">
  <si>
    <t>Correct Y / N</t>
  </si>
  <si>
    <t>Test Case</t>
  </si>
  <si>
    <t>Expected Results</t>
  </si>
  <si>
    <t>Bug  ID</t>
  </si>
  <si>
    <t>Notes</t>
  </si>
  <si>
    <t>Pass</t>
  </si>
  <si>
    <t>Fail</t>
  </si>
  <si>
    <t>N/A</t>
  </si>
  <si>
    <t>Not Now</t>
  </si>
  <si>
    <t>To be Tested</t>
  </si>
  <si>
    <t>TOTAL</t>
  </si>
  <si>
    <t>Input data / Action / Field Name</t>
  </si>
  <si>
    <t>Data Dictionary</t>
  </si>
  <si>
    <t>Access to company</t>
  </si>
  <si>
    <t>Generic Roles</t>
  </si>
  <si>
    <t>Role maintenance per user</t>
  </si>
  <si>
    <t>New page should be displayed</t>
  </si>
  <si>
    <t>User ID</t>
  </si>
  <si>
    <t>Should be free text,</t>
  </si>
  <si>
    <t>Domain</t>
  </si>
  <si>
    <t>Dropdown menu with</t>
  </si>
  <si>
    <t>MUD</t>
  </si>
  <si>
    <t>MNS</t>
  </si>
  <si>
    <t>Internal</t>
  </si>
  <si>
    <t>OR User Code</t>
  </si>
  <si>
    <t>Search Button</t>
  </si>
  <si>
    <t>Reset Button</t>
  </si>
  <si>
    <t>When invoked, should clear all values captured</t>
  </si>
  <si>
    <t>Select MUD</t>
  </si>
  <si>
    <t>Click Search</t>
  </si>
  <si>
    <t>New section should be displayed with the following</t>
  </si>
  <si>
    <t>User Code</t>
  </si>
  <si>
    <t>User Name</t>
  </si>
  <si>
    <t>RACF ID</t>
  </si>
  <si>
    <t>Table for Company and Linked Button</t>
  </si>
  <si>
    <t>Following Companies should be there</t>
  </si>
  <si>
    <t>Blue Ink</t>
  </si>
  <si>
    <t>CCCIM</t>
  </si>
  <si>
    <t>Credit Product</t>
  </si>
  <si>
    <t>H4 Collective Investments</t>
  </si>
  <si>
    <t>INNOFIN</t>
  </si>
  <si>
    <t>IO ALTERNATIVE STRATEGY PLC</t>
  </si>
  <si>
    <t>Manco</t>
  </si>
  <si>
    <t>Ryan's own</t>
  </si>
  <si>
    <t>SANLAM OFFSHORE INVESTMENTS</t>
  </si>
  <si>
    <t>SATRIX</t>
  </si>
  <si>
    <t>SCI RSA</t>
  </si>
  <si>
    <t>SEB INVESTMENT ADMIN</t>
  </si>
  <si>
    <t>SEB NAMIBIA</t>
  </si>
  <si>
    <t>SWAZILAND</t>
  </si>
  <si>
    <t>UNIT TRUSTS NAMIBIA</t>
  </si>
  <si>
    <t>UNIV &amp; GLOBAL FUNDS</t>
  </si>
  <si>
    <t>User should be linked to only</t>
  </si>
  <si>
    <t>Click Update</t>
  </si>
  <si>
    <t>Message should be displayed:
The user/company detail has been updated</t>
  </si>
  <si>
    <t>Logout of system</t>
  </si>
  <si>
    <t>User should be logged out</t>
  </si>
  <si>
    <t>Capture User Name</t>
  </si>
  <si>
    <t>Capture Password</t>
  </si>
  <si>
    <t>Hit Enter Key</t>
  </si>
  <si>
    <t>Captured</t>
  </si>
  <si>
    <t>Because user is only linked to 1 Company, when it should log you in automatically</t>
  </si>
  <si>
    <t>Lading Page should be displayed</t>
  </si>
  <si>
    <t>Select YES for SEB Namibia</t>
  </si>
  <si>
    <t>Select NO for SEB Namibia</t>
  </si>
  <si>
    <t>Dropdown menuwith</t>
  </si>
  <si>
    <t>Click Log on</t>
  </si>
  <si>
    <t>User should be logged in, and taken to the Landing Page</t>
  </si>
  <si>
    <t>Create New User</t>
  </si>
  <si>
    <t>Recf ID</t>
  </si>
  <si>
    <t>Capture e933154</t>
  </si>
  <si>
    <t>Click Search Button</t>
  </si>
  <si>
    <t xml:space="preserve">If user already exists on application,
the following message should be displayed
The user exists on SUTUWA </t>
  </si>
  <si>
    <t>Capture g902162</t>
  </si>
  <si>
    <t>If the user doesn't exist, New Section should be displayed</t>
  </si>
  <si>
    <t>The following should be displayed</t>
  </si>
  <si>
    <t>Telephone Number</t>
  </si>
  <si>
    <t>Manager</t>
  </si>
  <si>
    <t>Manager Telephone Number</t>
  </si>
  <si>
    <t>Department</t>
  </si>
  <si>
    <t>Voice Channel</t>
  </si>
  <si>
    <t>Email Address</t>
  </si>
  <si>
    <t>Dropdown menu</t>
  </si>
  <si>
    <t>Select Unit Trust HQ</t>
  </si>
  <si>
    <t>Unit Trust HQ</t>
  </si>
  <si>
    <t>Investment and New Business</t>
  </si>
  <si>
    <t>Bulk</t>
  </si>
  <si>
    <t>Enquiries</t>
  </si>
  <si>
    <t>Capture Tester01</t>
  </si>
  <si>
    <t>0219478916</t>
  </si>
  <si>
    <t>Rushda</t>
  </si>
  <si>
    <t>POP</t>
  </si>
  <si>
    <t>jannie.basson@sanlam.co.za</t>
  </si>
  <si>
    <t>Click Create</t>
  </si>
  <si>
    <t>User Detail Tab</t>
  </si>
  <si>
    <t>Settings Tab</t>
  </si>
  <si>
    <t>System Settings</t>
  </si>
  <si>
    <t>Create Notes</t>
  </si>
  <si>
    <t>Update Notes</t>
  </si>
  <si>
    <t>Radio button with Yes / No - Default</t>
  </si>
  <si>
    <t>Radio button with No / Yes - Default</t>
  </si>
  <si>
    <t>Work Settings</t>
  </si>
  <si>
    <t>User Profile Enabled</t>
  </si>
  <si>
    <t>Start Date</t>
  </si>
  <si>
    <t>End Date</t>
  </si>
  <si>
    <t>dd/mm/ccyy</t>
  </si>
  <si>
    <t>Repurchas Settings</t>
  </si>
  <si>
    <t>Limit Repurchase Amount</t>
  </si>
  <si>
    <t>Amount</t>
  </si>
  <si>
    <t>Days</t>
  </si>
  <si>
    <r>
      <t xml:space="preserve">Radio button with </t>
    </r>
    <r>
      <rPr>
        <b/>
        <sz val="10"/>
        <color theme="1"/>
        <rFont val="Arial"/>
        <family val="2"/>
      </rPr>
      <t xml:space="preserve">Yes </t>
    </r>
    <r>
      <rPr>
        <sz val="10"/>
        <color theme="1"/>
        <rFont val="Arial"/>
        <family val="2"/>
      </rPr>
      <t>/ No - Default</t>
    </r>
  </si>
  <si>
    <t>Capture 1000</t>
  </si>
  <si>
    <r>
      <t xml:space="preserve">dd/mm/ccyy - Required field
</t>
    </r>
    <r>
      <rPr>
        <b/>
        <sz val="10"/>
        <color theme="1"/>
        <rFont val="Arial"/>
        <family val="2"/>
      </rPr>
      <t>Capture = 01/08/2014</t>
    </r>
  </si>
  <si>
    <t>Message should be displayed:
User is created successfully. User code !U is allocated</t>
  </si>
  <si>
    <t>User Enquiry</t>
  </si>
  <si>
    <t>Go to:
Administrator &gt; User Administration &gt; User Enquiry</t>
  </si>
  <si>
    <t>Go to:
Administrator &gt; User Administration &gt; User / Company Maintenance</t>
  </si>
  <si>
    <t>TABS</t>
  </si>
  <si>
    <t>User Detail</t>
  </si>
  <si>
    <t>Settings</t>
  </si>
  <si>
    <t>Menu's &amp; Roles</t>
  </si>
  <si>
    <t>Campany &amp; Role</t>
  </si>
  <si>
    <t>Restrictions</t>
  </si>
  <si>
    <t>g902162</t>
  </si>
  <si>
    <t>Tester01</t>
  </si>
  <si>
    <t>No</t>
  </si>
  <si>
    <t>Yes</t>
  </si>
  <si>
    <t>01/08/2014</t>
  </si>
  <si>
    <t>Blank</t>
  </si>
  <si>
    <t>1000</t>
  </si>
  <si>
    <t>Menu's &amp; Roles Tab</t>
  </si>
  <si>
    <t>SEB Investment Admin</t>
  </si>
  <si>
    <t>Should be the Company that the user is linked to</t>
  </si>
  <si>
    <t>Administrator</t>
  </si>
  <si>
    <t>Should be visible next to this dropdown menu</t>
  </si>
  <si>
    <t>Company &amp; Role Tab</t>
  </si>
  <si>
    <t>Company</t>
  </si>
  <si>
    <t>Role</t>
  </si>
  <si>
    <t>Restrictions Tab</t>
  </si>
  <si>
    <t>PSNID / PP Code</t>
  </si>
  <si>
    <t>Name</t>
  </si>
  <si>
    <t>"No restrictions exist</t>
  </si>
  <si>
    <t>Go to:
Administrator &gt; User Administration &gt; User Maintenace</t>
  </si>
  <si>
    <t xml:space="preserve">Select </t>
  </si>
  <si>
    <t>Select tick box ( default unselected)</t>
  </si>
  <si>
    <t>List of menu items should be displayed</t>
  </si>
  <si>
    <t>Role should be a dropdown list</t>
  </si>
  <si>
    <t>Change button available</t>
  </si>
  <si>
    <t>Change Role to SEB Tester</t>
  </si>
  <si>
    <t>Click Change</t>
  </si>
  <si>
    <t>Page should change back to view only</t>
  </si>
  <si>
    <t>Role should be changed</t>
  </si>
  <si>
    <t>User Profile should not be updated</t>
  </si>
  <si>
    <t xml:space="preserve">The following message should be displayed:
The User's details has been updated successfully </t>
  </si>
  <si>
    <t>PSNID</t>
  </si>
  <si>
    <t>Primary Product</t>
  </si>
  <si>
    <t xml:space="preserve">Should be dropdown menu for all </t>
  </si>
  <si>
    <t>Go to:
Administrator &gt; Role Maintenance</t>
  </si>
  <si>
    <t>Role Maintenance</t>
  </si>
  <si>
    <t>List of all the available companies should be displayed</t>
  </si>
  <si>
    <t>Select SEB Investment Admin</t>
  </si>
  <si>
    <t>New Section should be displayed</t>
  </si>
  <si>
    <t>Roles</t>
  </si>
  <si>
    <t>Dropdown menu with all available roles</t>
  </si>
  <si>
    <t>Buttons</t>
  </si>
  <si>
    <t>Add Menus</t>
  </si>
  <si>
    <t>Create New</t>
  </si>
  <si>
    <t>View</t>
  </si>
  <si>
    <t>Maintain</t>
  </si>
  <si>
    <t>Delete</t>
  </si>
  <si>
    <t>Save</t>
  </si>
  <si>
    <t>Reset</t>
  </si>
  <si>
    <t>Cancel</t>
  </si>
  <si>
    <t>Enabled</t>
  </si>
  <si>
    <t>Disable</t>
  </si>
  <si>
    <t>Select Administrator</t>
  </si>
  <si>
    <t>View Existing Role</t>
  </si>
  <si>
    <t>Role Selected</t>
  </si>
  <si>
    <t>Click View</t>
  </si>
  <si>
    <t>Default Role</t>
  </si>
  <si>
    <t>Selected</t>
  </si>
  <si>
    <t>Menus</t>
  </si>
  <si>
    <t>Name Tab</t>
  </si>
  <si>
    <t>System settings</t>
  </si>
  <si>
    <t>Create notes</t>
  </si>
  <si>
    <t>Update notes</t>
  </si>
  <si>
    <t>Repurchase settings</t>
  </si>
  <si>
    <t>Unselected</t>
  </si>
  <si>
    <t>Menus Tab</t>
  </si>
  <si>
    <t>Root</t>
  </si>
  <si>
    <t>Client Enquiries</t>
  </si>
  <si>
    <t>Client Maintenance</t>
  </si>
  <si>
    <t>General Enquireies</t>
  </si>
  <si>
    <t>Marketer Admin</t>
  </si>
  <si>
    <t>Offshore</t>
  </si>
  <si>
    <t>Reports</t>
  </si>
  <si>
    <t>System4systems</t>
  </si>
  <si>
    <t>Treasurer</t>
  </si>
  <si>
    <t>Unit Transactions</t>
  </si>
  <si>
    <t>Workflow</t>
  </si>
  <si>
    <t>Should be marked with a "x"</t>
  </si>
  <si>
    <t>Do the same above 1.1-1.37</t>
  </si>
  <si>
    <t>Go to:
Administrator &gt; User Administration &gt; Create User</t>
  </si>
  <si>
    <t>Repurchase Settings</t>
  </si>
  <si>
    <t>Shows multi -skilled CDA</t>
  </si>
  <si>
    <t>Role - reflects multiskilled CDA</t>
  </si>
  <si>
    <t>Delete Company  Tab</t>
  </si>
  <si>
    <t>Delete button</t>
  </si>
  <si>
    <t>tick box where role can be deleted</t>
  </si>
  <si>
    <t>Capture E933154 (current tester ID)</t>
  </si>
  <si>
    <t>Not on list</t>
  </si>
  <si>
    <t>Correct 
Y / N</t>
  </si>
  <si>
    <t>Current Test ID</t>
  </si>
  <si>
    <t>What it is not clear enough</t>
  </si>
  <si>
    <t>Option not available on Development Enviroment</t>
  </si>
  <si>
    <t>'Option not available on Development Enviroment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</si>
</sst>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Arial"/>
      <family val="2"/>
    </font>
    <font>
      <b/>
      <sz val="10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0" borderId="0" xfId="0" applyAlignment="1">
      <alignment wrapText="1"/>
    </xf>
    <xf numFmtId="0" fontId="3" fillId="0" borderId="1" xfId="0" applyFont="1" applyBorder="1" applyAlignment="1">
      <alignment wrapText="1"/>
    </xf>
    <xf numFmtId="0" fontId="0" fillId="3" borderId="0" xfId="0" applyFill="1"/>
    <xf numFmtId="164" fontId="0" fillId="0" borderId="0" xfId="0" applyNumberFormat="1" applyAlignment="1">
      <alignment wrapText="1"/>
    </xf>
    <xf numFmtId="164" fontId="1" fillId="3" borderId="2" xfId="0" applyNumberFormat="1" applyFont="1" applyFill="1" applyBorder="1" applyAlignment="1">
      <alignment vertical="center" wrapText="1"/>
    </xf>
    <xf numFmtId="0" fontId="1" fillId="3" borderId="2" xfId="0" applyFont="1" applyFill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wrapText="1"/>
    </xf>
    <xf numFmtId="0" fontId="1" fillId="3" borderId="2" xfId="0" applyFont="1" applyFill="1" applyBorder="1" applyAlignment="1">
      <alignment horizontal="left" vertical="center" wrapText="1"/>
    </xf>
    <xf numFmtId="164" fontId="2" fillId="2" borderId="2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2" fillId="2" borderId="2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164" fontId="6" fillId="5" borderId="2" xfId="0" applyNumberFormat="1" applyFont="1" applyFill="1" applyBorder="1" applyAlignment="1">
      <alignment vertical="center" wrapText="1"/>
    </xf>
    <xf numFmtId="0" fontId="6" fillId="5" borderId="2" xfId="0" applyFont="1" applyFill="1" applyBorder="1" applyAlignment="1">
      <alignment vertical="center" wrapText="1"/>
    </xf>
    <xf numFmtId="0" fontId="6" fillId="5" borderId="2" xfId="0" applyFont="1" applyFill="1" applyBorder="1" applyAlignment="1">
      <alignment horizontal="left" vertical="center" wrapText="1"/>
    </xf>
    <xf numFmtId="0" fontId="5" fillId="5" borderId="2" xfId="0" applyFont="1" applyFill="1" applyBorder="1" applyAlignment="1">
      <alignment wrapText="1"/>
    </xf>
    <xf numFmtId="0" fontId="3" fillId="0" borderId="0" xfId="0" applyFont="1" applyAlignment="1">
      <alignment wrapText="1"/>
    </xf>
    <xf numFmtId="0" fontId="1" fillId="0" borderId="2" xfId="0" quotePrefix="1" applyFont="1" applyBorder="1" applyAlignment="1">
      <alignment vertical="center" wrapText="1"/>
    </xf>
    <xf numFmtId="0" fontId="2" fillId="2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left" vertical="center" wrapText="1" indent="1"/>
    </xf>
    <xf numFmtId="164" fontId="1" fillId="3" borderId="4" xfId="0" applyNumberFormat="1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 wrapText="1"/>
    </xf>
    <xf numFmtId="0" fontId="1" fillId="3" borderId="5" xfId="0" applyFont="1" applyFill="1" applyBorder="1" applyAlignment="1">
      <alignment vertical="center" wrapText="1"/>
    </xf>
    <xf numFmtId="0" fontId="1" fillId="0" borderId="6" xfId="0" applyFont="1" applyBorder="1" applyAlignment="1">
      <alignment vertical="center" wrapText="1"/>
    </xf>
    <xf numFmtId="0" fontId="1" fillId="3" borderId="3" xfId="0" applyFont="1" applyFill="1" applyBorder="1" applyAlignment="1">
      <alignment horizontal="left" vertical="center" wrapText="1"/>
    </xf>
    <xf numFmtId="0" fontId="1" fillId="3" borderId="3" xfId="0" applyFont="1" applyFill="1" applyBorder="1" applyAlignment="1">
      <alignment horizontal="left" vertical="center" wrapText="1" indent="1"/>
    </xf>
    <xf numFmtId="0" fontId="1" fillId="3" borderId="7" xfId="0" applyFont="1" applyFill="1" applyBorder="1" applyAlignment="1">
      <alignment vertical="center" wrapText="1"/>
    </xf>
    <xf numFmtId="0" fontId="1" fillId="3" borderId="6" xfId="0" applyFont="1" applyFill="1" applyBorder="1" applyAlignment="1">
      <alignment vertical="center" wrapText="1"/>
    </xf>
    <xf numFmtId="0" fontId="7" fillId="0" borderId="2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1" fillId="3" borderId="3" xfId="0" applyFont="1" applyFill="1" applyBorder="1" applyAlignment="1">
      <alignment horizontal="left" vertical="center" indent="1"/>
    </xf>
    <xf numFmtId="0" fontId="1" fillId="3" borderId="5" xfId="0" applyFont="1" applyFill="1" applyBorder="1" applyAlignment="1">
      <alignment horizontal="left" vertical="center" wrapText="1" indent="1"/>
    </xf>
    <xf numFmtId="0" fontId="1" fillId="3" borderId="7" xfId="0" applyFont="1" applyFill="1" applyBorder="1" applyAlignment="1">
      <alignment horizontal="left" vertical="center" wrapText="1" indent="1"/>
    </xf>
    <xf numFmtId="0" fontId="1" fillId="3" borderId="6" xfId="0" applyFont="1" applyFill="1" applyBorder="1" applyAlignment="1">
      <alignment horizontal="left" vertical="center" wrapText="1" indent="1"/>
    </xf>
    <xf numFmtId="0" fontId="1" fillId="0" borderId="2" xfId="0" applyFont="1" applyBorder="1" applyAlignment="1">
      <alignment horizontal="left" vertical="center" wrapText="1"/>
    </xf>
    <xf numFmtId="0" fontId="1" fillId="0" borderId="2" xfId="0" quotePrefix="1" applyFont="1" applyBorder="1" applyAlignment="1">
      <alignment horizontal="left" vertical="center" wrapText="1"/>
    </xf>
    <xf numFmtId="0" fontId="7" fillId="3" borderId="2" xfId="0" applyFont="1" applyFill="1" applyBorder="1" applyAlignment="1">
      <alignment vertical="center" wrapText="1"/>
    </xf>
    <xf numFmtId="0" fontId="7" fillId="6" borderId="2" xfId="0" applyFont="1" applyFill="1" applyBorder="1" applyAlignment="1">
      <alignment vertical="center" wrapText="1"/>
    </xf>
    <xf numFmtId="0" fontId="1" fillId="6" borderId="2" xfId="0" applyFont="1" applyFill="1" applyBorder="1" applyAlignment="1">
      <alignment horizontal="left" vertical="center" wrapText="1"/>
    </xf>
    <xf numFmtId="0" fontId="7" fillId="6" borderId="5" xfId="0" applyFont="1" applyFill="1" applyBorder="1" applyAlignment="1">
      <alignment horizontal="left" vertical="center" wrapText="1"/>
    </xf>
    <xf numFmtId="0" fontId="1" fillId="3" borderId="5" xfId="0" applyFont="1" applyFill="1" applyBorder="1" applyAlignment="1">
      <alignment horizontal="left" vertical="center" wrapText="1"/>
    </xf>
    <xf numFmtId="0" fontId="1" fillId="3" borderId="6" xfId="0" applyFont="1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left" vertical="center"/>
    </xf>
    <xf numFmtId="0" fontId="1" fillId="3" borderId="3" xfId="0" applyFont="1" applyFill="1" applyBorder="1" applyAlignment="1">
      <alignment horizontal="left" vertical="center"/>
    </xf>
    <xf numFmtId="0" fontId="7" fillId="6" borderId="5" xfId="0" applyFont="1" applyFill="1" applyBorder="1" applyAlignment="1">
      <alignment vertical="center" wrapText="1"/>
    </xf>
    <xf numFmtId="0" fontId="1" fillId="3" borderId="3" xfId="0" quotePrefix="1" applyFont="1" applyFill="1" applyBorder="1" applyAlignment="1">
      <alignment horizontal="left" vertical="center" wrapText="1"/>
    </xf>
    <xf numFmtId="0" fontId="8" fillId="0" borderId="2" xfId="0" applyFont="1" applyBorder="1" applyAlignment="1">
      <alignment vertical="center" wrapText="1"/>
    </xf>
    <xf numFmtId="0" fontId="6" fillId="5" borderId="5" xfId="0" applyFont="1" applyFill="1" applyBorder="1" applyAlignment="1">
      <alignment vertical="center" wrapText="1"/>
    </xf>
    <xf numFmtId="0" fontId="7" fillId="3" borderId="7" xfId="0" applyFont="1" applyFill="1" applyBorder="1" applyAlignment="1">
      <alignment vertical="center" wrapText="1"/>
    </xf>
    <xf numFmtId="0" fontId="7" fillId="3" borderId="5" xfId="0" applyFont="1" applyFill="1" applyBorder="1" applyAlignment="1">
      <alignment vertical="center" wrapText="1"/>
    </xf>
    <xf numFmtId="0" fontId="1" fillId="0" borderId="2" xfId="0" applyFont="1" applyFill="1" applyBorder="1" applyAlignment="1">
      <alignment vertical="center" wrapText="1"/>
    </xf>
    <xf numFmtId="0" fontId="9" fillId="2" borderId="2" xfId="0" applyFont="1" applyFill="1" applyBorder="1" applyAlignment="1">
      <alignment wrapText="1"/>
    </xf>
    <xf numFmtId="0" fontId="10" fillId="3" borderId="5" xfId="0" applyFont="1" applyFill="1" applyBorder="1" applyAlignment="1">
      <alignment horizontal="center" vertical="center" wrapText="1"/>
    </xf>
    <xf numFmtId="0" fontId="10" fillId="3" borderId="7" xfId="0" applyFont="1" applyFill="1" applyBorder="1" applyAlignment="1">
      <alignment horizontal="center" vertical="center" wrapText="1"/>
    </xf>
    <xf numFmtId="0" fontId="10" fillId="3" borderId="6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center" vertical="center" wrapText="1"/>
    </xf>
    <xf numFmtId="0" fontId="8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wrapText="1"/>
    </xf>
    <xf numFmtId="0" fontId="2" fillId="2" borderId="4" xfId="0" applyFont="1" applyFill="1" applyBorder="1" applyAlignment="1">
      <alignment wrapText="1"/>
    </xf>
    <xf numFmtId="0" fontId="6" fillId="5" borderId="6" xfId="0" applyFont="1" applyFill="1" applyBorder="1" applyAlignment="1">
      <alignment vertical="center" wrapText="1"/>
    </xf>
    <xf numFmtId="0" fontId="2" fillId="2" borderId="3" xfId="0" applyFont="1" applyFill="1" applyBorder="1" applyAlignment="1">
      <alignment horizontal="center" wrapText="1"/>
    </xf>
    <xf numFmtId="0" fontId="6" fillId="5" borderId="6" xfId="0" applyFont="1" applyFill="1" applyBorder="1" applyAlignment="1">
      <alignment horizontal="left" vertical="center" wrapText="1"/>
    </xf>
    <xf numFmtId="0" fontId="9" fillId="2" borderId="2" xfId="0" applyFont="1" applyFill="1" applyBorder="1" applyAlignment="1">
      <alignment horizontal="left" vertical="center" wrapText="1"/>
    </xf>
    <xf numFmtId="0" fontId="10" fillId="3" borderId="5" xfId="0" quotePrefix="1" applyFont="1" applyFill="1" applyBorder="1" applyAlignment="1">
      <alignment horizontal="center" vertical="center" wrapText="1"/>
    </xf>
    <xf numFmtId="0" fontId="10" fillId="3" borderId="7" xfId="0" quotePrefix="1" applyFont="1" applyFill="1" applyBorder="1" applyAlignment="1">
      <alignment horizontal="center" vertical="center" wrapText="1"/>
    </xf>
    <xf numFmtId="0" fontId="10" fillId="3" borderId="6" xfId="0" quotePrefix="1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</cellXfs>
  <cellStyles count="1">
    <cellStyle name="Normal" xfId="0" builtinId="0"/>
  </cellStyles>
  <dxfs count="111"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</xdr:row>
          <xdr:rowOff>57150</xdr:rowOff>
        </xdr:from>
        <xdr:to>
          <xdr:col>0</xdr:col>
          <xdr:colOff>581025</xdr:colOff>
          <xdr:row>8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581025</xdr:colOff>
          <xdr:row>2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9525</xdr:rowOff>
        </xdr:from>
        <xdr:to>
          <xdr:col>0</xdr:col>
          <xdr:colOff>581025</xdr:colOff>
          <xdr:row>3</xdr:row>
          <xdr:rowOff>171450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9525</xdr:rowOff>
        </xdr:from>
        <xdr:to>
          <xdr:col>0</xdr:col>
          <xdr:colOff>581025</xdr:colOff>
          <xdr:row>4</xdr:row>
          <xdr:rowOff>171450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</xdr:row>
          <xdr:rowOff>9525</xdr:rowOff>
        </xdr:from>
        <xdr:to>
          <xdr:col>0</xdr:col>
          <xdr:colOff>581025</xdr:colOff>
          <xdr:row>5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2114550</xdr:colOff>
          <xdr:row>0</xdr:row>
          <xdr:rowOff>57150</xdr:rowOff>
        </xdr:from>
        <xdr:to>
          <xdr:col>2</xdr:col>
          <xdr:colOff>2924175</xdr:colOff>
          <xdr:row>0</xdr:row>
          <xdr:rowOff>342900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2114550</xdr:colOff>
          <xdr:row>0</xdr:row>
          <xdr:rowOff>57150</xdr:rowOff>
        </xdr:from>
        <xdr:to>
          <xdr:col>2</xdr:col>
          <xdr:colOff>2924175</xdr:colOff>
          <xdr:row>0</xdr:row>
          <xdr:rowOff>342900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2114550</xdr:colOff>
          <xdr:row>0</xdr:row>
          <xdr:rowOff>57150</xdr:rowOff>
        </xdr:from>
        <xdr:to>
          <xdr:col>2</xdr:col>
          <xdr:colOff>2924175</xdr:colOff>
          <xdr:row>0</xdr:row>
          <xdr:rowOff>342900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0</xdr:col>
          <xdr:colOff>685800</xdr:colOff>
          <xdr:row>0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H7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9.140625" style="3"/>
    <col min="2" max="2" width="46.28515625" style="3" bestFit="1" customWidth="1"/>
    <col min="3" max="8" width="15" style="3" customWidth="1"/>
    <col min="9" max="16384" width="9.140625" style="3"/>
  </cols>
  <sheetData>
    <row r="2" spans="2:8" x14ac:dyDescent="0.25">
      <c r="B2" s="13"/>
      <c r="C2" s="13" t="s">
        <v>5</v>
      </c>
      <c r="D2" s="13" t="s">
        <v>6</v>
      </c>
      <c r="E2" s="13" t="s">
        <v>9</v>
      </c>
      <c r="F2" s="13" t="s">
        <v>7</v>
      </c>
      <c r="G2" s="13" t="s">
        <v>8</v>
      </c>
      <c r="H2" s="13" t="s">
        <v>10</v>
      </c>
    </row>
    <row r="3" spans="2:8" x14ac:dyDescent="0.25">
      <c r="B3" s="22" t="s">
        <v>13</v>
      </c>
      <c r="C3" s="14">
        <f>'Test Case'!H108</f>
        <v>59</v>
      </c>
      <c r="D3" s="14">
        <f>'Test Case'!I108</f>
        <v>0</v>
      </c>
      <c r="E3" s="14">
        <f>'Test Case'!J108</f>
        <v>0</v>
      </c>
      <c r="F3" s="15">
        <f>'Test Case'!K108</f>
        <v>1</v>
      </c>
      <c r="G3" s="15">
        <f>'Test Case'!L108</f>
        <v>44</v>
      </c>
      <c r="H3" s="14">
        <f>SUM(C3:E3)</f>
        <v>59</v>
      </c>
    </row>
    <row r="4" spans="2:8" x14ac:dyDescent="0.25">
      <c r="B4" s="13" t="s">
        <v>14</v>
      </c>
      <c r="C4" s="14">
        <f>'2'!H52</f>
        <v>48</v>
      </c>
      <c r="D4" s="14">
        <f>'2'!I52</f>
        <v>0</v>
      </c>
      <c r="E4" s="14">
        <f>'2'!J52</f>
        <v>0</v>
      </c>
      <c r="F4" s="15">
        <f>'2'!K52</f>
        <v>0</v>
      </c>
      <c r="G4" s="15">
        <f>'2'!L52</f>
        <v>0</v>
      </c>
      <c r="H4" s="14">
        <f t="shared" ref="H4:H6" si="0">SUM(C4:E4)</f>
        <v>48</v>
      </c>
    </row>
    <row r="5" spans="2:8" x14ac:dyDescent="0.25">
      <c r="B5" s="13" t="s">
        <v>15</v>
      </c>
      <c r="C5" s="14">
        <f>'3'!H111</f>
        <v>95</v>
      </c>
      <c r="D5" s="14">
        <f>'3'!I111</f>
        <v>0</v>
      </c>
      <c r="E5" s="14">
        <f>'3'!J111</f>
        <v>0</v>
      </c>
      <c r="F5" s="15">
        <f>'3'!K111</f>
        <v>0</v>
      </c>
      <c r="G5" s="15">
        <f>'3'!L111</f>
        <v>12</v>
      </c>
      <c r="H5" s="14">
        <f t="shared" si="0"/>
        <v>95</v>
      </c>
    </row>
    <row r="6" spans="2:8" x14ac:dyDescent="0.25">
      <c r="B6" s="13">
        <v>4</v>
      </c>
      <c r="C6" s="14">
        <f>'4'!G55</f>
        <v>0</v>
      </c>
      <c r="D6" s="14">
        <f>'4'!H55</f>
        <v>0</v>
      </c>
      <c r="E6" s="14">
        <f>'4'!I55</f>
        <v>0</v>
      </c>
      <c r="F6" s="15">
        <f>'4'!J55</f>
        <v>0</v>
      </c>
      <c r="G6" s="15">
        <f>'4'!K55</f>
        <v>0</v>
      </c>
      <c r="H6" s="14">
        <f t="shared" si="0"/>
        <v>0</v>
      </c>
    </row>
    <row r="7" spans="2:8" x14ac:dyDescent="0.25">
      <c r="B7" s="13"/>
      <c r="C7" s="14"/>
      <c r="D7" s="14"/>
      <c r="E7" s="14"/>
      <c r="F7" s="15"/>
      <c r="G7" s="15"/>
      <c r="H7" s="1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7</xdr:row>
                    <xdr:rowOff>57150</xdr:rowOff>
                  </from>
                  <to>
                    <xdr:col>0</xdr:col>
                    <xdr:colOff>581025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1_Click">
                <anchor moveWithCells="1">
                  <from>
                    <xdr:col>0</xdr:col>
                    <xdr:colOff>38100</xdr:colOff>
                    <xdr:row>2</xdr:row>
                    <xdr:rowOff>9525</xdr:rowOff>
                  </from>
                  <to>
                    <xdr:col>0</xdr:col>
                    <xdr:colOff>581025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2_Click">
                <anchor moveWithCells="1">
                  <from>
                    <xdr:col>0</xdr:col>
                    <xdr:colOff>38100</xdr:colOff>
                    <xdr:row>3</xdr:row>
                    <xdr:rowOff>9525</xdr:rowOff>
                  </from>
                  <to>
                    <xdr:col>0</xdr:col>
                    <xdr:colOff>581025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3_Click">
                <anchor moveWithCells="1">
                  <from>
                    <xdr:col>0</xdr:col>
                    <xdr:colOff>38100</xdr:colOff>
                    <xdr:row>4</xdr:row>
                    <xdr:rowOff>9525</xdr:rowOff>
                  </from>
                  <to>
                    <xdr:col>0</xdr:col>
                    <xdr:colOff>581025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_Click">
                <anchor moveWithCells="1">
                  <from>
                    <xdr:col>0</xdr:col>
                    <xdr:colOff>38100</xdr:colOff>
                    <xdr:row>5</xdr:row>
                    <xdr:rowOff>9525</xdr:rowOff>
                  </from>
                  <to>
                    <xdr:col>0</xdr:col>
                    <xdr:colOff>581025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109"/>
  <sheetViews>
    <sheetView tabSelected="1" zoomScale="85" zoomScaleNormal="85" workbookViewId="0">
      <pane ySplit="1" topLeftCell="A70" activePane="bottomLeft" state="frozen"/>
      <selection pane="bottomLeft" activeCell="D60" sqref="D60:D89"/>
    </sheetView>
  </sheetViews>
  <sheetFormatPr defaultColWidth="9.140625" defaultRowHeight="15" x14ac:dyDescent="0.25"/>
  <cols>
    <col min="1" max="1" width="11.28515625" style="4" bestFit="1" customWidth="1"/>
    <col min="2" max="2" width="48.5703125" style="1" customWidth="1"/>
    <col min="3" max="4" width="50.7109375" style="1" customWidth="1"/>
    <col min="5" max="5" width="39" style="1" customWidth="1"/>
    <col min="6" max="6" width="20.42578125" style="1" customWidth="1"/>
    <col min="7" max="7" width="10.140625" style="1" bestFit="1" customWidth="1"/>
    <col min="8" max="11" width="9.140625" style="1"/>
    <col min="12" max="12" width="16.5703125" style="1" customWidth="1"/>
    <col min="13" max="13" width="39" style="1" customWidth="1"/>
    <col min="14" max="16384" width="9.140625" style="1"/>
  </cols>
  <sheetData>
    <row r="1" spans="1:13" ht="30" customHeight="1" x14ac:dyDescent="0.25">
      <c r="A1" s="10" t="s">
        <v>1</v>
      </c>
      <c r="B1" s="11" t="s">
        <v>11</v>
      </c>
      <c r="C1" s="11" t="s">
        <v>2</v>
      </c>
      <c r="D1" s="55" t="s">
        <v>213</v>
      </c>
      <c r="E1" s="12" t="s">
        <v>4</v>
      </c>
      <c r="F1" s="12" t="s">
        <v>3</v>
      </c>
      <c r="G1" s="11" t="s">
        <v>211</v>
      </c>
      <c r="H1" s="12" t="s">
        <v>5</v>
      </c>
      <c r="I1" s="12" t="s">
        <v>6</v>
      </c>
      <c r="J1" s="12"/>
      <c r="K1" s="12" t="s">
        <v>7</v>
      </c>
      <c r="L1" s="12" t="s">
        <v>8</v>
      </c>
      <c r="M1" s="12" t="s">
        <v>12</v>
      </c>
    </row>
    <row r="2" spans="1:13" s="20" customFormat="1" x14ac:dyDescent="0.25">
      <c r="A2" s="16">
        <v>1</v>
      </c>
      <c r="B2" s="17" t="s">
        <v>13</v>
      </c>
      <c r="C2" s="18"/>
      <c r="D2" s="18"/>
      <c r="E2" s="17"/>
      <c r="F2" s="17"/>
      <c r="G2" s="19"/>
      <c r="H2" s="19"/>
      <c r="I2" s="19"/>
      <c r="J2" s="19"/>
      <c r="K2" s="19"/>
      <c r="L2" s="19"/>
      <c r="M2" s="17"/>
    </row>
    <row r="3" spans="1:13" ht="38.25" x14ac:dyDescent="0.25">
      <c r="A3" s="5">
        <f t="shared" ref="A3:A68" si="0">A2+0.0001</f>
        <v>1.0001</v>
      </c>
      <c r="B3" s="6" t="s">
        <v>116</v>
      </c>
      <c r="C3" s="9" t="s">
        <v>16</v>
      </c>
      <c r="D3" s="56" t="s">
        <v>214</v>
      </c>
      <c r="E3" s="7"/>
      <c r="F3" s="6"/>
      <c r="G3" s="8" t="s">
        <v>5</v>
      </c>
      <c r="H3" s="8">
        <f t="shared" ref="H3:L53" si="1">IF($G3=H$1,1,0)</f>
        <v>1</v>
      </c>
      <c r="I3" s="8">
        <f t="shared" si="1"/>
        <v>0</v>
      </c>
      <c r="J3" s="8">
        <f t="shared" si="1"/>
        <v>0</v>
      </c>
      <c r="K3" s="8">
        <f t="shared" si="1"/>
        <v>0</v>
      </c>
      <c r="L3" s="8">
        <f t="shared" si="1"/>
        <v>0</v>
      </c>
      <c r="M3" s="7"/>
    </row>
    <row r="4" spans="1:13" x14ac:dyDescent="0.25">
      <c r="A4" s="5">
        <f t="shared" si="0"/>
        <v>1.0002</v>
      </c>
      <c r="B4" s="26" t="s">
        <v>17</v>
      </c>
      <c r="C4" s="9" t="s">
        <v>18</v>
      </c>
      <c r="D4" s="57"/>
      <c r="E4" s="7"/>
      <c r="F4" s="6"/>
      <c r="G4" s="8" t="s">
        <v>5</v>
      </c>
      <c r="H4" s="8">
        <f t="shared" si="1"/>
        <v>1</v>
      </c>
      <c r="I4" s="8">
        <f t="shared" si="1"/>
        <v>0</v>
      </c>
      <c r="J4" s="8">
        <f t="shared" si="1"/>
        <v>0</v>
      </c>
      <c r="K4" s="8">
        <f t="shared" si="1"/>
        <v>0</v>
      </c>
      <c r="L4" s="8">
        <f t="shared" si="1"/>
        <v>0</v>
      </c>
      <c r="M4" s="7"/>
    </row>
    <row r="5" spans="1:13" x14ac:dyDescent="0.25">
      <c r="A5" s="5">
        <f t="shared" si="0"/>
        <v>1.0003</v>
      </c>
      <c r="B5" s="26" t="s">
        <v>19</v>
      </c>
      <c r="C5" s="28" t="s">
        <v>20</v>
      </c>
      <c r="D5" s="57"/>
      <c r="E5" s="7"/>
      <c r="F5" s="6"/>
      <c r="G5" s="8" t="s">
        <v>5</v>
      </c>
      <c r="H5" s="8">
        <f t="shared" si="1"/>
        <v>1</v>
      </c>
      <c r="I5" s="8">
        <f t="shared" si="1"/>
        <v>0</v>
      </c>
      <c r="J5" s="8">
        <f t="shared" si="1"/>
        <v>0</v>
      </c>
      <c r="K5" s="8">
        <f t="shared" si="1"/>
        <v>0</v>
      </c>
      <c r="L5" s="8">
        <f t="shared" si="1"/>
        <v>0</v>
      </c>
      <c r="M5" s="7"/>
    </row>
    <row r="6" spans="1:13" x14ac:dyDescent="0.25">
      <c r="A6" s="5">
        <f t="shared" si="0"/>
        <v>1.0004</v>
      </c>
      <c r="B6" s="30"/>
      <c r="C6" s="29" t="s">
        <v>21</v>
      </c>
      <c r="D6" s="57"/>
      <c r="E6" s="7"/>
      <c r="F6" s="7"/>
      <c r="G6" s="8" t="s">
        <v>5</v>
      </c>
      <c r="H6" s="8">
        <f t="shared" si="1"/>
        <v>1</v>
      </c>
      <c r="I6" s="8">
        <f t="shared" si="1"/>
        <v>0</v>
      </c>
      <c r="J6" s="8">
        <f t="shared" si="1"/>
        <v>0</v>
      </c>
      <c r="K6" s="8">
        <f t="shared" si="1"/>
        <v>0</v>
      </c>
      <c r="L6" s="8">
        <f t="shared" si="1"/>
        <v>0</v>
      </c>
      <c r="M6" s="7"/>
    </row>
    <row r="7" spans="1:13" x14ac:dyDescent="0.25">
      <c r="A7" s="5">
        <f t="shared" si="0"/>
        <v>1.0004999999999999</v>
      </c>
      <c r="B7" s="30"/>
      <c r="C7" s="29" t="s">
        <v>22</v>
      </c>
      <c r="D7" s="57"/>
      <c r="E7" s="7"/>
      <c r="F7" s="7"/>
      <c r="G7" s="8" t="s">
        <v>5</v>
      </c>
      <c r="H7" s="8">
        <f t="shared" si="1"/>
        <v>1</v>
      </c>
      <c r="I7" s="8">
        <f t="shared" si="1"/>
        <v>0</v>
      </c>
      <c r="J7" s="8">
        <f t="shared" si="1"/>
        <v>0</v>
      </c>
      <c r="K7" s="8">
        <f t="shared" si="1"/>
        <v>0</v>
      </c>
      <c r="L7" s="8">
        <f t="shared" si="1"/>
        <v>0</v>
      </c>
      <c r="M7" s="7"/>
    </row>
    <row r="8" spans="1:13" x14ac:dyDescent="0.25">
      <c r="A8" s="5">
        <f t="shared" si="0"/>
        <v>1.0005999999999999</v>
      </c>
      <c r="B8" s="31"/>
      <c r="C8" s="29" t="s">
        <v>23</v>
      </c>
      <c r="D8" s="57"/>
      <c r="E8" s="7"/>
      <c r="F8" s="7"/>
      <c r="G8" s="8" t="s">
        <v>5</v>
      </c>
      <c r="H8" s="8">
        <f t="shared" si="1"/>
        <v>1</v>
      </c>
      <c r="I8" s="8">
        <f t="shared" si="1"/>
        <v>0</v>
      </c>
      <c r="J8" s="8">
        <f t="shared" si="1"/>
        <v>0</v>
      </c>
      <c r="K8" s="8">
        <f t="shared" si="1"/>
        <v>0</v>
      </c>
      <c r="L8" s="8">
        <f t="shared" si="1"/>
        <v>0</v>
      </c>
      <c r="M8" s="7"/>
    </row>
    <row r="9" spans="1:13" x14ac:dyDescent="0.25">
      <c r="A9" s="5">
        <f t="shared" si="0"/>
        <v>1.0006999999999999</v>
      </c>
      <c r="B9" s="27" t="s">
        <v>24</v>
      </c>
      <c r="C9" s="9" t="s">
        <v>18</v>
      </c>
      <c r="D9" s="57"/>
      <c r="E9" s="7"/>
      <c r="F9" s="7"/>
      <c r="G9" s="8" t="s">
        <v>5</v>
      </c>
      <c r="H9" s="8">
        <f t="shared" si="1"/>
        <v>1</v>
      </c>
      <c r="I9" s="8">
        <f t="shared" si="1"/>
        <v>0</v>
      </c>
      <c r="J9" s="8">
        <f t="shared" si="1"/>
        <v>0</v>
      </c>
      <c r="K9" s="8">
        <f t="shared" si="1"/>
        <v>0</v>
      </c>
      <c r="L9" s="8">
        <f t="shared" si="1"/>
        <v>0</v>
      </c>
      <c r="M9" s="7"/>
    </row>
    <row r="10" spans="1:13" x14ac:dyDescent="0.25">
      <c r="A10" s="5">
        <f t="shared" si="0"/>
        <v>1.0007999999999999</v>
      </c>
      <c r="B10" s="7" t="s">
        <v>25</v>
      </c>
      <c r="C10" s="6"/>
      <c r="D10" s="57"/>
      <c r="E10" s="7"/>
      <c r="F10" s="7"/>
      <c r="G10" s="8" t="s">
        <v>5</v>
      </c>
      <c r="H10" s="8">
        <f t="shared" si="1"/>
        <v>1</v>
      </c>
      <c r="I10" s="8">
        <f t="shared" si="1"/>
        <v>0</v>
      </c>
      <c r="J10" s="8">
        <f t="shared" si="1"/>
        <v>0</v>
      </c>
      <c r="K10" s="8">
        <f t="shared" si="1"/>
        <v>0</v>
      </c>
      <c r="L10" s="8">
        <f t="shared" si="1"/>
        <v>0</v>
      </c>
      <c r="M10" s="7"/>
    </row>
    <row r="11" spans="1:13" x14ac:dyDescent="0.25">
      <c r="A11" s="5">
        <f t="shared" si="0"/>
        <v>1.0008999999999999</v>
      </c>
      <c r="B11" s="7" t="s">
        <v>26</v>
      </c>
      <c r="C11" s="6" t="s">
        <v>27</v>
      </c>
      <c r="D11" s="57"/>
      <c r="E11" s="7"/>
      <c r="F11" s="7"/>
      <c r="G11" s="8" t="s">
        <v>5</v>
      </c>
      <c r="H11" s="8">
        <f t="shared" si="1"/>
        <v>1</v>
      </c>
      <c r="I11" s="8">
        <f t="shared" si="1"/>
        <v>0</v>
      </c>
      <c r="J11" s="8">
        <f t="shared" si="1"/>
        <v>0</v>
      </c>
      <c r="K11" s="8">
        <f t="shared" si="1"/>
        <v>0</v>
      </c>
      <c r="L11" s="8">
        <f t="shared" si="1"/>
        <v>0</v>
      </c>
      <c r="M11" s="7"/>
    </row>
    <row r="12" spans="1:13" x14ac:dyDescent="0.25">
      <c r="A12" s="5">
        <f t="shared" si="0"/>
        <v>1.0009999999999999</v>
      </c>
      <c r="B12" s="32" t="s">
        <v>17</v>
      </c>
      <c r="C12" s="6" t="s">
        <v>209</v>
      </c>
      <c r="D12" s="57"/>
      <c r="E12" s="7"/>
      <c r="F12" s="7"/>
      <c r="G12" s="8" t="s">
        <v>5</v>
      </c>
      <c r="H12" s="8">
        <f t="shared" si="1"/>
        <v>1</v>
      </c>
      <c r="I12" s="8">
        <f t="shared" si="1"/>
        <v>0</v>
      </c>
      <c r="J12" s="8">
        <f t="shared" si="1"/>
        <v>0</v>
      </c>
      <c r="K12" s="8">
        <f t="shared" si="1"/>
        <v>0</v>
      </c>
      <c r="L12" s="8">
        <f t="shared" si="1"/>
        <v>0</v>
      </c>
      <c r="M12" s="7"/>
    </row>
    <row r="13" spans="1:13" x14ac:dyDescent="0.25">
      <c r="A13" s="5">
        <f t="shared" si="0"/>
        <v>1.0010999999999999</v>
      </c>
      <c r="B13" s="33" t="s">
        <v>19</v>
      </c>
      <c r="C13" s="6" t="s">
        <v>28</v>
      </c>
      <c r="D13" s="57"/>
      <c r="E13" s="7"/>
      <c r="F13" s="7"/>
      <c r="G13" s="8" t="s">
        <v>5</v>
      </c>
      <c r="H13" s="8">
        <f t="shared" si="1"/>
        <v>1</v>
      </c>
      <c r="I13" s="8">
        <f t="shared" si="1"/>
        <v>0</v>
      </c>
      <c r="J13" s="8">
        <f t="shared" si="1"/>
        <v>0</v>
      </c>
      <c r="K13" s="8">
        <f t="shared" si="1"/>
        <v>0</v>
      </c>
      <c r="L13" s="8">
        <f t="shared" si="1"/>
        <v>0</v>
      </c>
      <c r="M13" s="7"/>
    </row>
    <row r="14" spans="1:13" x14ac:dyDescent="0.25">
      <c r="A14" s="5">
        <f t="shared" si="0"/>
        <v>1.0011999999999999</v>
      </c>
      <c r="B14" s="59" t="s">
        <v>29</v>
      </c>
      <c r="C14" s="25" t="s">
        <v>30</v>
      </c>
      <c r="D14" s="57"/>
      <c r="E14" s="7"/>
      <c r="F14" s="7"/>
      <c r="G14" s="8" t="s">
        <v>5</v>
      </c>
      <c r="H14" s="8">
        <f t="shared" si="1"/>
        <v>1</v>
      </c>
      <c r="I14" s="8">
        <f t="shared" si="1"/>
        <v>0</v>
      </c>
      <c r="J14" s="8">
        <f t="shared" si="1"/>
        <v>0</v>
      </c>
      <c r="K14" s="8">
        <f t="shared" si="1"/>
        <v>0</v>
      </c>
      <c r="L14" s="8">
        <f t="shared" si="1"/>
        <v>0</v>
      </c>
      <c r="M14" s="7"/>
    </row>
    <row r="15" spans="1:13" x14ac:dyDescent="0.25">
      <c r="A15" s="5">
        <f t="shared" si="0"/>
        <v>1.0012999999999999</v>
      </c>
      <c r="B15" s="60"/>
      <c r="C15" s="34" t="s">
        <v>31</v>
      </c>
      <c r="D15" s="57"/>
      <c r="E15" s="7"/>
      <c r="F15" s="7"/>
      <c r="G15" s="8" t="s">
        <v>5</v>
      </c>
      <c r="H15" s="8">
        <f t="shared" si="1"/>
        <v>1</v>
      </c>
      <c r="I15" s="8">
        <f t="shared" si="1"/>
        <v>0</v>
      </c>
      <c r="J15" s="8">
        <f t="shared" si="1"/>
        <v>0</v>
      </c>
      <c r="K15" s="8">
        <f t="shared" si="1"/>
        <v>0</v>
      </c>
      <c r="L15" s="8">
        <f t="shared" si="1"/>
        <v>0</v>
      </c>
      <c r="M15" s="7"/>
    </row>
    <row r="16" spans="1:13" x14ac:dyDescent="0.25">
      <c r="A16" s="5">
        <f t="shared" si="0"/>
        <v>1.0013999999999998</v>
      </c>
      <c r="B16" s="60"/>
      <c r="C16" s="34" t="s">
        <v>32</v>
      </c>
      <c r="D16" s="57"/>
      <c r="E16" s="7"/>
      <c r="F16" s="7"/>
      <c r="G16" s="8" t="s">
        <v>5</v>
      </c>
      <c r="H16" s="8">
        <f t="shared" si="1"/>
        <v>1</v>
      </c>
      <c r="I16" s="8">
        <f t="shared" si="1"/>
        <v>0</v>
      </c>
      <c r="J16" s="8">
        <f t="shared" si="1"/>
        <v>0</v>
      </c>
      <c r="K16" s="8">
        <f t="shared" si="1"/>
        <v>0</v>
      </c>
      <c r="L16" s="8">
        <f t="shared" si="1"/>
        <v>0</v>
      </c>
      <c r="M16" s="7"/>
    </row>
    <row r="17" spans="1:13" x14ac:dyDescent="0.25">
      <c r="A17" s="5">
        <f t="shared" si="0"/>
        <v>1.0014999999999998</v>
      </c>
      <c r="B17" s="60"/>
      <c r="C17" s="34" t="s">
        <v>17</v>
      </c>
      <c r="D17" s="57"/>
      <c r="E17" s="7"/>
      <c r="F17" s="7"/>
      <c r="G17" s="8" t="s">
        <v>5</v>
      </c>
      <c r="H17" s="8">
        <f t="shared" si="1"/>
        <v>1</v>
      </c>
      <c r="I17" s="8">
        <f t="shared" si="1"/>
        <v>0</v>
      </c>
      <c r="J17" s="8">
        <f t="shared" si="1"/>
        <v>0</v>
      </c>
      <c r="K17" s="8">
        <f t="shared" si="1"/>
        <v>0</v>
      </c>
      <c r="L17" s="8">
        <f t="shared" si="1"/>
        <v>0</v>
      </c>
      <c r="M17" s="7"/>
    </row>
    <row r="18" spans="1:13" x14ac:dyDescent="0.25">
      <c r="A18" s="5">
        <f t="shared" si="0"/>
        <v>1.0015999999999998</v>
      </c>
      <c r="B18" s="60"/>
      <c r="C18" s="34" t="s">
        <v>19</v>
      </c>
      <c r="D18" s="57"/>
      <c r="E18" s="7"/>
      <c r="F18" s="7"/>
      <c r="G18" s="8" t="s">
        <v>5</v>
      </c>
      <c r="H18" s="8">
        <f t="shared" si="1"/>
        <v>1</v>
      </c>
      <c r="I18" s="8">
        <f t="shared" si="1"/>
        <v>0</v>
      </c>
      <c r="J18" s="8">
        <f t="shared" si="1"/>
        <v>0</v>
      </c>
      <c r="K18" s="8">
        <f t="shared" si="1"/>
        <v>0</v>
      </c>
      <c r="L18" s="8">
        <f t="shared" si="1"/>
        <v>0</v>
      </c>
      <c r="M18" s="7"/>
    </row>
    <row r="19" spans="1:13" x14ac:dyDescent="0.25">
      <c r="A19" s="5">
        <f t="shared" si="0"/>
        <v>1.0016999999999998</v>
      </c>
      <c r="B19" s="61"/>
      <c r="C19" s="34" t="s">
        <v>33</v>
      </c>
      <c r="D19" s="57"/>
      <c r="E19" s="7"/>
      <c r="F19" s="7"/>
      <c r="G19" s="8" t="s">
        <v>5</v>
      </c>
      <c r="H19" s="8">
        <f t="shared" si="1"/>
        <v>1</v>
      </c>
      <c r="I19" s="8">
        <f t="shared" si="1"/>
        <v>0</v>
      </c>
      <c r="J19" s="8">
        <f t="shared" si="1"/>
        <v>0</v>
      </c>
      <c r="K19" s="8">
        <f t="shared" si="1"/>
        <v>0</v>
      </c>
      <c r="L19" s="8">
        <f t="shared" si="1"/>
        <v>0</v>
      </c>
      <c r="M19" s="7"/>
    </row>
    <row r="20" spans="1:13" x14ac:dyDescent="0.25">
      <c r="A20" s="5">
        <f t="shared" si="0"/>
        <v>1.0017999999999998</v>
      </c>
      <c r="B20" s="59" t="s">
        <v>34</v>
      </c>
      <c r="C20" s="25" t="s">
        <v>35</v>
      </c>
      <c r="D20" s="57"/>
      <c r="E20" s="7"/>
      <c r="F20" s="7"/>
      <c r="G20" s="8" t="s">
        <v>5</v>
      </c>
      <c r="H20" s="8">
        <f t="shared" si="1"/>
        <v>1</v>
      </c>
      <c r="I20" s="8">
        <f t="shared" si="1"/>
        <v>0</v>
      </c>
      <c r="J20" s="8">
        <f t="shared" si="1"/>
        <v>0</v>
      </c>
      <c r="K20" s="8">
        <f t="shared" si="1"/>
        <v>0</v>
      </c>
      <c r="L20" s="8">
        <f t="shared" si="1"/>
        <v>0</v>
      </c>
      <c r="M20" s="7"/>
    </row>
    <row r="21" spans="1:13" x14ac:dyDescent="0.25">
      <c r="A21" s="5">
        <f t="shared" si="0"/>
        <v>1.0018999999999998</v>
      </c>
      <c r="B21" s="60"/>
      <c r="C21" s="25" t="s">
        <v>36</v>
      </c>
      <c r="D21" s="57"/>
      <c r="E21" s="7" t="s">
        <v>210</v>
      </c>
      <c r="F21" s="7" t="s">
        <v>7</v>
      </c>
      <c r="G21" s="8" t="s">
        <v>7</v>
      </c>
      <c r="H21" s="8">
        <f t="shared" si="1"/>
        <v>0</v>
      </c>
      <c r="I21" s="8">
        <f t="shared" si="1"/>
        <v>0</v>
      </c>
      <c r="J21" s="8">
        <f t="shared" si="1"/>
        <v>0</v>
      </c>
      <c r="K21" s="8">
        <f t="shared" si="1"/>
        <v>1</v>
      </c>
      <c r="L21" s="8">
        <f t="shared" si="1"/>
        <v>0</v>
      </c>
      <c r="M21" s="7"/>
    </row>
    <row r="22" spans="1:13" x14ac:dyDescent="0.25">
      <c r="A22" s="5">
        <f t="shared" si="0"/>
        <v>1.0019999999999998</v>
      </c>
      <c r="B22" s="60"/>
      <c r="C22" s="25" t="s">
        <v>37</v>
      </c>
      <c r="D22" s="57"/>
      <c r="E22" s="7"/>
      <c r="F22" s="7"/>
      <c r="G22" s="8" t="s">
        <v>5</v>
      </c>
      <c r="H22" s="8">
        <f t="shared" si="1"/>
        <v>1</v>
      </c>
      <c r="I22" s="8">
        <f t="shared" si="1"/>
        <v>0</v>
      </c>
      <c r="J22" s="8">
        <f t="shared" si="1"/>
        <v>0</v>
      </c>
      <c r="K22" s="8">
        <f t="shared" si="1"/>
        <v>0</v>
      </c>
      <c r="L22" s="8">
        <f t="shared" si="1"/>
        <v>0</v>
      </c>
      <c r="M22" s="7"/>
    </row>
    <row r="23" spans="1:13" x14ac:dyDescent="0.25">
      <c r="A23" s="5">
        <f t="shared" si="0"/>
        <v>1.0020999999999998</v>
      </c>
      <c r="B23" s="60"/>
      <c r="C23" s="25" t="s">
        <v>38</v>
      </c>
      <c r="D23" s="57"/>
      <c r="E23" s="7"/>
      <c r="F23" s="7"/>
      <c r="G23" s="8" t="s">
        <v>5</v>
      </c>
      <c r="H23" s="8">
        <f t="shared" si="1"/>
        <v>1</v>
      </c>
      <c r="I23" s="8">
        <f t="shared" si="1"/>
        <v>0</v>
      </c>
      <c r="J23" s="8">
        <f t="shared" si="1"/>
        <v>0</v>
      </c>
      <c r="K23" s="8">
        <f t="shared" si="1"/>
        <v>0</v>
      </c>
      <c r="L23" s="8">
        <f t="shared" si="1"/>
        <v>0</v>
      </c>
      <c r="M23" s="7"/>
    </row>
    <row r="24" spans="1:13" x14ac:dyDescent="0.25">
      <c r="A24" s="5">
        <f t="shared" si="0"/>
        <v>1.0021999999999998</v>
      </c>
      <c r="B24" s="60"/>
      <c r="C24" s="25" t="s">
        <v>39</v>
      </c>
      <c r="D24" s="57"/>
      <c r="E24" s="7"/>
      <c r="F24" s="7"/>
      <c r="G24" s="8" t="s">
        <v>5</v>
      </c>
      <c r="H24" s="8">
        <f t="shared" si="1"/>
        <v>1</v>
      </c>
      <c r="I24" s="8">
        <f t="shared" si="1"/>
        <v>0</v>
      </c>
      <c r="J24" s="8">
        <f t="shared" si="1"/>
        <v>0</v>
      </c>
      <c r="K24" s="8">
        <f t="shared" si="1"/>
        <v>0</v>
      </c>
      <c r="L24" s="8">
        <f t="shared" si="1"/>
        <v>0</v>
      </c>
      <c r="M24" s="7"/>
    </row>
    <row r="25" spans="1:13" x14ac:dyDescent="0.25">
      <c r="A25" s="5">
        <f t="shared" si="0"/>
        <v>1.0022999999999997</v>
      </c>
      <c r="B25" s="60"/>
      <c r="C25" s="25" t="s">
        <v>40</v>
      </c>
      <c r="D25" s="57"/>
      <c r="E25" s="7"/>
      <c r="F25" s="7"/>
      <c r="G25" s="8" t="s">
        <v>5</v>
      </c>
      <c r="H25" s="8">
        <f t="shared" si="1"/>
        <v>1</v>
      </c>
      <c r="I25" s="8">
        <f t="shared" si="1"/>
        <v>0</v>
      </c>
      <c r="J25" s="8">
        <f t="shared" si="1"/>
        <v>0</v>
      </c>
      <c r="K25" s="8">
        <f t="shared" si="1"/>
        <v>0</v>
      </c>
      <c r="L25" s="8">
        <f t="shared" si="1"/>
        <v>0</v>
      </c>
      <c r="M25" s="7"/>
    </row>
    <row r="26" spans="1:13" x14ac:dyDescent="0.25">
      <c r="A26" s="5">
        <f t="shared" si="0"/>
        <v>1.0023999999999997</v>
      </c>
      <c r="B26" s="60"/>
      <c r="C26" s="25" t="s">
        <v>41</v>
      </c>
      <c r="D26" s="57"/>
      <c r="E26" s="7"/>
      <c r="F26" s="7"/>
      <c r="G26" s="8" t="s">
        <v>5</v>
      </c>
      <c r="H26" s="8">
        <f t="shared" si="1"/>
        <v>1</v>
      </c>
      <c r="I26" s="8">
        <f t="shared" si="1"/>
        <v>0</v>
      </c>
      <c r="J26" s="8">
        <f t="shared" si="1"/>
        <v>0</v>
      </c>
      <c r="K26" s="8">
        <f t="shared" si="1"/>
        <v>0</v>
      </c>
      <c r="L26" s="8">
        <f t="shared" si="1"/>
        <v>0</v>
      </c>
      <c r="M26" s="7"/>
    </row>
    <row r="27" spans="1:13" x14ac:dyDescent="0.25">
      <c r="A27" s="5">
        <f t="shared" si="0"/>
        <v>1.0024999999999997</v>
      </c>
      <c r="B27" s="60"/>
      <c r="C27" s="25" t="s">
        <v>42</v>
      </c>
      <c r="D27" s="57"/>
      <c r="E27" s="7"/>
      <c r="F27" s="7"/>
      <c r="G27" s="8" t="s">
        <v>5</v>
      </c>
      <c r="H27" s="8">
        <f t="shared" si="1"/>
        <v>1</v>
      </c>
      <c r="I27" s="8">
        <f t="shared" si="1"/>
        <v>0</v>
      </c>
      <c r="J27" s="8">
        <f t="shared" si="1"/>
        <v>0</v>
      </c>
      <c r="K27" s="8">
        <f t="shared" si="1"/>
        <v>0</v>
      </c>
      <c r="L27" s="8">
        <f t="shared" si="1"/>
        <v>0</v>
      </c>
      <c r="M27" s="7"/>
    </row>
    <row r="28" spans="1:13" x14ac:dyDescent="0.25">
      <c r="A28" s="5">
        <f t="shared" si="0"/>
        <v>1.0025999999999997</v>
      </c>
      <c r="B28" s="60"/>
      <c r="C28" s="25" t="s">
        <v>43</v>
      </c>
      <c r="D28" s="57"/>
      <c r="E28" s="7"/>
      <c r="F28" s="7"/>
      <c r="G28" s="8" t="s">
        <v>5</v>
      </c>
      <c r="H28" s="8">
        <f t="shared" si="1"/>
        <v>1</v>
      </c>
      <c r="I28" s="8">
        <f t="shared" si="1"/>
        <v>0</v>
      </c>
      <c r="J28" s="8">
        <f t="shared" si="1"/>
        <v>0</v>
      </c>
      <c r="K28" s="8">
        <f t="shared" si="1"/>
        <v>0</v>
      </c>
      <c r="L28" s="8">
        <f t="shared" si="1"/>
        <v>0</v>
      </c>
      <c r="M28" s="7"/>
    </row>
    <row r="29" spans="1:13" x14ac:dyDescent="0.25">
      <c r="A29" s="5">
        <f t="shared" si="0"/>
        <v>1.0026999999999997</v>
      </c>
      <c r="B29" s="60"/>
      <c r="C29" s="25" t="s">
        <v>44</v>
      </c>
      <c r="D29" s="57"/>
      <c r="E29" s="7"/>
      <c r="F29" s="7"/>
      <c r="G29" s="8" t="s">
        <v>5</v>
      </c>
      <c r="H29" s="8">
        <f t="shared" si="1"/>
        <v>1</v>
      </c>
      <c r="I29" s="8">
        <f t="shared" si="1"/>
        <v>0</v>
      </c>
      <c r="J29" s="8">
        <f t="shared" si="1"/>
        <v>0</v>
      </c>
      <c r="K29" s="8">
        <f t="shared" si="1"/>
        <v>0</v>
      </c>
      <c r="L29" s="8">
        <f t="shared" si="1"/>
        <v>0</v>
      </c>
      <c r="M29" s="7"/>
    </row>
    <row r="30" spans="1:13" x14ac:dyDescent="0.25">
      <c r="A30" s="5">
        <f t="shared" si="0"/>
        <v>1.0027999999999997</v>
      </c>
      <c r="B30" s="60"/>
      <c r="C30" s="25" t="s">
        <v>45</v>
      </c>
      <c r="D30" s="57"/>
      <c r="E30" s="7"/>
      <c r="F30" s="7"/>
      <c r="G30" s="8" t="s">
        <v>5</v>
      </c>
      <c r="H30" s="8">
        <f t="shared" si="1"/>
        <v>1</v>
      </c>
      <c r="I30" s="8">
        <f t="shared" si="1"/>
        <v>0</v>
      </c>
      <c r="J30" s="8">
        <f t="shared" si="1"/>
        <v>0</v>
      </c>
      <c r="K30" s="8">
        <f t="shared" si="1"/>
        <v>0</v>
      </c>
      <c r="L30" s="8">
        <f t="shared" si="1"/>
        <v>0</v>
      </c>
      <c r="M30" s="7"/>
    </row>
    <row r="31" spans="1:13" x14ac:dyDescent="0.25">
      <c r="A31" s="5">
        <f t="shared" si="0"/>
        <v>1.0028999999999997</v>
      </c>
      <c r="B31" s="60"/>
      <c r="C31" s="25" t="s">
        <v>46</v>
      </c>
      <c r="D31" s="57"/>
      <c r="E31" s="7"/>
      <c r="F31" s="7"/>
      <c r="G31" s="8" t="s">
        <v>5</v>
      </c>
      <c r="H31" s="8">
        <f t="shared" si="1"/>
        <v>1</v>
      </c>
      <c r="I31" s="8">
        <f t="shared" si="1"/>
        <v>0</v>
      </c>
      <c r="J31" s="8">
        <f t="shared" si="1"/>
        <v>0</v>
      </c>
      <c r="K31" s="8">
        <f t="shared" si="1"/>
        <v>0</v>
      </c>
      <c r="L31" s="8">
        <f t="shared" si="1"/>
        <v>0</v>
      </c>
      <c r="M31" s="7"/>
    </row>
    <row r="32" spans="1:13" x14ac:dyDescent="0.25">
      <c r="A32" s="5">
        <f t="shared" si="0"/>
        <v>1.0029999999999997</v>
      </c>
      <c r="B32" s="60"/>
      <c r="C32" s="25" t="s">
        <v>47</v>
      </c>
      <c r="D32" s="57"/>
      <c r="E32" s="7"/>
      <c r="F32" s="7"/>
      <c r="G32" s="8" t="s">
        <v>5</v>
      </c>
      <c r="H32" s="8">
        <f t="shared" si="1"/>
        <v>1</v>
      </c>
      <c r="I32" s="8">
        <f t="shared" si="1"/>
        <v>0</v>
      </c>
      <c r="J32" s="8">
        <f t="shared" si="1"/>
        <v>0</v>
      </c>
      <c r="K32" s="8">
        <f t="shared" si="1"/>
        <v>0</v>
      </c>
      <c r="L32" s="8">
        <f t="shared" si="1"/>
        <v>0</v>
      </c>
      <c r="M32" s="7"/>
    </row>
    <row r="33" spans="1:13" x14ac:dyDescent="0.25">
      <c r="A33" s="5">
        <f t="shared" si="0"/>
        <v>1.0030999999999997</v>
      </c>
      <c r="B33" s="60"/>
      <c r="C33" s="25" t="s">
        <v>48</v>
      </c>
      <c r="D33" s="57"/>
      <c r="E33" s="7"/>
      <c r="F33" s="7"/>
      <c r="G33" s="8" t="s">
        <v>5</v>
      </c>
      <c r="H33" s="8">
        <f t="shared" si="1"/>
        <v>1</v>
      </c>
      <c r="I33" s="8">
        <f t="shared" si="1"/>
        <v>0</v>
      </c>
      <c r="J33" s="8">
        <f t="shared" si="1"/>
        <v>0</v>
      </c>
      <c r="K33" s="8">
        <f t="shared" si="1"/>
        <v>0</v>
      </c>
      <c r="L33" s="8">
        <f t="shared" si="1"/>
        <v>0</v>
      </c>
      <c r="M33" s="7"/>
    </row>
    <row r="34" spans="1:13" x14ac:dyDescent="0.25">
      <c r="A34" s="5">
        <f t="shared" si="0"/>
        <v>1.0031999999999996</v>
      </c>
      <c r="B34" s="60"/>
      <c r="C34" s="25" t="s">
        <v>49</v>
      </c>
      <c r="D34" s="57"/>
      <c r="E34" s="7"/>
      <c r="F34" s="7"/>
      <c r="G34" s="8" t="s">
        <v>5</v>
      </c>
      <c r="H34" s="8">
        <f t="shared" si="1"/>
        <v>1</v>
      </c>
      <c r="I34" s="8">
        <f t="shared" si="1"/>
        <v>0</v>
      </c>
      <c r="J34" s="8">
        <f t="shared" si="1"/>
        <v>0</v>
      </c>
      <c r="K34" s="8">
        <f t="shared" si="1"/>
        <v>0</v>
      </c>
      <c r="L34" s="8">
        <f t="shared" si="1"/>
        <v>0</v>
      </c>
      <c r="M34" s="7"/>
    </row>
    <row r="35" spans="1:13" x14ac:dyDescent="0.25">
      <c r="A35" s="5">
        <f t="shared" si="0"/>
        <v>1.0032999999999996</v>
      </c>
      <c r="B35" s="60"/>
      <c r="C35" s="25" t="s">
        <v>50</v>
      </c>
      <c r="D35" s="57"/>
      <c r="E35" s="7"/>
      <c r="F35" s="7"/>
      <c r="G35" s="8" t="s">
        <v>5</v>
      </c>
      <c r="H35" s="8">
        <f t="shared" si="1"/>
        <v>1</v>
      </c>
      <c r="I35" s="8">
        <f t="shared" si="1"/>
        <v>0</v>
      </c>
      <c r="J35" s="8">
        <f t="shared" si="1"/>
        <v>0</v>
      </c>
      <c r="K35" s="8">
        <f t="shared" si="1"/>
        <v>0</v>
      </c>
      <c r="L35" s="8">
        <f t="shared" si="1"/>
        <v>0</v>
      </c>
      <c r="M35" s="7"/>
    </row>
    <row r="36" spans="1:13" x14ac:dyDescent="0.25">
      <c r="A36" s="5">
        <f t="shared" si="0"/>
        <v>1.0033999999999996</v>
      </c>
      <c r="B36" s="61"/>
      <c r="C36" s="25" t="s">
        <v>51</v>
      </c>
      <c r="D36" s="57"/>
      <c r="E36" s="7"/>
      <c r="F36" s="7"/>
      <c r="G36" s="8" t="s">
        <v>5</v>
      </c>
      <c r="H36" s="8">
        <f t="shared" si="1"/>
        <v>1</v>
      </c>
      <c r="I36" s="8">
        <f t="shared" si="1"/>
        <v>0</v>
      </c>
      <c r="J36" s="8">
        <f t="shared" si="1"/>
        <v>0</v>
      </c>
      <c r="K36" s="8">
        <f t="shared" si="1"/>
        <v>0</v>
      </c>
      <c r="L36" s="8">
        <f t="shared" si="1"/>
        <v>0</v>
      </c>
      <c r="M36" s="7"/>
    </row>
    <row r="37" spans="1:13" x14ac:dyDescent="0.25">
      <c r="A37" s="5">
        <f t="shared" si="0"/>
        <v>1.0034999999999996</v>
      </c>
      <c r="B37" s="27"/>
      <c r="C37" s="6" t="s">
        <v>52</v>
      </c>
      <c r="D37" s="57"/>
      <c r="E37" s="7"/>
      <c r="F37" s="7"/>
      <c r="G37" s="8" t="s">
        <v>5</v>
      </c>
      <c r="H37" s="8">
        <f t="shared" si="1"/>
        <v>1</v>
      </c>
      <c r="I37" s="8">
        <f t="shared" si="1"/>
        <v>0</v>
      </c>
      <c r="J37" s="8">
        <f t="shared" si="1"/>
        <v>0</v>
      </c>
      <c r="K37" s="8">
        <f t="shared" si="1"/>
        <v>0</v>
      </c>
      <c r="L37" s="8">
        <f t="shared" si="1"/>
        <v>0</v>
      </c>
      <c r="M37" s="7"/>
    </row>
    <row r="38" spans="1:13" x14ac:dyDescent="0.25">
      <c r="A38" s="5">
        <f t="shared" si="0"/>
        <v>1.0035999999999996</v>
      </c>
      <c r="B38" s="7"/>
      <c r="C38" s="29" t="s">
        <v>47</v>
      </c>
      <c r="D38" s="57"/>
      <c r="E38" s="7"/>
      <c r="F38" s="7"/>
      <c r="G38" s="8" t="s">
        <v>5</v>
      </c>
      <c r="H38" s="8">
        <f t="shared" si="1"/>
        <v>1</v>
      </c>
      <c r="I38" s="8">
        <f t="shared" si="1"/>
        <v>0</v>
      </c>
      <c r="J38" s="8">
        <f t="shared" si="1"/>
        <v>0</v>
      </c>
      <c r="K38" s="8">
        <f t="shared" si="1"/>
        <v>0</v>
      </c>
      <c r="L38" s="8">
        <f t="shared" si="1"/>
        <v>0</v>
      </c>
      <c r="M38" s="7"/>
    </row>
    <row r="39" spans="1:13" x14ac:dyDescent="0.25">
      <c r="A39" s="5">
        <f t="shared" si="0"/>
        <v>1.0036999999999996</v>
      </c>
      <c r="B39" s="7"/>
      <c r="C39" s="29" t="s">
        <v>48</v>
      </c>
      <c r="D39" s="57"/>
      <c r="E39" s="7"/>
      <c r="F39" s="7"/>
      <c r="G39" s="8" t="s">
        <v>5</v>
      </c>
      <c r="H39" s="8">
        <f t="shared" si="1"/>
        <v>1</v>
      </c>
      <c r="I39" s="8">
        <f t="shared" si="1"/>
        <v>0</v>
      </c>
      <c r="J39" s="8">
        <f t="shared" si="1"/>
        <v>0</v>
      </c>
      <c r="K39" s="8">
        <f t="shared" si="1"/>
        <v>0</v>
      </c>
      <c r="L39" s="8">
        <f t="shared" si="1"/>
        <v>0</v>
      </c>
      <c r="M39" s="7"/>
    </row>
    <row r="40" spans="1:13" x14ac:dyDescent="0.25">
      <c r="A40" s="5">
        <f t="shared" si="0"/>
        <v>1.0037999999999996</v>
      </c>
      <c r="B40" s="32" t="s">
        <v>64</v>
      </c>
      <c r="C40" s="6"/>
      <c r="D40" s="57"/>
      <c r="E40" s="7"/>
      <c r="F40" s="7"/>
      <c r="G40" s="8" t="s">
        <v>5</v>
      </c>
      <c r="H40" s="8">
        <f t="shared" si="1"/>
        <v>1</v>
      </c>
      <c r="I40" s="8">
        <f t="shared" si="1"/>
        <v>0</v>
      </c>
      <c r="J40" s="8">
        <f t="shared" si="1"/>
        <v>0</v>
      </c>
      <c r="K40" s="8">
        <f t="shared" si="1"/>
        <v>0</v>
      </c>
      <c r="L40" s="8">
        <f t="shared" si="1"/>
        <v>0</v>
      </c>
      <c r="M40" s="7"/>
    </row>
    <row r="41" spans="1:13" ht="25.5" x14ac:dyDescent="0.25">
      <c r="A41" s="5">
        <f t="shared" si="0"/>
        <v>1.0038999999999996</v>
      </c>
      <c r="B41" s="7" t="s">
        <v>53</v>
      </c>
      <c r="C41" s="6" t="s">
        <v>54</v>
      </c>
      <c r="D41" s="57"/>
      <c r="E41" s="7"/>
      <c r="F41" s="7"/>
      <c r="G41" s="8" t="s">
        <v>5</v>
      </c>
      <c r="H41" s="8">
        <f t="shared" si="1"/>
        <v>1</v>
      </c>
      <c r="I41" s="8">
        <f t="shared" si="1"/>
        <v>0</v>
      </c>
      <c r="J41" s="8">
        <f t="shared" si="1"/>
        <v>0</v>
      </c>
      <c r="K41" s="8">
        <f t="shared" si="1"/>
        <v>0</v>
      </c>
      <c r="L41" s="8">
        <f t="shared" si="1"/>
        <v>0</v>
      </c>
      <c r="M41" s="7"/>
    </row>
    <row r="42" spans="1:13" x14ac:dyDescent="0.25">
      <c r="A42" s="5">
        <f t="shared" si="0"/>
        <v>1.0039999999999996</v>
      </c>
      <c r="B42" s="7" t="s">
        <v>55</v>
      </c>
      <c r="C42" s="6" t="s">
        <v>56</v>
      </c>
      <c r="D42" s="57"/>
      <c r="E42" s="7"/>
      <c r="F42" s="7"/>
      <c r="G42" s="8" t="s">
        <v>5</v>
      </c>
      <c r="H42" s="8">
        <f t="shared" si="1"/>
        <v>1</v>
      </c>
      <c r="I42" s="8">
        <f t="shared" si="1"/>
        <v>0</v>
      </c>
      <c r="J42" s="8">
        <f t="shared" si="1"/>
        <v>0</v>
      </c>
      <c r="K42" s="8">
        <f t="shared" si="1"/>
        <v>0</v>
      </c>
      <c r="L42" s="8">
        <f t="shared" si="1"/>
        <v>0</v>
      </c>
      <c r="M42" s="7"/>
    </row>
    <row r="43" spans="1:13" x14ac:dyDescent="0.25">
      <c r="A43" s="5">
        <f t="shared" si="0"/>
        <v>1.0040999999999995</v>
      </c>
      <c r="B43" s="7" t="s">
        <v>57</v>
      </c>
      <c r="C43" s="6" t="s">
        <v>60</v>
      </c>
      <c r="D43" s="57"/>
      <c r="E43" s="7"/>
      <c r="F43" s="7"/>
      <c r="G43" s="8" t="s">
        <v>5</v>
      </c>
      <c r="H43" s="8">
        <f t="shared" si="1"/>
        <v>1</v>
      </c>
      <c r="I43" s="8">
        <f t="shared" si="1"/>
        <v>0</v>
      </c>
      <c r="J43" s="8">
        <f t="shared" si="1"/>
        <v>0</v>
      </c>
      <c r="K43" s="8">
        <f t="shared" si="1"/>
        <v>0</v>
      </c>
      <c r="L43" s="8">
        <f t="shared" si="1"/>
        <v>0</v>
      </c>
      <c r="M43" s="7"/>
    </row>
    <row r="44" spans="1:13" x14ac:dyDescent="0.25">
      <c r="A44" s="5">
        <f t="shared" si="0"/>
        <v>1.0041999999999995</v>
      </c>
      <c r="B44" s="33" t="s">
        <v>58</v>
      </c>
      <c r="C44" s="6" t="s">
        <v>60</v>
      </c>
      <c r="D44" s="57"/>
      <c r="E44" s="7"/>
      <c r="F44" s="7"/>
      <c r="G44" s="8" t="s">
        <v>5</v>
      </c>
      <c r="H44" s="8">
        <f t="shared" si="1"/>
        <v>1</v>
      </c>
      <c r="I44" s="8">
        <f t="shared" si="1"/>
        <v>0</v>
      </c>
      <c r="J44" s="8">
        <f t="shared" si="1"/>
        <v>0</v>
      </c>
      <c r="K44" s="8">
        <f t="shared" si="1"/>
        <v>0</v>
      </c>
      <c r="L44" s="8">
        <f t="shared" si="1"/>
        <v>0</v>
      </c>
      <c r="M44" s="7"/>
    </row>
    <row r="45" spans="1:13" ht="25.5" x14ac:dyDescent="0.25">
      <c r="A45" s="5">
        <f t="shared" si="0"/>
        <v>1.0042999999999995</v>
      </c>
      <c r="B45" s="26" t="s">
        <v>59</v>
      </c>
      <c r="C45" s="25" t="s">
        <v>61</v>
      </c>
      <c r="D45" s="57"/>
      <c r="E45" s="7"/>
      <c r="F45" s="7"/>
      <c r="G45" s="8" t="s">
        <v>5</v>
      </c>
      <c r="H45" s="8">
        <f t="shared" si="1"/>
        <v>1</v>
      </c>
      <c r="I45" s="8">
        <f t="shared" si="1"/>
        <v>0</v>
      </c>
      <c r="J45" s="8">
        <f t="shared" si="1"/>
        <v>0</v>
      </c>
      <c r="K45" s="8">
        <f t="shared" si="1"/>
        <v>0</v>
      </c>
      <c r="L45" s="8">
        <f t="shared" si="1"/>
        <v>0</v>
      </c>
      <c r="M45" s="7"/>
    </row>
    <row r="46" spans="1:13" x14ac:dyDescent="0.25">
      <c r="A46" s="5">
        <f t="shared" si="0"/>
        <v>1.0043999999999995</v>
      </c>
      <c r="B46" s="31"/>
      <c r="C46" s="25" t="s">
        <v>62</v>
      </c>
      <c r="D46" s="57"/>
      <c r="E46" s="7"/>
      <c r="F46" s="7"/>
      <c r="G46" s="8" t="s">
        <v>5</v>
      </c>
      <c r="H46" s="8">
        <f t="shared" si="1"/>
        <v>1</v>
      </c>
      <c r="I46" s="8">
        <f t="shared" si="1"/>
        <v>0</v>
      </c>
      <c r="J46" s="8">
        <f t="shared" si="1"/>
        <v>0</v>
      </c>
      <c r="K46" s="8">
        <f t="shared" si="1"/>
        <v>0</v>
      </c>
      <c r="L46" s="8">
        <f t="shared" si="1"/>
        <v>0</v>
      </c>
      <c r="M46" s="7"/>
    </row>
    <row r="47" spans="1:13" x14ac:dyDescent="0.25">
      <c r="A47" s="5">
        <f t="shared" si="0"/>
        <v>1.0044999999999995</v>
      </c>
      <c r="B47" s="27" t="s">
        <v>201</v>
      </c>
      <c r="C47" s="6"/>
      <c r="D47" s="57"/>
      <c r="E47" s="7"/>
      <c r="F47" s="7"/>
      <c r="G47" s="8" t="s">
        <v>5</v>
      </c>
      <c r="H47" s="8">
        <f t="shared" si="1"/>
        <v>1</v>
      </c>
      <c r="I47" s="8">
        <f t="shared" si="1"/>
        <v>0</v>
      </c>
      <c r="J47" s="8">
        <f t="shared" si="1"/>
        <v>0</v>
      </c>
      <c r="K47" s="8">
        <f t="shared" si="1"/>
        <v>0</v>
      </c>
      <c r="L47" s="8">
        <f t="shared" si="1"/>
        <v>0</v>
      </c>
      <c r="M47" s="7"/>
    </row>
    <row r="48" spans="1:13" x14ac:dyDescent="0.25">
      <c r="A48" s="5">
        <f t="shared" si="0"/>
        <v>1.0045999999999995</v>
      </c>
      <c r="B48" s="32" t="s">
        <v>63</v>
      </c>
      <c r="C48" s="6"/>
      <c r="D48" s="57"/>
      <c r="E48" s="7"/>
      <c r="F48" s="7"/>
      <c r="G48" s="8" t="s">
        <v>5</v>
      </c>
      <c r="H48" s="8">
        <f t="shared" si="1"/>
        <v>1</v>
      </c>
      <c r="I48" s="8">
        <f t="shared" si="1"/>
        <v>0</v>
      </c>
      <c r="J48" s="8">
        <f t="shared" si="1"/>
        <v>0</v>
      </c>
      <c r="K48" s="8">
        <f t="shared" si="1"/>
        <v>0</v>
      </c>
      <c r="L48" s="8">
        <f t="shared" si="1"/>
        <v>0</v>
      </c>
      <c r="M48" s="7"/>
    </row>
    <row r="49" spans="1:13" ht="25.5" x14ac:dyDescent="0.25">
      <c r="A49" s="5">
        <f t="shared" si="0"/>
        <v>1.0046999999999995</v>
      </c>
      <c r="B49" s="7" t="s">
        <v>53</v>
      </c>
      <c r="C49" s="6" t="s">
        <v>54</v>
      </c>
      <c r="D49" s="57"/>
      <c r="E49" s="7"/>
      <c r="F49" s="7"/>
      <c r="G49" s="8" t="s">
        <v>5</v>
      </c>
      <c r="H49" s="8">
        <f t="shared" si="1"/>
        <v>1</v>
      </c>
      <c r="I49" s="8">
        <f t="shared" si="1"/>
        <v>0</v>
      </c>
      <c r="J49" s="8">
        <f t="shared" si="1"/>
        <v>0</v>
      </c>
      <c r="K49" s="8">
        <f t="shared" si="1"/>
        <v>0</v>
      </c>
      <c r="L49" s="8">
        <f t="shared" si="1"/>
        <v>0</v>
      </c>
      <c r="M49" s="7"/>
    </row>
    <row r="50" spans="1:13" x14ac:dyDescent="0.25">
      <c r="A50" s="5">
        <f t="shared" si="0"/>
        <v>1.0047999999999995</v>
      </c>
      <c r="B50" s="7" t="s">
        <v>55</v>
      </c>
      <c r="C50" s="6" t="s">
        <v>56</v>
      </c>
      <c r="D50" s="57"/>
      <c r="E50" s="7"/>
      <c r="F50" s="7"/>
      <c r="G50" s="8" t="s">
        <v>5</v>
      </c>
      <c r="H50" s="8">
        <f t="shared" si="1"/>
        <v>1</v>
      </c>
      <c r="I50" s="8">
        <f t="shared" si="1"/>
        <v>0</v>
      </c>
      <c r="J50" s="8">
        <f t="shared" si="1"/>
        <v>0</v>
      </c>
      <c r="K50" s="8">
        <f t="shared" si="1"/>
        <v>0</v>
      </c>
      <c r="L50" s="8">
        <f t="shared" si="1"/>
        <v>0</v>
      </c>
      <c r="M50" s="7"/>
    </row>
    <row r="51" spans="1:13" x14ac:dyDescent="0.25">
      <c r="A51" s="5">
        <f t="shared" si="0"/>
        <v>1.0048999999999995</v>
      </c>
      <c r="B51" s="7" t="s">
        <v>57</v>
      </c>
      <c r="C51" s="6" t="s">
        <v>60</v>
      </c>
      <c r="D51" s="57"/>
      <c r="E51" s="7"/>
      <c r="F51" s="7"/>
      <c r="G51" s="8" t="s">
        <v>5</v>
      </c>
      <c r="H51" s="8">
        <f t="shared" si="1"/>
        <v>1</v>
      </c>
      <c r="I51" s="8">
        <f t="shared" si="1"/>
        <v>0</v>
      </c>
      <c r="J51" s="8">
        <f t="shared" si="1"/>
        <v>0</v>
      </c>
      <c r="K51" s="8">
        <f t="shared" si="1"/>
        <v>0</v>
      </c>
      <c r="L51" s="8">
        <f t="shared" si="1"/>
        <v>0</v>
      </c>
      <c r="M51" s="7"/>
    </row>
    <row r="52" spans="1:13" x14ac:dyDescent="0.25">
      <c r="A52" s="5">
        <f t="shared" si="0"/>
        <v>1.0049999999999994</v>
      </c>
      <c r="B52" s="33" t="s">
        <v>58</v>
      </c>
      <c r="C52" s="6" t="s">
        <v>60</v>
      </c>
      <c r="D52" s="57"/>
      <c r="E52" s="7"/>
      <c r="F52" s="7"/>
      <c r="G52" s="8" t="s">
        <v>5</v>
      </c>
      <c r="H52" s="8">
        <f t="shared" si="1"/>
        <v>1</v>
      </c>
      <c r="I52" s="8">
        <f t="shared" si="1"/>
        <v>0</v>
      </c>
      <c r="J52" s="8">
        <f t="shared" si="1"/>
        <v>0</v>
      </c>
      <c r="K52" s="8">
        <f t="shared" si="1"/>
        <v>0</v>
      </c>
      <c r="L52" s="8">
        <f t="shared" si="1"/>
        <v>0</v>
      </c>
      <c r="M52" s="7"/>
    </row>
    <row r="53" spans="1:13" x14ac:dyDescent="0.25">
      <c r="A53" s="5">
        <f t="shared" si="0"/>
        <v>1.0050999999999994</v>
      </c>
      <c r="B53" s="26" t="s">
        <v>59</v>
      </c>
      <c r="C53" s="25" t="s">
        <v>65</v>
      </c>
      <c r="D53" s="57"/>
      <c r="E53" s="7"/>
      <c r="F53" s="7"/>
      <c r="G53" s="8" t="s">
        <v>5</v>
      </c>
      <c r="H53" s="8">
        <f t="shared" si="1"/>
        <v>1</v>
      </c>
      <c r="I53" s="8">
        <f t="shared" si="1"/>
        <v>0</v>
      </c>
      <c r="J53" s="8">
        <f t="shared" si="1"/>
        <v>0</v>
      </c>
      <c r="K53" s="8">
        <f t="shared" si="1"/>
        <v>0</v>
      </c>
      <c r="L53" s="8">
        <f t="shared" si="1"/>
        <v>0</v>
      </c>
      <c r="M53" s="7"/>
    </row>
    <row r="54" spans="1:13" x14ac:dyDescent="0.25">
      <c r="A54" s="5">
        <f t="shared" si="0"/>
        <v>1.0051999999999994</v>
      </c>
      <c r="B54" s="30"/>
      <c r="C54" s="25" t="s">
        <v>47</v>
      </c>
      <c r="D54" s="57"/>
      <c r="E54" s="7"/>
      <c r="F54" s="7"/>
      <c r="G54" s="8" t="s">
        <v>5</v>
      </c>
      <c r="H54" s="8">
        <f t="shared" ref="H54:L56" si="2">IF($G54=H$1,1,0)</f>
        <v>1</v>
      </c>
      <c r="I54" s="8">
        <f t="shared" si="2"/>
        <v>0</v>
      </c>
      <c r="J54" s="8">
        <f t="shared" si="2"/>
        <v>0</v>
      </c>
      <c r="K54" s="8">
        <f t="shared" si="2"/>
        <v>0</v>
      </c>
      <c r="L54" s="8">
        <f t="shared" si="2"/>
        <v>0</v>
      </c>
      <c r="M54" s="7"/>
    </row>
    <row r="55" spans="1:13" x14ac:dyDescent="0.25">
      <c r="A55" s="5">
        <f t="shared" si="0"/>
        <v>1.0052999999999994</v>
      </c>
      <c r="B55" s="31"/>
      <c r="C55" s="25" t="s">
        <v>48</v>
      </c>
      <c r="D55" s="57"/>
      <c r="E55" s="7"/>
      <c r="F55" s="7"/>
      <c r="G55" s="8" t="s">
        <v>5</v>
      </c>
      <c r="H55" s="8">
        <f t="shared" si="2"/>
        <v>1</v>
      </c>
      <c r="I55" s="8">
        <f t="shared" si="2"/>
        <v>0</v>
      </c>
      <c r="J55" s="8">
        <f t="shared" si="2"/>
        <v>0</v>
      </c>
      <c r="K55" s="8">
        <f t="shared" si="2"/>
        <v>0</v>
      </c>
      <c r="L55" s="8">
        <f t="shared" si="2"/>
        <v>0</v>
      </c>
      <c r="M55" s="7"/>
    </row>
    <row r="56" spans="1:13" x14ac:dyDescent="0.25">
      <c r="A56" s="5">
        <f t="shared" si="0"/>
        <v>1.0053999999999994</v>
      </c>
      <c r="B56" s="27" t="s">
        <v>66</v>
      </c>
      <c r="C56" s="6" t="s">
        <v>67</v>
      </c>
      <c r="D56" s="58"/>
      <c r="E56" s="7"/>
      <c r="F56" s="7"/>
      <c r="G56" s="8" t="s">
        <v>5</v>
      </c>
      <c r="H56" s="8">
        <f t="shared" si="2"/>
        <v>1</v>
      </c>
      <c r="I56" s="8">
        <f t="shared" si="2"/>
        <v>0</v>
      </c>
      <c r="J56" s="8">
        <f t="shared" si="2"/>
        <v>0</v>
      </c>
      <c r="K56" s="8">
        <f t="shared" si="2"/>
        <v>0</v>
      </c>
      <c r="L56" s="8">
        <f t="shared" si="2"/>
        <v>0</v>
      </c>
      <c r="M56" s="7"/>
    </row>
    <row r="57" spans="1:13" s="20" customFormat="1" x14ac:dyDescent="0.25">
      <c r="A57" s="16">
        <v>2</v>
      </c>
      <c r="B57" s="17" t="s">
        <v>68</v>
      </c>
      <c r="C57" s="18"/>
      <c r="D57" s="18"/>
      <c r="E57" s="17"/>
      <c r="F57" s="17"/>
      <c r="G57" s="19"/>
      <c r="H57" s="19"/>
      <c r="I57" s="19"/>
      <c r="J57" s="19"/>
      <c r="K57" s="19"/>
      <c r="L57" s="19"/>
      <c r="M57" s="17"/>
    </row>
    <row r="58" spans="1:13" ht="25.5" x14ac:dyDescent="0.25">
      <c r="A58" s="5">
        <f t="shared" si="0"/>
        <v>2.0001000000000002</v>
      </c>
      <c r="B58" s="6" t="s">
        <v>202</v>
      </c>
      <c r="C58" s="9" t="s">
        <v>16</v>
      </c>
      <c r="D58" s="9"/>
      <c r="E58" s="7"/>
      <c r="F58" s="6"/>
      <c r="G58" s="8" t="s">
        <v>5</v>
      </c>
      <c r="H58" s="8">
        <f t="shared" ref="H58:L83" si="3">IF($G58=H$1,1,0)</f>
        <v>1</v>
      </c>
      <c r="I58" s="8">
        <f t="shared" si="3"/>
        <v>0</v>
      </c>
      <c r="J58" s="8">
        <f t="shared" si="3"/>
        <v>0</v>
      </c>
      <c r="K58" s="8">
        <f t="shared" si="3"/>
        <v>0</v>
      </c>
      <c r="L58" s="8">
        <f t="shared" si="3"/>
        <v>0</v>
      </c>
      <c r="M58" s="7"/>
    </row>
    <row r="59" spans="1:13" x14ac:dyDescent="0.25">
      <c r="A59" s="5">
        <f t="shared" si="0"/>
        <v>2.0002000000000004</v>
      </c>
      <c r="B59" s="41" t="s">
        <v>94</v>
      </c>
      <c r="C59" s="42"/>
      <c r="D59" s="42"/>
      <c r="E59" s="7"/>
      <c r="F59" s="6"/>
      <c r="G59" s="8" t="s">
        <v>5</v>
      </c>
      <c r="H59" s="8">
        <f t="shared" si="3"/>
        <v>1</v>
      </c>
      <c r="I59" s="8">
        <f t="shared" si="3"/>
        <v>0</v>
      </c>
      <c r="J59" s="8">
        <f t="shared" si="3"/>
        <v>0</v>
      </c>
      <c r="K59" s="8">
        <f t="shared" si="3"/>
        <v>0</v>
      </c>
      <c r="L59" s="8">
        <f t="shared" si="3"/>
        <v>0</v>
      </c>
      <c r="M59" s="7"/>
    </row>
    <row r="60" spans="1:13" x14ac:dyDescent="0.25">
      <c r="A60" s="5">
        <f t="shared" si="0"/>
        <v>2.0003000000000006</v>
      </c>
      <c r="B60" s="6" t="s">
        <v>69</v>
      </c>
      <c r="C60" s="9" t="s">
        <v>18</v>
      </c>
      <c r="D60" s="56" t="s">
        <v>214</v>
      </c>
      <c r="E60" s="7"/>
      <c r="F60" s="6"/>
      <c r="G60" s="8" t="s">
        <v>5</v>
      </c>
      <c r="H60" s="8">
        <f t="shared" si="3"/>
        <v>1</v>
      </c>
      <c r="I60" s="8">
        <f t="shared" si="3"/>
        <v>0</v>
      </c>
      <c r="J60" s="8">
        <f t="shared" si="3"/>
        <v>0</v>
      </c>
      <c r="K60" s="8">
        <f t="shared" si="3"/>
        <v>0</v>
      </c>
      <c r="L60" s="8">
        <f t="shared" si="3"/>
        <v>0</v>
      </c>
      <c r="M60" s="7"/>
    </row>
    <row r="61" spans="1:13" x14ac:dyDescent="0.25">
      <c r="A61" s="5">
        <f t="shared" si="0"/>
        <v>2.0004000000000008</v>
      </c>
      <c r="B61" s="6" t="s">
        <v>70</v>
      </c>
      <c r="C61" s="9" t="s">
        <v>212</v>
      </c>
      <c r="D61" s="57"/>
      <c r="E61" s="7"/>
      <c r="F61" s="6"/>
      <c r="G61" s="8" t="s">
        <v>5</v>
      </c>
      <c r="H61" s="8">
        <f t="shared" si="3"/>
        <v>1</v>
      </c>
      <c r="I61" s="8">
        <f t="shared" si="3"/>
        <v>0</v>
      </c>
      <c r="J61" s="8">
        <f t="shared" si="3"/>
        <v>0</v>
      </c>
      <c r="K61" s="8">
        <f t="shared" si="3"/>
        <v>0</v>
      </c>
      <c r="L61" s="8">
        <f t="shared" si="3"/>
        <v>0</v>
      </c>
      <c r="M61" s="7"/>
    </row>
    <row r="62" spans="1:13" ht="38.25" x14ac:dyDescent="0.25">
      <c r="A62" s="5">
        <f t="shared" si="0"/>
        <v>2.0005000000000011</v>
      </c>
      <c r="B62" s="6" t="s">
        <v>71</v>
      </c>
      <c r="C62" s="23" t="s">
        <v>72</v>
      </c>
      <c r="D62" s="57"/>
      <c r="E62" s="7"/>
      <c r="F62" s="7"/>
      <c r="G62" s="8" t="s">
        <v>5</v>
      </c>
      <c r="H62" s="8">
        <f t="shared" si="3"/>
        <v>1</v>
      </c>
      <c r="I62" s="8">
        <f t="shared" si="3"/>
        <v>0</v>
      </c>
      <c r="J62" s="8">
        <f t="shared" si="3"/>
        <v>0</v>
      </c>
      <c r="K62" s="8">
        <f t="shared" si="3"/>
        <v>0</v>
      </c>
      <c r="L62" s="8">
        <f t="shared" si="3"/>
        <v>0</v>
      </c>
      <c r="M62" s="7"/>
    </row>
    <row r="63" spans="1:13" ht="25.5" x14ac:dyDescent="0.25">
      <c r="A63" s="5">
        <f t="shared" si="0"/>
        <v>2.0006000000000013</v>
      </c>
      <c r="B63" s="6"/>
      <c r="C63" s="23" t="s">
        <v>74</v>
      </c>
      <c r="D63" s="57"/>
      <c r="E63" s="7"/>
      <c r="F63" s="7"/>
      <c r="G63" s="8" t="s">
        <v>5</v>
      </c>
      <c r="H63" s="8">
        <f t="shared" si="3"/>
        <v>1</v>
      </c>
      <c r="I63" s="8">
        <f t="shared" si="3"/>
        <v>0</v>
      </c>
      <c r="J63" s="8">
        <f t="shared" si="3"/>
        <v>0</v>
      </c>
      <c r="K63" s="8">
        <f t="shared" si="3"/>
        <v>0</v>
      </c>
      <c r="L63" s="8">
        <f t="shared" si="3"/>
        <v>0</v>
      </c>
      <c r="M63" s="7"/>
    </row>
    <row r="64" spans="1:13" x14ac:dyDescent="0.25">
      <c r="A64" s="5">
        <f t="shared" si="0"/>
        <v>2.0007000000000015</v>
      </c>
      <c r="B64" s="26" t="s">
        <v>73</v>
      </c>
      <c r="C64" s="9" t="s">
        <v>75</v>
      </c>
      <c r="D64" s="57"/>
      <c r="E64" s="7"/>
      <c r="F64" s="7"/>
      <c r="G64" s="8" t="s">
        <v>8</v>
      </c>
      <c r="H64" s="8">
        <f t="shared" si="3"/>
        <v>0</v>
      </c>
      <c r="I64" s="8">
        <f t="shared" si="3"/>
        <v>0</v>
      </c>
      <c r="J64" s="8">
        <f t="shared" si="3"/>
        <v>0</v>
      </c>
      <c r="K64" s="8">
        <f t="shared" si="3"/>
        <v>0</v>
      </c>
      <c r="L64" s="8">
        <f t="shared" si="3"/>
        <v>1</v>
      </c>
      <c r="M64" s="7"/>
    </row>
    <row r="65" spans="1:13" x14ac:dyDescent="0.25">
      <c r="A65" s="5">
        <f t="shared" si="0"/>
        <v>2.0008000000000017</v>
      </c>
      <c r="B65" s="35" t="s">
        <v>17</v>
      </c>
      <c r="C65" s="28" t="s">
        <v>18</v>
      </c>
      <c r="D65" s="57"/>
      <c r="E65" s="7"/>
      <c r="F65" s="7"/>
      <c r="G65" s="8" t="s">
        <v>8</v>
      </c>
      <c r="H65" s="8">
        <f t="shared" si="3"/>
        <v>0</v>
      </c>
      <c r="I65" s="8">
        <f t="shared" si="3"/>
        <v>0</v>
      </c>
      <c r="J65" s="8">
        <f t="shared" si="3"/>
        <v>0</v>
      </c>
      <c r="K65" s="8">
        <f t="shared" si="3"/>
        <v>0</v>
      </c>
      <c r="L65" s="8">
        <f t="shared" si="3"/>
        <v>1</v>
      </c>
      <c r="M65" s="7"/>
    </row>
    <row r="66" spans="1:13" x14ac:dyDescent="0.25">
      <c r="A66" s="5">
        <f t="shared" si="0"/>
        <v>2.0009000000000019</v>
      </c>
      <c r="B66" s="36" t="s">
        <v>19</v>
      </c>
      <c r="C66" s="28" t="s">
        <v>20</v>
      </c>
      <c r="D66" s="57"/>
      <c r="E66" s="7"/>
      <c r="F66" s="7"/>
      <c r="G66" s="8" t="s">
        <v>8</v>
      </c>
      <c r="H66" s="8">
        <f t="shared" si="3"/>
        <v>0</v>
      </c>
      <c r="I66" s="8">
        <f t="shared" si="3"/>
        <v>0</v>
      </c>
      <c r="J66" s="8">
        <f t="shared" si="3"/>
        <v>0</v>
      </c>
      <c r="K66" s="8">
        <f t="shared" si="3"/>
        <v>0</v>
      </c>
      <c r="L66" s="8">
        <f t="shared" si="3"/>
        <v>1</v>
      </c>
      <c r="M66" s="7"/>
    </row>
    <row r="67" spans="1:13" x14ac:dyDescent="0.25">
      <c r="A67" s="5">
        <f t="shared" si="0"/>
        <v>2.0010000000000021</v>
      </c>
      <c r="B67" s="36"/>
      <c r="C67" s="29" t="s">
        <v>21</v>
      </c>
      <c r="D67" s="57"/>
      <c r="E67" s="7"/>
      <c r="F67" s="7"/>
      <c r="G67" s="8" t="s">
        <v>8</v>
      </c>
      <c r="H67" s="8">
        <f t="shared" si="3"/>
        <v>0</v>
      </c>
      <c r="I67" s="8">
        <f t="shared" si="3"/>
        <v>0</v>
      </c>
      <c r="J67" s="8">
        <f t="shared" si="3"/>
        <v>0</v>
      </c>
      <c r="K67" s="8">
        <f t="shared" si="3"/>
        <v>0</v>
      </c>
      <c r="L67" s="8">
        <f t="shared" si="3"/>
        <v>1</v>
      </c>
      <c r="M67" s="7"/>
    </row>
    <row r="68" spans="1:13" x14ac:dyDescent="0.25">
      <c r="A68" s="5">
        <f t="shared" si="0"/>
        <v>2.0011000000000023</v>
      </c>
      <c r="B68" s="36"/>
      <c r="C68" s="29" t="s">
        <v>22</v>
      </c>
      <c r="D68" s="57"/>
      <c r="E68" s="7"/>
      <c r="F68" s="7"/>
      <c r="G68" s="8" t="s">
        <v>8</v>
      </c>
      <c r="H68" s="8">
        <f t="shared" si="3"/>
        <v>0</v>
      </c>
      <c r="I68" s="8">
        <f t="shared" si="3"/>
        <v>0</v>
      </c>
      <c r="J68" s="8">
        <f t="shared" si="3"/>
        <v>0</v>
      </c>
      <c r="K68" s="8">
        <f t="shared" si="3"/>
        <v>0</v>
      </c>
      <c r="L68" s="8">
        <f t="shared" si="3"/>
        <v>1</v>
      </c>
      <c r="M68" s="7"/>
    </row>
    <row r="69" spans="1:13" x14ac:dyDescent="0.25">
      <c r="A69" s="5">
        <f t="shared" ref="A69:A107" si="4">A68+0.0001</f>
        <v>2.0012000000000025</v>
      </c>
      <c r="B69" s="36"/>
      <c r="C69" s="29" t="s">
        <v>23</v>
      </c>
      <c r="D69" s="57"/>
      <c r="E69" s="7"/>
      <c r="F69" s="7"/>
      <c r="G69" s="8" t="s">
        <v>8</v>
      </c>
      <c r="H69" s="8">
        <f t="shared" si="3"/>
        <v>0</v>
      </c>
      <c r="I69" s="8">
        <f t="shared" si="3"/>
        <v>0</v>
      </c>
      <c r="J69" s="8">
        <f t="shared" si="3"/>
        <v>0</v>
      </c>
      <c r="K69" s="8">
        <f t="shared" si="3"/>
        <v>0</v>
      </c>
      <c r="L69" s="8">
        <f t="shared" si="3"/>
        <v>1</v>
      </c>
      <c r="M69" s="7"/>
    </row>
    <row r="70" spans="1:13" x14ac:dyDescent="0.25">
      <c r="A70" s="5">
        <f t="shared" si="4"/>
        <v>2.0013000000000027</v>
      </c>
      <c r="B70" s="36" t="s">
        <v>32</v>
      </c>
      <c r="C70" s="28" t="s">
        <v>18</v>
      </c>
      <c r="D70" s="57"/>
      <c r="E70" s="7"/>
      <c r="F70" s="7"/>
      <c r="G70" s="8" t="s">
        <v>8</v>
      </c>
      <c r="H70" s="8">
        <f t="shared" si="3"/>
        <v>0</v>
      </c>
      <c r="I70" s="8">
        <f t="shared" si="3"/>
        <v>0</v>
      </c>
      <c r="J70" s="8">
        <f t="shared" si="3"/>
        <v>0</v>
      </c>
      <c r="K70" s="8">
        <f t="shared" si="3"/>
        <v>0</v>
      </c>
      <c r="L70" s="8">
        <f t="shared" si="3"/>
        <v>1</v>
      </c>
      <c r="M70" s="7"/>
    </row>
    <row r="71" spans="1:13" x14ac:dyDescent="0.25">
      <c r="A71" s="5">
        <f t="shared" si="4"/>
        <v>2.001400000000003</v>
      </c>
      <c r="B71" s="36" t="s">
        <v>76</v>
      </c>
      <c r="C71" s="28" t="s">
        <v>18</v>
      </c>
      <c r="D71" s="57"/>
      <c r="E71" s="7"/>
      <c r="F71" s="7"/>
      <c r="G71" s="8" t="s">
        <v>8</v>
      </c>
      <c r="H71" s="8">
        <f t="shared" si="3"/>
        <v>0</v>
      </c>
      <c r="I71" s="8">
        <f t="shared" si="3"/>
        <v>0</v>
      </c>
      <c r="J71" s="8">
        <f t="shared" si="3"/>
        <v>0</v>
      </c>
      <c r="K71" s="8">
        <f t="shared" si="3"/>
        <v>0</v>
      </c>
      <c r="L71" s="8">
        <f t="shared" si="3"/>
        <v>1</v>
      </c>
      <c r="M71" s="7"/>
    </row>
    <row r="72" spans="1:13" x14ac:dyDescent="0.25">
      <c r="A72" s="5">
        <f t="shared" si="4"/>
        <v>2.0015000000000032</v>
      </c>
      <c r="B72" s="36" t="s">
        <v>77</v>
      </c>
      <c r="C72" s="28" t="s">
        <v>18</v>
      </c>
      <c r="D72" s="57"/>
      <c r="E72" s="7"/>
      <c r="F72" s="7"/>
      <c r="G72" s="8" t="s">
        <v>8</v>
      </c>
      <c r="H72" s="8">
        <f t="shared" si="3"/>
        <v>0</v>
      </c>
      <c r="I72" s="8">
        <f t="shared" si="3"/>
        <v>0</v>
      </c>
      <c r="J72" s="8">
        <f t="shared" si="3"/>
        <v>0</v>
      </c>
      <c r="K72" s="8">
        <f t="shared" si="3"/>
        <v>0</v>
      </c>
      <c r="L72" s="8">
        <f t="shared" si="3"/>
        <v>1</v>
      </c>
      <c r="M72" s="7"/>
    </row>
    <row r="73" spans="1:13" x14ac:dyDescent="0.25">
      <c r="A73" s="5">
        <f t="shared" si="4"/>
        <v>2.0016000000000034</v>
      </c>
      <c r="B73" s="36" t="s">
        <v>78</v>
      </c>
      <c r="C73" s="28" t="s">
        <v>18</v>
      </c>
      <c r="D73" s="57"/>
      <c r="E73" s="7"/>
      <c r="F73" s="7"/>
      <c r="G73" s="8" t="s">
        <v>8</v>
      </c>
      <c r="H73" s="8">
        <f t="shared" si="3"/>
        <v>0</v>
      </c>
      <c r="I73" s="8">
        <f t="shared" si="3"/>
        <v>0</v>
      </c>
      <c r="J73" s="8">
        <f t="shared" si="3"/>
        <v>0</v>
      </c>
      <c r="K73" s="8">
        <f t="shared" si="3"/>
        <v>0</v>
      </c>
      <c r="L73" s="8">
        <f t="shared" si="3"/>
        <v>1</v>
      </c>
      <c r="M73" s="7"/>
    </row>
    <row r="74" spans="1:13" x14ac:dyDescent="0.25">
      <c r="A74" s="5">
        <f t="shared" si="4"/>
        <v>2.0017000000000036</v>
      </c>
      <c r="B74" s="36" t="s">
        <v>79</v>
      </c>
      <c r="C74" s="25" t="s">
        <v>20</v>
      </c>
      <c r="D74" s="57"/>
      <c r="E74" s="7"/>
      <c r="F74" s="7"/>
      <c r="G74" s="8" t="s">
        <v>8</v>
      </c>
      <c r="H74" s="8">
        <f t="shared" si="3"/>
        <v>0</v>
      </c>
      <c r="I74" s="8">
        <f t="shared" si="3"/>
        <v>0</v>
      </c>
      <c r="J74" s="8">
        <f t="shared" si="3"/>
        <v>0</v>
      </c>
      <c r="K74" s="8">
        <f t="shared" si="3"/>
        <v>0</v>
      </c>
      <c r="L74" s="8">
        <f t="shared" si="3"/>
        <v>1</v>
      </c>
      <c r="M74" s="7"/>
    </row>
    <row r="75" spans="1:13" x14ac:dyDescent="0.25">
      <c r="A75" s="5">
        <f t="shared" si="4"/>
        <v>2.0018000000000038</v>
      </c>
      <c r="B75" s="36"/>
      <c r="C75" s="29" t="s">
        <v>84</v>
      </c>
      <c r="D75" s="57"/>
      <c r="E75" s="7"/>
      <c r="F75" s="7"/>
      <c r="G75" s="8" t="s">
        <v>8</v>
      </c>
      <c r="H75" s="8">
        <f t="shared" si="3"/>
        <v>0</v>
      </c>
      <c r="I75" s="8">
        <f t="shared" si="3"/>
        <v>0</v>
      </c>
      <c r="J75" s="8">
        <f t="shared" si="3"/>
        <v>0</v>
      </c>
      <c r="K75" s="8">
        <f t="shared" si="3"/>
        <v>0</v>
      </c>
      <c r="L75" s="8">
        <f t="shared" si="3"/>
        <v>1</v>
      </c>
      <c r="M75" s="7"/>
    </row>
    <row r="76" spans="1:13" x14ac:dyDescent="0.25">
      <c r="A76" s="5">
        <f t="shared" si="4"/>
        <v>2.001900000000004</v>
      </c>
      <c r="B76" s="36"/>
      <c r="C76" s="29" t="s">
        <v>85</v>
      </c>
      <c r="D76" s="57"/>
      <c r="E76" s="7"/>
      <c r="F76" s="7"/>
      <c r="G76" s="8" t="s">
        <v>8</v>
      </c>
      <c r="H76" s="8">
        <f t="shared" si="3"/>
        <v>0</v>
      </c>
      <c r="I76" s="8">
        <f t="shared" si="3"/>
        <v>0</v>
      </c>
      <c r="J76" s="8">
        <f t="shared" si="3"/>
        <v>0</v>
      </c>
      <c r="K76" s="8">
        <f t="shared" si="3"/>
        <v>0</v>
      </c>
      <c r="L76" s="8">
        <f t="shared" si="3"/>
        <v>1</v>
      </c>
      <c r="M76" s="7"/>
    </row>
    <row r="77" spans="1:13" x14ac:dyDescent="0.25">
      <c r="A77" s="5">
        <f t="shared" si="4"/>
        <v>2.0020000000000042</v>
      </c>
      <c r="B77" s="36"/>
      <c r="C77" s="29" t="s">
        <v>86</v>
      </c>
      <c r="D77" s="57"/>
      <c r="E77" s="7"/>
      <c r="F77" s="7"/>
      <c r="G77" s="8" t="s">
        <v>8</v>
      </c>
      <c r="H77" s="8">
        <f t="shared" si="3"/>
        <v>0</v>
      </c>
      <c r="I77" s="8">
        <f t="shared" si="3"/>
        <v>0</v>
      </c>
      <c r="J77" s="8">
        <f t="shared" si="3"/>
        <v>0</v>
      </c>
      <c r="K77" s="8">
        <f t="shared" si="3"/>
        <v>0</v>
      </c>
      <c r="L77" s="8">
        <f t="shared" si="3"/>
        <v>1</v>
      </c>
      <c r="M77" s="7"/>
    </row>
    <row r="78" spans="1:13" x14ac:dyDescent="0.25">
      <c r="A78" s="5">
        <f t="shared" si="4"/>
        <v>2.0021000000000044</v>
      </c>
      <c r="B78" s="36"/>
      <c r="C78" s="29" t="s">
        <v>87</v>
      </c>
      <c r="D78" s="57"/>
      <c r="E78" s="7"/>
      <c r="F78" s="7"/>
      <c r="G78" s="8" t="s">
        <v>8</v>
      </c>
      <c r="H78" s="8">
        <f t="shared" si="3"/>
        <v>0</v>
      </c>
      <c r="I78" s="8">
        <f t="shared" si="3"/>
        <v>0</v>
      </c>
      <c r="J78" s="8">
        <f t="shared" si="3"/>
        <v>0</v>
      </c>
      <c r="K78" s="8">
        <f t="shared" si="3"/>
        <v>0</v>
      </c>
      <c r="L78" s="8">
        <f t="shared" si="3"/>
        <v>1</v>
      </c>
      <c r="M78" s="7"/>
    </row>
    <row r="79" spans="1:13" x14ac:dyDescent="0.25">
      <c r="A79" s="5">
        <f t="shared" si="4"/>
        <v>2.0022000000000046</v>
      </c>
      <c r="B79" s="36" t="s">
        <v>80</v>
      </c>
      <c r="C79" s="25" t="s">
        <v>18</v>
      </c>
      <c r="D79" s="57"/>
      <c r="E79" s="7"/>
      <c r="F79" s="7"/>
      <c r="G79" s="8" t="s">
        <v>8</v>
      </c>
      <c r="H79" s="8">
        <f t="shared" si="3"/>
        <v>0</v>
      </c>
      <c r="I79" s="8">
        <f t="shared" si="3"/>
        <v>0</v>
      </c>
      <c r="J79" s="8">
        <f t="shared" si="3"/>
        <v>0</v>
      </c>
      <c r="K79" s="8">
        <f t="shared" si="3"/>
        <v>0</v>
      </c>
      <c r="L79" s="8">
        <f t="shared" si="3"/>
        <v>1</v>
      </c>
      <c r="M79" s="7"/>
    </row>
    <row r="80" spans="1:13" x14ac:dyDescent="0.25">
      <c r="A80" s="5">
        <f t="shared" si="4"/>
        <v>2.0023000000000049</v>
      </c>
      <c r="B80" s="37" t="s">
        <v>81</v>
      </c>
      <c r="C80" s="25" t="s">
        <v>18</v>
      </c>
      <c r="D80" s="57"/>
      <c r="E80" s="7"/>
      <c r="F80" s="7"/>
      <c r="G80" s="8" t="s">
        <v>8</v>
      </c>
      <c r="H80" s="8">
        <f t="shared" si="3"/>
        <v>0</v>
      </c>
      <c r="I80" s="8">
        <f t="shared" si="3"/>
        <v>0</v>
      </c>
      <c r="J80" s="8">
        <f t="shared" si="3"/>
        <v>0</v>
      </c>
      <c r="K80" s="8">
        <f t="shared" si="3"/>
        <v>0</v>
      </c>
      <c r="L80" s="8">
        <f t="shared" si="3"/>
        <v>1</v>
      </c>
      <c r="M80" s="7"/>
    </row>
    <row r="81" spans="1:13" x14ac:dyDescent="0.25">
      <c r="A81" s="5">
        <f t="shared" si="4"/>
        <v>2.0024000000000051</v>
      </c>
      <c r="B81" s="9" t="s">
        <v>73</v>
      </c>
      <c r="C81" s="6" t="s">
        <v>17</v>
      </c>
      <c r="D81" s="57"/>
      <c r="E81" s="7"/>
      <c r="F81" s="7"/>
      <c r="G81" s="8" t="s">
        <v>8</v>
      </c>
      <c r="H81" s="8">
        <f t="shared" si="3"/>
        <v>0</v>
      </c>
      <c r="I81" s="8">
        <f t="shared" si="3"/>
        <v>0</v>
      </c>
      <c r="J81" s="8">
        <f t="shared" si="3"/>
        <v>0</v>
      </c>
      <c r="K81" s="8">
        <f t="shared" si="3"/>
        <v>0</v>
      </c>
      <c r="L81" s="8">
        <f t="shared" si="3"/>
        <v>1</v>
      </c>
      <c r="M81" s="7"/>
    </row>
    <row r="82" spans="1:13" x14ac:dyDescent="0.25">
      <c r="A82" s="5">
        <f t="shared" si="4"/>
        <v>2.0025000000000053</v>
      </c>
      <c r="B82" s="9" t="s">
        <v>28</v>
      </c>
      <c r="C82" s="6" t="s">
        <v>19</v>
      </c>
      <c r="D82" s="57"/>
      <c r="E82" s="7"/>
      <c r="F82" s="7"/>
      <c r="G82" s="8" t="s">
        <v>8</v>
      </c>
      <c r="H82" s="8">
        <f t="shared" si="3"/>
        <v>0</v>
      </c>
      <c r="I82" s="8">
        <f t="shared" si="3"/>
        <v>0</v>
      </c>
      <c r="J82" s="8">
        <f t="shared" si="3"/>
        <v>0</v>
      </c>
      <c r="K82" s="8">
        <f t="shared" si="3"/>
        <v>0</v>
      </c>
      <c r="L82" s="8">
        <f t="shared" si="3"/>
        <v>1</v>
      </c>
      <c r="M82" s="7"/>
    </row>
    <row r="83" spans="1:13" x14ac:dyDescent="0.25">
      <c r="A83" s="5">
        <f t="shared" si="4"/>
        <v>2.0026000000000055</v>
      </c>
      <c r="B83" s="38" t="s">
        <v>88</v>
      </c>
      <c r="C83" s="6" t="s">
        <v>32</v>
      </c>
      <c r="D83" s="57"/>
      <c r="E83" s="7"/>
      <c r="F83" s="7"/>
      <c r="G83" s="8" t="s">
        <v>8</v>
      </c>
      <c r="H83" s="8">
        <f t="shared" si="3"/>
        <v>0</v>
      </c>
      <c r="I83" s="8">
        <f t="shared" si="3"/>
        <v>0</v>
      </c>
      <c r="J83" s="8">
        <f t="shared" si="3"/>
        <v>0</v>
      </c>
      <c r="K83" s="8">
        <f t="shared" si="3"/>
        <v>0</v>
      </c>
      <c r="L83" s="8">
        <f t="shared" si="3"/>
        <v>1</v>
      </c>
      <c r="M83" s="7"/>
    </row>
    <row r="84" spans="1:13" x14ac:dyDescent="0.25">
      <c r="A84" s="5">
        <f t="shared" si="4"/>
        <v>2.0027000000000057</v>
      </c>
      <c r="B84" s="39" t="s">
        <v>89</v>
      </c>
      <c r="C84" s="6" t="s">
        <v>76</v>
      </c>
      <c r="D84" s="57"/>
      <c r="E84" s="7"/>
      <c r="F84" s="7"/>
      <c r="G84" s="8" t="s">
        <v>8</v>
      </c>
      <c r="H84" s="8">
        <f t="shared" ref="H84:L107" si="5">IF($G84=H$1,1,0)</f>
        <v>0</v>
      </c>
      <c r="I84" s="8">
        <f t="shared" si="5"/>
        <v>0</v>
      </c>
      <c r="J84" s="8">
        <f t="shared" si="5"/>
        <v>0</v>
      </c>
      <c r="K84" s="8">
        <f t="shared" si="5"/>
        <v>0</v>
      </c>
      <c r="L84" s="8">
        <f t="shared" si="5"/>
        <v>1</v>
      </c>
      <c r="M84" s="7"/>
    </row>
    <row r="85" spans="1:13" x14ac:dyDescent="0.25">
      <c r="A85" s="5">
        <f t="shared" si="4"/>
        <v>2.0028000000000059</v>
      </c>
      <c r="B85" s="38" t="s">
        <v>90</v>
      </c>
      <c r="C85" s="6" t="s">
        <v>77</v>
      </c>
      <c r="D85" s="57"/>
      <c r="E85" s="7"/>
      <c r="F85" s="7"/>
      <c r="G85" s="8" t="s">
        <v>8</v>
      </c>
      <c r="H85" s="8">
        <f t="shared" si="5"/>
        <v>0</v>
      </c>
      <c r="I85" s="8">
        <f t="shared" si="5"/>
        <v>0</v>
      </c>
      <c r="J85" s="8">
        <f t="shared" si="5"/>
        <v>0</v>
      </c>
      <c r="K85" s="8">
        <f t="shared" si="5"/>
        <v>0</v>
      </c>
      <c r="L85" s="8">
        <f t="shared" si="5"/>
        <v>1</v>
      </c>
      <c r="M85" s="7"/>
    </row>
    <row r="86" spans="1:13" x14ac:dyDescent="0.25">
      <c r="A86" s="5">
        <f t="shared" si="4"/>
        <v>2.0029000000000061</v>
      </c>
      <c r="B86" s="39" t="s">
        <v>89</v>
      </c>
      <c r="C86" s="6" t="s">
        <v>78</v>
      </c>
      <c r="D86" s="57"/>
      <c r="E86" s="7"/>
      <c r="F86" s="7"/>
      <c r="G86" s="8" t="s">
        <v>8</v>
      </c>
      <c r="H86" s="8">
        <f t="shared" si="5"/>
        <v>0</v>
      </c>
      <c r="I86" s="8">
        <f t="shared" si="5"/>
        <v>0</v>
      </c>
      <c r="J86" s="8">
        <f t="shared" si="5"/>
        <v>0</v>
      </c>
      <c r="K86" s="8">
        <f t="shared" si="5"/>
        <v>0</v>
      </c>
      <c r="L86" s="8">
        <f t="shared" si="5"/>
        <v>1</v>
      </c>
      <c r="M86" s="7"/>
    </row>
    <row r="87" spans="1:13" x14ac:dyDescent="0.25">
      <c r="A87" s="5">
        <f t="shared" si="4"/>
        <v>2.0030000000000063</v>
      </c>
      <c r="B87" s="9" t="s">
        <v>83</v>
      </c>
      <c r="C87" s="6" t="s">
        <v>79</v>
      </c>
      <c r="D87" s="57"/>
      <c r="E87" s="7"/>
      <c r="F87" s="7"/>
      <c r="G87" s="8" t="s">
        <v>8</v>
      </c>
      <c r="H87" s="8">
        <f t="shared" si="5"/>
        <v>0</v>
      </c>
      <c r="I87" s="8">
        <f t="shared" si="5"/>
        <v>0</v>
      </c>
      <c r="J87" s="8">
        <f t="shared" si="5"/>
        <v>0</v>
      </c>
      <c r="K87" s="8">
        <f t="shared" si="5"/>
        <v>0</v>
      </c>
      <c r="L87" s="8">
        <f t="shared" si="5"/>
        <v>1</v>
      </c>
      <c r="M87" s="7"/>
    </row>
    <row r="88" spans="1:13" x14ac:dyDescent="0.25">
      <c r="A88" s="5">
        <f t="shared" si="4"/>
        <v>2.0031000000000065</v>
      </c>
      <c r="B88" s="9" t="s">
        <v>91</v>
      </c>
      <c r="C88" s="6" t="s">
        <v>80</v>
      </c>
      <c r="D88" s="57"/>
      <c r="E88" s="7"/>
      <c r="F88" s="7"/>
      <c r="G88" s="8" t="s">
        <v>8</v>
      </c>
      <c r="H88" s="8">
        <f t="shared" si="5"/>
        <v>0</v>
      </c>
      <c r="I88" s="8">
        <f t="shared" si="5"/>
        <v>0</v>
      </c>
      <c r="J88" s="8">
        <f t="shared" si="5"/>
        <v>0</v>
      </c>
      <c r="K88" s="8">
        <f t="shared" si="5"/>
        <v>0</v>
      </c>
      <c r="L88" s="8">
        <f t="shared" si="5"/>
        <v>1</v>
      </c>
      <c r="M88" s="7"/>
    </row>
    <row r="89" spans="1:13" x14ac:dyDescent="0.25">
      <c r="A89" s="5">
        <f t="shared" si="4"/>
        <v>2.0032000000000068</v>
      </c>
      <c r="B89" t="s">
        <v>92</v>
      </c>
      <c r="C89" s="6" t="s">
        <v>81</v>
      </c>
      <c r="D89" s="58"/>
      <c r="E89" s="7"/>
      <c r="F89" s="7"/>
      <c r="G89" s="8" t="s">
        <v>8</v>
      </c>
      <c r="H89" s="8">
        <f t="shared" si="5"/>
        <v>0</v>
      </c>
      <c r="I89" s="8">
        <f t="shared" si="5"/>
        <v>0</v>
      </c>
      <c r="J89" s="8">
        <f t="shared" si="5"/>
        <v>0</v>
      </c>
      <c r="K89" s="8">
        <f t="shared" si="5"/>
        <v>0</v>
      </c>
      <c r="L89" s="8">
        <f t="shared" si="5"/>
        <v>1</v>
      </c>
      <c r="M89" s="7"/>
    </row>
    <row r="90" spans="1:13" x14ac:dyDescent="0.25">
      <c r="A90" s="5">
        <f t="shared" si="4"/>
        <v>2.003300000000007</v>
      </c>
      <c r="B90" s="43" t="s">
        <v>95</v>
      </c>
      <c r="C90" s="41"/>
      <c r="D90" s="41"/>
      <c r="E90" s="7"/>
      <c r="F90" s="7"/>
      <c r="G90" s="8" t="s">
        <v>8</v>
      </c>
      <c r="H90" s="8">
        <f t="shared" si="5"/>
        <v>0</v>
      </c>
      <c r="I90" s="8">
        <f t="shared" si="5"/>
        <v>0</v>
      </c>
      <c r="J90" s="8">
        <f t="shared" si="5"/>
        <v>0</v>
      </c>
      <c r="K90" s="8">
        <f t="shared" si="5"/>
        <v>0</v>
      </c>
      <c r="L90" s="8">
        <f t="shared" si="5"/>
        <v>1</v>
      </c>
      <c r="M90" s="7"/>
    </row>
    <row r="91" spans="1:13" x14ac:dyDescent="0.25">
      <c r="A91" s="5">
        <f t="shared" si="4"/>
        <v>2.0034000000000072</v>
      </c>
      <c r="B91" s="44" t="s">
        <v>96</v>
      </c>
      <c r="C91" s="25" t="s">
        <v>97</v>
      </c>
      <c r="D91" s="56" t="s">
        <v>214</v>
      </c>
      <c r="E91" s="7"/>
      <c r="F91" s="7"/>
      <c r="G91" s="8" t="s">
        <v>8</v>
      </c>
      <c r="H91" s="8">
        <f t="shared" si="5"/>
        <v>0</v>
      </c>
      <c r="I91" s="8">
        <f t="shared" si="5"/>
        <v>0</v>
      </c>
      <c r="J91" s="8">
        <f t="shared" si="5"/>
        <v>0</v>
      </c>
      <c r="K91" s="8">
        <f t="shared" si="5"/>
        <v>0</v>
      </c>
      <c r="L91" s="8">
        <f t="shared" si="5"/>
        <v>1</v>
      </c>
      <c r="M91" s="7"/>
    </row>
    <row r="92" spans="1:13" x14ac:dyDescent="0.25">
      <c r="A92" s="5">
        <f t="shared" si="4"/>
        <v>2.0035000000000074</v>
      </c>
      <c r="B92" s="45"/>
      <c r="C92" s="25" t="s">
        <v>98</v>
      </c>
      <c r="D92" s="57"/>
      <c r="E92" s="7"/>
      <c r="F92" s="7"/>
      <c r="G92" s="8" t="s">
        <v>8</v>
      </c>
      <c r="H92" s="8">
        <f t="shared" si="5"/>
        <v>0</v>
      </c>
      <c r="I92" s="8">
        <f t="shared" si="5"/>
        <v>0</v>
      </c>
      <c r="J92" s="8">
        <f t="shared" si="5"/>
        <v>0</v>
      </c>
      <c r="K92" s="8">
        <f t="shared" si="5"/>
        <v>0</v>
      </c>
      <c r="L92" s="8">
        <f t="shared" si="5"/>
        <v>1</v>
      </c>
      <c r="M92" s="7"/>
    </row>
    <row r="93" spans="1:13" x14ac:dyDescent="0.25">
      <c r="A93" s="5">
        <f t="shared" si="4"/>
        <v>2.0036000000000076</v>
      </c>
      <c r="B93" s="31" t="s">
        <v>97</v>
      </c>
      <c r="C93" s="6" t="s">
        <v>99</v>
      </c>
      <c r="D93" s="57"/>
      <c r="E93" s="7"/>
      <c r="F93" s="7"/>
      <c r="G93" s="8" t="s">
        <v>8</v>
      </c>
      <c r="H93" s="8">
        <f t="shared" si="5"/>
        <v>0</v>
      </c>
      <c r="I93" s="8">
        <f t="shared" si="5"/>
        <v>0</v>
      </c>
      <c r="J93" s="8">
        <f t="shared" si="5"/>
        <v>0</v>
      </c>
      <c r="K93" s="8">
        <f t="shared" si="5"/>
        <v>0</v>
      </c>
      <c r="L93" s="8">
        <f t="shared" si="5"/>
        <v>1</v>
      </c>
      <c r="M93" s="7"/>
    </row>
    <row r="94" spans="1:13" x14ac:dyDescent="0.25">
      <c r="A94" s="5">
        <f t="shared" si="4"/>
        <v>2.0037000000000078</v>
      </c>
      <c r="B94" s="26" t="s">
        <v>98</v>
      </c>
      <c r="C94" s="6" t="s">
        <v>100</v>
      </c>
      <c r="D94" s="57"/>
      <c r="E94" s="7"/>
      <c r="F94" s="7"/>
      <c r="G94" s="8" t="s">
        <v>8</v>
      </c>
      <c r="H94" s="8">
        <f t="shared" si="5"/>
        <v>0</v>
      </c>
      <c r="I94" s="8">
        <f t="shared" si="5"/>
        <v>0</v>
      </c>
      <c r="J94" s="8">
        <f t="shared" si="5"/>
        <v>0</v>
      </c>
      <c r="K94" s="8">
        <f t="shared" si="5"/>
        <v>0</v>
      </c>
      <c r="L94" s="8">
        <f t="shared" si="5"/>
        <v>1</v>
      </c>
      <c r="M94" s="7"/>
    </row>
    <row r="95" spans="1:13" x14ac:dyDescent="0.25">
      <c r="A95" s="5">
        <f t="shared" si="4"/>
        <v>2.003800000000008</v>
      </c>
      <c r="B95" s="26" t="s">
        <v>101</v>
      </c>
      <c r="C95" s="25" t="s">
        <v>102</v>
      </c>
      <c r="D95" s="57"/>
      <c r="E95" s="7"/>
      <c r="F95" s="7"/>
      <c r="G95" s="8" t="s">
        <v>8</v>
      </c>
      <c r="H95" s="8">
        <f t="shared" si="5"/>
        <v>0</v>
      </c>
      <c r="I95" s="8">
        <f t="shared" si="5"/>
        <v>0</v>
      </c>
      <c r="J95" s="8">
        <f t="shared" si="5"/>
        <v>0</v>
      </c>
      <c r="K95" s="8">
        <f t="shared" si="5"/>
        <v>0</v>
      </c>
      <c r="L95" s="8">
        <f t="shared" si="5"/>
        <v>1</v>
      </c>
      <c r="M95" s="7"/>
    </row>
    <row r="96" spans="1:13" x14ac:dyDescent="0.25">
      <c r="A96" s="5">
        <f t="shared" si="4"/>
        <v>2.0039000000000082</v>
      </c>
      <c r="B96" s="30"/>
      <c r="C96" s="25" t="s">
        <v>103</v>
      </c>
      <c r="D96" s="57"/>
      <c r="E96" s="7"/>
      <c r="F96" s="7"/>
      <c r="G96" s="8" t="s">
        <v>8</v>
      </c>
      <c r="H96" s="8">
        <f t="shared" si="5"/>
        <v>0</v>
      </c>
      <c r="I96" s="8">
        <f t="shared" si="5"/>
        <v>0</v>
      </c>
      <c r="J96" s="8">
        <f t="shared" si="5"/>
        <v>0</v>
      </c>
      <c r="K96" s="8">
        <f t="shared" si="5"/>
        <v>0</v>
      </c>
      <c r="L96" s="8">
        <f t="shared" si="5"/>
        <v>1</v>
      </c>
      <c r="M96" s="7"/>
    </row>
    <row r="97" spans="1:13" x14ac:dyDescent="0.25">
      <c r="A97" s="5">
        <f t="shared" si="4"/>
        <v>2.0040000000000084</v>
      </c>
      <c r="B97" s="31"/>
      <c r="C97" s="25" t="s">
        <v>104</v>
      </c>
      <c r="D97" s="57"/>
      <c r="E97" s="7"/>
      <c r="F97" s="7"/>
      <c r="G97" s="8" t="s">
        <v>8</v>
      </c>
      <c r="H97" s="8">
        <f t="shared" si="5"/>
        <v>0</v>
      </c>
      <c r="I97" s="8">
        <f t="shared" si="5"/>
        <v>0</v>
      </c>
      <c r="J97" s="8">
        <f t="shared" si="5"/>
        <v>0</v>
      </c>
      <c r="K97" s="8">
        <f t="shared" si="5"/>
        <v>0</v>
      </c>
      <c r="L97" s="8">
        <f t="shared" si="5"/>
        <v>1</v>
      </c>
      <c r="M97" s="7"/>
    </row>
    <row r="98" spans="1:13" x14ac:dyDescent="0.25">
      <c r="A98" s="5">
        <f t="shared" si="4"/>
        <v>2.0041000000000087</v>
      </c>
      <c r="B98" s="31" t="s">
        <v>102</v>
      </c>
      <c r="C98" s="6" t="s">
        <v>100</v>
      </c>
      <c r="D98" s="57"/>
      <c r="E98" s="7"/>
      <c r="F98" s="7"/>
      <c r="G98" s="8" t="s">
        <v>8</v>
      </c>
      <c r="H98" s="8">
        <f t="shared" si="5"/>
        <v>0</v>
      </c>
      <c r="I98" s="8">
        <f t="shared" si="5"/>
        <v>0</v>
      </c>
      <c r="J98" s="8">
        <f t="shared" si="5"/>
        <v>0</v>
      </c>
      <c r="K98" s="8">
        <f t="shared" si="5"/>
        <v>0</v>
      </c>
      <c r="L98" s="8">
        <f t="shared" si="5"/>
        <v>1</v>
      </c>
      <c r="M98" s="7"/>
    </row>
    <row r="99" spans="1:13" ht="25.5" x14ac:dyDescent="0.25">
      <c r="A99" s="5">
        <f t="shared" si="4"/>
        <v>2.0042000000000089</v>
      </c>
      <c r="B99" s="6" t="s">
        <v>103</v>
      </c>
      <c r="C99" s="6" t="s">
        <v>112</v>
      </c>
      <c r="D99" s="57"/>
      <c r="E99" s="7"/>
      <c r="F99" s="7"/>
      <c r="G99" s="8" t="s">
        <v>8</v>
      </c>
      <c r="H99" s="8">
        <f t="shared" si="5"/>
        <v>0</v>
      </c>
      <c r="I99" s="8">
        <f t="shared" si="5"/>
        <v>0</v>
      </c>
      <c r="J99" s="8">
        <f t="shared" si="5"/>
        <v>0</v>
      </c>
      <c r="K99" s="8">
        <f t="shared" si="5"/>
        <v>0</v>
      </c>
      <c r="L99" s="8">
        <f t="shared" si="5"/>
        <v>1</v>
      </c>
      <c r="M99" s="7"/>
    </row>
    <row r="100" spans="1:13" x14ac:dyDescent="0.25">
      <c r="A100" s="5">
        <f t="shared" si="4"/>
        <v>2.0043000000000091</v>
      </c>
      <c r="B100" s="26" t="s">
        <v>104</v>
      </c>
      <c r="C100" s="6" t="s">
        <v>105</v>
      </c>
      <c r="D100" s="57"/>
      <c r="E100" s="7"/>
      <c r="F100" s="7"/>
      <c r="G100" s="8" t="s">
        <v>8</v>
      </c>
      <c r="H100" s="8">
        <f t="shared" si="5"/>
        <v>0</v>
      </c>
      <c r="I100" s="8">
        <f t="shared" si="5"/>
        <v>0</v>
      </c>
      <c r="J100" s="8">
        <f t="shared" si="5"/>
        <v>0</v>
      </c>
      <c r="K100" s="8">
        <f t="shared" si="5"/>
        <v>0</v>
      </c>
      <c r="L100" s="8">
        <f t="shared" si="5"/>
        <v>1</v>
      </c>
      <c r="M100" s="7"/>
    </row>
    <row r="101" spans="1:13" x14ac:dyDescent="0.25">
      <c r="A101" s="5">
        <f t="shared" si="4"/>
        <v>2.0044000000000093</v>
      </c>
      <c r="B101" s="26" t="s">
        <v>203</v>
      </c>
      <c r="C101" s="25" t="s">
        <v>107</v>
      </c>
      <c r="D101" s="57"/>
      <c r="E101" s="7"/>
      <c r="F101" s="7"/>
      <c r="G101" s="8" t="s">
        <v>8</v>
      </c>
      <c r="H101" s="8">
        <f t="shared" si="5"/>
        <v>0</v>
      </c>
      <c r="I101" s="8">
        <f t="shared" si="5"/>
        <v>0</v>
      </c>
      <c r="J101" s="8">
        <f t="shared" si="5"/>
        <v>0</v>
      </c>
      <c r="K101" s="8">
        <f t="shared" si="5"/>
        <v>0</v>
      </c>
      <c r="L101" s="8">
        <f t="shared" si="5"/>
        <v>1</v>
      </c>
      <c r="M101" s="7"/>
    </row>
    <row r="102" spans="1:13" x14ac:dyDescent="0.25">
      <c r="A102" s="5">
        <f t="shared" si="4"/>
        <v>2.0045000000000095</v>
      </c>
      <c r="B102" s="30"/>
      <c r="C102" s="25" t="s">
        <v>108</v>
      </c>
      <c r="D102" s="57"/>
      <c r="E102" s="7"/>
      <c r="F102" s="7"/>
      <c r="G102" s="8" t="s">
        <v>8</v>
      </c>
      <c r="H102" s="8">
        <f t="shared" si="5"/>
        <v>0</v>
      </c>
      <c r="I102" s="8">
        <f t="shared" si="5"/>
        <v>0</v>
      </c>
      <c r="J102" s="8">
        <f t="shared" si="5"/>
        <v>0</v>
      </c>
      <c r="K102" s="8">
        <f t="shared" si="5"/>
        <v>0</v>
      </c>
      <c r="L102" s="8">
        <f t="shared" si="5"/>
        <v>1</v>
      </c>
      <c r="M102" s="7"/>
    </row>
    <row r="103" spans="1:13" x14ac:dyDescent="0.25">
      <c r="A103" s="5">
        <f t="shared" si="4"/>
        <v>2.0046000000000097</v>
      </c>
      <c r="B103" s="31"/>
      <c r="C103" s="25" t="s">
        <v>109</v>
      </c>
      <c r="D103" s="57"/>
      <c r="E103" s="7"/>
      <c r="F103" s="7"/>
      <c r="G103" s="8" t="s">
        <v>8</v>
      </c>
      <c r="H103" s="8">
        <f t="shared" si="5"/>
        <v>0</v>
      </c>
      <c r="I103" s="8">
        <f t="shared" si="5"/>
        <v>0</v>
      </c>
      <c r="J103" s="8">
        <f t="shared" si="5"/>
        <v>0</v>
      </c>
      <c r="K103" s="8">
        <f t="shared" si="5"/>
        <v>0</v>
      </c>
      <c r="L103" s="8">
        <f t="shared" si="5"/>
        <v>1</v>
      </c>
      <c r="M103" s="7"/>
    </row>
    <row r="104" spans="1:13" x14ac:dyDescent="0.25">
      <c r="A104" s="5">
        <f t="shared" si="4"/>
        <v>2.0047000000000099</v>
      </c>
      <c r="B104" s="31" t="s">
        <v>107</v>
      </c>
      <c r="C104" s="6" t="s">
        <v>110</v>
      </c>
      <c r="D104" s="57"/>
      <c r="E104" s="7"/>
      <c r="F104" s="7"/>
      <c r="G104" s="8" t="s">
        <v>8</v>
      </c>
      <c r="H104" s="8">
        <f t="shared" si="5"/>
        <v>0</v>
      </c>
      <c r="I104" s="8">
        <f t="shared" si="5"/>
        <v>0</v>
      </c>
      <c r="J104" s="8">
        <f t="shared" si="5"/>
        <v>0</v>
      </c>
      <c r="K104" s="8">
        <f t="shared" si="5"/>
        <v>0</v>
      </c>
      <c r="L104" s="8">
        <f t="shared" si="5"/>
        <v>1</v>
      </c>
      <c r="M104" s="7"/>
    </row>
    <row r="105" spans="1:13" x14ac:dyDescent="0.25">
      <c r="A105" s="5">
        <f t="shared" si="4"/>
        <v>2.0048000000000101</v>
      </c>
      <c r="B105" s="6" t="s">
        <v>108</v>
      </c>
      <c r="C105" s="46" t="s">
        <v>111</v>
      </c>
      <c r="D105" s="57"/>
      <c r="E105" s="7"/>
      <c r="F105" s="7"/>
      <c r="G105" s="8" t="s">
        <v>8</v>
      </c>
      <c r="H105" s="8">
        <f t="shared" si="5"/>
        <v>0</v>
      </c>
      <c r="I105" s="8">
        <f t="shared" si="5"/>
        <v>0</v>
      </c>
      <c r="J105" s="8">
        <f t="shared" si="5"/>
        <v>0</v>
      </c>
      <c r="K105" s="8">
        <f t="shared" si="5"/>
        <v>0</v>
      </c>
      <c r="L105" s="8">
        <f t="shared" si="5"/>
        <v>1</v>
      </c>
      <c r="M105" s="7"/>
    </row>
    <row r="106" spans="1:13" x14ac:dyDescent="0.25">
      <c r="A106" s="5">
        <f t="shared" si="4"/>
        <v>2.0049000000000103</v>
      </c>
      <c r="B106" s="6" t="s">
        <v>109</v>
      </c>
      <c r="C106" s="46">
        <v>1</v>
      </c>
      <c r="D106" s="57"/>
      <c r="E106" s="7"/>
      <c r="F106" s="7"/>
      <c r="G106" s="8" t="s">
        <v>8</v>
      </c>
      <c r="H106" s="8">
        <f t="shared" si="5"/>
        <v>0</v>
      </c>
      <c r="I106" s="8">
        <f t="shared" si="5"/>
        <v>0</v>
      </c>
      <c r="J106" s="8">
        <f t="shared" si="5"/>
        <v>0</v>
      </c>
      <c r="K106" s="8">
        <f t="shared" si="5"/>
        <v>0</v>
      </c>
      <c r="L106" s="8">
        <f t="shared" si="5"/>
        <v>1</v>
      </c>
      <c r="M106" s="7"/>
    </row>
    <row r="107" spans="1:13" ht="25.5" x14ac:dyDescent="0.25">
      <c r="A107" s="5">
        <f t="shared" si="4"/>
        <v>2.0050000000000106</v>
      </c>
      <c r="B107" s="40" t="s">
        <v>93</v>
      </c>
      <c r="C107" s="9" t="s">
        <v>113</v>
      </c>
      <c r="D107" s="58"/>
      <c r="E107" s="7"/>
      <c r="F107" s="7"/>
      <c r="G107" s="8" t="s">
        <v>8</v>
      </c>
      <c r="H107" s="8">
        <f t="shared" si="5"/>
        <v>0</v>
      </c>
      <c r="I107" s="8">
        <f t="shared" si="5"/>
        <v>0</v>
      </c>
      <c r="J107" s="8">
        <f t="shared" si="5"/>
        <v>0</v>
      </c>
      <c r="K107" s="8">
        <f t="shared" si="5"/>
        <v>0</v>
      </c>
      <c r="L107" s="8">
        <f t="shared" si="5"/>
        <v>1</v>
      </c>
      <c r="M107" s="7"/>
    </row>
    <row r="108" spans="1:13" ht="15.75" thickBot="1" x14ac:dyDescent="0.3">
      <c r="H108" s="2">
        <f>SUM(H2:H107)</f>
        <v>59</v>
      </c>
      <c r="I108" s="2">
        <f t="shared" ref="I108:L108" si="6">SUM(I2:I107)</f>
        <v>0</v>
      </c>
      <c r="J108" s="2">
        <f t="shared" si="6"/>
        <v>0</v>
      </c>
      <c r="K108" s="2">
        <f t="shared" si="6"/>
        <v>1</v>
      </c>
      <c r="L108" s="2">
        <f t="shared" si="6"/>
        <v>44</v>
      </c>
    </row>
    <row r="109" spans="1:13" ht="15.75" thickTop="1" x14ac:dyDescent="0.25"/>
  </sheetData>
  <mergeCells count="5">
    <mergeCell ref="D3:D56"/>
    <mergeCell ref="D60:D89"/>
    <mergeCell ref="D91:D107"/>
    <mergeCell ref="B20:B36"/>
    <mergeCell ref="B14:B19"/>
  </mergeCells>
  <conditionalFormatting sqref="A2:L2 B55 B56:C56 A6:A56 M55:M107 H58:L107 A59:A107 A108:M126 A58:F58 B66:B69 B59:F59 G27:G31 G25 A3:C5 B6:C14 E33:F47 E3:F31 E32:G32 E55:F56 B60:C65 B90:F90 B70:C89 E60:F89 B91:C107 E91:F107 B37:C47 C21:C36 B20:C20 C15:C19">
    <cfRule type="expression" dxfId="110" priority="344">
      <formula>$G2="Fail"</formula>
    </cfRule>
  </conditionalFormatting>
  <conditionalFormatting sqref="M2:M47">
    <cfRule type="expression" dxfId="109" priority="29">
      <formula>$G2="Fail"</formula>
    </cfRule>
  </conditionalFormatting>
  <conditionalFormatting sqref="B48:C54 E48:F54">
    <cfRule type="expression" dxfId="108" priority="21">
      <formula>$G48="Fail"</formula>
    </cfRule>
  </conditionalFormatting>
  <conditionalFormatting sqref="M48:M54">
    <cfRule type="expression" dxfId="107" priority="20">
      <formula>$G48="Fail"</formula>
    </cfRule>
  </conditionalFormatting>
  <conditionalFormatting sqref="C55">
    <cfRule type="expression" dxfId="106" priority="18">
      <formula>$G55="Fail"</formula>
    </cfRule>
  </conditionalFormatting>
  <conditionalFormatting sqref="H3:L56">
    <cfRule type="expression" dxfId="105" priority="16">
      <formula>$G3="Fail"</formula>
    </cfRule>
  </conditionalFormatting>
  <conditionalFormatting sqref="A57:L57">
    <cfRule type="expression" dxfId="104" priority="15">
      <formula>$G57="Fail"</formula>
    </cfRule>
  </conditionalFormatting>
  <conditionalFormatting sqref="C66:C69">
    <cfRule type="expression" dxfId="103" priority="12">
      <formula>$G66="Fail"</formula>
    </cfRule>
  </conditionalFormatting>
  <conditionalFormatting sqref="G29:G56">
    <cfRule type="expression" dxfId="102" priority="10">
      <formula>$G29="Fail"</formula>
    </cfRule>
  </conditionalFormatting>
  <conditionalFormatting sqref="G21">
    <cfRule type="expression" dxfId="101" priority="9">
      <formula>$G21="Fail"</formula>
    </cfRule>
  </conditionalFormatting>
  <conditionalFormatting sqref="G64:G89">
    <cfRule type="expression" dxfId="100" priority="7">
      <formula>$G64="Fail"</formula>
    </cfRule>
  </conditionalFormatting>
  <conditionalFormatting sqref="G64:G107">
    <cfRule type="expression" dxfId="99" priority="6">
      <formula>$G64="Fail"</formula>
    </cfRule>
  </conditionalFormatting>
  <conditionalFormatting sqref="G26">
    <cfRule type="expression" dxfId="98" priority="5">
      <formula>$G26="Fail"</formula>
    </cfRule>
  </conditionalFormatting>
  <conditionalFormatting sqref="G22:G24">
    <cfRule type="expression" dxfId="97" priority="4">
      <formula>$G22="Fail"</formula>
    </cfRule>
  </conditionalFormatting>
  <conditionalFormatting sqref="G3:G20">
    <cfRule type="expression" dxfId="96" priority="3">
      <formula>$G3="Fail"</formula>
    </cfRule>
  </conditionalFormatting>
  <conditionalFormatting sqref="G58:G63">
    <cfRule type="expression" dxfId="95" priority="2">
      <formula>$G58="Fail"</formula>
    </cfRule>
  </conditionalFormatting>
  <conditionalFormatting sqref="G90:G107">
    <cfRule type="expression" dxfId="94" priority="1">
      <formula>$G90="Fail"</formula>
    </cfRule>
  </conditionalFormatting>
  <conditionalFormatting sqref="D3 D91">
    <cfRule type="expression" dxfId="93" priority="346">
      <formula>$G11="Fail"</formula>
    </cfRule>
  </conditionalFormatting>
  <conditionalFormatting sqref="D60">
    <cfRule type="expression" dxfId="92" priority="348">
      <formula>$G79="Fail"</formula>
    </cfRule>
  </conditionalFormatting>
  <dataValidations count="1">
    <dataValidation type="list" allowBlank="1" showInputMessage="1" showErrorMessage="1" sqref="G2:G107">
      <formula1>$H$1:$L$1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Summary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formatting">
                <anchor moveWithCells="1" sizeWithCells="1">
                  <from>
                    <xdr:col>2</xdr:col>
                    <xdr:colOff>2114550</xdr:colOff>
                    <xdr:row>0</xdr:row>
                    <xdr:rowOff>57150</xdr:rowOff>
                  </from>
                  <to>
                    <xdr:col>2</xdr:col>
                    <xdr:colOff>2924175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53"/>
  <sheetViews>
    <sheetView zoomScaleNormal="100" workbookViewId="0">
      <pane ySplit="1" topLeftCell="A36" activePane="bottomLeft" state="frozen"/>
      <selection pane="bottomLeft" activeCell="D41" sqref="D41:D51"/>
    </sheetView>
  </sheetViews>
  <sheetFormatPr defaultColWidth="9.140625" defaultRowHeight="15" x14ac:dyDescent="0.25"/>
  <cols>
    <col min="1" max="1" width="11.28515625" style="4" bestFit="1" customWidth="1"/>
    <col min="2" max="2" width="48.5703125" style="1" customWidth="1"/>
    <col min="3" max="3" width="46" style="1" customWidth="1"/>
    <col min="4" max="4" width="50.7109375" style="1" customWidth="1"/>
    <col min="5" max="5" width="39" style="1" customWidth="1"/>
    <col min="6" max="6" width="20.42578125" style="1" customWidth="1"/>
    <col min="7" max="7" width="14.7109375" style="1" customWidth="1"/>
    <col min="8" max="11" width="9.140625" style="1"/>
    <col min="12" max="12" width="16.5703125" style="1" customWidth="1"/>
    <col min="13" max="13" width="39" style="1" customWidth="1"/>
    <col min="14" max="16384" width="9.140625" style="1"/>
  </cols>
  <sheetData>
    <row r="1" spans="1:13" ht="30" customHeight="1" x14ac:dyDescent="0.25">
      <c r="A1" s="10" t="s">
        <v>1</v>
      </c>
      <c r="B1" s="11" t="s">
        <v>11</v>
      </c>
      <c r="C1" s="65" t="s">
        <v>2</v>
      </c>
      <c r="D1" s="55" t="s">
        <v>213</v>
      </c>
      <c r="E1" s="64" t="s">
        <v>4</v>
      </c>
      <c r="F1" s="67" t="s">
        <v>3</v>
      </c>
      <c r="G1" s="11" t="s">
        <v>0</v>
      </c>
      <c r="H1" s="12" t="s">
        <v>5</v>
      </c>
      <c r="I1" s="12" t="s">
        <v>6</v>
      </c>
      <c r="J1" s="12"/>
      <c r="K1" s="12" t="s">
        <v>7</v>
      </c>
      <c r="L1" s="12" t="s">
        <v>8</v>
      </c>
      <c r="M1" s="12" t="s">
        <v>12</v>
      </c>
    </row>
    <row r="2" spans="1:13" s="20" customFormat="1" x14ac:dyDescent="0.25">
      <c r="A2" s="16">
        <v>1</v>
      </c>
      <c r="B2" s="17" t="s">
        <v>158</v>
      </c>
      <c r="C2" s="18"/>
      <c r="D2" s="68"/>
      <c r="E2" s="66"/>
      <c r="F2" s="17"/>
      <c r="G2" s="19"/>
      <c r="H2" s="19"/>
      <c r="I2" s="19"/>
      <c r="J2" s="19"/>
      <c r="K2" s="19"/>
      <c r="L2" s="19"/>
      <c r="M2" s="17"/>
    </row>
    <row r="3" spans="1:13" ht="25.5" x14ac:dyDescent="0.25">
      <c r="A3" s="5">
        <f t="shared" ref="A3:A51" si="0">A2+0.0001</f>
        <v>1.0001</v>
      </c>
      <c r="B3" s="6" t="s">
        <v>157</v>
      </c>
      <c r="C3" s="9" t="s">
        <v>16</v>
      </c>
      <c r="D3" s="56" t="s">
        <v>214</v>
      </c>
      <c r="E3" s="7"/>
      <c r="F3" s="6"/>
      <c r="G3" s="8" t="s">
        <v>5</v>
      </c>
      <c r="H3" s="8">
        <f>IF($G3=H$1,1,0)</f>
        <v>1</v>
      </c>
      <c r="I3" s="8">
        <f>IF($G3=I$1,1,0)</f>
        <v>0</v>
      </c>
      <c r="J3" s="8">
        <f>IF($G3=J$1,1,0)</f>
        <v>0</v>
      </c>
      <c r="K3" s="8">
        <f>IF($G3=K$1,1,0)</f>
        <v>0</v>
      </c>
      <c r="L3" s="8">
        <f>IF($G3=L$1,1,0)</f>
        <v>0</v>
      </c>
      <c r="M3" s="7"/>
    </row>
    <row r="4" spans="1:13" ht="25.5" x14ac:dyDescent="0.25">
      <c r="A4" s="5">
        <f t="shared" si="0"/>
        <v>1.0002</v>
      </c>
      <c r="B4" s="6" t="s">
        <v>136</v>
      </c>
      <c r="C4" s="9" t="s">
        <v>159</v>
      </c>
      <c r="D4" s="57"/>
      <c r="E4" s="7"/>
      <c r="F4" s="6"/>
      <c r="G4" s="8" t="s">
        <v>5</v>
      </c>
      <c r="H4" s="8">
        <f>IF($G4=H$1,1,0)</f>
        <v>1</v>
      </c>
      <c r="I4" s="8">
        <f>IF($G4=I$1,1,0)</f>
        <v>0</v>
      </c>
      <c r="J4" s="8">
        <f>IF($G4=J$1,1,0)</f>
        <v>0</v>
      </c>
      <c r="K4" s="8">
        <f>IF($G4=K$1,1,0)</f>
        <v>0</v>
      </c>
      <c r="L4" s="8">
        <f>IF($G4=L$1,1,0)</f>
        <v>0</v>
      </c>
      <c r="M4" s="7"/>
    </row>
    <row r="5" spans="1:13" x14ac:dyDescent="0.25">
      <c r="A5" s="5">
        <f t="shared" si="0"/>
        <v>1.0003</v>
      </c>
      <c r="B5" s="6" t="s">
        <v>160</v>
      </c>
      <c r="C5" s="9" t="s">
        <v>161</v>
      </c>
      <c r="D5" s="57"/>
      <c r="E5" s="7"/>
      <c r="F5" s="6"/>
      <c r="G5" s="8" t="s">
        <v>5</v>
      </c>
      <c r="H5" s="8">
        <f>IF($G5=H$1,1,0)</f>
        <v>1</v>
      </c>
      <c r="I5" s="8">
        <f>IF($G5=I$1,1,0)</f>
        <v>0</v>
      </c>
      <c r="J5" s="8">
        <f>IF($G5=J$1,1,0)</f>
        <v>0</v>
      </c>
      <c r="K5" s="8">
        <f>IF($G5=K$1,1,0)</f>
        <v>0</v>
      </c>
      <c r="L5" s="8">
        <f>IF($G5=L$1,1,0)</f>
        <v>0</v>
      </c>
      <c r="M5" s="7"/>
    </row>
    <row r="6" spans="1:13" x14ac:dyDescent="0.25">
      <c r="A6" s="5">
        <f t="shared" si="0"/>
        <v>1.0004</v>
      </c>
      <c r="B6" s="26" t="s">
        <v>162</v>
      </c>
      <c r="C6" s="9" t="s">
        <v>163</v>
      </c>
      <c r="D6" s="57"/>
      <c r="E6" s="7"/>
      <c r="F6" s="6"/>
      <c r="G6" s="8" t="s">
        <v>5</v>
      </c>
      <c r="H6" s="8">
        <f>IF($G6=H$1,1,0)</f>
        <v>1</v>
      </c>
      <c r="I6" s="8">
        <f>IF($G6=I$1,1,0)</f>
        <v>0</v>
      </c>
      <c r="J6" s="8">
        <f>IF($G6=J$1,1,0)</f>
        <v>0</v>
      </c>
      <c r="K6" s="8">
        <f>IF($G6=K$1,1,0)</f>
        <v>0</v>
      </c>
      <c r="L6" s="8">
        <f>IF($G6=L$1,1,0)</f>
        <v>0</v>
      </c>
      <c r="M6" s="7"/>
    </row>
    <row r="7" spans="1:13" x14ac:dyDescent="0.25">
      <c r="A7" s="24">
        <f t="shared" si="0"/>
        <v>1.0004999999999999</v>
      </c>
      <c r="B7" s="26" t="s">
        <v>164</v>
      </c>
      <c r="C7" s="28" t="s">
        <v>165</v>
      </c>
      <c r="D7" s="57"/>
      <c r="E7" s="7" t="s">
        <v>173</v>
      </c>
      <c r="F7" s="6"/>
      <c r="G7" s="8" t="s">
        <v>5</v>
      </c>
      <c r="H7" s="8">
        <f>IF($G7=H$1,1,0)</f>
        <v>1</v>
      </c>
      <c r="I7" s="8">
        <f>IF($G7=I$1,1,0)</f>
        <v>0</v>
      </c>
      <c r="J7" s="8">
        <f>IF($G7=J$1,1,0)</f>
        <v>0</v>
      </c>
      <c r="K7" s="8">
        <f>IF($G7=K$1,1,0)</f>
        <v>0</v>
      </c>
      <c r="L7" s="8">
        <f>IF($G7=L$1,1,0)</f>
        <v>0</v>
      </c>
      <c r="M7" s="7"/>
    </row>
    <row r="8" spans="1:13" x14ac:dyDescent="0.25">
      <c r="A8" s="24">
        <f t="shared" si="0"/>
        <v>1.0005999999999999</v>
      </c>
      <c r="B8" s="30"/>
      <c r="C8" s="28" t="s">
        <v>166</v>
      </c>
      <c r="D8" s="57"/>
      <c r="E8" s="7" t="s">
        <v>173</v>
      </c>
      <c r="F8" s="6"/>
      <c r="G8" s="8" t="s">
        <v>5</v>
      </c>
      <c r="H8" s="8">
        <f>IF($G8=H$1,1,0)</f>
        <v>1</v>
      </c>
      <c r="I8" s="8">
        <f>IF($G8=I$1,1,0)</f>
        <v>0</v>
      </c>
      <c r="J8" s="8">
        <f>IF($G8=J$1,1,0)</f>
        <v>0</v>
      </c>
      <c r="K8" s="8">
        <f>IF($G8=K$1,1,0)</f>
        <v>0</v>
      </c>
      <c r="L8" s="8">
        <f>IF($G8=L$1,1,0)</f>
        <v>0</v>
      </c>
      <c r="M8" s="7"/>
    </row>
    <row r="9" spans="1:13" x14ac:dyDescent="0.25">
      <c r="A9" s="24">
        <f t="shared" si="0"/>
        <v>1.0006999999999999</v>
      </c>
      <c r="B9" s="30"/>
      <c r="C9" s="28" t="s">
        <v>167</v>
      </c>
      <c r="D9" s="57"/>
      <c r="E9" s="7" t="s">
        <v>174</v>
      </c>
      <c r="F9" s="6"/>
      <c r="G9" s="8" t="s">
        <v>5</v>
      </c>
      <c r="H9" s="8">
        <f>IF($G9=H$1,1,0)</f>
        <v>1</v>
      </c>
      <c r="I9" s="8">
        <f>IF($G9=I$1,1,0)</f>
        <v>0</v>
      </c>
      <c r="J9" s="8">
        <f>IF($G9=J$1,1,0)</f>
        <v>0</v>
      </c>
      <c r="K9" s="8">
        <f>IF($G9=K$1,1,0)</f>
        <v>0</v>
      </c>
      <c r="L9" s="8">
        <f>IF($G9=L$1,1,0)</f>
        <v>0</v>
      </c>
      <c r="M9" s="7"/>
    </row>
    <row r="10" spans="1:13" x14ac:dyDescent="0.25">
      <c r="A10" s="24">
        <f t="shared" si="0"/>
        <v>1.0007999999999999</v>
      </c>
      <c r="B10" s="30"/>
      <c r="C10" s="28" t="s">
        <v>168</v>
      </c>
      <c r="D10" s="57"/>
      <c r="E10" s="7" t="s">
        <v>174</v>
      </c>
      <c r="F10" s="6"/>
      <c r="G10" s="8" t="s">
        <v>5</v>
      </c>
      <c r="H10" s="8">
        <f>IF($G10=H$1,1,0)</f>
        <v>1</v>
      </c>
      <c r="I10" s="8">
        <f>IF($G10=I$1,1,0)</f>
        <v>0</v>
      </c>
      <c r="J10" s="8">
        <f>IF($G10=J$1,1,0)</f>
        <v>0</v>
      </c>
      <c r="K10" s="8">
        <f>IF($G10=K$1,1,0)</f>
        <v>0</v>
      </c>
      <c r="L10" s="8">
        <f>IF($G10=L$1,1,0)</f>
        <v>0</v>
      </c>
      <c r="M10" s="7"/>
    </row>
    <row r="11" spans="1:13" x14ac:dyDescent="0.25">
      <c r="A11" s="24">
        <f t="shared" si="0"/>
        <v>1.0008999999999999</v>
      </c>
      <c r="B11" s="30"/>
      <c r="C11" s="28" t="s">
        <v>169</v>
      </c>
      <c r="D11" s="57"/>
      <c r="E11" s="7" t="s">
        <v>174</v>
      </c>
      <c r="F11" s="6"/>
      <c r="G11" s="8" t="s">
        <v>5</v>
      </c>
      <c r="H11" s="8">
        <f>IF($G11=H$1,1,0)</f>
        <v>1</v>
      </c>
      <c r="I11" s="8">
        <f>IF($G11=I$1,1,0)</f>
        <v>0</v>
      </c>
      <c r="J11" s="8">
        <f>IF($G11=J$1,1,0)</f>
        <v>0</v>
      </c>
      <c r="K11" s="8">
        <f>IF($G11=K$1,1,0)</f>
        <v>0</v>
      </c>
      <c r="L11" s="8">
        <f>IF($G11=L$1,1,0)</f>
        <v>0</v>
      </c>
      <c r="M11" s="7"/>
    </row>
    <row r="12" spans="1:13" x14ac:dyDescent="0.25">
      <c r="A12" s="24">
        <f t="shared" si="0"/>
        <v>1.0009999999999999</v>
      </c>
      <c r="B12" s="30"/>
      <c r="C12" s="28" t="s">
        <v>170</v>
      </c>
      <c r="D12" s="57"/>
      <c r="E12" s="7" t="s">
        <v>174</v>
      </c>
      <c r="F12" s="6"/>
      <c r="G12" s="8" t="s">
        <v>5</v>
      </c>
      <c r="H12" s="8">
        <f>IF($G12=H$1,1,0)</f>
        <v>1</v>
      </c>
      <c r="I12" s="8">
        <f>IF($G12=I$1,1,0)</f>
        <v>0</v>
      </c>
      <c r="J12" s="8">
        <f>IF($G12=J$1,1,0)</f>
        <v>0</v>
      </c>
      <c r="K12" s="8">
        <f>IF($G12=K$1,1,0)</f>
        <v>0</v>
      </c>
      <c r="L12" s="8">
        <f>IF($G12=L$1,1,0)</f>
        <v>0</v>
      </c>
      <c r="M12" s="7"/>
    </row>
    <row r="13" spans="1:13" x14ac:dyDescent="0.25">
      <c r="A13" s="24">
        <f t="shared" si="0"/>
        <v>1.0010999999999999</v>
      </c>
      <c r="B13" s="30"/>
      <c r="C13" s="28" t="s">
        <v>171</v>
      </c>
      <c r="D13" s="57"/>
      <c r="E13" s="7" t="s">
        <v>174</v>
      </c>
      <c r="F13" s="6"/>
      <c r="G13" s="8" t="s">
        <v>5</v>
      </c>
      <c r="H13" s="8">
        <f>IF($G13=H$1,1,0)</f>
        <v>1</v>
      </c>
      <c r="I13" s="8">
        <f>IF($G13=I$1,1,0)</f>
        <v>0</v>
      </c>
      <c r="J13" s="8">
        <f>IF($G13=J$1,1,0)</f>
        <v>0</v>
      </c>
      <c r="K13" s="8">
        <f>IF($G13=K$1,1,0)</f>
        <v>0</v>
      </c>
      <c r="L13" s="8">
        <f>IF($G13=L$1,1,0)</f>
        <v>0</v>
      </c>
      <c r="M13" s="7"/>
    </row>
    <row r="14" spans="1:13" x14ac:dyDescent="0.25">
      <c r="A14" s="24">
        <f t="shared" si="0"/>
        <v>1.0011999999999999</v>
      </c>
      <c r="B14" s="31"/>
      <c r="C14" s="28" t="s">
        <v>172</v>
      </c>
      <c r="D14" s="58"/>
      <c r="E14" s="7" t="s">
        <v>173</v>
      </c>
      <c r="F14" s="6"/>
      <c r="G14" s="8" t="s">
        <v>5</v>
      </c>
      <c r="H14" s="8">
        <f>IF($G14=H$1,1,0)</f>
        <v>1</v>
      </c>
      <c r="I14" s="8">
        <f>IF($G14=I$1,1,0)</f>
        <v>0</v>
      </c>
      <c r="J14" s="8">
        <f>IF($G14=J$1,1,0)</f>
        <v>0</v>
      </c>
      <c r="K14" s="8">
        <f>IF($G14=K$1,1,0)</f>
        <v>0</v>
      </c>
      <c r="L14" s="8">
        <f>IF($G14=L$1,1,0)</f>
        <v>0</v>
      </c>
      <c r="M14" s="7"/>
    </row>
    <row r="15" spans="1:13" s="20" customFormat="1" x14ac:dyDescent="0.25">
      <c r="A15" s="16">
        <v>2</v>
      </c>
      <c r="B15" s="51" t="s">
        <v>176</v>
      </c>
      <c r="C15" s="18"/>
      <c r="D15" s="18"/>
      <c r="E15" s="17"/>
      <c r="F15" s="17"/>
      <c r="G15" s="19"/>
      <c r="H15" s="19"/>
      <c r="I15" s="19"/>
      <c r="J15" s="19"/>
      <c r="K15" s="19"/>
      <c r="L15" s="19"/>
      <c r="M15" s="17"/>
    </row>
    <row r="16" spans="1:13" x14ac:dyDescent="0.25">
      <c r="A16" s="5">
        <f t="shared" si="0"/>
        <v>2.0001000000000002</v>
      </c>
      <c r="B16" s="26" t="s">
        <v>175</v>
      </c>
      <c r="C16" s="28" t="s">
        <v>177</v>
      </c>
      <c r="D16" s="56" t="s">
        <v>214</v>
      </c>
      <c r="E16" s="7"/>
      <c r="F16" s="6"/>
      <c r="G16" s="8" t="s">
        <v>5</v>
      </c>
      <c r="H16" s="8">
        <f>IF($G16=H$1,1,0)</f>
        <v>1</v>
      </c>
      <c r="I16" s="8">
        <f>IF($G16=I$1,1,0)</f>
        <v>0</v>
      </c>
      <c r="J16" s="8">
        <f>IF($G16=J$1,1,0)</f>
        <v>0</v>
      </c>
      <c r="K16" s="8">
        <f>IF($G16=K$1,1,0)</f>
        <v>0</v>
      </c>
      <c r="L16" s="8">
        <f>IF($G16=L$1,1,0)</f>
        <v>0</v>
      </c>
      <c r="M16" s="7"/>
    </row>
    <row r="17" spans="1:13" x14ac:dyDescent="0.25">
      <c r="A17" s="5">
        <f t="shared" si="0"/>
        <v>2.0002000000000004</v>
      </c>
      <c r="B17" s="52" t="s">
        <v>178</v>
      </c>
      <c r="C17" s="28" t="s">
        <v>165</v>
      </c>
      <c r="D17" s="57"/>
      <c r="E17" s="7" t="s">
        <v>173</v>
      </c>
      <c r="F17" s="6"/>
      <c r="G17" s="8" t="s">
        <v>5</v>
      </c>
      <c r="H17" s="8">
        <f>IF($G17=H$1,1,0)</f>
        <v>1</v>
      </c>
      <c r="I17" s="8">
        <f>IF($G17=I$1,1,0)</f>
        <v>0</v>
      </c>
      <c r="J17" s="8">
        <f>IF($G17=J$1,1,0)</f>
        <v>0</v>
      </c>
      <c r="K17" s="8">
        <f>IF($G17=K$1,1,0)</f>
        <v>0</v>
      </c>
      <c r="L17" s="8">
        <f>IF($G17=L$1,1,0)</f>
        <v>0</v>
      </c>
      <c r="M17" s="7"/>
    </row>
    <row r="18" spans="1:13" x14ac:dyDescent="0.25">
      <c r="A18" s="5">
        <f t="shared" si="0"/>
        <v>2.0003000000000006</v>
      </c>
      <c r="B18" s="30"/>
      <c r="C18" s="28" t="s">
        <v>166</v>
      </c>
      <c r="D18" s="57"/>
      <c r="E18" s="7" t="s">
        <v>173</v>
      </c>
      <c r="F18" s="6"/>
      <c r="G18" s="8" t="s">
        <v>5</v>
      </c>
      <c r="H18" s="8">
        <f>IF($G18=H$1,1,0)</f>
        <v>1</v>
      </c>
      <c r="I18" s="8">
        <f>IF($G18=I$1,1,0)</f>
        <v>0</v>
      </c>
      <c r="J18" s="8">
        <f>IF($G18=J$1,1,0)</f>
        <v>0</v>
      </c>
      <c r="K18" s="8">
        <f>IF($G18=K$1,1,0)</f>
        <v>0</v>
      </c>
      <c r="L18" s="8">
        <f>IF($G18=L$1,1,0)</f>
        <v>0</v>
      </c>
      <c r="M18" s="7"/>
    </row>
    <row r="19" spans="1:13" x14ac:dyDescent="0.25">
      <c r="A19" s="5">
        <f t="shared" si="0"/>
        <v>2.0004000000000008</v>
      </c>
      <c r="B19" s="30"/>
      <c r="C19" s="28" t="s">
        <v>167</v>
      </c>
      <c r="D19" s="57"/>
      <c r="E19" s="50" t="s">
        <v>173</v>
      </c>
      <c r="F19" s="6"/>
      <c r="G19" s="8" t="s">
        <v>5</v>
      </c>
      <c r="H19" s="8">
        <f>IF($G19=H$1,1,0)</f>
        <v>1</v>
      </c>
      <c r="I19" s="8">
        <f>IF($G19=I$1,1,0)</f>
        <v>0</v>
      </c>
      <c r="J19" s="8">
        <f>IF($G19=J$1,1,0)</f>
        <v>0</v>
      </c>
      <c r="K19" s="8">
        <f>IF($G19=K$1,1,0)</f>
        <v>0</v>
      </c>
      <c r="L19" s="8">
        <f>IF($G19=L$1,1,0)</f>
        <v>0</v>
      </c>
      <c r="M19" s="7"/>
    </row>
    <row r="20" spans="1:13" x14ac:dyDescent="0.25">
      <c r="A20" s="5">
        <f t="shared" si="0"/>
        <v>2.0005000000000011</v>
      </c>
      <c r="B20" s="30"/>
      <c r="C20" s="28" t="s">
        <v>168</v>
      </c>
      <c r="D20" s="57"/>
      <c r="E20" s="50" t="s">
        <v>173</v>
      </c>
      <c r="F20" s="6"/>
      <c r="G20" s="8" t="s">
        <v>5</v>
      </c>
      <c r="H20" s="8">
        <f>IF($G20=H$1,1,0)</f>
        <v>1</v>
      </c>
      <c r="I20" s="8">
        <f>IF($G20=I$1,1,0)</f>
        <v>0</v>
      </c>
      <c r="J20" s="8">
        <f>IF($G20=J$1,1,0)</f>
        <v>0</v>
      </c>
      <c r="K20" s="8">
        <f>IF($G20=K$1,1,0)</f>
        <v>0</v>
      </c>
      <c r="L20" s="8">
        <f>IF($G20=L$1,1,0)</f>
        <v>0</v>
      </c>
      <c r="M20" s="7"/>
    </row>
    <row r="21" spans="1:13" x14ac:dyDescent="0.25">
      <c r="A21" s="5">
        <f t="shared" si="0"/>
        <v>2.0006000000000013</v>
      </c>
      <c r="B21" s="30"/>
      <c r="C21" s="28" t="s">
        <v>169</v>
      </c>
      <c r="D21" s="57"/>
      <c r="E21" s="50" t="s">
        <v>173</v>
      </c>
      <c r="F21" s="7"/>
      <c r="G21" s="8" t="s">
        <v>5</v>
      </c>
      <c r="H21" s="8">
        <f>IF($G21=H$1,1,0)</f>
        <v>1</v>
      </c>
      <c r="I21" s="8">
        <f>IF($G21=I$1,1,0)</f>
        <v>0</v>
      </c>
      <c r="J21" s="8">
        <f>IF($G21=J$1,1,0)</f>
        <v>0</v>
      </c>
      <c r="K21" s="8">
        <f>IF($G21=K$1,1,0)</f>
        <v>0</v>
      </c>
      <c r="L21" s="8">
        <f>IF($G21=L$1,1,0)</f>
        <v>0</v>
      </c>
      <c r="M21" s="7"/>
    </row>
    <row r="22" spans="1:13" x14ac:dyDescent="0.25">
      <c r="A22" s="5">
        <f t="shared" si="0"/>
        <v>2.0007000000000015</v>
      </c>
      <c r="B22" s="30"/>
      <c r="C22" s="28" t="s">
        <v>170</v>
      </c>
      <c r="D22" s="57"/>
      <c r="E22" s="7" t="s">
        <v>174</v>
      </c>
      <c r="F22" s="7"/>
      <c r="G22" s="8" t="s">
        <v>5</v>
      </c>
      <c r="H22" s="8">
        <f>IF($G22=H$1,1,0)</f>
        <v>1</v>
      </c>
      <c r="I22" s="8">
        <f>IF($G22=I$1,1,0)</f>
        <v>0</v>
      </c>
      <c r="J22" s="8">
        <f>IF($G22=J$1,1,0)</f>
        <v>0</v>
      </c>
      <c r="K22" s="8">
        <f>IF($G22=K$1,1,0)</f>
        <v>0</v>
      </c>
      <c r="L22" s="8">
        <f>IF($G22=L$1,1,0)</f>
        <v>0</v>
      </c>
      <c r="M22" s="7"/>
    </row>
    <row r="23" spans="1:13" x14ac:dyDescent="0.25">
      <c r="A23" s="5">
        <f t="shared" si="0"/>
        <v>2.0008000000000017</v>
      </c>
      <c r="B23" s="30"/>
      <c r="C23" s="28" t="s">
        <v>171</v>
      </c>
      <c r="D23" s="57"/>
      <c r="E23" s="7" t="s">
        <v>174</v>
      </c>
      <c r="F23" s="7"/>
      <c r="G23" s="8" t="s">
        <v>5</v>
      </c>
      <c r="H23" s="8">
        <f>IF($G23=H$1,1,0)</f>
        <v>1</v>
      </c>
      <c r="I23" s="8">
        <f>IF($G23=I$1,1,0)</f>
        <v>0</v>
      </c>
      <c r="J23" s="8">
        <f>IF($G23=J$1,1,0)</f>
        <v>0</v>
      </c>
      <c r="K23" s="8">
        <f>IF($G23=K$1,1,0)</f>
        <v>0</v>
      </c>
      <c r="L23" s="8">
        <f>IF($G23=L$1,1,0)</f>
        <v>0</v>
      </c>
      <c r="M23" s="7"/>
    </row>
    <row r="24" spans="1:13" x14ac:dyDescent="0.25">
      <c r="A24" s="5">
        <f t="shared" si="0"/>
        <v>2.0009000000000019</v>
      </c>
      <c r="B24" s="31"/>
      <c r="C24" s="28" t="s">
        <v>172</v>
      </c>
      <c r="D24" s="57"/>
      <c r="E24" s="7" t="s">
        <v>173</v>
      </c>
      <c r="F24" s="7"/>
      <c r="G24" s="8" t="s">
        <v>5</v>
      </c>
      <c r="H24" s="8">
        <f>IF($G24=H$1,1,0)</f>
        <v>1</v>
      </c>
      <c r="I24" s="8">
        <f>IF($G24=I$1,1,0)</f>
        <v>0</v>
      </c>
      <c r="J24" s="8">
        <f>IF($G24=J$1,1,0)</f>
        <v>0</v>
      </c>
      <c r="K24" s="8">
        <f>IF($G24=K$1,1,0)</f>
        <v>0</v>
      </c>
      <c r="L24" s="8">
        <f>IF($G24=L$1,1,0)</f>
        <v>0</v>
      </c>
      <c r="M24" s="7"/>
    </row>
    <row r="25" spans="1:13" x14ac:dyDescent="0.25">
      <c r="A25" s="5">
        <f t="shared" si="0"/>
        <v>2.0010000000000021</v>
      </c>
      <c r="B25" s="31"/>
      <c r="C25" s="6" t="s">
        <v>161</v>
      </c>
      <c r="D25" s="57"/>
      <c r="E25" s="7"/>
      <c r="F25" s="7"/>
      <c r="G25" s="8" t="s">
        <v>5</v>
      </c>
      <c r="H25" s="8">
        <f>IF($G25=H$1,1,0)</f>
        <v>1</v>
      </c>
      <c r="I25" s="8">
        <f>IF($G25=I$1,1,0)</f>
        <v>0</v>
      </c>
      <c r="J25" s="8">
        <f>IF($G25=J$1,1,0)</f>
        <v>0</v>
      </c>
      <c r="K25" s="8">
        <f>IF($G25=K$1,1,0)</f>
        <v>0</v>
      </c>
      <c r="L25" s="8">
        <f>IF($G25=L$1,1,0)</f>
        <v>0</v>
      </c>
      <c r="M25" s="7"/>
    </row>
    <row r="26" spans="1:13" x14ac:dyDescent="0.25">
      <c r="A26" s="5">
        <f t="shared" si="0"/>
        <v>2.0011000000000023</v>
      </c>
      <c r="B26" s="30" t="s">
        <v>117</v>
      </c>
      <c r="C26" s="34" t="s">
        <v>140</v>
      </c>
      <c r="D26" s="57"/>
      <c r="E26" s="7"/>
      <c r="F26" s="7"/>
      <c r="G26" s="8" t="s">
        <v>5</v>
      </c>
      <c r="H26" s="8">
        <f>IF($G26=H$1,1,0)</f>
        <v>1</v>
      </c>
      <c r="I26" s="8">
        <f>IF($G26=I$1,1,0)</f>
        <v>0</v>
      </c>
      <c r="J26" s="8">
        <f>IF($G26=J$1,1,0)</f>
        <v>0</v>
      </c>
      <c r="K26" s="8">
        <f>IF($G26=K$1,1,0)</f>
        <v>0</v>
      </c>
      <c r="L26" s="8">
        <f>IF($G26=L$1,1,0)</f>
        <v>0</v>
      </c>
      <c r="M26" s="7"/>
    </row>
    <row r="27" spans="1:13" x14ac:dyDescent="0.25">
      <c r="A27" s="5">
        <f t="shared" si="0"/>
        <v>2.0012000000000025</v>
      </c>
      <c r="B27" s="30"/>
      <c r="C27" s="34" t="s">
        <v>119</v>
      </c>
      <c r="D27" s="57"/>
      <c r="E27" s="7"/>
      <c r="F27" s="7"/>
      <c r="G27" s="8" t="s">
        <v>5</v>
      </c>
      <c r="H27" s="8">
        <f>IF($G27=H$1,1,0)</f>
        <v>1</v>
      </c>
      <c r="I27" s="8">
        <f>IF($G27=I$1,1,0)</f>
        <v>0</v>
      </c>
      <c r="J27" s="8">
        <f>IF($G27=J$1,1,0)</f>
        <v>0</v>
      </c>
      <c r="K27" s="8">
        <f>IF($G27=K$1,1,0)</f>
        <v>0</v>
      </c>
      <c r="L27" s="8">
        <f>IF($G27=L$1,1,0)</f>
        <v>0</v>
      </c>
      <c r="M27" s="7"/>
    </row>
    <row r="28" spans="1:13" x14ac:dyDescent="0.25">
      <c r="A28" s="5">
        <f t="shared" si="0"/>
        <v>2.0013000000000027</v>
      </c>
      <c r="B28" s="31"/>
      <c r="C28" s="34" t="s">
        <v>181</v>
      </c>
      <c r="D28" s="58"/>
      <c r="E28" s="7"/>
      <c r="F28" s="7"/>
      <c r="G28" s="8" t="s">
        <v>5</v>
      </c>
      <c r="H28" s="8">
        <f>IF($G28=H$1,1,0)</f>
        <v>1</v>
      </c>
      <c r="I28" s="8">
        <f>IF($G28=I$1,1,0)</f>
        <v>0</v>
      </c>
      <c r="J28" s="8">
        <f>IF($G28=J$1,1,0)</f>
        <v>0</v>
      </c>
      <c r="K28" s="8">
        <f>IF($G28=K$1,1,0)</f>
        <v>0</v>
      </c>
      <c r="L28" s="8">
        <f>IF($G28=L$1,1,0)</f>
        <v>0</v>
      </c>
      <c r="M28" s="7"/>
    </row>
    <row r="29" spans="1:13" x14ac:dyDescent="0.25">
      <c r="A29" s="5">
        <f t="shared" si="0"/>
        <v>2.001400000000003</v>
      </c>
      <c r="B29" s="41" t="s">
        <v>182</v>
      </c>
      <c r="C29" s="42"/>
      <c r="D29" s="42"/>
      <c r="E29" s="7"/>
      <c r="F29" s="7"/>
      <c r="G29" s="8" t="s">
        <v>5</v>
      </c>
      <c r="H29" s="8">
        <f>IF($G29=H$1,1,0)</f>
        <v>1</v>
      </c>
      <c r="I29" s="8">
        <f>IF($G29=I$1,1,0)</f>
        <v>0</v>
      </c>
      <c r="J29" s="8">
        <f>IF($G29=J$1,1,0)</f>
        <v>0</v>
      </c>
      <c r="K29" s="8">
        <f>IF($G29=K$1,1,0)</f>
        <v>0</v>
      </c>
      <c r="L29" s="8">
        <f>IF($G29=L$1,1,0)</f>
        <v>0</v>
      </c>
      <c r="M29" s="7"/>
    </row>
    <row r="30" spans="1:13" x14ac:dyDescent="0.25">
      <c r="A30" s="5">
        <f t="shared" si="0"/>
        <v>2.0015000000000032</v>
      </c>
      <c r="B30" s="6" t="s">
        <v>179</v>
      </c>
      <c r="C30" s="6" t="s">
        <v>180</v>
      </c>
      <c r="D30" s="56" t="s">
        <v>214</v>
      </c>
      <c r="E30" s="7" t="s">
        <v>174</v>
      </c>
      <c r="F30" s="7"/>
      <c r="G30" s="8" t="s">
        <v>5</v>
      </c>
      <c r="H30" s="8">
        <f>IF($G30=H$1,1,0)</f>
        <v>1</v>
      </c>
      <c r="I30" s="8">
        <f>IF($G30=I$1,1,0)</f>
        <v>0</v>
      </c>
      <c r="J30" s="8">
        <f>IF($G30=J$1,1,0)</f>
        <v>0</v>
      </c>
      <c r="K30" s="8">
        <f>IF($G30=K$1,1,0)</f>
        <v>0</v>
      </c>
      <c r="L30" s="8">
        <f>IF($G30=L$1,1,0)</f>
        <v>0</v>
      </c>
      <c r="M30" s="7"/>
    </row>
    <row r="31" spans="1:13" x14ac:dyDescent="0.25">
      <c r="A31" s="5">
        <f t="shared" si="0"/>
        <v>2.0016000000000034</v>
      </c>
      <c r="B31" s="6" t="s">
        <v>140</v>
      </c>
      <c r="C31" s="6" t="s">
        <v>133</v>
      </c>
      <c r="D31" s="58"/>
      <c r="E31" s="7" t="s">
        <v>174</v>
      </c>
      <c r="F31" s="7"/>
      <c r="G31" s="8" t="s">
        <v>5</v>
      </c>
      <c r="H31" s="8">
        <f>IF($G31=H$1,1,0)</f>
        <v>1</v>
      </c>
      <c r="I31" s="8">
        <f>IF($G31=I$1,1,0)</f>
        <v>0</v>
      </c>
      <c r="J31" s="8">
        <f>IF($G31=J$1,1,0)</f>
        <v>0</v>
      </c>
      <c r="K31" s="8">
        <f>IF($G31=K$1,1,0)</f>
        <v>0</v>
      </c>
      <c r="L31" s="8">
        <f>IF($G31=L$1,1,0)</f>
        <v>0</v>
      </c>
      <c r="M31" s="7"/>
    </row>
    <row r="32" spans="1:13" x14ac:dyDescent="0.25">
      <c r="A32" s="5">
        <f t="shared" si="0"/>
        <v>2.0017000000000036</v>
      </c>
      <c r="B32" s="48" t="s">
        <v>95</v>
      </c>
      <c r="C32" s="42"/>
      <c r="D32" s="42"/>
      <c r="E32" s="7"/>
      <c r="F32" s="7"/>
      <c r="G32" s="8" t="s">
        <v>5</v>
      </c>
      <c r="H32" s="8">
        <f>IF($G32=H$1,1,0)</f>
        <v>1</v>
      </c>
      <c r="I32" s="8">
        <f>IF($G32=I$1,1,0)</f>
        <v>0</v>
      </c>
      <c r="J32" s="8">
        <f>IF($G32=J$1,1,0)</f>
        <v>0</v>
      </c>
      <c r="K32" s="8">
        <f>IF($G32=K$1,1,0)</f>
        <v>0</v>
      </c>
      <c r="L32" s="8">
        <f>IF($G32=L$1,1,0)</f>
        <v>0</v>
      </c>
      <c r="M32" s="7"/>
    </row>
    <row r="33" spans="1:13" x14ac:dyDescent="0.25">
      <c r="A33" s="24">
        <f t="shared" si="0"/>
        <v>2.0018000000000038</v>
      </c>
      <c r="B33" s="53" t="s">
        <v>183</v>
      </c>
      <c r="C33" s="25"/>
      <c r="D33" s="56" t="s">
        <v>214</v>
      </c>
      <c r="E33" s="7" t="s">
        <v>174</v>
      </c>
      <c r="F33" s="7"/>
      <c r="G33" s="8" t="s">
        <v>5</v>
      </c>
      <c r="H33" s="8">
        <f>IF($G33=H$1,1,0)</f>
        <v>1</v>
      </c>
      <c r="I33" s="8">
        <f>IF($G33=I$1,1,0)</f>
        <v>0</v>
      </c>
      <c r="J33" s="8">
        <f>IF($G33=J$1,1,0)</f>
        <v>0</v>
      </c>
      <c r="K33" s="8">
        <f>IF($G33=K$1,1,0)</f>
        <v>0</v>
      </c>
      <c r="L33" s="8">
        <f>IF($G33=L$1,1,0)</f>
        <v>0</v>
      </c>
      <c r="M33" s="7"/>
    </row>
    <row r="34" spans="1:13" x14ac:dyDescent="0.25">
      <c r="A34" s="24">
        <f t="shared" si="0"/>
        <v>2.001900000000004</v>
      </c>
      <c r="B34" s="30" t="s">
        <v>184</v>
      </c>
      <c r="C34" s="25" t="s">
        <v>180</v>
      </c>
      <c r="D34" s="57"/>
      <c r="E34" s="7" t="s">
        <v>174</v>
      </c>
      <c r="F34" s="7"/>
      <c r="G34" s="8" t="s">
        <v>5</v>
      </c>
      <c r="H34" s="8">
        <f>IF($G34=H$1,1,0)</f>
        <v>1</v>
      </c>
      <c r="I34" s="8">
        <f>IF($G34=I$1,1,0)</f>
        <v>0</v>
      </c>
      <c r="J34" s="8">
        <f>IF($G34=J$1,1,0)</f>
        <v>0</v>
      </c>
      <c r="K34" s="8">
        <f>IF($G34=K$1,1,0)</f>
        <v>0</v>
      </c>
      <c r="L34" s="8">
        <f>IF($G34=L$1,1,0)</f>
        <v>0</v>
      </c>
      <c r="M34" s="7"/>
    </row>
    <row r="35" spans="1:13" x14ac:dyDescent="0.25">
      <c r="A35" s="24">
        <f t="shared" si="0"/>
        <v>2.0020000000000042</v>
      </c>
      <c r="B35" s="30" t="s">
        <v>185</v>
      </c>
      <c r="C35" s="25" t="s">
        <v>180</v>
      </c>
      <c r="D35" s="57"/>
      <c r="E35" s="7" t="s">
        <v>174</v>
      </c>
      <c r="F35" s="7"/>
      <c r="G35" s="8" t="s">
        <v>5</v>
      </c>
      <c r="H35" s="8">
        <f>IF($G35=H$1,1,0)</f>
        <v>1</v>
      </c>
      <c r="I35" s="8">
        <f>IF($G35=I$1,1,0)</f>
        <v>0</v>
      </c>
      <c r="J35" s="8">
        <f>IF($G35=J$1,1,0)</f>
        <v>0</v>
      </c>
      <c r="K35" s="8">
        <f>IF($G35=K$1,1,0)</f>
        <v>0</v>
      </c>
      <c r="L35" s="8">
        <f>IF($G35=L$1,1,0)</f>
        <v>0</v>
      </c>
      <c r="M35" s="7"/>
    </row>
    <row r="36" spans="1:13" x14ac:dyDescent="0.25">
      <c r="A36" s="24">
        <f t="shared" si="0"/>
        <v>2.0021000000000044</v>
      </c>
      <c r="B36" s="53" t="s">
        <v>186</v>
      </c>
      <c r="C36" s="25"/>
      <c r="D36" s="57"/>
      <c r="E36" s="7" t="s">
        <v>174</v>
      </c>
      <c r="F36" s="7"/>
      <c r="G36" s="8" t="s">
        <v>5</v>
      </c>
      <c r="H36" s="8">
        <f>IF($G36=H$1,1,0)</f>
        <v>1</v>
      </c>
      <c r="I36" s="8">
        <f>IF($G36=I$1,1,0)</f>
        <v>0</v>
      </c>
      <c r="J36" s="8">
        <f>IF($G36=J$1,1,0)</f>
        <v>0</v>
      </c>
      <c r="K36" s="8">
        <f>IF($G36=K$1,1,0)</f>
        <v>0</v>
      </c>
      <c r="L36" s="8">
        <f>IF($G36=L$1,1,0)</f>
        <v>0</v>
      </c>
      <c r="M36" s="7"/>
    </row>
    <row r="37" spans="1:13" x14ac:dyDescent="0.25">
      <c r="A37" s="24">
        <f t="shared" si="0"/>
        <v>2.0022000000000046</v>
      </c>
      <c r="B37" s="30" t="s">
        <v>107</v>
      </c>
      <c r="C37" s="25" t="s">
        <v>187</v>
      </c>
      <c r="D37" s="57"/>
      <c r="E37" s="7" t="s">
        <v>174</v>
      </c>
      <c r="F37" s="7"/>
      <c r="G37" s="8" t="s">
        <v>5</v>
      </c>
      <c r="H37" s="8">
        <f>IF($G37=H$1,1,0)</f>
        <v>1</v>
      </c>
      <c r="I37" s="8">
        <f>IF($G37=I$1,1,0)</f>
        <v>0</v>
      </c>
      <c r="J37" s="8">
        <f>IF($G37=J$1,1,0)</f>
        <v>0</v>
      </c>
      <c r="K37" s="8">
        <f>IF($G37=K$1,1,0)</f>
        <v>0</v>
      </c>
      <c r="L37" s="8">
        <f>IF($G37=L$1,1,0)</f>
        <v>0</v>
      </c>
      <c r="M37" s="7"/>
    </row>
    <row r="38" spans="1:13" x14ac:dyDescent="0.25">
      <c r="A38" s="24">
        <f t="shared" si="0"/>
        <v>2.0023000000000049</v>
      </c>
      <c r="B38" s="30" t="s">
        <v>108</v>
      </c>
      <c r="C38" s="25" t="s">
        <v>128</v>
      </c>
      <c r="D38" s="57"/>
      <c r="E38" s="7" t="s">
        <v>174</v>
      </c>
      <c r="F38" s="7"/>
      <c r="G38" s="8" t="s">
        <v>5</v>
      </c>
      <c r="H38" s="8">
        <f>IF($G38=H$1,1,0)</f>
        <v>1</v>
      </c>
      <c r="I38" s="8">
        <f>IF($G38=I$1,1,0)</f>
        <v>0</v>
      </c>
      <c r="J38" s="8">
        <f>IF($G38=J$1,1,0)</f>
        <v>0</v>
      </c>
      <c r="K38" s="8">
        <f>IF($G38=K$1,1,0)</f>
        <v>0</v>
      </c>
      <c r="L38" s="8">
        <f>IF($G38=L$1,1,0)</f>
        <v>0</v>
      </c>
      <c r="M38" s="7"/>
    </row>
    <row r="39" spans="1:13" x14ac:dyDescent="0.25">
      <c r="A39" s="24">
        <f t="shared" si="0"/>
        <v>2.0024000000000051</v>
      </c>
      <c r="B39" s="31" t="s">
        <v>109</v>
      </c>
      <c r="C39" s="25" t="s">
        <v>128</v>
      </c>
      <c r="D39" s="58"/>
      <c r="E39" s="7" t="s">
        <v>174</v>
      </c>
      <c r="F39" s="7"/>
      <c r="G39" s="8" t="s">
        <v>5</v>
      </c>
      <c r="H39" s="8">
        <f>IF($G39=H$1,1,0)</f>
        <v>1</v>
      </c>
      <c r="I39" s="8">
        <f>IF($G39=I$1,1,0)</f>
        <v>0</v>
      </c>
      <c r="J39" s="8">
        <f>IF($G39=J$1,1,0)</f>
        <v>0</v>
      </c>
      <c r="K39" s="8">
        <f>IF($G39=K$1,1,0)</f>
        <v>0</v>
      </c>
      <c r="L39" s="8">
        <f>IF($G39=L$1,1,0)</f>
        <v>0</v>
      </c>
      <c r="M39" s="7"/>
    </row>
    <row r="40" spans="1:13" x14ac:dyDescent="0.25">
      <c r="A40" s="5">
        <f t="shared" si="0"/>
        <v>2.0025000000000053</v>
      </c>
      <c r="B40" s="48" t="s">
        <v>188</v>
      </c>
      <c r="C40" s="42"/>
      <c r="D40" s="42"/>
      <c r="E40" s="7"/>
      <c r="F40" s="7"/>
      <c r="G40" s="8" t="s">
        <v>5</v>
      </c>
      <c r="H40" s="8">
        <f>IF($G40=H$1,1,0)</f>
        <v>1</v>
      </c>
      <c r="I40" s="8">
        <f>IF($G40=I$1,1,0)</f>
        <v>0</v>
      </c>
      <c r="J40" s="8">
        <f>IF($G40=J$1,1,0)</f>
        <v>0</v>
      </c>
      <c r="K40" s="8">
        <f>IF($G40=K$1,1,0)</f>
        <v>0</v>
      </c>
      <c r="L40" s="8">
        <f>IF($G40=L$1,1,0)</f>
        <v>0</v>
      </c>
      <c r="M40" s="7"/>
    </row>
    <row r="41" spans="1:13" x14ac:dyDescent="0.25">
      <c r="A41" s="24">
        <f t="shared" si="0"/>
        <v>2.0026000000000055</v>
      </c>
      <c r="B41" s="26" t="s">
        <v>189</v>
      </c>
      <c r="C41" s="25" t="s">
        <v>133</v>
      </c>
      <c r="D41" s="56" t="s">
        <v>214</v>
      </c>
      <c r="E41" s="7"/>
      <c r="F41" s="7"/>
      <c r="G41" s="8" t="s">
        <v>5</v>
      </c>
      <c r="H41" s="8">
        <f>IF($G41=H$1,1,0)</f>
        <v>1</v>
      </c>
      <c r="I41" s="8">
        <f>IF($G41=I$1,1,0)</f>
        <v>0</v>
      </c>
      <c r="J41" s="8">
        <f>IF($G41=J$1,1,0)</f>
        <v>0</v>
      </c>
      <c r="K41" s="8">
        <f>IF($G41=K$1,1,0)</f>
        <v>0</v>
      </c>
      <c r="L41" s="8">
        <f>IF($G41=L$1,1,0)</f>
        <v>0</v>
      </c>
      <c r="M41" s="7"/>
    </row>
    <row r="42" spans="1:13" x14ac:dyDescent="0.25">
      <c r="A42" s="24">
        <f t="shared" si="0"/>
        <v>2.0027000000000057</v>
      </c>
      <c r="B42" s="30"/>
      <c r="C42" s="25" t="s">
        <v>190</v>
      </c>
      <c r="D42" s="57"/>
      <c r="E42" s="7"/>
      <c r="F42" s="7"/>
      <c r="G42" s="8" t="s">
        <v>5</v>
      </c>
      <c r="H42" s="8">
        <f>IF($G42=H$1,1,0)</f>
        <v>1</v>
      </c>
      <c r="I42" s="8">
        <f>IF($G42=I$1,1,0)</f>
        <v>0</v>
      </c>
      <c r="J42" s="8">
        <f>IF($G42=J$1,1,0)</f>
        <v>0</v>
      </c>
      <c r="K42" s="8">
        <f>IF($G42=K$1,1,0)</f>
        <v>0</v>
      </c>
      <c r="L42" s="8">
        <f>IF($G42=L$1,1,0)</f>
        <v>0</v>
      </c>
      <c r="M42" s="7"/>
    </row>
    <row r="43" spans="1:13" x14ac:dyDescent="0.25">
      <c r="A43" s="24">
        <f t="shared" si="0"/>
        <v>2.0028000000000059</v>
      </c>
      <c r="B43" s="30"/>
      <c r="C43" s="25" t="s">
        <v>191</v>
      </c>
      <c r="D43" s="57"/>
      <c r="E43" s="7"/>
      <c r="F43" s="7"/>
      <c r="G43" s="8" t="s">
        <v>5</v>
      </c>
      <c r="H43" s="8">
        <f>IF($G43=H$1,1,0)</f>
        <v>1</v>
      </c>
      <c r="I43" s="8">
        <f>IF($G43=I$1,1,0)</f>
        <v>0</v>
      </c>
      <c r="J43" s="8">
        <f>IF($G43=J$1,1,0)</f>
        <v>0</v>
      </c>
      <c r="K43" s="8">
        <f>IF($G43=K$1,1,0)</f>
        <v>0</v>
      </c>
      <c r="L43" s="8">
        <f>IF($G43=L$1,1,0)</f>
        <v>0</v>
      </c>
      <c r="M43" s="7"/>
    </row>
    <row r="44" spans="1:13" x14ac:dyDescent="0.25">
      <c r="A44" s="24">
        <f t="shared" si="0"/>
        <v>2.0029000000000061</v>
      </c>
      <c r="B44" s="30"/>
      <c r="C44" s="25" t="s">
        <v>192</v>
      </c>
      <c r="D44" s="57"/>
      <c r="E44" s="7"/>
      <c r="F44" s="7"/>
      <c r="G44" s="8" t="s">
        <v>5</v>
      </c>
      <c r="H44" s="8">
        <f>IF($G44=H$1,1,0)</f>
        <v>1</v>
      </c>
      <c r="I44" s="8">
        <f>IF($G44=I$1,1,0)</f>
        <v>0</v>
      </c>
      <c r="J44" s="8">
        <f>IF($G44=J$1,1,0)</f>
        <v>0</v>
      </c>
      <c r="K44" s="8">
        <f>IF($G44=K$1,1,0)</f>
        <v>0</v>
      </c>
      <c r="L44" s="8">
        <f>IF($G44=L$1,1,0)</f>
        <v>0</v>
      </c>
      <c r="M44" s="7"/>
    </row>
    <row r="45" spans="1:13" x14ac:dyDescent="0.25">
      <c r="A45" s="24">
        <f t="shared" si="0"/>
        <v>2.0030000000000063</v>
      </c>
      <c r="B45" s="30"/>
      <c r="C45" s="25" t="s">
        <v>193</v>
      </c>
      <c r="D45" s="57"/>
      <c r="E45" s="7" t="s">
        <v>200</v>
      </c>
      <c r="F45" s="7"/>
      <c r="G45" s="8" t="s">
        <v>5</v>
      </c>
      <c r="H45" s="8">
        <f>IF($G45=H$1,1,0)</f>
        <v>1</v>
      </c>
      <c r="I45" s="8">
        <f>IF($G45=I$1,1,0)</f>
        <v>0</v>
      </c>
      <c r="J45" s="8">
        <f>IF($G45=J$1,1,0)</f>
        <v>0</v>
      </c>
      <c r="K45" s="8">
        <f>IF($G45=K$1,1,0)</f>
        <v>0</v>
      </c>
      <c r="L45" s="8">
        <f>IF($G45=L$1,1,0)</f>
        <v>0</v>
      </c>
      <c r="M45" s="7"/>
    </row>
    <row r="46" spans="1:13" x14ac:dyDescent="0.25">
      <c r="A46" s="24">
        <f t="shared" si="0"/>
        <v>2.0031000000000065</v>
      </c>
      <c r="B46" s="30"/>
      <c r="C46" s="28" t="s">
        <v>194</v>
      </c>
      <c r="D46" s="57"/>
      <c r="E46" s="7" t="s">
        <v>200</v>
      </c>
      <c r="F46" s="7"/>
      <c r="G46" s="8" t="s">
        <v>5</v>
      </c>
      <c r="H46" s="8">
        <f>IF($G46=H$1,1,0)</f>
        <v>1</v>
      </c>
      <c r="I46" s="8">
        <f>IF($G46=I$1,1,0)</f>
        <v>0</v>
      </c>
      <c r="J46" s="8">
        <f>IF($G46=J$1,1,0)</f>
        <v>0</v>
      </c>
      <c r="K46" s="8">
        <f>IF($G46=K$1,1,0)</f>
        <v>0</v>
      </c>
      <c r="L46" s="8">
        <f>IF($G46=L$1,1,0)</f>
        <v>0</v>
      </c>
      <c r="M46" s="7"/>
    </row>
    <row r="47" spans="1:13" x14ac:dyDescent="0.25">
      <c r="A47" s="24">
        <f t="shared" si="0"/>
        <v>2.0032000000000068</v>
      </c>
      <c r="B47" s="30"/>
      <c r="C47" s="25" t="s">
        <v>195</v>
      </c>
      <c r="D47" s="57"/>
      <c r="E47" s="7" t="s">
        <v>200</v>
      </c>
      <c r="F47" s="7"/>
      <c r="G47" s="8" t="s">
        <v>5</v>
      </c>
      <c r="H47" s="8">
        <f>IF($G47=H$1,1,0)</f>
        <v>1</v>
      </c>
      <c r="I47" s="8">
        <f>IF($G47=I$1,1,0)</f>
        <v>0</v>
      </c>
      <c r="J47" s="8">
        <f>IF($G47=J$1,1,0)</f>
        <v>0</v>
      </c>
      <c r="K47" s="8">
        <f>IF($G47=K$1,1,0)</f>
        <v>0</v>
      </c>
      <c r="L47" s="8">
        <f>IF($G47=L$1,1,0)</f>
        <v>0</v>
      </c>
      <c r="M47" s="7"/>
    </row>
    <row r="48" spans="1:13" x14ac:dyDescent="0.25">
      <c r="A48" s="24">
        <f t="shared" si="0"/>
        <v>2.003300000000007</v>
      </c>
      <c r="B48" s="30"/>
      <c r="C48" s="25" t="s">
        <v>196</v>
      </c>
      <c r="D48" s="57"/>
      <c r="E48" s="7"/>
      <c r="F48" s="7"/>
      <c r="G48" s="8" t="s">
        <v>5</v>
      </c>
      <c r="H48" s="8">
        <f>IF($G48=H$1,1,0)</f>
        <v>1</v>
      </c>
      <c r="I48" s="8">
        <f>IF($G48=I$1,1,0)</f>
        <v>0</v>
      </c>
      <c r="J48" s="8">
        <f>IF($G48=J$1,1,0)</f>
        <v>0</v>
      </c>
      <c r="K48" s="8">
        <f>IF($G48=K$1,1,0)</f>
        <v>0</v>
      </c>
      <c r="L48" s="8">
        <f>IF($G48=L$1,1,0)</f>
        <v>0</v>
      </c>
      <c r="M48" s="7"/>
    </row>
    <row r="49" spans="1:13" x14ac:dyDescent="0.25">
      <c r="A49" s="24">
        <f t="shared" si="0"/>
        <v>2.0034000000000072</v>
      </c>
      <c r="B49" s="30"/>
      <c r="C49" s="25" t="s">
        <v>197</v>
      </c>
      <c r="D49" s="57"/>
      <c r="E49" s="7"/>
      <c r="F49" s="7"/>
      <c r="G49" s="8" t="s">
        <v>5</v>
      </c>
      <c r="H49" s="8">
        <f>IF($G49=H$1,1,0)</f>
        <v>1</v>
      </c>
      <c r="I49" s="8">
        <f>IF($G49=I$1,1,0)</f>
        <v>0</v>
      </c>
      <c r="J49" s="8">
        <f>IF($G49=J$1,1,0)</f>
        <v>0</v>
      </c>
      <c r="K49" s="8">
        <f>IF($G49=K$1,1,0)</f>
        <v>0</v>
      </c>
      <c r="L49" s="8">
        <f>IF($G49=L$1,1,0)</f>
        <v>0</v>
      </c>
      <c r="M49" s="7"/>
    </row>
    <row r="50" spans="1:13" x14ac:dyDescent="0.25">
      <c r="A50" s="24">
        <f t="shared" si="0"/>
        <v>2.0035000000000074</v>
      </c>
      <c r="B50" s="30"/>
      <c r="C50" s="25" t="s">
        <v>198</v>
      </c>
      <c r="D50" s="57"/>
      <c r="E50" s="7"/>
      <c r="F50" s="7"/>
      <c r="G50" s="8" t="s">
        <v>5</v>
      </c>
      <c r="H50" s="8">
        <f>IF($G50=H$1,1,0)</f>
        <v>1</v>
      </c>
      <c r="I50" s="8">
        <f>IF($G50=I$1,1,0)</f>
        <v>0</v>
      </c>
      <c r="J50" s="8">
        <f>IF($G50=J$1,1,0)</f>
        <v>0</v>
      </c>
      <c r="K50" s="8">
        <f>IF($G50=K$1,1,0)</f>
        <v>0</v>
      </c>
      <c r="L50" s="8">
        <f>IF($G50=L$1,1,0)</f>
        <v>0</v>
      </c>
      <c r="M50" s="7"/>
    </row>
    <row r="51" spans="1:13" x14ac:dyDescent="0.25">
      <c r="A51" s="24">
        <f t="shared" si="0"/>
        <v>2.0036000000000076</v>
      </c>
      <c r="B51" s="31"/>
      <c r="C51" s="25" t="s">
        <v>199</v>
      </c>
      <c r="D51" s="58"/>
      <c r="E51" s="7"/>
      <c r="F51" s="7"/>
      <c r="G51" s="8" t="s">
        <v>5</v>
      </c>
      <c r="H51" s="8">
        <f>IF($G51=H$1,1,0)</f>
        <v>1</v>
      </c>
      <c r="I51" s="8">
        <f>IF($G51=I$1,1,0)</f>
        <v>0</v>
      </c>
      <c r="J51" s="8">
        <f>IF($G51=J$1,1,0)</f>
        <v>0</v>
      </c>
      <c r="K51" s="8">
        <f>IF($G51=K$1,1,0)</f>
        <v>0</v>
      </c>
      <c r="L51" s="8">
        <f>IF($G51=L$1,1,0)</f>
        <v>0</v>
      </c>
      <c r="M51" s="7"/>
    </row>
    <row r="52" spans="1:13" ht="15.75" thickBot="1" x14ac:dyDescent="0.3">
      <c r="H52" s="2">
        <f>SUM(H2:H51)</f>
        <v>48</v>
      </c>
      <c r="I52" s="2">
        <f>SUM(I2:I51)</f>
        <v>0</v>
      </c>
      <c r="J52" s="2">
        <f>SUM(J2:J51)</f>
        <v>0</v>
      </c>
      <c r="K52" s="2">
        <f>SUM(K2:K51)</f>
        <v>0</v>
      </c>
      <c r="L52" s="2">
        <f>SUM(L2:L51)</f>
        <v>0</v>
      </c>
    </row>
    <row r="53" spans="1:13" ht="15.75" thickTop="1" x14ac:dyDescent="0.25"/>
  </sheetData>
  <mergeCells count="5">
    <mergeCell ref="D3:D14"/>
    <mergeCell ref="D16:D28"/>
    <mergeCell ref="D30:D31"/>
    <mergeCell ref="D33:D39"/>
    <mergeCell ref="D41:D51"/>
  </mergeCells>
  <conditionalFormatting sqref="A2:L2 A52:L70 A3:A14 A16:A51 M51:M70 H3:L14 A16:C16 A17:B17 B38:C39 B37 E40:F40 B19:B24 E26:F29 E32:F32 F30:F31 B30:D30 B28 F33:F39 M20:M21 M2:M17 A4:C14 E3:F14 C17:C24 E16:F24 B31:C31 B33:C36 B43:C50 E44:F50">
    <cfRule type="expression" dxfId="91" priority="37">
      <formula>$G2="Fail"</formula>
    </cfRule>
  </conditionalFormatting>
  <conditionalFormatting sqref="A15:L15">
    <cfRule type="expression" dxfId="90" priority="36">
      <formula>$G15="Fail"</formula>
    </cfRule>
  </conditionalFormatting>
  <conditionalFormatting sqref="B51:C51 E51:F51">
    <cfRule type="expression" dxfId="89" priority="35">
      <formula>$G51="Fail"</formula>
    </cfRule>
  </conditionalFormatting>
  <conditionalFormatting sqref="B41:C43 E41:F43">
    <cfRule type="expression" dxfId="88" priority="34">
      <formula>$G41="Fail"</formula>
    </cfRule>
  </conditionalFormatting>
  <conditionalFormatting sqref="B25:C25 E25:F25">
    <cfRule type="expression" dxfId="87" priority="33">
      <formula>$G25="Fail"</formula>
    </cfRule>
  </conditionalFormatting>
  <conditionalFormatting sqref="B25:C25">
    <cfRule type="expression" dxfId="86" priority="32">
      <formula>$G25="Fail"</formula>
    </cfRule>
  </conditionalFormatting>
  <conditionalFormatting sqref="A19:B19">
    <cfRule type="expression" dxfId="85" priority="31">
      <formula>$G19="Fail"</formula>
    </cfRule>
  </conditionalFormatting>
  <conditionalFormatting sqref="A18:B18">
    <cfRule type="expression" dxfId="84" priority="30">
      <formula>$G18="Fail"</formula>
    </cfRule>
  </conditionalFormatting>
  <conditionalFormatting sqref="B18">
    <cfRule type="expression" dxfId="83" priority="29">
      <formula>$G18="Fail"</formula>
    </cfRule>
  </conditionalFormatting>
  <conditionalFormatting sqref="M44:M50">
    <cfRule type="expression" dxfId="82" priority="25">
      <formula>$G44="Fail"</formula>
    </cfRule>
  </conditionalFormatting>
  <conditionalFormatting sqref="M36:M43">
    <cfRule type="expression" dxfId="81" priority="23">
      <formula>$G36="Fail"</formula>
    </cfRule>
  </conditionalFormatting>
  <conditionalFormatting sqref="M22:M29">
    <cfRule type="expression" dxfId="80" priority="22">
      <formula>$G22="Fail"</formula>
    </cfRule>
  </conditionalFormatting>
  <conditionalFormatting sqref="M30:M35">
    <cfRule type="expression" dxfId="79" priority="21">
      <formula>$G30="Fail"</formula>
    </cfRule>
  </conditionalFormatting>
  <conditionalFormatting sqref="M19">
    <cfRule type="expression" dxfId="78" priority="20">
      <formula>$G19="Fail"</formula>
    </cfRule>
  </conditionalFormatting>
  <conditionalFormatting sqref="M18">
    <cfRule type="expression" dxfId="77" priority="19">
      <formula>$G18="Fail"</formula>
    </cfRule>
  </conditionalFormatting>
  <conditionalFormatting sqref="B3:C3">
    <cfRule type="expression" dxfId="76" priority="18">
      <formula>$G3="Fail"</formula>
    </cfRule>
  </conditionalFormatting>
  <conditionalFormatting sqref="E30">
    <cfRule type="expression" dxfId="75" priority="16">
      <formula>$G30="Fail"</formula>
    </cfRule>
  </conditionalFormatting>
  <conditionalFormatting sqref="E31">
    <cfRule type="expression" dxfId="74" priority="15">
      <formula>$G31="Fail"</formula>
    </cfRule>
  </conditionalFormatting>
  <conditionalFormatting sqref="B26:C27">
    <cfRule type="expression" dxfId="73" priority="14">
      <formula>$G26="Fail"</formula>
    </cfRule>
  </conditionalFormatting>
  <conditionalFormatting sqref="C28">
    <cfRule type="expression" dxfId="72" priority="13">
      <formula>$G28="Fail"</formula>
    </cfRule>
  </conditionalFormatting>
  <conditionalFormatting sqref="B29:D29">
    <cfRule type="expression" dxfId="71" priority="12">
      <formula>$G29="Fail"</formula>
    </cfRule>
  </conditionalFormatting>
  <conditionalFormatting sqref="B32:D32">
    <cfRule type="expression" dxfId="70" priority="11">
      <formula>$G32="Fail"</formula>
    </cfRule>
  </conditionalFormatting>
  <conditionalFormatting sqref="E33:E39">
    <cfRule type="expression" dxfId="69" priority="10">
      <formula>$G33="Fail"</formula>
    </cfRule>
  </conditionalFormatting>
  <conditionalFormatting sqref="C37">
    <cfRule type="expression" dxfId="68" priority="9">
      <formula>$G37="Fail"</formula>
    </cfRule>
  </conditionalFormatting>
  <conditionalFormatting sqref="B40:D40">
    <cfRule type="expression" dxfId="67" priority="8">
      <formula>$G40="Fail"</formula>
    </cfRule>
  </conditionalFormatting>
  <conditionalFormatting sqref="H16:L51">
    <cfRule type="expression" dxfId="66" priority="6">
      <formula>$G16="Fail"</formula>
    </cfRule>
  </conditionalFormatting>
  <conditionalFormatting sqref="G3:G14">
    <cfRule type="expression" dxfId="65" priority="5">
      <formula>$G3="Fail"</formula>
    </cfRule>
  </conditionalFormatting>
  <conditionalFormatting sqref="G16:G28">
    <cfRule type="expression" dxfId="64" priority="4">
      <formula>$G16="Fail"</formula>
    </cfRule>
  </conditionalFormatting>
  <conditionalFormatting sqref="G29:G31">
    <cfRule type="expression" dxfId="63" priority="3">
      <formula>$G29="Fail"</formula>
    </cfRule>
  </conditionalFormatting>
  <conditionalFormatting sqref="G32:G39">
    <cfRule type="expression" dxfId="62" priority="2">
      <formula>$G32="Fail"</formula>
    </cfRule>
  </conditionalFormatting>
  <conditionalFormatting sqref="G40:G51">
    <cfRule type="expression" dxfId="61" priority="1">
      <formula>$G40="Fail"</formula>
    </cfRule>
  </conditionalFormatting>
  <conditionalFormatting sqref="D3 D16">
    <cfRule type="expression" dxfId="60" priority="350">
      <formula>$G9="Fail"</formula>
    </cfRule>
  </conditionalFormatting>
  <conditionalFormatting sqref="D33">
    <cfRule type="expression" dxfId="59" priority="352">
      <formula>$G36="Fail"</formula>
    </cfRule>
  </conditionalFormatting>
  <conditionalFormatting sqref="D41">
    <cfRule type="expression" dxfId="58" priority="354">
      <formula>$G46="Fail"</formula>
    </cfRule>
  </conditionalFormatting>
  <dataValidations count="1">
    <dataValidation type="list" allowBlank="1" showInputMessage="1" showErrorMessage="1" sqref="G2:G51">
      <formula1>$H$1:$L$1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ummary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formatting">
                <anchor moveWithCells="1" sizeWithCells="1">
                  <from>
                    <xdr:col>2</xdr:col>
                    <xdr:colOff>2114550</xdr:colOff>
                    <xdr:row>0</xdr:row>
                    <xdr:rowOff>57150</xdr:rowOff>
                  </from>
                  <to>
                    <xdr:col>2</xdr:col>
                    <xdr:colOff>2924175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M112"/>
  <sheetViews>
    <sheetView zoomScaleNormal="100" workbookViewId="0">
      <pane ySplit="1" topLeftCell="A32" activePane="bottomLeft" state="frozen"/>
      <selection pane="bottomLeft" activeCell="D109" sqref="D109:D110"/>
    </sheetView>
  </sheetViews>
  <sheetFormatPr defaultColWidth="9.140625" defaultRowHeight="15" x14ac:dyDescent="0.25"/>
  <cols>
    <col min="1" max="1" width="11.28515625" style="4" bestFit="1" customWidth="1"/>
    <col min="2" max="2" width="48.5703125" style="1" customWidth="1"/>
    <col min="3" max="4" width="50.7109375" style="1" customWidth="1"/>
    <col min="5" max="5" width="39" style="1" customWidth="1"/>
    <col min="6" max="6" width="20.42578125" style="1" customWidth="1"/>
    <col min="7" max="7" width="14.7109375" style="1" customWidth="1"/>
    <col min="8" max="11" width="9.140625" style="1"/>
    <col min="12" max="12" width="16.5703125" style="1" customWidth="1"/>
    <col min="13" max="13" width="39" style="1" customWidth="1"/>
    <col min="14" max="16384" width="9.140625" style="1"/>
  </cols>
  <sheetData>
    <row r="1" spans="1:13" ht="30" customHeight="1" x14ac:dyDescent="0.25">
      <c r="A1" s="10" t="s">
        <v>1</v>
      </c>
      <c r="B1" s="11" t="s">
        <v>11</v>
      </c>
      <c r="C1" s="11" t="s">
        <v>2</v>
      </c>
      <c r="D1" s="69" t="s">
        <v>213</v>
      </c>
      <c r="E1" s="12" t="s">
        <v>4</v>
      </c>
      <c r="F1" s="12" t="s">
        <v>3</v>
      </c>
      <c r="G1" s="11" t="s">
        <v>0</v>
      </c>
      <c r="H1" s="12" t="s">
        <v>5</v>
      </c>
      <c r="I1" s="12" t="s">
        <v>6</v>
      </c>
      <c r="J1" s="12"/>
      <c r="K1" s="12" t="s">
        <v>7</v>
      </c>
      <c r="L1" s="12" t="s">
        <v>8</v>
      </c>
      <c r="M1" s="12" t="s">
        <v>12</v>
      </c>
    </row>
    <row r="2" spans="1:13" s="20" customFormat="1" x14ac:dyDescent="0.25">
      <c r="A2" s="16">
        <v>1</v>
      </c>
      <c r="B2" s="17" t="s">
        <v>114</v>
      </c>
      <c r="C2" s="18"/>
      <c r="D2" s="18"/>
      <c r="E2" s="17"/>
      <c r="F2" s="17"/>
      <c r="G2" s="19"/>
      <c r="H2" s="19"/>
      <c r="I2" s="19"/>
      <c r="J2" s="19"/>
      <c r="K2" s="19"/>
      <c r="L2" s="19"/>
      <c r="M2" s="17"/>
    </row>
    <row r="3" spans="1:13" ht="25.5" x14ac:dyDescent="0.25">
      <c r="A3" s="5">
        <v>1</v>
      </c>
      <c r="B3" s="6" t="s">
        <v>115</v>
      </c>
      <c r="C3" s="9" t="s">
        <v>16</v>
      </c>
      <c r="D3" s="56" t="s">
        <v>214</v>
      </c>
      <c r="E3" s="7"/>
      <c r="F3" s="6"/>
      <c r="G3" s="8" t="s">
        <v>5</v>
      </c>
      <c r="H3" s="8">
        <f t="shared" ref="H3:L53" si="0">IF($G3=H$1,1,0)</f>
        <v>1</v>
      </c>
      <c r="I3" s="8">
        <f t="shared" si="0"/>
        <v>0</v>
      </c>
      <c r="J3" s="8">
        <f t="shared" si="0"/>
        <v>0</v>
      </c>
      <c r="K3" s="8">
        <f t="shared" si="0"/>
        <v>0</v>
      </c>
      <c r="L3" s="8">
        <f t="shared" si="0"/>
        <v>0</v>
      </c>
      <c r="M3" s="7"/>
    </row>
    <row r="4" spans="1:13" x14ac:dyDescent="0.25">
      <c r="A4" s="5">
        <f t="shared" ref="A4:A51" si="1">A3+0.0001</f>
        <v>1.0001</v>
      </c>
      <c r="B4" s="26" t="s">
        <v>17</v>
      </c>
      <c r="C4" s="9" t="s">
        <v>18</v>
      </c>
      <c r="D4" s="57"/>
      <c r="E4" s="7"/>
      <c r="F4" s="6"/>
      <c r="G4" s="8" t="s">
        <v>5</v>
      </c>
      <c r="H4" s="8">
        <f t="shared" si="0"/>
        <v>1</v>
      </c>
      <c r="I4" s="8">
        <f t="shared" si="0"/>
        <v>0</v>
      </c>
      <c r="J4" s="8">
        <f t="shared" si="0"/>
        <v>0</v>
      </c>
      <c r="K4" s="8">
        <f t="shared" si="0"/>
        <v>0</v>
      </c>
      <c r="L4" s="8">
        <f t="shared" si="0"/>
        <v>0</v>
      </c>
      <c r="M4" s="7"/>
    </row>
    <row r="5" spans="1:13" x14ac:dyDescent="0.25">
      <c r="A5" s="5">
        <f t="shared" si="1"/>
        <v>1.0002</v>
      </c>
      <c r="B5" s="26" t="s">
        <v>19</v>
      </c>
      <c r="C5" s="28" t="s">
        <v>20</v>
      </c>
      <c r="D5" s="57"/>
      <c r="E5" s="7"/>
      <c r="F5" s="6"/>
      <c r="G5" s="8" t="s">
        <v>5</v>
      </c>
      <c r="H5" s="8">
        <f t="shared" si="0"/>
        <v>1</v>
      </c>
      <c r="I5" s="8">
        <f t="shared" si="0"/>
        <v>0</v>
      </c>
      <c r="J5" s="8">
        <f t="shared" si="0"/>
        <v>0</v>
      </c>
      <c r="K5" s="8">
        <f t="shared" si="0"/>
        <v>0</v>
      </c>
      <c r="L5" s="8">
        <f t="shared" si="0"/>
        <v>0</v>
      </c>
      <c r="M5" s="7"/>
    </row>
    <row r="6" spans="1:13" x14ac:dyDescent="0.25">
      <c r="A6" s="5">
        <f t="shared" si="1"/>
        <v>1.0003</v>
      </c>
      <c r="B6" s="30"/>
      <c r="C6" s="29" t="s">
        <v>21</v>
      </c>
      <c r="D6" s="57"/>
      <c r="E6" s="7"/>
      <c r="F6" s="6"/>
      <c r="G6" s="8" t="s">
        <v>5</v>
      </c>
      <c r="H6" s="8">
        <f t="shared" si="0"/>
        <v>1</v>
      </c>
      <c r="I6" s="8">
        <f t="shared" si="0"/>
        <v>0</v>
      </c>
      <c r="J6" s="8">
        <f t="shared" si="0"/>
        <v>0</v>
      </c>
      <c r="K6" s="8">
        <f t="shared" si="0"/>
        <v>0</v>
      </c>
      <c r="L6" s="8">
        <f t="shared" si="0"/>
        <v>0</v>
      </c>
      <c r="M6" s="7"/>
    </row>
    <row r="7" spans="1:13" x14ac:dyDescent="0.25">
      <c r="A7" s="5">
        <f t="shared" si="1"/>
        <v>1.0004</v>
      </c>
      <c r="B7" s="30"/>
      <c r="C7" s="29" t="s">
        <v>22</v>
      </c>
      <c r="D7" s="57"/>
      <c r="E7" s="7"/>
      <c r="F7" s="6"/>
      <c r="G7" s="8" t="s">
        <v>5</v>
      </c>
      <c r="H7" s="8">
        <f t="shared" si="0"/>
        <v>1</v>
      </c>
      <c r="I7" s="8">
        <f t="shared" si="0"/>
        <v>0</v>
      </c>
      <c r="J7" s="8">
        <f t="shared" si="0"/>
        <v>0</v>
      </c>
      <c r="K7" s="8">
        <f t="shared" si="0"/>
        <v>0</v>
      </c>
      <c r="L7" s="8">
        <f t="shared" si="0"/>
        <v>0</v>
      </c>
      <c r="M7" s="7"/>
    </row>
    <row r="8" spans="1:13" x14ac:dyDescent="0.25">
      <c r="A8" s="5">
        <f t="shared" si="1"/>
        <v>1.0004999999999999</v>
      </c>
      <c r="B8" s="31"/>
      <c r="C8" s="29" t="s">
        <v>23</v>
      </c>
      <c r="D8" s="57"/>
      <c r="E8" s="7"/>
      <c r="F8" s="6"/>
      <c r="G8" s="8" t="s">
        <v>5</v>
      </c>
      <c r="H8" s="8">
        <f t="shared" si="0"/>
        <v>1</v>
      </c>
      <c r="I8" s="8">
        <f t="shared" si="0"/>
        <v>0</v>
      </c>
      <c r="J8" s="8">
        <f t="shared" si="0"/>
        <v>0</v>
      </c>
      <c r="K8" s="8">
        <f t="shared" si="0"/>
        <v>0</v>
      </c>
      <c r="L8" s="8">
        <f t="shared" si="0"/>
        <v>0</v>
      </c>
      <c r="M8" s="7"/>
    </row>
    <row r="9" spans="1:13" x14ac:dyDescent="0.25">
      <c r="A9" s="5">
        <f t="shared" si="1"/>
        <v>1.0005999999999999</v>
      </c>
      <c r="B9" s="27" t="s">
        <v>24</v>
      </c>
      <c r="C9" s="9" t="s">
        <v>18</v>
      </c>
      <c r="D9" s="57"/>
      <c r="E9" s="7"/>
      <c r="F9" s="6"/>
      <c r="G9" s="8" t="s">
        <v>5</v>
      </c>
      <c r="H9" s="8">
        <f t="shared" si="0"/>
        <v>1</v>
      </c>
      <c r="I9" s="8">
        <f t="shared" si="0"/>
        <v>0</v>
      </c>
      <c r="J9" s="8">
        <f t="shared" si="0"/>
        <v>0</v>
      </c>
      <c r="K9" s="8">
        <f t="shared" si="0"/>
        <v>0</v>
      </c>
      <c r="L9" s="8">
        <f t="shared" si="0"/>
        <v>0</v>
      </c>
      <c r="M9" s="7"/>
    </row>
    <row r="10" spans="1:13" x14ac:dyDescent="0.25">
      <c r="A10" s="5">
        <f t="shared" si="1"/>
        <v>1.0006999999999999</v>
      </c>
      <c r="B10" s="7" t="s">
        <v>25</v>
      </c>
      <c r="C10" s="6"/>
      <c r="D10" s="57"/>
      <c r="E10" s="7"/>
      <c r="F10" s="6"/>
      <c r="G10" s="8" t="s">
        <v>5</v>
      </c>
      <c r="H10" s="8">
        <f t="shared" si="0"/>
        <v>1</v>
      </c>
      <c r="I10" s="8">
        <f t="shared" si="0"/>
        <v>0</v>
      </c>
      <c r="J10" s="8">
        <f t="shared" si="0"/>
        <v>0</v>
      </c>
      <c r="K10" s="8">
        <f t="shared" si="0"/>
        <v>0</v>
      </c>
      <c r="L10" s="8">
        <f t="shared" si="0"/>
        <v>0</v>
      </c>
      <c r="M10" s="7"/>
    </row>
    <row r="11" spans="1:13" x14ac:dyDescent="0.25">
      <c r="A11" s="5">
        <f t="shared" si="1"/>
        <v>1.0007999999999999</v>
      </c>
      <c r="B11" s="7" t="s">
        <v>26</v>
      </c>
      <c r="C11" s="6" t="s">
        <v>27</v>
      </c>
      <c r="D11" s="57"/>
      <c r="E11" s="7"/>
      <c r="F11" s="6"/>
      <c r="G11" s="8" t="s">
        <v>5</v>
      </c>
      <c r="H11" s="8">
        <f t="shared" si="0"/>
        <v>1</v>
      </c>
      <c r="I11" s="8">
        <f t="shared" si="0"/>
        <v>0</v>
      </c>
      <c r="J11" s="8">
        <f t="shared" si="0"/>
        <v>0</v>
      </c>
      <c r="K11" s="8">
        <f t="shared" si="0"/>
        <v>0</v>
      </c>
      <c r="L11" s="8">
        <f t="shared" si="0"/>
        <v>0</v>
      </c>
      <c r="M11" s="7"/>
    </row>
    <row r="12" spans="1:13" x14ac:dyDescent="0.25">
      <c r="A12" s="5">
        <f t="shared" si="1"/>
        <v>1.0008999999999999</v>
      </c>
      <c r="B12" s="32" t="s">
        <v>17</v>
      </c>
      <c r="C12" s="6" t="s">
        <v>73</v>
      </c>
      <c r="D12" s="57"/>
      <c r="E12" s="7"/>
      <c r="F12" s="6"/>
      <c r="G12" s="8" t="s">
        <v>5</v>
      </c>
      <c r="H12" s="8">
        <f t="shared" si="0"/>
        <v>1</v>
      </c>
      <c r="I12" s="8">
        <f t="shared" si="0"/>
        <v>0</v>
      </c>
      <c r="J12" s="8">
        <f t="shared" si="0"/>
        <v>0</v>
      </c>
      <c r="K12" s="8">
        <f t="shared" si="0"/>
        <v>0</v>
      </c>
      <c r="L12" s="8">
        <f t="shared" si="0"/>
        <v>0</v>
      </c>
      <c r="M12" s="7"/>
    </row>
    <row r="13" spans="1:13" x14ac:dyDescent="0.25">
      <c r="A13" s="5">
        <f t="shared" si="1"/>
        <v>1.0009999999999999</v>
      </c>
      <c r="B13" s="33" t="s">
        <v>19</v>
      </c>
      <c r="C13" s="6" t="s">
        <v>28</v>
      </c>
      <c r="D13" s="57"/>
      <c r="E13" s="7"/>
      <c r="F13" s="6"/>
      <c r="G13" s="8" t="s">
        <v>5</v>
      </c>
      <c r="H13" s="8">
        <f t="shared" si="0"/>
        <v>1</v>
      </c>
      <c r="I13" s="8">
        <f t="shared" si="0"/>
        <v>0</v>
      </c>
      <c r="J13" s="8">
        <f t="shared" si="0"/>
        <v>0</v>
      </c>
      <c r="K13" s="8">
        <f t="shared" si="0"/>
        <v>0</v>
      </c>
      <c r="L13" s="8">
        <f t="shared" si="0"/>
        <v>0</v>
      </c>
      <c r="M13" s="7"/>
    </row>
    <row r="14" spans="1:13" x14ac:dyDescent="0.25">
      <c r="A14" s="5">
        <f t="shared" si="1"/>
        <v>1.0010999999999999</v>
      </c>
      <c r="B14" s="26" t="s">
        <v>29</v>
      </c>
      <c r="C14" s="25" t="s">
        <v>30</v>
      </c>
      <c r="D14" s="57"/>
      <c r="E14" s="7"/>
      <c r="F14" s="6"/>
      <c r="G14" s="8" t="s">
        <v>5</v>
      </c>
      <c r="H14" s="8">
        <f t="shared" si="0"/>
        <v>1</v>
      </c>
      <c r="I14" s="8">
        <f t="shared" si="0"/>
        <v>0</v>
      </c>
      <c r="J14" s="8">
        <f t="shared" si="0"/>
        <v>0</v>
      </c>
      <c r="K14" s="8">
        <f t="shared" si="0"/>
        <v>0</v>
      </c>
      <c r="L14" s="8">
        <f t="shared" si="0"/>
        <v>0</v>
      </c>
      <c r="M14" s="7"/>
    </row>
    <row r="15" spans="1:13" x14ac:dyDescent="0.25">
      <c r="A15" s="5">
        <f t="shared" si="1"/>
        <v>1.0011999999999999</v>
      </c>
      <c r="B15" s="30" t="s">
        <v>117</v>
      </c>
      <c r="C15" s="34" t="s">
        <v>118</v>
      </c>
      <c r="D15" s="57"/>
      <c r="E15" s="7"/>
      <c r="F15" s="6"/>
      <c r="G15" s="8" t="s">
        <v>5</v>
      </c>
      <c r="H15" s="8">
        <f t="shared" si="0"/>
        <v>1</v>
      </c>
      <c r="I15" s="8">
        <f t="shared" si="0"/>
        <v>0</v>
      </c>
      <c r="J15" s="8">
        <f t="shared" si="0"/>
        <v>0</v>
      </c>
      <c r="K15" s="8">
        <f t="shared" si="0"/>
        <v>0</v>
      </c>
      <c r="L15" s="8">
        <f t="shared" si="0"/>
        <v>0</v>
      </c>
      <c r="M15" s="7"/>
    </row>
    <row r="16" spans="1:13" x14ac:dyDescent="0.25">
      <c r="A16" s="5">
        <f t="shared" si="1"/>
        <v>1.0012999999999999</v>
      </c>
      <c r="B16" s="30"/>
      <c r="C16" s="34" t="s">
        <v>119</v>
      </c>
      <c r="D16" s="57"/>
      <c r="E16" s="7"/>
      <c r="F16" s="6"/>
      <c r="G16" s="8" t="s">
        <v>5</v>
      </c>
      <c r="H16" s="8">
        <f t="shared" si="0"/>
        <v>1</v>
      </c>
      <c r="I16" s="8">
        <f t="shared" si="0"/>
        <v>0</v>
      </c>
      <c r="J16" s="8">
        <f t="shared" si="0"/>
        <v>0</v>
      </c>
      <c r="K16" s="8">
        <f t="shared" si="0"/>
        <v>0</v>
      </c>
      <c r="L16" s="8">
        <f t="shared" si="0"/>
        <v>0</v>
      </c>
      <c r="M16" s="7"/>
    </row>
    <row r="17" spans="1:13" x14ac:dyDescent="0.25">
      <c r="A17" s="5">
        <f t="shared" si="1"/>
        <v>1.0013999999999998</v>
      </c>
      <c r="B17" s="30"/>
      <c r="C17" s="34" t="s">
        <v>120</v>
      </c>
      <c r="D17" s="57"/>
      <c r="E17" s="7"/>
      <c r="F17" s="6"/>
      <c r="G17" s="8" t="s">
        <v>5</v>
      </c>
      <c r="H17" s="8">
        <f t="shared" si="0"/>
        <v>1</v>
      </c>
      <c r="I17" s="8">
        <f t="shared" si="0"/>
        <v>0</v>
      </c>
      <c r="J17" s="8">
        <f t="shared" si="0"/>
        <v>0</v>
      </c>
      <c r="K17" s="8">
        <f t="shared" si="0"/>
        <v>0</v>
      </c>
      <c r="L17" s="8">
        <f t="shared" si="0"/>
        <v>0</v>
      </c>
      <c r="M17" s="7"/>
    </row>
    <row r="18" spans="1:13" x14ac:dyDescent="0.25">
      <c r="A18" s="5">
        <f t="shared" si="1"/>
        <v>1.0014999999999998</v>
      </c>
      <c r="B18" s="30"/>
      <c r="C18" s="34" t="s">
        <v>121</v>
      </c>
      <c r="D18" s="57"/>
      <c r="E18" s="7"/>
      <c r="F18" s="6"/>
      <c r="G18" s="8" t="s">
        <v>5</v>
      </c>
      <c r="H18" s="8">
        <f t="shared" si="0"/>
        <v>1</v>
      </c>
      <c r="I18" s="8">
        <f t="shared" si="0"/>
        <v>0</v>
      </c>
      <c r="J18" s="8">
        <f t="shared" si="0"/>
        <v>0</v>
      </c>
      <c r="K18" s="8">
        <f t="shared" si="0"/>
        <v>0</v>
      </c>
      <c r="L18" s="8">
        <f t="shared" si="0"/>
        <v>0</v>
      </c>
      <c r="M18" s="7"/>
    </row>
    <row r="19" spans="1:13" x14ac:dyDescent="0.25">
      <c r="A19" s="5">
        <f t="shared" si="1"/>
        <v>1.0015999999999998</v>
      </c>
      <c r="B19" s="31"/>
      <c r="C19" s="34" t="s">
        <v>122</v>
      </c>
      <c r="D19" s="58"/>
      <c r="E19" s="7"/>
      <c r="F19" s="6"/>
      <c r="G19" s="8" t="s">
        <v>5</v>
      </c>
      <c r="H19" s="8">
        <f t="shared" si="0"/>
        <v>1</v>
      </c>
      <c r="I19" s="8">
        <f t="shared" si="0"/>
        <v>0</v>
      </c>
      <c r="J19" s="8">
        <f t="shared" si="0"/>
        <v>0</v>
      </c>
      <c r="K19" s="8">
        <f t="shared" si="0"/>
        <v>0</v>
      </c>
      <c r="L19" s="8">
        <f t="shared" si="0"/>
        <v>0</v>
      </c>
      <c r="M19" s="7"/>
    </row>
    <row r="20" spans="1:13" x14ac:dyDescent="0.25">
      <c r="A20" s="5">
        <f t="shared" si="1"/>
        <v>1.0016999999999998</v>
      </c>
      <c r="B20" s="41" t="s">
        <v>94</v>
      </c>
      <c r="C20" s="42"/>
      <c r="D20" s="42"/>
      <c r="E20" s="7"/>
      <c r="F20" s="6"/>
      <c r="G20" s="8" t="s">
        <v>5</v>
      </c>
      <c r="H20" s="8">
        <f t="shared" si="0"/>
        <v>1</v>
      </c>
      <c r="I20" s="8">
        <f t="shared" si="0"/>
        <v>0</v>
      </c>
      <c r="J20" s="8">
        <f t="shared" si="0"/>
        <v>0</v>
      </c>
      <c r="K20" s="8">
        <f t="shared" si="0"/>
        <v>0</v>
      </c>
      <c r="L20" s="8">
        <f t="shared" si="0"/>
        <v>0</v>
      </c>
      <c r="M20" s="7"/>
    </row>
    <row r="21" spans="1:13" x14ac:dyDescent="0.25">
      <c r="A21" s="5">
        <f t="shared" si="1"/>
        <v>1.0017999999999998</v>
      </c>
      <c r="B21" s="31" t="s">
        <v>17</v>
      </c>
      <c r="C21" s="47" t="s">
        <v>123</v>
      </c>
      <c r="D21" s="73" t="s">
        <v>214</v>
      </c>
      <c r="E21" s="7"/>
      <c r="F21" s="6"/>
      <c r="G21" s="8" t="s">
        <v>5</v>
      </c>
      <c r="H21" s="8">
        <f t="shared" si="0"/>
        <v>1</v>
      </c>
      <c r="I21" s="8">
        <f t="shared" si="0"/>
        <v>0</v>
      </c>
      <c r="J21" s="8">
        <f t="shared" si="0"/>
        <v>0</v>
      </c>
      <c r="K21" s="8">
        <f t="shared" si="0"/>
        <v>0</v>
      </c>
      <c r="L21" s="8">
        <f t="shared" si="0"/>
        <v>0</v>
      </c>
      <c r="M21" s="7"/>
    </row>
    <row r="22" spans="1:13" x14ac:dyDescent="0.25">
      <c r="A22" s="5">
        <f t="shared" si="1"/>
        <v>1.0018999999999998</v>
      </c>
      <c r="B22" s="31" t="s">
        <v>19</v>
      </c>
      <c r="C22" s="47" t="s">
        <v>21</v>
      </c>
      <c r="D22" s="74"/>
      <c r="E22" s="7"/>
      <c r="F22" s="6"/>
      <c r="G22" s="8" t="s">
        <v>5</v>
      </c>
      <c r="H22" s="8">
        <f t="shared" si="0"/>
        <v>1</v>
      </c>
      <c r="I22" s="8">
        <f t="shared" si="0"/>
        <v>0</v>
      </c>
      <c r="J22" s="8">
        <f t="shared" si="0"/>
        <v>0</v>
      </c>
      <c r="K22" s="8">
        <f t="shared" si="0"/>
        <v>0</v>
      </c>
      <c r="L22" s="8">
        <f t="shared" si="0"/>
        <v>0</v>
      </c>
      <c r="M22" s="7"/>
    </row>
    <row r="23" spans="1:13" x14ac:dyDescent="0.25">
      <c r="A23" s="5">
        <f t="shared" si="1"/>
        <v>1.0019999999999998</v>
      </c>
      <c r="B23" s="31" t="s">
        <v>32</v>
      </c>
      <c r="C23" s="47" t="s">
        <v>124</v>
      </c>
      <c r="D23" s="74"/>
      <c r="E23" s="7"/>
      <c r="F23" s="6"/>
      <c r="G23" s="8" t="s">
        <v>5</v>
      </c>
      <c r="H23" s="8">
        <f t="shared" si="0"/>
        <v>1</v>
      </c>
      <c r="I23" s="8">
        <f t="shared" si="0"/>
        <v>0</v>
      </c>
      <c r="J23" s="8">
        <f t="shared" si="0"/>
        <v>0</v>
      </c>
      <c r="K23" s="8">
        <f t="shared" si="0"/>
        <v>0</v>
      </c>
      <c r="L23" s="8">
        <f t="shared" si="0"/>
        <v>0</v>
      </c>
      <c r="M23" s="7"/>
    </row>
    <row r="24" spans="1:13" x14ac:dyDescent="0.25">
      <c r="A24" s="5">
        <f t="shared" si="1"/>
        <v>1.0020999999999998</v>
      </c>
      <c r="B24" s="31" t="s">
        <v>76</v>
      </c>
      <c r="C24" s="47" t="s">
        <v>89</v>
      </c>
      <c r="D24" s="74"/>
      <c r="E24" s="7"/>
      <c r="F24" s="6"/>
      <c r="G24" s="8" t="s">
        <v>5</v>
      </c>
      <c r="H24" s="8">
        <f t="shared" si="0"/>
        <v>1</v>
      </c>
      <c r="I24" s="8">
        <f t="shared" si="0"/>
        <v>0</v>
      </c>
      <c r="J24" s="8">
        <f t="shared" si="0"/>
        <v>0</v>
      </c>
      <c r="K24" s="8">
        <f t="shared" si="0"/>
        <v>0</v>
      </c>
      <c r="L24" s="8">
        <f t="shared" si="0"/>
        <v>0</v>
      </c>
      <c r="M24" s="7"/>
    </row>
    <row r="25" spans="1:13" x14ac:dyDescent="0.25">
      <c r="A25" s="5">
        <f t="shared" si="1"/>
        <v>1.0021999999999998</v>
      </c>
      <c r="B25" s="31" t="s">
        <v>77</v>
      </c>
      <c r="C25" s="47" t="s">
        <v>90</v>
      </c>
      <c r="D25" s="74"/>
      <c r="E25" s="7"/>
      <c r="F25" s="6"/>
      <c r="G25" s="8" t="s">
        <v>5</v>
      </c>
      <c r="H25" s="8">
        <f t="shared" si="0"/>
        <v>1</v>
      </c>
      <c r="I25" s="8">
        <f t="shared" si="0"/>
        <v>0</v>
      </c>
      <c r="J25" s="8">
        <f t="shared" si="0"/>
        <v>0</v>
      </c>
      <c r="K25" s="8">
        <f t="shared" si="0"/>
        <v>0</v>
      </c>
      <c r="L25" s="8">
        <f t="shared" si="0"/>
        <v>0</v>
      </c>
      <c r="M25" s="7"/>
    </row>
    <row r="26" spans="1:13" x14ac:dyDescent="0.25">
      <c r="A26" s="5">
        <f t="shared" si="1"/>
        <v>1.0022999999999997</v>
      </c>
      <c r="B26" s="31" t="s">
        <v>78</v>
      </c>
      <c r="C26" s="47" t="s">
        <v>89</v>
      </c>
      <c r="D26" s="74"/>
      <c r="E26" s="7"/>
      <c r="F26" s="6"/>
      <c r="G26" s="8" t="s">
        <v>5</v>
      </c>
      <c r="H26" s="8">
        <f t="shared" si="0"/>
        <v>1</v>
      </c>
      <c r="I26" s="8">
        <f t="shared" si="0"/>
        <v>0</v>
      </c>
      <c r="J26" s="8">
        <f t="shared" si="0"/>
        <v>0</v>
      </c>
      <c r="K26" s="8">
        <f t="shared" si="0"/>
        <v>0</v>
      </c>
      <c r="L26" s="8">
        <f t="shared" si="0"/>
        <v>0</v>
      </c>
      <c r="M26" s="7"/>
    </row>
    <row r="27" spans="1:13" x14ac:dyDescent="0.25">
      <c r="A27" s="5">
        <f t="shared" si="1"/>
        <v>1.0023999999999997</v>
      </c>
      <c r="B27" s="31" t="s">
        <v>79</v>
      </c>
      <c r="C27" s="47" t="s">
        <v>84</v>
      </c>
      <c r="D27" s="74"/>
      <c r="E27" s="7"/>
      <c r="F27" s="6"/>
      <c r="G27" s="8" t="s">
        <v>5</v>
      </c>
      <c r="H27" s="8">
        <f t="shared" si="0"/>
        <v>1</v>
      </c>
      <c r="I27" s="8">
        <f t="shared" si="0"/>
        <v>0</v>
      </c>
      <c r="J27" s="8">
        <f t="shared" si="0"/>
        <v>0</v>
      </c>
      <c r="K27" s="8">
        <f t="shared" si="0"/>
        <v>0</v>
      </c>
      <c r="L27" s="8">
        <f t="shared" si="0"/>
        <v>0</v>
      </c>
      <c r="M27" s="7"/>
    </row>
    <row r="28" spans="1:13" x14ac:dyDescent="0.25">
      <c r="A28" s="5">
        <f t="shared" si="1"/>
        <v>1.0024999999999997</v>
      </c>
      <c r="B28" s="31" t="s">
        <v>80</v>
      </c>
      <c r="C28" s="47" t="s">
        <v>91</v>
      </c>
      <c r="D28" s="74"/>
      <c r="E28" s="7"/>
      <c r="F28" s="6"/>
      <c r="G28" s="8" t="s">
        <v>5</v>
      </c>
      <c r="H28" s="8">
        <f t="shared" si="0"/>
        <v>1</v>
      </c>
      <c r="I28" s="8">
        <f t="shared" si="0"/>
        <v>0</v>
      </c>
      <c r="J28" s="8">
        <f t="shared" si="0"/>
        <v>0</v>
      </c>
      <c r="K28" s="8">
        <f t="shared" si="0"/>
        <v>0</v>
      </c>
      <c r="L28" s="8">
        <f t="shared" si="0"/>
        <v>0</v>
      </c>
      <c r="M28" s="7"/>
    </row>
    <row r="29" spans="1:13" x14ac:dyDescent="0.25">
      <c r="A29" s="5">
        <f t="shared" si="1"/>
        <v>1.0025999999999997</v>
      </c>
      <c r="B29" s="31" t="s">
        <v>81</v>
      </c>
      <c r="C29" s="47" t="s">
        <v>92</v>
      </c>
      <c r="D29" s="75"/>
      <c r="E29" s="7"/>
      <c r="F29" s="6"/>
      <c r="G29" s="8" t="s">
        <v>5</v>
      </c>
      <c r="H29" s="8">
        <f t="shared" si="0"/>
        <v>1</v>
      </c>
      <c r="I29" s="8">
        <f t="shared" si="0"/>
        <v>0</v>
      </c>
      <c r="J29" s="8">
        <f t="shared" si="0"/>
        <v>0</v>
      </c>
      <c r="K29" s="8">
        <f t="shared" si="0"/>
        <v>0</v>
      </c>
      <c r="L29" s="8">
        <f t="shared" si="0"/>
        <v>0</v>
      </c>
      <c r="M29" s="7"/>
    </row>
    <row r="30" spans="1:13" x14ac:dyDescent="0.25">
      <c r="A30" s="5">
        <f t="shared" si="1"/>
        <v>1.0026999999999997</v>
      </c>
      <c r="B30" s="48" t="s">
        <v>95</v>
      </c>
      <c r="C30" s="42"/>
      <c r="D30" s="42"/>
      <c r="E30" s="7"/>
      <c r="F30" s="6"/>
      <c r="G30" s="8" t="s">
        <v>5</v>
      </c>
      <c r="H30" s="8">
        <f t="shared" si="0"/>
        <v>1</v>
      </c>
      <c r="I30" s="8">
        <f t="shared" si="0"/>
        <v>0</v>
      </c>
      <c r="J30" s="8">
        <f t="shared" si="0"/>
        <v>0</v>
      </c>
      <c r="K30" s="8">
        <f t="shared" si="0"/>
        <v>0</v>
      </c>
      <c r="L30" s="8">
        <f t="shared" si="0"/>
        <v>0</v>
      </c>
      <c r="M30" s="7"/>
    </row>
    <row r="31" spans="1:13" x14ac:dyDescent="0.25">
      <c r="A31" s="5">
        <f t="shared" si="1"/>
        <v>1.0027999999999997</v>
      </c>
      <c r="B31" s="26" t="s">
        <v>96</v>
      </c>
      <c r="C31" s="47"/>
      <c r="D31" s="70" t="s">
        <v>214</v>
      </c>
      <c r="E31" s="7"/>
      <c r="F31" s="6"/>
      <c r="G31" s="8" t="s">
        <v>5</v>
      </c>
      <c r="H31" s="8">
        <f t="shared" si="0"/>
        <v>1</v>
      </c>
      <c r="I31" s="8">
        <f t="shared" si="0"/>
        <v>0</v>
      </c>
      <c r="J31" s="8">
        <f t="shared" si="0"/>
        <v>0</v>
      </c>
      <c r="K31" s="8">
        <f t="shared" si="0"/>
        <v>0</v>
      </c>
      <c r="L31" s="8">
        <f t="shared" si="0"/>
        <v>0</v>
      </c>
      <c r="M31" s="7"/>
    </row>
    <row r="32" spans="1:13" x14ac:dyDescent="0.25">
      <c r="A32" s="5">
        <f t="shared" si="1"/>
        <v>1.0028999999999997</v>
      </c>
      <c r="B32" s="30" t="s">
        <v>97</v>
      </c>
      <c r="C32" s="28" t="s">
        <v>125</v>
      </c>
      <c r="D32" s="71"/>
      <c r="E32" s="7"/>
      <c r="F32" s="6"/>
      <c r="G32" s="8" t="s">
        <v>5</v>
      </c>
      <c r="H32" s="8">
        <f t="shared" si="0"/>
        <v>1</v>
      </c>
      <c r="I32" s="8">
        <f t="shared" si="0"/>
        <v>0</v>
      </c>
      <c r="J32" s="8">
        <f t="shared" si="0"/>
        <v>0</v>
      </c>
      <c r="K32" s="8">
        <f t="shared" si="0"/>
        <v>0</v>
      </c>
      <c r="L32" s="8">
        <f t="shared" si="0"/>
        <v>0</v>
      </c>
      <c r="M32" s="7"/>
    </row>
    <row r="33" spans="1:13" x14ac:dyDescent="0.25">
      <c r="A33" s="5">
        <f t="shared" si="1"/>
        <v>1.0029999999999997</v>
      </c>
      <c r="B33" s="30" t="s">
        <v>98</v>
      </c>
      <c r="C33" s="28" t="s">
        <v>126</v>
      </c>
      <c r="D33" s="71"/>
      <c r="E33" s="7"/>
      <c r="F33" s="6"/>
      <c r="G33" s="8" t="s">
        <v>5</v>
      </c>
      <c r="H33" s="8">
        <f t="shared" si="0"/>
        <v>1</v>
      </c>
      <c r="I33" s="8">
        <f t="shared" si="0"/>
        <v>0</v>
      </c>
      <c r="J33" s="8">
        <f t="shared" si="0"/>
        <v>0</v>
      </c>
      <c r="K33" s="8">
        <f t="shared" si="0"/>
        <v>0</v>
      </c>
      <c r="L33" s="8">
        <f t="shared" si="0"/>
        <v>0</v>
      </c>
      <c r="M33" s="7"/>
    </row>
    <row r="34" spans="1:13" x14ac:dyDescent="0.25">
      <c r="A34" s="5">
        <f t="shared" si="1"/>
        <v>1.0030999999999997</v>
      </c>
      <c r="B34" s="26" t="s">
        <v>101</v>
      </c>
      <c r="C34" s="28"/>
      <c r="D34" s="71"/>
      <c r="E34" s="7"/>
      <c r="F34" s="6"/>
      <c r="G34" s="8" t="s">
        <v>5</v>
      </c>
      <c r="H34" s="8">
        <f t="shared" si="0"/>
        <v>1</v>
      </c>
      <c r="I34" s="8">
        <f t="shared" si="0"/>
        <v>0</v>
      </c>
      <c r="J34" s="8">
        <f t="shared" si="0"/>
        <v>0</v>
      </c>
      <c r="K34" s="8">
        <f t="shared" si="0"/>
        <v>0</v>
      </c>
      <c r="L34" s="8">
        <f t="shared" si="0"/>
        <v>0</v>
      </c>
      <c r="M34" s="7"/>
    </row>
    <row r="35" spans="1:13" x14ac:dyDescent="0.25">
      <c r="A35" s="5">
        <f t="shared" si="1"/>
        <v>1.0031999999999996</v>
      </c>
      <c r="B35" s="30" t="s">
        <v>102</v>
      </c>
      <c r="C35" s="28" t="s">
        <v>126</v>
      </c>
      <c r="D35" s="71"/>
      <c r="E35" s="7"/>
      <c r="F35" s="6"/>
      <c r="G35" s="8" t="s">
        <v>5</v>
      </c>
      <c r="H35" s="8">
        <f t="shared" si="0"/>
        <v>1</v>
      </c>
      <c r="I35" s="8">
        <f t="shared" si="0"/>
        <v>0</v>
      </c>
      <c r="J35" s="8">
        <f t="shared" si="0"/>
        <v>0</v>
      </c>
      <c r="K35" s="8">
        <f t="shared" si="0"/>
        <v>0</v>
      </c>
      <c r="L35" s="8">
        <f t="shared" si="0"/>
        <v>0</v>
      </c>
      <c r="M35" s="7"/>
    </row>
    <row r="36" spans="1:13" x14ac:dyDescent="0.25">
      <c r="A36" s="5">
        <f t="shared" si="1"/>
        <v>1.0032999999999996</v>
      </c>
      <c r="B36" s="30" t="s">
        <v>103</v>
      </c>
      <c r="C36" s="49" t="s">
        <v>127</v>
      </c>
      <c r="D36" s="71"/>
      <c r="E36" s="7"/>
      <c r="F36" s="6"/>
      <c r="G36" s="8" t="s">
        <v>5</v>
      </c>
      <c r="H36" s="8">
        <f t="shared" si="0"/>
        <v>1</v>
      </c>
      <c r="I36" s="8">
        <f t="shared" si="0"/>
        <v>0</v>
      </c>
      <c r="J36" s="8">
        <f t="shared" si="0"/>
        <v>0</v>
      </c>
      <c r="K36" s="8">
        <f t="shared" si="0"/>
        <v>0</v>
      </c>
      <c r="L36" s="8">
        <f t="shared" si="0"/>
        <v>0</v>
      </c>
      <c r="M36" s="7"/>
    </row>
    <row r="37" spans="1:13" x14ac:dyDescent="0.25">
      <c r="A37" s="5">
        <f t="shared" si="1"/>
        <v>1.0033999999999996</v>
      </c>
      <c r="B37" s="30" t="s">
        <v>104</v>
      </c>
      <c r="C37" s="28" t="s">
        <v>128</v>
      </c>
      <c r="D37" s="71"/>
      <c r="E37" s="7"/>
      <c r="F37" s="6"/>
      <c r="G37" s="8" t="s">
        <v>5</v>
      </c>
      <c r="H37" s="8">
        <f t="shared" si="0"/>
        <v>1</v>
      </c>
      <c r="I37" s="8">
        <f t="shared" si="0"/>
        <v>0</v>
      </c>
      <c r="J37" s="8">
        <f t="shared" si="0"/>
        <v>0</v>
      </c>
      <c r="K37" s="8">
        <f t="shared" si="0"/>
        <v>0</v>
      </c>
      <c r="L37" s="8">
        <f t="shared" si="0"/>
        <v>0</v>
      </c>
      <c r="M37" s="7"/>
    </row>
    <row r="38" spans="1:13" x14ac:dyDescent="0.25">
      <c r="A38" s="5">
        <f t="shared" si="1"/>
        <v>1.0034999999999996</v>
      </c>
      <c r="B38" s="26" t="s">
        <v>106</v>
      </c>
      <c r="C38" s="28"/>
      <c r="D38" s="71"/>
      <c r="E38" s="7"/>
      <c r="F38" s="6"/>
      <c r="G38" s="8" t="s">
        <v>5</v>
      </c>
      <c r="H38" s="8">
        <f t="shared" si="0"/>
        <v>1</v>
      </c>
      <c r="I38" s="8">
        <f t="shared" si="0"/>
        <v>0</v>
      </c>
      <c r="J38" s="8">
        <f t="shared" si="0"/>
        <v>0</v>
      </c>
      <c r="K38" s="8">
        <f t="shared" si="0"/>
        <v>0</v>
      </c>
      <c r="L38" s="8">
        <f t="shared" si="0"/>
        <v>0</v>
      </c>
      <c r="M38" s="7"/>
    </row>
    <row r="39" spans="1:13" x14ac:dyDescent="0.25">
      <c r="A39" s="5">
        <f t="shared" si="1"/>
        <v>1.0035999999999996</v>
      </c>
      <c r="B39" s="30" t="s">
        <v>107</v>
      </c>
      <c r="C39" s="28" t="s">
        <v>126</v>
      </c>
      <c r="D39" s="71"/>
      <c r="E39" s="7"/>
      <c r="F39" s="6"/>
      <c r="G39" s="8" t="s">
        <v>5</v>
      </c>
      <c r="H39" s="8">
        <f t="shared" si="0"/>
        <v>1</v>
      </c>
      <c r="I39" s="8">
        <f t="shared" si="0"/>
        <v>0</v>
      </c>
      <c r="J39" s="8">
        <f t="shared" si="0"/>
        <v>0</v>
      </c>
      <c r="K39" s="8">
        <f t="shared" si="0"/>
        <v>0</v>
      </c>
      <c r="L39" s="8">
        <f t="shared" si="0"/>
        <v>0</v>
      </c>
      <c r="M39" s="7"/>
    </row>
    <row r="40" spans="1:13" x14ac:dyDescent="0.25">
      <c r="A40" s="5">
        <f t="shared" si="1"/>
        <v>1.0036999999999996</v>
      </c>
      <c r="B40" s="30" t="s">
        <v>108</v>
      </c>
      <c r="C40" s="49" t="s">
        <v>129</v>
      </c>
      <c r="D40" s="71"/>
      <c r="E40" s="7"/>
      <c r="F40" s="6"/>
      <c r="G40" s="8" t="s">
        <v>5</v>
      </c>
      <c r="H40" s="8">
        <f t="shared" si="0"/>
        <v>1</v>
      </c>
      <c r="I40" s="8">
        <f t="shared" si="0"/>
        <v>0</v>
      </c>
      <c r="J40" s="8">
        <f t="shared" si="0"/>
        <v>0</v>
      </c>
      <c r="K40" s="8">
        <f t="shared" si="0"/>
        <v>0</v>
      </c>
      <c r="L40" s="8">
        <f t="shared" si="0"/>
        <v>0</v>
      </c>
      <c r="M40" s="7"/>
    </row>
    <row r="41" spans="1:13" x14ac:dyDescent="0.25">
      <c r="A41" s="5">
        <f t="shared" si="1"/>
        <v>1.0037999999999996</v>
      </c>
      <c r="B41" s="31" t="s">
        <v>109</v>
      </c>
      <c r="C41" s="28">
        <v>1</v>
      </c>
      <c r="D41" s="72"/>
      <c r="E41" s="7"/>
      <c r="F41" s="6"/>
      <c r="G41" s="8" t="s">
        <v>5</v>
      </c>
      <c r="H41" s="8">
        <f t="shared" si="0"/>
        <v>1</v>
      </c>
      <c r="I41" s="8">
        <f t="shared" si="0"/>
        <v>0</v>
      </c>
      <c r="J41" s="8">
        <f t="shared" si="0"/>
        <v>0</v>
      </c>
      <c r="K41" s="8">
        <f t="shared" si="0"/>
        <v>0</v>
      </c>
      <c r="L41" s="8">
        <f t="shared" si="0"/>
        <v>0</v>
      </c>
      <c r="M41" s="7"/>
    </row>
    <row r="42" spans="1:13" x14ac:dyDescent="0.25">
      <c r="A42" s="5">
        <f t="shared" si="1"/>
        <v>1.0038999999999996</v>
      </c>
      <c r="B42" s="48" t="s">
        <v>130</v>
      </c>
      <c r="C42" s="42"/>
      <c r="D42" s="42"/>
      <c r="E42" s="7"/>
      <c r="F42" s="6"/>
      <c r="G42" s="8" t="s">
        <v>5</v>
      </c>
      <c r="H42" s="8">
        <f t="shared" si="0"/>
        <v>1</v>
      </c>
      <c r="I42" s="8">
        <f t="shared" si="0"/>
        <v>0</v>
      </c>
      <c r="J42" s="8">
        <f t="shared" si="0"/>
        <v>0</v>
      </c>
      <c r="K42" s="8">
        <f t="shared" si="0"/>
        <v>0</v>
      </c>
      <c r="L42" s="8">
        <f t="shared" si="0"/>
        <v>0</v>
      </c>
      <c r="M42" s="7"/>
    </row>
    <row r="43" spans="1:13" x14ac:dyDescent="0.25">
      <c r="A43" s="5">
        <f t="shared" si="1"/>
        <v>1.0039999999999996</v>
      </c>
      <c r="B43" s="6" t="s">
        <v>82</v>
      </c>
      <c r="C43" s="9" t="s">
        <v>131</v>
      </c>
      <c r="D43" s="70" t="s">
        <v>214</v>
      </c>
      <c r="E43" s="7"/>
      <c r="F43" s="6"/>
      <c r="G43" s="8" t="s">
        <v>5</v>
      </c>
      <c r="H43" s="8">
        <f t="shared" si="0"/>
        <v>1</v>
      </c>
      <c r="I43" s="8">
        <f t="shared" si="0"/>
        <v>0</v>
      </c>
      <c r="J43" s="8">
        <f t="shared" si="0"/>
        <v>0</v>
      </c>
      <c r="K43" s="8">
        <f t="shared" si="0"/>
        <v>0</v>
      </c>
      <c r="L43" s="8">
        <f t="shared" si="0"/>
        <v>0</v>
      </c>
      <c r="M43" s="7"/>
    </row>
    <row r="44" spans="1:13" x14ac:dyDescent="0.25">
      <c r="A44" s="5">
        <f t="shared" si="1"/>
        <v>1.0040999999999995</v>
      </c>
      <c r="B44" s="6" t="s">
        <v>136</v>
      </c>
      <c r="C44" s="9" t="s">
        <v>132</v>
      </c>
      <c r="D44" s="57"/>
      <c r="E44" s="7"/>
      <c r="F44" s="6"/>
      <c r="G44" s="8" t="s">
        <v>5</v>
      </c>
      <c r="H44" s="8">
        <f t="shared" si="0"/>
        <v>1</v>
      </c>
      <c r="I44" s="8">
        <f t="shared" si="0"/>
        <v>0</v>
      </c>
      <c r="J44" s="8">
        <f t="shared" si="0"/>
        <v>0</v>
      </c>
      <c r="K44" s="8">
        <f t="shared" si="0"/>
        <v>0</v>
      </c>
      <c r="L44" s="8">
        <f t="shared" si="0"/>
        <v>0</v>
      </c>
      <c r="M44" s="7"/>
    </row>
    <row r="45" spans="1:13" x14ac:dyDescent="0.25">
      <c r="A45" s="5">
        <f t="shared" si="1"/>
        <v>1.0041999999999995</v>
      </c>
      <c r="B45" s="6" t="s">
        <v>133</v>
      </c>
      <c r="C45" s="9" t="s">
        <v>134</v>
      </c>
      <c r="D45" s="58"/>
      <c r="E45" s="54"/>
      <c r="F45" s="6"/>
      <c r="G45" s="8" t="s">
        <v>5</v>
      </c>
      <c r="H45" s="8">
        <f t="shared" si="0"/>
        <v>1</v>
      </c>
      <c r="I45" s="8">
        <f t="shared" si="0"/>
        <v>0</v>
      </c>
      <c r="J45" s="8">
        <f t="shared" si="0"/>
        <v>0</v>
      </c>
      <c r="K45" s="8">
        <f t="shared" si="0"/>
        <v>0</v>
      </c>
      <c r="L45" s="8">
        <f t="shared" si="0"/>
        <v>0</v>
      </c>
      <c r="M45" s="7"/>
    </row>
    <row r="46" spans="1:13" x14ac:dyDescent="0.25">
      <c r="A46" s="5">
        <f t="shared" si="1"/>
        <v>1.0042999999999995</v>
      </c>
      <c r="B46" s="48" t="s">
        <v>135</v>
      </c>
      <c r="C46" s="42"/>
      <c r="D46" s="42"/>
      <c r="E46" s="54"/>
      <c r="F46" s="6"/>
      <c r="G46" s="8" t="s">
        <v>5</v>
      </c>
      <c r="H46" s="8">
        <f t="shared" si="0"/>
        <v>1</v>
      </c>
      <c r="I46" s="8">
        <f t="shared" si="0"/>
        <v>0</v>
      </c>
      <c r="J46" s="8">
        <f t="shared" si="0"/>
        <v>0</v>
      </c>
      <c r="K46" s="8">
        <f t="shared" si="0"/>
        <v>0</v>
      </c>
      <c r="L46" s="8">
        <f t="shared" si="0"/>
        <v>0</v>
      </c>
      <c r="M46" s="7"/>
    </row>
    <row r="47" spans="1:13" x14ac:dyDescent="0.25">
      <c r="A47" s="5">
        <f t="shared" si="1"/>
        <v>1.0043999999999995</v>
      </c>
      <c r="B47" s="6" t="s">
        <v>136</v>
      </c>
      <c r="C47" s="9" t="s">
        <v>47</v>
      </c>
      <c r="D47" s="56" t="s">
        <v>215</v>
      </c>
      <c r="E47" s="54"/>
      <c r="F47" s="6"/>
      <c r="G47" s="8" t="s">
        <v>5</v>
      </c>
      <c r="H47" s="8">
        <f t="shared" si="0"/>
        <v>1</v>
      </c>
      <c r="I47" s="8">
        <f t="shared" si="0"/>
        <v>0</v>
      </c>
      <c r="J47" s="8">
        <f t="shared" si="0"/>
        <v>0</v>
      </c>
      <c r="K47" s="8">
        <f t="shared" si="0"/>
        <v>0</v>
      </c>
      <c r="L47" s="8">
        <f t="shared" si="0"/>
        <v>0</v>
      </c>
      <c r="M47" s="7"/>
    </row>
    <row r="48" spans="1:13" x14ac:dyDescent="0.25">
      <c r="A48" s="5">
        <f t="shared" si="1"/>
        <v>1.0044999999999995</v>
      </c>
      <c r="B48" s="6" t="s">
        <v>137</v>
      </c>
      <c r="C48" s="9" t="s">
        <v>133</v>
      </c>
      <c r="D48" s="58"/>
      <c r="E48" s="54" t="s">
        <v>204</v>
      </c>
      <c r="F48" s="6"/>
      <c r="G48" s="8" t="s">
        <v>5</v>
      </c>
      <c r="H48" s="8">
        <f t="shared" si="0"/>
        <v>1</v>
      </c>
      <c r="I48" s="8">
        <f t="shared" si="0"/>
        <v>0</v>
      </c>
      <c r="J48" s="8">
        <f t="shared" si="0"/>
        <v>0</v>
      </c>
      <c r="K48" s="8">
        <f t="shared" si="0"/>
        <v>0</v>
      </c>
      <c r="L48" s="8">
        <f t="shared" si="0"/>
        <v>0</v>
      </c>
      <c r="M48" s="7"/>
    </row>
    <row r="49" spans="1:13" x14ac:dyDescent="0.25">
      <c r="A49" s="5">
        <f t="shared" si="1"/>
        <v>1.0045999999999995</v>
      </c>
      <c r="B49" s="48" t="s">
        <v>138</v>
      </c>
      <c r="C49" s="42"/>
      <c r="D49" s="42"/>
      <c r="E49" s="7"/>
      <c r="F49" s="6"/>
      <c r="G49" s="8" t="s">
        <v>5</v>
      </c>
      <c r="H49" s="8">
        <f t="shared" si="0"/>
        <v>1</v>
      </c>
      <c r="I49" s="8">
        <f t="shared" si="0"/>
        <v>0</v>
      </c>
      <c r="J49" s="8">
        <f t="shared" si="0"/>
        <v>0</v>
      </c>
      <c r="K49" s="8">
        <f t="shared" si="0"/>
        <v>0</v>
      </c>
      <c r="L49" s="8">
        <f t="shared" si="0"/>
        <v>0</v>
      </c>
      <c r="M49" s="7"/>
    </row>
    <row r="50" spans="1:13" x14ac:dyDescent="0.25">
      <c r="A50" s="5">
        <f t="shared" si="1"/>
        <v>1.0046999999999995</v>
      </c>
      <c r="B50" s="6" t="s">
        <v>139</v>
      </c>
      <c r="C50" s="9" t="s">
        <v>141</v>
      </c>
      <c r="D50" s="62" t="s">
        <v>215</v>
      </c>
      <c r="E50" s="7"/>
      <c r="F50" s="6"/>
      <c r="G50" s="8" t="s">
        <v>5</v>
      </c>
      <c r="H50" s="8">
        <f t="shared" si="0"/>
        <v>1</v>
      </c>
      <c r="I50" s="8">
        <f t="shared" si="0"/>
        <v>0</v>
      </c>
      <c r="J50" s="8">
        <f t="shared" si="0"/>
        <v>0</v>
      </c>
      <c r="K50" s="8">
        <f t="shared" si="0"/>
        <v>0</v>
      </c>
      <c r="L50" s="8">
        <f t="shared" si="0"/>
        <v>0</v>
      </c>
      <c r="M50" s="7"/>
    </row>
    <row r="51" spans="1:13" x14ac:dyDescent="0.25">
      <c r="A51" s="5">
        <f t="shared" si="1"/>
        <v>1.0047999999999995</v>
      </c>
      <c r="B51" s="6" t="s">
        <v>140</v>
      </c>
      <c r="C51" s="9"/>
      <c r="D51" s="63"/>
      <c r="E51" s="7"/>
      <c r="F51" s="6"/>
      <c r="G51" s="8" t="s">
        <v>5</v>
      </c>
      <c r="H51" s="8">
        <f t="shared" si="0"/>
        <v>1</v>
      </c>
      <c r="I51" s="8">
        <f t="shared" si="0"/>
        <v>0</v>
      </c>
      <c r="J51" s="8">
        <f t="shared" si="0"/>
        <v>0</v>
      </c>
      <c r="K51" s="8">
        <f t="shared" si="0"/>
        <v>0</v>
      </c>
      <c r="L51" s="8">
        <f t="shared" si="0"/>
        <v>0</v>
      </c>
      <c r="M51" s="7"/>
    </row>
    <row r="52" spans="1:13" s="20" customFormat="1" x14ac:dyDescent="0.25">
      <c r="A52" s="16">
        <v>2</v>
      </c>
      <c r="B52" s="17" t="s">
        <v>15</v>
      </c>
      <c r="C52" s="18"/>
      <c r="D52" s="18"/>
      <c r="E52" s="17"/>
      <c r="F52" s="17"/>
      <c r="G52" s="19"/>
      <c r="H52" s="19"/>
      <c r="I52" s="19"/>
      <c r="J52" s="19"/>
      <c r="K52" s="19"/>
      <c r="L52" s="19"/>
      <c r="M52" s="17"/>
    </row>
    <row r="53" spans="1:13" ht="25.5" x14ac:dyDescent="0.25">
      <c r="A53" s="5">
        <f t="shared" ref="A53:A110" si="2">A52+0.0001</f>
        <v>2.0001000000000002</v>
      </c>
      <c r="B53" s="6" t="s">
        <v>142</v>
      </c>
      <c r="C53" s="9" t="s">
        <v>16</v>
      </c>
      <c r="D53" s="56" t="s">
        <v>215</v>
      </c>
      <c r="E53" s="7"/>
      <c r="F53" s="6"/>
      <c r="G53" s="8" t="s">
        <v>5</v>
      </c>
      <c r="H53" s="8">
        <f t="shared" si="0"/>
        <v>1</v>
      </c>
      <c r="I53" s="8">
        <f t="shared" si="0"/>
        <v>0</v>
      </c>
      <c r="J53" s="8">
        <f t="shared" si="0"/>
        <v>0</v>
      </c>
      <c r="K53" s="8">
        <f t="shared" si="0"/>
        <v>0</v>
      </c>
      <c r="L53" s="8">
        <f t="shared" si="0"/>
        <v>0</v>
      </c>
      <c r="M53" s="7"/>
    </row>
    <row r="54" spans="1:13" x14ac:dyDescent="0.25">
      <c r="A54" s="5">
        <f t="shared" si="2"/>
        <v>2.0002000000000004</v>
      </c>
      <c r="B54" s="26" t="s">
        <v>17</v>
      </c>
      <c r="C54" s="9" t="s">
        <v>18</v>
      </c>
      <c r="D54" s="57"/>
      <c r="E54" s="7"/>
      <c r="F54" s="6"/>
      <c r="G54" s="8" t="s">
        <v>5</v>
      </c>
      <c r="H54" s="8">
        <f t="shared" ref="H54:L104" si="3">IF($G54=H$1,1,0)</f>
        <v>1</v>
      </c>
      <c r="I54" s="8">
        <f t="shared" si="3"/>
        <v>0</v>
      </c>
      <c r="J54" s="8">
        <f t="shared" si="3"/>
        <v>0</v>
      </c>
      <c r="K54" s="8">
        <f t="shared" si="3"/>
        <v>0</v>
      </c>
      <c r="L54" s="8">
        <f t="shared" si="3"/>
        <v>0</v>
      </c>
      <c r="M54" s="7"/>
    </row>
    <row r="55" spans="1:13" x14ac:dyDescent="0.25">
      <c r="A55" s="5">
        <f t="shared" si="2"/>
        <v>2.0003000000000006</v>
      </c>
      <c r="B55" s="26" t="s">
        <v>19</v>
      </c>
      <c r="C55" s="28" t="s">
        <v>20</v>
      </c>
      <c r="D55" s="57"/>
      <c r="E55" s="7"/>
      <c r="F55" s="6"/>
      <c r="G55" s="8" t="s">
        <v>5</v>
      </c>
      <c r="H55" s="8">
        <f t="shared" si="3"/>
        <v>1</v>
      </c>
      <c r="I55" s="8">
        <f t="shared" si="3"/>
        <v>0</v>
      </c>
      <c r="J55" s="8">
        <f t="shared" si="3"/>
        <v>0</v>
      </c>
      <c r="K55" s="8">
        <f t="shared" si="3"/>
        <v>0</v>
      </c>
      <c r="L55" s="8">
        <f t="shared" si="3"/>
        <v>0</v>
      </c>
      <c r="M55" s="7"/>
    </row>
    <row r="56" spans="1:13" x14ac:dyDescent="0.25">
      <c r="A56" s="5">
        <f>A54+0.0001</f>
        <v>2.0003000000000006</v>
      </c>
      <c r="B56" s="30"/>
      <c r="C56" s="29" t="s">
        <v>21</v>
      </c>
      <c r="D56" s="57"/>
      <c r="E56" s="7"/>
      <c r="F56" s="6"/>
      <c r="G56" s="8" t="s">
        <v>5</v>
      </c>
      <c r="H56" s="8">
        <f t="shared" si="3"/>
        <v>1</v>
      </c>
      <c r="I56" s="8">
        <f t="shared" si="3"/>
        <v>0</v>
      </c>
      <c r="J56" s="8">
        <f t="shared" si="3"/>
        <v>0</v>
      </c>
      <c r="K56" s="8">
        <f t="shared" si="3"/>
        <v>0</v>
      </c>
      <c r="L56" s="8">
        <f t="shared" si="3"/>
        <v>0</v>
      </c>
      <c r="M56" s="7"/>
    </row>
    <row r="57" spans="1:13" x14ac:dyDescent="0.25">
      <c r="A57" s="5">
        <f>A54+0.0001</f>
        <v>2.0003000000000006</v>
      </c>
      <c r="B57" s="30"/>
      <c r="C57" s="29" t="s">
        <v>22</v>
      </c>
      <c r="D57" s="57"/>
      <c r="E57" s="21"/>
      <c r="F57" s="6"/>
      <c r="G57" s="8" t="s">
        <v>5</v>
      </c>
      <c r="H57" s="8">
        <f t="shared" si="3"/>
        <v>1</v>
      </c>
      <c r="I57" s="8">
        <f t="shared" si="3"/>
        <v>0</v>
      </c>
      <c r="J57" s="8">
        <f t="shared" si="3"/>
        <v>0</v>
      </c>
      <c r="K57" s="8">
        <f t="shared" si="3"/>
        <v>0</v>
      </c>
      <c r="L57" s="8">
        <f t="shared" si="3"/>
        <v>0</v>
      </c>
      <c r="M57" s="7"/>
    </row>
    <row r="58" spans="1:13" x14ac:dyDescent="0.25">
      <c r="A58" s="5">
        <f t="shared" si="2"/>
        <v>2.0004000000000008</v>
      </c>
      <c r="B58" s="31"/>
      <c r="C58" s="29" t="s">
        <v>23</v>
      </c>
      <c r="D58" s="57"/>
      <c r="E58" s="7"/>
      <c r="F58" s="7"/>
      <c r="G58" s="8" t="s">
        <v>5</v>
      </c>
      <c r="H58" s="8">
        <f t="shared" si="3"/>
        <v>1</v>
      </c>
      <c r="I58" s="8">
        <f t="shared" si="3"/>
        <v>0</v>
      </c>
      <c r="J58" s="8">
        <f t="shared" si="3"/>
        <v>0</v>
      </c>
      <c r="K58" s="8">
        <f t="shared" si="3"/>
        <v>0</v>
      </c>
      <c r="L58" s="8">
        <f t="shared" si="3"/>
        <v>0</v>
      </c>
      <c r="M58" s="7"/>
    </row>
    <row r="59" spans="1:13" x14ac:dyDescent="0.25">
      <c r="A59" s="5">
        <f t="shared" si="2"/>
        <v>2.0005000000000011</v>
      </c>
      <c r="B59" s="27" t="s">
        <v>24</v>
      </c>
      <c r="C59" s="9" t="s">
        <v>18</v>
      </c>
      <c r="D59" s="57"/>
      <c r="E59" s="7"/>
      <c r="F59" s="7"/>
      <c r="G59" s="8" t="s">
        <v>5</v>
      </c>
      <c r="H59" s="8">
        <f t="shared" si="3"/>
        <v>1</v>
      </c>
      <c r="I59" s="8">
        <f t="shared" si="3"/>
        <v>0</v>
      </c>
      <c r="J59" s="8">
        <f t="shared" si="3"/>
        <v>0</v>
      </c>
      <c r="K59" s="8">
        <f t="shared" si="3"/>
        <v>0</v>
      </c>
      <c r="L59" s="8">
        <f t="shared" si="3"/>
        <v>0</v>
      </c>
      <c r="M59" s="7"/>
    </row>
    <row r="60" spans="1:13" x14ac:dyDescent="0.25">
      <c r="A60" s="5">
        <f t="shared" si="2"/>
        <v>2.0006000000000013</v>
      </c>
      <c r="B60" s="7" t="s">
        <v>25</v>
      </c>
      <c r="C60" s="6"/>
      <c r="D60" s="57"/>
      <c r="E60" s="7"/>
      <c r="F60" s="7"/>
      <c r="G60" s="8" t="s">
        <v>5</v>
      </c>
      <c r="H60" s="8">
        <f t="shared" si="3"/>
        <v>1</v>
      </c>
      <c r="I60" s="8">
        <f t="shared" si="3"/>
        <v>0</v>
      </c>
      <c r="J60" s="8">
        <f t="shared" si="3"/>
        <v>0</v>
      </c>
      <c r="K60" s="8">
        <f t="shared" si="3"/>
        <v>0</v>
      </c>
      <c r="L60" s="8">
        <f t="shared" si="3"/>
        <v>0</v>
      </c>
      <c r="M60" s="7"/>
    </row>
    <row r="61" spans="1:13" x14ac:dyDescent="0.25">
      <c r="A61" s="5">
        <f t="shared" si="2"/>
        <v>2.0007000000000015</v>
      </c>
      <c r="B61" s="7" t="s">
        <v>26</v>
      </c>
      <c r="C61" s="6" t="s">
        <v>27</v>
      </c>
      <c r="D61" s="57"/>
      <c r="E61" s="7"/>
      <c r="F61" s="7"/>
      <c r="G61" s="8" t="s">
        <v>5</v>
      </c>
      <c r="H61" s="8">
        <f t="shared" si="3"/>
        <v>1</v>
      </c>
      <c r="I61" s="8">
        <f t="shared" si="3"/>
        <v>0</v>
      </c>
      <c r="J61" s="8">
        <f t="shared" si="3"/>
        <v>0</v>
      </c>
      <c r="K61" s="8">
        <f t="shared" si="3"/>
        <v>0</v>
      </c>
      <c r="L61" s="8">
        <f t="shared" si="3"/>
        <v>0</v>
      </c>
      <c r="M61" s="7"/>
    </row>
    <row r="62" spans="1:13" x14ac:dyDescent="0.25">
      <c r="A62" s="5">
        <f t="shared" si="2"/>
        <v>2.0008000000000017</v>
      </c>
      <c r="B62" s="32" t="s">
        <v>17</v>
      </c>
      <c r="C62" s="6" t="s">
        <v>73</v>
      </c>
      <c r="D62" s="57"/>
      <c r="E62" s="7"/>
      <c r="F62" s="7"/>
      <c r="G62" s="8" t="s">
        <v>5</v>
      </c>
      <c r="H62" s="8">
        <f t="shared" si="3"/>
        <v>1</v>
      </c>
      <c r="I62" s="8">
        <f t="shared" si="3"/>
        <v>0</v>
      </c>
      <c r="J62" s="8">
        <f t="shared" si="3"/>
        <v>0</v>
      </c>
      <c r="K62" s="8">
        <f t="shared" si="3"/>
        <v>0</v>
      </c>
      <c r="L62" s="8">
        <f t="shared" si="3"/>
        <v>0</v>
      </c>
      <c r="M62" s="7"/>
    </row>
    <row r="63" spans="1:13" x14ac:dyDescent="0.25">
      <c r="A63" s="5">
        <f t="shared" si="2"/>
        <v>2.0009000000000019</v>
      </c>
      <c r="B63" s="33" t="s">
        <v>19</v>
      </c>
      <c r="C63" s="6" t="s">
        <v>28</v>
      </c>
      <c r="D63" s="57"/>
      <c r="E63" s="7"/>
      <c r="F63" s="7"/>
      <c r="G63" s="8" t="s">
        <v>5</v>
      </c>
      <c r="H63" s="8">
        <f t="shared" si="3"/>
        <v>1</v>
      </c>
      <c r="I63" s="8">
        <f t="shared" si="3"/>
        <v>0</v>
      </c>
      <c r="J63" s="8">
        <f t="shared" si="3"/>
        <v>0</v>
      </c>
      <c r="K63" s="8">
        <f t="shared" si="3"/>
        <v>0</v>
      </c>
      <c r="L63" s="8">
        <f t="shared" si="3"/>
        <v>0</v>
      </c>
      <c r="M63" s="7"/>
    </row>
    <row r="64" spans="1:13" x14ac:dyDescent="0.25">
      <c r="A64" s="5">
        <f t="shared" si="2"/>
        <v>2.0010000000000021</v>
      </c>
      <c r="B64" s="26" t="s">
        <v>29</v>
      </c>
      <c r="C64" s="25" t="s">
        <v>30</v>
      </c>
      <c r="D64" s="57"/>
      <c r="E64" s="7"/>
      <c r="F64" s="7"/>
      <c r="G64" s="8" t="s">
        <v>5</v>
      </c>
      <c r="H64" s="8">
        <f t="shared" si="3"/>
        <v>1</v>
      </c>
      <c r="I64" s="8">
        <f t="shared" si="3"/>
        <v>0</v>
      </c>
      <c r="J64" s="8">
        <f t="shared" si="3"/>
        <v>0</v>
      </c>
      <c r="K64" s="8">
        <f t="shared" si="3"/>
        <v>0</v>
      </c>
      <c r="L64" s="8">
        <f t="shared" si="3"/>
        <v>0</v>
      </c>
      <c r="M64" s="7"/>
    </row>
    <row r="65" spans="1:13" x14ac:dyDescent="0.25">
      <c r="A65" s="5">
        <f t="shared" si="2"/>
        <v>2.0011000000000023</v>
      </c>
      <c r="B65" s="30" t="s">
        <v>117</v>
      </c>
      <c r="C65" s="34" t="s">
        <v>118</v>
      </c>
      <c r="D65" s="57"/>
      <c r="E65" s="7"/>
      <c r="F65" s="7"/>
      <c r="G65" s="8" t="s">
        <v>5</v>
      </c>
      <c r="H65" s="8">
        <f t="shared" si="3"/>
        <v>1</v>
      </c>
      <c r="I65" s="8">
        <f t="shared" si="3"/>
        <v>0</v>
      </c>
      <c r="J65" s="8">
        <f t="shared" si="3"/>
        <v>0</v>
      </c>
      <c r="K65" s="8">
        <f t="shared" si="3"/>
        <v>0</v>
      </c>
      <c r="L65" s="8">
        <f t="shared" si="3"/>
        <v>0</v>
      </c>
      <c r="M65" s="7"/>
    </row>
    <row r="66" spans="1:13" x14ac:dyDescent="0.25">
      <c r="A66" s="5">
        <f t="shared" si="2"/>
        <v>2.0012000000000025</v>
      </c>
      <c r="B66" s="30"/>
      <c r="C66" s="34" t="s">
        <v>119</v>
      </c>
      <c r="D66" s="57"/>
      <c r="E66" s="7"/>
      <c r="F66" s="7"/>
      <c r="G66" s="8" t="s">
        <v>5</v>
      </c>
      <c r="H66" s="8">
        <f t="shared" si="3"/>
        <v>1</v>
      </c>
      <c r="I66" s="8">
        <f t="shared" si="3"/>
        <v>0</v>
      </c>
      <c r="J66" s="8">
        <f t="shared" si="3"/>
        <v>0</v>
      </c>
      <c r="K66" s="8">
        <f t="shared" si="3"/>
        <v>0</v>
      </c>
      <c r="L66" s="8">
        <f t="shared" si="3"/>
        <v>0</v>
      </c>
      <c r="M66" s="7"/>
    </row>
    <row r="67" spans="1:13" x14ac:dyDescent="0.25">
      <c r="A67" s="5">
        <f t="shared" si="2"/>
        <v>2.0013000000000027</v>
      </c>
      <c r="B67" s="30"/>
      <c r="C67" s="34" t="s">
        <v>120</v>
      </c>
      <c r="D67" s="57"/>
      <c r="E67" s="7"/>
      <c r="F67" s="7"/>
      <c r="G67" s="8" t="s">
        <v>5</v>
      </c>
      <c r="H67" s="8">
        <f t="shared" si="3"/>
        <v>1</v>
      </c>
      <c r="I67" s="8">
        <f t="shared" si="3"/>
        <v>0</v>
      </c>
      <c r="J67" s="8">
        <f t="shared" si="3"/>
        <v>0</v>
      </c>
      <c r="K67" s="8">
        <f t="shared" si="3"/>
        <v>0</v>
      </c>
      <c r="L67" s="8">
        <f t="shared" si="3"/>
        <v>0</v>
      </c>
      <c r="M67" s="7"/>
    </row>
    <row r="68" spans="1:13" x14ac:dyDescent="0.25">
      <c r="A68" s="5">
        <f t="shared" si="2"/>
        <v>2.001400000000003</v>
      </c>
      <c r="B68" s="30"/>
      <c r="C68" s="34" t="s">
        <v>121</v>
      </c>
      <c r="D68" s="57"/>
      <c r="E68" s="7"/>
      <c r="F68" s="7"/>
      <c r="G68" s="8" t="s">
        <v>5</v>
      </c>
      <c r="H68" s="8">
        <f t="shared" si="3"/>
        <v>1</v>
      </c>
      <c r="I68" s="8">
        <f t="shared" si="3"/>
        <v>0</v>
      </c>
      <c r="J68" s="8">
        <f t="shared" si="3"/>
        <v>0</v>
      </c>
      <c r="K68" s="8">
        <f t="shared" si="3"/>
        <v>0</v>
      </c>
      <c r="L68" s="8">
        <f t="shared" si="3"/>
        <v>0</v>
      </c>
      <c r="M68" s="7"/>
    </row>
    <row r="69" spans="1:13" x14ac:dyDescent="0.25">
      <c r="A69" s="5">
        <f t="shared" si="2"/>
        <v>2.0015000000000032</v>
      </c>
      <c r="B69" s="31"/>
      <c r="C69" s="34" t="s">
        <v>122</v>
      </c>
      <c r="D69" s="58"/>
      <c r="E69" s="7"/>
      <c r="F69" s="7"/>
      <c r="G69" s="8" t="s">
        <v>5</v>
      </c>
      <c r="H69" s="8">
        <f t="shared" si="3"/>
        <v>1</v>
      </c>
      <c r="I69" s="8">
        <f t="shared" si="3"/>
        <v>0</v>
      </c>
      <c r="J69" s="8">
        <f t="shared" si="3"/>
        <v>0</v>
      </c>
      <c r="K69" s="8">
        <f t="shared" si="3"/>
        <v>0</v>
      </c>
      <c r="L69" s="8">
        <f t="shared" si="3"/>
        <v>0</v>
      </c>
      <c r="M69" s="7"/>
    </row>
    <row r="70" spans="1:13" x14ac:dyDescent="0.25">
      <c r="A70" s="5">
        <f t="shared" si="2"/>
        <v>2.0016000000000034</v>
      </c>
      <c r="B70" s="41" t="s">
        <v>94</v>
      </c>
      <c r="C70" s="42"/>
      <c r="D70" s="42"/>
      <c r="E70" s="7"/>
      <c r="F70" s="7"/>
      <c r="G70" s="8" t="s">
        <v>5</v>
      </c>
      <c r="H70" s="8">
        <f t="shared" si="3"/>
        <v>1</v>
      </c>
      <c r="I70" s="8">
        <f t="shared" si="3"/>
        <v>0</v>
      </c>
      <c r="J70" s="8">
        <f t="shared" si="3"/>
        <v>0</v>
      </c>
      <c r="K70" s="8">
        <f t="shared" si="3"/>
        <v>0</v>
      </c>
      <c r="L70" s="8">
        <f t="shared" si="3"/>
        <v>0</v>
      </c>
      <c r="M70" s="7"/>
    </row>
    <row r="71" spans="1:13" x14ac:dyDescent="0.25">
      <c r="A71" s="5">
        <f t="shared" si="2"/>
        <v>2.0017000000000036</v>
      </c>
      <c r="B71" s="31" t="s">
        <v>17</v>
      </c>
      <c r="C71" s="47" t="s">
        <v>123</v>
      </c>
      <c r="D71" s="73" t="s">
        <v>215</v>
      </c>
      <c r="E71" s="7"/>
      <c r="F71" s="7"/>
      <c r="G71" s="8" t="s">
        <v>5</v>
      </c>
      <c r="H71" s="8">
        <f t="shared" si="3"/>
        <v>1</v>
      </c>
      <c r="I71" s="8">
        <f t="shared" si="3"/>
        <v>0</v>
      </c>
      <c r="J71" s="8">
        <f t="shared" si="3"/>
        <v>0</v>
      </c>
      <c r="K71" s="8">
        <f t="shared" si="3"/>
        <v>0</v>
      </c>
      <c r="L71" s="8">
        <f t="shared" si="3"/>
        <v>0</v>
      </c>
      <c r="M71" s="7"/>
    </row>
    <row r="72" spans="1:13" x14ac:dyDescent="0.25">
      <c r="A72" s="5">
        <f t="shared" si="2"/>
        <v>2.0018000000000038</v>
      </c>
      <c r="B72" s="31" t="s">
        <v>19</v>
      </c>
      <c r="C72" s="47" t="s">
        <v>21</v>
      </c>
      <c r="D72" s="74"/>
      <c r="E72" s="7"/>
      <c r="F72" s="7"/>
      <c r="G72" s="8" t="s">
        <v>5</v>
      </c>
      <c r="H72" s="8">
        <f t="shared" si="3"/>
        <v>1</v>
      </c>
      <c r="I72" s="8">
        <f t="shared" si="3"/>
        <v>0</v>
      </c>
      <c r="J72" s="8">
        <f t="shared" si="3"/>
        <v>0</v>
      </c>
      <c r="K72" s="8">
        <f t="shared" si="3"/>
        <v>0</v>
      </c>
      <c r="L72" s="8">
        <f t="shared" si="3"/>
        <v>0</v>
      </c>
      <c r="M72" s="7"/>
    </row>
    <row r="73" spans="1:13" x14ac:dyDescent="0.25">
      <c r="A73" s="5">
        <f t="shared" si="2"/>
        <v>2.001900000000004</v>
      </c>
      <c r="B73" s="31" t="s">
        <v>32</v>
      </c>
      <c r="C73" s="47" t="s">
        <v>124</v>
      </c>
      <c r="D73" s="74"/>
      <c r="E73" s="7"/>
      <c r="F73" s="7"/>
      <c r="G73" s="8" t="s">
        <v>5</v>
      </c>
      <c r="H73" s="8">
        <f t="shared" si="3"/>
        <v>1</v>
      </c>
      <c r="I73" s="8">
        <f t="shared" si="3"/>
        <v>0</v>
      </c>
      <c r="J73" s="8">
        <f t="shared" si="3"/>
        <v>0</v>
      </c>
      <c r="K73" s="8">
        <f t="shared" si="3"/>
        <v>0</v>
      </c>
      <c r="L73" s="8">
        <f t="shared" si="3"/>
        <v>0</v>
      </c>
      <c r="M73" s="7"/>
    </row>
    <row r="74" spans="1:13" x14ac:dyDescent="0.25">
      <c r="A74" s="5">
        <f t="shared" si="2"/>
        <v>2.0020000000000042</v>
      </c>
      <c r="B74" s="31" t="s">
        <v>76</v>
      </c>
      <c r="C74" s="47" t="s">
        <v>89</v>
      </c>
      <c r="D74" s="74"/>
      <c r="E74" s="7"/>
      <c r="F74" s="7"/>
      <c r="G74" s="8" t="s">
        <v>5</v>
      </c>
      <c r="H74" s="8">
        <f t="shared" si="3"/>
        <v>1</v>
      </c>
      <c r="I74" s="8">
        <f t="shared" si="3"/>
        <v>0</v>
      </c>
      <c r="J74" s="8">
        <f t="shared" si="3"/>
        <v>0</v>
      </c>
      <c r="K74" s="8">
        <f t="shared" si="3"/>
        <v>0</v>
      </c>
      <c r="L74" s="8">
        <f t="shared" si="3"/>
        <v>0</v>
      </c>
      <c r="M74" s="7"/>
    </row>
    <row r="75" spans="1:13" x14ac:dyDescent="0.25">
      <c r="A75" s="5">
        <f t="shared" si="2"/>
        <v>2.0021000000000044</v>
      </c>
      <c r="B75" s="31" t="s">
        <v>77</v>
      </c>
      <c r="C75" s="47" t="s">
        <v>90</v>
      </c>
      <c r="D75" s="74"/>
      <c r="E75" s="7"/>
      <c r="F75" s="7"/>
      <c r="G75" s="8" t="s">
        <v>5</v>
      </c>
      <c r="H75" s="8">
        <f t="shared" si="3"/>
        <v>1</v>
      </c>
      <c r="I75" s="8">
        <f t="shared" si="3"/>
        <v>0</v>
      </c>
      <c r="J75" s="8">
        <f t="shared" si="3"/>
        <v>0</v>
      </c>
      <c r="K75" s="8">
        <f t="shared" si="3"/>
        <v>0</v>
      </c>
      <c r="L75" s="8">
        <f t="shared" si="3"/>
        <v>0</v>
      </c>
      <c r="M75" s="7"/>
    </row>
    <row r="76" spans="1:13" x14ac:dyDescent="0.25">
      <c r="A76" s="5">
        <f t="shared" si="2"/>
        <v>2.0022000000000046</v>
      </c>
      <c r="B76" s="31" t="s">
        <v>78</v>
      </c>
      <c r="C76" s="47" t="s">
        <v>89</v>
      </c>
      <c r="D76" s="74"/>
      <c r="E76" s="7"/>
      <c r="F76" s="7"/>
      <c r="G76" s="8" t="s">
        <v>5</v>
      </c>
      <c r="H76" s="8">
        <f t="shared" si="3"/>
        <v>1</v>
      </c>
      <c r="I76" s="8">
        <f t="shared" si="3"/>
        <v>0</v>
      </c>
      <c r="J76" s="8">
        <f t="shared" si="3"/>
        <v>0</v>
      </c>
      <c r="K76" s="8">
        <f t="shared" si="3"/>
        <v>0</v>
      </c>
      <c r="L76" s="8">
        <f t="shared" si="3"/>
        <v>0</v>
      </c>
      <c r="M76" s="7"/>
    </row>
    <row r="77" spans="1:13" x14ac:dyDescent="0.25">
      <c r="A77" s="5">
        <f t="shared" si="2"/>
        <v>2.0023000000000049</v>
      </c>
      <c r="B77" s="31" t="s">
        <v>79</v>
      </c>
      <c r="C77" s="47" t="s">
        <v>84</v>
      </c>
      <c r="D77" s="74"/>
      <c r="E77" s="7"/>
      <c r="F77" s="7"/>
      <c r="G77" s="8" t="s">
        <v>5</v>
      </c>
      <c r="H77" s="8">
        <f t="shared" si="3"/>
        <v>1</v>
      </c>
      <c r="I77" s="8">
        <f t="shared" si="3"/>
        <v>0</v>
      </c>
      <c r="J77" s="8">
        <f t="shared" si="3"/>
        <v>0</v>
      </c>
      <c r="K77" s="8">
        <f t="shared" si="3"/>
        <v>0</v>
      </c>
      <c r="L77" s="8">
        <f t="shared" si="3"/>
        <v>0</v>
      </c>
      <c r="M77" s="7"/>
    </row>
    <row r="78" spans="1:13" x14ac:dyDescent="0.25">
      <c r="A78" s="5">
        <f t="shared" si="2"/>
        <v>2.0024000000000051</v>
      </c>
      <c r="B78" s="31" t="s">
        <v>80</v>
      </c>
      <c r="C78" s="47" t="s">
        <v>91</v>
      </c>
      <c r="D78" s="74"/>
      <c r="E78" s="7"/>
      <c r="F78" s="7"/>
      <c r="G78" s="8" t="s">
        <v>5</v>
      </c>
      <c r="H78" s="8">
        <f t="shared" si="3"/>
        <v>1</v>
      </c>
      <c r="I78" s="8">
        <f t="shared" si="3"/>
        <v>0</v>
      </c>
      <c r="J78" s="8">
        <f t="shared" si="3"/>
        <v>0</v>
      </c>
      <c r="K78" s="8">
        <f t="shared" si="3"/>
        <v>0</v>
      </c>
      <c r="L78" s="8">
        <f t="shared" si="3"/>
        <v>0</v>
      </c>
      <c r="M78" s="7"/>
    </row>
    <row r="79" spans="1:13" x14ac:dyDescent="0.25">
      <c r="A79" s="5">
        <f t="shared" si="2"/>
        <v>2.0025000000000053</v>
      </c>
      <c r="B79" s="31" t="s">
        <v>81</v>
      </c>
      <c r="C79" s="47" t="s">
        <v>92</v>
      </c>
      <c r="D79" s="75"/>
      <c r="E79" s="7"/>
      <c r="F79" s="7"/>
      <c r="G79" s="8" t="s">
        <v>5</v>
      </c>
      <c r="H79" s="8">
        <f t="shared" si="3"/>
        <v>1</v>
      </c>
      <c r="I79" s="8">
        <f t="shared" si="3"/>
        <v>0</v>
      </c>
      <c r="J79" s="8">
        <f t="shared" si="3"/>
        <v>0</v>
      </c>
      <c r="K79" s="8">
        <f t="shared" si="3"/>
        <v>0</v>
      </c>
      <c r="L79" s="8">
        <f t="shared" si="3"/>
        <v>0</v>
      </c>
      <c r="M79" s="7"/>
    </row>
    <row r="80" spans="1:13" x14ac:dyDescent="0.25">
      <c r="A80" s="5">
        <f t="shared" si="2"/>
        <v>2.0026000000000055</v>
      </c>
      <c r="B80" s="48" t="s">
        <v>95</v>
      </c>
      <c r="C80" s="42"/>
      <c r="D80" s="42"/>
      <c r="E80" s="7"/>
      <c r="F80" s="7"/>
      <c r="G80" s="8" t="s">
        <v>5</v>
      </c>
      <c r="H80" s="8">
        <f t="shared" si="3"/>
        <v>1</v>
      </c>
      <c r="I80" s="8">
        <f t="shared" si="3"/>
        <v>0</v>
      </c>
      <c r="J80" s="8">
        <f t="shared" si="3"/>
        <v>0</v>
      </c>
      <c r="K80" s="8">
        <f t="shared" si="3"/>
        <v>0</v>
      </c>
      <c r="L80" s="8">
        <f t="shared" si="3"/>
        <v>0</v>
      </c>
      <c r="M80" s="7"/>
    </row>
    <row r="81" spans="1:13" x14ac:dyDescent="0.25">
      <c r="A81" s="5">
        <f t="shared" si="2"/>
        <v>2.0027000000000057</v>
      </c>
      <c r="B81" s="26" t="s">
        <v>96</v>
      </c>
      <c r="C81" s="47"/>
      <c r="D81" s="70" t="s">
        <v>215</v>
      </c>
      <c r="E81" s="7"/>
      <c r="F81" s="7"/>
      <c r="G81" s="8" t="s">
        <v>5</v>
      </c>
      <c r="H81" s="8">
        <f t="shared" si="3"/>
        <v>1</v>
      </c>
      <c r="I81" s="8">
        <f t="shared" si="3"/>
        <v>0</v>
      </c>
      <c r="J81" s="8">
        <f t="shared" si="3"/>
        <v>0</v>
      </c>
      <c r="K81" s="8">
        <f t="shared" si="3"/>
        <v>0</v>
      </c>
      <c r="L81" s="8">
        <f t="shared" si="3"/>
        <v>0</v>
      </c>
      <c r="M81" s="7"/>
    </row>
    <row r="82" spans="1:13" x14ac:dyDescent="0.25">
      <c r="A82" s="5">
        <f t="shared" si="2"/>
        <v>2.0028000000000059</v>
      </c>
      <c r="B82" s="30" t="s">
        <v>97</v>
      </c>
      <c r="C82" s="28" t="s">
        <v>125</v>
      </c>
      <c r="D82" s="71"/>
      <c r="E82" s="7"/>
      <c r="F82" s="7"/>
      <c r="G82" s="8" t="s">
        <v>5</v>
      </c>
      <c r="H82" s="8">
        <f t="shared" si="3"/>
        <v>1</v>
      </c>
      <c r="I82" s="8">
        <f t="shared" si="3"/>
        <v>0</v>
      </c>
      <c r="J82" s="8">
        <f t="shared" si="3"/>
        <v>0</v>
      </c>
      <c r="K82" s="8">
        <f t="shared" si="3"/>
        <v>0</v>
      </c>
      <c r="L82" s="8">
        <f t="shared" si="3"/>
        <v>0</v>
      </c>
      <c r="M82" s="7"/>
    </row>
    <row r="83" spans="1:13" x14ac:dyDescent="0.25">
      <c r="A83" s="5">
        <f t="shared" si="2"/>
        <v>2.0029000000000061</v>
      </c>
      <c r="B83" s="30" t="s">
        <v>98</v>
      </c>
      <c r="C83" s="28" t="s">
        <v>126</v>
      </c>
      <c r="D83" s="71"/>
      <c r="E83" s="7"/>
      <c r="F83" s="7"/>
      <c r="G83" s="8" t="s">
        <v>5</v>
      </c>
      <c r="H83" s="8">
        <f t="shared" si="3"/>
        <v>1</v>
      </c>
      <c r="I83" s="8">
        <f t="shared" si="3"/>
        <v>0</v>
      </c>
      <c r="J83" s="8">
        <f t="shared" si="3"/>
        <v>0</v>
      </c>
      <c r="K83" s="8">
        <f t="shared" si="3"/>
        <v>0</v>
      </c>
      <c r="L83" s="8">
        <f t="shared" si="3"/>
        <v>0</v>
      </c>
      <c r="M83" s="7"/>
    </row>
    <row r="84" spans="1:13" x14ac:dyDescent="0.25">
      <c r="A84" s="5">
        <f t="shared" si="2"/>
        <v>2.0030000000000063</v>
      </c>
      <c r="B84" s="26" t="s">
        <v>101</v>
      </c>
      <c r="C84" s="28"/>
      <c r="D84" s="71"/>
      <c r="E84" s="7"/>
      <c r="F84" s="7"/>
      <c r="G84" s="8" t="s">
        <v>5</v>
      </c>
      <c r="H84" s="8">
        <f t="shared" si="3"/>
        <v>1</v>
      </c>
      <c r="I84" s="8">
        <f t="shared" si="3"/>
        <v>0</v>
      </c>
      <c r="J84" s="8">
        <f t="shared" si="3"/>
        <v>0</v>
      </c>
      <c r="K84" s="8">
        <f t="shared" si="3"/>
        <v>0</v>
      </c>
      <c r="L84" s="8">
        <f t="shared" si="3"/>
        <v>0</v>
      </c>
      <c r="M84" s="7"/>
    </row>
    <row r="85" spans="1:13" x14ac:dyDescent="0.25">
      <c r="A85" s="5">
        <f t="shared" si="2"/>
        <v>2.0031000000000065</v>
      </c>
      <c r="B85" s="30" t="s">
        <v>102</v>
      </c>
      <c r="C85" s="28" t="s">
        <v>126</v>
      </c>
      <c r="D85" s="71"/>
      <c r="E85" s="7"/>
      <c r="F85" s="7"/>
      <c r="G85" s="8" t="s">
        <v>5</v>
      </c>
      <c r="H85" s="8">
        <f t="shared" si="3"/>
        <v>1</v>
      </c>
      <c r="I85" s="8">
        <f t="shared" si="3"/>
        <v>0</v>
      </c>
      <c r="J85" s="8">
        <f t="shared" si="3"/>
        <v>0</v>
      </c>
      <c r="K85" s="8">
        <f t="shared" si="3"/>
        <v>0</v>
      </c>
      <c r="L85" s="8">
        <f t="shared" si="3"/>
        <v>0</v>
      </c>
      <c r="M85" s="7"/>
    </row>
    <row r="86" spans="1:13" x14ac:dyDescent="0.25">
      <c r="A86" s="5">
        <f t="shared" si="2"/>
        <v>2.0032000000000068</v>
      </c>
      <c r="B86" s="30" t="s">
        <v>103</v>
      </c>
      <c r="C86" s="49" t="s">
        <v>127</v>
      </c>
      <c r="D86" s="71"/>
      <c r="E86" s="7"/>
      <c r="F86" s="7"/>
      <c r="G86" s="8" t="s">
        <v>5</v>
      </c>
      <c r="H86" s="8">
        <f t="shared" si="3"/>
        <v>1</v>
      </c>
      <c r="I86" s="8">
        <f t="shared" si="3"/>
        <v>0</v>
      </c>
      <c r="J86" s="8">
        <f t="shared" si="3"/>
        <v>0</v>
      </c>
      <c r="K86" s="8">
        <f t="shared" si="3"/>
        <v>0</v>
      </c>
      <c r="L86" s="8">
        <f t="shared" si="3"/>
        <v>0</v>
      </c>
      <c r="M86" s="7"/>
    </row>
    <row r="87" spans="1:13" x14ac:dyDescent="0.25">
      <c r="A87" s="5">
        <f t="shared" si="2"/>
        <v>2.003300000000007</v>
      </c>
      <c r="B87" s="30" t="s">
        <v>104</v>
      </c>
      <c r="C87" s="28" t="s">
        <v>128</v>
      </c>
      <c r="D87" s="71"/>
      <c r="E87" s="7"/>
      <c r="F87" s="7"/>
      <c r="G87" s="8" t="s">
        <v>5</v>
      </c>
      <c r="H87" s="8">
        <f t="shared" si="3"/>
        <v>1</v>
      </c>
      <c r="I87" s="8">
        <f t="shared" si="3"/>
        <v>0</v>
      </c>
      <c r="J87" s="8">
        <f t="shared" si="3"/>
        <v>0</v>
      </c>
      <c r="K87" s="8">
        <f t="shared" si="3"/>
        <v>0</v>
      </c>
      <c r="L87" s="8">
        <f t="shared" si="3"/>
        <v>0</v>
      </c>
      <c r="M87" s="7"/>
    </row>
    <row r="88" spans="1:13" x14ac:dyDescent="0.25">
      <c r="A88" s="5">
        <f t="shared" si="2"/>
        <v>2.0034000000000072</v>
      </c>
      <c r="B88" s="26" t="s">
        <v>203</v>
      </c>
      <c r="C88" s="28"/>
      <c r="D88" s="71"/>
      <c r="E88" s="7"/>
      <c r="F88" s="7"/>
      <c r="G88" s="8" t="s">
        <v>5</v>
      </c>
      <c r="H88" s="8">
        <f t="shared" si="3"/>
        <v>1</v>
      </c>
      <c r="I88" s="8">
        <f t="shared" si="3"/>
        <v>0</v>
      </c>
      <c r="J88" s="8">
        <f t="shared" si="3"/>
        <v>0</v>
      </c>
      <c r="K88" s="8">
        <f t="shared" si="3"/>
        <v>0</v>
      </c>
      <c r="L88" s="8">
        <f t="shared" si="3"/>
        <v>0</v>
      </c>
      <c r="M88" s="7"/>
    </row>
    <row r="89" spans="1:13" x14ac:dyDescent="0.25">
      <c r="A89" s="5">
        <f t="shared" si="2"/>
        <v>2.0035000000000074</v>
      </c>
      <c r="B89" s="30" t="s">
        <v>107</v>
      </c>
      <c r="C89" s="28" t="s">
        <v>126</v>
      </c>
      <c r="D89" s="71"/>
      <c r="E89" s="7"/>
      <c r="F89" s="7"/>
      <c r="G89" s="8" t="s">
        <v>5</v>
      </c>
      <c r="H89" s="8">
        <f t="shared" si="3"/>
        <v>1</v>
      </c>
      <c r="I89" s="8">
        <f t="shared" si="3"/>
        <v>0</v>
      </c>
      <c r="J89" s="8">
        <f t="shared" si="3"/>
        <v>0</v>
      </c>
      <c r="K89" s="8">
        <f t="shared" si="3"/>
        <v>0</v>
      </c>
      <c r="L89" s="8">
        <f t="shared" si="3"/>
        <v>0</v>
      </c>
      <c r="M89" s="7"/>
    </row>
    <row r="90" spans="1:13" x14ac:dyDescent="0.25">
      <c r="A90" s="5">
        <f t="shared" si="2"/>
        <v>2.0036000000000076</v>
      </c>
      <c r="B90" s="30" t="s">
        <v>108</v>
      </c>
      <c r="C90" s="49" t="s">
        <v>129</v>
      </c>
      <c r="D90" s="71"/>
      <c r="E90" s="7"/>
      <c r="F90" s="7"/>
      <c r="G90" s="8" t="s">
        <v>5</v>
      </c>
      <c r="H90" s="8">
        <f t="shared" si="3"/>
        <v>1</v>
      </c>
      <c r="I90" s="8">
        <f t="shared" si="3"/>
        <v>0</v>
      </c>
      <c r="J90" s="8">
        <f t="shared" si="3"/>
        <v>0</v>
      </c>
      <c r="K90" s="8">
        <f t="shared" si="3"/>
        <v>0</v>
      </c>
      <c r="L90" s="8">
        <f t="shared" si="3"/>
        <v>0</v>
      </c>
      <c r="M90" s="7"/>
    </row>
    <row r="91" spans="1:13" x14ac:dyDescent="0.25">
      <c r="A91" s="5">
        <f t="shared" si="2"/>
        <v>2.0037000000000078</v>
      </c>
      <c r="B91" s="31" t="s">
        <v>109</v>
      </c>
      <c r="C91" s="28">
        <v>1</v>
      </c>
      <c r="D91" s="72"/>
      <c r="E91" s="7"/>
      <c r="F91" s="7"/>
      <c r="G91" s="8" t="s">
        <v>5</v>
      </c>
      <c r="H91" s="8">
        <f t="shared" si="3"/>
        <v>1</v>
      </c>
      <c r="I91" s="8">
        <f t="shared" si="3"/>
        <v>0</v>
      </c>
      <c r="J91" s="8">
        <f t="shared" si="3"/>
        <v>0</v>
      </c>
      <c r="K91" s="8">
        <f t="shared" si="3"/>
        <v>0</v>
      </c>
      <c r="L91" s="8">
        <f t="shared" si="3"/>
        <v>0</v>
      </c>
      <c r="M91" s="7"/>
    </row>
    <row r="92" spans="1:13" x14ac:dyDescent="0.25">
      <c r="A92" s="5">
        <f t="shared" si="2"/>
        <v>2.003800000000008</v>
      </c>
      <c r="B92" s="48" t="s">
        <v>130</v>
      </c>
      <c r="C92" s="42"/>
      <c r="D92" s="42"/>
      <c r="E92" s="7"/>
      <c r="F92" s="7"/>
      <c r="G92" s="8" t="s">
        <v>5</v>
      </c>
      <c r="H92" s="8">
        <f t="shared" si="3"/>
        <v>1</v>
      </c>
      <c r="I92" s="8">
        <f t="shared" si="3"/>
        <v>0</v>
      </c>
      <c r="J92" s="8">
        <f t="shared" si="3"/>
        <v>0</v>
      </c>
      <c r="K92" s="8">
        <f t="shared" si="3"/>
        <v>0</v>
      </c>
      <c r="L92" s="8">
        <f t="shared" si="3"/>
        <v>0</v>
      </c>
      <c r="M92" s="7"/>
    </row>
    <row r="93" spans="1:13" x14ac:dyDescent="0.25">
      <c r="A93" s="5">
        <f t="shared" si="2"/>
        <v>2.0039000000000082</v>
      </c>
      <c r="B93" s="6" t="s">
        <v>82</v>
      </c>
      <c r="C93" s="9" t="s">
        <v>131</v>
      </c>
      <c r="D93" s="56" t="s">
        <v>215</v>
      </c>
      <c r="E93" s="7"/>
      <c r="F93" s="7"/>
      <c r="G93" s="8" t="s">
        <v>8</v>
      </c>
      <c r="H93" s="8">
        <f t="shared" si="3"/>
        <v>0</v>
      </c>
      <c r="I93" s="8">
        <f t="shared" si="3"/>
        <v>0</v>
      </c>
      <c r="J93" s="8">
        <f t="shared" si="3"/>
        <v>0</v>
      </c>
      <c r="K93" s="8">
        <f t="shared" si="3"/>
        <v>0</v>
      </c>
      <c r="L93" s="8">
        <f t="shared" si="3"/>
        <v>1</v>
      </c>
      <c r="M93" s="7"/>
    </row>
    <row r="94" spans="1:13" x14ac:dyDescent="0.25">
      <c r="A94" s="5">
        <f t="shared" si="2"/>
        <v>2.0040000000000084</v>
      </c>
      <c r="B94" s="6"/>
      <c r="C94" s="9" t="s">
        <v>132</v>
      </c>
      <c r="D94" s="57"/>
      <c r="E94" s="7"/>
      <c r="F94" s="7"/>
      <c r="G94" s="8" t="s">
        <v>8</v>
      </c>
      <c r="H94" s="8">
        <f t="shared" si="3"/>
        <v>0</v>
      </c>
      <c r="I94" s="8">
        <f t="shared" si="3"/>
        <v>0</v>
      </c>
      <c r="J94" s="8">
        <f t="shared" si="3"/>
        <v>0</v>
      </c>
      <c r="K94" s="8">
        <f t="shared" si="3"/>
        <v>0</v>
      </c>
      <c r="L94" s="8">
        <f t="shared" si="3"/>
        <v>1</v>
      </c>
      <c r="M94" s="7"/>
    </row>
    <row r="95" spans="1:13" x14ac:dyDescent="0.25">
      <c r="A95" s="5">
        <f t="shared" si="2"/>
        <v>2.0041000000000087</v>
      </c>
      <c r="B95" s="26" t="s">
        <v>133</v>
      </c>
      <c r="C95" s="9" t="s">
        <v>134</v>
      </c>
      <c r="D95" s="57"/>
      <c r="E95" s="7" t="s">
        <v>205</v>
      </c>
      <c r="F95" s="7"/>
      <c r="G95" s="8" t="s">
        <v>8</v>
      </c>
      <c r="H95" s="8">
        <f t="shared" si="3"/>
        <v>0</v>
      </c>
      <c r="I95" s="8">
        <f t="shared" si="3"/>
        <v>0</v>
      </c>
      <c r="J95" s="8">
        <f t="shared" si="3"/>
        <v>0</v>
      </c>
      <c r="K95" s="8">
        <f t="shared" si="3"/>
        <v>0</v>
      </c>
      <c r="L95" s="8">
        <f t="shared" si="3"/>
        <v>1</v>
      </c>
      <c r="M95" s="7"/>
    </row>
    <row r="96" spans="1:13" x14ac:dyDescent="0.25">
      <c r="A96" s="5">
        <f t="shared" si="2"/>
        <v>2.0042000000000089</v>
      </c>
      <c r="B96" s="26" t="s">
        <v>143</v>
      </c>
      <c r="C96" s="28" t="s">
        <v>144</v>
      </c>
      <c r="D96" s="57"/>
      <c r="E96" s="7"/>
      <c r="F96" s="7"/>
      <c r="G96" s="8" t="s">
        <v>8</v>
      </c>
      <c r="H96" s="8">
        <f t="shared" si="3"/>
        <v>0</v>
      </c>
      <c r="I96" s="8">
        <f t="shared" si="3"/>
        <v>0</v>
      </c>
      <c r="J96" s="8">
        <f t="shared" si="3"/>
        <v>0</v>
      </c>
      <c r="K96" s="8">
        <f t="shared" si="3"/>
        <v>0</v>
      </c>
      <c r="L96" s="8">
        <f t="shared" si="3"/>
        <v>1</v>
      </c>
      <c r="M96" s="7"/>
    </row>
    <row r="97" spans="1:13" x14ac:dyDescent="0.25">
      <c r="A97" s="5">
        <f t="shared" si="2"/>
        <v>2.0043000000000091</v>
      </c>
      <c r="B97" s="30"/>
      <c r="C97" s="28" t="s">
        <v>145</v>
      </c>
      <c r="D97" s="57"/>
      <c r="E97" s="7"/>
      <c r="F97" s="7"/>
      <c r="G97" s="8" t="s">
        <v>8</v>
      </c>
      <c r="H97" s="8">
        <f t="shared" si="3"/>
        <v>0</v>
      </c>
      <c r="I97" s="8">
        <f t="shared" si="3"/>
        <v>0</v>
      </c>
      <c r="J97" s="8">
        <f t="shared" si="3"/>
        <v>0</v>
      </c>
      <c r="K97" s="8">
        <f t="shared" si="3"/>
        <v>0</v>
      </c>
      <c r="L97" s="8">
        <f t="shared" si="3"/>
        <v>1</v>
      </c>
      <c r="M97" s="7"/>
    </row>
    <row r="98" spans="1:13" x14ac:dyDescent="0.25">
      <c r="A98" s="5">
        <f t="shared" si="2"/>
        <v>2.0044000000000093</v>
      </c>
      <c r="B98" s="30"/>
      <c r="C98" s="28" t="s">
        <v>146</v>
      </c>
      <c r="D98" s="57"/>
      <c r="E98" s="7"/>
      <c r="F98" s="7"/>
      <c r="G98" s="8" t="s">
        <v>8</v>
      </c>
      <c r="H98" s="8">
        <f t="shared" si="3"/>
        <v>0</v>
      </c>
      <c r="I98" s="8">
        <f t="shared" si="3"/>
        <v>0</v>
      </c>
      <c r="J98" s="8">
        <f t="shared" si="3"/>
        <v>0</v>
      </c>
      <c r="K98" s="8">
        <f t="shared" si="3"/>
        <v>0</v>
      </c>
      <c r="L98" s="8">
        <f t="shared" si="3"/>
        <v>1</v>
      </c>
      <c r="M98" s="7"/>
    </row>
    <row r="99" spans="1:13" x14ac:dyDescent="0.25">
      <c r="A99" s="5">
        <f t="shared" si="2"/>
        <v>2.0045000000000095</v>
      </c>
      <c r="B99" s="31"/>
      <c r="C99" s="28" t="s">
        <v>147</v>
      </c>
      <c r="D99" s="57"/>
      <c r="E99" s="7"/>
      <c r="F99" s="7"/>
      <c r="G99" s="8" t="s">
        <v>8</v>
      </c>
      <c r="H99" s="8">
        <f t="shared" si="3"/>
        <v>0</v>
      </c>
      <c r="I99" s="8">
        <f t="shared" si="3"/>
        <v>0</v>
      </c>
      <c r="J99" s="8">
        <f t="shared" si="3"/>
        <v>0</v>
      </c>
      <c r="K99" s="8">
        <f t="shared" si="3"/>
        <v>0</v>
      </c>
      <c r="L99" s="8">
        <f t="shared" si="3"/>
        <v>1</v>
      </c>
      <c r="M99" s="7"/>
    </row>
    <row r="100" spans="1:13" x14ac:dyDescent="0.25">
      <c r="A100" s="5">
        <f t="shared" si="2"/>
        <v>2.0046000000000097</v>
      </c>
      <c r="B100" s="30" t="s">
        <v>148</v>
      </c>
      <c r="C100" s="9"/>
      <c r="D100" s="57"/>
      <c r="E100" s="7"/>
      <c r="F100" s="7"/>
      <c r="G100" s="8" t="s">
        <v>8</v>
      </c>
      <c r="H100" s="8">
        <f t="shared" si="3"/>
        <v>0</v>
      </c>
      <c r="I100" s="8">
        <f t="shared" si="3"/>
        <v>0</v>
      </c>
      <c r="J100" s="8">
        <f t="shared" si="3"/>
        <v>0</v>
      </c>
      <c r="K100" s="8">
        <f t="shared" si="3"/>
        <v>0</v>
      </c>
      <c r="L100" s="8">
        <f t="shared" si="3"/>
        <v>1</v>
      </c>
      <c r="M100" s="7"/>
    </row>
    <row r="101" spans="1:13" x14ac:dyDescent="0.25">
      <c r="A101" s="5">
        <f t="shared" si="2"/>
        <v>2.0047000000000099</v>
      </c>
      <c r="B101" s="26" t="s">
        <v>149</v>
      </c>
      <c r="C101" s="9" t="s">
        <v>150</v>
      </c>
      <c r="D101" s="57"/>
      <c r="E101" s="7"/>
      <c r="F101" s="7"/>
      <c r="G101" s="8" t="s">
        <v>8</v>
      </c>
      <c r="H101" s="8">
        <f t="shared" si="3"/>
        <v>0</v>
      </c>
      <c r="I101" s="8">
        <f t="shared" si="3"/>
        <v>0</v>
      </c>
      <c r="J101" s="8">
        <f t="shared" si="3"/>
        <v>0</v>
      </c>
      <c r="K101" s="8">
        <f t="shared" si="3"/>
        <v>0</v>
      </c>
      <c r="L101" s="8">
        <f t="shared" si="3"/>
        <v>1</v>
      </c>
      <c r="M101" s="7"/>
    </row>
    <row r="102" spans="1:13" x14ac:dyDescent="0.25">
      <c r="A102" s="5">
        <f t="shared" si="2"/>
        <v>2.0048000000000101</v>
      </c>
      <c r="B102" s="26"/>
      <c r="C102" s="9" t="s">
        <v>151</v>
      </c>
      <c r="D102" s="57"/>
      <c r="E102" s="7"/>
      <c r="F102" s="7"/>
      <c r="G102" s="8" t="s">
        <v>8</v>
      </c>
      <c r="H102" s="8">
        <f t="shared" si="3"/>
        <v>0</v>
      </c>
      <c r="I102" s="8">
        <f t="shared" si="3"/>
        <v>0</v>
      </c>
      <c r="J102" s="8">
        <f t="shared" si="3"/>
        <v>0</v>
      </c>
      <c r="K102" s="8">
        <f t="shared" si="3"/>
        <v>0</v>
      </c>
      <c r="L102" s="8">
        <f t="shared" si="3"/>
        <v>1</v>
      </c>
      <c r="M102" s="7"/>
    </row>
    <row r="103" spans="1:13" x14ac:dyDescent="0.25">
      <c r="A103" s="5">
        <f t="shared" si="2"/>
        <v>2.0049000000000103</v>
      </c>
      <c r="B103" s="26" t="s">
        <v>53</v>
      </c>
      <c r="C103" s="9" t="s">
        <v>152</v>
      </c>
      <c r="D103" s="57"/>
      <c r="E103" s="7"/>
      <c r="F103" s="7"/>
      <c r="G103" s="8" t="s">
        <v>8</v>
      </c>
      <c r="H103" s="8">
        <f t="shared" si="3"/>
        <v>0</v>
      </c>
      <c r="I103" s="8">
        <f t="shared" si="3"/>
        <v>0</v>
      </c>
      <c r="J103" s="8">
        <f t="shared" si="3"/>
        <v>0</v>
      </c>
      <c r="K103" s="8">
        <f t="shared" si="3"/>
        <v>0</v>
      </c>
      <c r="L103" s="8">
        <f t="shared" si="3"/>
        <v>1</v>
      </c>
      <c r="M103" s="7"/>
    </row>
    <row r="104" spans="1:13" ht="25.5" x14ac:dyDescent="0.25">
      <c r="A104" s="5">
        <f t="shared" si="2"/>
        <v>2.0050000000000106</v>
      </c>
      <c r="B104" s="26"/>
      <c r="C104" s="9" t="s">
        <v>153</v>
      </c>
      <c r="D104" s="58"/>
      <c r="E104" s="7"/>
      <c r="F104" s="7"/>
      <c r="G104" s="8" t="s">
        <v>8</v>
      </c>
      <c r="H104" s="8">
        <f t="shared" si="3"/>
        <v>0</v>
      </c>
      <c r="I104" s="8">
        <f t="shared" si="3"/>
        <v>0</v>
      </c>
      <c r="J104" s="8">
        <f t="shared" si="3"/>
        <v>0</v>
      </c>
      <c r="K104" s="8">
        <f t="shared" si="3"/>
        <v>0</v>
      </c>
      <c r="L104" s="8">
        <f t="shared" si="3"/>
        <v>1</v>
      </c>
      <c r="M104" s="7"/>
    </row>
    <row r="105" spans="1:13" x14ac:dyDescent="0.25">
      <c r="A105" s="5">
        <f t="shared" si="2"/>
        <v>2.0051000000000108</v>
      </c>
      <c r="B105" s="48" t="s">
        <v>206</v>
      </c>
      <c r="C105" s="42"/>
      <c r="D105" s="42"/>
      <c r="E105" s="7"/>
      <c r="F105" s="7"/>
      <c r="G105" s="8" t="s">
        <v>5</v>
      </c>
      <c r="H105" s="8">
        <f t="shared" ref="H105:L110" si="4">IF($G105=H$1,1,0)</f>
        <v>1</v>
      </c>
      <c r="I105" s="8">
        <f t="shared" si="4"/>
        <v>0</v>
      </c>
      <c r="J105" s="8">
        <f t="shared" si="4"/>
        <v>0</v>
      </c>
      <c r="K105" s="8">
        <f t="shared" si="4"/>
        <v>0</v>
      </c>
      <c r="L105" s="8">
        <f t="shared" si="4"/>
        <v>0</v>
      </c>
      <c r="M105" s="7"/>
    </row>
    <row r="106" spans="1:13" x14ac:dyDescent="0.25">
      <c r="A106" s="5">
        <f t="shared" si="2"/>
        <v>2.005200000000011</v>
      </c>
      <c r="B106" s="6" t="s">
        <v>136</v>
      </c>
      <c r="C106" s="9" t="s">
        <v>47</v>
      </c>
      <c r="D106" s="56" t="s">
        <v>215</v>
      </c>
      <c r="E106" s="7"/>
      <c r="F106" s="7"/>
      <c r="G106" s="8" t="s">
        <v>5</v>
      </c>
      <c r="H106" s="8">
        <f t="shared" si="4"/>
        <v>1</v>
      </c>
      <c r="I106" s="8">
        <f t="shared" si="4"/>
        <v>0</v>
      </c>
      <c r="J106" s="8">
        <f t="shared" si="4"/>
        <v>0</v>
      </c>
      <c r="K106" s="8">
        <f t="shared" si="4"/>
        <v>0</v>
      </c>
      <c r="L106" s="8">
        <f t="shared" si="4"/>
        <v>0</v>
      </c>
      <c r="M106" s="7"/>
    </row>
    <row r="107" spans="1:13" x14ac:dyDescent="0.25">
      <c r="A107" s="5">
        <f t="shared" si="2"/>
        <v>2.0053000000000112</v>
      </c>
      <c r="B107" s="6" t="s">
        <v>207</v>
      </c>
      <c r="C107" s="9" t="s">
        <v>208</v>
      </c>
      <c r="D107" s="58"/>
      <c r="E107" s="7"/>
      <c r="F107" s="7"/>
      <c r="G107" s="8" t="s">
        <v>5</v>
      </c>
      <c r="H107" s="8">
        <f t="shared" si="4"/>
        <v>1</v>
      </c>
      <c r="I107" s="8">
        <f t="shared" si="4"/>
        <v>0</v>
      </c>
      <c r="J107" s="8">
        <f t="shared" si="4"/>
        <v>0</v>
      </c>
      <c r="K107" s="8">
        <f t="shared" si="4"/>
        <v>0</v>
      </c>
      <c r="L107" s="8">
        <f t="shared" si="4"/>
        <v>0</v>
      </c>
      <c r="M107" s="7"/>
    </row>
    <row r="108" spans="1:13" x14ac:dyDescent="0.25">
      <c r="A108" s="5">
        <f t="shared" si="2"/>
        <v>2.0054000000000114</v>
      </c>
      <c r="B108" s="48" t="s">
        <v>138</v>
      </c>
      <c r="C108" s="42"/>
      <c r="D108" s="42"/>
      <c r="E108" s="7"/>
      <c r="F108" s="7"/>
      <c r="G108" s="8" t="s">
        <v>5</v>
      </c>
      <c r="H108" s="8">
        <f t="shared" si="4"/>
        <v>1</v>
      </c>
      <c r="I108" s="8">
        <f t="shared" si="4"/>
        <v>0</v>
      </c>
      <c r="J108" s="8">
        <f t="shared" si="4"/>
        <v>0</v>
      </c>
      <c r="K108" s="8">
        <f t="shared" si="4"/>
        <v>0</v>
      </c>
      <c r="L108" s="8">
        <f t="shared" si="4"/>
        <v>0</v>
      </c>
      <c r="M108" s="7"/>
    </row>
    <row r="109" spans="1:13" x14ac:dyDescent="0.25">
      <c r="A109" s="5">
        <f t="shared" si="2"/>
        <v>2.0055000000000116</v>
      </c>
      <c r="B109" s="6" t="s">
        <v>154</v>
      </c>
      <c r="C109" s="9" t="s">
        <v>18</v>
      </c>
      <c r="D109" s="56" t="s">
        <v>215</v>
      </c>
      <c r="E109" s="7"/>
      <c r="F109" s="7"/>
      <c r="G109" s="8" t="s">
        <v>5</v>
      </c>
      <c r="H109" s="8">
        <f t="shared" si="4"/>
        <v>1</v>
      </c>
      <c r="I109" s="8">
        <f t="shared" si="4"/>
        <v>0</v>
      </c>
      <c r="J109" s="8">
        <f t="shared" si="4"/>
        <v>0</v>
      </c>
      <c r="K109" s="8">
        <f t="shared" si="4"/>
        <v>0</v>
      </c>
      <c r="L109" s="8">
        <f t="shared" si="4"/>
        <v>0</v>
      </c>
      <c r="M109" s="7"/>
    </row>
    <row r="110" spans="1:13" x14ac:dyDescent="0.25">
      <c r="A110" s="5">
        <f t="shared" si="2"/>
        <v>2.0056000000000118</v>
      </c>
      <c r="B110" s="6" t="s">
        <v>155</v>
      </c>
      <c r="C110" s="9" t="s">
        <v>156</v>
      </c>
      <c r="D110" s="58"/>
      <c r="E110" s="7"/>
      <c r="F110" s="7"/>
      <c r="G110" s="8" t="s">
        <v>5</v>
      </c>
      <c r="H110" s="8">
        <f t="shared" si="4"/>
        <v>1</v>
      </c>
      <c r="I110" s="8">
        <f t="shared" si="4"/>
        <v>0</v>
      </c>
      <c r="J110" s="8">
        <f t="shared" si="4"/>
        <v>0</v>
      </c>
      <c r="K110" s="8">
        <f t="shared" si="4"/>
        <v>0</v>
      </c>
      <c r="L110" s="8">
        <f t="shared" si="4"/>
        <v>0</v>
      </c>
      <c r="M110" s="7"/>
    </row>
    <row r="111" spans="1:13" ht="15.75" thickBot="1" x14ac:dyDescent="0.3">
      <c r="H111" s="2">
        <f>SUM(H2:H110)</f>
        <v>95</v>
      </c>
      <c r="I111" s="2">
        <f t="shared" ref="I111:L111" si="5">SUM(I2:I110)</f>
        <v>0</v>
      </c>
      <c r="J111" s="2">
        <f t="shared" si="5"/>
        <v>0</v>
      </c>
      <c r="K111" s="2">
        <f t="shared" si="5"/>
        <v>0</v>
      </c>
      <c r="L111" s="2">
        <f t="shared" si="5"/>
        <v>12</v>
      </c>
    </row>
    <row r="112" spans="1:13" ht="15.75" thickTop="1" x14ac:dyDescent="0.25"/>
  </sheetData>
  <mergeCells count="12">
    <mergeCell ref="D53:D69"/>
    <mergeCell ref="D50:D51"/>
    <mergeCell ref="D47:D48"/>
    <mergeCell ref="D3:D19"/>
    <mergeCell ref="D21:D29"/>
    <mergeCell ref="D31:D41"/>
    <mergeCell ref="D43:D45"/>
    <mergeCell ref="D109:D110"/>
    <mergeCell ref="D106:D107"/>
    <mergeCell ref="D93:D104"/>
    <mergeCell ref="D81:D91"/>
    <mergeCell ref="D71:D79"/>
  </mergeCells>
  <conditionalFormatting sqref="A2:L2 B47:G47 B50:G50 A3:A51 A57:A110 M77:M130 A111:L130 G3:G51 A53:A54 E77:F110 E53:F58 M2:M54 B106:D106 B109:D109 G93:G104 B4:C19 B21:C29 B31:C41 B43:C45 E3:G46 B110:C110 B107:C107 B93:C104 B82:C91 B71:C79 B54:C64 B51:C51 E51:G51 B48:C48 E48:G49">
    <cfRule type="expression" dxfId="57" priority="49">
      <formula>$G2="Fail"</formula>
    </cfRule>
  </conditionalFormatting>
  <conditionalFormatting sqref="A52:L52">
    <cfRule type="expression" dxfId="56" priority="48">
      <formula>$G52="Fail"</formula>
    </cfRule>
  </conditionalFormatting>
  <conditionalFormatting sqref="E69:F76">
    <cfRule type="expression" dxfId="55" priority="46">
      <formula>$G69="Fail"</formula>
    </cfRule>
  </conditionalFormatting>
  <conditionalFormatting sqref="E59:F62">
    <cfRule type="expression" dxfId="54" priority="45">
      <formula>$G59="Fail"</formula>
    </cfRule>
  </conditionalFormatting>
  <conditionalFormatting sqref="E63:F68">
    <cfRule type="expression" dxfId="53" priority="44">
      <formula>$G63="Fail"</formula>
    </cfRule>
  </conditionalFormatting>
  <conditionalFormatting sqref="A56">
    <cfRule type="expression" dxfId="52" priority="43">
      <formula>$G56="Fail"</formula>
    </cfRule>
  </conditionalFormatting>
  <conditionalFormatting sqref="A55">
    <cfRule type="expression" dxfId="51" priority="42">
      <formula>$G55="Fail"</formula>
    </cfRule>
  </conditionalFormatting>
  <conditionalFormatting sqref="M63:M68">
    <cfRule type="expression" dxfId="50" priority="33">
      <formula>$G63="Fail"</formula>
    </cfRule>
  </conditionalFormatting>
  <conditionalFormatting sqref="M57:M58">
    <cfRule type="expression" dxfId="49" priority="37">
      <formula>$G57="Fail"</formula>
    </cfRule>
  </conditionalFormatting>
  <conditionalFormatting sqref="M69:M76">
    <cfRule type="expression" dxfId="48" priority="35">
      <formula>$G69="Fail"</formula>
    </cfRule>
  </conditionalFormatting>
  <conditionalFormatting sqref="M59:M62">
    <cfRule type="expression" dxfId="47" priority="34">
      <formula>$G59="Fail"</formula>
    </cfRule>
  </conditionalFormatting>
  <conditionalFormatting sqref="M55">
    <cfRule type="expression" dxfId="46" priority="31">
      <formula>$G55="Fail"</formula>
    </cfRule>
  </conditionalFormatting>
  <conditionalFormatting sqref="M56">
    <cfRule type="expression" dxfId="45" priority="32">
      <formula>$G56="Fail"</formula>
    </cfRule>
  </conditionalFormatting>
  <conditionalFormatting sqref="B3:C3">
    <cfRule type="expression" dxfId="44" priority="30">
      <formula>$G3="Fail"</formula>
    </cfRule>
  </conditionalFormatting>
  <conditionalFormatting sqref="B20:D20">
    <cfRule type="expression" dxfId="43" priority="29">
      <formula>$G20="Fail"</formula>
    </cfRule>
  </conditionalFormatting>
  <conditionalFormatting sqref="B30:D30">
    <cfRule type="expression" dxfId="42" priority="28">
      <formula>$G30="Fail"</formula>
    </cfRule>
  </conditionalFormatting>
  <conditionalFormatting sqref="B42:D42">
    <cfRule type="expression" dxfId="41" priority="26">
      <formula>$G42="Fail"</formula>
    </cfRule>
  </conditionalFormatting>
  <conditionalFormatting sqref="B46:D46">
    <cfRule type="expression" dxfId="40" priority="25">
      <formula>$G46="Fail"</formula>
    </cfRule>
  </conditionalFormatting>
  <conditionalFormatting sqref="B49:D49">
    <cfRule type="expression" dxfId="39" priority="24">
      <formula>$G49="Fail"</formula>
    </cfRule>
  </conditionalFormatting>
  <conditionalFormatting sqref="H3:L51">
    <cfRule type="expression" dxfId="38" priority="23">
      <formula>$G3="Fail"</formula>
    </cfRule>
  </conditionalFormatting>
  <conditionalFormatting sqref="B53:C53">
    <cfRule type="expression" dxfId="37" priority="22">
      <formula>$G53="Fail"</formula>
    </cfRule>
  </conditionalFormatting>
  <conditionalFormatting sqref="B108:D108">
    <cfRule type="expression" dxfId="36" priority="15">
      <formula>$G108="Fail"</formula>
    </cfRule>
  </conditionalFormatting>
  <conditionalFormatting sqref="H53:L110">
    <cfRule type="expression" dxfId="35" priority="13">
      <formula>$G53="Fail"</formula>
    </cfRule>
  </conditionalFormatting>
  <conditionalFormatting sqref="B81:C81">
    <cfRule type="expression" dxfId="34" priority="21">
      <formula>$G81="Fail"</formula>
    </cfRule>
  </conditionalFormatting>
  <conditionalFormatting sqref="B65:C69">
    <cfRule type="expression" dxfId="33" priority="20">
      <formula>$G65="Fail"</formula>
    </cfRule>
  </conditionalFormatting>
  <conditionalFormatting sqref="B70:D70">
    <cfRule type="expression" dxfId="32" priority="19">
      <formula>$G70="Fail"</formula>
    </cfRule>
  </conditionalFormatting>
  <conditionalFormatting sqref="B80:D80">
    <cfRule type="expression" dxfId="31" priority="18">
      <formula>$G80="Fail"</formula>
    </cfRule>
  </conditionalFormatting>
  <conditionalFormatting sqref="B92:D92">
    <cfRule type="expression" dxfId="30" priority="17">
      <formula>$G92="Fail"</formula>
    </cfRule>
  </conditionalFormatting>
  <conditionalFormatting sqref="B105:D105">
    <cfRule type="expression" dxfId="29" priority="16">
      <formula>$G105="Fail"</formula>
    </cfRule>
  </conditionalFormatting>
  <conditionalFormatting sqref="G55:G70">
    <cfRule type="expression" dxfId="28" priority="5">
      <formula>$G55="Fail"</formula>
    </cfRule>
  </conditionalFormatting>
  <conditionalFormatting sqref="G53:G70">
    <cfRule type="expression" dxfId="27" priority="4">
      <formula>$G53="Fail"</formula>
    </cfRule>
  </conditionalFormatting>
  <conditionalFormatting sqref="G71:G79">
    <cfRule type="expression" dxfId="26" priority="3">
      <formula>$G71="Fail"</formula>
    </cfRule>
  </conditionalFormatting>
  <conditionalFormatting sqref="G80:G92">
    <cfRule type="expression" dxfId="25" priority="2">
      <formula>$G80="Fail"</formula>
    </cfRule>
  </conditionalFormatting>
  <conditionalFormatting sqref="G105:G110">
    <cfRule type="expression" dxfId="24" priority="1">
      <formula>$G105="Fail"</formula>
    </cfRule>
  </conditionalFormatting>
  <conditionalFormatting sqref="D3 D53">
    <cfRule type="expression" dxfId="23" priority="356">
      <formula>$G12="Fail"</formula>
    </cfRule>
  </conditionalFormatting>
  <conditionalFormatting sqref="D21">
    <cfRule type="expression" dxfId="22" priority="358">
      <formula>$G25="Fail"</formula>
    </cfRule>
  </conditionalFormatting>
  <conditionalFormatting sqref="D31 D81 D71">
    <cfRule type="expression" dxfId="21" priority="360">
      <formula>$G36="Fail"</formula>
    </cfRule>
  </conditionalFormatting>
  <conditionalFormatting sqref="D43">
    <cfRule type="expression" dxfId="20" priority="362">
      <formula>$G44="Fail"</formula>
    </cfRule>
  </conditionalFormatting>
  <conditionalFormatting sqref="D93">
    <cfRule type="expression" dxfId="19" priority="364">
      <formula>$G99="Fail"</formula>
    </cfRule>
  </conditionalFormatting>
  <dataValidations count="1">
    <dataValidation type="list" allowBlank="1" showInputMessage="1" showErrorMessage="1" sqref="G2:G110">
      <formula1>$H$1:$L$1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ummary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formatting">
                <anchor moveWithCells="1" sizeWithCells="1">
                  <from>
                    <xdr:col>2</xdr:col>
                    <xdr:colOff>2114550</xdr:colOff>
                    <xdr:row>0</xdr:row>
                    <xdr:rowOff>57150</xdr:rowOff>
                  </from>
                  <to>
                    <xdr:col>2</xdr:col>
                    <xdr:colOff>2924175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L56"/>
  <sheetViews>
    <sheetView zoomScaleNormal="100" workbookViewId="0">
      <pane ySplit="1" topLeftCell="A2" activePane="bottomLeft" state="frozen"/>
      <selection pane="bottomLeft"/>
    </sheetView>
  </sheetViews>
  <sheetFormatPr defaultColWidth="9.140625" defaultRowHeight="15" x14ac:dyDescent="0.25"/>
  <cols>
    <col min="1" max="1" width="11.28515625" style="4" bestFit="1" customWidth="1"/>
    <col min="2" max="2" width="48.5703125" style="1" customWidth="1"/>
    <col min="3" max="3" width="50.7109375" style="1" customWidth="1"/>
    <col min="4" max="4" width="39" style="1" customWidth="1"/>
    <col min="5" max="5" width="20.42578125" style="1" customWidth="1"/>
    <col min="6" max="6" width="14.7109375" style="1" customWidth="1"/>
    <col min="7" max="10" width="9.140625" style="1"/>
    <col min="11" max="11" width="16.5703125" style="1" customWidth="1"/>
    <col min="12" max="12" width="39" style="1" customWidth="1"/>
    <col min="13" max="16384" width="9.140625" style="1"/>
  </cols>
  <sheetData>
    <row r="1" spans="1:12" ht="30" customHeight="1" x14ac:dyDescent="0.25">
      <c r="A1" s="10" t="s">
        <v>1</v>
      </c>
      <c r="B1" s="11" t="s">
        <v>11</v>
      </c>
      <c r="C1" s="11" t="s">
        <v>2</v>
      </c>
      <c r="D1" s="12" t="s">
        <v>4</v>
      </c>
      <c r="E1" s="12" t="s">
        <v>3</v>
      </c>
      <c r="F1" s="11" t="s">
        <v>0</v>
      </c>
      <c r="G1" s="12" t="s">
        <v>5</v>
      </c>
      <c r="H1" s="12" t="s">
        <v>6</v>
      </c>
      <c r="I1" s="12"/>
      <c r="J1" s="12" t="s">
        <v>7</v>
      </c>
      <c r="K1" s="12" t="s">
        <v>8</v>
      </c>
      <c r="L1" s="12" t="s">
        <v>12</v>
      </c>
    </row>
    <row r="2" spans="1:12" s="20" customFormat="1" x14ac:dyDescent="0.25">
      <c r="A2" s="16">
        <v>1</v>
      </c>
      <c r="B2" s="17"/>
      <c r="C2" s="18"/>
      <c r="D2" s="17"/>
      <c r="E2" s="17"/>
      <c r="F2" s="19"/>
      <c r="G2" s="19"/>
      <c r="H2" s="19"/>
      <c r="I2" s="19"/>
      <c r="J2" s="19"/>
      <c r="K2" s="19"/>
      <c r="L2" s="17"/>
    </row>
    <row r="3" spans="1:12" x14ac:dyDescent="0.25">
      <c r="A3" s="5">
        <v>1</v>
      </c>
      <c r="B3" s="6"/>
      <c r="C3" s="9"/>
      <c r="D3" s="7"/>
      <c r="E3" s="6"/>
      <c r="F3" s="8"/>
      <c r="G3" s="8"/>
      <c r="H3" s="8"/>
      <c r="I3" s="8"/>
      <c r="J3" s="8"/>
      <c r="K3" s="8"/>
      <c r="L3" s="7"/>
    </row>
    <row r="4" spans="1:12" x14ac:dyDescent="0.25">
      <c r="A4" s="5">
        <f t="shared" ref="A4:A54" si="0">A3+0.0001</f>
        <v>1.0001</v>
      </c>
      <c r="B4" s="6"/>
      <c r="C4" s="9"/>
      <c r="D4" s="7"/>
      <c r="E4" s="6"/>
      <c r="F4" s="8"/>
      <c r="G4" s="8"/>
      <c r="H4" s="8"/>
      <c r="I4" s="8"/>
      <c r="J4" s="8"/>
      <c r="K4" s="8"/>
      <c r="L4" s="7"/>
    </row>
    <row r="5" spans="1:12" x14ac:dyDescent="0.25">
      <c r="A5" s="5">
        <f t="shared" si="0"/>
        <v>1.0002</v>
      </c>
      <c r="B5" s="6"/>
      <c r="C5" s="9"/>
      <c r="D5" s="7"/>
      <c r="E5" s="6"/>
      <c r="F5" s="8"/>
      <c r="G5" s="8"/>
      <c r="H5" s="8"/>
      <c r="I5" s="8"/>
      <c r="J5" s="8"/>
      <c r="K5" s="8"/>
      <c r="L5" s="7"/>
    </row>
    <row r="6" spans="1:12" x14ac:dyDescent="0.25">
      <c r="A6" s="5">
        <f t="shared" si="0"/>
        <v>1.0003</v>
      </c>
      <c r="B6" s="7"/>
      <c r="C6" s="6"/>
      <c r="D6" s="7"/>
      <c r="E6" s="7"/>
      <c r="F6" s="8"/>
      <c r="G6" s="8"/>
      <c r="H6" s="8"/>
      <c r="I6" s="8"/>
      <c r="J6" s="8"/>
      <c r="K6" s="8"/>
      <c r="L6" s="7"/>
    </row>
    <row r="7" spans="1:12" x14ac:dyDescent="0.25">
      <c r="A7" s="5">
        <f t="shared" si="0"/>
        <v>1.0004</v>
      </c>
      <c r="B7" s="6"/>
      <c r="C7" s="6"/>
      <c r="D7" s="7"/>
      <c r="E7" s="7"/>
      <c r="F7" s="8"/>
      <c r="G7" s="8"/>
      <c r="H7" s="8"/>
      <c r="I7" s="8"/>
      <c r="J7" s="8"/>
      <c r="K7" s="8"/>
      <c r="L7" s="7"/>
    </row>
    <row r="8" spans="1:12" x14ac:dyDescent="0.25">
      <c r="A8" s="5">
        <f t="shared" si="0"/>
        <v>1.0004999999999999</v>
      </c>
      <c r="B8" s="7"/>
      <c r="C8" s="6"/>
      <c r="D8" s="7"/>
      <c r="E8" s="7"/>
      <c r="F8" s="8"/>
      <c r="G8" s="8"/>
      <c r="H8" s="8"/>
      <c r="I8" s="8"/>
      <c r="J8" s="8"/>
      <c r="K8" s="8"/>
      <c r="L8" s="7"/>
    </row>
    <row r="9" spans="1:12" s="20" customFormat="1" x14ac:dyDescent="0.25">
      <c r="A9" s="16">
        <v>2</v>
      </c>
      <c r="B9" s="17"/>
      <c r="C9" s="18"/>
      <c r="D9" s="17"/>
      <c r="E9" s="17"/>
      <c r="F9" s="19"/>
      <c r="G9" s="19"/>
      <c r="H9" s="19"/>
      <c r="I9" s="19"/>
      <c r="J9" s="19"/>
      <c r="K9" s="19"/>
      <c r="L9" s="17"/>
    </row>
    <row r="10" spans="1:12" x14ac:dyDescent="0.25">
      <c r="A10" s="5">
        <f t="shared" si="0"/>
        <v>2.0001000000000002</v>
      </c>
      <c r="B10" s="6"/>
      <c r="C10" s="9"/>
      <c r="D10" s="7"/>
      <c r="E10" s="6"/>
      <c r="F10" s="8"/>
      <c r="G10" s="8"/>
      <c r="H10" s="8"/>
      <c r="I10" s="8"/>
      <c r="J10" s="8"/>
      <c r="K10" s="8"/>
      <c r="L10" s="7"/>
    </row>
    <row r="11" spans="1:12" x14ac:dyDescent="0.25">
      <c r="A11" s="5">
        <f t="shared" si="0"/>
        <v>2.0002000000000004</v>
      </c>
      <c r="B11" s="6"/>
      <c r="C11" s="9"/>
      <c r="D11" s="7"/>
      <c r="E11" s="6"/>
      <c r="F11" s="8"/>
      <c r="G11" s="8"/>
      <c r="H11" s="8"/>
      <c r="I11" s="8"/>
      <c r="J11" s="8"/>
      <c r="K11" s="8"/>
      <c r="L11" s="7"/>
    </row>
    <row r="12" spans="1:12" x14ac:dyDescent="0.25">
      <c r="A12" s="5">
        <f t="shared" si="0"/>
        <v>2.0003000000000006</v>
      </c>
      <c r="B12" s="6"/>
      <c r="C12" s="9"/>
      <c r="D12" s="7"/>
      <c r="E12" s="6"/>
      <c r="F12" s="8"/>
      <c r="G12" s="8"/>
      <c r="H12" s="8"/>
      <c r="I12" s="8"/>
      <c r="J12" s="8"/>
      <c r="K12" s="8"/>
      <c r="L12" s="7"/>
    </row>
    <row r="13" spans="1:12" x14ac:dyDescent="0.25">
      <c r="A13" s="5">
        <f>A11+0.0001</f>
        <v>2.0003000000000006</v>
      </c>
      <c r="B13" s="6"/>
      <c r="C13" s="9"/>
      <c r="D13" s="7"/>
      <c r="E13" s="6"/>
      <c r="F13" s="8"/>
      <c r="G13" s="8"/>
      <c r="H13" s="8"/>
      <c r="I13" s="8"/>
      <c r="J13" s="8"/>
      <c r="K13" s="8"/>
      <c r="L13" s="7"/>
    </row>
    <row r="14" spans="1:12" x14ac:dyDescent="0.25">
      <c r="A14" s="5">
        <f>A11+0.0001</f>
        <v>2.0003000000000006</v>
      </c>
      <c r="B14" s="7"/>
      <c r="C14" s="6"/>
      <c r="D14" s="21"/>
      <c r="E14" s="6"/>
      <c r="F14" s="8"/>
      <c r="G14" s="8"/>
      <c r="H14" s="8"/>
      <c r="I14" s="8"/>
      <c r="J14" s="8"/>
      <c r="K14" s="8"/>
      <c r="L14" s="7"/>
    </row>
    <row r="15" spans="1:12" x14ac:dyDescent="0.25">
      <c r="A15" s="5">
        <f t="shared" si="0"/>
        <v>2.0004000000000008</v>
      </c>
      <c r="B15" s="7"/>
      <c r="C15" s="6"/>
      <c r="D15" s="7"/>
      <c r="E15" s="7"/>
      <c r="F15" s="8"/>
      <c r="G15" s="8"/>
      <c r="H15" s="8"/>
      <c r="I15" s="8"/>
      <c r="J15" s="8"/>
      <c r="K15" s="8"/>
      <c r="L15" s="7"/>
    </row>
    <row r="16" spans="1:12" x14ac:dyDescent="0.25">
      <c r="A16" s="5">
        <f t="shared" si="0"/>
        <v>2.0005000000000011</v>
      </c>
      <c r="B16" s="7"/>
      <c r="C16" s="6"/>
      <c r="D16" s="7"/>
      <c r="E16" s="7"/>
      <c r="F16" s="8"/>
      <c r="G16" s="8"/>
      <c r="H16" s="8"/>
      <c r="I16" s="8"/>
      <c r="J16" s="8"/>
      <c r="K16" s="8"/>
      <c r="L16" s="7"/>
    </row>
    <row r="17" spans="1:12" x14ac:dyDescent="0.25">
      <c r="A17" s="5">
        <f t="shared" si="0"/>
        <v>2.0006000000000013</v>
      </c>
      <c r="B17" s="6"/>
      <c r="C17" s="6"/>
      <c r="D17" s="7"/>
      <c r="E17" s="7"/>
      <c r="F17" s="8"/>
      <c r="G17" s="8"/>
      <c r="H17" s="8"/>
      <c r="I17" s="8"/>
      <c r="J17" s="8"/>
      <c r="K17" s="8"/>
      <c r="L17" s="7"/>
    </row>
    <row r="18" spans="1:12" x14ac:dyDescent="0.25">
      <c r="A18" s="5">
        <f t="shared" si="0"/>
        <v>2.0007000000000015</v>
      </c>
      <c r="B18" s="6"/>
      <c r="C18" s="6"/>
      <c r="D18" s="7"/>
      <c r="E18" s="7"/>
      <c r="F18" s="8"/>
      <c r="G18" s="8"/>
      <c r="H18" s="8"/>
      <c r="I18" s="8"/>
      <c r="J18" s="8"/>
      <c r="K18" s="8"/>
      <c r="L18" s="7"/>
    </row>
    <row r="19" spans="1:12" x14ac:dyDescent="0.25">
      <c r="A19" s="5">
        <f t="shared" si="0"/>
        <v>2.0008000000000017</v>
      </c>
      <c r="B19" s="6"/>
      <c r="C19" s="6"/>
      <c r="D19" s="7"/>
      <c r="E19" s="7"/>
      <c r="F19" s="8"/>
      <c r="G19" s="8"/>
      <c r="H19" s="8"/>
      <c r="I19" s="8"/>
      <c r="J19" s="8"/>
      <c r="K19" s="8"/>
      <c r="L19" s="7"/>
    </row>
    <row r="20" spans="1:12" x14ac:dyDescent="0.25">
      <c r="A20" s="5">
        <f t="shared" si="0"/>
        <v>2.0009000000000019</v>
      </c>
      <c r="B20" s="6"/>
      <c r="C20" s="6"/>
      <c r="D20" s="7"/>
      <c r="E20" s="7"/>
      <c r="F20" s="8"/>
      <c r="G20" s="8"/>
      <c r="H20" s="8"/>
      <c r="I20" s="8"/>
      <c r="J20" s="8"/>
      <c r="K20" s="8"/>
      <c r="L20" s="7"/>
    </row>
    <row r="21" spans="1:12" x14ac:dyDescent="0.25">
      <c r="A21" s="5">
        <f t="shared" si="0"/>
        <v>2.0010000000000021</v>
      </c>
      <c r="B21" s="6"/>
      <c r="C21" s="6"/>
      <c r="D21" s="7"/>
      <c r="E21" s="7"/>
      <c r="F21" s="8"/>
      <c r="G21" s="8"/>
      <c r="H21" s="8"/>
      <c r="I21" s="8"/>
      <c r="J21" s="8"/>
      <c r="K21" s="8"/>
      <c r="L21" s="7"/>
    </row>
    <row r="22" spans="1:12" x14ac:dyDescent="0.25">
      <c r="A22" s="5">
        <f t="shared" si="0"/>
        <v>2.0011000000000023</v>
      </c>
      <c r="B22" s="6"/>
      <c r="C22" s="6"/>
      <c r="D22" s="7"/>
      <c r="E22" s="7"/>
      <c r="F22" s="8"/>
      <c r="G22" s="8"/>
      <c r="H22" s="8"/>
      <c r="I22" s="8"/>
      <c r="J22" s="8"/>
      <c r="K22" s="8"/>
      <c r="L22" s="7"/>
    </row>
    <row r="23" spans="1:12" x14ac:dyDescent="0.25">
      <c r="A23" s="5">
        <f t="shared" si="0"/>
        <v>2.0012000000000025</v>
      </c>
      <c r="B23" s="6"/>
      <c r="C23" s="6"/>
      <c r="D23" s="7"/>
      <c r="E23" s="7"/>
      <c r="F23" s="8"/>
      <c r="G23" s="8"/>
      <c r="H23" s="8"/>
      <c r="I23" s="8"/>
      <c r="J23" s="8"/>
      <c r="K23" s="8"/>
      <c r="L23" s="7"/>
    </row>
    <row r="24" spans="1:12" x14ac:dyDescent="0.25">
      <c r="A24" s="5">
        <f t="shared" si="0"/>
        <v>2.0013000000000027</v>
      </c>
      <c r="B24" s="6"/>
      <c r="C24" s="6"/>
      <c r="D24" s="7"/>
      <c r="E24" s="7"/>
      <c r="F24" s="8"/>
      <c r="G24" s="8"/>
      <c r="H24" s="8"/>
      <c r="I24" s="8"/>
      <c r="J24" s="8"/>
      <c r="K24" s="8"/>
      <c r="L24" s="7"/>
    </row>
    <row r="25" spans="1:12" x14ac:dyDescent="0.25">
      <c r="A25" s="5">
        <f t="shared" si="0"/>
        <v>2.001400000000003</v>
      </c>
      <c r="B25" s="7"/>
      <c r="C25" s="6"/>
      <c r="D25" s="7"/>
      <c r="E25" s="7"/>
      <c r="F25" s="8"/>
      <c r="G25" s="8"/>
      <c r="H25" s="8"/>
      <c r="I25" s="8"/>
      <c r="J25" s="8"/>
      <c r="K25" s="8"/>
      <c r="L25" s="7"/>
    </row>
    <row r="26" spans="1:12" x14ac:dyDescent="0.25">
      <c r="A26" s="5">
        <f t="shared" si="0"/>
        <v>2.0015000000000032</v>
      </c>
      <c r="B26" s="6"/>
      <c r="C26" s="6"/>
      <c r="D26" s="7"/>
      <c r="E26" s="7"/>
      <c r="F26" s="8"/>
      <c r="G26" s="8"/>
      <c r="H26" s="8"/>
      <c r="I26" s="8"/>
      <c r="J26" s="8"/>
      <c r="K26" s="8"/>
      <c r="L26" s="7"/>
    </row>
    <row r="27" spans="1:12" x14ac:dyDescent="0.25">
      <c r="A27" s="5">
        <f t="shared" si="0"/>
        <v>2.0016000000000034</v>
      </c>
      <c r="B27" s="6"/>
      <c r="C27" s="6"/>
      <c r="D27" s="7"/>
      <c r="E27" s="7"/>
      <c r="F27" s="8"/>
      <c r="G27" s="8"/>
      <c r="H27" s="8"/>
      <c r="I27" s="8"/>
      <c r="J27" s="8"/>
      <c r="K27" s="8"/>
      <c r="L27" s="7"/>
    </row>
    <row r="28" spans="1:12" x14ac:dyDescent="0.25">
      <c r="A28" s="5">
        <f t="shared" si="0"/>
        <v>2.0017000000000036</v>
      </c>
      <c r="B28" s="6"/>
      <c r="C28" s="6"/>
      <c r="D28" s="7"/>
      <c r="E28" s="7"/>
      <c r="F28" s="8"/>
      <c r="G28" s="8"/>
      <c r="H28" s="8"/>
      <c r="I28" s="8"/>
      <c r="J28" s="8"/>
      <c r="K28" s="8"/>
      <c r="L28" s="7"/>
    </row>
    <row r="29" spans="1:12" x14ac:dyDescent="0.25">
      <c r="A29" s="5">
        <f t="shared" si="0"/>
        <v>2.0018000000000038</v>
      </c>
      <c r="B29" s="6"/>
      <c r="C29" s="6"/>
      <c r="D29" s="7"/>
      <c r="E29" s="7"/>
      <c r="F29" s="8"/>
      <c r="G29" s="8"/>
      <c r="H29" s="8"/>
      <c r="I29" s="8"/>
      <c r="J29" s="8"/>
      <c r="K29" s="8"/>
      <c r="L29" s="7"/>
    </row>
    <row r="30" spans="1:12" x14ac:dyDescent="0.25">
      <c r="A30" s="5">
        <f t="shared" si="0"/>
        <v>2.001900000000004</v>
      </c>
      <c r="B30" s="6"/>
      <c r="C30" s="6"/>
      <c r="D30" s="7"/>
      <c r="E30" s="7"/>
      <c r="F30" s="8"/>
      <c r="G30" s="8"/>
      <c r="H30" s="8"/>
      <c r="I30" s="8"/>
      <c r="J30" s="8"/>
      <c r="K30" s="8"/>
      <c r="L30" s="7"/>
    </row>
    <row r="31" spans="1:12" x14ac:dyDescent="0.25">
      <c r="A31" s="5">
        <f t="shared" si="0"/>
        <v>2.0020000000000042</v>
      </c>
      <c r="B31" s="7"/>
      <c r="C31" s="6"/>
      <c r="D31" s="7"/>
      <c r="E31" s="7"/>
      <c r="F31" s="8"/>
      <c r="G31" s="8"/>
      <c r="H31" s="8"/>
      <c r="I31" s="8"/>
      <c r="J31" s="8"/>
      <c r="K31" s="8"/>
      <c r="L31" s="7"/>
    </row>
    <row r="32" spans="1:12" x14ac:dyDescent="0.25">
      <c r="A32" s="5">
        <f t="shared" si="0"/>
        <v>2.0021000000000044</v>
      </c>
      <c r="B32" s="7"/>
      <c r="C32" s="6"/>
      <c r="D32" s="7"/>
      <c r="E32" s="7"/>
      <c r="F32" s="8"/>
      <c r="G32" s="8"/>
      <c r="H32" s="8"/>
      <c r="I32" s="8"/>
      <c r="J32" s="8"/>
      <c r="K32" s="8"/>
      <c r="L32" s="7"/>
    </row>
    <row r="33" spans="1:12" x14ac:dyDescent="0.25">
      <c r="A33" s="5">
        <f t="shared" si="0"/>
        <v>2.0022000000000046</v>
      </c>
      <c r="B33" s="7"/>
      <c r="C33" s="6"/>
      <c r="D33" s="7"/>
      <c r="E33" s="7"/>
      <c r="F33" s="8"/>
      <c r="G33" s="8"/>
      <c r="H33" s="8"/>
      <c r="I33" s="8"/>
      <c r="J33" s="8"/>
      <c r="K33" s="8"/>
      <c r="L33" s="7"/>
    </row>
    <row r="34" spans="1:12" x14ac:dyDescent="0.25">
      <c r="A34" s="5">
        <f t="shared" si="0"/>
        <v>2.0023000000000049</v>
      </c>
      <c r="B34" s="6"/>
      <c r="C34" s="6"/>
      <c r="D34" s="7"/>
      <c r="E34" s="7"/>
      <c r="F34" s="8"/>
      <c r="G34" s="8"/>
      <c r="H34" s="8"/>
      <c r="I34" s="8"/>
      <c r="J34" s="8"/>
      <c r="K34" s="8"/>
      <c r="L34" s="7"/>
    </row>
    <row r="35" spans="1:12" x14ac:dyDescent="0.25">
      <c r="A35" s="5">
        <f t="shared" si="0"/>
        <v>2.0024000000000051</v>
      </c>
      <c r="B35" s="7"/>
      <c r="C35" s="6"/>
      <c r="D35" s="7"/>
      <c r="E35" s="7"/>
      <c r="F35" s="8"/>
      <c r="G35" s="8"/>
      <c r="H35" s="8"/>
      <c r="I35" s="8"/>
      <c r="J35" s="8"/>
      <c r="K35" s="8"/>
      <c r="L35" s="7"/>
    </row>
    <row r="36" spans="1:12" x14ac:dyDescent="0.25">
      <c r="A36" s="5">
        <f t="shared" si="0"/>
        <v>2.0025000000000053</v>
      </c>
      <c r="B36" s="6"/>
      <c r="C36" s="9"/>
      <c r="D36" s="7"/>
      <c r="E36" s="7"/>
      <c r="F36" s="8"/>
      <c r="G36" s="8"/>
      <c r="H36" s="8"/>
      <c r="I36" s="8"/>
      <c r="J36" s="8"/>
      <c r="K36" s="8"/>
      <c r="L36" s="7"/>
    </row>
    <row r="37" spans="1:12" x14ac:dyDescent="0.25">
      <c r="A37" s="5">
        <f t="shared" si="0"/>
        <v>2.0026000000000055</v>
      </c>
      <c r="B37" s="7"/>
      <c r="C37" s="6"/>
      <c r="D37" s="7"/>
      <c r="E37" s="7"/>
      <c r="F37" s="8"/>
      <c r="G37" s="8"/>
      <c r="H37" s="8"/>
      <c r="I37" s="8"/>
      <c r="J37" s="8"/>
      <c r="K37" s="8"/>
      <c r="L37" s="7"/>
    </row>
    <row r="38" spans="1:12" x14ac:dyDescent="0.25">
      <c r="A38" s="5">
        <f t="shared" si="0"/>
        <v>2.0027000000000057</v>
      </c>
      <c r="B38" s="6"/>
      <c r="C38" s="6"/>
      <c r="D38" s="7"/>
      <c r="E38" s="7"/>
      <c r="F38" s="8"/>
      <c r="G38" s="8"/>
      <c r="H38" s="8"/>
      <c r="I38" s="8"/>
      <c r="J38" s="8"/>
      <c r="K38" s="8"/>
      <c r="L38" s="7"/>
    </row>
    <row r="39" spans="1:12" x14ac:dyDescent="0.25">
      <c r="A39" s="5">
        <f t="shared" si="0"/>
        <v>2.0028000000000059</v>
      </c>
      <c r="B39" s="6"/>
      <c r="C39" s="6"/>
      <c r="D39" s="7"/>
      <c r="E39" s="7"/>
      <c r="F39" s="8"/>
      <c r="G39" s="8"/>
      <c r="H39" s="8"/>
      <c r="I39" s="8"/>
      <c r="J39" s="8"/>
      <c r="K39" s="8"/>
      <c r="L39" s="7"/>
    </row>
    <row r="40" spans="1:12" x14ac:dyDescent="0.25">
      <c r="A40" s="5">
        <f t="shared" si="0"/>
        <v>2.0029000000000061</v>
      </c>
      <c r="B40" s="6"/>
      <c r="C40" s="6"/>
      <c r="D40" s="7"/>
      <c r="E40" s="7"/>
      <c r="F40" s="8"/>
      <c r="G40" s="8"/>
      <c r="H40" s="8"/>
      <c r="I40" s="8"/>
      <c r="J40" s="8"/>
      <c r="K40" s="8"/>
      <c r="L40" s="7"/>
    </row>
    <row r="41" spans="1:12" x14ac:dyDescent="0.25">
      <c r="A41" s="5">
        <f t="shared" si="0"/>
        <v>2.0030000000000063</v>
      </c>
      <c r="B41" s="6"/>
      <c r="C41" s="6"/>
      <c r="D41" s="7"/>
      <c r="E41" s="7"/>
      <c r="F41" s="8"/>
      <c r="G41" s="8"/>
      <c r="H41" s="8"/>
      <c r="I41" s="8"/>
      <c r="J41" s="8"/>
      <c r="K41" s="8"/>
      <c r="L41" s="7"/>
    </row>
    <row r="42" spans="1:12" x14ac:dyDescent="0.25">
      <c r="A42" s="5">
        <f t="shared" si="0"/>
        <v>2.0031000000000065</v>
      </c>
      <c r="B42" s="6"/>
      <c r="C42" s="6"/>
      <c r="D42" s="7"/>
      <c r="E42" s="7"/>
      <c r="F42" s="8"/>
      <c r="G42" s="8"/>
      <c r="H42" s="8"/>
      <c r="I42" s="8"/>
      <c r="J42" s="8"/>
      <c r="K42" s="8"/>
      <c r="L42" s="7"/>
    </row>
    <row r="43" spans="1:12" x14ac:dyDescent="0.25">
      <c r="A43" s="5">
        <f t="shared" si="0"/>
        <v>2.0032000000000068</v>
      </c>
      <c r="B43" s="6"/>
      <c r="C43" s="6"/>
      <c r="D43" s="7"/>
      <c r="E43" s="7"/>
      <c r="F43" s="8"/>
      <c r="G43" s="8"/>
      <c r="H43" s="8"/>
      <c r="I43" s="8"/>
      <c r="J43" s="8"/>
      <c r="K43" s="8"/>
      <c r="L43" s="7"/>
    </row>
    <row r="44" spans="1:12" x14ac:dyDescent="0.25">
      <c r="A44" s="5">
        <f t="shared" si="0"/>
        <v>2.003300000000007</v>
      </c>
      <c r="B44" s="6"/>
      <c r="C44" s="6"/>
      <c r="D44" s="7"/>
      <c r="E44" s="7"/>
      <c r="F44" s="8"/>
      <c r="G44" s="8"/>
      <c r="H44" s="8"/>
      <c r="I44" s="8"/>
      <c r="J44" s="8"/>
      <c r="K44" s="8"/>
      <c r="L44" s="7"/>
    </row>
    <row r="45" spans="1:12" x14ac:dyDescent="0.25">
      <c r="A45" s="5">
        <f t="shared" si="0"/>
        <v>2.0034000000000072</v>
      </c>
      <c r="B45" s="6"/>
      <c r="C45" s="6"/>
      <c r="D45" s="7"/>
      <c r="E45" s="7"/>
      <c r="F45" s="8"/>
      <c r="G45" s="8"/>
      <c r="H45" s="8"/>
      <c r="I45" s="8"/>
      <c r="J45" s="8"/>
      <c r="K45" s="8"/>
      <c r="L45" s="7"/>
    </row>
    <row r="46" spans="1:12" x14ac:dyDescent="0.25">
      <c r="A46" s="5">
        <f t="shared" si="0"/>
        <v>2.0035000000000074</v>
      </c>
      <c r="B46" s="7"/>
      <c r="C46" s="6"/>
      <c r="D46" s="7"/>
      <c r="E46" s="7"/>
      <c r="F46" s="8"/>
      <c r="G46" s="8"/>
      <c r="H46" s="8"/>
      <c r="I46" s="8"/>
      <c r="J46" s="8"/>
      <c r="K46" s="8"/>
      <c r="L46" s="7"/>
    </row>
    <row r="47" spans="1:12" x14ac:dyDescent="0.25">
      <c r="A47" s="5">
        <f t="shared" si="0"/>
        <v>2.0036000000000076</v>
      </c>
      <c r="B47" s="6"/>
      <c r="C47" s="6"/>
      <c r="D47" s="7"/>
      <c r="E47" s="7"/>
      <c r="F47" s="8"/>
      <c r="G47" s="8"/>
      <c r="H47" s="8"/>
      <c r="I47" s="8"/>
      <c r="J47" s="8"/>
      <c r="K47" s="8"/>
      <c r="L47" s="7"/>
    </row>
    <row r="48" spans="1:12" x14ac:dyDescent="0.25">
      <c r="A48" s="5">
        <f t="shared" si="0"/>
        <v>2.0037000000000078</v>
      </c>
      <c r="B48" s="6"/>
      <c r="C48" s="6"/>
      <c r="D48" s="7"/>
      <c r="E48" s="7"/>
      <c r="F48" s="8"/>
      <c r="G48" s="8"/>
      <c r="H48" s="8"/>
      <c r="I48" s="8"/>
      <c r="J48" s="8"/>
      <c r="K48" s="8"/>
      <c r="L48" s="7"/>
    </row>
    <row r="49" spans="1:12" x14ac:dyDescent="0.25">
      <c r="A49" s="5">
        <f t="shared" si="0"/>
        <v>2.003800000000008</v>
      </c>
      <c r="B49" s="6"/>
      <c r="C49" s="6"/>
      <c r="D49" s="7"/>
      <c r="E49" s="7"/>
      <c r="F49" s="8"/>
      <c r="G49" s="8"/>
      <c r="H49" s="8"/>
      <c r="I49" s="8"/>
      <c r="J49" s="8"/>
      <c r="K49" s="8"/>
      <c r="L49" s="7"/>
    </row>
    <row r="50" spans="1:12" x14ac:dyDescent="0.25">
      <c r="A50" s="5">
        <f t="shared" si="0"/>
        <v>2.0039000000000082</v>
      </c>
      <c r="B50" s="6"/>
      <c r="C50" s="6"/>
      <c r="D50" s="7"/>
      <c r="E50" s="7"/>
      <c r="F50" s="8"/>
      <c r="G50" s="8"/>
      <c r="H50" s="8"/>
      <c r="I50" s="8"/>
      <c r="J50" s="8"/>
      <c r="K50" s="8"/>
      <c r="L50" s="7"/>
    </row>
    <row r="51" spans="1:12" x14ac:dyDescent="0.25">
      <c r="A51" s="5">
        <f t="shared" si="0"/>
        <v>2.0040000000000084</v>
      </c>
      <c r="B51" s="6"/>
      <c r="C51" s="6"/>
      <c r="D51" s="7"/>
      <c r="E51" s="7"/>
      <c r="F51" s="8"/>
      <c r="G51" s="8"/>
      <c r="H51" s="8"/>
      <c r="I51" s="8"/>
      <c r="J51" s="8"/>
      <c r="K51" s="8"/>
      <c r="L51" s="7"/>
    </row>
    <row r="52" spans="1:12" x14ac:dyDescent="0.25">
      <c r="A52" s="5">
        <f t="shared" si="0"/>
        <v>2.0041000000000087</v>
      </c>
      <c r="B52" s="7"/>
      <c r="C52" s="6"/>
      <c r="D52" s="7"/>
      <c r="E52" s="7"/>
      <c r="F52" s="8"/>
      <c r="G52" s="8"/>
      <c r="H52" s="8"/>
      <c r="I52" s="8"/>
      <c r="J52" s="8"/>
      <c r="K52" s="8"/>
      <c r="L52" s="7"/>
    </row>
    <row r="53" spans="1:12" x14ac:dyDescent="0.25">
      <c r="A53" s="5">
        <f t="shared" si="0"/>
        <v>2.0042000000000089</v>
      </c>
      <c r="B53" s="7"/>
      <c r="C53" s="6"/>
      <c r="D53" s="7"/>
      <c r="E53" s="7"/>
      <c r="F53" s="8"/>
      <c r="G53" s="8"/>
      <c r="H53" s="8"/>
      <c r="I53" s="8"/>
      <c r="J53" s="8"/>
      <c r="K53" s="8"/>
      <c r="L53" s="7"/>
    </row>
    <row r="54" spans="1:12" x14ac:dyDescent="0.25">
      <c r="A54" s="5">
        <f t="shared" si="0"/>
        <v>2.0043000000000091</v>
      </c>
      <c r="B54" s="7"/>
      <c r="C54" s="6"/>
      <c r="D54" s="7"/>
      <c r="E54" s="7"/>
      <c r="F54" s="8"/>
      <c r="G54" s="8"/>
      <c r="H54" s="8"/>
      <c r="I54" s="8"/>
      <c r="J54" s="8"/>
      <c r="K54" s="8"/>
      <c r="L54" s="7"/>
    </row>
    <row r="55" spans="1:12" ht="15.75" thickBot="1" x14ac:dyDescent="0.3">
      <c r="G55" s="2">
        <f>SUM(G2:G54)</f>
        <v>0</v>
      </c>
      <c r="H55" s="2">
        <f>SUM(H2:H54)</f>
        <v>0</v>
      </c>
      <c r="I55" s="2">
        <f>SUM(I2:I54)</f>
        <v>0</v>
      </c>
      <c r="J55" s="2">
        <f>SUM(J2:J54)</f>
        <v>0</v>
      </c>
      <c r="K55" s="2">
        <f>SUM(K2:K54)</f>
        <v>0</v>
      </c>
    </row>
    <row r="56" spans="1:12" ht="15.75" thickTop="1" x14ac:dyDescent="0.25"/>
  </sheetData>
  <conditionalFormatting sqref="A55:K74 B47:K54 A2:K8">
    <cfRule type="expression" dxfId="18" priority="19">
      <formula>$F2="Fail"</formula>
    </cfRule>
  </conditionalFormatting>
  <conditionalFormatting sqref="A9:K9 B34:K40 B14:K15 A14:A54 B13:C13 A10:E11 G10:K11 B16:C16 B33:C33">
    <cfRule type="expression" dxfId="17" priority="18">
      <formula>$F9="Fail"</formula>
    </cfRule>
  </conditionalFormatting>
  <conditionalFormatting sqref="B41:K46">
    <cfRule type="expression" dxfId="16" priority="17">
      <formula>$F41="Fail"</formula>
    </cfRule>
  </conditionalFormatting>
  <conditionalFormatting sqref="B26:K33 B25:C25 B34:C34">
    <cfRule type="expression" dxfId="15" priority="16">
      <formula>$F25="Fail"</formula>
    </cfRule>
  </conditionalFormatting>
  <conditionalFormatting sqref="B16:K19 B15:C15 B20:C20">
    <cfRule type="expression" dxfId="14" priority="15">
      <formula>$F15="Fail"</formula>
    </cfRule>
  </conditionalFormatting>
  <conditionalFormatting sqref="B19:C26 D20:K25">
    <cfRule type="expression" dxfId="13" priority="14">
      <formula>$F19="Fail"</formula>
    </cfRule>
  </conditionalFormatting>
  <conditionalFormatting sqref="A13:K13">
    <cfRule type="expression" dxfId="12" priority="13">
      <formula>$F13="Fail"</formula>
    </cfRule>
  </conditionalFormatting>
  <conditionalFormatting sqref="A12:K12">
    <cfRule type="expression" dxfId="11" priority="12">
      <formula>$F12="Fail"</formula>
    </cfRule>
  </conditionalFormatting>
  <conditionalFormatting sqref="B12:C12">
    <cfRule type="expression" dxfId="10" priority="11">
      <formula>$F12="Fail"</formula>
    </cfRule>
  </conditionalFormatting>
  <conditionalFormatting sqref="F10">
    <cfRule type="expression" dxfId="9" priority="10">
      <formula>$F10="Fail"</formula>
    </cfRule>
  </conditionalFormatting>
  <conditionalFormatting sqref="F11">
    <cfRule type="expression" dxfId="8" priority="9">
      <formula>$F11="Fail"</formula>
    </cfRule>
  </conditionalFormatting>
  <conditionalFormatting sqref="L47:L74 L2:L8">
    <cfRule type="expression" dxfId="7" priority="8">
      <formula>$F2="Fail"</formula>
    </cfRule>
  </conditionalFormatting>
  <conditionalFormatting sqref="L34:L40 L14:L15 L9:L11">
    <cfRule type="expression" dxfId="6" priority="7">
      <formula>$F9="Fail"</formula>
    </cfRule>
  </conditionalFormatting>
  <conditionalFormatting sqref="L41:L46">
    <cfRule type="expression" dxfId="5" priority="6">
      <formula>$F41="Fail"</formula>
    </cfRule>
  </conditionalFormatting>
  <conditionalFormatting sqref="L26:L33">
    <cfRule type="expression" dxfId="4" priority="5">
      <formula>$F26="Fail"</formula>
    </cfRule>
  </conditionalFormatting>
  <conditionalFormatting sqref="L16:L19">
    <cfRule type="expression" dxfId="3" priority="4">
      <formula>$F16="Fail"</formula>
    </cfRule>
  </conditionalFormatting>
  <conditionalFormatting sqref="L20:L25">
    <cfRule type="expression" dxfId="2" priority="3">
      <formula>$F20="Fail"</formula>
    </cfRule>
  </conditionalFormatting>
  <conditionalFormatting sqref="L13">
    <cfRule type="expression" dxfId="1" priority="2">
      <formula>$F13="Fail"</formula>
    </cfRule>
  </conditionalFormatting>
  <conditionalFormatting sqref="L12">
    <cfRule type="expression" dxfId="0" priority="1">
      <formula>$F12="Fail"</formula>
    </cfRule>
  </conditionalFormatting>
  <dataValidations count="1">
    <dataValidation type="list" allowBlank="1" showInputMessage="1" showErrorMessage="1" sqref="F2:F54">
      <formula1>$G$1:$K$1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ummary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0</xdr:col>
                    <xdr:colOff>685800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Test Case</vt:lpstr>
      <vt:lpstr>2</vt:lpstr>
      <vt:lpstr>3</vt:lpstr>
      <vt:lpstr>4</vt:lpstr>
      <vt:lpstr>Sheet1</vt:lpstr>
    </vt:vector>
  </TitlesOfParts>
  <Company>Sanlam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Jannie Basson (SEB)</dc:creator>
  <cp:lastModifiedBy>Direro Ishmael (SC)</cp:lastModifiedBy>
  <dcterms:created xsi:type="dcterms:W3CDTF">2014-07-31T09:50:05Z</dcterms:created>
  <dcterms:modified xsi:type="dcterms:W3CDTF">2020-07-01T17:37:56Z</dcterms:modified>
</cp:coreProperties>
</file>