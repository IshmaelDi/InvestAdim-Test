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8" windowWidth="20376" windowHeight="8688" activeTab="2"/>
  </bookViews>
  <sheets>
    <sheet name="Summary" sheetId="3" r:id="rId1"/>
    <sheet name="Test Case" sheetId="2" r:id="rId2"/>
    <sheet name="Price File" sheetId="4" r:id="rId3"/>
    <sheet name="Daily Trade Reports" sheetId="5" r:id="rId4"/>
    <sheet name="Other" sheetId="6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K8" i="5" l="1"/>
  <c r="J8" i="5"/>
  <c r="I8" i="5"/>
  <c r="H8" i="5"/>
  <c r="G8" i="5"/>
  <c r="K7" i="5"/>
  <c r="J7" i="5"/>
  <c r="I7" i="5"/>
  <c r="H7" i="5"/>
  <c r="G7" i="5"/>
  <c r="K6" i="5"/>
  <c r="J6" i="5"/>
  <c r="I6" i="5"/>
  <c r="H6" i="5"/>
  <c r="G6" i="5"/>
  <c r="K5" i="5"/>
  <c r="J5" i="5"/>
  <c r="I5" i="5"/>
  <c r="H5" i="5"/>
  <c r="G5" i="5"/>
  <c r="K4" i="5"/>
  <c r="J4" i="5"/>
  <c r="I4" i="5"/>
  <c r="H4" i="5"/>
  <c r="G4" i="5"/>
  <c r="K3" i="5"/>
  <c r="J3" i="5"/>
  <c r="I3" i="5"/>
  <c r="H3" i="5"/>
  <c r="G3" i="5"/>
  <c r="K20" i="4" l="1"/>
  <c r="J20" i="4"/>
  <c r="I20" i="4"/>
  <c r="H20" i="4"/>
  <c r="G20" i="4"/>
  <c r="K19" i="4"/>
  <c r="J19" i="4"/>
  <c r="I19" i="4"/>
  <c r="H19" i="4"/>
  <c r="G19" i="4"/>
  <c r="K18" i="4"/>
  <c r="J18" i="4"/>
  <c r="I18" i="4"/>
  <c r="H18" i="4"/>
  <c r="G18" i="4"/>
  <c r="K17" i="4"/>
  <c r="J17" i="4"/>
  <c r="I17" i="4"/>
  <c r="H17" i="4"/>
  <c r="G17" i="4"/>
  <c r="K16" i="4"/>
  <c r="J16" i="4"/>
  <c r="I16" i="4"/>
  <c r="H16" i="4"/>
  <c r="G16" i="4"/>
  <c r="K15" i="4"/>
  <c r="J15" i="4"/>
  <c r="I15" i="4"/>
  <c r="H15" i="4"/>
  <c r="G15" i="4"/>
  <c r="K14" i="4"/>
  <c r="J14" i="4"/>
  <c r="I14" i="4"/>
  <c r="H14" i="4"/>
  <c r="G14" i="4"/>
  <c r="K13" i="4"/>
  <c r="J13" i="4"/>
  <c r="I13" i="4"/>
  <c r="H13" i="4"/>
  <c r="G13" i="4"/>
  <c r="K11" i="4"/>
  <c r="J11" i="4"/>
  <c r="I11" i="4"/>
  <c r="H11" i="4"/>
  <c r="G11" i="4"/>
  <c r="K10" i="4"/>
  <c r="J10" i="4"/>
  <c r="I10" i="4"/>
  <c r="H10" i="4"/>
  <c r="G10" i="4"/>
  <c r="K9" i="4"/>
  <c r="J9" i="4"/>
  <c r="I9" i="4"/>
  <c r="H9" i="4"/>
  <c r="G9" i="4"/>
  <c r="K8" i="4"/>
  <c r="J8" i="4"/>
  <c r="I8" i="4"/>
  <c r="H8" i="4"/>
  <c r="G8" i="4"/>
  <c r="K7" i="4"/>
  <c r="J7" i="4"/>
  <c r="I7" i="4"/>
  <c r="H7" i="4"/>
  <c r="G7" i="4"/>
  <c r="K6" i="4"/>
  <c r="J6" i="4"/>
  <c r="I6" i="4"/>
  <c r="H6" i="4"/>
  <c r="G6" i="4"/>
  <c r="K5" i="4"/>
  <c r="J5" i="4"/>
  <c r="I5" i="4"/>
  <c r="H5" i="4"/>
  <c r="G5" i="4"/>
  <c r="K4" i="4"/>
  <c r="J4" i="4"/>
  <c r="I4" i="4"/>
  <c r="H4" i="4"/>
  <c r="G4" i="4"/>
  <c r="K3" i="4"/>
  <c r="J3" i="4"/>
  <c r="I3" i="4"/>
  <c r="H3" i="4"/>
  <c r="G3" i="4"/>
  <c r="K58" i="2" l="1"/>
  <c r="J58" i="2"/>
  <c r="I58" i="2"/>
  <c r="H58" i="2"/>
  <c r="G58" i="2"/>
  <c r="J55" i="6"/>
  <c r="H55" i="6"/>
  <c r="A10" i="6"/>
  <c r="A11" i="6" s="1"/>
  <c r="A4" i="6"/>
  <c r="A5" i="6" s="1"/>
  <c r="A6" i="6" s="1"/>
  <c r="A7" i="6" s="1"/>
  <c r="A8" i="6" s="1"/>
  <c r="K55" i="6"/>
  <c r="I55" i="6"/>
  <c r="G55" i="6"/>
  <c r="A10" i="5"/>
  <c r="A11" i="5" s="1"/>
  <c r="A5" i="5"/>
  <c r="A6" i="5" s="1"/>
  <c r="A7" i="5" s="1"/>
  <c r="A8" i="5" s="1"/>
  <c r="H55" i="5"/>
  <c r="D5" i="3" s="1"/>
  <c r="A4" i="5"/>
  <c r="K55" i="5"/>
  <c r="G5" i="3" s="1"/>
  <c r="J55" i="5"/>
  <c r="F5" i="3" s="1"/>
  <c r="I55" i="5"/>
  <c r="E5" i="3" s="1"/>
  <c r="G55" i="5"/>
  <c r="C5" i="3" s="1"/>
  <c r="H5" i="3" s="1"/>
  <c r="K21" i="4"/>
  <c r="G4" i="3" s="1"/>
  <c r="G21" i="4"/>
  <c r="C4" i="3" s="1"/>
  <c r="A13" i="4"/>
  <c r="A14" i="4" s="1"/>
  <c r="A17" i="4" s="1"/>
  <c r="A18" i="4" s="1"/>
  <c r="A19" i="4" s="1"/>
  <c r="A20" i="4" s="1"/>
  <c r="A4" i="4"/>
  <c r="A5" i="4" s="1"/>
  <c r="A6" i="4" s="1"/>
  <c r="A7" i="4" s="1"/>
  <c r="A8" i="4" s="1"/>
  <c r="A9" i="4" s="1"/>
  <c r="A10" i="4" s="1"/>
  <c r="A11" i="4" s="1"/>
  <c r="J21" i="4"/>
  <c r="F4" i="3" s="1"/>
  <c r="I21" i="4"/>
  <c r="E4" i="3" s="1"/>
  <c r="H21" i="4"/>
  <c r="D4" i="3" s="1"/>
  <c r="H4" i="3" l="1"/>
  <c r="A13" i="6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12" i="6"/>
  <c r="A13" i="5"/>
  <c r="A12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16" i="4"/>
  <c r="A15" i="4"/>
  <c r="A10" i="2"/>
  <c r="A11" i="2" s="1"/>
  <c r="A13" i="2" s="1"/>
  <c r="A12" i="2" l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4" i="2"/>
  <c r="A5" i="2" s="1"/>
  <c r="A6" i="2" s="1"/>
  <c r="A7" i="2" s="1"/>
  <c r="A8" i="2" s="1"/>
  <c r="G55" i="2" l="1"/>
  <c r="H55" i="2" l="1"/>
  <c r="I55" i="2" l="1"/>
  <c r="J55" i="2" l="1"/>
  <c r="K55" i="2" l="1"/>
</calcChain>
</file>

<file path=xl/sharedStrings.xml><?xml version="1.0" encoding="utf-8"?>
<sst xmlns="http://schemas.openxmlformats.org/spreadsheetml/2006/main" count="144" uniqueCount="67">
  <si>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</si>
  <si>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</si>
  <si>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</si>
  <si>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</si>
  <si>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</si>
  <si>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</si>
  <si>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</si>
  <si>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</si>
  <si>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</si>
  <si>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</si>
  <si>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</si>
  <si>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</si>
  <si>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</si>
  <si>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Interface</t>
  </si>
  <si>
    <t>Price File</t>
  </si>
  <si>
    <t>Daily Trade Reports</t>
  </si>
  <si>
    <t>Other</t>
  </si>
  <si>
    <t>Interface to Investment Manager</t>
  </si>
  <si>
    <t>This will be covered in the Interfaces Test Case</t>
  </si>
  <si>
    <t>n/a</t>
  </si>
  <si>
    <t>Create Price</t>
  </si>
  <si>
    <t>Go To: 
Treasurer &gt; Price Administration</t>
  </si>
  <si>
    <t>New Page should be displayed</t>
  </si>
  <si>
    <t>Search Box should be displayed</t>
  </si>
  <si>
    <r>
      <t xml:space="preserve">Type </t>
    </r>
    <r>
      <rPr>
        <b/>
        <sz val="10"/>
        <color theme="1"/>
        <rFont val="Arial"/>
        <family val="2"/>
      </rPr>
      <t>SMM 50</t>
    </r>
  </si>
  <si>
    <t>Fund Name</t>
  </si>
  <si>
    <t>Free Text field</t>
  </si>
  <si>
    <t>Click Submit</t>
  </si>
  <si>
    <t>Another Section should be displayed</t>
  </si>
  <si>
    <t>Fund</t>
  </si>
  <si>
    <t>Dropdown menu should be available to Select a Fund</t>
  </si>
  <si>
    <t>Select SMM 50 Portfolio</t>
  </si>
  <si>
    <t>Table containing Price History should be displayed</t>
  </si>
  <si>
    <t>Create Button</t>
  </si>
  <si>
    <t>Update Button</t>
  </si>
  <si>
    <t>Reset Button</t>
  </si>
  <si>
    <t>Should be available</t>
  </si>
  <si>
    <t>Should be disabled</t>
  </si>
  <si>
    <t>Search for Fund / Portfolio</t>
  </si>
  <si>
    <t>Date</t>
  </si>
  <si>
    <t>Capital Price</t>
  </si>
  <si>
    <t>NAV</t>
  </si>
  <si>
    <t>Yield</t>
  </si>
  <si>
    <t>Portfolio Units</t>
  </si>
  <si>
    <t>Hiport Servce Fee</t>
  </si>
  <si>
    <t>Submit Button</t>
  </si>
  <si>
    <t>dd/mm/yyyy format - Required field</t>
  </si>
  <si>
    <t>Required field</t>
  </si>
  <si>
    <t>0.0000</t>
  </si>
  <si>
    <t>Should be available - When invoked, 
it should hide the section below</t>
  </si>
  <si>
    <t>PriceHistory.PriceDate</t>
  </si>
  <si>
    <t>fund.TrustnameLong</t>
  </si>
  <si>
    <t>PriceHistory.ExIncome</t>
  </si>
  <si>
    <t>PriceHistory.BuyPrice</t>
  </si>
  <si>
    <t>PriceHistory.PortfolioUnits</t>
  </si>
  <si>
    <t>PriceHistory.Yield</t>
  </si>
  <si>
    <t>Day Factor Report (not sure if this is the daily trade report)</t>
  </si>
  <si>
    <t>Go To:
Treasurer &gt; Day Factor Report</t>
  </si>
  <si>
    <t>Consolidated daily interest factor report 
Page should be displayed</t>
  </si>
  <si>
    <t>Period</t>
  </si>
  <si>
    <t>Should be defaulted to the current month</t>
  </si>
  <si>
    <t>mm/ccyy</t>
  </si>
  <si>
    <t>Leave as is</t>
  </si>
  <si>
    <t xml:space="preserve">SHR7057A OPEN ERR ON SHRJCL (00805) </t>
  </si>
  <si>
    <t>INV-14</t>
  </si>
  <si>
    <t>User should see daily interest factor</t>
  </si>
  <si>
    <t xml:space="preserve">Click Create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</si>
</sst>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left" vertical="center"/>
    </xf>
    <xf numFmtId="164" fontId="1" fillId="3" borderId="4" xfId="0" applyNumberFormat="1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left" vertical="center" wrapText="1" indent="1"/>
    </xf>
    <xf numFmtId="0" fontId="1" fillId="0" borderId="2" xfId="0" applyFont="1" applyBorder="1" applyAlignment="1">
      <alignment horizontal="left" vertical="center" wrapText="1" indent="1"/>
    </xf>
    <xf numFmtId="0" fontId="1" fillId="3" borderId="2" xfId="0" quotePrefix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/>
    </xf>
    <xf numFmtId="0" fontId="1" fillId="0" borderId="3" xfId="0" applyFont="1" applyBorder="1" applyAlignment="1">
      <alignment vertical="center" wrapText="1"/>
    </xf>
  </cellXfs>
  <cellStyles count="1">
    <cellStyle name="Normal" xfId="0" builtinId="0"/>
  </cellStyles>
  <dxfs count="88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60960</xdr:rowOff>
        </xdr:from>
        <xdr:to>
          <xdr:col>0</xdr:col>
          <xdr:colOff>579120</xdr:colOff>
          <xdr:row>8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7620</xdr:rowOff>
        </xdr:from>
        <xdr:to>
          <xdr:col>0</xdr:col>
          <xdr:colOff>579120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7620</xdr:rowOff>
        </xdr:from>
        <xdr:to>
          <xdr:col>0</xdr:col>
          <xdr:colOff>579120</xdr:colOff>
          <xdr:row>3</xdr:row>
          <xdr:rowOff>175260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7620</xdr:rowOff>
        </xdr:from>
        <xdr:to>
          <xdr:col>0</xdr:col>
          <xdr:colOff>579120</xdr:colOff>
          <xdr:row>4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7620</xdr:rowOff>
        </xdr:from>
        <xdr:to>
          <xdr:col>0</xdr:col>
          <xdr:colOff>579120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2118360</xdr:colOff>
          <xdr:row>0</xdr:row>
          <xdr:rowOff>60960</xdr:rowOff>
        </xdr:from>
        <xdr:to>
          <xdr:col>2</xdr:col>
          <xdr:colOff>2926080</xdr:colOff>
          <xdr:row>0</xdr:row>
          <xdr:rowOff>342900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2118360</xdr:colOff>
          <xdr:row>0</xdr:row>
          <xdr:rowOff>60960</xdr:rowOff>
        </xdr:from>
        <xdr:to>
          <xdr:col>2</xdr:col>
          <xdr:colOff>2926080</xdr:colOff>
          <xdr:row>0</xdr:row>
          <xdr:rowOff>342900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sinveset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est Case"/>
      <sheetName val="Bulk"/>
      <sheetName val="Internal"/>
      <sheetName val="External"/>
      <sheetName val="Disinvesetment"/>
    </sheetNames>
    <definedNames>
      <definedName name="formatting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3"/>
  <sheetViews>
    <sheetView zoomScale="115" zoomScaleNormal="115" workbookViewId="0">
      <selection activeCell="F5" sqref="F5"/>
    </sheetView>
  </sheetViews>
  <sheetFormatPr defaultColWidth="9.109375" defaultRowHeight="14.4" x14ac:dyDescent="0.3"/>
  <cols>
    <col min="1" max="1" width="9.109375" style="3"/>
    <col min="2" max="2" width="21.5546875" style="3" bestFit="1" customWidth="1"/>
    <col min="3" max="8" width="15" style="3" customWidth="1"/>
    <col min="9" max="16384" width="9.109375" style="3"/>
  </cols>
  <sheetData>
    <row r="2" spans="2:9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9" x14ac:dyDescent="0.25">
      <c r="B3" s="22" t="s">
        <v>13</v>
      </c>
      <c r="C3" s="14" t="s">
        <v>19</v>
      </c>
      <c r="D3" s="14" t="s">
        <v>19</v>
      </c>
      <c r="E3" s="14" t="s">
        <v>19</v>
      </c>
      <c r="F3" s="15" t="s">
        <v>19</v>
      </c>
      <c r="G3" s="15" t="s">
        <v>19</v>
      </c>
      <c r="H3" s="14" t="s">
        <v>19</v>
      </c>
      <c r="I3" s="3" t="s">
        <v>18</v>
      </c>
    </row>
    <row r="4" spans="2:9" x14ac:dyDescent="0.25">
      <c r="B4" s="22" t="s">
        <v>14</v>
      </c>
      <c r="C4" s="14">
        <f>'Price File'!G21</f>
        <v>17</v>
      </c>
      <c r="D4" s="14">
        <f>'Price File'!H21</f>
        <v>0</v>
      </c>
      <c r="E4" s="14">
        <f>'Price File'!I21</f>
        <v>0</v>
      </c>
      <c r="F4" s="15">
        <f>'Price File'!J21</f>
        <v>0</v>
      </c>
      <c r="G4" s="15">
        <f>'Price File'!K21</f>
        <v>0</v>
      </c>
      <c r="H4" s="14">
        <f t="shared" ref="H4:H5" si="0">SUM(C4:E4)</f>
        <v>17</v>
      </c>
    </row>
    <row r="5" spans="2:9" x14ac:dyDescent="0.25">
      <c r="B5" s="22" t="s">
        <v>15</v>
      </c>
      <c r="C5" s="14">
        <f>'Daily Trade Reports'!G55</f>
        <v>0</v>
      </c>
      <c r="D5" s="14">
        <f>'Daily Trade Reports'!H55</f>
        <v>0</v>
      </c>
      <c r="E5" s="14">
        <f>'Daily Trade Reports'!I55</f>
        <v>0</v>
      </c>
      <c r="F5" s="15">
        <f>'Daily Trade Reports'!J55</f>
        <v>6</v>
      </c>
      <c r="G5" s="15">
        <f>'Daily Trade Reports'!K55</f>
        <v>0</v>
      </c>
      <c r="H5" s="14">
        <f t="shared" si="0"/>
        <v>0</v>
      </c>
    </row>
    <row r="6" spans="2:9" x14ac:dyDescent="0.25">
      <c r="B6" s="22" t="s">
        <v>16</v>
      </c>
      <c r="C6" s="14" t="s">
        <v>19</v>
      </c>
      <c r="D6" s="14" t="s">
        <v>19</v>
      </c>
      <c r="E6" s="14" t="s">
        <v>19</v>
      </c>
      <c r="F6" s="15" t="s">
        <v>19</v>
      </c>
      <c r="G6" s="15" t="s">
        <v>19</v>
      </c>
      <c r="H6" s="14" t="s">
        <v>19</v>
      </c>
    </row>
    <row r="7" spans="2:9" x14ac:dyDescent="0.25">
      <c r="B7" s="13"/>
      <c r="C7" s="14"/>
      <c r="D7" s="14"/>
      <c r="E7" s="14"/>
      <c r="F7" s="15"/>
      <c r="G7" s="15"/>
      <c r="H7" s="14"/>
    </row>
    <row r="13" spans="2:9" x14ac:dyDescent="0.25">
      <c r="B13" s="3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60960</xdr:rowOff>
                  </from>
                  <to>
                    <xdr:col>0</xdr:col>
                    <xdr:colOff>579120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7620</xdr:rowOff>
                  </from>
                  <to>
                    <xdr:col>0</xdr:col>
                    <xdr:colOff>579120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Price_File_Click">
                <anchor moveWithCells="1">
                  <from>
                    <xdr:col>0</xdr:col>
                    <xdr:colOff>38100</xdr:colOff>
                    <xdr:row>3</xdr:row>
                    <xdr:rowOff>7620</xdr:rowOff>
                  </from>
                  <to>
                    <xdr:col>0</xdr:col>
                    <xdr:colOff>579120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aily_Trade_Reports_Click">
                <anchor moveWithCells="1">
                  <from>
                    <xdr:col>0</xdr:col>
                    <xdr:colOff>38100</xdr:colOff>
                    <xdr:row>4</xdr:row>
                    <xdr:rowOff>7620</xdr:rowOff>
                  </from>
                  <to>
                    <xdr:col>0</xdr:col>
                    <xdr:colOff>579120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ther_Click">
                <anchor moveWithCells="1">
                  <from>
                    <xdr:col>0</xdr:col>
                    <xdr:colOff>38100</xdr:colOff>
                    <xdr:row>5</xdr:row>
                    <xdr:rowOff>7620</xdr:rowOff>
                  </from>
                  <to>
                    <xdr:col>0</xdr:col>
                    <xdr:colOff>579120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8"/>
  <sheetViews>
    <sheetView zoomScaleNormal="100" workbookViewId="0">
      <pane ySplit="1" topLeftCell="A41" activePane="bottomLeft" state="frozen"/>
      <selection pane="bottomLeft" activeCell="A2" sqref="A2"/>
    </sheetView>
  </sheetViews>
  <sheetFormatPr defaultColWidth="9.109375" defaultRowHeight="14.4" x14ac:dyDescent="0.3"/>
  <cols>
    <col min="1" max="1" width="11.33203125" style="4" bestFit="1" customWidth="1"/>
    <col min="2" max="2" width="48.5546875" style="1" customWidth="1"/>
    <col min="3" max="3" width="50.6640625" style="1" customWidth="1"/>
    <col min="4" max="4" width="39" style="1" customWidth="1"/>
    <col min="5" max="5" width="20.44140625" style="1" customWidth="1"/>
    <col min="6" max="6" width="14.6640625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ht="15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15" x14ac:dyDescent="0.25">
      <c r="A3" s="5">
        <v>1</v>
      </c>
      <c r="B3" s="6" t="s">
        <v>18</v>
      </c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ht="15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ht="15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ht="15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ht="15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ht="15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ht="15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ht="15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ht="15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ht="15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ht="15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ht="15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ht="15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ht="15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ht="15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ht="15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ht="15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ht="15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ht="15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ht="15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ht="15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ht="15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ht="15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ht="15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ht="15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3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3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3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3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3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3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3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3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3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3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3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3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3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3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3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3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3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3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3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3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3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3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3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3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3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3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3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" thickBot="1" x14ac:dyDescent="0.35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" thickTop="1" x14ac:dyDescent="0.3"/>
    <row r="58" spans="1:12" x14ac:dyDescent="0.3">
      <c r="G58" s="8">
        <f t="shared" ref="G58:K58" si="1">IF($F58=G$1,1,0)</f>
        <v>0</v>
      </c>
      <c r="H58" s="8">
        <f t="shared" si="1"/>
        <v>0</v>
      </c>
      <c r="I58" s="8">
        <f t="shared" si="1"/>
        <v>1</v>
      </c>
      <c r="J58" s="8">
        <f t="shared" si="1"/>
        <v>0</v>
      </c>
      <c r="K58" s="8">
        <f t="shared" si="1"/>
        <v>0</v>
      </c>
    </row>
  </sheetData>
  <conditionalFormatting sqref="B47:K54 A2:K8 A55:K74">
    <cfRule type="expression" dxfId="87" priority="323">
      <formula>$F2="Fail"</formula>
    </cfRule>
  </conditionalFormatting>
  <conditionalFormatting sqref="A9:K9 B34:K40 B14:K15 A14:A54 B13:C14 A10:E11 G10:K11 B16:C16 B33:C40">
    <cfRule type="expression" dxfId="86" priority="18">
      <formula>$F9="Fail"</formula>
    </cfRule>
  </conditionalFormatting>
  <conditionalFormatting sqref="B41:K46">
    <cfRule type="expression" dxfId="85" priority="17">
      <formula>$F41="Fail"</formula>
    </cfRule>
  </conditionalFormatting>
  <conditionalFormatting sqref="B26:K33 B25:C34">
    <cfRule type="expression" dxfId="84" priority="16">
      <formula>$F25="Fail"</formula>
    </cfRule>
  </conditionalFormatting>
  <conditionalFormatting sqref="B16:K19 B15:C20">
    <cfRule type="expression" dxfId="83" priority="15">
      <formula>$F15="Fail"</formula>
    </cfRule>
  </conditionalFormatting>
  <conditionalFormatting sqref="B19:C26 B20:K25">
    <cfRule type="expression" dxfId="82" priority="14">
      <formula>$F19="Fail"</formula>
    </cfRule>
  </conditionalFormatting>
  <conditionalFormatting sqref="A13:K13">
    <cfRule type="expression" dxfId="81" priority="13">
      <formula>$F13="Fail"</formula>
    </cfRule>
  </conditionalFormatting>
  <conditionalFormatting sqref="A12:K12">
    <cfRule type="expression" dxfId="80" priority="12">
      <formula>$F12="Fail"</formula>
    </cfRule>
  </conditionalFormatting>
  <conditionalFormatting sqref="B12:C12">
    <cfRule type="expression" dxfId="79" priority="11">
      <formula>$F12="Fail"</formula>
    </cfRule>
  </conditionalFormatting>
  <conditionalFormatting sqref="F10">
    <cfRule type="expression" dxfId="78" priority="10">
      <formula>$F10="Fail"</formula>
    </cfRule>
  </conditionalFormatting>
  <conditionalFormatting sqref="F11">
    <cfRule type="expression" dxfId="77" priority="9">
      <formula>$F11="Fail"</formula>
    </cfRule>
  </conditionalFormatting>
  <conditionalFormatting sqref="L47:L74 L2:L8">
    <cfRule type="expression" dxfId="76" priority="8">
      <formula>$F2="Fail"</formula>
    </cfRule>
  </conditionalFormatting>
  <conditionalFormatting sqref="L34:L40 L14:L15 L9:L11">
    <cfRule type="expression" dxfId="75" priority="7">
      <formula>$F9="Fail"</formula>
    </cfRule>
  </conditionalFormatting>
  <conditionalFormatting sqref="L41:L46">
    <cfRule type="expression" dxfId="74" priority="6">
      <formula>$F41="Fail"</formula>
    </cfRule>
  </conditionalFormatting>
  <conditionalFormatting sqref="L26:L33">
    <cfRule type="expression" dxfId="73" priority="5">
      <formula>$F26="Fail"</formula>
    </cfRule>
  </conditionalFormatting>
  <conditionalFormatting sqref="L16:L19">
    <cfRule type="expression" dxfId="72" priority="4">
      <formula>$F16="Fail"</formula>
    </cfRule>
  </conditionalFormatting>
  <conditionalFormatting sqref="L20:L25">
    <cfRule type="expression" dxfId="71" priority="3">
      <formula>$F20="Fail"</formula>
    </cfRule>
  </conditionalFormatting>
  <conditionalFormatting sqref="L13">
    <cfRule type="expression" dxfId="70" priority="2">
      <formula>$F13="Fail"</formula>
    </cfRule>
  </conditionalFormatting>
  <conditionalFormatting sqref="L12">
    <cfRule type="expression" dxfId="69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2"/>
  <sheetViews>
    <sheetView tabSelected="1" topLeftCell="D1" zoomScaleNormal="100" workbookViewId="0">
      <pane ySplit="1" topLeftCell="A2" activePane="bottomLeft" state="frozen"/>
      <selection pane="bottomLeft" activeCell="F13" sqref="F13:F20"/>
    </sheetView>
  </sheetViews>
  <sheetFormatPr defaultColWidth="9.109375" defaultRowHeight="14.4" x14ac:dyDescent="0.3"/>
  <cols>
    <col min="1" max="1" width="11.33203125" style="4" bestFit="1" customWidth="1"/>
    <col min="2" max="2" width="48.5546875" style="1" customWidth="1"/>
    <col min="3" max="3" width="50.6640625" style="1" customWidth="1"/>
    <col min="4" max="4" width="39" style="1" customWidth="1"/>
    <col min="5" max="5" width="20.44140625" style="1" customWidth="1"/>
    <col min="6" max="6" width="14.6640625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ht="15" x14ac:dyDescent="0.25">
      <c r="A2" s="16">
        <v>1</v>
      </c>
      <c r="B2" s="17" t="s">
        <v>38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26.4" x14ac:dyDescent="0.3">
      <c r="A3" s="5">
        <v>1</v>
      </c>
      <c r="B3" s="25" t="s">
        <v>21</v>
      </c>
      <c r="C3" s="9" t="s">
        <v>22</v>
      </c>
      <c r="D3" s="7"/>
      <c r="E3" s="6"/>
      <c r="F3" s="8" t="s">
        <v>5</v>
      </c>
      <c r="G3" s="8">
        <f t="shared" ref="G3:K11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3">
      <c r="A4" s="23">
        <f t="shared" ref="A4:A20" si="1">A3+0.0001</f>
        <v>1.0001</v>
      </c>
      <c r="B4" s="6" t="s">
        <v>25</v>
      </c>
      <c r="C4" s="24" t="s">
        <v>23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 t="s">
        <v>51</v>
      </c>
    </row>
    <row r="5" spans="1:12" x14ac:dyDescent="0.3">
      <c r="A5" s="23">
        <f t="shared" si="1"/>
        <v>1.0002</v>
      </c>
      <c r="B5" s="6" t="s">
        <v>24</v>
      </c>
      <c r="C5" s="26" t="s">
        <v>26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3">
      <c r="A6" s="23">
        <f t="shared" si="1"/>
        <v>1.0003</v>
      </c>
      <c r="B6" s="6" t="s">
        <v>27</v>
      </c>
      <c r="C6" s="24" t="s">
        <v>28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x14ac:dyDescent="0.3">
      <c r="A7" s="23">
        <f t="shared" si="1"/>
        <v>1.0004</v>
      </c>
      <c r="B7" s="25" t="s">
        <v>29</v>
      </c>
      <c r="C7" s="24" t="s">
        <v>30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x14ac:dyDescent="0.3">
      <c r="A8" s="23">
        <f t="shared" si="1"/>
        <v>1.0004999999999999</v>
      </c>
      <c r="B8" s="6" t="s">
        <v>31</v>
      </c>
      <c r="C8" s="24" t="s">
        <v>32</v>
      </c>
      <c r="D8" s="7"/>
      <c r="E8" s="7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7"/>
    </row>
    <row r="9" spans="1:12" x14ac:dyDescent="0.3">
      <c r="A9" s="23">
        <f t="shared" si="1"/>
        <v>1.0005999999999999</v>
      </c>
      <c r="B9" s="27" t="s">
        <v>33</v>
      </c>
      <c r="C9" s="6" t="s">
        <v>36</v>
      </c>
      <c r="D9" s="7"/>
      <c r="E9" s="7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7"/>
    </row>
    <row r="10" spans="1:12" x14ac:dyDescent="0.3">
      <c r="A10" s="23">
        <f t="shared" si="1"/>
        <v>1.0006999999999999</v>
      </c>
      <c r="B10" s="6" t="s">
        <v>34</v>
      </c>
      <c r="C10" s="6" t="s">
        <v>37</v>
      </c>
      <c r="D10" s="7"/>
      <c r="E10" s="7"/>
      <c r="F10" s="8" t="s">
        <v>5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7"/>
    </row>
    <row r="11" spans="1:12" ht="26.4" x14ac:dyDescent="0.3">
      <c r="A11" s="23">
        <f t="shared" si="1"/>
        <v>1.0007999999999999</v>
      </c>
      <c r="B11" s="6" t="s">
        <v>35</v>
      </c>
      <c r="C11" s="6" t="s">
        <v>49</v>
      </c>
      <c r="D11" s="7"/>
      <c r="E11" s="7"/>
      <c r="F11" s="8" t="s">
        <v>5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7"/>
    </row>
    <row r="12" spans="1:12" s="20" customFormat="1" ht="15" x14ac:dyDescent="0.25">
      <c r="A12" s="16">
        <v>2</v>
      </c>
      <c r="B12" s="17" t="s">
        <v>20</v>
      </c>
      <c r="C12" s="18"/>
      <c r="D12" s="17"/>
      <c r="E12" s="17"/>
      <c r="F12" s="19"/>
      <c r="G12" s="19"/>
      <c r="H12" s="19"/>
      <c r="I12" s="19"/>
      <c r="J12" s="19"/>
      <c r="K12" s="19"/>
      <c r="L12" s="17"/>
    </row>
    <row r="13" spans="1:12" x14ac:dyDescent="0.3">
      <c r="A13" s="5">
        <f t="shared" si="1"/>
        <v>2.0001000000000002</v>
      </c>
      <c r="B13" s="6" t="s">
        <v>66</v>
      </c>
      <c r="C13" s="9" t="s">
        <v>28</v>
      </c>
      <c r="D13" s="7"/>
      <c r="E13" s="6"/>
      <c r="F13" s="8" t="s">
        <v>5</v>
      </c>
      <c r="G13" s="8">
        <f t="shared" ref="G13:K20" si="2">IF($F13=G$1,1,0)</f>
        <v>1</v>
      </c>
      <c r="H13" s="8">
        <f t="shared" si="2"/>
        <v>0</v>
      </c>
      <c r="I13" s="8">
        <f t="shared" si="2"/>
        <v>0</v>
      </c>
      <c r="J13" s="8">
        <f t="shared" si="2"/>
        <v>0</v>
      </c>
      <c r="K13" s="8">
        <f t="shared" si="2"/>
        <v>0</v>
      </c>
      <c r="L13" s="7"/>
    </row>
    <row r="14" spans="1:12" x14ac:dyDescent="0.3">
      <c r="A14" s="5">
        <f t="shared" si="1"/>
        <v>2.0002000000000004</v>
      </c>
      <c r="B14" s="29" t="s">
        <v>39</v>
      </c>
      <c r="C14" s="9" t="s">
        <v>46</v>
      </c>
      <c r="D14" s="7"/>
      <c r="E14" s="6"/>
      <c r="F14" s="8" t="s">
        <v>5</v>
      </c>
      <c r="G14" s="8">
        <f t="shared" si="2"/>
        <v>1</v>
      </c>
      <c r="H14" s="8">
        <f t="shared" si="2"/>
        <v>0</v>
      </c>
      <c r="I14" s="8">
        <f t="shared" si="2"/>
        <v>0</v>
      </c>
      <c r="J14" s="8">
        <f t="shared" si="2"/>
        <v>0</v>
      </c>
      <c r="K14" s="8">
        <f t="shared" si="2"/>
        <v>0</v>
      </c>
      <c r="L14" s="7" t="s">
        <v>50</v>
      </c>
    </row>
    <row r="15" spans="1:12" x14ac:dyDescent="0.3">
      <c r="A15" s="5">
        <f t="shared" si="1"/>
        <v>2.0003000000000006</v>
      </c>
      <c r="B15" s="29" t="s">
        <v>40</v>
      </c>
      <c r="C15" s="9" t="s">
        <v>47</v>
      </c>
      <c r="D15" s="7"/>
      <c r="E15" s="6"/>
      <c r="F15" s="8" t="s">
        <v>5</v>
      </c>
      <c r="G15" s="8">
        <f t="shared" si="2"/>
        <v>1</v>
      </c>
      <c r="H15" s="8">
        <f t="shared" si="2"/>
        <v>0</v>
      </c>
      <c r="I15" s="8">
        <f t="shared" si="2"/>
        <v>0</v>
      </c>
      <c r="J15" s="8">
        <f t="shared" si="2"/>
        <v>0</v>
      </c>
      <c r="K15" s="8">
        <f t="shared" si="2"/>
        <v>0</v>
      </c>
      <c r="L15" s="7" t="s">
        <v>52</v>
      </c>
    </row>
    <row r="16" spans="1:12" x14ac:dyDescent="0.3">
      <c r="A16" s="5">
        <f>A14+0.0001</f>
        <v>2.0003000000000006</v>
      </c>
      <c r="B16" s="29" t="s">
        <v>41</v>
      </c>
      <c r="C16" s="9" t="s">
        <v>47</v>
      </c>
      <c r="D16" s="7"/>
      <c r="E16" s="6"/>
      <c r="F16" s="8" t="s">
        <v>5</v>
      </c>
      <c r="G16" s="8">
        <f t="shared" si="2"/>
        <v>1</v>
      </c>
      <c r="H16" s="8">
        <f t="shared" si="2"/>
        <v>0</v>
      </c>
      <c r="I16" s="8">
        <f t="shared" si="2"/>
        <v>0</v>
      </c>
      <c r="J16" s="8">
        <f t="shared" si="2"/>
        <v>0</v>
      </c>
      <c r="K16" s="8">
        <f t="shared" si="2"/>
        <v>0</v>
      </c>
      <c r="L16" s="7" t="s">
        <v>53</v>
      </c>
    </row>
    <row r="17" spans="1:12" x14ac:dyDescent="0.3">
      <c r="A17" s="5">
        <f>A14+0.0001</f>
        <v>2.0003000000000006</v>
      </c>
      <c r="B17" s="30" t="s">
        <v>42</v>
      </c>
      <c r="C17" s="31" t="s">
        <v>48</v>
      </c>
      <c r="D17" s="21"/>
      <c r="E17" s="6"/>
      <c r="F17" s="8" t="s">
        <v>5</v>
      </c>
      <c r="G17" s="8">
        <f t="shared" si="2"/>
        <v>1</v>
      </c>
      <c r="H17" s="8">
        <f t="shared" si="2"/>
        <v>0</v>
      </c>
      <c r="I17" s="8">
        <f t="shared" si="2"/>
        <v>0</v>
      </c>
      <c r="J17" s="8">
        <f t="shared" si="2"/>
        <v>0</v>
      </c>
      <c r="K17" s="8">
        <f t="shared" si="2"/>
        <v>0</v>
      </c>
      <c r="L17" s="7" t="s">
        <v>55</v>
      </c>
    </row>
    <row r="18" spans="1:12" x14ac:dyDescent="0.3">
      <c r="A18" s="5">
        <f t="shared" si="1"/>
        <v>2.0004000000000008</v>
      </c>
      <c r="B18" s="30" t="s">
        <v>43</v>
      </c>
      <c r="C18" s="31" t="s">
        <v>48</v>
      </c>
      <c r="D18" s="7"/>
      <c r="E18" s="7"/>
      <c r="F18" s="8" t="s">
        <v>5</v>
      </c>
      <c r="G18" s="8">
        <f t="shared" si="2"/>
        <v>1</v>
      </c>
      <c r="H18" s="8">
        <f t="shared" si="2"/>
        <v>0</v>
      </c>
      <c r="I18" s="8">
        <f t="shared" si="2"/>
        <v>0</v>
      </c>
      <c r="J18" s="8">
        <f t="shared" si="2"/>
        <v>0</v>
      </c>
      <c r="K18" s="8">
        <f t="shared" si="2"/>
        <v>0</v>
      </c>
      <c r="L18" s="7" t="s">
        <v>54</v>
      </c>
    </row>
    <row r="19" spans="1:12" x14ac:dyDescent="0.3">
      <c r="A19" s="5">
        <f t="shared" si="1"/>
        <v>2.0005000000000011</v>
      </c>
      <c r="B19" s="30" t="s">
        <v>44</v>
      </c>
      <c r="C19" s="31" t="s">
        <v>48</v>
      </c>
      <c r="D19" s="7"/>
      <c r="E19" s="7"/>
      <c r="F19" s="8" t="s">
        <v>5</v>
      </c>
      <c r="G19" s="8">
        <f t="shared" si="2"/>
        <v>1</v>
      </c>
      <c r="H19" s="8">
        <f t="shared" si="2"/>
        <v>0</v>
      </c>
      <c r="I19" s="8">
        <f t="shared" si="2"/>
        <v>0</v>
      </c>
      <c r="J19" s="8">
        <f t="shared" si="2"/>
        <v>0</v>
      </c>
      <c r="K19" s="8">
        <f t="shared" si="2"/>
        <v>0</v>
      </c>
      <c r="L19" s="7"/>
    </row>
    <row r="20" spans="1:12" x14ac:dyDescent="0.3">
      <c r="A20" s="5">
        <f t="shared" si="1"/>
        <v>2.0006000000000013</v>
      </c>
      <c r="B20" s="29" t="s">
        <v>45</v>
      </c>
      <c r="C20" s="6"/>
      <c r="D20" s="7"/>
      <c r="E20" s="7"/>
      <c r="F20" s="8" t="s">
        <v>5</v>
      </c>
      <c r="G20" s="8">
        <f t="shared" si="2"/>
        <v>1</v>
      </c>
      <c r="H20" s="8">
        <f t="shared" si="2"/>
        <v>0</v>
      </c>
      <c r="I20" s="8">
        <f t="shared" si="2"/>
        <v>0</v>
      </c>
      <c r="J20" s="8">
        <f t="shared" si="2"/>
        <v>0</v>
      </c>
      <c r="K20" s="8">
        <f t="shared" si="2"/>
        <v>0</v>
      </c>
      <c r="L20" s="7"/>
    </row>
    <row r="21" spans="1:12" ht="15.75" thickBot="1" x14ac:dyDescent="0.3">
      <c r="G21" s="2">
        <f>SUM(G2:G20)</f>
        <v>17</v>
      </c>
      <c r="H21" s="2">
        <f>SUM(H2:H20)</f>
        <v>0</v>
      </c>
      <c r="I21" s="2">
        <f>SUM(I2:I20)</f>
        <v>0</v>
      </c>
      <c r="J21" s="2">
        <f>SUM(J2:J20)</f>
        <v>0</v>
      </c>
      <c r="K21" s="2">
        <f>SUM(K2:K20)</f>
        <v>0</v>
      </c>
    </row>
    <row r="22" spans="1:12" ht="15.75" thickTop="1" x14ac:dyDescent="0.25"/>
  </sheetData>
  <conditionalFormatting sqref="A21:K40 A2:K2 B6:F7 A6:A11 A3:F5 A17:A20 L19:L40 F3:F11">
    <cfRule type="expression" dxfId="68" priority="47">
      <formula>$F2="Fail"</formula>
    </cfRule>
  </conditionalFormatting>
  <conditionalFormatting sqref="A12:K12 B16 A13:E14 B17:E18 B19:C19">
    <cfRule type="expression" dxfId="67" priority="46">
      <formula>$F12="Fail"</formula>
    </cfRule>
  </conditionalFormatting>
  <conditionalFormatting sqref="B18:C18 B19:E20">
    <cfRule type="expression" dxfId="66" priority="43">
      <formula>$F18="Fail"</formula>
    </cfRule>
  </conditionalFormatting>
  <conditionalFormatting sqref="A16:B16 D16:E16">
    <cfRule type="expression" dxfId="65" priority="41">
      <formula>$F16="Fail"</formula>
    </cfRule>
  </conditionalFormatting>
  <conditionalFormatting sqref="A15:E15">
    <cfRule type="expression" dxfId="64" priority="40">
      <formula>$F15="Fail"</formula>
    </cfRule>
  </conditionalFormatting>
  <conditionalFormatting sqref="B15:C15">
    <cfRule type="expression" dxfId="63" priority="39">
      <formula>$F15="Fail"</formula>
    </cfRule>
  </conditionalFormatting>
  <conditionalFormatting sqref="L2:L7">
    <cfRule type="expression" dxfId="62" priority="36">
      <formula>$F2="Fail"</formula>
    </cfRule>
  </conditionalFormatting>
  <conditionalFormatting sqref="L17:L18 L12:L14">
    <cfRule type="expression" dxfId="61" priority="35">
      <formula>$F12="Fail"</formula>
    </cfRule>
  </conditionalFormatting>
  <conditionalFormatting sqref="L16">
    <cfRule type="expression" dxfId="60" priority="30">
      <formula>$F16="Fail"</formula>
    </cfRule>
  </conditionalFormatting>
  <conditionalFormatting sqref="L15">
    <cfRule type="expression" dxfId="59" priority="29">
      <formula>$F15="Fail"</formula>
    </cfRule>
  </conditionalFormatting>
  <conditionalFormatting sqref="B8:F8">
    <cfRule type="expression" dxfId="58" priority="26">
      <formula>$F8="Fail"</formula>
    </cfRule>
  </conditionalFormatting>
  <conditionalFormatting sqref="L8">
    <cfRule type="expression" dxfId="57" priority="25">
      <formula>$F8="Fail"</formula>
    </cfRule>
  </conditionalFormatting>
  <conditionalFormatting sqref="B9:F9">
    <cfRule type="expression" dxfId="56" priority="24">
      <formula>$F9="Fail"</formula>
    </cfRule>
  </conditionalFormatting>
  <conditionalFormatting sqref="L9">
    <cfRule type="expression" dxfId="55" priority="23">
      <formula>$F9="Fail"</formula>
    </cfRule>
  </conditionalFormatting>
  <conditionalFormatting sqref="B10 D10:F10">
    <cfRule type="expression" dxfId="54" priority="22">
      <formula>$F10="Fail"</formula>
    </cfRule>
  </conditionalFormatting>
  <conditionalFormatting sqref="L10">
    <cfRule type="expression" dxfId="53" priority="21">
      <formula>$F10="Fail"</formula>
    </cfRule>
  </conditionalFormatting>
  <conditionalFormatting sqref="B11 D11:F11">
    <cfRule type="expression" dxfId="52" priority="20">
      <formula>$F11="Fail"</formula>
    </cfRule>
  </conditionalFormatting>
  <conditionalFormatting sqref="L11">
    <cfRule type="expression" dxfId="51" priority="19">
      <formula>$F11="Fail"</formula>
    </cfRule>
  </conditionalFormatting>
  <conditionalFormatting sqref="C10">
    <cfRule type="expression" dxfId="50" priority="12">
      <formula>$F10="Fail"</formula>
    </cfRule>
  </conditionalFormatting>
  <conditionalFormatting sqref="C11">
    <cfRule type="expression" dxfId="49" priority="11">
      <formula>$F11="Fail"</formula>
    </cfRule>
  </conditionalFormatting>
  <conditionalFormatting sqref="C16">
    <cfRule type="expression" dxfId="48" priority="10">
      <formula>$F16="Fail"</formula>
    </cfRule>
  </conditionalFormatting>
  <conditionalFormatting sqref="C16">
    <cfRule type="expression" dxfId="47" priority="9">
      <formula>$F16="Fail"</formula>
    </cfRule>
  </conditionalFormatting>
  <conditionalFormatting sqref="G3:K11">
    <cfRule type="expression" dxfId="46" priority="7">
      <formula>$F3="Fail"</formula>
    </cfRule>
  </conditionalFormatting>
  <conditionalFormatting sqref="G13:K20">
    <cfRule type="expression" dxfId="45" priority="6">
      <formula>$F13="Fail"</formula>
    </cfRule>
  </conditionalFormatting>
  <conditionalFormatting sqref="F13:F20">
    <cfRule type="expression" dxfId="3" priority="2">
      <formula>$F13="Fail"</formula>
    </cfRule>
  </conditionalFormatting>
  <conditionalFormatting sqref="F13:F20">
    <cfRule type="expression" dxfId="1" priority="1">
      <formula>$F13="Fail"</formula>
    </cfRule>
  </conditionalFormatting>
  <dataValidations count="1">
    <dataValidation type="list" allowBlank="1" showInputMessage="1" showErrorMessage="1" sqref="F2:F20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formatting">
                <anchor moveWithCells="1" sizeWithCells="1">
                  <from>
                    <xdr:col>2</xdr:col>
                    <xdr:colOff>2118360</xdr:colOff>
                    <xdr:row>0</xdr:row>
                    <xdr:rowOff>60960</xdr:rowOff>
                  </from>
                  <to>
                    <xdr:col>2</xdr:col>
                    <xdr:colOff>2926080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56"/>
  <sheetViews>
    <sheetView topLeftCell="E1" zoomScaleNormal="100" workbookViewId="0">
      <pane ySplit="1" topLeftCell="A50" activePane="bottomLeft" state="frozen"/>
      <selection pane="bottomLeft" activeCell="D15" sqref="D15"/>
    </sheetView>
  </sheetViews>
  <sheetFormatPr defaultColWidth="9.109375" defaultRowHeight="14.4" x14ac:dyDescent="0.3"/>
  <cols>
    <col min="1" max="1" width="11.33203125" style="4" bestFit="1" customWidth="1"/>
    <col min="2" max="2" width="48.5546875" style="1" customWidth="1"/>
    <col min="3" max="3" width="50.6640625" style="1" customWidth="1"/>
    <col min="4" max="4" width="39" style="1" customWidth="1"/>
    <col min="5" max="5" width="20.44140625" style="1" customWidth="1"/>
    <col min="6" max="6" width="14.6640625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ht="15" x14ac:dyDescent="0.25">
      <c r="A2" s="16">
        <v>1</v>
      </c>
      <c r="B2" s="32" t="s">
        <v>56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25.5" x14ac:dyDescent="0.25">
      <c r="A3" s="5">
        <v>1</v>
      </c>
      <c r="B3" s="25" t="s">
        <v>57</v>
      </c>
      <c r="C3" s="9" t="s">
        <v>58</v>
      </c>
      <c r="D3" s="7"/>
      <c r="E3" s="6"/>
      <c r="F3" s="8" t="s">
        <v>7</v>
      </c>
      <c r="G3" s="8">
        <f t="shared" ref="G3:K8" si="0">IF($F3=G$1,1,0)</f>
        <v>0</v>
      </c>
      <c r="H3" s="8">
        <f t="shared" si="0"/>
        <v>0</v>
      </c>
      <c r="I3" s="8">
        <f t="shared" si="0"/>
        <v>0</v>
      </c>
      <c r="J3" s="8">
        <f t="shared" si="0"/>
        <v>1</v>
      </c>
      <c r="K3" s="8">
        <f t="shared" si="0"/>
        <v>0</v>
      </c>
      <c r="L3" s="7"/>
    </row>
    <row r="4" spans="1:12" ht="15" x14ac:dyDescent="0.25">
      <c r="A4" s="23">
        <f t="shared" ref="A4:A54" si="1">A3+0.0001</f>
        <v>1.0001</v>
      </c>
      <c r="B4" s="25" t="s">
        <v>59</v>
      </c>
      <c r="C4" s="26" t="s">
        <v>60</v>
      </c>
      <c r="D4" s="7"/>
      <c r="E4" s="6"/>
      <c r="F4" s="8" t="s">
        <v>7</v>
      </c>
      <c r="G4" s="8">
        <f t="shared" si="0"/>
        <v>0</v>
      </c>
      <c r="H4" s="8">
        <f t="shared" si="0"/>
        <v>0</v>
      </c>
      <c r="I4" s="8">
        <f t="shared" si="0"/>
        <v>0</v>
      </c>
      <c r="J4" s="8">
        <f t="shared" si="0"/>
        <v>1</v>
      </c>
      <c r="K4" s="8">
        <f t="shared" si="0"/>
        <v>0</v>
      </c>
      <c r="L4" s="7"/>
    </row>
    <row r="5" spans="1:12" ht="15" x14ac:dyDescent="0.25">
      <c r="A5" s="23">
        <f t="shared" si="1"/>
        <v>1.0002</v>
      </c>
      <c r="B5" s="28"/>
      <c r="C5" s="26" t="s">
        <v>61</v>
      </c>
      <c r="D5" s="7"/>
      <c r="E5" s="6"/>
      <c r="F5" s="8" t="s">
        <v>7</v>
      </c>
      <c r="G5" s="8">
        <f t="shared" si="0"/>
        <v>0</v>
      </c>
      <c r="H5" s="8">
        <f t="shared" si="0"/>
        <v>0</v>
      </c>
      <c r="I5" s="8">
        <f t="shared" si="0"/>
        <v>0</v>
      </c>
      <c r="J5" s="8">
        <f t="shared" si="0"/>
        <v>1</v>
      </c>
      <c r="K5" s="8">
        <f t="shared" si="0"/>
        <v>0</v>
      </c>
      <c r="L5" s="7"/>
    </row>
    <row r="6" spans="1:12" ht="15" x14ac:dyDescent="0.25">
      <c r="A6" s="23">
        <f t="shared" si="1"/>
        <v>1.0003</v>
      </c>
      <c r="B6" s="27"/>
      <c r="C6" s="33" t="s">
        <v>62</v>
      </c>
      <c r="D6" s="7"/>
      <c r="E6" s="7"/>
      <c r="F6" s="8" t="s">
        <v>7</v>
      </c>
      <c r="G6" s="8">
        <f t="shared" si="0"/>
        <v>0</v>
      </c>
      <c r="H6" s="8">
        <f t="shared" si="0"/>
        <v>0</v>
      </c>
      <c r="I6" s="8">
        <f t="shared" si="0"/>
        <v>0</v>
      </c>
      <c r="J6" s="8">
        <f t="shared" si="0"/>
        <v>1</v>
      </c>
      <c r="K6" s="8">
        <f t="shared" si="0"/>
        <v>0</v>
      </c>
      <c r="L6" s="7"/>
    </row>
    <row r="7" spans="1:12" ht="15" x14ac:dyDescent="0.25">
      <c r="A7" s="5">
        <f t="shared" si="1"/>
        <v>1.0004</v>
      </c>
      <c r="B7" s="27" t="s">
        <v>27</v>
      </c>
      <c r="C7" s="6" t="s">
        <v>65</v>
      </c>
      <c r="D7" s="7" t="s">
        <v>63</v>
      </c>
      <c r="E7" s="7" t="s">
        <v>64</v>
      </c>
      <c r="F7" s="8" t="s">
        <v>7</v>
      </c>
      <c r="G7" s="8">
        <f t="shared" si="0"/>
        <v>0</v>
      </c>
      <c r="H7" s="8">
        <f t="shared" si="0"/>
        <v>0</v>
      </c>
      <c r="I7" s="8">
        <f t="shared" si="0"/>
        <v>0</v>
      </c>
      <c r="J7" s="8">
        <f t="shared" si="0"/>
        <v>1</v>
      </c>
      <c r="K7" s="8">
        <f t="shared" si="0"/>
        <v>0</v>
      </c>
      <c r="L7" s="7"/>
    </row>
    <row r="8" spans="1:12" ht="15" x14ac:dyDescent="0.25">
      <c r="A8" s="5">
        <f t="shared" si="1"/>
        <v>1.0004999999999999</v>
      </c>
      <c r="B8" s="7"/>
      <c r="C8" s="6"/>
      <c r="D8" s="7"/>
      <c r="E8" s="7"/>
      <c r="F8" s="8" t="s">
        <v>7</v>
      </c>
      <c r="G8" s="8">
        <f t="shared" si="0"/>
        <v>0</v>
      </c>
      <c r="H8" s="8">
        <f t="shared" si="0"/>
        <v>0</v>
      </c>
      <c r="I8" s="8">
        <f t="shared" si="0"/>
        <v>0</v>
      </c>
      <c r="J8" s="8">
        <f t="shared" si="0"/>
        <v>1</v>
      </c>
      <c r="K8" s="8">
        <f t="shared" si="0"/>
        <v>0</v>
      </c>
      <c r="L8" s="7"/>
    </row>
    <row r="9" spans="1:12" s="20" customFormat="1" ht="15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ht="15" x14ac:dyDescent="0.25">
      <c r="A10" s="5">
        <f t="shared" si="1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ht="15" x14ac:dyDescent="0.25">
      <c r="A11" s="5">
        <f t="shared" si="1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ht="15" x14ac:dyDescent="0.25">
      <c r="A12" s="5">
        <f t="shared" si="1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ht="15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ht="15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ht="15" x14ac:dyDescent="0.25">
      <c r="A15" s="5">
        <f t="shared" si="1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ht="15" x14ac:dyDescent="0.25">
      <c r="A16" s="5">
        <f t="shared" si="1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ht="15" x14ac:dyDescent="0.25">
      <c r="A17" s="5">
        <f t="shared" si="1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ht="15" x14ac:dyDescent="0.25">
      <c r="A18" s="5">
        <f t="shared" si="1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ht="15" x14ac:dyDescent="0.25">
      <c r="A19" s="5">
        <f t="shared" si="1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ht="15" x14ac:dyDescent="0.25">
      <c r="A20" s="5">
        <f t="shared" si="1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ht="15" x14ac:dyDescent="0.25">
      <c r="A21" s="5">
        <f t="shared" si="1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ht="15" x14ac:dyDescent="0.25">
      <c r="A22" s="5">
        <f t="shared" si="1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ht="15" x14ac:dyDescent="0.25">
      <c r="A23" s="5">
        <f t="shared" si="1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ht="15" x14ac:dyDescent="0.25">
      <c r="A24" s="5">
        <f t="shared" si="1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ht="15" x14ac:dyDescent="0.25">
      <c r="A25" s="5">
        <f t="shared" si="1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ht="15" x14ac:dyDescent="0.25">
      <c r="A26" s="5">
        <f t="shared" si="1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ht="15" x14ac:dyDescent="0.25">
      <c r="A27" s="5">
        <f t="shared" si="1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3">
      <c r="A28" s="5">
        <f t="shared" si="1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3">
      <c r="A29" s="5">
        <f t="shared" si="1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3">
      <c r="A30" s="5">
        <f t="shared" si="1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3">
      <c r="A31" s="5">
        <f t="shared" si="1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3">
      <c r="A32" s="5">
        <f t="shared" si="1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3">
      <c r="A33" s="5">
        <f t="shared" si="1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3">
      <c r="A34" s="5">
        <f t="shared" si="1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3">
      <c r="A35" s="5">
        <f t="shared" si="1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3">
      <c r="A36" s="5">
        <f t="shared" si="1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3">
      <c r="A37" s="5">
        <f t="shared" si="1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3">
      <c r="A38" s="5">
        <f t="shared" si="1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3">
      <c r="A39" s="5">
        <f t="shared" si="1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3">
      <c r="A40" s="5">
        <f t="shared" si="1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3">
      <c r="A41" s="5">
        <f t="shared" si="1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3">
      <c r="A42" s="5">
        <f t="shared" si="1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3">
      <c r="A43" s="5">
        <f t="shared" si="1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3">
      <c r="A44" s="5">
        <f t="shared" si="1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3">
      <c r="A45" s="5">
        <f t="shared" si="1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3">
      <c r="A46" s="5">
        <f t="shared" si="1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3">
      <c r="A47" s="5">
        <f t="shared" si="1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3">
      <c r="A48" s="5">
        <f t="shared" si="1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3">
      <c r="A49" s="5">
        <f t="shared" si="1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3">
      <c r="A50" s="5">
        <f t="shared" si="1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3">
      <c r="A51" s="5">
        <f t="shared" si="1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3">
      <c r="A52" s="5">
        <f t="shared" si="1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3">
      <c r="A53" s="5">
        <f t="shared" si="1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3">
      <c r="A54" s="5">
        <f t="shared" si="1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" thickBot="1" x14ac:dyDescent="0.35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6</v>
      </c>
      <c r="K55" s="2">
        <f>SUM(K2:K54)</f>
        <v>0</v>
      </c>
    </row>
    <row r="56" spans="1:12" ht="15" thickTop="1" x14ac:dyDescent="0.3"/>
  </sheetData>
  <conditionalFormatting sqref="A55:K74 B47:K54 A2:K2 A3:F8">
    <cfRule type="expression" dxfId="43" priority="20">
      <formula>$F2="Fail"</formula>
    </cfRule>
  </conditionalFormatting>
  <conditionalFormatting sqref="A9:K9 B34:K40 B14:K15 A14:A54 B13:C13 A10:E11 G10:K11 B16:C16 B33:C33">
    <cfRule type="expression" dxfId="42" priority="19">
      <formula>$F9="Fail"</formula>
    </cfRule>
  </conditionalFormatting>
  <conditionalFormatting sqref="B41:K46">
    <cfRule type="expression" dxfId="41" priority="18">
      <formula>$F41="Fail"</formula>
    </cfRule>
  </conditionalFormatting>
  <conditionalFormatting sqref="B26:K33 B25:C25 B34:C34">
    <cfRule type="expression" dxfId="40" priority="17">
      <formula>$F25="Fail"</formula>
    </cfRule>
  </conditionalFormatting>
  <conditionalFormatting sqref="B16:K19 B15:C15 B20:C20">
    <cfRule type="expression" dxfId="39" priority="16">
      <formula>$F15="Fail"</formula>
    </cfRule>
  </conditionalFormatting>
  <conditionalFormatting sqref="B19:C26 D20:K25">
    <cfRule type="expression" dxfId="38" priority="15">
      <formula>$F19="Fail"</formula>
    </cfRule>
  </conditionalFormatting>
  <conditionalFormatting sqref="A13:K13">
    <cfRule type="expression" dxfId="37" priority="14">
      <formula>$F13="Fail"</formula>
    </cfRule>
  </conditionalFormatting>
  <conditionalFormatting sqref="A12:K12">
    <cfRule type="expression" dxfId="36" priority="13">
      <formula>$F12="Fail"</formula>
    </cfRule>
  </conditionalFormatting>
  <conditionalFormatting sqref="B12:C12">
    <cfRule type="expression" dxfId="35" priority="12">
      <formula>$F12="Fail"</formula>
    </cfRule>
  </conditionalFormatting>
  <conditionalFormatting sqref="F10">
    <cfRule type="expression" dxfId="34" priority="11">
      <formula>$F10="Fail"</formula>
    </cfRule>
  </conditionalFormatting>
  <conditionalFormatting sqref="F11">
    <cfRule type="expression" dxfId="33" priority="10">
      <formula>$F11="Fail"</formula>
    </cfRule>
  </conditionalFormatting>
  <conditionalFormatting sqref="L47:L74 L2:L8">
    <cfRule type="expression" dxfId="32" priority="9">
      <formula>$F2="Fail"</formula>
    </cfRule>
  </conditionalFormatting>
  <conditionalFormatting sqref="L34:L40 L14:L15 L9:L11">
    <cfRule type="expression" dxfId="31" priority="8">
      <formula>$F9="Fail"</formula>
    </cfRule>
  </conditionalFormatting>
  <conditionalFormatting sqref="L41:L46">
    <cfRule type="expression" dxfId="30" priority="7">
      <formula>$F41="Fail"</formula>
    </cfRule>
  </conditionalFormatting>
  <conditionalFormatting sqref="L26:L33">
    <cfRule type="expression" dxfId="29" priority="6">
      <formula>$F26="Fail"</formula>
    </cfRule>
  </conditionalFormatting>
  <conditionalFormatting sqref="L16:L19">
    <cfRule type="expression" dxfId="28" priority="5">
      <formula>$F16="Fail"</formula>
    </cfRule>
  </conditionalFormatting>
  <conditionalFormatting sqref="L20:L25">
    <cfRule type="expression" dxfId="27" priority="4">
      <formula>$F20="Fail"</formula>
    </cfRule>
  </conditionalFormatting>
  <conditionalFormatting sqref="L13">
    <cfRule type="expression" dxfId="26" priority="3">
      <formula>$F13="Fail"</formula>
    </cfRule>
  </conditionalFormatting>
  <conditionalFormatting sqref="L12">
    <cfRule type="expression" dxfId="25" priority="2">
      <formula>$F12="Fail"</formula>
    </cfRule>
  </conditionalFormatting>
  <conditionalFormatting sqref="G3:K8">
    <cfRule type="expression" dxfId="24" priority="1">
      <formula>$F3="Fail"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formatting">
                <anchor moveWithCells="1" sizeWithCells="1">
                  <from>
                    <xdr:col>2</xdr:col>
                    <xdr:colOff>2118360</xdr:colOff>
                    <xdr:row>0</xdr:row>
                    <xdr:rowOff>60960</xdr:rowOff>
                  </from>
                  <to>
                    <xdr:col>2</xdr:col>
                    <xdr:colOff>2926080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5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11.33203125" style="4" bestFit="1" customWidth="1"/>
    <col min="2" max="2" width="48.5546875" style="1" customWidth="1"/>
    <col min="3" max="3" width="50.6640625" style="1" customWidth="1"/>
    <col min="4" max="4" width="39" style="1" customWidth="1"/>
    <col min="5" max="5" width="20.44140625" style="1" customWidth="1"/>
    <col min="6" max="6" width="14.6640625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ht="15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15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ht="15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ht="15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ht="15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ht="15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ht="15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ht="15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ht="15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ht="15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ht="15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ht="15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ht="15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ht="15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ht="15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ht="15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ht="15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ht="15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ht="15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ht="15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ht="15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ht="15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ht="15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ht="15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ht="15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ht="15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3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3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3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3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3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3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3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3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3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3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3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3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3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3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3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3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3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3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3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3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3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3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3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3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3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3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3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" thickBot="1" x14ac:dyDescent="0.35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" thickTop="1" x14ac:dyDescent="0.3"/>
  </sheetData>
  <conditionalFormatting sqref="A55:K74 B47:K54 A2:K8">
    <cfRule type="expression" dxfId="23" priority="19">
      <formula>$F2="Fail"</formula>
    </cfRule>
  </conditionalFormatting>
  <conditionalFormatting sqref="A9:K9 B34:K40 B14:K15 A14:A54 B13:C13 A10:E11 G10:K11 B16:C16 B33:C33">
    <cfRule type="expression" dxfId="22" priority="18">
      <formula>$F9="Fail"</formula>
    </cfRule>
  </conditionalFormatting>
  <conditionalFormatting sqref="B41:K46">
    <cfRule type="expression" dxfId="21" priority="17">
      <formula>$F41="Fail"</formula>
    </cfRule>
  </conditionalFormatting>
  <conditionalFormatting sqref="B26:K33 B25:C25 B34:C34">
    <cfRule type="expression" dxfId="20" priority="16">
      <formula>$F25="Fail"</formula>
    </cfRule>
  </conditionalFormatting>
  <conditionalFormatting sqref="B16:K19 B15:C15 B20:C20">
    <cfRule type="expression" dxfId="19" priority="15">
      <formula>$F15="Fail"</formula>
    </cfRule>
  </conditionalFormatting>
  <conditionalFormatting sqref="B19:C26 D20:K25">
    <cfRule type="expression" dxfId="18" priority="14">
      <formula>$F19="Fail"</formula>
    </cfRule>
  </conditionalFormatting>
  <conditionalFormatting sqref="A13:K13">
    <cfRule type="expression" dxfId="17" priority="13">
      <formula>$F13="Fail"</formula>
    </cfRule>
  </conditionalFormatting>
  <conditionalFormatting sqref="A12:K12">
    <cfRule type="expression" dxfId="16" priority="12">
      <formula>$F12="Fail"</formula>
    </cfRule>
  </conditionalFormatting>
  <conditionalFormatting sqref="B12:C12">
    <cfRule type="expression" dxfId="15" priority="11">
      <formula>$F12="Fail"</formula>
    </cfRule>
  </conditionalFormatting>
  <conditionalFormatting sqref="F10">
    <cfRule type="expression" dxfId="14" priority="10">
      <formula>$F10="Fail"</formula>
    </cfRule>
  </conditionalFormatting>
  <conditionalFormatting sqref="F11">
    <cfRule type="expression" dxfId="13" priority="9">
      <formula>$F11="Fail"</formula>
    </cfRule>
  </conditionalFormatting>
  <conditionalFormatting sqref="L47:L74 L2:L8">
    <cfRule type="expression" dxfId="12" priority="8">
      <formula>$F2="Fail"</formula>
    </cfRule>
  </conditionalFormatting>
  <conditionalFormatting sqref="L34:L40 L14:L15 L9:L11">
    <cfRule type="expression" dxfId="11" priority="7">
      <formula>$F9="Fail"</formula>
    </cfRule>
  </conditionalFormatting>
  <conditionalFormatting sqref="L41:L46">
    <cfRule type="expression" dxfId="10" priority="6">
      <formula>$F41="Fail"</formula>
    </cfRule>
  </conditionalFormatting>
  <conditionalFormatting sqref="L26:L33">
    <cfRule type="expression" dxfId="9" priority="5">
      <formula>$F26="Fail"</formula>
    </cfRule>
  </conditionalFormatting>
  <conditionalFormatting sqref="L16:L19">
    <cfRule type="expression" dxfId="8" priority="4">
      <formula>$F16="Fail"</formula>
    </cfRule>
  </conditionalFormatting>
  <conditionalFormatting sqref="L20:L25">
    <cfRule type="expression" dxfId="7" priority="3">
      <formula>$F20="Fail"</formula>
    </cfRule>
  </conditionalFormatting>
  <conditionalFormatting sqref="L13">
    <cfRule type="expression" dxfId="6" priority="2">
      <formula>$F13="Fail"</formula>
    </cfRule>
  </conditionalFormatting>
  <conditionalFormatting sqref="L12">
    <cfRule type="expression" dxfId="5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Test Case</vt:lpstr>
      <vt:lpstr>Price File</vt:lpstr>
      <vt:lpstr>Daily Trade Reports</vt:lpstr>
      <vt:lpstr>Other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Laurentia Jantjies (SEB)</cp:lastModifiedBy>
  <dcterms:created xsi:type="dcterms:W3CDTF">2014-07-31T09:50:05Z</dcterms:created>
  <dcterms:modified xsi:type="dcterms:W3CDTF">2014-12-04T13:20:27Z</dcterms:modified>
</cp:coreProperties>
</file>