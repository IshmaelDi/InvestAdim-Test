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989124\Desktop\Test Documents\Test Cases\Test Cases\"/>
    </mc:Choice>
  </mc:AlternateContent>
  <bookViews>
    <workbookView xWindow="120" yWindow="345" windowWidth="19080" windowHeight="7200" activeTab="1"/>
  </bookViews>
  <sheets>
    <sheet name="Summary" sheetId="3" r:id="rId1"/>
    <sheet name="Test Case" sheetId="2" r:id="rId2"/>
  </sheets>
  <calcPr calcId="162913"/>
</workbook>
</file>

<file path=xl/calcChain.xml><?xml version="1.0" encoding="utf-8"?>
<calcChain xmlns="http://schemas.openxmlformats.org/spreadsheetml/2006/main">
  <c r="K44" i="2" l="1"/>
  <c r="J44" i="2"/>
  <c r="I44" i="2"/>
  <c r="H44" i="2"/>
  <c r="G44" i="2"/>
  <c r="K42" i="2"/>
  <c r="J42" i="2"/>
  <c r="I42" i="2"/>
  <c r="H42" i="2"/>
  <c r="G42" i="2"/>
  <c r="G39" i="2" l="1"/>
  <c r="H39" i="2"/>
  <c r="I39" i="2"/>
  <c r="J39" i="2"/>
  <c r="K39" i="2"/>
  <c r="G38" i="2"/>
  <c r="H38" i="2"/>
  <c r="I38" i="2"/>
  <c r="J38" i="2"/>
  <c r="K38" i="2"/>
  <c r="G37" i="2"/>
  <c r="H37" i="2"/>
  <c r="I37" i="2"/>
  <c r="J37" i="2"/>
  <c r="K37" i="2"/>
  <c r="G36" i="2"/>
  <c r="H36" i="2"/>
  <c r="I36" i="2"/>
  <c r="J36" i="2"/>
  <c r="K36" i="2"/>
  <c r="G35" i="2"/>
  <c r="H35" i="2"/>
  <c r="I35" i="2"/>
  <c r="J35" i="2"/>
  <c r="K35" i="2"/>
  <c r="G34" i="2"/>
  <c r="H34" i="2"/>
  <c r="I34" i="2"/>
  <c r="J34" i="2"/>
  <c r="K34" i="2"/>
  <c r="G33" i="2"/>
  <c r="H33" i="2"/>
  <c r="I33" i="2"/>
  <c r="J33" i="2"/>
  <c r="K33" i="2"/>
  <c r="G32" i="2"/>
  <c r="H32" i="2"/>
  <c r="I32" i="2"/>
  <c r="J32" i="2"/>
  <c r="K32" i="2"/>
  <c r="G22" i="2" l="1"/>
  <c r="H22" i="2"/>
  <c r="I22" i="2"/>
  <c r="J22" i="2"/>
  <c r="K22" i="2"/>
  <c r="G21" i="2"/>
  <c r="H21" i="2"/>
  <c r="I21" i="2"/>
  <c r="J21" i="2"/>
  <c r="K21" i="2"/>
  <c r="G20" i="2"/>
  <c r="H20" i="2"/>
  <c r="I20" i="2"/>
  <c r="J20" i="2"/>
  <c r="K20" i="2"/>
  <c r="L57" i="2" l="1"/>
  <c r="K31" i="2"/>
  <c r="J31" i="2"/>
  <c r="I31" i="2"/>
  <c r="H31" i="2"/>
  <c r="G31" i="2"/>
  <c r="K30" i="2"/>
  <c r="J30" i="2"/>
  <c r="I30" i="2"/>
  <c r="H30" i="2"/>
  <c r="G30" i="2"/>
  <c r="K29" i="2"/>
  <c r="J29" i="2"/>
  <c r="I29" i="2"/>
  <c r="H29" i="2"/>
  <c r="G29" i="2"/>
  <c r="K28" i="2"/>
  <c r="J28" i="2"/>
  <c r="I28" i="2"/>
  <c r="H28" i="2"/>
  <c r="G28" i="2"/>
  <c r="K27" i="2"/>
  <c r="J27" i="2"/>
  <c r="I27" i="2"/>
  <c r="H27" i="2"/>
  <c r="G27" i="2"/>
  <c r="K26" i="2"/>
  <c r="J26" i="2"/>
  <c r="I26" i="2"/>
  <c r="H26" i="2"/>
  <c r="G26" i="2"/>
  <c r="K25" i="2"/>
  <c r="J25" i="2"/>
  <c r="I25" i="2"/>
  <c r="H25" i="2"/>
  <c r="G25" i="2"/>
  <c r="K24" i="2"/>
  <c r="J24" i="2"/>
  <c r="I24" i="2"/>
  <c r="H24" i="2"/>
  <c r="G24" i="2"/>
  <c r="A24" i="2"/>
  <c r="A25" i="2" s="1"/>
  <c r="A26" i="2" s="1"/>
  <c r="A27" i="2" s="1"/>
  <c r="A28" i="2" s="1"/>
  <c r="A29" i="2" s="1"/>
  <c r="A30" i="2" s="1"/>
  <c r="A31" i="2" s="1"/>
  <c r="A32" i="2" s="1"/>
  <c r="A33" i="2" s="1"/>
  <c r="A34" i="2" s="1"/>
  <c r="A35" i="2" s="1"/>
  <c r="A36" i="2" s="1"/>
  <c r="A37" i="2" s="1"/>
  <c r="A38" i="2" s="1"/>
  <c r="A39" i="2" s="1"/>
  <c r="K19" i="2"/>
  <c r="J19" i="2"/>
  <c r="I19" i="2"/>
  <c r="H19" i="2"/>
  <c r="G19" i="2"/>
  <c r="K18" i="2"/>
  <c r="J18" i="2"/>
  <c r="I18" i="2"/>
  <c r="H18" i="2"/>
  <c r="G18" i="2"/>
  <c r="K17" i="2"/>
  <c r="J17" i="2"/>
  <c r="I17" i="2"/>
  <c r="H17" i="2"/>
  <c r="G17" i="2"/>
  <c r="K16" i="2"/>
  <c r="J16" i="2"/>
  <c r="I16" i="2"/>
  <c r="H16" i="2"/>
  <c r="G16" i="2"/>
  <c r="K15" i="2"/>
  <c r="J15" i="2"/>
  <c r="I15" i="2"/>
  <c r="H15" i="2"/>
  <c r="G15" i="2"/>
  <c r="K14" i="2"/>
  <c r="J14" i="2"/>
  <c r="I14" i="2"/>
  <c r="H14" i="2"/>
  <c r="G14" i="2"/>
  <c r="K13" i="2"/>
  <c r="J13" i="2"/>
  <c r="I13" i="2"/>
  <c r="H13" i="2"/>
  <c r="G13" i="2"/>
  <c r="K12" i="2"/>
  <c r="J12" i="2"/>
  <c r="I12" i="2"/>
  <c r="H12" i="2"/>
  <c r="G12" i="2"/>
  <c r="K11" i="2"/>
  <c r="J11" i="2"/>
  <c r="I11" i="2"/>
  <c r="H11" i="2"/>
  <c r="G11" i="2"/>
  <c r="K10" i="2"/>
  <c r="J10" i="2"/>
  <c r="I10" i="2"/>
  <c r="H10" i="2"/>
  <c r="G10" i="2"/>
  <c r="K9" i="2"/>
  <c r="J9" i="2"/>
  <c r="I9" i="2"/>
  <c r="H9" i="2"/>
  <c r="G9" i="2"/>
  <c r="K8" i="2"/>
  <c r="J8" i="2"/>
  <c r="I8" i="2"/>
  <c r="H8" i="2"/>
  <c r="G8" i="2"/>
  <c r="K7" i="2"/>
  <c r="J7" i="2"/>
  <c r="I7" i="2"/>
  <c r="H7" i="2"/>
  <c r="G7" i="2"/>
  <c r="K6" i="2"/>
  <c r="J6" i="2"/>
  <c r="I6" i="2"/>
  <c r="H6" i="2"/>
  <c r="G6" i="2"/>
  <c r="K5" i="2"/>
  <c r="J5" i="2"/>
  <c r="I5" i="2"/>
  <c r="H5" i="2"/>
  <c r="G5" i="2"/>
  <c r="K4" i="2"/>
  <c r="J4" i="2"/>
  <c r="I4" i="2"/>
  <c r="H4" i="2"/>
  <c r="G4" i="2"/>
  <c r="K3" i="2"/>
  <c r="J3" i="2"/>
  <c r="I3" i="2"/>
  <c r="H3" i="2"/>
  <c r="G3" i="2"/>
  <c r="A3" i="2"/>
  <c r="A4" i="2" s="1"/>
  <c r="A5" i="2" s="1"/>
  <c r="A6" i="2" s="1"/>
  <c r="A7" i="2" s="1"/>
  <c r="A8" i="2" s="1"/>
  <c r="A9" i="2" s="1"/>
  <c r="A10" i="2" s="1"/>
  <c r="A11" i="2" s="1"/>
  <c r="A12" i="2" s="1"/>
  <c r="A13" i="2" s="1"/>
  <c r="A14" i="2" s="1"/>
  <c r="A15" i="2" s="1"/>
  <c r="A16" i="2" s="1"/>
  <c r="A17" i="2" s="1"/>
  <c r="A18" i="2" s="1"/>
  <c r="A19" i="2" s="1"/>
  <c r="A20" i="2" s="1"/>
  <c r="A21" i="2" s="1"/>
  <c r="A22" i="2" s="1"/>
  <c r="G56" i="2" l="1"/>
  <c r="K56" i="2"/>
  <c r="H56" i="2"/>
  <c r="I56" i="2"/>
  <c r="J56" i="2"/>
  <c r="G23" i="2"/>
  <c r="H23" i="2"/>
  <c r="I23" i="2"/>
  <c r="J23" i="2"/>
  <c r="K23" i="2"/>
  <c r="G57" i="2" l="1"/>
  <c r="C3" i="3" s="1"/>
  <c r="H57" i="2"/>
  <c r="D3" i="3" s="1"/>
  <c r="K57" i="2"/>
  <c r="G3" i="3" s="1"/>
  <c r="I57" i="2"/>
  <c r="E3" i="3" s="1"/>
  <c r="J57" i="2"/>
  <c r="F3" i="3" s="1"/>
  <c r="H3" i="3" l="1"/>
</calcChain>
</file>

<file path=xl/sharedStrings.xml><?xml version="1.0" encoding="utf-8"?>
<sst xmlns="http://schemas.openxmlformats.org/spreadsheetml/2006/main" count="128" uniqueCount="73">
  <si>
    <t>Correct Y / N</t>
  </si>
  <si>
    <t>Test Case</t>
  </si>
  <si>
    <t>Expected Results</t>
  </si>
  <si>
    <t>Bug  ID</t>
  </si>
  <si>
    <t>Notes</t>
  </si>
  <si>
    <t>Pass</t>
  </si>
  <si>
    <t>Fail</t>
  </si>
  <si>
    <t>N/A</t>
  </si>
  <si>
    <t>Not Now</t>
  </si>
  <si>
    <t>Main Test Case</t>
  </si>
  <si>
    <t>To be Tested</t>
  </si>
  <si>
    <t>TOTAL</t>
  </si>
  <si>
    <t>Input data / Action / Field Name</t>
  </si>
  <si>
    <t>Data Dictionary</t>
  </si>
  <si>
    <t>Page loads with correct default display</t>
  </si>
  <si>
    <t>Click search and click a row in grid</t>
  </si>
  <si>
    <t>After successful search, click submit</t>
  </si>
  <si>
    <t>Create / Cancel Request transaction reports</t>
  </si>
  <si>
    <t>Treasurer / create cancel / create cancel units</t>
  </si>
  <si>
    <t>Create / cancel units screen is displayed</t>
  </si>
  <si>
    <t>The following fields must display</t>
  </si>
  <si>
    <t>Remote printer (defaults to 323 but can be eidited)</t>
  </si>
  <si>
    <t>Migration yes/no radio buttons</t>
  </si>
  <si>
    <t>Create/cancel type - radio buttons for cash/non cash/book value</t>
  </si>
  <si>
    <t>Fund selection dropdown</t>
  </si>
  <si>
    <t>Grid with available transactions appears and submit button is activated</t>
  </si>
  <si>
    <t>Submit button not enabled</t>
  </si>
  <si>
    <t>Reset button is activated</t>
  </si>
  <si>
    <t>Submit</t>
  </si>
  <si>
    <t>Create / cancel units</t>
  </si>
  <si>
    <t>Creations and cancellations successfully applied. Report placed successfully</t>
  </si>
  <si>
    <t>Reset button</t>
  </si>
  <si>
    <t>Clears the screeen and is ready for next selection</t>
  </si>
  <si>
    <t>Remote printer</t>
  </si>
  <si>
    <t>Enter code (323)</t>
  </si>
  <si>
    <t>Transaction Type</t>
  </si>
  <si>
    <t>Select between radio buttons</t>
  </si>
  <si>
    <t>Email daily units report</t>
  </si>
  <si>
    <t>Search and Reset buttons</t>
  </si>
  <si>
    <t>enabled</t>
  </si>
  <si>
    <t>Submit button</t>
  </si>
  <si>
    <t>Disabled</t>
  </si>
  <si>
    <t>On search the grid is loaded and submit button enabled</t>
  </si>
  <si>
    <t>Transaction reports were requested successfully</t>
  </si>
  <si>
    <t>Select Book value radio button and select all funds excluding dif from dropdown</t>
  </si>
  <si>
    <t>Select Non cash radio button and select all funds excluding dif from dropdown</t>
  </si>
  <si>
    <t>Select cash radio button and select all funds excluding dif from dropdown</t>
  </si>
  <si>
    <t>When book value, non cash or cash radio button is selected, also select didvidend fnds and money market for each of there and ensure that there are no transactions listed in the grid</t>
  </si>
  <si>
    <t>Grid is blank</t>
  </si>
  <si>
    <t>Emails generated</t>
  </si>
  <si>
    <t>Profit/Loss per create/cancel tran report (for cash)</t>
  </si>
  <si>
    <t>Profit/Loss per create/cancel tran report (for non-cash)</t>
  </si>
  <si>
    <t>Create/cancel trade account Exeption Report (combined for cash and non-cash)</t>
  </si>
  <si>
    <t xml:space="preserve">Profit/loss per create/cancel tran report </t>
  </si>
  <si>
    <t>SEB Create Report</t>
  </si>
  <si>
    <t>SEB Cancel Report</t>
  </si>
  <si>
    <t>Create/cancel instruction Curo</t>
  </si>
  <si>
    <t>Journals for creations and cancellations</t>
  </si>
  <si>
    <t>Creations Transaction Details for company RSA/NAM</t>
  </si>
  <si>
    <t>SEB: Units in Issue</t>
  </si>
  <si>
    <t>Correspondence / Korrespondensie</t>
  </si>
  <si>
    <t xml:space="preserve">
Treasurer &gt; Create / Cancel &gt; Create/Request Transaction Reports (may not be done before 12.30pm)</t>
  </si>
  <si>
    <t>Cash</t>
  </si>
  <si>
    <t>Betsie Queried, not working correctly</t>
  </si>
  <si>
    <t>E2 FIN UPLOAD</t>
  </si>
  <si>
    <t>Accounting Files</t>
  </si>
  <si>
    <t>Must be verified agaisnt Walker Output</t>
  </si>
  <si>
    <t xml:space="preserve">Verification -  Trade Accounting </t>
  </si>
  <si>
    <t>Refer to Accounting to Support Trade Investment 9.1</t>
  </si>
  <si>
    <r>
      <t xml:space="preserve">The Accounting Must be verified - </t>
    </r>
    <r>
      <rPr>
        <b/>
        <sz val="10"/>
        <color theme="1"/>
        <rFont val="Arial"/>
        <family val="2"/>
      </rPr>
      <t>Dr JE001
Cr GH000</t>
    </r>
  </si>
  <si>
    <r>
      <t xml:space="preserve">The Accounting Must be verified - </t>
    </r>
    <r>
      <rPr>
        <b/>
        <sz val="10"/>
        <color theme="1"/>
        <rFont val="Arial"/>
        <family val="2"/>
      </rPr>
      <t>Dr GH000
Cr JE000</t>
    </r>
  </si>
  <si>
    <t>Refer to Accounting to Support Trade Investment 9.2</t>
  </si>
  <si>
    <t>Clears the screen and is ready for next selection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</si>
</sst>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0.00000"/>
  </numFmts>
  <fonts count="9" x14ac:knownFonts="1">
    <font>
      <sz val="11"/>
      <color theme="1"/>
      <name val="Calibri"/>
      <family val="2"/>
      <scheme val="minor"/>
    </font>
    <font>
      <sz val="10"/>
      <color theme="1"/>
      <name val="Arial"/>
      <family val="2"/>
    </font>
    <font>
      <b/>
      <sz val="11"/>
      <color theme="1"/>
      <name val="Arial"/>
      <family val="2"/>
    </font>
    <font>
      <b/>
      <sz val="11"/>
      <color theme="1"/>
      <name val="Calibri"/>
      <family val="2"/>
      <scheme val="minor"/>
    </font>
    <font>
      <sz val="11"/>
      <color rgb="FF000000"/>
      <name val="Calibri"/>
      <family val="2"/>
    </font>
    <font>
      <b/>
      <sz val="11"/>
      <color theme="0"/>
      <name val="Calibri"/>
      <family val="2"/>
      <scheme val="minor"/>
    </font>
    <font>
      <b/>
      <sz val="10"/>
      <color theme="0"/>
      <name val="Arial"/>
      <family val="2"/>
    </font>
    <font>
      <b/>
      <sz val="10"/>
      <color theme="1"/>
      <name val="Arial"/>
      <family val="2"/>
    </font>
    <font>
      <sz val="10"/>
      <name val="Arial"/>
      <family val="2"/>
    </font>
  </fonts>
  <fills count="7">
    <fill>
      <patternFill patternType="none"/>
    </fill>
    <fill>
      <patternFill patternType="gray125"/>
    </fill>
    <fill>
      <patternFill patternType="solid">
        <fgColor rgb="FFE0E0E0"/>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0">
    <xf numFmtId="0" fontId="0" fillId="0" borderId="0" xfId="0"/>
    <xf numFmtId="0" fontId="0" fillId="3" borderId="0" xfId="0" applyFill="1"/>
    <xf numFmtId="0" fontId="1" fillId="3" borderId="1" xfId="0" applyFont="1" applyFill="1" applyBorder="1" applyAlignment="1">
      <alignment vertical="center" wrapText="1"/>
    </xf>
    <xf numFmtId="0" fontId="1" fillId="0" borderId="1" xfId="0" applyFont="1" applyBorder="1" applyAlignment="1">
      <alignment vertical="center" wrapText="1"/>
    </xf>
    <xf numFmtId="0" fontId="1" fillId="3" borderId="1" xfId="0" applyFont="1" applyFill="1" applyBorder="1" applyAlignment="1">
      <alignment horizontal="left" vertical="center" wrapText="1"/>
    </xf>
    <xf numFmtId="0" fontId="2" fillId="2"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164" fontId="2" fillId="2" borderId="1" xfId="0" applyNumberFormat="1" applyFont="1" applyFill="1" applyBorder="1" applyAlignment="1"/>
    <xf numFmtId="0" fontId="2" fillId="2" borderId="1" xfId="0" applyFont="1" applyFill="1" applyBorder="1" applyAlignment="1"/>
    <xf numFmtId="0" fontId="2" fillId="2" borderId="1" xfId="0" applyFont="1" applyFill="1" applyBorder="1" applyAlignment="1">
      <alignment horizontal="center"/>
    </xf>
    <xf numFmtId="164" fontId="6" fillId="5" borderId="1" xfId="0" applyNumberFormat="1" applyFont="1" applyFill="1" applyBorder="1" applyAlignment="1">
      <alignment vertical="center"/>
    </xf>
    <xf numFmtId="0" fontId="6" fillId="5" borderId="1" xfId="0" applyFont="1" applyFill="1" applyBorder="1" applyAlignment="1">
      <alignment vertical="center"/>
    </xf>
    <xf numFmtId="0" fontId="6" fillId="5" borderId="1" xfId="0" applyFont="1" applyFill="1" applyBorder="1" applyAlignment="1">
      <alignment horizontal="left" vertical="center"/>
    </xf>
    <xf numFmtId="0" fontId="5" fillId="5" borderId="1" xfId="0" applyFont="1" applyFill="1" applyBorder="1" applyAlignment="1"/>
    <xf numFmtId="164" fontId="1" fillId="3" borderId="1" xfId="0" applyNumberFormat="1" applyFont="1" applyFill="1" applyBorder="1" applyAlignment="1">
      <alignment vertical="center"/>
    </xf>
    <xf numFmtId="0" fontId="1" fillId="3" borderId="1" xfId="0" applyFont="1" applyFill="1" applyBorder="1" applyAlignment="1">
      <alignment vertical="center"/>
    </xf>
    <xf numFmtId="0" fontId="1" fillId="3" borderId="1" xfId="0" applyFont="1" applyFill="1" applyBorder="1" applyAlignment="1">
      <alignment horizontal="left" vertical="center"/>
    </xf>
    <xf numFmtId="0" fontId="1" fillId="0" borderId="1" xfId="0" applyFont="1" applyBorder="1" applyAlignment="1">
      <alignment vertical="center"/>
    </xf>
    <xf numFmtId="0" fontId="0" fillId="0" borderId="1" xfId="0" applyBorder="1" applyAlignment="1"/>
    <xf numFmtId="0" fontId="7" fillId="0" borderId="1" xfId="0" applyFont="1" applyBorder="1" applyAlignment="1">
      <alignment vertical="center"/>
    </xf>
    <xf numFmtId="0" fontId="0" fillId="6" borderId="1" xfId="0" applyFill="1" applyBorder="1" applyAlignment="1"/>
    <xf numFmtId="164" fontId="1" fillId="6" borderId="1" xfId="0" applyNumberFormat="1" applyFont="1" applyFill="1" applyBorder="1" applyAlignment="1">
      <alignment vertical="center"/>
    </xf>
    <xf numFmtId="165" fontId="1" fillId="3" borderId="1" xfId="0" applyNumberFormat="1" applyFont="1" applyFill="1" applyBorder="1" applyAlignment="1">
      <alignment vertical="center"/>
    </xf>
    <xf numFmtId="165" fontId="7" fillId="0" borderId="1" xfId="0" applyNumberFormat="1" applyFont="1" applyBorder="1" applyAlignment="1">
      <alignment vertical="center"/>
    </xf>
    <xf numFmtId="165" fontId="1" fillId="0" borderId="1" xfId="0" applyNumberFormat="1" applyFont="1" applyBorder="1" applyAlignment="1">
      <alignment vertical="center"/>
    </xf>
    <xf numFmtId="165" fontId="0" fillId="0" borderId="0" xfId="0" applyNumberFormat="1"/>
    <xf numFmtId="165" fontId="0" fillId="0" borderId="1" xfId="0" applyNumberFormat="1" applyBorder="1"/>
    <xf numFmtId="0" fontId="0" fillId="0" borderId="1" xfId="0" applyBorder="1"/>
    <xf numFmtId="0" fontId="1" fillId="6" borderId="1" xfId="0" applyFont="1" applyFill="1" applyBorder="1" applyAlignment="1">
      <alignment vertical="center"/>
    </xf>
    <xf numFmtId="165" fontId="1" fillId="3" borderId="1" xfId="0" applyNumberFormat="1" applyFont="1" applyFill="1" applyBorder="1" applyAlignment="1">
      <alignment horizontal="left" vertical="center" wrapText="1"/>
    </xf>
    <xf numFmtId="165" fontId="1" fillId="3" borderId="1" xfId="0" applyNumberFormat="1" applyFont="1" applyFill="1" applyBorder="1" applyAlignment="1">
      <alignment vertical="center" wrapText="1"/>
    </xf>
    <xf numFmtId="0" fontId="0" fillId="5" borderId="1" xfId="0" applyFill="1" applyBorder="1"/>
    <xf numFmtId="0" fontId="0" fillId="0" borderId="0" xfId="0" applyFill="1"/>
    <xf numFmtId="0" fontId="5" fillId="5" borderId="1" xfId="0" applyFont="1" applyFill="1" applyBorder="1"/>
    <xf numFmtId="0" fontId="3" fillId="0" borderId="1" xfId="0" applyFont="1" applyFill="1" applyBorder="1" applyAlignment="1"/>
    <xf numFmtId="0" fontId="6" fillId="5" borderId="1" xfId="0" applyFont="1" applyFill="1" applyBorder="1" applyAlignment="1">
      <alignment vertical="center" wrapText="1"/>
    </xf>
    <xf numFmtId="0" fontId="6" fillId="5" borderId="1" xfId="0" applyFont="1" applyFill="1" applyBorder="1" applyAlignment="1">
      <alignment horizontal="left" vertical="center" wrapText="1"/>
    </xf>
    <xf numFmtId="0" fontId="8" fillId="0" borderId="1" xfId="0" applyFont="1" applyFill="1" applyBorder="1" applyAlignment="1">
      <alignment vertical="center" wrapText="1"/>
    </xf>
    <xf numFmtId="0" fontId="0" fillId="0" borderId="1" xfId="0" applyBorder="1" applyAlignment="1">
      <alignment horizontal="left" wrapText="1"/>
    </xf>
  </cellXfs>
  <cellStyles count="1">
    <cellStyle name="Normal" xfId="0" builtinId="0"/>
  </cellStyles>
  <dxfs count="24">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7</xdr:row>
          <xdr:rowOff>57150</xdr:rowOff>
        </xdr:from>
        <xdr:to>
          <xdr:col>0</xdr:col>
          <xdr:colOff>581025</xdr:colOff>
          <xdr:row>8</xdr:row>
          <xdr:rowOff>104775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581025</xdr:colOff>
          <xdr:row>2</xdr:row>
          <xdr:rowOff>171450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1</xdr:col>
          <xdr:colOff>228600</xdr:colOff>
          <xdr:row>0</xdr:row>
          <xdr:rowOff>180975</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1</xdr:col>
          <xdr:colOff>447675</xdr:colOff>
          <xdr:row>0</xdr:row>
          <xdr:rowOff>180975</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H7"/>
  <sheetViews>
    <sheetView zoomScaleNormal="100" workbookViewId="0">
      <selection activeCell="B17" sqref="B17"/>
    </sheetView>
  </sheetViews>
  <sheetFormatPr defaultRowHeight="15" x14ac:dyDescent="0.25"/>
  <cols>
    <col min="1" max="1" width="9.140625" style="1"/>
    <col min="2" max="2" width="18.140625" style="1" customWidth="1"/>
    <col min="3" max="8" width="15" style="1" customWidth="1"/>
    <col min="9" max="16384" width="9.140625" style="1"/>
  </cols>
  <sheetData>
    <row r="2" spans="2:8" x14ac:dyDescent="0.25">
      <c r="B2" s="5"/>
      <c r="C2" s="5" t="s">
        <v>5</v>
      </c>
      <c r="D2" s="5" t="s">
        <v>6</v>
      </c>
      <c r="E2" s="5" t="s">
        <v>10</v>
      </c>
      <c r="F2" s="5" t="s">
        <v>7</v>
      </c>
      <c r="G2" s="5" t="s">
        <v>8</v>
      </c>
      <c r="H2" s="5" t="s">
        <v>11</v>
      </c>
    </row>
    <row r="3" spans="2:8" x14ac:dyDescent="0.25">
      <c r="B3" s="5" t="s">
        <v>9</v>
      </c>
      <c r="C3" s="6">
        <f>'Test Case'!G57</f>
        <v>36</v>
      </c>
      <c r="D3" s="6">
        <f>'Test Case'!H57</f>
        <v>0</v>
      </c>
      <c r="E3" s="6">
        <f>'Test Case'!I57</f>
        <v>0</v>
      </c>
      <c r="F3" s="7">
        <f>'Test Case'!J57</f>
        <v>0</v>
      </c>
      <c r="G3" s="7">
        <f>'Test Case'!K57</f>
        <v>0</v>
      </c>
      <c r="H3" s="6">
        <f>SUM(C3:E3)</f>
        <v>36</v>
      </c>
    </row>
    <row r="4" spans="2:8" x14ac:dyDescent="0.25">
      <c r="B4" s="5"/>
      <c r="C4" s="6"/>
      <c r="D4" s="6"/>
      <c r="E4" s="6"/>
      <c r="F4" s="7"/>
      <c r="G4" s="7"/>
      <c r="H4" s="6"/>
    </row>
    <row r="5" spans="2:8" x14ac:dyDescent="0.25">
      <c r="B5" s="5"/>
      <c r="C5" s="6"/>
      <c r="D5" s="6"/>
      <c r="E5" s="6"/>
      <c r="F5" s="7"/>
      <c r="G5" s="7"/>
      <c r="H5" s="6"/>
    </row>
    <row r="6" spans="2:8" x14ac:dyDescent="0.25">
      <c r="B6" s="5"/>
      <c r="C6" s="6"/>
      <c r="D6" s="6"/>
      <c r="E6" s="6"/>
      <c r="F6" s="7"/>
      <c r="G6" s="7"/>
      <c r="H6" s="6"/>
    </row>
    <row r="7" spans="2:8" x14ac:dyDescent="0.25">
      <c r="B7" s="5"/>
      <c r="C7" s="6"/>
      <c r="D7" s="6"/>
      <c r="E7" s="6"/>
      <c r="F7" s="7"/>
      <c r="G7" s="7"/>
      <c r="H7" s="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_xludf.CLEAR">
                <anchor moveWithCells="1">
                  <from>
                    <xdr:col>0</xdr:col>
                    <xdr:colOff>38100</xdr:colOff>
                    <xdr:row>7</xdr:row>
                    <xdr:rowOff>57150</xdr:rowOff>
                  </from>
                  <to>
                    <xdr:col>0</xdr:col>
                    <xdr:colOff>581025</xdr:colOff>
                    <xdr:row>8</xdr:row>
                    <xdr:rowOff>104775</xdr:rowOff>
                  </to>
                </anchor>
              </controlPr>
            </control>
          </mc:Choice>
        </mc:AlternateContent>
        <mc:AlternateContent xmlns:mc="http://schemas.openxmlformats.org/markup-compatibility/2006">
          <mc:Choice Requires="x14">
            <control shapeId="3074" r:id="rId5" name="Button 2">
              <controlPr defaultSize="0" print="0" autoFill="0" autoPict="0" macro="[0]!Button2_Click">
                <anchor moveWithCells="1">
                  <from>
                    <xdr:col>0</xdr:col>
                    <xdr:colOff>38100</xdr:colOff>
                    <xdr:row>2</xdr:row>
                    <xdr:rowOff>9525</xdr:rowOff>
                  </from>
                  <to>
                    <xdr:col>0</xdr:col>
                    <xdr:colOff>581025</xdr:colOff>
                    <xdr:row>2</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57"/>
  <sheetViews>
    <sheetView tabSelected="1" zoomScaleNormal="100" workbookViewId="0">
      <pane ySplit="1" topLeftCell="A2" activePane="bottomLeft" state="frozen"/>
      <selection pane="bottomLeft" activeCell="E24" sqref="E24"/>
    </sheetView>
  </sheetViews>
  <sheetFormatPr defaultRowHeight="15" x14ac:dyDescent="0.25"/>
  <cols>
    <col min="1" max="1" width="6.85546875" customWidth="1"/>
    <col min="2" max="2" width="38.7109375" customWidth="1"/>
    <col min="3" max="3" width="50.7109375" customWidth="1"/>
    <col min="4" max="4" width="35.5703125" bestFit="1" customWidth="1"/>
  </cols>
  <sheetData>
    <row r="1" spans="1:12" x14ac:dyDescent="0.25">
      <c r="A1" s="8" t="s">
        <v>1</v>
      </c>
      <c r="B1" s="9" t="s">
        <v>12</v>
      </c>
      <c r="C1" s="9" t="s">
        <v>2</v>
      </c>
      <c r="D1" s="10" t="s">
        <v>4</v>
      </c>
      <c r="E1" s="10" t="s">
        <v>3</v>
      </c>
      <c r="F1" s="9" t="s">
        <v>0</v>
      </c>
      <c r="G1" s="10" t="s">
        <v>5</v>
      </c>
      <c r="H1" s="10" t="s">
        <v>6</v>
      </c>
      <c r="I1" s="10"/>
      <c r="J1" s="10" t="s">
        <v>7</v>
      </c>
      <c r="K1" s="10" t="s">
        <v>8</v>
      </c>
      <c r="L1" s="10" t="s">
        <v>13</v>
      </c>
    </row>
    <row r="2" spans="1:12" x14ac:dyDescent="0.25">
      <c r="A2" s="22">
        <v>1</v>
      </c>
      <c r="B2" s="12" t="s">
        <v>29</v>
      </c>
      <c r="C2" s="12"/>
      <c r="D2" s="12"/>
      <c r="E2" s="12"/>
      <c r="F2" s="14"/>
      <c r="G2" s="21"/>
      <c r="H2" s="21"/>
      <c r="I2" s="21"/>
      <c r="J2" s="21"/>
      <c r="K2" s="14"/>
      <c r="L2" s="29"/>
    </row>
    <row r="3" spans="1:12" ht="25.5" x14ac:dyDescent="0.25">
      <c r="A3" s="15">
        <f>A2+0.0001</f>
        <v>1.0001</v>
      </c>
      <c r="B3" s="2" t="s">
        <v>18</v>
      </c>
      <c r="C3" s="17" t="s">
        <v>19</v>
      </c>
      <c r="D3" s="18"/>
      <c r="E3" s="16"/>
      <c r="F3" s="19" t="s">
        <v>5</v>
      </c>
      <c r="G3" s="19">
        <f t="shared" ref="G3:K18" si="0">IF($F3=G$1,1,0)</f>
        <v>1</v>
      </c>
      <c r="H3" s="19">
        <f t="shared" si="0"/>
        <v>0</v>
      </c>
      <c r="I3" s="19">
        <f t="shared" si="0"/>
        <v>0</v>
      </c>
      <c r="J3" s="19">
        <f t="shared" si="0"/>
        <v>0</v>
      </c>
      <c r="K3" s="19">
        <f t="shared" si="0"/>
        <v>0</v>
      </c>
      <c r="L3" s="18"/>
    </row>
    <row r="4" spans="1:12" x14ac:dyDescent="0.25">
      <c r="A4" s="15">
        <f t="shared" ref="A4:A22" si="1">A3+0.0001</f>
        <v>1.0002</v>
      </c>
      <c r="B4" s="2" t="s">
        <v>20</v>
      </c>
      <c r="C4" s="17" t="s">
        <v>21</v>
      </c>
      <c r="D4" s="18"/>
      <c r="E4" s="16"/>
      <c r="F4" s="19" t="s">
        <v>5</v>
      </c>
      <c r="G4" s="19">
        <f t="shared" si="0"/>
        <v>1</v>
      </c>
      <c r="H4" s="19">
        <f t="shared" si="0"/>
        <v>0</v>
      </c>
      <c r="I4" s="19">
        <f t="shared" si="0"/>
        <v>0</v>
      </c>
      <c r="J4" s="19">
        <f t="shared" si="0"/>
        <v>0</v>
      </c>
      <c r="K4" s="19">
        <f t="shared" si="0"/>
        <v>0</v>
      </c>
      <c r="L4" s="18"/>
    </row>
    <row r="5" spans="1:12" x14ac:dyDescent="0.25">
      <c r="A5" s="15">
        <f t="shared" si="1"/>
        <v>1.0003</v>
      </c>
      <c r="B5" s="16"/>
      <c r="C5" s="17" t="s">
        <v>22</v>
      </c>
      <c r="D5" s="20"/>
      <c r="E5" s="16"/>
      <c r="F5" s="19" t="s">
        <v>5</v>
      </c>
      <c r="G5" s="19">
        <f t="shared" si="0"/>
        <v>1</v>
      </c>
      <c r="H5" s="19">
        <f t="shared" si="0"/>
        <v>0</v>
      </c>
      <c r="I5" s="19">
        <f t="shared" si="0"/>
        <v>0</v>
      </c>
      <c r="J5" s="19">
        <f t="shared" si="0"/>
        <v>0</v>
      </c>
      <c r="K5" s="19">
        <f t="shared" si="0"/>
        <v>0</v>
      </c>
      <c r="L5" s="18"/>
    </row>
    <row r="6" spans="1:12" ht="25.5" x14ac:dyDescent="0.25">
      <c r="A6" s="15">
        <f t="shared" si="1"/>
        <v>1.0004</v>
      </c>
      <c r="B6" s="16"/>
      <c r="C6" s="4" t="s">
        <v>23</v>
      </c>
      <c r="D6" s="20"/>
      <c r="E6" s="16"/>
      <c r="F6" s="19" t="s">
        <v>5</v>
      </c>
      <c r="G6" s="19">
        <f t="shared" si="0"/>
        <v>1</v>
      </c>
      <c r="H6" s="19">
        <f t="shared" si="0"/>
        <v>0</v>
      </c>
      <c r="I6" s="19">
        <f t="shared" si="0"/>
        <v>0</v>
      </c>
      <c r="J6" s="19">
        <f t="shared" si="0"/>
        <v>0</v>
      </c>
      <c r="K6" s="19">
        <f t="shared" si="0"/>
        <v>0</v>
      </c>
      <c r="L6" s="18"/>
    </row>
    <row r="7" spans="1:12" x14ac:dyDescent="0.25">
      <c r="A7" s="15">
        <f t="shared" si="1"/>
        <v>1.0004999999999999</v>
      </c>
      <c r="B7" s="16"/>
      <c r="C7" s="17" t="s">
        <v>24</v>
      </c>
      <c r="D7" s="20"/>
      <c r="E7" s="16"/>
      <c r="F7" s="19" t="s">
        <v>5</v>
      </c>
      <c r="G7" s="19">
        <f t="shared" si="0"/>
        <v>1</v>
      </c>
      <c r="H7" s="19">
        <f t="shared" si="0"/>
        <v>0</v>
      </c>
      <c r="I7" s="19">
        <f t="shared" si="0"/>
        <v>0</v>
      </c>
      <c r="J7" s="19">
        <f t="shared" si="0"/>
        <v>0</v>
      </c>
      <c r="K7" s="19">
        <f t="shared" si="0"/>
        <v>0</v>
      </c>
      <c r="L7" s="18"/>
    </row>
    <row r="8" spans="1:12" s="26" customFormat="1" x14ac:dyDescent="0.25">
      <c r="A8" s="15">
        <f t="shared" si="1"/>
        <v>1.0005999999999999</v>
      </c>
      <c r="C8" s="27" t="s">
        <v>26</v>
      </c>
      <c r="D8" s="24"/>
      <c r="E8" s="23"/>
      <c r="F8" s="19" t="s">
        <v>5</v>
      </c>
      <c r="G8" s="19">
        <f t="shared" si="0"/>
        <v>1</v>
      </c>
      <c r="H8" s="19">
        <f t="shared" si="0"/>
        <v>0</v>
      </c>
      <c r="I8" s="19">
        <f t="shared" si="0"/>
        <v>0</v>
      </c>
      <c r="J8" s="19">
        <f t="shared" si="0"/>
        <v>0</v>
      </c>
      <c r="K8" s="19">
        <f t="shared" si="0"/>
        <v>0</v>
      </c>
      <c r="L8" s="25"/>
    </row>
    <row r="9" spans="1:12" x14ac:dyDescent="0.25">
      <c r="A9" s="15">
        <f t="shared" si="1"/>
        <v>1.0006999999999999</v>
      </c>
      <c r="B9" s="28"/>
      <c r="C9" t="s">
        <v>27</v>
      </c>
      <c r="D9" s="20"/>
      <c r="E9" s="16"/>
      <c r="F9" s="19" t="s">
        <v>5</v>
      </c>
      <c r="G9" s="19">
        <f t="shared" si="0"/>
        <v>1</v>
      </c>
      <c r="H9" s="19">
        <f t="shared" si="0"/>
        <v>0</v>
      </c>
      <c r="I9" s="19">
        <f t="shared" si="0"/>
        <v>0</v>
      </c>
      <c r="J9" s="19">
        <f t="shared" si="0"/>
        <v>0</v>
      </c>
      <c r="K9" s="19">
        <f t="shared" si="0"/>
        <v>0</v>
      </c>
      <c r="L9" s="18"/>
    </row>
    <row r="10" spans="1:12" ht="25.5" x14ac:dyDescent="0.25">
      <c r="A10" s="15">
        <f>A9+0.0001</f>
        <v>1.0007999999999999</v>
      </c>
      <c r="B10" s="31" t="s">
        <v>44</v>
      </c>
      <c r="C10" s="30" t="s">
        <v>25</v>
      </c>
      <c r="D10" s="20"/>
      <c r="E10" s="16"/>
      <c r="F10" s="19" t="s">
        <v>5</v>
      </c>
      <c r="G10" s="19">
        <f t="shared" si="0"/>
        <v>1</v>
      </c>
      <c r="H10" s="19">
        <f t="shared" si="0"/>
        <v>0</v>
      </c>
      <c r="I10" s="19">
        <f t="shared" si="0"/>
        <v>0</v>
      </c>
      <c r="J10" s="19">
        <f t="shared" si="0"/>
        <v>0</v>
      </c>
      <c r="K10" s="19">
        <f t="shared" si="0"/>
        <v>0</v>
      </c>
      <c r="L10" s="18"/>
    </row>
    <row r="11" spans="1:12" ht="25.5" x14ac:dyDescent="0.25">
      <c r="A11" s="15">
        <f t="shared" si="1"/>
        <v>1.0008999999999999</v>
      </c>
      <c r="B11" s="3" t="s">
        <v>28</v>
      </c>
      <c r="C11" s="2" t="s">
        <v>30</v>
      </c>
      <c r="D11" s="20"/>
      <c r="E11" s="16"/>
      <c r="F11" s="19" t="s">
        <v>5</v>
      </c>
      <c r="G11" s="19">
        <f t="shared" si="0"/>
        <v>1</v>
      </c>
      <c r="H11" s="19">
        <f t="shared" si="0"/>
        <v>0</v>
      </c>
      <c r="I11" s="19">
        <f t="shared" si="0"/>
        <v>0</v>
      </c>
      <c r="J11" s="19">
        <f t="shared" si="0"/>
        <v>0</v>
      </c>
      <c r="K11" s="19">
        <f t="shared" si="0"/>
        <v>0</v>
      </c>
      <c r="L11" s="18"/>
    </row>
    <row r="12" spans="1:12" x14ac:dyDescent="0.25">
      <c r="A12" s="15">
        <f t="shared" si="1"/>
        <v>1.0009999999999999</v>
      </c>
      <c r="B12" s="16" t="s">
        <v>31</v>
      </c>
      <c r="C12" s="17" t="s">
        <v>72</v>
      </c>
      <c r="D12" s="20"/>
      <c r="E12" s="16"/>
      <c r="F12" s="19" t="s">
        <v>5</v>
      </c>
      <c r="G12" s="19">
        <f t="shared" si="0"/>
        <v>1</v>
      </c>
      <c r="H12" s="19">
        <f t="shared" si="0"/>
        <v>0</v>
      </c>
      <c r="I12" s="19">
        <f t="shared" si="0"/>
        <v>0</v>
      </c>
      <c r="J12" s="19">
        <f t="shared" si="0"/>
        <v>0</v>
      </c>
      <c r="K12" s="19">
        <f t="shared" si="0"/>
        <v>0</v>
      </c>
      <c r="L12" s="18"/>
    </row>
    <row r="13" spans="1:12" ht="25.5" x14ac:dyDescent="0.25">
      <c r="A13" s="15">
        <f t="shared" si="1"/>
        <v>1.0010999999999999</v>
      </c>
      <c r="B13" s="31" t="s">
        <v>45</v>
      </c>
      <c r="C13" s="30" t="s">
        <v>25</v>
      </c>
      <c r="D13" s="20"/>
      <c r="E13" s="16"/>
      <c r="F13" s="19" t="s">
        <v>5</v>
      </c>
      <c r="G13" s="19">
        <f t="shared" si="0"/>
        <v>1</v>
      </c>
      <c r="H13" s="19">
        <f t="shared" si="0"/>
        <v>0</v>
      </c>
      <c r="I13" s="19">
        <f t="shared" si="0"/>
        <v>0</v>
      </c>
      <c r="J13" s="19">
        <f t="shared" si="0"/>
        <v>0</v>
      </c>
      <c r="K13" s="19">
        <f t="shared" si="0"/>
        <v>0</v>
      </c>
      <c r="L13" s="18"/>
    </row>
    <row r="14" spans="1:12" ht="25.5" x14ac:dyDescent="0.25">
      <c r="A14" s="15">
        <f t="shared" si="1"/>
        <v>1.0011999999999999</v>
      </c>
      <c r="B14" s="3" t="s">
        <v>28</v>
      </c>
      <c r="C14" s="2" t="s">
        <v>30</v>
      </c>
      <c r="D14" s="20"/>
      <c r="E14" s="16"/>
      <c r="F14" s="19" t="s">
        <v>5</v>
      </c>
      <c r="G14" s="19">
        <f t="shared" si="0"/>
        <v>1</v>
      </c>
      <c r="H14" s="19">
        <f t="shared" si="0"/>
        <v>0</v>
      </c>
      <c r="I14" s="19">
        <f t="shared" si="0"/>
        <v>0</v>
      </c>
      <c r="J14" s="19">
        <f t="shared" si="0"/>
        <v>0</v>
      </c>
      <c r="K14" s="19">
        <f t="shared" si="0"/>
        <v>0</v>
      </c>
      <c r="L14" s="18"/>
    </row>
    <row r="15" spans="1:12" x14ac:dyDescent="0.25">
      <c r="A15" s="15">
        <f t="shared" si="1"/>
        <v>1.0012999999999999</v>
      </c>
      <c r="B15" s="16" t="s">
        <v>31</v>
      </c>
      <c r="C15" s="17" t="s">
        <v>32</v>
      </c>
      <c r="D15" s="20"/>
      <c r="E15" s="16"/>
      <c r="F15" s="19" t="s">
        <v>5</v>
      </c>
      <c r="G15" s="19">
        <f t="shared" si="0"/>
        <v>1</v>
      </c>
      <c r="H15" s="19">
        <f t="shared" si="0"/>
        <v>0</v>
      </c>
      <c r="I15" s="19">
        <f t="shared" si="0"/>
        <v>0</v>
      </c>
      <c r="J15" s="19">
        <f t="shared" si="0"/>
        <v>0</v>
      </c>
      <c r="K15" s="19">
        <f t="shared" si="0"/>
        <v>0</v>
      </c>
      <c r="L15" s="18"/>
    </row>
    <row r="16" spans="1:12" ht="25.5" x14ac:dyDescent="0.25">
      <c r="A16" s="15">
        <f t="shared" si="1"/>
        <v>1.0013999999999998</v>
      </c>
      <c r="B16" s="31" t="s">
        <v>46</v>
      </c>
      <c r="C16" s="30" t="s">
        <v>25</v>
      </c>
      <c r="D16" s="20"/>
      <c r="E16" s="16"/>
      <c r="F16" s="19" t="s">
        <v>5</v>
      </c>
      <c r="G16" s="19">
        <f t="shared" si="0"/>
        <v>1</v>
      </c>
      <c r="H16" s="19">
        <f t="shared" si="0"/>
        <v>0</v>
      </c>
      <c r="I16" s="19">
        <f t="shared" si="0"/>
        <v>0</v>
      </c>
      <c r="J16" s="19">
        <f t="shared" si="0"/>
        <v>0</v>
      </c>
      <c r="K16" s="19">
        <f t="shared" si="0"/>
        <v>0</v>
      </c>
      <c r="L16" s="18"/>
    </row>
    <row r="17" spans="1:12" ht="25.5" x14ac:dyDescent="0.25">
      <c r="A17" s="15">
        <f t="shared" si="1"/>
        <v>1.0014999999999998</v>
      </c>
      <c r="B17" s="3" t="s">
        <v>28</v>
      </c>
      <c r="C17" s="2" t="s">
        <v>30</v>
      </c>
      <c r="D17" s="20"/>
      <c r="E17" s="16"/>
      <c r="F17" s="19" t="s">
        <v>5</v>
      </c>
      <c r="G17" s="19">
        <f t="shared" si="0"/>
        <v>1</v>
      </c>
      <c r="H17" s="19">
        <f t="shared" si="0"/>
        <v>0</v>
      </c>
      <c r="I17" s="19">
        <f t="shared" si="0"/>
        <v>0</v>
      </c>
      <c r="J17" s="19">
        <f t="shared" si="0"/>
        <v>0</v>
      </c>
      <c r="K17" s="19">
        <f t="shared" si="0"/>
        <v>0</v>
      </c>
      <c r="L17" s="18"/>
    </row>
    <row r="18" spans="1:12" x14ac:dyDescent="0.25">
      <c r="A18" s="15">
        <f t="shared" si="1"/>
        <v>1.0015999999999998</v>
      </c>
      <c r="B18" s="16" t="s">
        <v>31</v>
      </c>
      <c r="C18" s="17" t="s">
        <v>32</v>
      </c>
      <c r="D18" s="20"/>
      <c r="E18" s="16"/>
      <c r="F18" s="19" t="s">
        <v>5</v>
      </c>
      <c r="G18" s="19">
        <f t="shared" si="0"/>
        <v>1</v>
      </c>
      <c r="H18" s="19">
        <f t="shared" si="0"/>
        <v>0</v>
      </c>
      <c r="I18" s="19">
        <f t="shared" si="0"/>
        <v>0</v>
      </c>
      <c r="J18" s="19">
        <f t="shared" si="0"/>
        <v>0</v>
      </c>
      <c r="K18" s="19">
        <f t="shared" si="0"/>
        <v>0</v>
      </c>
      <c r="L18" s="18"/>
    </row>
    <row r="19" spans="1:12" ht="63.75" x14ac:dyDescent="0.25">
      <c r="A19" s="15">
        <f t="shared" si="1"/>
        <v>1.0016999999999998</v>
      </c>
      <c r="B19" s="2" t="s">
        <v>47</v>
      </c>
      <c r="C19" s="16" t="s">
        <v>48</v>
      </c>
      <c r="D19" s="20"/>
      <c r="E19" s="16"/>
      <c r="F19" s="19" t="s">
        <v>5</v>
      </c>
      <c r="G19" s="19">
        <f t="shared" ref="G19:K22" si="2">IF($F19=G$1,1,0)</f>
        <v>1</v>
      </c>
      <c r="H19" s="19">
        <f t="shared" si="2"/>
        <v>0</v>
      </c>
      <c r="I19" s="19">
        <f t="shared" si="2"/>
        <v>0</v>
      </c>
      <c r="J19" s="19">
        <f t="shared" si="2"/>
        <v>0</v>
      </c>
      <c r="K19" s="19">
        <f t="shared" si="2"/>
        <v>0</v>
      </c>
      <c r="L19" s="18"/>
    </row>
    <row r="20" spans="1:12" x14ac:dyDescent="0.25">
      <c r="A20" s="15">
        <f t="shared" si="1"/>
        <v>1.0017999999999998</v>
      </c>
      <c r="B20" s="2" t="s">
        <v>49</v>
      </c>
      <c r="C20" s="16" t="s">
        <v>50</v>
      </c>
      <c r="D20" s="20"/>
      <c r="E20" s="16"/>
      <c r="F20" s="19" t="s">
        <v>5</v>
      </c>
      <c r="G20" s="19">
        <f t="shared" si="2"/>
        <v>1</v>
      </c>
      <c r="H20" s="19">
        <f t="shared" si="2"/>
        <v>0</v>
      </c>
      <c r="I20" s="19">
        <f t="shared" si="2"/>
        <v>0</v>
      </c>
      <c r="J20" s="19">
        <f t="shared" si="2"/>
        <v>0</v>
      </c>
      <c r="K20" s="19">
        <f t="shared" si="2"/>
        <v>0</v>
      </c>
      <c r="L20" s="18"/>
    </row>
    <row r="21" spans="1:12" x14ac:dyDescent="0.25">
      <c r="A21" s="15">
        <f t="shared" si="1"/>
        <v>1.0018999999999998</v>
      </c>
      <c r="B21" s="2"/>
      <c r="C21" s="16" t="s">
        <v>51</v>
      </c>
      <c r="D21" s="20"/>
      <c r="E21" s="16"/>
      <c r="F21" s="19" t="s">
        <v>5</v>
      </c>
      <c r="G21" s="19">
        <f t="shared" si="2"/>
        <v>1</v>
      </c>
      <c r="H21" s="19">
        <f t="shared" si="2"/>
        <v>0</v>
      </c>
      <c r="I21" s="19">
        <f t="shared" si="2"/>
        <v>0</v>
      </c>
      <c r="J21" s="19">
        <f t="shared" si="2"/>
        <v>0</v>
      </c>
      <c r="K21" s="19">
        <f t="shared" si="2"/>
        <v>0</v>
      </c>
      <c r="L21" s="18"/>
    </row>
    <row r="22" spans="1:12" ht="25.5" x14ac:dyDescent="0.25">
      <c r="A22" s="15">
        <f t="shared" si="1"/>
        <v>1.0019999999999998</v>
      </c>
      <c r="B22" s="2"/>
      <c r="C22" s="2" t="s">
        <v>52</v>
      </c>
      <c r="D22" s="20"/>
      <c r="E22" s="16"/>
      <c r="F22" s="19" t="s">
        <v>5</v>
      </c>
      <c r="G22" s="19">
        <f t="shared" si="2"/>
        <v>1</v>
      </c>
      <c r="H22" s="19">
        <f t="shared" si="2"/>
        <v>0</v>
      </c>
      <c r="I22" s="19">
        <f t="shared" si="2"/>
        <v>0</v>
      </c>
      <c r="J22" s="19">
        <f t="shared" si="2"/>
        <v>0</v>
      </c>
      <c r="K22" s="19">
        <f t="shared" si="2"/>
        <v>0</v>
      </c>
      <c r="L22" s="18"/>
    </row>
    <row r="23" spans="1:12" x14ac:dyDescent="0.25">
      <c r="A23" s="11">
        <v>2</v>
      </c>
      <c r="B23" s="12" t="s">
        <v>17</v>
      </c>
      <c r="C23" s="13"/>
      <c r="D23" s="12"/>
      <c r="E23" s="12"/>
      <c r="F23" s="14"/>
      <c r="G23" s="14">
        <f>SUM(G3:G22)</f>
        <v>20</v>
      </c>
      <c r="H23" s="14">
        <f>SUM(H3:H22)</f>
        <v>0</v>
      </c>
      <c r="I23" s="14">
        <f>SUM(I3:I22)</f>
        <v>0</v>
      </c>
      <c r="J23" s="14">
        <f>SUM(J3:J22)</f>
        <v>0</v>
      </c>
      <c r="K23" s="14">
        <f>SUM(K3:K22)</f>
        <v>0</v>
      </c>
      <c r="L23" s="12"/>
    </row>
    <row r="24" spans="1:12" ht="51" x14ac:dyDescent="0.25">
      <c r="A24" s="15">
        <f>+A23+0.0001</f>
        <v>2.0001000000000002</v>
      </c>
      <c r="B24" s="4" t="s">
        <v>61</v>
      </c>
      <c r="C24" s="17" t="s">
        <v>14</v>
      </c>
      <c r="D24" s="18"/>
      <c r="E24" s="16"/>
      <c r="F24" s="19" t="s">
        <v>5</v>
      </c>
      <c r="G24" s="19">
        <f t="shared" ref="G24:K39" si="3">IF($F24=G$1,1,0)</f>
        <v>1</v>
      </c>
      <c r="H24" s="19">
        <f t="shared" si="3"/>
        <v>0</v>
      </c>
      <c r="I24" s="19">
        <f t="shared" si="3"/>
        <v>0</v>
      </c>
      <c r="J24" s="19">
        <f t="shared" si="3"/>
        <v>0</v>
      </c>
      <c r="K24" s="19">
        <f t="shared" si="3"/>
        <v>0</v>
      </c>
      <c r="L24" s="18"/>
    </row>
    <row r="25" spans="1:12" x14ac:dyDescent="0.25">
      <c r="A25" s="15">
        <f>A24+0.0001</f>
        <v>2.0002000000000004</v>
      </c>
      <c r="B25" s="2" t="s">
        <v>33</v>
      </c>
      <c r="C25" s="17" t="s">
        <v>34</v>
      </c>
      <c r="D25" s="18"/>
      <c r="E25" s="16"/>
      <c r="F25" s="19" t="s">
        <v>5</v>
      </c>
      <c r="G25" s="19">
        <f t="shared" si="3"/>
        <v>1</v>
      </c>
      <c r="H25" s="19">
        <f t="shared" si="3"/>
        <v>0</v>
      </c>
      <c r="I25" s="19">
        <f t="shared" si="3"/>
        <v>0</v>
      </c>
      <c r="J25" s="19">
        <f t="shared" si="3"/>
        <v>0</v>
      </c>
      <c r="K25" s="19">
        <f t="shared" si="3"/>
        <v>0</v>
      </c>
      <c r="L25" s="18"/>
    </row>
    <row r="26" spans="1:12" x14ac:dyDescent="0.25">
      <c r="A26" s="15">
        <f t="shared" ref="A26" si="4">+A25+0.0001</f>
        <v>2.0003000000000006</v>
      </c>
      <c r="B26" s="2" t="s">
        <v>35</v>
      </c>
      <c r="C26" s="17" t="s">
        <v>36</v>
      </c>
      <c r="D26" s="18"/>
      <c r="E26" s="16"/>
      <c r="F26" s="19" t="s">
        <v>5</v>
      </c>
      <c r="G26" s="19">
        <f t="shared" si="3"/>
        <v>1</v>
      </c>
      <c r="H26" s="19">
        <f t="shared" si="3"/>
        <v>0</v>
      </c>
      <c r="I26" s="19">
        <f t="shared" si="3"/>
        <v>0</v>
      </c>
      <c r="J26" s="19">
        <f t="shared" si="3"/>
        <v>0</v>
      </c>
      <c r="K26" s="19">
        <f t="shared" si="3"/>
        <v>0</v>
      </c>
      <c r="L26" s="18"/>
    </row>
    <row r="27" spans="1:12" x14ac:dyDescent="0.25">
      <c r="A27" s="15">
        <f t="shared" ref="A27" si="5">A26+0.0001</f>
        <v>2.0004000000000008</v>
      </c>
      <c r="B27" s="2" t="s">
        <v>37</v>
      </c>
      <c r="C27" s="17" t="s">
        <v>36</v>
      </c>
      <c r="D27" s="18"/>
      <c r="E27" s="16"/>
      <c r="F27" s="19" t="s">
        <v>5</v>
      </c>
      <c r="G27" s="19">
        <f t="shared" si="3"/>
        <v>1</v>
      </c>
      <c r="H27" s="19">
        <f t="shared" si="3"/>
        <v>0</v>
      </c>
      <c r="I27" s="19">
        <f t="shared" si="3"/>
        <v>0</v>
      </c>
      <c r="J27" s="19">
        <f t="shared" si="3"/>
        <v>0</v>
      </c>
      <c r="K27" s="19">
        <f t="shared" si="3"/>
        <v>0</v>
      </c>
      <c r="L27" s="18"/>
    </row>
    <row r="28" spans="1:12" x14ac:dyDescent="0.25">
      <c r="A28" s="15">
        <f t="shared" ref="A28" si="6">+A27+0.0001</f>
        <v>2.0005000000000011</v>
      </c>
      <c r="B28" s="2" t="s">
        <v>38</v>
      </c>
      <c r="C28" s="17" t="s">
        <v>39</v>
      </c>
      <c r="D28" s="18"/>
      <c r="E28" s="16"/>
      <c r="F28" s="19" t="s">
        <v>5</v>
      </c>
      <c r="G28" s="19">
        <f t="shared" si="3"/>
        <v>1</v>
      </c>
      <c r="H28" s="19">
        <f t="shared" si="3"/>
        <v>0</v>
      </c>
      <c r="I28" s="19">
        <f t="shared" si="3"/>
        <v>0</v>
      </c>
      <c r="J28" s="19">
        <f t="shared" si="3"/>
        <v>0</v>
      </c>
      <c r="K28" s="19">
        <f t="shared" si="3"/>
        <v>0</v>
      </c>
      <c r="L28" s="18"/>
    </row>
    <row r="29" spans="1:12" x14ac:dyDescent="0.25">
      <c r="A29" s="15">
        <f t="shared" ref="A29" si="7">A28+0.0001</f>
        <v>2.0006000000000013</v>
      </c>
      <c r="B29" s="2" t="s">
        <v>40</v>
      </c>
      <c r="C29" s="17" t="s">
        <v>41</v>
      </c>
      <c r="D29" s="18"/>
      <c r="E29" s="16"/>
      <c r="F29" s="19" t="s">
        <v>5</v>
      </c>
      <c r="G29" s="19">
        <f t="shared" si="3"/>
        <v>1</v>
      </c>
      <c r="H29" s="19">
        <f t="shared" si="3"/>
        <v>0</v>
      </c>
      <c r="I29" s="19">
        <f t="shared" si="3"/>
        <v>0</v>
      </c>
      <c r="J29" s="19">
        <f t="shared" si="3"/>
        <v>0</v>
      </c>
      <c r="K29" s="19">
        <f t="shared" si="3"/>
        <v>0</v>
      </c>
      <c r="L29" s="18"/>
    </row>
    <row r="30" spans="1:12" x14ac:dyDescent="0.25">
      <c r="A30" s="15">
        <f t="shared" ref="A30:A38" si="8">+A29+0.0001</f>
        <v>2.0007000000000015</v>
      </c>
      <c r="B30" s="16" t="s">
        <v>15</v>
      </c>
      <c r="C30" s="17" t="s">
        <v>42</v>
      </c>
      <c r="D30" s="18"/>
      <c r="E30" s="16"/>
      <c r="F30" s="19" t="s">
        <v>5</v>
      </c>
      <c r="G30" s="19">
        <f t="shared" si="3"/>
        <v>1</v>
      </c>
      <c r="H30" s="19">
        <f t="shared" si="3"/>
        <v>0</v>
      </c>
      <c r="I30" s="19">
        <f t="shared" si="3"/>
        <v>0</v>
      </c>
      <c r="J30" s="19">
        <f t="shared" si="3"/>
        <v>0</v>
      </c>
      <c r="K30" s="19">
        <f t="shared" si="3"/>
        <v>0</v>
      </c>
      <c r="L30" s="18"/>
    </row>
    <row r="31" spans="1:12" x14ac:dyDescent="0.25">
      <c r="A31" s="15">
        <f t="shared" ref="A31:A39" si="9">A30+0.0001</f>
        <v>2.0008000000000017</v>
      </c>
      <c r="B31" s="16" t="s">
        <v>16</v>
      </c>
      <c r="C31" s="17" t="s">
        <v>43</v>
      </c>
      <c r="D31" s="20" t="s">
        <v>64</v>
      </c>
      <c r="E31" s="16"/>
      <c r="F31" s="19" t="s">
        <v>5</v>
      </c>
      <c r="G31" s="19">
        <f t="shared" si="3"/>
        <v>1</v>
      </c>
      <c r="H31" s="19">
        <f t="shared" si="3"/>
        <v>0</v>
      </c>
      <c r="I31" s="19">
        <f t="shared" si="3"/>
        <v>0</v>
      </c>
      <c r="J31" s="19">
        <f t="shared" si="3"/>
        <v>0</v>
      </c>
      <c r="K31" s="19">
        <f t="shared" si="3"/>
        <v>0</v>
      </c>
      <c r="L31" s="18"/>
    </row>
    <row r="32" spans="1:12" x14ac:dyDescent="0.25">
      <c r="A32" s="15">
        <f t="shared" si="8"/>
        <v>2.0009000000000019</v>
      </c>
      <c r="B32" s="16" t="s">
        <v>49</v>
      </c>
      <c r="C32" s="17" t="s">
        <v>53</v>
      </c>
      <c r="D32" s="20"/>
      <c r="E32" s="16"/>
      <c r="F32" s="19" t="s">
        <v>5</v>
      </c>
      <c r="G32" s="19">
        <f t="shared" si="3"/>
        <v>1</v>
      </c>
      <c r="H32" s="19">
        <f t="shared" si="3"/>
        <v>0</v>
      </c>
      <c r="I32" s="19">
        <f t="shared" si="3"/>
        <v>0</v>
      </c>
      <c r="J32" s="19">
        <f t="shared" si="3"/>
        <v>0</v>
      </c>
      <c r="K32" s="19">
        <f t="shared" si="3"/>
        <v>0</v>
      </c>
      <c r="L32" s="18"/>
    </row>
    <row r="33" spans="1:12" x14ac:dyDescent="0.25">
      <c r="A33" s="15">
        <f t="shared" si="9"/>
        <v>2.0010000000000021</v>
      </c>
      <c r="B33" s="16"/>
      <c r="C33" s="17" t="s">
        <v>54</v>
      </c>
      <c r="D33" s="20"/>
      <c r="E33" s="16"/>
      <c r="F33" s="19" t="s">
        <v>5</v>
      </c>
      <c r="G33" s="19">
        <f t="shared" si="3"/>
        <v>1</v>
      </c>
      <c r="H33" s="19">
        <f t="shared" si="3"/>
        <v>0</v>
      </c>
      <c r="I33" s="19">
        <f t="shared" si="3"/>
        <v>0</v>
      </c>
      <c r="J33" s="19">
        <f t="shared" si="3"/>
        <v>0</v>
      </c>
      <c r="K33" s="19">
        <f t="shared" si="3"/>
        <v>0</v>
      </c>
      <c r="L33" s="18"/>
    </row>
    <row r="34" spans="1:12" x14ac:dyDescent="0.25">
      <c r="A34" s="15">
        <f t="shared" si="8"/>
        <v>2.0011000000000023</v>
      </c>
      <c r="B34" s="16"/>
      <c r="C34" s="17" t="s">
        <v>55</v>
      </c>
      <c r="D34" s="20"/>
      <c r="E34" s="16"/>
      <c r="F34" s="19" t="s">
        <v>5</v>
      </c>
      <c r="G34" s="19">
        <f t="shared" si="3"/>
        <v>1</v>
      </c>
      <c r="H34" s="19">
        <f t="shared" si="3"/>
        <v>0</v>
      </c>
      <c r="I34" s="19">
        <f t="shared" si="3"/>
        <v>0</v>
      </c>
      <c r="J34" s="19">
        <f t="shared" si="3"/>
        <v>0</v>
      </c>
      <c r="K34" s="19">
        <f t="shared" si="3"/>
        <v>0</v>
      </c>
      <c r="L34" s="18"/>
    </row>
    <row r="35" spans="1:12" x14ac:dyDescent="0.25">
      <c r="A35" s="15">
        <f t="shared" si="9"/>
        <v>2.0012000000000025</v>
      </c>
      <c r="B35" s="16"/>
      <c r="C35" s="17" t="s">
        <v>56</v>
      </c>
      <c r="D35" s="20"/>
      <c r="E35" s="16"/>
      <c r="F35" s="19" t="s">
        <v>5</v>
      </c>
      <c r="G35" s="19">
        <f t="shared" si="3"/>
        <v>1</v>
      </c>
      <c r="H35" s="19">
        <f t="shared" si="3"/>
        <v>0</v>
      </c>
      <c r="I35" s="19">
        <f t="shared" si="3"/>
        <v>0</v>
      </c>
      <c r="J35" s="19">
        <f t="shared" si="3"/>
        <v>0</v>
      </c>
      <c r="K35" s="19">
        <f t="shared" si="3"/>
        <v>0</v>
      </c>
      <c r="L35" s="18"/>
    </row>
    <row r="36" spans="1:12" x14ac:dyDescent="0.25">
      <c r="A36" s="15">
        <f t="shared" si="8"/>
        <v>2.0013000000000027</v>
      </c>
      <c r="B36" s="16"/>
      <c r="C36" s="17" t="s">
        <v>57</v>
      </c>
      <c r="D36" s="20"/>
      <c r="E36" s="16"/>
      <c r="F36" s="19" t="s">
        <v>5</v>
      </c>
      <c r="G36" s="19">
        <f t="shared" si="3"/>
        <v>1</v>
      </c>
      <c r="H36" s="19">
        <f t="shared" si="3"/>
        <v>0</v>
      </c>
      <c r="I36" s="19">
        <f t="shared" si="3"/>
        <v>0</v>
      </c>
      <c r="J36" s="19">
        <f t="shared" si="3"/>
        <v>0</v>
      </c>
      <c r="K36" s="19">
        <f t="shared" si="3"/>
        <v>0</v>
      </c>
      <c r="L36" s="18"/>
    </row>
    <row r="37" spans="1:12" x14ac:dyDescent="0.25">
      <c r="A37" s="15">
        <f t="shared" si="9"/>
        <v>2.001400000000003</v>
      </c>
      <c r="B37" s="16"/>
      <c r="C37" s="17" t="s">
        <v>58</v>
      </c>
      <c r="D37" s="20" t="s">
        <v>62</v>
      </c>
      <c r="E37" s="16"/>
      <c r="F37" s="19" t="s">
        <v>5</v>
      </c>
      <c r="G37" s="19">
        <f t="shared" si="3"/>
        <v>1</v>
      </c>
      <c r="H37" s="19">
        <f t="shared" si="3"/>
        <v>0</v>
      </c>
      <c r="I37" s="19">
        <f t="shared" si="3"/>
        <v>0</v>
      </c>
      <c r="J37" s="19">
        <f t="shared" si="3"/>
        <v>0</v>
      </c>
      <c r="K37" s="19">
        <f t="shared" si="3"/>
        <v>0</v>
      </c>
      <c r="L37" s="18"/>
    </row>
    <row r="38" spans="1:12" x14ac:dyDescent="0.25">
      <c r="A38" s="15">
        <f t="shared" si="8"/>
        <v>2.0015000000000032</v>
      </c>
      <c r="B38" s="16"/>
      <c r="C38" s="17" t="s">
        <v>59</v>
      </c>
      <c r="D38" s="20" t="s">
        <v>63</v>
      </c>
      <c r="E38" s="16"/>
      <c r="F38" s="19" t="s">
        <v>5</v>
      </c>
      <c r="G38" s="19">
        <f t="shared" si="3"/>
        <v>1</v>
      </c>
      <c r="H38" s="19">
        <f t="shared" si="3"/>
        <v>0</v>
      </c>
      <c r="I38" s="19">
        <f t="shared" si="3"/>
        <v>0</v>
      </c>
      <c r="J38" s="19">
        <f t="shared" si="3"/>
        <v>0</v>
      </c>
      <c r="K38" s="19">
        <f t="shared" si="3"/>
        <v>0</v>
      </c>
      <c r="L38" s="18"/>
    </row>
    <row r="39" spans="1:12" x14ac:dyDescent="0.25">
      <c r="A39" s="15">
        <f t="shared" si="9"/>
        <v>2.0016000000000034</v>
      </c>
      <c r="B39" s="16"/>
      <c r="C39" s="17" t="s">
        <v>60</v>
      </c>
      <c r="D39" s="20"/>
      <c r="E39" s="16"/>
      <c r="F39" s="19" t="s">
        <v>5</v>
      </c>
      <c r="G39" s="19">
        <f t="shared" si="3"/>
        <v>1</v>
      </c>
      <c r="H39" s="19">
        <f t="shared" si="3"/>
        <v>0</v>
      </c>
      <c r="I39" s="19">
        <f t="shared" si="3"/>
        <v>0</v>
      </c>
      <c r="J39" s="19">
        <f t="shared" si="3"/>
        <v>0</v>
      </c>
      <c r="K39" s="19">
        <f t="shared" si="3"/>
        <v>0</v>
      </c>
      <c r="L39" s="18"/>
    </row>
    <row r="40" spans="1:12" x14ac:dyDescent="0.25">
      <c r="A40" s="15"/>
      <c r="B40" s="16"/>
      <c r="C40" s="17"/>
      <c r="D40" s="20"/>
      <c r="E40" s="16"/>
      <c r="F40" s="19" t="s">
        <v>5</v>
      </c>
      <c r="G40" s="19"/>
      <c r="H40" s="19"/>
      <c r="I40" s="19"/>
      <c r="J40" s="19"/>
      <c r="K40" s="19"/>
      <c r="L40" s="18"/>
    </row>
    <row r="41" spans="1:12" x14ac:dyDescent="0.25">
      <c r="A41" s="15"/>
      <c r="B41" s="36" t="s">
        <v>67</v>
      </c>
      <c r="C41" s="37" t="s">
        <v>65</v>
      </c>
      <c r="D41" s="37"/>
      <c r="E41" s="16"/>
      <c r="F41" s="19"/>
      <c r="G41" s="19"/>
      <c r="H41" s="19"/>
      <c r="I41" s="19"/>
      <c r="J41" s="19"/>
      <c r="K41" s="19"/>
      <c r="L41" s="18"/>
    </row>
    <row r="42" spans="1:12" ht="30" x14ac:dyDescent="0.25">
      <c r="A42" s="15"/>
      <c r="B42" s="38" t="s">
        <v>68</v>
      </c>
      <c r="C42" s="2" t="s">
        <v>69</v>
      </c>
      <c r="D42" s="39" t="s">
        <v>66</v>
      </c>
      <c r="E42" s="16"/>
      <c r="F42" s="19" t="s">
        <v>8</v>
      </c>
      <c r="G42" s="19">
        <f t="shared" ref="G42:K42" si="10">IF($F42=G$1,1,0)</f>
        <v>0</v>
      </c>
      <c r="H42" s="19">
        <f t="shared" si="10"/>
        <v>0</v>
      </c>
      <c r="I42" s="19">
        <f t="shared" si="10"/>
        <v>0</v>
      </c>
      <c r="J42" s="19">
        <f t="shared" si="10"/>
        <v>0</v>
      </c>
      <c r="K42" s="19">
        <f t="shared" si="10"/>
        <v>1</v>
      </c>
      <c r="L42" s="18"/>
    </row>
    <row r="43" spans="1:12" x14ac:dyDescent="0.25">
      <c r="A43" s="15"/>
      <c r="B43" s="3"/>
      <c r="C43" s="2"/>
      <c r="D43" s="39"/>
      <c r="E43" s="16"/>
      <c r="F43" s="19"/>
      <c r="G43" s="19"/>
      <c r="H43" s="19"/>
      <c r="I43" s="19"/>
      <c r="J43" s="19"/>
      <c r="K43" s="19"/>
      <c r="L43" s="18"/>
    </row>
    <row r="44" spans="1:12" ht="30" x14ac:dyDescent="0.25">
      <c r="A44" s="15"/>
      <c r="B44" s="38" t="s">
        <v>71</v>
      </c>
      <c r="C44" s="2" t="s">
        <v>70</v>
      </c>
      <c r="D44" s="39" t="s">
        <v>66</v>
      </c>
      <c r="E44" s="16"/>
      <c r="F44" s="19" t="s">
        <v>8</v>
      </c>
      <c r="G44" s="19">
        <f t="shared" ref="G44:K44" si="11">IF($F44=G$1,1,0)</f>
        <v>0</v>
      </c>
      <c r="H44" s="19">
        <f t="shared" si="11"/>
        <v>0</v>
      </c>
      <c r="I44" s="19">
        <f t="shared" si="11"/>
        <v>0</v>
      </c>
      <c r="J44" s="19">
        <f t="shared" si="11"/>
        <v>0</v>
      </c>
      <c r="K44" s="19">
        <f t="shared" si="11"/>
        <v>1</v>
      </c>
      <c r="L44" s="18"/>
    </row>
    <row r="45" spans="1:12" x14ac:dyDescent="0.25">
      <c r="A45" s="15"/>
      <c r="B45" s="16"/>
      <c r="C45" s="17"/>
      <c r="D45" s="20"/>
      <c r="E45" s="16"/>
      <c r="F45" s="19"/>
      <c r="G45" s="19"/>
      <c r="H45" s="19"/>
      <c r="I45" s="19"/>
      <c r="J45" s="19"/>
      <c r="K45" s="19"/>
      <c r="L45" s="18"/>
    </row>
    <row r="46" spans="1:12" x14ac:dyDescent="0.25">
      <c r="A46" s="15"/>
      <c r="B46" s="16"/>
      <c r="C46" s="17"/>
      <c r="D46" s="20"/>
      <c r="E46" s="16"/>
      <c r="F46" s="19"/>
      <c r="G46" s="19"/>
      <c r="H46" s="19"/>
      <c r="I46" s="19"/>
      <c r="J46" s="19"/>
      <c r="K46" s="19"/>
      <c r="L46" s="18"/>
    </row>
    <row r="47" spans="1:12" x14ac:dyDescent="0.25">
      <c r="A47" s="15"/>
      <c r="B47" s="16"/>
      <c r="C47" s="17"/>
      <c r="D47" s="20"/>
      <c r="E47" s="16"/>
      <c r="F47" s="19"/>
      <c r="G47" s="19"/>
      <c r="H47" s="19"/>
      <c r="I47" s="19"/>
      <c r="J47" s="19"/>
      <c r="K47" s="19"/>
      <c r="L47" s="18"/>
    </row>
    <row r="48" spans="1:12" x14ac:dyDescent="0.25">
      <c r="A48" s="15"/>
      <c r="B48" s="16"/>
      <c r="C48" s="17"/>
      <c r="D48" s="20"/>
      <c r="E48" s="16"/>
      <c r="F48" s="19"/>
      <c r="G48" s="19"/>
      <c r="H48" s="19"/>
      <c r="I48" s="19"/>
      <c r="J48" s="19"/>
      <c r="K48" s="19"/>
      <c r="L48" s="18"/>
    </row>
    <row r="49" spans="1:12" x14ac:dyDescent="0.25">
      <c r="A49" s="15"/>
      <c r="B49" s="16"/>
      <c r="C49" s="17"/>
      <c r="D49" s="20"/>
      <c r="E49" s="16"/>
      <c r="F49" s="19"/>
      <c r="G49" s="19"/>
      <c r="H49" s="19"/>
      <c r="I49" s="19"/>
      <c r="J49" s="19"/>
      <c r="K49" s="19"/>
      <c r="L49" s="18"/>
    </row>
    <row r="50" spans="1:12" x14ac:dyDescent="0.25">
      <c r="A50" s="15"/>
      <c r="B50" s="16"/>
      <c r="C50" s="17"/>
      <c r="D50" s="20"/>
      <c r="E50" s="16"/>
      <c r="F50" s="19"/>
      <c r="G50" s="19"/>
      <c r="H50" s="19"/>
      <c r="I50" s="19"/>
      <c r="J50" s="19"/>
      <c r="K50" s="19"/>
      <c r="L50" s="18"/>
    </row>
    <row r="51" spans="1:12" x14ac:dyDescent="0.25">
      <c r="A51" s="15"/>
      <c r="B51" s="16"/>
      <c r="C51" s="17"/>
      <c r="D51" s="20"/>
      <c r="E51" s="16"/>
      <c r="F51" s="19"/>
      <c r="G51" s="19"/>
      <c r="H51" s="19"/>
      <c r="I51" s="19"/>
      <c r="J51" s="19"/>
      <c r="K51" s="19"/>
      <c r="L51" s="18"/>
    </row>
    <row r="52" spans="1:12" x14ac:dyDescent="0.25">
      <c r="A52" s="15"/>
      <c r="B52" s="16"/>
      <c r="C52" s="17"/>
      <c r="D52" s="20"/>
      <c r="E52" s="16"/>
      <c r="F52" s="19"/>
      <c r="G52" s="19"/>
      <c r="H52" s="19"/>
      <c r="I52" s="19"/>
      <c r="J52" s="19"/>
      <c r="K52" s="19"/>
      <c r="L52" s="18"/>
    </row>
    <row r="53" spans="1:12" x14ac:dyDescent="0.25">
      <c r="A53" s="15"/>
      <c r="B53" s="16"/>
      <c r="C53" s="17"/>
      <c r="D53" s="20"/>
      <c r="E53" s="16"/>
      <c r="F53" s="19"/>
      <c r="G53" s="19"/>
      <c r="H53" s="19"/>
      <c r="I53" s="19"/>
      <c r="J53" s="19"/>
      <c r="K53" s="19"/>
      <c r="L53" s="18"/>
    </row>
    <row r="54" spans="1:12" x14ac:dyDescent="0.25">
      <c r="A54" s="15"/>
      <c r="B54" s="16"/>
      <c r="C54" s="17"/>
      <c r="D54" s="20"/>
      <c r="E54" s="16"/>
      <c r="F54" s="19"/>
      <c r="G54" s="19"/>
      <c r="H54" s="19"/>
      <c r="I54" s="19"/>
      <c r="J54" s="19"/>
      <c r="K54" s="19"/>
      <c r="L54" s="18"/>
    </row>
    <row r="55" spans="1:12" x14ac:dyDescent="0.25">
      <c r="A55" s="15"/>
      <c r="B55" s="16"/>
      <c r="C55" s="17"/>
      <c r="D55" s="20"/>
      <c r="E55" s="16"/>
      <c r="F55" s="19"/>
      <c r="G55" s="19"/>
      <c r="H55" s="19"/>
      <c r="I55" s="19"/>
      <c r="J55" s="19"/>
      <c r="K55" s="19"/>
      <c r="L55" s="18"/>
    </row>
    <row r="56" spans="1:12" s="33" customFormat="1" x14ac:dyDescent="0.25">
      <c r="A56" s="32"/>
      <c r="B56" s="32"/>
      <c r="C56" s="32"/>
      <c r="D56" s="32"/>
      <c r="E56" s="32"/>
      <c r="F56" s="32"/>
      <c r="G56" s="34">
        <f>SUM(G24:G39)</f>
        <v>16</v>
      </c>
      <c r="H56" s="34">
        <f t="shared" ref="H56:K56" si="12">SUM(H24:H39)</f>
        <v>0</v>
      </c>
      <c r="I56" s="34">
        <f t="shared" si="12"/>
        <v>0</v>
      </c>
      <c r="J56" s="34">
        <f t="shared" si="12"/>
        <v>0</v>
      </c>
      <c r="K56" s="34">
        <f t="shared" si="12"/>
        <v>0</v>
      </c>
      <c r="L56" s="34"/>
    </row>
    <row r="57" spans="1:12" x14ac:dyDescent="0.25">
      <c r="G57" s="35">
        <f t="shared" ref="G57:L57" si="13">G23+G56</f>
        <v>36</v>
      </c>
      <c r="H57" s="35">
        <f t="shared" si="13"/>
        <v>0</v>
      </c>
      <c r="I57" s="35">
        <f t="shared" si="13"/>
        <v>0</v>
      </c>
      <c r="J57" s="35">
        <f t="shared" si="13"/>
        <v>0</v>
      </c>
      <c r="K57" s="35">
        <f t="shared" si="13"/>
        <v>0</v>
      </c>
      <c r="L57" s="35">
        <f t="shared" si="13"/>
        <v>0</v>
      </c>
    </row>
  </sheetData>
  <conditionalFormatting sqref="L2 A2:B2 B6:C7 G2:J3 G57:L57 K3:L22 G14:J22 A3:A22 A19:C22 A45:L55 A41:A44 E41:L44 D3:F22 A23:L40">
    <cfRule type="expression" dxfId="23" priority="26">
      <formula>$F2="Fail"</formula>
    </cfRule>
  </conditionalFormatting>
  <conditionalFormatting sqref="C2">
    <cfRule type="expression" dxfId="22" priority="25">
      <formula>$F2="Fail"</formula>
    </cfRule>
  </conditionalFormatting>
  <conditionalFormatting sqref="D2">
    <cfRule type="expression" dxfId="21" priority="24">
      <formula>$F2="Fail"</formula>
    </cfRule>
  </conditionalFormatting>
  <conditionalFormatting sqref="E2:F2 K2">
    <cfRule type="expression" dxfId="20" priority="23">
      <formula>$F2="Fail"</formula>
    </cfRule>
  </conditionalFormatting>
  <conditionalFormatting sqref="B2">
    <cfRule type="expression" dxfId="19" priority="22">
      <formula>$F2="Fail"</formula>
    </cfRule>
  </conditionalFormatting>
  <conditionalFormatting sqref="C2">
    <cfRule type="expression" dxfId="18" priority="21">
      <formula>$F2="Fail"</formula>
    </cfRule>
  </conditionalFormatting>
  <conditionalFormatting sqref="B3:C5 B11:C18">
    <cfRule type="expression" dxfId="17" priority="20">
      <formula>$F3="Fail"</formula>
    </cfRule>
  </conditionalFormatting>
  <conditionalFormatting sqref="B11:C18">
    <cfRule type="expression" dxfId="16" priority="19">
      <formula>$F11="Fail"</formula>
    </cfRule>
  </conditionalFormatting>
  <conditionalFormatting sqref="B15:C18">
    <cfRule type="expression" dxfId="15" priority="18">
      <formula>$F15="Fail"</formula>
    </cfRule>
  </conditionalFormatting>
  <conditionalFormatting sqref="B12:C14">
    <cfRule type="expression" dxfId="14" priority="17">
      <formula>$F12="Fail"</formula>
    </cfRule>
  </conditionalFormatting>
  <conditionalFormatting sqref="G4:J13">
    <cfRule type="expression" dxfId="13" priority="14">
      <formula>$F4="Fail"</formula>
    </cfRule>
  </conditionalFormatting>
  <conditionalFormatting sqref="B10:C10">
    <cfRule type="expression" dxfId="12" priority="27">
      <formula>$F8="Fail"</formula>
    </cfRule>
  </conditionalFormatting>
  <conditionalFormatting sqref="G57:L57 A45:L55 A41:A44 E41:L44 A2:L22 A24:L40">
    <cfRule type="expression" dxfId="11" priority="13">
      <formula>$F2="Fail"</formula>
    </cfRule>
  </conditionalFormatting>
  <conditionalFormatting sqref="B15:C15">
    <cfRule type="expression" dxfId="10" priority="11">
      <formula>$F15="Fail"</formula>
    </cfRule>
  </conditionalFormatting>
  <conditionalFormatting sqref="B13:C13">
    <cfRule type="expression" dxfId="9" priority="12">
      <formula>$F11="Fail"</formula>
    </cfRule>
  </conditionalFormatting>
  <conditionalFormatting sqref="B18:C18">
    <cfRule type="expression" dxfId="8" priority="9">
      <formula>$F18="Fail"</formula>
    </cfRule>
  </conditionalFormatting>
  <conditionalFormatting sqref="B16:C16">
    <cfRule type="expression" dxfId="7" priority="10">
      <formula>$F14="Fail"</formula>
    </cfRule>
  </conditionalFormatting>
  <conditionalFormatting sqref="B43:C43 C42">
    <cfRule type="expression" dxfId="6" priority="8">
      <formula>$E42="Fail"</formula>
    </cfRule>
  </conditionalFormatting>
  <conditionalFormatting sqref="B41:C41">
    <cfRule type="expression" dxfId="5" priority="7">
      <formula>$E41="Fail"</formula>
    </cfRule>
  </conditionalFormatting>
  <conditionalFormatting sqref="D41">
    <cfRule type="expression" dxfId="4" priority="6">
      <formula>$E41="Fail"</formula>
    </cfRule>
  </conditionalFormatting>
  <conditionalFormatting sqref="B42">
    <cfRule type="expression" dxfId="3" priority="5">
      <formula>$E42="Fail"</formula>
    </cfRule>
  </conditionalFormatting>
  <conditionalFormatting sqref="C44">
    <cfRule type="expression" dxfId="2" priority="4">
      <formula>$E44="Fail"</formula>
    </cfRule>
  </conditionalFormatting>
  <conditionalFormatting sqref="C44">
    <cfRule type="expression" dxfId="1" priority="3">
      <formula>$E44="Fail"</formula>
    </cfRule>
  </conditionalFormatting>
  <conditionalFormatting sqref="B44">
    <cfRule type="expression" dxfId="0" priority="1">
      <formula>$E44="Fail"</formula>
    </cfRule>
  </conditionalFormatting>
  <dataValidations count="1">
    <dataValidation type="list" allowBlank="1" showInputMessage="1" showErrorMessage="1" sqref="F2:F55">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Button5_Click">
                <anchor moveWithCells="1">
                  <from>
                    <xdr:col>0</xdr:col>
                    <xdr:colOff>57150</xdr:colOff>
                    <xdr:row>0</xdr:row>
                    <xdr:rowOff>28575</xdr:rowOff>
                  </from>
                  <to>
                    <xdr:col>1</xdr:col>
                    <xdr:colOff>228600</xdr:colOff>
                    <xdr:row>0</xdr:row>
                    <xdr:rowOff>180975</xdr:rowOff>
                  </to>
                </anchor>
              </controlPr>
            </control>
          </mc:Choice>
        </mc:AlternateContent>
        <mc:AlternateContent xmlns:mc="http://schemas.openxmlformats.org/markup-compatibility/2006">
          <mc:Choice Requires="x14">
            <control shapeId="4103" r:id="rId5" name="Button 7">
              <controlPr defaultSize="0" print="0" autoFill="0" autoPict="0" macro="[0]!Button5_Click">
                <anchor moveWithCells="1">
                  <from>
                    <xdr:col>0</xdr:col>
                    <xdr:colOff>57150</xdr:colOff>
                    <xdr:row>0</xdr:row>
                    <xdr:rowOff>28575</xdr:rowOff>
                  </from>
                  <to>
                    <xdr:col>1</xdr:col>
                    <xdr:colOff>447675</xdr:colOff>
                    <xdr:row>0</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Summary</vt:lpstr>
      <vt:lpstr>Test Case</vt:lpstr>
    </vt:vector>
  </TitlesOfParts>
  <Company>Sanlam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Jannie Basson (SEB)</dc:creator>
  <cp:lastModifiedBy>Direro Ishmael (SC)</cp:lastModifiedBy>
  <dcterms:created xsi:type="dcterms:W3CDTF">2014-07-31T09:50:05Z</dcterms:created>
  <dcterms:modified xsi:type="dcterms:W3CDTF">2020-05-13T06:09:41Z</dcterms:modified>
</cp:coreProperties>
</file>