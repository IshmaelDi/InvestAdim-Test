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989124\Desktop\Test Documents\Test Cases\Test Cases\"/>
    </mc:Choice>
  </mc:AlternateContent>
  <bookViews>
    <workbookView xWindow="120" yWindow="45" windowWidth="20370" windowHeight="8685" firstSheet="1" activeTab="3"/>
  </bookViews>
  <sheets>
    <sheet name="Summary" sheetId="3" r:id="rId1"/>
    <sheet name="Test Case" sheetId="7" r:id="rId2"/>
    <sheet name="Missing Infor" sheetId="8" r:id="rId3"/>
    <sheet name="Sheet1" sheetId="9" r:id="rId4"/>
  </sheets>
  <externalReferences>
    <externalReference r:id="rId5"/>
  </externalReferences>
  <calcPr calcId="162913"/>
</workbook>
</file>

<file path=xl/calcChain.xml><?xml version="1.0" encoding="utf-8"?>
<calcChain xmlns="http://schemas.openxmlformats.org/spreadsheetml/2006/main">
  <c r="K2" i="7" l="1"/>
  <c r="J2" i="7"/>
  <c r="I2" i="7"/>
  <c r="H2" i="7"/>
  <c r="G2" i="7"/>
  <c r="K55" i="7" l="1"/>
  <c r="J55" i="7"/>
  <c r="I55" i="7"/>
  <c r="H55" i="7"/>
  <c r="G55" i="7"/>
  <c r="K54" i="7"/>
  <c r="J54" i="7"/>
  <c r="I54" i="7"/>
  <c r="H54" i="7"/>
  <c r="G54" i="7"/>
  <c r="K53" i="7"/>
  <c r="J53" i="7"/>
  <c r="I53" i="7"/>
  <c r="H53" i="7"/>
  <c r="G53" i="7"/>
  <c r="K52" i="7"/>
  <c r="J52" i="7"/>
  <c r="I52" i="7"/>
  <c r="H52" i="7"/>
  <c r="G52" i="7"/>
  <c r="K51" i="7"/>
  <c r="J51" i="7"/>
  <c r="I51" i="7"/>
  <c r="H51" i="7"/>
  <c r="G51" i="7"/>
  <c r="K50" i="7"/>
  <c r="J50" i="7"/>
  <c r="I50" i="7"/>
  <c r="H50" i="7"/>
  <c r="G50" i="7"/>
  <c r="K49" i="7"/>
  <c r="J49" i="7"/>
  <c r="I49" i="7"/>
  <c r="H49" i="7"/>
  <c r="G49" i="7"/>
  <c r="K48" i="7"/>
  <c r="J48" i="7"/>
  <c r="I48" i="7"/>
  <c r="H48" i="7"/>
  <c r="G48" i="7"/>
  <c r="K47" i="7"/>
  <c r="J47" i="7"/>
  <c r="I47" i="7"/>
  <c r="H47" i="7"/>
  <c r="G47" i="7"/>
  <c r="K46" i="7"/>
  <c r="J46" i="7"/>
  <c r="I46" i="7"/>
  <c r="H46" i="7"/>
  <c r="G46" i="7"/>
  <c r="K45" i="7"/>
  <c r="J45" i="7"/>
  <c r="I45" i="7"/>
  <c r="H45" i="7"/>
  <c r="G45" i="7"/>
  <c r="K44" i="7"/>
  <c r="J44" i="7"/>
  <c r="I44" i="7"/>
  <c r="H44" i="7"/>
  <c r="G44" i="7"/>
  <c r="K43" i="7"/>
  <c r="J43" i="7"/>
  <c r="I43" i="7"/>
  <c r="H43" i="7"/>
  <c r="G43" i="7"/>
  <c r="K42" i="7"/>
  <c r="J42" i="7"/>
  <c r="I42" i="7"/>
  <c r="H42" i="7"/>
  <c r="G42" i="7"/>
  <c r="K41" i="7"/>
  <c r="J41" i="7"/>
  <c r="I41" i="7"/>
  <c r="H41" i="7"/>
  <c r="G41" i="7"/>
  <c r="K40" i="7"/>
  <c r="J40" i="7"/>
  <c r="I40" i="7"/>
  <c r="H40" i="7"/>
  <c r="G40" i="7"/>
  <c r="K39" i="7"/>
  <c r="J39" i="7"/>
  <c r="I39" i="7"/>
  <c r="H39" i="7"/>
  <c r="G39" i="7"/>
  <c r="K38" i="7"/>
  <c r="J38" i="7"/>
  <c r="I38" i="7"/>
  <c r="H38" i="7"/>
  <c r="G38" i="7"/>
  <c r="K37" i="7"/>
  <c r="J37" i="7"/>
  <c r="I37" i="7"/>
  <c r="H37" i="7"/>
  <c r="G37" i="7"/>
  <c r="K36" i="7"/>
  <c r="J36" i="7"/>
  <c r="I36" i="7"/>
  <c r="H36" i="7"/>
  <c r="G36" i="7"/>
  <c r="K35" i="7"/>
  <c r="J35" i="7"/>
  <c r="I35" i="7"/>
  <c r="H35" i="7"/>
  <c r="G35" i="7"/>
  <c r="K34" i="7"/>
  <c r="J34" i="7"/>
  <c r="I34" i="7"/>
  <c r="H34" i="7"/>
  <c r="G34" i="7"/>
  <c r="K33" i="7"/>
  <c r="J33" i="7"/>
  <c r="I33" i="7"/>
  <c r="H33" i="7"/>
  <c r="G33" i="7"/>
  <c r="K32" i="7"/>
  <c r="J32" i="7"/>
  <c r="I32" i="7"/>
  <c r="H32" i="7"/>
  <c r="G32" i="7"/>
  <c r="K31" i="7"/>
  <c r="J31" i="7"/>
  <c r="I31" i="7"/>
  <c r="H31" i="7"/>
  <c r="G31" i="7"/>
  <c r="K30" i="7"/>
  <c r="J30" i="7"/>
  <c r="I30" i="7"/>
  <c r="H30" i="7"/>
  <c r="G30" i="7"/>
  <c r="K29" i="7"/>
  <c r="J29" i="7"/>
  <c r="I29" i="7"/>
  <c r="H29" i="7"/>
  <c r="G29" i="7"/>
  <c r="K28" i="7"/>
  <c r="J28" i="7"/>
  <c r="I28" i="7"/>
  <c r="H28" i="7"/>
  <c r="G28" i="7"/>
  <c r="K27" i="7"/>
  <c r="J27" i="7"/>
  <c r="I27" i="7"/>
  <c r="H27" i="7"/>
  <c r="G27" i="7"/>
  <c r="K26" i="7"/>
  <c r="J26" i="7"/>
  <c r="I26" i="7"/>
  <c r="H26" i="7"/>
  <c r="G26" i="7"/>
  <c r="K25" i="7"/>
  <c r="J25" i="7"/>
  <c r="I25" i="7"/>
  <c r="H25" i="7"/>
  <c r="G25" i="7"/>
  <c r="K24" i="7"/>
  <c r="J24" i="7"/>
  <c r="I24" i="7"/>
  <c r="H24" i="7"/>
  <c r="G24" i="7"/>
  <c r="K23" i="7"/>
  <c r="J23" i="7"/>
  <c r="I23" i="7"/>
  <c r="H23" i="7"/>
  <c r="G23" i="7"/>
  <c r="K22" i="7"/>
  <c r="J22" i="7"/>
  <c r="I22" i="7"/>
  <c r="H22" i="7"/>
  <c r="G22" i="7"/>
  <c r="K21" i="7"/>
  <c r="J21" i="7"/>
  <c r="I21" i="7"/>
  <c r="H21" i="7"/>
  <c r="G21" i="7"/>
  <c r="K20" i="7"/>
  <c r="J20" i="7"/>
  <c r="I20" i="7"/>
  <c r="H20" i="7"/>
  <c r="G20" i="7"/>
  <c r="K19" i="7"/>
  <c r="J19" i="7"/>
  <c r="I19" i="7"/>
  <c r="H19" i="7"/>
  <c r="G19" i="7"/>
  <c r="K18" i="7"/>
  <c r="J18" i="7"/>
  <c r="I18" i="7"/>
  <c r="H18" i="7"/>
  <c r="G18" i="7"/>
  <c r="K17" i="7"/>
  <c r="J17" i="7"/>
  <c r="I17" i="7"/>
  <c r="H17" i="7"/>
  <c r="G17" i="7"/>
  <c r="K16" i="7"/>
  <c r="J16" i="7"/>
  <c r="I16" i="7"/>
  <c r="H16" i="7"/>
  <c r="G16" i="7"/>
  <c r="K15" i="7"/>
  <c r="J15" i="7"/>
  <c r="I15" i="7"/>
  <c r="H15" i="7"/>
  <c r="G15" i="7"/>
  <c r="K14" i="7"/>
  <c r="J14" i="7"/>
  <c r="I14" i="7"/>
  <c r="H14" i="7"/>
  <c r="G14" i="7"/>
  <c r="K13" i="7"/>
  <c r="J13" i="7"/>
  <c r="I13" i="7"/>
  <c r="H13" i="7"/>
  <c r="G13" i="7"/>
  <c r="K11" i="7"/>
  <c r="J11" i="7"/>
  <c r="I11" i="7"/>
  <c r="H11" i="7"/>
  <c r="G11" i="7"/>
  <c r="K10" i="7"/>
  <c r="J10" i="7"/>
  <c r="I10" i="7"/>
  <c r="H10" i="7"/>
  <c r="G10" i="7"/>
  <c r="K9" i="7"/>
  <c r="J9" i="7"/>
  <c r="I9" i="7"/>
  <c r="H9" i="7"/>
  <c r="G9" i="7"/>
  <c r="K8" i="7"/>
  <c r="J8" i="7"/>
  <c r="I8" i="7"/>
  <c r="H8" i="7"/>
  <c r="G8" i="7"/>
  <c r="K7" i="7"/>
  <c r="J7" i="7"/>
  <c r="I7" i="7"/>
  <c r="H7" i="7"/>
  <c r="G7" i="7"/>
  <c r="K6" i="7"/>
  <c r="J6" i="7"/>
  <c r="I6" i="7"/>
  <c r="H6" i="7"/>
  <c r="G6" i="7"/>
  <c r="K5" i="7"/>
  <c r="J5" i="7"/>
  <c r="I5" i="7"/>
  <c r="H5" i="7"/>
  <c r="G5" i="7"/>
  <c r="K4" i="7"/>
  <c r="J4" i="7"/>
  <c r="I4" i="7"/>
  <c r="H4" i="7"/>
  <c r="G4" i="7"/>
  <c r="A4" i="7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K3" i="7"/>
  <c r="J3" i="7"/>
  <c r="I3" i="7"/>
  <c r="H3" i="7"/>
  <c r="G3" i="7"/>
  <c r="J56" i="7" l="1"/>
  <c r="F3" i="3" s="1"/>
  <c r="G56" i="7"/>
  <c r="C3" i="3" s="1"/>
  <c r="K56" i="7"/>
  <c r="G3" i="3" s="1"/>
  <c r="H56" i="7"/>
  <c r="D3" i="3" s="1"/>
  <c r="I56" i="7"/>
  <c r="E3" i="3" s="1"/>
  <c r="H3" i="3" l="1"/>
</calcChain>
</file>

<file path=xl/sharedStrings.xml><?xml version="1.0" encoding="utf-8"?>
<sst xmlns="http://schemas.openxmlformats.org/spreadsheetml/2006/main" count="181" uniqueCount="96">
  <si>
    <t>Correct Y / N</t>
  </si>
  <si>
    <t>Test Case</t>
  </si>
  <si>
    <t>Expected Results</t>
  </si>
  <si>
    <t>Bug  ID</t>
  </si>
  <si>
    <t>Notes</t>
  </si>
  <si>
    <t>Language</t>
  </si>
  <si>
    <t>FICA Verification</t>
  </si>
  <si>
    <t>Client</t>
  </si>
  <si>
    <t>Tax Number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</si>
  <si>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</si>
  <si>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</si>
  <si>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</si>
  <si>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</si>
  <si>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</si>
  <si>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</si>
  <si>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</si>
  <si>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Policy Number</t>
  </si>
  <si>
    <t>Client Group Number</t>
  </si>
  <si>
    <t>Home Tel. No</t>
  </si>
  <si>
    <t>Work Tel. No</t>
  </si>
  <si>
    <t>Cell No</t>
  </si>
  <si>
    <t>Fax No</t>
  </si>
  <si>
    <t>Email Address</t>
  </si>
  <si>
    <t>Postal Preference</t>
  </si>
  <si>
    <t>Verify Date</t>
  </si>
  <si>
    <t>Click Next</t>
  </si>
  <si>
    <t>Company</t>
  </si>
  <si>
    <t xml:space="preserve">External Administrator Client Number </t>
  </si>
  <si>
    <t xml:space="preserve">Create new bank details </t>
  </si>
  <si>
    <t>Client Ind</t>
  </si>
  <si>
    <t>Select a client type</t>
  </si>
  <si>
    <t>Create New Client</t>
  </si>
  <si>
    <t>User directed to Initial Detail tab</t>
  </si>
  <si>
    <t>Select from dropdown</t>
  </si>
  <si>
    <t xml:space="preserve">Select country registered  </t>
  </si>
  <si>
    <t>Select from dropdown (always South Africa or Namibia)</t>
  </si>
  <si>
    <t>Enter Company / CC name</t>
  </si>
  <si>
    <t>Free text</t>
  </si>
  <si>
    <t>Enter Company / CC / Trust Reg nr</t>
  </si>
  <si>
    <t>Click SEARCH button</t>
  </si>
  <si>
    <t>Match / no match screen will appear</t>
  </si>
  <si>
    <t>Match found</t>
  </si>
  <si>
    <t>Investigate</t>
  </si>
  <si>
    <t>No match found</t>
  </si>
  <si>
    <t>Click CREATE CLIENT.  User directed to Client Details tab</t>
  </si>
  <si>
    <t>Create Client Record screen</t>
  </si>
  <si>
    <t>RF Detail and Maintain Domicile buttons will be red and are compulsory</t>
  </si>
  <si>
    <t>Click on RF Detail button</t>
  </si>
  <si>
    <t xml:space="preserve">User directed to Maintain retirement fund screen </t>
  </si>
  <si>
    <t xml:space="preserve">Client Name </t>
  </si>
  <si>
    <t>Defaults</t>
  </si>
  <si>
    <t>Free Text</t>
  </si>
  <si>
    <t>Different revision dates</t>
  </si>
  <si>
    <t>Select Yes / No</t>
  </si>
  <si>
    <t>If No</t>
  </si>
  <si>
    <t>Enter revision month (mm)</t>
  </si>
  <si>
    <t xml:space="preserve">Coris Admin Region </t>
  </si>
  <si>
    <t>Select yes / no / non-coris</t>
  </si>
  <si>
    <t xml:space="preserve">Address details  </t>
  </si>
  <si>
    <t>Enter address details as requested</t>
  </si>
  <si>
    <t>Submit</t>
  </si>
  <si>
    <t>User redirected to Create Client record screen</t>
  </si>
  <si>
    <t>Company / CC Name</t>
  </si>
  <si>
    <t>Company Reg number</t>
  </si>
  <si>
    <t>Defaults to English but may be changed via dropdown</t>
  </si>
  <si>
    <t>Address Unknown</t>
  </si>
  <si>
    <t>Select yes / no</t>
  </si>
  <si>
    <t>If no</t>
  </si>
  <si>
    <t>Enter address details</t>
  </si>
  <si>
    <t>Same Domicile Address</t>
  </si>
  <si>
    <t xml:space="preserve">Click on Maintain Domicile </t>
  </si>
  <si>
    <t>User directed to Create Domicile Address screen</t>
  </si>
  <si>
    <t>Submit and Exit</t>
  </si>
  <si>
    <t>User directed to Create Client Record Screen</t>
  </si>
  <si>
    <t>Corr required</t>
  </si>
  <si>
    <t>User directed to Investor code tab</t>
  </si>
  <si>
    <t>Primary product name</t>
  </si>
  <si>
    <t>Defaults to SANLAM EMPLOYEE BENEFITS</t>
  </si>
  <si>
    <t>Old / other client number</t>
  </si>
  <si>
    <t>Click next</t>
  </si>
  <si>
    <t>User directed to Bank Details Tab</t>
  </si>
  <si>
    <t>Select yes or no</t>
  </si>
  <si>
    <t>If yes</t>
  </si>
  <si>
    <t>Enter bank details</t>
  </si>
  <si>
    <t>User directed to Funds Tab</t>
  </si>
  <si>
    <t>Click on DEF and VERIFY</t>
  </si>
  <si>
    <t>Select fund name from dropdown</t>
  </si>
  <si>
    <t>Select SEB</t>
  </si>
  <si>
    <t>Click ADD</t>
  </si>
  <si>
    <t xml:space="preserve">Fund added to client </t>
  </si>
  <si>
    <t>Repeat above 3 steps for all funds</t>
  </si>
  <si>
    <t>All funds added to client</t>
  </si>
  <si>
    <t>Click CREATE</t>
  </si>
  <si>
    <t>Client created with all entered criteria</t>
  </si>
  <si>
    <t>This is the missing info, it doesn't have any test steps under Test Case Tab</t>
  </si>
  <si>
    <t>Client Maintenance &gt;&gt; Create client record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</si>
</sst>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wrapText="1"/>
    </xf>
    <xf numFmtId="0" fontId="4" fillId="0" borderId="1" xfId="0" applyFont="1" applyBorder="1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wrapText="1"/>
    </xf>
    <xf numFmtId="0" fontId="1" fillId="3" borderId="2" xfId="0" applyFont="1" applyFill="1" applyBorder="1" applyAlignment="1">
      <alignment horizontal="left" vertical="center" wrapText="1"/>
    </xf>
    <xf numFmtId="164" fontId="3" fillId="2" borderId="2" xfId="0" applyNumberFormat="1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3" fillId="2" borderId="2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/>
    </xf>
    <xf numFmtId="0" fontId="1" fillId="0" borderId="2" xfId="0" applyFont="1" applyFill="1" applyBorder="1" applyAlignment="1">
      <alignment wrapText="1"/>
    </xf>
    <xf numFmtId="0" fontId="6" fillId="0" borderId="0" xfId="0" applyFont="1" applyFill="1" applyAlignment="1">
      <alignment wrapText="1"/>
    </xf>
    <xf numFmtId="164" fontId="1" fillId="0" borderId="2" xfId="0" applyNumberFormat="1" applyFont="1" applyFill="1" applyBorder="1" applyAlignment="1">
      <alignment wrapText="1"/>
    </xf>
    <xf numFmtId="0" fontId="1" fillId="0" borderId="2" xfId="0" applyFont="1" applyFill="1" applyBorder="1" applyAlignment="1">
      <alignment horizontal="center" wrapText="1"/>
    </xf>
    <xf numFmtId="0" fontId="7" fillId="3" borderId="2" xfId="0" applyFont="1" applyFill="1" applyBorder="1" applyAlignment="1">
      <alignment vertical="center" wrapText="1"/>
    </xf>
    <xf numFmtId="0" fontId="1" fillId="0" borderId="2" xfId="0" applyFont="1" applyFill="1" applyBorder="1" applyAlignment="1">
      <alignment vertical="center" wrapText="1"/>
    </xf>
    <xf numFmtId="0" fontId="2" fillId="0" borderId="2" xfId="0" applyFont="1" applyFill="1" applyBorder="1" applyAlignment="1">
      <alignment vertical="center" wrapText="1"/>
    </xf>
    <xf numFmtId="0" fontId="0" fillId="0" borderId="2" xfId="0" applyFont="1" applyFill="1" applyBorder="1" applyAlignment="1">
      <alignment wrapText="1"/>
    </xf>
    <xf numFmtId="0" fontId="4" fillId="0" borderId="0" xfId="0" applyFont="1" applyFill="1" applyAlignment="1">
      <alignment wrapText="1"/>
    </xf>
    <xf numFmtId="0" fontId="8" fillId="0" borderId="0" xfId="0" applyFont="1" applyAlignment="1">
      <alignment horizontal="left" vertical="center" wrapText="1"/>
    </xf>
  </cellXfs>
  <cellStyles count="1">
    <cellStyle name="Normal" xfId="0" builtinId="0"/>
  </cellStyles>
  <dxfs count="27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57150</xdr:rowOff>
        </xdr:from>
        <xdr:to>
          <xdr:col>0</xdr:col>
          <xdr:colOff>581025</xdr:colOff>
          <xdr:row>5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581025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3</xdr:row>
          <xdr:rowOff>0</xdr:rowOff>
        </xdr:from>
        <xdr:to>
          <xdr:col>0</xdr:col>
          <xdr:colOff>590550</xdr:colOff>
          <xdr:row>3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3</xdr:row>
          <xdr:rowOff>0</xdr:rowOff>
        </xdr:from>
        <xdr:to>
          <xdr:col>0</xdr:col>
          <xdr:colOff>590550</xdr:colOff>
          <xdr:row>3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3</xdr:row>
          <xdr:rowOff>0</xdr:rowOff>
        </xdr:from>
        <xdr:to>
          <xdr:col>0</xdr:col>
          <xdr:colOff>590550</xdr:colOff>
          <xdr:row>3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15</xdr:row>
      <xdr:rowOff>123825</xdr:rowOff>
    </xdr:from>
    <xdr:to>
      <xdr:col>11</xdr:col>
      <xdr:colOff>95089</xdr:colOff>
      <xdr:row>18</xdr:row>
      <xdr:rowOff>133277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3300" y="2981325"/>
          <a:ext cx="1285714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eate%20New%20Cli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est Case"/>
      <sheetName val="Create New Client"/>
    </sheetNames>
    <definedNames>
      <definedName name="Button5_Click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4"/>
  <sheetViews>
    <sheetView zoomScaleNormal="100" workbookViewId="0">
      <selection activeCell="C12" sqref="C12"/>
    </sheetView>
  </sheetViews>
  <sheetFormatPr defaultRowHeight="15" x14ac:dyDescent="0.25"/>
  <cols>
    <col min="1" max="1" width="9.140625" style="3"/>
    <col min="2" max="2" width="24" style="3" bestFit="1" customWidth="1"/>
    <col min="3" max="8" width="15" style="3" customWidth="1"/>
    <col min="9" max="16384" width="9.140625" style="3"/>
  </cols>
  <sheetData>
    <row r="2" spans="2:8" x14ac:dyDescent="0.25">
      <c r="B2" s="16"/>
      <c r="C2" s="13" t="s">
        <v>9</v>
      </c>
      <c r="D2" s="13" t="s">
        <v>10</v>
      </c>
      <c r="E2" s="13" t="s">
        <v>13</v>
      </c>
      <c r="F2" s="13" t="s">
        <v>11</v>
      </c>
      <c r="G2" s="13" t="s">
        <v>12</v>
      </c>
      <c r="H2" s="13" t="s">
        <v>14</v>
      </c>
    </row>
    <row r="3" spans="2:8" x14ac:dyDescent="0.25">
      <c r="B3" s="17" t="s">
        <v>31</v>
      </c>
      <c r="C3" s="14">
        <f>'Test Case'!G56</f>
        <v>52</v>
      </c>
      <c r="D3" s="14">
        <f>'Test Case'!H56</f>
        <v>0</v>
      </c>
      <c r="E3" s="14">
        <f>'Test Case'!I56</f>
        <v>0</v>
      </c>
      <c r="F3" s="15">
        <f>'Test Case'!J56</f>
        <v>0</v>
      </c>
      <c r="G3" s="15">
        <f>'Test Case'!K56</f>
        <v>0</v>
      </c>
      <c r="H3" s="14">
        <f>SUM(C3:E3)</f>
        <v>52</v>
      </c>
    </row>
    <row r="4" spans="2:8" x14ac:dyDescent="0.25">
      <c r="B4" s="13"/>
      <c r="C4" s="14"/>
      <c r="D4" s="14"/>
      <c r="E4" s="14"/>
      <c r="F4" s="15"/>
      <c r="G4" s="15"/>
      <c r="H4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4</xdr:row>
                    <xdr:rowOff>57150</xdr:rowOff>
                  </from>
                  <to>
                    <xdr:col>0</xdr:col>
                    <xdr:colOff>581025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0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utton1_Click_Adding_Portfolios">
                <anchor moveWithCells="1">
                  <from>
                    <xdr:col>0</xdr:col>
                    <xdr:colOff>47625</xdr:colOff>
                    <xdr:row>3</xdr:row>
                    <xdr:rowOff>0</xdr:rowOff>
                  </from>
                  <to>
                    <xdr:col>0</xdr:col>
                    <xdr:colOff>590550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Button3_Click_Amending_Portfolios">
                <anchor moveWithCells="1">
                  <from>
                    <xdr:col>0</xdr:col>
                    <xdr:colOff>47625</xdr:colOff>
                    <xdr:row>3</xdr:row>
                    <xdr:rowOff>0</xdr:rowOff>
                  </from>
                  <to>
                    <xdr:col>0</xdr:col>
                    <xdr:colOff>590550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Button4_Click_Terminating_Portfolios">
                <anchor moveWithCells="1">
                  <from>
                    <xdr:col>0</xdr:col>
                    <xdr:colOff>47625</xdr:colOff>
                    <xdr:row>3</xdr:row>
                    <xdr:rowOff>0</xdr:rowOff>
                  </from>
                  <to>
                    <xdr:col>0</xdr:col>
                    <xdr:colOff>590550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57"/>
  <sheetViews>
    <sheetView topLeftCell="C1" zoomScaleNormal="100" workbookViewId="0">
      <pane ySplit="1" topLeftCell="A2" activePane="bottomLeft" state="frozen"/>
      <selection pane="bottomLeft" activeCell="D1" sqref="D1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6384" width="9.140625" style="1"/>
  </cols>
  <sheetData>
    <row r="1" spans="1:11" ht="30" customHeight="1" x14ac:dyDescent="0.25">
      <c r="A1" s="10" t="s">
        <v>1</v>
      </c>
      <c r="B1" s="11" t="s">
        <v>15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9</v>
      </c>
      <c r="H1" s="12" t="s">
        <v>10</v>
      </c>
      <c r="I1" s="12"/>
      <c r="J1" s="12" t="s">
        <v>11</v>
      </c>
      <c r="K1" s="12" t="s">
        <v>12</v>
      </c>
    </row>
    <row r="2" spans="1:11" s="19" customFormat="1" ht="15" customHeight="1" x14ac:dyDescent="0.25">
      <c r="A2" s="20">
        <v>1</v>
      </c>
      <c r="B2" s="18" t="s">
        <v>95</v>
      </c>
      <c r="C2" s="18" t="s">
        <v>32</v>
      </c>
      <c r="D2" s="21"/>
      <c r="E2" s="21"/>
      <c r="F2" s="8" t="s">
        <v>9</v>
      </c>
      <c r="G2" s="8">
        <f t="shared" ref="G2:K18" si="0">IF($F2=G$1,1,0)</f>
        <v>1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</row>
    <row r="3" spans="1:11" x14ac:dyDescent="0.25">
      <c r="A3" s="5">
        <v>1.0001</v>
      </c>
      <c r="B3" s="9" t="s">
        <v>30</v>
      </c>
      <c r="C3" s="1" t="s">
        <v>33</v>
      </c>
      <c r="D3" s="6"/>
      <c r="E3" s="6"/>
      <c r="F3" s="8" t="s">
        <v>9</v>
      </c>
      <c r="G3" s="8">
        <f t="shared" si="0"/>
        <v>1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</row>
    <row r="4" spans="1:11" ht="15" customHeight="1" x14ac:dyDescent="0.25">
      <c r="A4" s="5">
        <f t="shared" ref="A4:A11" si="1">A3+0.0001</f>
        <v>1.0002</v>
      </c>
      <c r="B4" s="9" t="s">
        <v>34</v>
      </c>
      <c r="C4" s="1" t="s">
        <v>35</v>
      </c>
      <c r="D4" s="7"/>
      <c r="E4" s="6"/>
      <c r="F4" s="8" t="s">
        <v>9</v>
      </c>
      <c r="G4" s="8">
        <f t="shared" si="0"/>
        <v>1</v>
      </c>
      <c r="H4" s="8">
        <f t="shared" si="0"/>
        <v>0</v>
      </c>
      <c r="I4" s="8">
        <f t="shared" si="0"/>
        <v>0</v>
      </c>
      <c r="J4" s="8">
        <f t="shared" si="0"/>
        <v>0</v>
      </c>
      <c r="K4" s="8">
        <f t="shared" si="0"/>
        <v>0</v>
      </c>
    </row>
    <row r="5" spans="1:11" x14ac:dyDescent="0.25">
      <c r="A5" s="20">
        <f t="shared" si="1"/>
        <v>1.0003</v>
      </c>
      <c r="B5" s="6" t="s">
        <v>36</v>
      </c>
      <c r="C5" s="9" t="s">
        <v>37</v>
      </c>
      <c r="D5" s="7"/>
      <c r="E5" s="6"/>
      <c r="F5" s="8" t="s">
        <v>9</v>
      </c>
      <c r="G5" s="8">
        <f t="shared" si="0"/>
        <v>1</v>
      </c>
      <c r="H5" s="8">
        <f t="shared" si="0"/>
        <v>0</v>
      </c>
      <c r="I5" s="8">
        <f t="shared" si="0"/>
        <v>0</v>
      </c>
      <c r="J5" s="8">
        <f t="shared" si="0"/>
        <v>0</v>
      </c>
      <c r="K5" s="8">
        <f t="shared" si="0"/>
        <v>0</v>
      </c>
    </row>
    <row r="6" spans="1:11" x14ac:dyDescent="0.25">
      <c r="A6" s="20">
        <f t="shared" si="1"/>
        <v>1.0004</v>
      </c>
      <c r="B6" s="6" t="s">
        <v>38</v>
      </c>
      <c r="C6" s="9" t="s">
        <v>37</v>
      </c>
      <c r="D6" s="7"/>
      <c r="E6" s="6"/>
      <c r="F6" s="8" t="s">
        <v>9</v>
      </c>
      <c r="G6" s="8">
        <f t="shared" si="0"/>
        <v>1</v>
      </c>
      <c r="H6" s="8">
        <f t="shared" si="0"/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</row>
    <row r="7" spans="1:11" x14ac:dyDescent="0.25">
      <c r="A7" s="20">
        <f t="shared" si="1"/>
        <v>1.0004999999999999</v>
      </c>
      <c r="B7" s="7" t="s">
        <v>39</v>
      </c>
      <c r="C7" s="6" t="s">
        <v>40</v>
      </c>
      <c r="D7" s="7"/>
      <c r="E7" s="7"/>
      <c r="F7" s="8" t="s">
        <v>9</v>
      </c>
      <c r="G7" s="8">
        <f t="shared" si="0"/>
        <v>1</v>
      </c>
      <c r="H7" s="8">
        <f t="shared" si="0"/>
        <v>0</v>
      </c>
      <c r="I7" s="8">
        <f t="shared" si="0"/>
        <v>0</v>
      </c>
      <c r="J7" s="8">
        <f t="shared" si="0"/>
        <v>0</v>
      </c>
      <c r="K7" s="8">
        <f t="shared" si="0"/>
        <v>0</v>
      </c>
    </row>
    <row r="8" spans="1:11" x14ac:dyDescent="0.25">
      <c r="A8" s="5">
        <f t="shared" si="1"/>
        <v>1.0005999999999999</v>
      </c>
      <c r="B8" s="7" t="s">
        <v>41</v>
      </c>
      <c r="C8" s="6" t="s">
        <v>42</v>
      </c>
      <c r="D8" s="7"/>
      <c r="E8" s="7"/>
      <c r="F8" s="8" t="s">
        <v>9</v>
      </c>
      <c r="G8" s="8">
        <f t="shared" si="0"/>
        <v>1</v>
      </c>
      <c r="H8" s="8">
        <f t="shared" si="0"/>
        <v>0</v>
      </c>
      <c r="I8" s="8">
        <f t="shared" si="0"/>
        <v>0</v>
      </c>
      <c r="J8" s="8">
        <f t="shared" si="0"/>
        <v>0</v>
      </c>
      <c r="K8" s="8">
        <f t="shared" si="0"/>
        <v>0</v>
      </c>
    </row>
    <row r="9" spans="1:11" ht="25.5" x14ac:dyDescent="0.25">
      <c r="A9" s="5">
        <f t="shared" si="1"/>
        <v>1.0006999999999999</v>
      </c>
      <c r="B9" s="7" t="s">
        <v>43</v>
      </c>
      <c r="C9" s="6" t="s">
        <v>44</v>
      </c>
      <c r="D9" s="7"/>
      <c r="E9" s="7"/>
      <c r="F9" s="8" t="s">
        <v>9</v>
      </c>
      <c r="G9" s="8">
        <f t="shared" si="0"/>
        <v>1</v>
      </c>
      <c r="H9" s="8">
        <f t="shared" si="0"/>
        <v>0</v>
      </c>
      <c r="I9" s="8">
        <f t="shared" si="0"/>
        <v>0</v>
      </c>
      <c r="J9" s="8">
        <f t="shared" si="0"/>
        <v>0</v>
      </c>
      <c r="K9" s="8">
        <f t="shared" si="0"/>
        <v>0</v>
      </c>
    </row>
    <row r="10" spans="1:11" ht="25.5" x14ac:dyDescent="0.25">
      <c r="A10" s="20">
        <f t="shared" si="1"/>
        <v>1.0007999999999999</v>
      </c>
      <c r="B10" s="7" t="s">
        <v>45</v>
      </c>
      <c r="C10" s="6" t="s">
        <v>46</v>
      </c>
      <c r="D10" s="7"/>
      <c r="E10" s="7"/>
      <c r="F10" s="8" t="s">
        <v>9</v>
      </c>
      <c r="G10" s="8">
        <f t="shared" si="0"/>
        <v>1</v>
      </c>
      <c r="H10" s="8">
        <f t="shared" si="0"/>
        <v>0</v>
      </c>
      <c r="I10" s="8">
        <f t="shared" si="0"/>
        <v>0</v>
      </c>
      <c r="J10" s="8">
        <f t="shared" si="0"/>
        <v>0</v>
      </c>
      <c r="K10" s="8">
        <f t="shared" si="0"/>
        <v>0</v>
      </c>
    </row>
    <row r="11" spans="1:11" x14ac:dyDescent="0.25">
      <c r="A11" s="20">
        <f t="shared" si="1"/>
        <v>1.0008999999999999</v>
      </c>
      <c r="B11" s="6" t="s">
        <v>47</v>
      </c>
      <c r="C11" s="1" t="s">
        <v>48</v>
      </c>
      <c r="D11" s="7"/>
      <c r="E11" s="7"/>
      <c r="F11" s="8" t="s">
        <v>9</v>
      </c>
      <c r="G11" s="8">
        <f t="shared" si="0"/>
        <v>1</v>
      </c>
      <c r="H11" s="8">
        <f t="shared" si="0"/>
        <v>0</v>
      </c>
      <c r="I11" s="8">
        <f t="shared" si="0"/>
        <v>0</v>
      </c>
      <c r="J11" s="8">
        <f t="shared" si="0"/>
        <v>0</v>
      </c>
      <c r="K11" s="8">
        <f t="shared" si="0"/>
        <v>0</v>
      </c>
    </row>
    <row r="12" spans="1:11" x14ac:dyDescent="0.25">
      <c r="A12" s="20">
        <f>A11+0.0001</f>
        <v>1.0009999999999999</v>
      </c>
      <c r="B12" s="6" t="s">
        <v>49</v>
      </c>
      <c r="C12" s="6" t="s">
        <v>50</v>
      </c>
      <c r="D12" s="7"/>
      <c r="E12" s="7"/>
      <c r="F12" s="8" t="s">
        <v>9</v>
      </c>
      <c r="G12" s="8"/>
      <c r="H12" s="8"/>
      <c r="I12" s="8"/>
      <c r="J12" s="8"/>
      <c r="K12" s="8"/>
    </row>
    <row r="13" spans="1:11" x14ac:dyDescent="0.25">
      <c r="A13" s="5">
        <f>A12+0.0001</f>
        <v>1.0010999999999999</v>
      </c>
      <c r="B13" s="6" t="s">
        <v>16</v>
      </c>
      <c r="C13" s="6" t="s">
        <v>51</v>
      </c>
      <c r="D13" s="7"/>
      <c r="E13" s="7"/>
      <c r="F13" s="8" t="s">
        <v>9</v>
      </c>
      <c r="G13" s="8">
        <f t="shared" si="0"/>
        <v>1</v>
      </c>
      <c r="H13" s="8">
        <f t="shared" si="0"/>
        <v>0</v>
      </c>
      <c r="I13" s="8">
        <f t="shared" si="0"/>
        <v>0</v>
      </c>
      <c r="J13" s="8">
        <f t="shared" si="0"/>
        <v>0</v>
      </c>
      <c r="K13" s="8">
        <f t="shared" si="0"/>
        <v>0</v>
      </c>
    </row>
    <row r="14" spans="1:11" x14ac:dyDescent="0.25">
      <c r="A14" s="5">
        <f t="shared" ref="A14:A16" si="2">A13+0.0001</f>
        <v>1.0011999999999999</v>
      </c>
      <c r="B14" s="6" t="s">
        <v>17</v>
      </c>
      <c r="C14" s="6" t="s">
        <v>51</v>
      </c>
      <c r="D14" s="7"/>
      <c r="E14" s="7"/>
      <c r="F14" s="8" t="s">
        <v>9</v>
      </c>
      <c r="G14" s="8">
        <f t="shared" si="0"/>
        <v>1</v>
      </c>
      <c r="H14" s="8">
        <f t="shared" si="0"/>
        <v>0</v>
      </c>
      <c r="I14" s="8">
        <f t="shared" si="0"/>
        <v>0</v>
      </c>
      <c r="J14" s="8">
        <f t="shared" si="0"/>
        <v>0</v>
      </c>
      <c r="K14" s="8">
        <f t="shared" si="0"/>
        <v>0</v>
      </c>
    </row>
    <row r="15" spans="1:11" x14ac:dyDescent="0.25">
      <c r="A15" s="20">
        <f t="shared" si="2"/>
        <v>1.0012999999999999</v>
      </c>
      <c r="B15" s="6" t="s">
        <v>52</v>
      </c>
      <c r="C15" s="6" t="s">
        <v>53</v>
      </c>
      <c r="D15" s="7"/>
      <c r="E15" s="7"/>
      <c r="F15" s="8" t="s">
        <v>9</v>
      </c>
      <c r="G15" s="8">
        <f t="shared" si="0"/>
        <v>1</v>
      </c>
      <c r="H15" s="8">
        <f t="shared" si="0"/>
        <v>0</v>
      </c>
      <c r="I15" s="8">
        <f t="shared" si="0"/>
        <v>0</v>
      </c>
      <c r="J15" s="8">
        <f t="shared" si="0"/>
        <v>0</v>
      </c>
      <c r="K15" s="8">
        <f t="shared" si="0"/>
        <v>0</v>
      </c>
    </row>
    <row r="16" spans="1:11" x14ac:dyDescent="0.25">
      <c r="A16" s="20">
        <f t="shared" si="2"/>
        <v>1.0013999999999998</v>
      </c>
      <c r="B16" s="6" t="s">
        <v>54</v>
      </c>
      <c r="C16" s="6" t="s">
        <v>55</v>
      </c>
      <c r="D16" s="7"/>
      <c r="E16" s="7"/>
      <c r="F16" s="8" t="s">
        <v>9</v>
      </c>
      <c r="G16" s="8">
        <f t="shared" si="0"/>
        <v>1</v>
      </c>
      <c r="H16" s="8">
        <f t="shared" si="0"/>
        <v>0</v>
      </c>
      <c r="I16" s="8">
        <f t="shared" si="0"/>
        <v>0</v>
      </c>
      <c r="J16" s="8">
        <f t="shared" si="0"/>
        <v>0</v>
      </c>
      <c r="K16" s="8">
        <f t="shared" si="0"/>
        <v>0</v>
      </c>
    </row>
    <row r="17" spans="1:11" x14ac:dyDescent="0.25">
      <c r="A17" s="20">
        <f>A16+0.0001</f>
        <v>1.0014999999999998</v>
      </c>
      <c r="B17" s="6" t="s">
        <v>56</v>
      </c>
      <c r="C17" s="6" t="s">
        <v>57</v>
      </c>
      <c r="D17" s="7"/>
      <c r="E17" s="7"/>
      <c r="F17" s="8" t="s">
        <v>9</v>
      </c>
      <c r="G17" s="8">
        <f t="shared" si="0"/>
        <v>1</v>
      </c>
      <c r="H17" s="8">
        <f t="shared" si="0"/>
        <v>0</v>
      </c>
      <c r="I17" s="8">
        <f t="shared" si="0"/>
        <v>0</v>
      </c>
      <c r="J17" s="8">
        <f t="shared" si="0"/>
        <v>0</v>
      </c>
      <c r="K17" s="8">
        <f t="shared" si="0"/>
        <v>0</v>
      </c>
    </row>
    <row r="18" spans="1:11" x14ac:dyDescent="0.25">
      <c r="A18" s="5">
        <f>A17+0.0001</f>
        <v>1.0015999999999998</v>
      </c>
      <c r="B18" s="6" t="s">
        <v>58</v>
      </c>
      <c r="C18" s="6" t="s">
        <v>59</v>
      </c>
      <c r="D18" s="7"/>
      <c r="E18" s="7"/>
      <c r="F18" s="8" t="s">
        <v>9</v>
      </c>
      <c r="G18" s="8">
        <f t="shared" si="0"/>
        <v>1</v>
      </c>
      <c r="H18" s="8">
        <f t="shared" si="0"/>
        <v>0</v>
      </c>
      <c r="I18" s="8">
        <f t="shared" si="0"/>
        <v>0</v>
      </c>
      <c r="J18" s="8">
        <f t="shared" si="0"/>
        <v>0</v>
      </c>
      <c r="K18" s="8">
        <f t="shared" si="0"/>
        <v>0</v>
      </c>
    </row>
    <row r="19" spans="1:11" x14ac:dyDescent="0.25">
      <c r="A19" s="5">
        <f t="shared" ref="A19:A21" si="3">A18+0.0001</f>
        <v>1.0016999999999998</v>
      </c>
      <c r="B19" s="6" t="s">
        <v>60</v>
      </c>
      <c r="C19" s="6" t="s">
        <v>61</v>
      </c>
      <c r="D19" s="7"/>
      <c r="E19" s="7"/>
      <c r="F19" s="8" t="s">
        <v>9</v>
      </c>
      <c r="G19" s="8">
        <f t="shared" ref="G19:K55" si="4">IF($F19=G$1,1,0)</f>
        <v>1</v>
      </c>
      <c r="H19" s="8">
        <f t="shared" si="4"/>
        <v>0</v>
      </c>
      <c r="I19" s="8">
        <f t="shared" si="4"/>
        <v>0</v>
      </c>
      <c r="J19" s="8">
        <f t="shared" si="4"/>
        <v>0</v>
      </c>
      <c r="K19" s="8">
        <f t="shared" si="4"/>
        <v>0</v>
      </c>
    </row>
    <row r="20" spans="1:11" x14ac:dyDescent="0.25">
      <c r="A20" s="20">
        <f t="shared" si="3"/>
        <v>1.0017999999999998</v>
      </c>
      <c r="B20" s="6" t="s">
        <v>62</v>
      </c>
      <c r="C20" s="6" t="s">
        <v>50</v>
      </c>
      <c r="D20" s="7"/>
      <c r="E20" s="7"/>
      <c r="F20" s="8" t="s">
        <v>9</v>
      </c>
      <c r="G20" s="8">
        <f t="shared" si="4"/>
        <v>1</v>
      </c>
      <c r="H20" s="8">
        <f t="shared" si="4"/>
        <v>0</v>
      </c>
      <c r="I20" s="8">
        <f t="shared" si="4"/>
        <v>0</v>
      </c>
      <c r="J20" s="8">
        <f t="shared" si="4"/>
        <v>0</v>
      </c>
      <c r="K20" s="8">
        <f t="shared" si="4"/>
        <v>0</v>
      </c>
    </row>
    <row r="21" spans="1:11" x14ac:dyDescent="0.25">
      <c r="A21" s="20">
        <f t="shared" si="3"/>
        <v>1.0018999999999998</v>
      </c>
      <c r="B21" s="7" t="s">
        <v>63</v>
      </c>
      <c r="C21" s="6" t="s">
        <v>50</v>
      </c>
      <c r="D21" s="7"/>
      <c r="E21" s="7"/>
      <c r="F21" s="8" t="s">
        <v>9</v>
      </c>
      <c r="G21" s="8">
        <f t="shared" si="4"/>
        <v>1</v>
      </c>
      <c r="H21" s="8">
        <f t="shared" si="4"/>
        <v>0</v>
      </c>
      <c r="I21" s="8">
        <f t="shared" si="4"/>
        <v>0</v>
      </c>
      <c r="J21" s="8">
        <f t="shared" si="4"/>
        <v>0</v>
      </c>
      <c r="K21" s="8">
        <f t="shared" si="4"/>
        <v>0</v>
      </c>
    </row>
    <row r="22" spans="1:11" x14ac:dyDescent="0.25">
      <c r="A22" s="20">
        <f>A21+0.0001</f>
        <v>1.0019999999999998</v>
      </c>
      <c r="B22" s="7" t="s">
        <v>5</v>
      </c>
      <c r="C22" s="6" t="s">
        <v>64</v>
      </c>
      <c r="D22" s="7"/>
      <c r="E22" s="7"/>
      <c r="F22" s="8" t="s">
        <v>9</v>
      </c>
      <c r="G22" s="8">
        <f t="shared" si="4"/>
        <v>1</v>
      </c>
      <c r="H22" s="8">
        <f t="shared" si="4"/>
        <v>0</v>
      </c>
      <c r="I22" s="8">
        <f t="shared" si="4"/>
        <v>0</v>
      </c>
      <c r="J22" s="8">
        <f t="shared" si="4"/>
        <v>0</v>
      </c>
      <c r="K22" s="8">
        <f t="shared" si="4"/>
        <v>0</v>
      </c>
    </row>
    <row r="23" spans="1:11" x14ac:dyDescent="0.25">
      <c r="A23" s="5">
        <f>A22+0.0001</f>
        <v>1.0020999999999998</v>
      </c>
      <c r="B23" s="7" t="s">
        <v>8</v>
      </c>
      <c r="C23" s="6" t="s">
        <v>51</v>
      </c>
      <c r="D23" s="7"/>
      <c r="E23" s="7"/>
      <c r="F23" s="8" t="s">
        <v>9</v>
      </c>
      <c r="G23" s="8">
        <f t="shared" si="4"/>
        <v>1</v>
      </c>
      <c r="H23" s="8">
        <f t="shared" si="4"/>
        <v>0</v>
      </c>
      <c r="I23" s="8">
        <f t="shared" si="4"/>
        <v>0</v>
      </c>
      <c r="J23" s="8">
        <f t="shared" si="4"/>
        <v>0</v>
      </c>
      <c r="K23" s="8">
        <f t="shared" si="4"/>
        <v>0</v>
      </c>
    </row>
    <row r="24" spans="1:11" x14ac:dyDescent="0.25">
      <c r="A24" s="5">
        <f t="shared" ref="A24:A26" si="5">A23+0.0001</f>
        <v>1.0021999999999998</v>
      </c>
      <c r="B24" s="7" t="s">
        <v>65</v>
      </c>
      <c r="C24" s="6" t="s">
        <v>66</v>
      </c>
      <c r="D24" s="7"/>
      <c r="E24" s="7"/>
      <c r="F24" s="8" t="s">
        <v>9</v>
      </c>
      <c r="G24" s="8">
        <f t="shared" si="4"/>
        <v>1</v>
      </c>
      <c r="H24" s="8">
        <f t="shared" si="4"/>
        <v>0</v>
      </c>
      <c r="I24" s="8">
        <f t="shared" si="4"/>
        <v>0</v>
      </c>
      <c r="J24" s="8">
        <f t="shared" si="4"/>
        <v>0</v>
      </c>
      <c r="K24" s="8">
        <f t="shared" si="4"/>
        <v>0</v>
      </c>
    </row>
    <row r="25" spans="1:11" x14ac:dyDescent="0.25">
      <c r="A25" s="20">
        <f t="shared" si="5"/>
        <v>1.0022999999999997</v>
      </c>
      <c r="B25" s="7" t="s">
        <v>67</v>
      </c>
      <c r="C25" s="6" t="s">
        <v>68</v>
      </c>
      <c r="D25" s="7"/>
      <c r="E25" s="7"/>
      <c r="F25" s="8" t="s">
        <v>9</v>
      </c>
      <c r="G25" s="8">
        <f t="shared" si="4"/>
        <v>1</v>
      </c>
      <c r="H25" s="8">
        <f t="shared" si="4"/>
        <v>0</v>
      </c>
      <c r="I25" s="8">
        <f t="shared" si="4"/>
        <v>0</v>
      </c>
      <c r="J25" s="8">
        <f t="shared" si="4"/>
        <v>0</v>
      </c>
      <c r="K25" s="8">
        <f t="shared" si="4"/>
        <v>0</v>
      </c>
    </row>
    <row r="26" spans="1:11" x14ac:dyDescent="0.25">
      <c r="A26" s="20">
        <f t="shared" si="5"/>
        <v>1.0023999999999997</v>
      </c>
      <c r="B26" s="6" t="s">
        <v>69</v>
      </c>
      <c r="C26" s="6" t="s">
        <v>66</v>
      </c>
      <c r="D26" s="7"/>
      <c r="E26" s="7"/>
      <c r="F26" s="8" t="s">
        <v>9</v>
      </c>
      <c r="G26" s="8">
        <f t="shared" si="4"/>
        <v>1</v>
      </c>
      <c r="H26" s="8">
        <f t="shared" si="4"/>
        <v>0</v>
      </c>
      <c r="I26" s="8">
        <f t="shared" si="4"/>
        <v>0</v>
      </c>
      <c r="J26" s="8">
        <f t="shared" si="4"/>
        <v>0</v>
      </c>
      <c r="K26" s="8">
        <f t="shared" si="4"/>
        <v>0</v>
      </c>
    </row>
    <row r="27" spans="1:11" x14ac:dyDescent="0.25">
      <c r="A27" s="20">
        <f>A26+0.0001</f>
        <v>1.0024999999999997</v>
      </c>
      <c r="B27" s="6" t="s">
        <v>67</v>
      </c>
      <c r="C27" s="6" t="s">
        <v>70</v>
      </c>
      <c r="D27" s="7"/>
      <c r="E27" s="7"/>
      <c r="F27" s="8" t="s">
        <v>9</v>
      </c>
      <c r="G27" s="8">
        <f t="shared" si="4"/>
        <v>1</v>
      </c>
      <c r="H27" s="8">
        <f t="shared" si="4"/>
        <v>0</v>
      </c>
      <c r="I27" s="8">
        <f t="shared" si="4"/>
        <v>0</v>
      </c>
      <c r="J27" s="8">
        <f t="shared" si="4"/>
        <v>0</v>
      </c>
      <c r="K27" s="8">
        <f t="shared" si="4"/>
        <v>0</v>
      </c>
    </row>
    <row r="28" spans="1:11" x14ac:dyDescent="0.25">
      <c r="A28" s="5">
        <f>A27+0.0001</f>
        <v>1.0025999999999997</v>
      </c>
      <c r="B28" s="6"/>
      <c r="C28" s="6" t="s">
        <v>71</v>
      </c>
      <c r="D28" s="7"/>
      <c r="E28" s="7"/>
      <c r="F28" s="8" t="s">
        <v>9</v>
      </c>
      <c r="G28" s="8">
        <f t="shared" si="4"/>
        <v>1</v>
      </c>
      <c r="H28" s="8">
        <f t="shared" si="4"/>
        <v>0</v>
      </c>
      <c r="I28" s="8">
        <f t="shared" si="4"/>
        <v>0</v>
      </c>
      <c r="J28" s="8">
        <f t="shared" si="4"/>
        <v>0</v>
      </c>
      <c r="K28" s="8">
        <f t="shared" si="4"/>
        <v>0</v>
      </c>
    </row>
    <row r="29" spans="1:11" x14ac:dyDescent="0.25">
      <c r="A29" s="5">
        <f t="shared" ref="A29:A31" si="6">A28+0.0001</f>
        <v>1.0026999999999997</v>
      </c>
      <c r="B29" s="6" t="s">
        <v>7</v>
      </c>
      <c r="C29" s="6" t="s">
        <v>50</v>
      </c>
      <c r="D29" s="7"/>
      <c r="E29" s="7"/>
      <c r="F29" s="8" t="s">
        <v>9</v>
      </c>
      <c r="G29" s="8">
        <f t="shared" si="4"/>
        <v>1</v>
      </c>
      <c r="H29" s="8">
        <f t="shared" si="4"/>
        <v>0</v>
      </c>
      <c r="I29" s="8">
        <f t="shared" si="4"/>
        <v>0</v>
      </c>
      <c r="J29" s="8">
        <f t="shared" si="4"/>
        <v>0</v>
      </c>
      <c r="K29" s="8">
        <f t="shared" si="4"/>
        <v>0</v>
      </c>
    </row>
    <row r="30" spans="1:11" x14ac:dyDescent="0.25">
      <c r="A30" s="20">
        <f t="shared" si="6"/>
        <v>1.0027999999999997</v>
      </c>
      <c r="B30" s="6"/>
      <c r="C30" s="6" t="s">
        <v>68</v>
      </c>
      <c r="D30" s="7"/>
      <c r="E30" s="7"/>
      <c r="F30" s="8" t="s">
        <v>9</v>
      </c>
      <c r="G30" s="8">
        <f t="shared" si="4"/>
        <v>1</v>
      </c>
      <c r="H30" s="8">
        <f t="shared" si="4"/>
        <v>0</v>
      </c>
      <c r="I30" s="8">
        <f t="shared" si="4"/>
        <v>0</v>
      </c>
      <c r="J30" s="8">
        <f t="shared" si="4"/>
        <v>0</v>
      </c>
      <c r="K30" s="8">
        <f t="shared" si="4"/>
        <v>0</v>
      </c>
    </row>
    <row r="31" spans="1:11" x14ac:dyDescent="0.25">
      <c r="A31" s="20">
        <f t="shared" si="6"/>
        <v>1.0028999999999997</v>
      </c>
      <c r="B31" s="6" t="s">
        <v>72</v>
      </c>
      <c r="C31" s="6" t="s">
        <v>73</v>
      </c>
      <c r="D31" s="7"/>
      <c r="E31" s="7"/>
      <c r="F31" s="8" t="s">
        <v>9</v>
      </c>
      <c r="G31" s="8">
        <f t="shared" si="4"/>
        <v>1</v>
      </c>
      <c r="H31" s="8">
        <f t="shared" si="4"/>
        <v>0</v>
      </c>
      <c r="I31" s="8">
        <f t="shared" si="4"/>
        <v>0</v>
      </c>
      <c r="J31" s="8">
        <f t="shared" si="4"/>
        <v>0</v>
      </c>
      <c r="K31" s="8">
        <f t="shared" si="4"/>
        <v>0</v>
      </c>
    </row>
    <row r="32" spans="1:11" x14ac:dyDescent="0.25">
      <c r="A32" s="20">
        <f>A31+0.0001</f>
        <v>1.0029999999999997</v>
      </c>
      <c r="B32" s="6" t="s">
        <v>18</v>
      </c>
      <c r="C32" s="6" t="s">
        <v>37</v>
      </c>
      <c r="D32" s="7"/>
      <c r="E32" s="7"/>
      <c r="F32" s="8" t="s">
        <v>9</v>
      </c>
      <c r="G32" s="8">
        <f t="shared" si="4"/>
        <v>1</v>
      </c>
      <c r="H32" s="8">
        <f t="shared" si="4"/>
        <v>0</v>
      </c>
      <c r="I32" s="8">
        <f t="shared" si="4"/>
        <v>0</v>
      </c>
      <c r="J32" s="8">
        <f t="shared" si="4"/>
        <v>0</v>
      </c>
      <c r="K32" s="8">
        <f t="shared" si="4"/>
        <v>0</v>
      </c>
    </row>
    <row r="33" spans="1:11" x14ac:dyDescent="0.25">
      <c r="A33" s="5">
        <f>A32+0.0001</f>
        <v>1.0030999999999997</v>
      </c>
      <c r="B33" s="6" t="s">
        <v>19</v>
      </c>
      <c r="C33" s="6" t="s">
        <v>37</v>
      </c>
      <c r="D33" s="7"/>
      <c r="E33" s="7"/>
      <c r="F33" s="8" t="s">
        <v>9</v>
      </c>
      <c r="G33" s="8">
        <f t="shared" si="4"/>
        <v>1</v>
      </c>
      <c r="H33" s="8">
        <f t="shared" si="4"/>
        <v>0</v>
      </c>
      <c r="I33" s="8">
        <f t="shared" si="4"/>
        <v>0</v>
      </c>
      <c r="J33" s="8">
        <f t="shared" si="4"/>
        <v>0</v>
      </c>
      <c r="K33" s="8">
        <f t="shared" si="4"/>
        <v>0</v>
      </c>
    </row>
    <row r="34" spans="1:11" x14ac:dyDescent="0.25">
      <c r="A34" s="5">
        <f t="shared" ref="A34:A36" si="7">A33+0.0001</f>
        <v>1.0031999999999996</v>
      </c>
      <c r="B34" s="6" t="s">
        <v>20</v>
      </c>
      <c r="C34" s="6" t="s">
        <v>37</v>
      </c>
      <c r="D34" s="7"/>
      <c r="E34" s="7"/>
      <c r="F34" s="8" t="s">
        <v>9</v>
      </c>
      <c r="G34" s="8">
        <f t="shared" si="4"/>
        <v>1</v>
      </c>
      <c r="H34" s="8">
        <f t="shared" si="4"/>
        <v>0</v>
      </c>
      <c r="I34" s="8">
        <f t="shared" si="4"/>
        <v>0</v>
      </c>
      <c r="J34" s="8">
        <f t="shared" si="4"/>
        <v>0</v>
      </c>
      <c r="K34" s="8">
        <f t="shared" si="4"/>
        <v>0</v>
      </c>
    </row>
    <row r="35" spans="1:11" x14ac:dyDescent="0.25">
      <c r="A35" s="20">
        <f t="shared" si="7"/>
        <v>1.0032999999999996</v>
      </c>
      <c r="B35" s="6" t="s">
        <v>21</v>
      </c>
      <c r="C35" s="6" t="s">
        <v>37</v>
      </c>
      <c r="D35" s="7"/>
      <c r="E35" s="7"/>
      <c r="F35" s="8" t="s">
        <v>9</v>
      </c>
      <c r="G35" s="8">
        <f t="shared" si="4"/>
        <v>1</v>
      </c>
      <c r="H35" s="8">
        <f t="shared" si="4"/>
        <v>0</v>
      </c>
      <c r="I35" s="8">
        <f t="shared" si="4"/>
        <v>0</v>
      </c>
      <c r="J35" s="8">
        <f t="shared" si="4"/>
        <v>0</v>
      </c>
      <c r="K35" s="8">
        <f t="shared" si="4"/>
        <v>0</v>
      </c>
    </row>
    <row r="36" spans="1:11" x14ac:dyDescent="0.25">
      <c r="A36" s="20">
        <f t="shared" si="7"/>
        <v>1.0033999999999996</v>
      </c>
      <c r="B36" s="6" t="s">
        <v>22</v>
      </c>
      <c r="C36" s="6" t="s">
        <v>37</v>
      </c>
      <c r="D36" s="7"/>
      <c r="E36" s="7"/>
      <c r="F36" s="8" t="s">
        <v>9</v>
      </c>
      <c r="G36" s="8">
        <f t="shared" si="4"/>
        <v>1</v>
      </c>
      <c r="H36" s="8">
        <f t="shared" si="4"/>
        <v>0</v>
      </c>
      <c r="I36" s="8">
        <f t="shared" si="4"/>
        <v>0</v>
      </c>
      <c r="J36" s="8">
        <f t="shared" si="4"/>
        <v>0</v>
      </c>
      <c r="K36" s="8">
        <f t="shared" si="4"/>
        <v>0</v>
      </c>
    </row>
    <row r="37" spans="1:11" x14ac:dyDescent="0.25">
      <c r="A37" s="20">
        <f>A36+0.0001</f>
        <v>1.0034999999999996</v>
      </c>
      <c r="B37" s="6" t="s">
        <v>23</v>
      </c>
      <c r="C37" s="6" t="s">
        <v>33</v>
      </c>
      <c r="D37" s="7"/>
      <c r="E37" s="7"/>
      <c r="F37" s="8" t="s">
        <v>9</v>
      </c>
      <c r="G37" s="8">
        <f t="shared" si="4"/>
        <v>1</v>
      </c>
      <c r="H37" s="8">
        <f t="shared" si="4"/>
        <v>0</v>
      </c>
      <c r="I37" s="8">
        <f t="shared" si="4"/>
        <v>0</v>
      </c>
      <c r="J37" s="8">
        <f t="shared" si="4"/>
        <v>0</v>
      </c>
      <c r="K37" s="8">
        <f t="shared" si="4"/>
        <v>0</v>
      </c>
    </row>
    <row r="38" spans="1:11" x14ac:dyDescent="0.25">
      <c r="A38" s="5">
        <f>A37+0.0001</f>
        <v>1.0035999999999996</v>
      </c>
      <c r="B38" s="6" t="s">
        <v>74</v>
      </c>
      <c r="C38" s="6" t="s">
        <v>33</v>
      </c>
      <c r="D38" s="7"/>
      <c r="E38" s="7"/>
      <c r="F38" s="8" t="s">
        <v>9</v>
      </c>
      <c r="G38" s="8">
        <f t="shared" si="4"/>
        <v>1</v>
      </c>
      <c r="H38" s="8">
        <f t="shared" si="4"/>
        <v>0</v>
      </c>
      <c r="I38" s="8">
        <f t="shared" si="4"/>
        <v>0</v>
      </c>
      <c r="J38" s="8">
        <f t="shared" si="4"/>
        <v>0</v>
      </c>
      <c r="K38" s="8">
        <f t="shared" si="4"/>
        <v>0</v>
      </c>
    </row>
    <row r="39" spans="1:11" x14ac:dyDescent="0.25">
      <c r="A39" s="5">
        <f t="shared" ref="A39:A41" si="8">A38+0.0001</f>
        <v>1.0036999999999996</v>
      </c>
      <c r="B39" s="6" t="s">
        <v>6</v>
      </c>
      <c r="C39" s="6" t="s">
        <v>33</v>
      </c>
      <c r="D39" s="7"/>
      <c r="E39" s="7"/>
      <c r="F39" s="8" t="s">
        <v>9</v>
      </c>
      <c r="G39" s="8">
        <f t="shared" si="4"/>
        <v>1</v>
      </c>
      <c r="H39" s="8">
        <f t="shared" si="4"/>
        <v>0</v>
      </c>
      <c r="I39" s="8">
        <f t="shared" si="4"/>
        <v>0</v>
      </c>
      <c r="J39" s="8">
        <f t="shared" si="4"/>
        <v>0</v>
      </c>
      <c r="K39" s="8">
        <f t="shared" si="4"/>
        <v>0</v>
      </c>
    </row>
    <row r="40" spans="1:11" x14ac:dyDescent="0.25">
      <c r="A40" s="20">
        <f t="shared" si="8"/>
        <v>1.0037999999999996</v>
      </c>
      <c r="B40" s="6" t="s">
        <v>24</v>
      </c>
      <c r="C40" s="6"/>
      <c r="D40" s="7"/>
      <c r="E40" s="7"/>
      <c r="F40" s="8" t="s">
        <v>9</v>
      </c>
      <c r="G40" s="8">
        <f t="shared" si="4"/>
        <v>1</v>
      </c>
      <c r="H40" s="8">
        <f t="shared" si="4"/>
        <v>0</v>
      </c>
      <c r="I40" s="8">
        <f t="shared" si="4"/>
        <v>0</v>
      </c>
      <c r="J40" s="8">
        <f t="shared" si="4"/>
        <v>0</v>
      </c>
      <c r="K40" s="8">
        <f t="shared" si="4"/>
        <v>0</v>
      </c>
    </row>
    <row r="41" spans="1:11" x14ac:dyDescent="0.25">
      <c r="A41" s="20">
        <f t="shared" si="8"/>
        <v>1.0038999999999996</v>
      </c>
      <c r="B41" s="7" t="s">
        <v>25</v>
      </c>
      <c r="C41" s="6" t="s">
        <v>75</v>
      </c>
      <c r="D41" s="7"/>
      <c r="E41" s="7"/>
      <c r="F41" s="8" t="s">
        <v>9</v>
      </c>
      <c r="G41" s="8">
        <f t="shared" si="4"/>
        <v>1</v>
      </c>
      <c r="H41" s="8">
        <f t="shared" si="4"/>
        <v>0</v>
      </c>
      <c r="I41" s="8">
        <f t="shared" si="4"/>
        <v>0</v>
      </c>
      <c r="J41" s="8">
        <f t="shared" si="4"/>
        <v>0</v>
      </c>
      <c r="K41" s="8">
        <f t="shared" si="4"/>
        <v>0</v>
      </c>
    </row>
    <row r="42" spans="1:11" x14ac:dyDescent="0.25">
      <c r="A42" s="20">
        <f>A41+0.0001</f>
        <v>1.0039999999999996</v>
      </c>
      <c r="B42" s="7" t="s">
        <v>76</v>
      </c>
      <c r="C42" s="22" t="s">
        <v>33</v>
      </c>
      <c r="D42" s="7"/>
      <c r="E42" s="7"/>
      <c r="F42" s="8" t="s">
        <v>9</v>
      </c>
      <c r="G42" s="8">
        <f t="shared" si="4"/>
        <v>1</v>
      </c>
      <c r="H42" s="8">
        <f t="shared" si="4"/>
        <v>0</v>
      </c>
      <c r="I42" s="8">
        <f t="shared" si="4"/>
        <v>0</v>
      </c>
      <c r="J42" s="8">
        <f t="shared" si="4"/>
        <v>0</v>
      </c>
      <c r="K42" s="8">
        <f t="shared" si="4"/>
        <v>0</v>
      </c>
    </row>
    <row r="43" spans="1:11" x14ac:dyDescent="0.25">
      <c r="A43" s="5">
        <f>A42+0.0001</f>
        <v>1.0040999999999995</v>
      </c>
      <c r="B43" s="7" t="s">
        <v>26</v>
      </c>
      <c r="C43" s="6" t="s">
        <v>77</v>
      </c>
      <c r="D43" s="7"/>
      <c r="E43" s="7"/>
      <c r="F43" s="8" t="s">
        <v>9</v>
      </c>
      <c r="G43" s="8">
        <f t="shared" si="4"/>
        <v>1</v>
      </c>
      <c r="H43" s="8">
        <f t="shared" si="4"/>
        <v>0</v>
      </c>
      <c r="I43" s="8">
        <f t="shared" si="4"/>
        <v>0</v>
      </c>
      <c r="J43" s="8">
        <f t="shared" si="4"/>
        <v>0</v>
      </c>
      <c r="K43" s="8">
        <f t="shared" si="4"/>
        <v>0</v>
      </c>
    </row>
    <row r="44" spans="1:11" x14ac:dyDescent="0.25">
      <c r="A44" s="5">
        <f t="shared" ref="A44:A46" si="9">A43+0.0001</f>
        <v>1.0041999999999995</v>
      </c>
      <c r="B44" s="7" t="s">
        <v>27</v>
      </c>
      <c r="C44" s="6" t="s">
        <v>37</v>
      </c>
      <c r="D44" s="7"/>
      <c r="E44" s="7"/>
      <c r="F44" s="8" t="s">
        <v>9</v>
      </c>
      <c r="G44" s="8">
        <f t="shared" si="4"/>
        <v>1</v>
      </c>
      <c r="H44" s="8">
        <f t="shared" si="4"/>
        <v>0</v>
      </c>
      <c r="I44" s="8">
        <f t="shared" si="4"/>
        <v>0</v>
      </c>
      <c r="J44" s="8">
        <f t="shared" si="4"/>
        <v>0</v>
      </c>
      <c r="K44" s="8">
        <f t="shared" si="4"/>
        <v>0</v>
      </c>
    </row>
    <row r="45" spans="1:11" x14ac:dyDescent="0.25">
      <c r="A45" s="20">
        <f t="shared" si="9"/>
        <v>1.0042999999999995</v>
      </c>
      <c r="B45" s="7" t="s">
        <v>78</v>
      </c>
      <c r="C45" s="6" t="s">
        <v>51</v>
      </c>
      <c r="D45" s="7"/>
      <c r="E45" s="7"/>
      <c r="F45" s="8" t="s">
        <v>9</v>
      </c>
      <c r="G45" s="8">
        <f t="shared" si="4"/>
        <v>1</v>
      </c>
      <c r="H45" s="8">
        <f t="shared" si="4"/>
        <v>0</v>
      </c>
      <c r="I45" s="8">
        <f t="shared" si="4"/>
        <v>0</v>
      </c>
      <c r="J45" s="8">
        <f t="shared" si="4"/>
        <v>0</v>
      </c>
      <c r="K45" s="8">
        <f t="shared" si="4"/>
        <v>0</v>
      </c>
    </row>
    <row r="46" spans="1:11" s="26" customFormat="1" x14ac:dyDescent="0.25">
      <c r="A46" s="20">
        <f t="shared" si="9"/>
        <v>1.0043999999999995</v>
      </c>
      <c r="B46" s="23" t="s">
        <v>79</v>
      </c>
      <c r="C46" s="23" t="s">
        <v>80</v>
      </c>
      <c r="D46" s="24"/>
      <c r="E46" s="24"/>
      <c r="F46" s="8" t="s">
        <v>9</v>
      </c>
      <c r="G46" s="25">
        <f t="shared" si="4"/>
        <v>1</v>
      </c>
      <c r="H46" s="25">
        <f t="shared" si="4"/>
        <v>0</v>
      </c>
      <c r="I46" s="25">
        <f t="shared" si="4"/>
        <v>0</v>
      </c>
      <c r="J46" s="25">
        <f t="shared" si="4"/>
        <v>0</v>
      </c>
      <c r="K46" s="25">
        <f t="shared" si="4"/>
        <v>0</v>
      </c>
    </row>
    <row r="47" spans="1:11" x14ac:dyDescent="0.25">
      <c r="A47" s="20">
        <f>A46+0.0001</f>
        <v>1.0044999999999995</v>
      </c>
      <c r="B47" s="7" t="s">
        <v>28</v>
      </c>
      <c r="C47" s="6" t="s">
        <v>81</v>
      </c>
      <c r="D47" s="7"/>
      <c r="E47" s="7"/>
      <c r="F47" s="8" t="s">
        <v>9</v>
      </c>
      <c r="G47" s="8">
        <f t="shared" si="4"/>
        <v>1</v>
      </c>
      <c r="H47" s="8">
        <f t="shared" si="4"/>
        <v>0</v>
      </c>
      <c r="I47" s="8">
        <f t="shared" si="4"/>
        <v>0</v>
      </c>
      <c r="J47" s="8">
        <f t="shared" si="4"/>
        <v>0</v>
      </c>
      <c r="K47" s="8">
        <f t="shared" si="4"/>
        <v>0</v>
      </c>
    </row>
    <row r="48" spans="1:11" x14ac:dyDescent="0.25">
      <c r="A48" s="5">
        <f>A47+0.0001</f>
        <v>1.0045999999999995</v>
      </c>
      <c r="B48" s="7" t="s">
        <v>67</v>
      </c>
      <c r="C48" s="6" t="s">
        <v>79</v>
      </c>
      <c r="D48" s="7"/>
      <c r="E48" s="7"/>
      <c r="F48" s="8" t="s">
        <v>9</v>
      </c>
      <c r="G48" s="8">
        <f t="shared" si="4"/>
        <v>1</v>
      </c>
      <c r="H48" s="8">
        <f t="shared" si="4"/>
        <v>0</v>
      </c>
      <c r="I48" s="8">
        <f t="shared" si="4"/>
        <v>0</v>
      </c>
      <c r="J48" s="8">
        <f t="shared" si="4"/>
        <v>0</v>
      </c>
      <c r="K48" s="8">
        <f t="shared" si="4"/>
        <v>0</v>
      </c>
    </row>
    <row r="49" spans="1:11" x14ac:dyDescent="0.25">
      <c r="A49" s="5">
        <f t="shared" ref="A49:A51" si="10">A48+0.0001</f>
        <v>1.0046999999999995</v>
      </c>
      <c r="B49" s="7" t="s">
        <v>82</v>
      </c>
      <c r="C49" s="6" t="s">
        <v>83</v>
      </c>
      <c r="D49" s="7"/>
      <c r="E49" s="7"/>
      <c r="F49" s="8" t="s">
        <v>9</v>
      </c>
      <c r="G49" s="8">
        <f t="shared" si="4"/>
        <v>1</v>
      </c>
      <c r="H49" s="8">
        <f t="shared" si="4"/>
        <v>0</v>
      </c>
      <c r="I49" s="8">
        <f t="shared" si="4"/>
        <v>0</v>
      </c>
      <c r="J49" s="8">
        <f t="shared" si="4"/>
        <v>0</v>
      </c>
      <c r="K49" s="8">
        <f t="shared" si="4"/>
        <v>0</v>
      </c>
    </row>
    <row r="50" spans="1:11" x14ac:dyDescent="0.25">
      <c r="A50" s="20">
        <f t="shared" si="10"/>
        <v>1.0047999999999995</v>
      </c>
      <c r="B50" s="6" t="s">
        <v>79</v>
      </c>
      <c r="C50" s="6" t="s">
        <v>84</v>
      </c>
      <c r="D50" s="7"/>
      <c r="E50" s="7"/>
      <c r="F50" s="8" t="s">
        <v>9</v>
      </c>
      <c r="G50" s="8">
        <f t="shared" si="4"/>
        <v>1</v>
      </c>
      <c r="H50" s="8">
        <f t="shared" si="4"/>
        <v>0</v>
      </c>
      <c r="I50" s="8">
        <f t="shared" si="4"/>
        <v>0</v>
      </c>
      <c r="J50" s="8">
        <f t="shared" si="4"/>
        <v>0</v>
      </c>
      <c r="K50" s="8">
        <f t="shared" si="4"/>
        <v>0</v>
      </c>
    </row>
    <row r="51" spans="1:11" x14ac:dyDescent="0.25">
      <c r="A51" s="20">
        <f t="shared" si="10"/>
        <v>1.0048999999999995</v>
      </c>
      <c r="B51" s="6" t="s">
        <v>85</v>
      </c>
      <c r="C51" s="6" t="s">
        <v>86</v>
      </c>
      <c r="D51" s="7"/>
      <c r="E51" s="7"/>
      <c r="F51" s="8" t="s">
        <v>9</v>
      </c>
      <c r="G51" s="8">
        <f t="shared" si="4"/>
        <v>1</v>
      </c>
      <c r="H51" s="8">
        <f t="shared" si="4"/>
        <v>0</v>
      </c>
      <c r="I51" s="8">
        <f t="shared" si="4"/>
        <v>0</v>
      </c>
      <c r="J51" s="8">
        <f t="shared" si="4"/>
        <v>0</v>
      </c>
      <c r="K51" s="8">
        <f t="shared" si="4"/>
        <v>0</v>
      </c>
    </row>
    <row r="52" spans="1:11" x14ac:dyDescent="0.25">
      <c r="A52" s="20">
        <f>A51+0.0001</f>
        <v>1.0049999999999994</v>
      </c>
      <c r="B52" s="6" t="s">
        <v>29</v>
      </c>
      <c r="C52" s="6" t="s">
        <v>87</v>
      </c>
      <c r="D52" s="7"/>
      <c r="E52" s="7"/>
      <c r="F52" s="8" t="s">
        <v>9</v>
      </c>
      <c r="G52" s="8">
        <f t="shared" si="4"/>
        <v>1</v>
      </c>
      <c r="H52" s="8">
        <f t="shared" si="4"/>
        <v>0</v>
      </c>
      <c r="I52" s="8">
        <f t="shared" si="4"/>
        <v>0</v>
      </c>
      <c r="J52" s="8">
        <f t="shared" si="4"/>
        <v>0</v>
      </c>
      <c r="K52" s="8">
        <f t="shared" si="4"/>
        <v>0</v>
      </c>
    </row>
    <row r="53" spans="1:11" x14ac:dyDescent="0.25">
      <c r="A53" s="5">
        <f>A52+0.0001</f>
        <v>1.0050999999999994</v>
      </c>
      <c r="B53" s="6" t="s">
        <v>88</v>
      </c>
      <c r="C53" s="6" t="s">
        <v>89</v>
      </c>
      <c r="D53" s="7"/>
      <c r="E53" s="7"/>
      <c r="F53" s="8" t="s">
        <v>9</v>
      </c>
      <c r="G53" s="8">
        <f t="shared" si="4"/>
        <v>1</v>
      </c>
      <c r="H53" s="8">
        <f t="shared" si="4"/>
        <v>0</v>
      </c>
      <c r="I53" s="8">
        <f t="shared" si="4"/>
        <v>0</v>
      </c>
      <c r="J53" s="8">
        <f t="shared" si="4"/>
        <v>0</v>
      </c>
      <c r="K53" s="8">
        <f t="shared" si="4"/>
        <v>0</v>
      </c>
    </row>
    <row r="54" spans="1:11" x14ac:dyDescent="0.25">
      <c r="A54" s="5">
        <f t="shared" ref="A54:A55" si="11">A53+0.0001</f>
        <v>1.0051999999999994</v>
      </c>
      <c r="B54" s="6" t="s">
        <v>90</v>
      </c>
      <c r="C54" s="6" t="s">
        <v>91</v>
      </c>
      <c r="D54" s="7"/>
      <c r="E54" s="7"/>
      <c r="F54" s="8" t="s">
        <v>9</v>
      </c>
      <c r="G54" s="8">
        <f t="shared" si="4"/>
        <v>1</v>
      </c>
      <c r="H54" s="8">
        <f t="shared" si="4"/>
        <v>0</v>
      </c>
      <c r="I54" s="8">
        <f t="shared" si="4"/>
        <v>0</v>
      </c>
      <c r="J54" s="8">
        <f t="shared" si="4"/>
        <v>0</v>
      </c>
      <c r="K54" s="8">
        <f t="shared" si="4"/>
        <v>0</v>
      </c>
    </row>
    <row r="55" spans="1:11" x14ac:dyDescent="0.25">
      <c r="A55" s="20">
        <f t="shared" si="11"/>
        <v>1.0052999999999994</v>
      </c>
      <c r="B55" s="6" t="s">
        <v>92</v>
      </c>
      <c r="C55" s="6" t="s">
        <v>93</v>
      </c>
      <c r="D55" s="7"/>
      <c r="E55" s="7"/>
      <c r="F55" s="8" t="s">
        <v>9</v>
      </c>
      <c r="G55" s="8">
        <f t="shared" si="4"/>
        <v>1</v>
      </c>
      <c r="H55" s="8">
        <f t="shared" si="4"/>
        <v>0</v>
      </c>
      <c r="I55" s="8">
        <f t="shared" si="4"/>
        <v>0</v>
      </c>
      <c r="J55" s="8">
        <f t="shared" si="4"/>
        <v>0</v>
      </c>
      <c r="K55" s="8">
        <f t="shared" si="4"/>
        <v>0</v>
      </c>
    </row>
    <row r="56" spans="1:11" ht="15.75" thickBot="1" x14ac:dyDescent="0.3">
      <c r="G56" s="2">
        <f>SUM(G3:G55)</f>
        <v>52</v>
      </c>
      <c r="H56" s="2">
        <f>SUM(H3:H55)</f>
        <v>0</v>
      </c>
      <c r="I56" s="2">
        <f>SUM(I3:I55)</f>
        <v>0</v>
      </c>
      <c r="J56" s="2">
        <f>SUM(J3:J55)</f>
        <v>0</v>
      </c>
      <c r="K56" s="2">
        <f>SUM(K3:K55)</f>
        <v>0</v>
      </c>
    </row>
    <row r="57" spans="1:11" ht="15.75" thickTop="1" x14ac:dyDescent="0.25"/>
  </sheetData>
  <conditionalFormatting sqref="A56:C75 C43 B44:C46 B48:C50 C12 B11 B54:B55 A3:B4 B5:C10 B13:C42 D3:K75 A8:A9 A13:A14 A18:A19 A23:A24 A28:A29 A33:A34 A38:A39 A43:A44 A48:A49 A53:A54">
    <cfRule type="expression" dxfId="26" priority="26">
      <formula>$F3="Fail"</formula>
    </cfRule>
  </conditionalFormatting>
  <conditionalFormatting sqref="G42:K46">
    <cfRule type="expression" dxfId="25" priority="24">
      <formula>$F42="Fail"</formula>
    </cfRule>
  </conditionalFormatting>
  <conditionalFormatting sqref="G42:K46">
    <cfRule type="expression" dxfId="24" priority="25">
      <formula>$F42="Fail"</formula>
    </cfRule>
  </conditionalFormatting>
  <conditionalFormatting sqref="B43">
    <cfRule type="expression" dxfId="23" priority="20">
      <formula>$F43="Fail"</formula>
    </cfRule>
  </conditionalFormatting>
  <conditionalFormatting sqref="G47:K50">
    <cfRule type="expression" dxfId="22" priority="22">
      <formula>$F47="Fail"</formula>
    </cfRule>
  </conditionalFormatting>
  <conditionalFormatting sqref="G47:K50">
    <cfRule type="expression" dxfId="21" priority="23">
      <formula>$F47="Fail"</formula>
    </cfRule>
  </conditionalFormatting>
  <conditionalFormatting sqref="B51">
    <cfRule type="expression" dxfId="20" priority="18">
      <formula>$F51="Fail"</formula>
    </cfRule>
  </conditionalFormatting>
  <conditionalFormatting sqref="B43">
    <cfRule type="expression" dxfId="19" priority="21">
      <formula>$F43="Fail"</formula>
    </cfRule>
  </conditionalFormatting>
  <conditionalFormatting sqref="B51">
    <cfRule type="expression" dxfId="18" priority="19">
      <formula>$F51="Fail"</formula>
    </cfRule>
  </conditionalFormatting>
  <conditionalFormatting sqref="B47:C47">
    <cfRule type="expression" dxfId="17" priority="16">
      <formula>$F47="Fail"</formula>
    </cfRule>
  </conditionalFormatting>
  <conditionalFormatting sqref="B47:C47">
    <cfRule type="expression" dxfId="16" priority="17">
      <formula>$F47="Fail"</formula>
    </cfRule>
  </conditionalFormatting>
  <conditionalFormatting sqref="G52:K52">
    <cfRule type="expression" dxfId="15" priority="15">
      <formula>$F52="Fail"</formula>
    </cfRule>
  </conditionalFormatting>
  <conditionalFormatting sqref="B52">
    <cfRule type="expression" dxfId="14" priority="13">
      <formula>$F52="Fail"</formula>
    </cfRule>
  </conditionalFormatting>
  <conditionalFormatting sqref="B52">
    <cfRule type="expression" dxfId="13" priority="14">
      <formula>$F52="Fail"</formula>
    </cfRule>
  </conditionalFormatting>
  <conditionalFormatting sqref="G53:K53">
    <cfRule type="expression" dxfId="12" priority="12">
      <formula>$F53="Fail"</formula>
    </cfRule>
  </conditionalFormatting>
  <conditionalFormatting sqref="B53">
    <cfRule type="expression" dxfId="11" priority="10">
      <formula>$F53="Fail"</formula>
    </cfRule>
  </conditionalFormatting>
  <conditionalFormatting sqref="B53">
    <cfRule type="expression" dxfId="10" priority="11">
      <formula>$F53="Fail"</formula>
    </cfRule>
  </conditionalFormatting>
  <conditionalFormatting sqref="C51:C54">
    <cfRule type="expression" dxfId="9" priority="8">
      <formula>$F51="Fail"</formula>
    </cfRule>
  </conditionalFormatting>
  <conditionalFormatting sqref="C51:C54">
    <cfRule type="expression" dxfId="8" priority="9">
      <formula>$F51="Fail"</formula>
    </cfRule>
  </conditionalFormatting>
  <conditionalFormatting sqref="C55">
    <cfRule type="expression" dxfId="7" priority="6">
      <formula>$F55="Fail"</formula>
    </cfRule>
  </conditionalFormatting>
  <conditionalFormatting sqref="C55">
    <cfRule type="expression" dxfId="6" priority="7">
      <formula>$F55="Fail"</formula>
    </cfRule>
  </conditionalFormatting>
  <conditionalFormatting sqref="B12">
    <cfRule type="expression" dxfId="5" priority="27">
      <formula>$F11="Fail"</formula>
    </cfRule>
  </conditionalFormatting>
  <conditionalFormatting sqref="A2:K55">
    <cfRule type="expression" dxfId="4" priority="5">
      <formula>$F2="Fail"</formula>
    </cfRule>
  </conditionalFormatting>
  <conditionalFormatting sqref="F2">
    <cfRule type="expression" dxfId="3" priority="4">
      <formula>$F2="Fail"</formula>
    </cfRule>
  </conditionalFormatting>
  <conditionalFormatting sqref="G2:K2">
    <cfRule type="expression" dxfId="2" priority="3">
      <formula>$F2="Fail"</formula>
    </cfRule>
  </conditionalFormatting>
  <conditionalFormatting sqref="F3:F55">
    <cfRule type="expression" dxfId="1" priority="2">
      <formula>$F3="Fail"</formula>
    </cfRule>
  </conditionalFormatting>
  <conditionalFormatting sqref="F3:F55">
    <cfRule type="expression" dxfId="0" priority="1">
      <formula>$F3="Fail"</formula>
    </cfRule>
  </conditionalFormatting>
  <dataValidations count="1">
    <dataValidation type="list" allowBlank="1" showInputMessage="1" showErrorMessage="1" sqref="F2:F55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"/>
  <sheetViews>
    <sheetView workbookViewId="0">
      <selection sqref="A1:K1"/>
    </sheetView>
  </sheetViews>
  <sheetFormatPr defaultRowHeight="15" x14ac:dyDescent="0.25"/>
  <cols>
    <col min="1" max="1" width="14" customWidth="1"/>
    <col min="2" max="2" width="24.85546875" customWidth="1"/>
  </cols>
  <sheetData>
    <row r="1" spans="1:11" x14ac:dyDescent="0.25">
      <c r="A1" s="10"/>
      <c r="B1" s="11"/>
      <c r="C1" s="11"/>
      <c r="D1" s="12"/>
      <c r="E1" s="12"/>
      <c r="F1" s="11"/>
      <c r="G1" s="12"/>
      <c r="H1" s="12"/>
      <c r="I1" s="12"/>
      <c r="J1" s="12"/>
      <c r="K1" s="12"/>
    </row>
    <row r="3" spans="1:11" x14ac:dyDescent="0.25">
      <c r="A3" s="27" t="s">
        <v>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1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tabSelected="1" workbookViewId="0">
      <selection activeCell="D1" sqref="D1"/>
    </sheetView>
  </sheetViews>
  <sheetFormatPr defaultRowHeight="15" x14ac:dyDescent="0.25"/>
  <cols>
    <col min="2" max="2" width="30" bestFit="1" customWidth="1"/>
    <col min="3" max="3" width="16.140625" bestFit="1" customWidth="1"/>
  </cols>
  <sheetData>
    <row r="1" spans="1:4" x14ac:dyDescent="0.25">
      <c r="A1" t="s">
        <v>1</v>
      </c>
      <c r="B1" t="s">
        <v>15</v>
      </c>
      <c r="C1" t="s">
        <v>2</v>
      </c>
      <c r="D1" s="12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Test Case</vt:lpstr>
      <vt:lpstr>Missing Infor</vt:lpstr>
      <vt:lpstr>Sheet1</vt:lpstr>
    </vt:vector>
  </TitlesOfParts>
  <Company>Sanlam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Direro Ishmael (SC)</cp:lastModifiedBy>
  <dcterms:created xsi:type="dcterms:W3CDTF">2014-07-31T09:50:05Z</dcterms:created>
  <dcterms:modified xsi:type="dcterms:W3CDTF">2020-07-15T10:41:57Z</dcterms:modified>
</cp:coreProperties>
</file>