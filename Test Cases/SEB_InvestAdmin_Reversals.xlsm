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185" windowWidth="20370" windowHeight="6960"/>
  </bookViews>
  <sheets>
    <sheet name="Summary" sheetId="3" r:id="rId1"/>
    <sheet name="Internal - Repurchase Reversal" sheetId="10" r:id="rId2"/>
    <sheet name="External - Repurchase Reversal" sheetId="23" r:id="rId3"/>
    <sheet name="Internal Repurchase - Normal" sheetId="17" r:id="rId4"/>
    <sheet name="Repurchase Reversal - SCHE 5" sheetId="19" r:id="rId5"/>
    <sheet name="Repurchase Reversal - SCHE 6" sheetId="22" r:id="rId6"/>
    <sheet name="Investment Reversal" sheetId="24" r:id="rId7"/>
    <sheet name="Switch Reversal - Multiple" sheetId="25" r:id="rId8"/>
  </sheets>
  <externalReferences>
    <externalReference r:id="rId9"/>
    <externalReference r:id="rId10"/>
    <externalReference r:id="rId11"/>
    <externalReference r:id="rId12"/>
  </externalReferences>
  <calcPr calcId="145621"/>
</workbook>
</file>

<file path=xl/calcChain.xml><?xml version="1.0" encoding="utf-8"?>
<calcChain xmlns="http://schemas.openxmlformats.org/spreadsheetml/2006/main">
  <c r="H98" i="25" l="1"/>
  <c r="I98" i="25"/>
  <c r="J98" i="25"/>
  <c r="K98" i="25"/>
  <c r="G98" i="25"/>
  <c r="D8" i="3" l="1"/>
  <c r="E8" i="3"/>
  <c r="F8" i="3"/>
  <c r="G8" i="3"/>
  <c r="C8" i="3"/>
  <c r="H8" i="3" l="1"/>
  <c r="G39" i="17" l="1"/>
  <c r="H39" i="17"/>
  <c r="G13" i="10"/>
  <c r="H13" i="10"/>
  <c r="I13" i="10"/>
  <c r="J13" i="10"/>
  <c r="K13" i="10"/>
  <c r="G9" i="10"/>
  <c r="H9" i="10"/>
  <c r="I9" i="10"/>
  <c r="J9" i="10"/>
  <c r="K9" i="10"/>
  <c r="G37" i="24" l="1"/>
  <c r="H37" i="24"/>
  <c r="I37" i="24"/>
  <c r="J37" i="24"/>
  <c r="K37" i="24"/>
  <c r="G59" i="25" l="1"/>
  <c r="H59" i="25"/>
  <c r="J59" i="25"/>
  <c r="K59" i="25"/>
  <c r="K97" i="24" l="1"/>
  <c r="J97" i="24"/>
  <c r="I97" i="24"/>
  <c r="H97" i="24"/>
  <c r="G97" i="24"/>
  <c r="K96" i="24"/>
  <c r="J96" i="24"/>
  <c r="I96" i="24"/>
  <c r="H96" i="24"/>
  <c r="G96" i="24"/>
  <c r="K117" i="22" l="1"/>
  <c r="J117" i="22"/>
  <c r="I117" i="22"/>
  <c r="H117" i="22"/>
  <c r="G117" i="22"/>
  <c r="K80" i="10" l="1"/>
  <c r="J80" i="10"/>
  <c r="I80" i="10"/>
  <c r="H80" i="10"/>
  <c r="G80" i="10"/>
  <c r="K79" i="10"/>
  <c r="J79" i="10"/>
  <c r="I79" i="10"/>
  <c r="H79" i="10"/>
  <c r="G79" i="10"/>
  <c r="K78" i="10"/>
  <c r="J78" i="10"/>
  <c r="I78" i="10"/>
  <c r="H78" i="10"/>
  <c r="G78" i="10"/>
  <c r="K77" i="10"/>
  <c r="J77" i="10"/>
  <c r="I77" i="10"/>
  <c r="H77" i="10"/>
  <c r="G77" i="10"/>
  <c r="K76" i="10"/>
  <c r="J76" i="10"/>
  <c r="I76" i="10"/>
  <c r="H76" i="10"/>
  <c r="G76" i="10"/>
  <c r="K75" i="10"/>
  <c r="J75" i="10"/>
  <c r="I75" i="10"/>
  <c r="H75" i="10"/>
  <c r="G75" i="10"/>
  <c r="K74" i="10"/>
  <c r="J74" i="10"/>
  <c r="I74" i="10"/>
  <c r="H74" i="10"/>
  <c r="G74" i="10"/>
  <c r="K73" i="10"/>
  <c r="J73" i="10"/>
  <c r="I73" i="10"/>
  <c r="H73" i="10"/>
  <c r="G73" i="10"/>
  <c r="K72" i="10"/>
  <c r="J72" i="10"/>
  <c r="I72" i="10"/>
  <c r="H72" i="10"/>
  <c r="G72" i="10"/>
  <c r="K154" i="10"/>
  <c r="J154" i="10"/>
  <c r="I154" i="10"/>
  <c r="H154" i="10"/>
  <c r="G154" i="10"/>
  <c r="K135" i="10"/>
  <c r="J135" i="10"/>
  <c r="I135" i="10"/>
  <c r="H135" i="10"/>
  <c r="G135" i="10"/>
  <c r="K116" i="10"/>
  <c r="J116" i="10"/>
  <c r="I116" i="10"/>
  <c r="H116" i="10"/>
  <c r="G116" i="10"/>
  <c r="K33" i="10"/>
  <c r="J33" i="10"/>
  <c r="I33" i="10"/>
  <c r="H33" i="10"/>
  <c r="G33" i="10"/>
  <c r="K32" i="10"/>
  <c r="J32" i="10"/>
  <c r="I32" i="10"/>
  <c r="H32" i="10"/>
  <c r="G32" i="10"/>
  <c r="K153" i="10"/>
  <c r="J153" i="10"/>
  <c r="I153" i="10"/>
  <c r="H153" i="10"/>
  <c r="G153" i="10"/>
  <c r="K152" i="10"/>
  <c r="J152" i="10"/>
  <c r="I152" i="10"/>
  <c r="H152" i="10"/>
  <c r="G152" i="10"/>
  <c r="K150" i="10"/>
  <c r="J150" i="10"/>
  <c r="I150" i="10"/>
  <c r="H150" i="10"/>
  <c r="G150" i="10"/>
  <c r="K149" i="10"/>
  <c r="J149" i="10"/>
  <c r="I149" i="10"/>
  <c r="H149" i="10"/>
  <c r="G149" i="10"/>
  <c r="K148" i="10"/>
  <c r="J148" i="10"/>
  <c r="I148" i="10"/>
  <c r="H148" i="10"/>
  <c r="G148" i="10"/>
  <c r="K147" i="10"/>
  <c r="J147" i="10"/>
  <c r="I147" i="10"/>
  <c r="H147" i="10"/>
  <c r="G147" i="10"/>
  <c r="K146" i="10"/>
  <c r="J146" i="10"/>
  <c r="I146" i="10"/>
  <c r="H146" i="10"/>
  <c r="G146" i="10"/>
  <c r="K145" i="10"/>
  <c r="J145" i="10"/>
  <c r="I145" i="10"/>
  <c r="H145" i="10"/>
  <c r="G145" i="10"/>
  <c r="K144" i="10"/>
  <c r="J144" i="10"/>
  <c r="I144" i="10"/>
  <c r="H144" i="10"/>
  <c r="G144" i="10"/>
  <c r="K143" i="10"/>
  <c r="J143" i="10"/>
  <c r="I143" i="10"/>
  <c r="H143" i="10"/>
  <c r="G143" i="10"/>
  <c r="K142" i="10"/>
  <c r="J142" i="10"/>
  <c r="I142" i="10"/>
  <c r="H142" i="10"/>
  <c r="G142" i="10"/>
  <c r="K141" i="10"/>
  <c r="J141" i="10"/>
  <c r="I141" i="10"/>
  <c r="H141" i="10"/>
  <c r="G141" i="10"/>
  <c r="K140" i="10"/>
  <c r="J140" i="10"/>
  <c r="I140" i="10"/>
  <c r="H140" i="10"/>
  <c r="G140" i="10"/>
  <c r="K139" i="10"/>
  <c r="J139" i="10"/>
  <c r="I139" i="10"/>
  <c r="H139" i="10"/>
  <c r="G139" i="10"/>
  <c r="K137" i="10"/>
  <c r="J137" i="10"/>
  <c r="I137" i="10"/>
  <c r="H137" i="10"/>
  <c r="G137" i="10"/>
  <c r="K9" i="23"/>
  <c r="J9" i="23"/>
  <c r="I9" i="23"/>
  <c r="H9" i="23"/>
  <c r="G9" i="23"/>
  <c r="K92" i="25" l="1"/>
  <c r="J92" i="25"/>
  <c r="I92" i="25"/>
  <c r="H92" i="25"/>
  <c r="G92" i="25"/>
  <c r="K90" i="25"/>
  <c r="J90" i="25"/>
  <c r="I90" i="25"/>
  <c r="H90" i="25"/>
  <c r="G90" i="25"/>
  <c r="K87" i="25"/>
  <c r="J87" i="25"/>
  <c r="I87" i="25"/>
  <c r="H87" i="25"/>
  <c r="G87" i="25"/>
  <c r="K86" i="25"/>
  <c r="J86" i="25"/>
  <c r="I86" i="25"/>
  <c r="H86" i="25"/>
  <c r="G86" i="25"/>
  <c r="K85" i="25"/>
  <c r="J85" i="25"/>
  <c r="I85" i="25"/>
  <c r="H85" i="25"/>
  <c r="G85" i="25"/>
  <c r="K84" i="25"/>
  <c r="J84" i="25"/>
  <c r="I84" i="25"/>
  <c r="H84" i="25"/>
  <c r="G84" i="25"/>
  <c r="K83" i="25"/>
  <c r="J83" i="25"/>
  <c r="I83" i="25"/>
  <c r="H83" i="25"/>
  <c r="G83" i="25"/>
  <c r="K82" i="25"/>
  <c r="J82" i="25"/>
  <c r="I82" i="25"/>
  <c r="H82" i="25"/>
  <c r="G82" i="25"/>
  <c r="K81" i="25"/>
  <c r="J81" i="25"/>
  <c r="I81" i="25"/>
  <c r="H81" i="25"/>
  <c r="G81" i="25"/>
  <c r="K80" i="25"/>
  <c r="J80" i="25"/>
  <c r="I80" i="25"/>
  <c r="H80" i="25"/>
  <c r="G80" i="25"/>
  <c r="K77" i="25"/>
  <c r="J77" i="25"/>
  <c r="I77" i="25"/>
  <c r="H77" i="25"/>
  <c r="G77" i="25"/>
  <c r="K76" i="25"/>
  <c r="J76" i="25"/>
  <c r="I76" i="25"/>
  <c r="H76" i="25"/>
  <c r="G76" i="25"/>
  <c r="K75" i="25"/>
  <c r="J75" i="25"/>
  <c r="I75" i="25"/>
  <c r="H75" i="25"/>
  <c r="G75" i="25"/>
  <c r="K74" i="25"/>
  <c r="J74" i="25"/>
  <c r="I74" i="25"/>
  <c r="H74" i="25"/>
  <c r="G74" i="25"/>
  <c r="K73" i="25"/>
  <c r="J73" i="25"/>
  <c r="I73" i="25"/>
  <c r="H73" i="25"/>
  <c r="G73" i="25"/>
  <c r="K72" i="25"/>
  <c r="J72" i="25"/>
  <c r="I72" i="25"/>
  <c r="H72" i="25"/>
  <c r="G72" i="25"/>
  <c r="K71" i="25"/>
  <c r="J71" i="25"/>
  <c r="I71" i="25"/>
  <c r="H71" i="25"/>
  <c r="G71" i="25"/>
  <c r="K70" i="25"/>
  <c r="J70" i="25"/>
  <c r="I70" i="25"/>
  <c r="H70" i="25"/>
  <c r="G70" i="25"/>
  <c r="K67" i="25"/>
  <c r="J67" i="25"/>
  <c r="I67" i="25"/>
  <c r="H67" i="25"/>
  <c r="G67" i="25"/>
  <c r="K66" i="25"/>
  <c r="J66" i="25"/>
  <c r="I66" i="25"/>
  <c r="H66" i="25"/>
  <c r="G66" i="25"/>
  <c r="K65" i="25"/>
  <c r="J65" i="25"/>
  <c r="I65" i="25"/>
  <c r="H65" i="25"/>
  <c r="G65" i="25"/>
  <c r="K64" i="25"/>
  <c r="J64" i="25"/>
  <c r="I64" i="25"/>
  <c r="H64" i="25"/>
  <c r="G64" i="25"/>
  <c r="K63" i="25"/>
  <c r="J63" i="25"/>
  <c r="I63" i="25"/>
  <c r="H63" i="25"/>
  <c r="G63" i="25"/>
  <c r="K62" i="25"/>
  <c r="J62" i="25"/>
  <c r="I62" i="25"/>
  <c r="H62" i="25"/>
  <c r="G62" i="25"/>
  <c r="K61" i="25"/>
  <c r="J61" i="25"/>
  <c r="I61" i="25"/>
  <c r="H61" i="25"/>
  <c r="G61" i="25"/>
  <c r="K58" i="25"/>
  <c r="J58" i="25"/>
  <c r="I58" i="25"/>
  <c r="H58" i="25"/>
  <c r="G58" i="25"/>
  <c r="K57" i="25"/>
  <c r="J57" i="25"/>
  <c r="I57" i="25"/>
  <c r="H57" i="25"/>
  <c r="G57" i="25"/>
  <c r="K56" i="25"/>
  <c r="J56" i="25"/>
  <c r="I56" i="25"/>
  <c r="H56" i="25"/>
  <c r="G56" i="25"/>
  <c r="K55" i="25"/>
  <c r="J55" i="25"/>
  <c r="I55" i="25"/>
  <c r="H55" i="25"/>
  <c r="G55" i="25"/>
  <c r="K54" i="25"/>
  <c r="J54" i="25"/>
  <c r="I54" i="25"/>
  <c r="H54" i="25"/>
  <c r="G54" i="25"/>
  <c r="K53" i="25"/>
  <c r="J53" i="25"/>
  <c r="I53" i="25"/>
  <c r="H53" i="25"/>
  <c r="G53" i="25"/>
  <c r="K52" i="25"/>
  <c r="J52" i="25"/>
  <c r="I52" i="25"/>
  <c r="H52" i="25"/>
  <c r="G52" i="25"/>
  <c r="K51" i="25"/>
  <c r="J51" i="25"/>
  <c r="I51" i="25"/>
  <c r="H51" i="25"/>
  <c r="G51" i="25"/>
  <c r="K48" i="25"/>
  <c r="J48" i="25"/>
  <c r="I48" i="25"/>
  <c r="H48" i="25"/>
  <c r="G48" i="25"/>
  <c r="K47" i="25"/>
  <c r="J47" i="25"/>
  <c r="I47" i="25"/>
  <c r="H47" i="25"/>
  <c r="G47" i="25"/>
  <c r="K46" i="25"/>
  <c r="J46" i="25"/>
  <c r="I46" i="25"/>
  <c r="H46" i="25"/>
  <c r="G46" i="25"/>
  <c r="K45" i="25"/>
  <c r="J45" i="25"/>
  <c r="I45" i="25"/>
  <c r="H45" i="25"/>
  <c r="G45" i="25"/>
  <c r="K44" i="25"/>
  <c r="J44" i="25"/>
  <c r="I44" i="25"/>
  <c r="H44" i="25"/>
  <c r="G44" i="25"/>
  <c r="K43" i="25"/>
  <c r="J43" i="25"/>
  <c r="I43" i="25"/>
  <c r="H43" i="25"/>
  <c r="G43" i="25"/>
  <c r="K42" i="25"/>
  <c r="J42" i="25"/>
  <c r="I42" i="25"/>
  <c r="H42" i="25"/>
  <c r="G42" i="25"/>
  <c r="K41" i="25"/>
  <c r="J41" i="25"/>
  <c r="I41" i="25"/>
  <c r="H41" i="25"/>
  <c r="G41" i="25"/>
  <c r="K12" i="25"/>
  <c r="J12" i="25"/>
  <c r="I12" i="25"/>
  <c r="H12" i="25"/>
  <c r="G12" i="25"/>
  <c r="K11" i="25"/>
  <c r="J11" i="25"/>
  <c r="I11" i="25"/>
  <c r="H11" i="25"/>
  <c r="G11" i="25"/>
  <c r="K10" i="25"/>
  <c r="J10" i="25"/>
  <c r="I10" i="25"/>
  <c r="H10" i="25"/>
  <c r="G10" i="25"/>
  <c r="K9" i="25"/>
  <c r="J9" i="25"/>
  <c r="I9" i="25"/>
  <c r="H9" i="25"/>
  <c r="G9" i="25"/>
  <c r="K8" i="25"/>
  <c r="J8" i="25"/>
  <c r="I8" i="25"/>
  <c r="H8" i="25"/>
  <c r="G8" i="25"/>
  <c r="K7" i="25"/>
  <c r="J7" i="25"/>
  <c r="I7" i="25"/>
  <c r="H7" i="25"/>
  <c r="G7" i="25"/>
  <c r="K6" i="25"/>
  <c r="J6" i="25"/>
  <c r="I6" i="25"/>
  <c r="H6" i="25"/>
  <c r="G6" i="25"/>
  <c r="A7" i="25"/>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6" i="25"/>
  <c r="A5" i="25"/>
  <c r="G14" i="25" l="1"/>
  <c r="H14" i="25"/>
  <c r="I14" i="25"/>
  <c r="J14" i="25"/>
  <c r="K14" i="25"/>
  <c r="A6" i="19"/>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K116" i="22"/>
  <c r="J116" i="22"/>
  <c r="I116" i="22"/>
  <c r="H116" i="22"/>
  <c r="G116" i="22"/>
  <c r="K115" i="22"/>
  <c r="J115" i="22"/>
  <c r="I115" i="22"/>
  <c r="H115" i="22"/>
  <c r="G115" i="22"/>
  <c r="K114" i="22"/>
  <c r="J114" i="22"/>
  <c r="I114" i="22"/>
  <c r="H114" i="22"/>
  <c r="G114" i="22"/>
  <c r="K113" i="22"/>
  <c r="J113" i="22"/>
  <c r="I113" i="22"/>
  <c r="H113" i="22"/>
  <c r="G113" i="22"/>
  <c r="K112" i="22"/>
  <c r="J112" i="22"/>
  <c r="I112" i="22"/>
  <c r="H112" i="22"/>
  <c r="G112" i="22"/>
  <c r="K111" i="22"/>
  <c r="J111" i="22"/>
  <c r="I111" i="22"/>
  <c r="H111" i="22"/>
  <c r="G111" i="22"/>
  <c r="K110" i="22"/>
  <c r="J110" i="22"/>
  <c r="I110" i="22"/>
  <c r="H110" i="22"/>
  <c r="G110" i="22"/>
  <c r="K109" i="22"/>
  <c r="J109" i="22"/>
  <c r="I109" i="22"/>
  <c r="H109" i="22"/>
  <c r="G109" i="22"/>
  <c r="K108" i="22"/>
  <c r="J108" i="22"/>
  <c r="I108" i="22"/>
  <c r="H108" i="22"/>
  <c r="G108" i="22"/>
  <c r="K107" i="22"/>
  <c r="J107" i="22"/>
  <c r="I107" i="22"/>
  <c r="H107" i="22"/>
  <c r="G107" i="22"/>
  <c r="K104" i="22"/>
  <c r="J104" i="22"/>
  <c r="I104" i="22"/>
  <c r="H104" i="22"/>
  <c r="G104" i="22"/>
  <c r="K102" i="22"/>
  <c r="J102" i="22"/>
  <c r="I102" i="22"/>
  <c r="H102" i="22"/>
  <c r="G102" i="22"/>
  <c r="K101" i="22"/>
  <c r="J101" i="22"/>
  <c r="I101" i="22"/>
  <c r="H101" i="22"/>
  <c r="G101" i="22"/>
  <c r="K100" i="22"/>
  <c r="J100" i="22"/>
  <c r="I100" i="22"/>
  <c r="H100" i="22"/>
  <c r="G100" i="22"/>
  <c r="K99" i="22"/>
  <c r="J99" i="22"/>
  <c r="I99" i="22"/>
  <c r="H99" i="22"/>
  <c r="G99" i="22"/>
  <c r="K97" i="22"/>
  <c r="J97" i="22"/>
  <c r="I97" i="22"/>
  <c r="H97" i="22"/>
  <c r="G97" i="22"/>
  <c r="K96" i="22"/>
  <c r="J96" i="22"/>
  <c r="I96" i="22"/>
  <c r="H96" i="22"/>
  <c r="G96" i="22"/>
  <c r="K95" i="22"/>
  <c r="J95" i="22"/>
  <c r="I95" i="22"/>
  <c r="H95" i="22"/>
  <c r="G95" i="22"/>
  <c r="K93" i="22"/>
  <c r="J93" i="22"/>
  <c r="I93" i="22"/>
  <c r="H93" i="22"/>
  <c r="G93" i="22"/>
  <c r="K92" i="22"/>
  <c r="J92" i="22"/>
  <c r="I92" i="22"/>
  <c r="H92" i="22"/>
  <c r="G92" i="22"/>
  <c r="K91" i="22"/>
  <c r="J91" i="22"/>
  <c r="I91" i="22"/>
  <c r="H91" i="22"/>
  <c r="G91" i="22"/>
  <c r="K89" i="22"/>
  <c r="J89" i="22"/>
  <c r="I89" i="22"/>
  <c r="H89" i="22"/>
  <c r="G89" i="22"/>
  <c r="K88" i="22"/>
  <c r="J88" i="22"/>
  <c r="I88" i="22"/>
  <c r="H88" i="22"/>
  <c r="G88" i="22"/>
  <c r="K87" i="22"/>
  <c r="J87" i="22"/>
  <c r="I87" i="22"/>
  <c r="H87" i="22"/>
  <c r="G87" i="22"/>
  <c r="K86" i="22"/>
  <c r="J86" i="22"/>
  <c r="I86" i="22"/>
  <c r="H86" i="22"/>
  <c r="G86" i="22"/>
  <c r="K85" i="22"/>
  <c r="J85" i="22"/>
  <c r="I85" i="22"/>
  <c r="H85" i="22"/>
  <c r="G85" i="22"/>
  <c r="K84" i="22"/>
  <c r="J84" i="22"/>
  <c r="I84" i="22"/>
  <c r="H84" i="22"/>
  <c r="G84" i="22"/>
  <c r="K83" i="22"/>
  <c r="J83" i="22"/>
  <c r="I83" i="22"/>
  <c r="H83" i="22"/>
  <c r="G83" i="22"/>
  <c r="K117" i="19"/>
  <c r="J117" i="19"/>
  <c r="I117" i="19"/>
  <c r="H117" i="19"/>
  <c r="G117" i="19"/>
  <c r="K116" i="19"/>
  <c r="J116" i="19"/>
  <c r="I116" i="19"/>
  <c r="H116" i="19"/>
  <c r="G116" i="19"/>
  <c r="K115" i="19"/>
  <c r="J115" i="19"/>
  <c r="I115" i="19"/>
  <c r="H115" i="19"/>
  <c r="G115" i="19"/>
  <c r="K114" i="19"/>
  <c r="J114" i="19"/>
  <c r="I114" i="19"/>
  <c r="H114" i="19"/>
  <c r="G114" i="19"/>
  <c r="K113" i="19"/>
  <c r="J113" i="19"/>
  <c r="I113" i="19"/>
  <c r="H113" i="19"/>
  <c r="G113" i="19"/>
  <c r="K112" i="19"/>
  <c r="J112" i="19"/>
  <c r="I112" i="19"/>
  <c r="H112" i="19"/>
  <c r="G112" i="19"/>
  <c r="K111" i="19"/>
  <c r="J111" i="19"/>
  <c r="I111" i="19"/>
  <c r="H111" i="19"/>
  <c r="G111" i="19"/>
  <c r="K110" i="19"/>
  <c r="J110" i="19"/>
  <c r="I110" i="19"/>
  <c r="H110" i="19"/>
  <c r="G110" i="19"/>
  <c r="K109" i="19"/>
  <c r="J109" i="19"/>
  <c r="I109" i="19"/>
  <c r="H109" i="19"/>
  <c r="G109" i="19"/>
  <c r="K108" i="19"/>
  <c r="J108" i="19"/>
  <c r="I108" i="19"/>
  <c r="H108" i="19"/>
  <c r="G108" i="19"/>
  <c r="K105" i="19"/>
  <c r="J105" i="19"/>
  <c r="I105" i="19"/>
  <c r="H105" i="19"/>
  <c r="G105" i="19"/>
  <c r="K103" i="19"/>
  <c r="J103" i="19"/>
  <c r="I103" i="19"/>
  <c r="H103" i="19"/>
  <c r="G103" i="19"/>
  <c r="K102" i="19"/>
  <c r="J102" i="19"/>
  <c r="I102" i="19"/>
  <c r="H102" i="19"/>
  <c r="G102" i="19"/>
  <c r="K101" i="19"/>
  <c r="J101" i="19"/>
  <c r="I101" i="19"/>
  <c r="H101" i="19"/>
  <c r="G101" i="19"/>
  <c r="K100" i="19"/>
  <c r="J100" i="19"/>
  <c r="I100" i="19"/>
  <c r="H100" i="19"/>
  <c r="G100" i="19"/>
  <c r="K98" i="19"/>
  <c r="J98" i="19"/>
  <c r="I98" i="19"/>
  <c r="H98" i="19"/>
  <c r="G98" i="19"/>
  <c r="K97" i="19"/>
  <c r="J97" i="19"/>
  <c r="I97" i="19"/>
  <c r="H97" i="19"/>
  <c r="G97" i="19"/>
  <c r="K96" i="19"/>
  <c r="J96" i="19"/>
  <c r="I96" i="19"/>
  <c r="H96" i="19"/>
  <c r="G96" i="19"/>
  <c r="K94" i="19"/>
  <c r="J94" i="19"/>
  <c r="I94" i="19"/>
  <c r="H94" i="19"/>
  <c r="G94" i="19"/>
  <c r="K93" i="19"/>
  <c r="J93" i="19"/>
  <c r="I93" i="19"/>
  <c r="H93" i="19"/>
  <c r="G93" i="19"/>
  <c r="K92" i="19"/>
  <c r="J92" i="19"/>
  <c r="I92" i="19"/>
  <c r="H92" i="19"/>
  <c r="G92" i="19"/>
  <c r="K90" i="19"/>
  <c r="J90" i="19"/>
  <c r="I90" i="19"/>
  <c r="H90" i="19"/>
  <c r="G90" i="19"/>
  <c r="K89" i="19"/>
  <c r="J89" i="19"/>
  <c r="I89" i="19"/>
  <c r="H89" i="19"/>
  <c r="G89" i="19"/>
  <c r="K88" i="19"/>
  <c r="J88" i="19"/>
  <c r="I88" i="19"/>
  <c r="H88" i="19"/>
  <c r="G88" i="19"/>
  <c r="K87" i="19"/>
  <c r="J87" i="19"/>
  <c r="I87" i="19"/>
  <c r="H87" i="19"/>
  <c r="G87" i="19"/>
  <c r="K86" i="19"/>
  <c r="J86" i="19"/>
  <c r="I86" i="19"/>
  <c r="H86" i="19"/>
  <c r="G86" i="19"/>
  <c r="K85" i="19"/>
  <c r="J85" i="19"/>
  <c r="I85" i="19"/>
  <c r="H85" i="19"/>
  <c r="G85" i="19"/>
  <c r="K84" i="19"/>
  <c r="J84" i="19"/>
  <c r="I84" i="19"/>
  <c r="H84" i="19"/>
  <c r="G84" i="19"/>
  <c r="K120" i="19"/>
  <c r="J120" i="19"/>
  <c r="I120" i="19"/>
  <c r="H120" i="19"/>
  <c r="G120" i="19"/>
  <c r="K38" i="25" l="1"/>
  <c r="K39" i="25" s="1"/>
  <c r="J38" i="25"/>
  <c r="J39" i="25" s="1"/>
  <c r="I38" i="25"/>
  <c r="H38" i="25"/>
  <c r="H39" i="25" s="1"/>
  <c r="G38" i="25"/>
  <c r="G39" i="25" s="1"/>
  <c r="K35" i="25"/>
  <c r="J35" i="25"/>
  <c r="I35" i="25"/>
  <c r="H35" i="25"/>
  <c r="G35" i="25"/>
  <c r="K34" i="25"/>
  <c r="J34" i="25"/>
  <c r="I34" i="25"/>
  <c r="H34" i="25"/>
  <c r="G34" i="25"/>
  <c r="K33" i="25"/>
  <c r="J33" i="25"/>
  <c r="I33" i="25"/>
  <c r="H33" i="25"/>
  <c r="G33" i="25"/>
  <c r="K30" i="25"/>
  <c r="J30" i="25"/>
  <c r="I30" i="25"/>
  <c r="H30" i="25"/>
  <c r="G30" i="25"/>
  <c r="K29" i="25"/>
  <c r="J29" i="25"/>
  <c r="I29" i="25"/>
  <c r="H29" i="25"/>
  <c r="G29" i="25"/>
  <c r="K28" i="25"/>
  <c r="J28" i="25"/>
  <c r="I28" i="25"/>
  <c r="H28" i="25"/>
  <c r="G28" i="25"/>
  <c r="K27" i="25"/>
  <c r="J27" i="25"/>
  <c r="I27" i="25"/>
  <c r="H27" i="25"/>
  <c r="G27" i="25"/>
  <c r="K26" i="25"/>
  <c r="J26" i="25"/>
  <c r="I26" i="25"/>
  <c r="H26" i="25"/>
  <c r="G26" i="25"/>
  <c r="K25" i="25"/>
  <c r="J25" i="25"/>
  <c r="I25" i="25"/>
  <c r="H25" i="25"/>
  <c r="G25" i="25"/>
  <c r="K24" i="25"/>
  <c r="J24" i="25"/>
  <c r="I24" i="25"/>
  <c r="H24" i="25"/>
  <c r="G24" i="25"/>
  <c r="K23" i="25"/>
  <c r="J23" i="25"/>
  <c r="I23" i="25"/>
  <c r="H23" i="25"/>
  <c r="G23" i="25"/>
  <c r="K22" i="25"/>
  <c r="J22" i="25"/>
  <c r="I22" i="25"/>
  <c r="H22" i="25"/>
  <c r="G22" i="25"/>
  <c r="K21" i="25"/>
  <c r="J21" i="25"/>
  <c r="I21" i="25"/>
  <c r="H21" i="25"/>
  <c r="G21" i="25"/>
  <c r="K20" i="25"/>
  <c r="J20" i="25"/>
  <c r="I20" i="25"/>
  <c r="H20" i="25"/>
  <c r="G20" i="25"/>
  <c r="K19" i="25"/>
  <c r="J19" i="25"/>
  <c r="I19" i="25"/>
  <c r="H19" i="25"/>
  <c r="G19" i="25"/>
  <c r="K18" i="25"/>
  <c r="J18" i="25"/>
  <c r="I18" i="25"/>
  <c r="H18" i="25"/>
  <c r="G18" i="25"/>
  <c r="K17" i="25"/>
  <c r="J17" i="25"/>
  <c r="I17" i="25"/>
  <c r="H17" i="25"/>
  <c r="G17" i="25"/>
  <c r="K16" i="25"/>
  <c r="J16" i="25"/>
  <c r="I16" i="25"/>
  <c r="H16" i="25"/>
  <c r="G16" i="25"/>
  <c r="K15" i="25"/>
  <c r="J15" i="25"/>
  <c r="I15" i="25"/>
  <c r="H15" i="25"/>
  <c r="G15" i="25"/>
  <c r="G36" i="25" l="1"/>
  <c r="K36" i="25"/>
  <c r="H36" i="25"/>
  <c r="J36" i="25"/>
  <c r="C9" i="3" l="1"/>
  <c r="F103" i="25"/>
  <c r="D9" i="3"/>
  <c r="G9" i="3"/>
  <c r="F102" i="25"/>
  <c r="F101" i="25" l="1"/>
  <c r="E9" i="3"/>
  <c r="H9" i="3" s="1"/>
  <c r="F9" i="3"/>
  <c r="F100" i="25"/>
  <c r="F104" i="25"/>
  <c r="K140" i="24"/>
  <c r="J140" i="24"/>
  <c r="I140" i="24"/>
  <c r="H140" i="24"/>
  <c r="G140" i="24"/>
  <c r="F105" i="25" l="1"/>
  <c r="G102" i="25" s="1"/>
  <c r="K146" i="24"/>
  <c r="J146" i="24"/>
  <c r="I146" i="24"/>
  <c r="H146" i="24"/>
  <c r="G146" i="24"/>
  <c r="K145" i="24"/>
  <c r="J145" i="24"/>
  <c r="I145" i="24"/>
  <c r="H145" i="24"/>
  <c r="G145" i="24"/>
  <c r="K144" i="24"/>
  <c r="J144" i="24"/>
  <c r="I144" i="24"/>
  <c r="H144" i="24"/>
  <c r="G144" i="24"/>
  <c r="K143" i="24"/>
  <c r="J143" i="24"/>
  <c r="I143" i="24"/>
  <c r="H143" i="24"/>
  <c r="G143" i="24"/>
  <c r="K139" i="24"/>
  <c r="J139" i="24"/>
  <c r="I139" i="24"/>
  <c r="H139" i="24"/>
  <c r="G139" i="24"/>
  <c r="K138" i="24"/>
  <c r="J138" i="24"/>
  <c r="I138" i="24"/>
  <c r="H138" i="24"/>
  <c r="G138" i="24"/>
  <c r="K137" i="24"/>
  <c r="J137" i="24"/>
  <c r="I137" i="24"/>
  <c r="H137" i="24"/>
  <c r="G137" i="24"/>
  <c r="K135" i="24"/>
  <c r="J135" i="24"/>
  <c r="I135" i="24"/>
  <c r="H135" i="24"/>
  <c r="G135" i="24"/>
  <c r="K134" i="24"/>
  <c r="J134" i="24"/>
  <c r="I134" i="24"/>
  <c r="H134" i="24"/>
  <c r="G134" i="24"/>
  <c r="K133" i="24"/>
  <c r="J133" i="24"/>
  <c r="I133" i="24"/>
  <c r="H133" i="24"/>
  <c r="G133" i="24"/>
  <c r="K132" i="24"/>
  <c r="J132" i="24"/>
  <c r="I132" i="24"/>
  <c r="H132" i="24"/>
  <c r="G132" i="24"/>
  <c r="K131" i="24"/>
  <c r="J131" i="24"/>
  <c r="I131" i="24"/>
  <c r="H131" i="24"/>
  <c r="G131" i="24"/>
  <c r="K130" i="24"/>
  <c r="J130" i="24"/>
  <c r="I130" i="24"/>
  <c r="H130" i="24"/>
  <c r="G130" i="24"/>
  <c r="K129" i="24"/>
  <c r="J129" i="24"/>
  <c r="I129" i="24"/>
  <c r="H129" i="24"/>
  <c r="G129" i="24"/>
  <c r="K128" i="24"/>
  <c r="J128" i="24"/>
  <c r="I128" i="24"/>
  <c r="H128" i="24"/>
  <c r="G128" i="24"/>
  <c r="K127" i="24"/>
  <c r="J127" i="24"/>
  <c r="I127" i="24"/>
  <c r="H127" i="24"/>
  <c r="G127" i="24"/>
  <c r="K126" i="24"/>
  <c r="J126" i="24"/>
  <c r="I126" i="24"/>
  <c r="H126" i="24"/>
  <c r="G126" i="24"/>
  <c r="K125" i="24"/>
  <c r="J125" i="24"/>
  <c r="I125" i="24"/>
  <c r="H125" i="24"/>
  <c r="G125" i="24"/>
  <c r="K124" i="24"/>
  <c r="J124" i="24"/>
  <c r="I124" i="24"/>
  <c r="H124" i="24"/>
  <c r="G124" i="24"/>
  <c r="K123" i="24"/>
  <c r="J123" i="24"/>
  <c r="I123" i="24"/>
  <c r="H123" i="24"/>
  <c r="G123" i="24"/>
  <c r="K122" i="24"/>
  <c r="J122" i="24"/>
  <c r="I122" i="24"/>
  <c r="H122" i="24"/>
  <c r="G122" i="24"/>
  <c r="K121" i="24"/>
  <c r="J121" i="24"/>
  <c r="I121" i="24"/>
  <c r="H121" i="24"/>
  <c r="G121" i="24"/>
  <c r="K120" i="24"/>
  <c r="J120" i="24"/>
  <c r="I120" i="24"/>
  <c r="H120" i="24"/>
  <c r="G120" i="24"/>
  <c r="K119" i="24"/>
  <c r="J119" i="24"/>
  <c r="I119" i="24"/>
  <c r="H119" i="24"/>
  <c r="G119" i="24"/>
  <c r="K118" i="24"/>
  <c r="J118" i="24"/>
  <c r="I118" i="24"/>
  <c r="H118" i="24"/>
  <c r="G118" i="24"/>
  <c r="K117" i="24"/>
  <c r="J117" i="24"/>
  <c r="I117" i="24"/>
  <c r="H117" i="24"/>
  <c r="G117" i="24"/>
  <c r="K116" i="24"/>
  <c r="J116" i="24"/>
  <c r="I116" i="24"/>
  <c r="H116" i="24"/>
  <c r="G116" i="24"/>
  <c r="K115" i="24"/>
  <c r="J115" i="24"/>
  <c r="I115" i="24"/>
  <c r="H115" i="24"/>
  <c r="G115" i="24"/>
  <c r="K112" i="24"/>
  <c r="J112" i="24"/>
  <c r="I112" i="24"/>
  <c r="H112" i="24"/>
  <c r="G112" i="24"/>
  <c r="K111" i="24"/>
  <c r="J111" i="24"/>
  <c r="I111" i="24"/>
  <c r="H111" i="24"/>
  <c r="G111" i="24"/>
  <c r="K110" i="24"/>
  <c r="J110" i="24"/>
  <c r="I110" i="24"/>
  <c r="H110" i="24"/>
  <c r="G110" i="24"/>
  <c r="K109" i="24"/>
  <c r="J109" i="24"/>
  <c r="I109" i="24"/>
  <c r="H109" i="24"/>
  <c r="G109" i="24"/>
  <c r="K108" i="24"/>
  <c r="J108" i="24"/>
  <c r="I108" i="24"/>
  <c r="H108" i="24"/>
  <c r="G108" i="24"/>
  <c r="K107" i="24"/>
  <c r="J107" i="24"/>
  <c r="I107" i="24"/>
  <c r="H107" i="24"/>
  <c r="G107" i="24"/>
  <c r="K106" i="24"/>
  <c r="J106" i="24"/>
  <c r="I106" i="24"/>
  <c r="H106" i="24"/>
  <c r="G106" i="24"/>
  <c r="K105" i="24"/>
  <c r="J105" i="24"/>
  <c r="I105" i="24"/>
  <c r="H105" i="24"/>
  <c r="G105" i="24"/>
  <c r="K104" i="24"/>
  <c r="J104" i="24"/>
  <c r="I104" i="24"/>
  <c r="H104" i="24"/>
  <c r="G104" i="24"/>
  <c r="K103" i="24"/>
  <c r="J103" i="24"/>
  <c r="I103" i="24"/>
  <c r="H103" i="24"/>
  <c r="G103" i="24"/>
  <c r="K102" i="24"/>
  <c r="J102" i="24"/>
  <c r="I102" i="24"/>
  <c r="H102" i="24"/>
  <c r="G102" i="24"/>
  <c r="K101" i="24"/>
  <c r="J101" i="24"/>
  <c r="I101" i="24"/>
  <c r="H101" i="24"/>
  <c r="G101" i="24"/>
  <c r="K100" i="24"/>
  <c r="J100" i="24"/>
  <c r="I100" i="24"/>
  <c r="H100" i="24"/>
  <c r="G100" i="24"/>
  <c r="K99" i="24"/>
  <c r="J99" i="24"/>
  <c r="I99" i="24"/>
  <c r="H99" i="24"/>
  <c r="G99" i="24"/>
  <c r="K98" i="24"/>
  <c r="J98" i="24"/>
  <c r="I98" i="24"/>
  <c r="H98" i="24"/>
  <c r="G98" i="24"/>
  <c r="K95" i="24"/>
  <c r="J95" i="24"/>
  <c r="I95" i="24"/>
  <c r="H95" i="24"/>
  <c r="G95" i="24"/>
  <c r="K94" i="24"/>
  <c r="J94" i="24"/>
  <c r="I94" i="24"/>
  <c r="H94" i="24"/>
  <c r="G94" i="24"/>
  <c r="K93" i="24"/>
  <c r="J93" i="24"/>
  <c r="I93" i="24"/>
  <c r="H93" i="24"/>
  <c r="G93" i="24"/>
  <c r="K92" i="24"/>
  <c r="J92" i="24"/>
  <c r="I92" i="24"/>
  <c r="H92" i="24"/>
  <c r="G92" i="24"/>
  <c r="K91" i="24"/>
  <c r="J91" i="24"/>
  <c r="I91" i="24"/>
  <c r="H91" i="24"/>
  <c r="G91" i="24"/>
  <c r="K90" i="24"/>
  <c r="J90" i="24"/>
  <c r="I90" i="24"/>
  <c r="H90" i="24"/>
  <c r="G90" i="24"/>
  <c r="K89" i="24"/>
  <c r="J89" i="24"/>
  <c r="I89" i="24"/>
  <c r="H89" i="24"/>
  <c r="G89" i="24"/>
  <c r="K86" i="24"/>
  <c r="J86" i="24"/>
  <c r="I86" i="24"/>
  <c r="H86" i="24"/>
  <c r="G86" i="24"/>
  <c r="K85" i="24"/>
  <c r="J85" i="24"/>
  <c r="I85" i="24"/>
  <c r="H85" i="24"/>
  <c r="G85" i="24"/>
  <c r="K84" i="24"/>
  <c r="J84" i="24"/>
  <c r="I84" i="24"/>
  <c r="H84" i="24"/>
  <c r="G84" i="24"/>
  <c r="K83" i="24"/>
  <c r="J83" i="24"/>
  <c r="I83" i="24"/>
  <c r="H83" i="24"/>
  <c r="G83" i="24"/>
  <c r="K82" i="24"/>
  <c r="J82" i="24"/>
  <c r="I82" i="24"/>
  <c r="H82" i="24"/>
  <c r="G82" i="24"/>
  <c r="K81" i="24"/>
  <c r="J81" i="24"/>
  <c r="I81" i="24"/>
  <c r="H81" i="24"/>
  <c r="G81" i="24"/>
  <c r="K80" i="24"/>
  <c r="J80" i="24"/>
  <c r="I80" i="24"/>
  <c r="H80" i="24"/>
  <c r="G80" i="24"/>
  <c r="K79" i="24"/>
  <c r="J79" i="24"/>
  <c r="I79" i="24"/>
  <c r="H79" i="24"/>
  <c r="G79" i="24"/>
  <c r="K78" i="24"/>
  <c r="J78" i="24"/>
  <c r="I78" i="24"/>
  <c r="H78" i="24"/>
  <c r="G78" i="24"/>
  <c r="K77" i="24"/>
  <c r="J77" i="24"/>
  <c r="I77" i="24"/>
  <c r="H77" i="24"/>
  <c r="G77" i="24"/>
  <c r="K75" i="24"/>
  <c r="J75" i="24"/>
  <c r="I75" i="24"/>
  <c r="H75" i="24"/>
  <c r="G75" i="24"/>
  <c r="K74" i="24"/>
  <c r="J74" i="24"/>
  <c r="I74" i="24"/>
  <c r="H74" i="24"/>
  <c r="G74" i="24"/>
  <c r="K73" i="24"/>
  <c r="J73" i="24"/>
  <c r="I73" i="24"/>
  <c r="H73" i="24"/>
  <c r="G73" i="24"/>
  <c r="K72" i="24"/>
  <c r="J72" i="24"/>
  <c r="I72" i="24"/>
  <c r="H72" i="24"/>
  <c r="G72" i="24"/>
  <c r="K71" i="24"/>
  <c r="J71" i="24"/>
  <c r="I71" i="24"/>
  <c r="H71" i="24"/>
  <c r="G71" i="24"/>
  <c r="K70" i="24"/>
  <c r="J70" i="24"/>
  <c r="I70" i="24"/>
  <c r="H70" i="24"/>
  <c r="G70" i="24"/>
  <c r="K69" i="24"/>
  <c r="J69" i="24"/>
  <c r="I69" i="24"/>
  <c r="H69" i="24"/>
  <c r="G69" i="24"/>
  <c r="K67" i="24"/>
  <c r="J67" i="24"/>
  <c r="I67" i="24"/>
  <c r="H67" i="24"/>
  <c r="G67" i="24"/>
  <c r="K66" i="24"/>
  <c r="J66" i="24"/>
  <c r="I66" i="24"/>
  <c r="H66" i="24"/>
  <c r="G66" i="24"/>
  <c r="K65" i="24"/>
  <c r="J65" i="24"/>
  <c r="I65" i="24"/>
  <c r="H65" i="24"/>
  <c r="G65" i="24"/>
  <c r="K64" i="24"/>
  <c r="J64" i="24"/>
  <c r="I64" i="24"/>
  <c r="H64" i="24"/>
  <c r="G64" i="24"/>
  <c r="K61" i="24"/>
  <c r="J61" i="24"/>
  <c r="I61" i="24"/>
  <c r="H61" i="24"/>
  <c r="G61" i="24"/>
  <c r="K60" i="24"/>
  <c r="J60" i="24"/>
  <c r="I60" i="24"/>
  <c r="H60" i="24"/>
  <c r="G60" i="24"/>
  <c r="K59" i="24"/>
  <c r="J59" i="24"/>
  <c r="I59" i="24"/>
  <c r="H59" i="24"/>
  <c r="G59" i="24"/>
  <c r="K58" i="24"/>
  <c r="J58" i="24"/>
  <c r="I58" i="24"/>
  <c r="H58" i="24"/>
  <c r="G58" i="24"/>
  <c r="K57" i="24"/>
  <c r="J57" i="24"/>
  <c r="I57" i="24"/>
  <c r="H57" i="24"/>
  <c r="G57" i="24"/>
  <c r="K56" i="24"/>
  <c r="J56" i="24"/>
  <c r="I56" i="24"/>
  <c r="H56" i="24"/>
  <c r="G56" i="24"/>
  <c r="K55" i="24"/>
  <c r="J55" i="24"/>
  <c r="I55" i="24"/>
  <c r="H55" i="24"/>
  <c r="G55" i="24"/>
  <c r="K54" i="24"/>
  <c r="J54" i="24"/>
  <c r="I54" i="24"/>
  <c r="H54" i="24"/>
  <c r="G54" i="24"/>
  <c r="K53" i="24"/>
  <c r="J53" i="24"/>
  <c r="I53" i="24"/>
  <c r="H53" i="24"/>
  <c r="G53" i="24"/>
  <c r="K52" i="24"/>
  <c r="J52" i="24"/>
  <c r="I52" i="24"/>
  <c r="H52" i="24"/>
  <c r="G52" i="24"/>
  <c r="K51" i="24"/>
  <c r="J51" i="24"/>
  <c r="I51" i="24"/>
  <c r="H51" i="24"/>
  <c r="G51" i="24"/>
  <c r="K50" i="24"/>
  <c r="J50" i="24"/>
  <c r="I50" i="24"/>
  <c r="H50" i="24"/>
  <c r="G50" i="24"/>
  <c r="K49" i="24"/>
  <c r="J49" i="24"/>
  <c r="I49" i="24"/>
  <c r="H49" i="24"/>
  <c r="G49" i="24"/>
  <c r="K48" i="24"/>
  <c r="J48" i="24"/>
  <c r="I48" i="24"/>
  <c r="H48" i="24"/>
  <c r="G48" i="24"/>
  <c r="K47" i="24"/>
  <c r="J47" i="24"/>
  <c r="I47" i="24"/>
  <c r="H47" i="24"/>
  <c r="G47" i="24"/>
  <c r="K46" i="24"/>
  <c r="J46" i="24"/>
  <c r="I46" i="24"/>
  <c r="H46" i="24"/>
  <c r="G46" i="24"/>
  <c r="K45" i="24"/>
  <c r="J45" i="24"/>
  <c r="I45" i="24"/>
  <c r="H45" i="24"/>
  <c r="G45" i="24"/>
  <c r="K44" i="24"/>
  <c r="J44" i="24"/>
  <c r="I44" i="24"/>
  <c r="H44" i="24"/>
  <c r="G44" i="24"/>
  <c r="K43" i="24"/>
  <c r="J43" i="24"/>
  <c r="I43" i="24"/>
  <c r="H43" i="24"/>
  <c r="G43" i="24"/>
  <c r="K42" i="24"/>
  <c r="J42" i="24"/>
  <c r="I42" i="24"/>
  <c r="H42" i="24"/>
  <c r="G42" i="24"/>
  <c r="K41" i="24"/>
  <c r="J41" i="24"/>
  <c r="I41" i="24"/>
  <c r="H41" i="24"/>
  <c r="G41" i="24"/>
  <c r="K40" i="24"/>
  <c r="J40" i="24"/>
  <c r="I40" i="24"/>
  <c r="H40" i="24"/>
  <c r="G40" i="24"/>
  <c r="K36" i="24"/>
  <c r="J36" i="24"/>
  <c r="I36" i="24"/>
  <c r="H36" i="24"/>
  <c r="G36" i="24"/>
  <c r="K35" i="24"/>
  <c r="J35" i="24"/>
  <c r="I35" i="24"/>
  <c r="H35" i="24"/>
  <c r="G35" i="24"/>
  <c r="K34" i="24"/>
  <c r="J34" i="24"/>
  <c r="I34" i="24"/>
  <c r="H34" i="24"/>
  <c r="G34" i="24"/>
  <c r="K33" i="24"/>
  <c r="J33" i="24"/>
  <c r="I33" i="24"/>
  <c r="H33" i="24"/>
  <c r="G33" i="24"/>
  <c r="K32" i="24"/>
  <c r="J32" i="24"/>
  <c r="I32" i="24"/>
  <c r="H32" i="24"/>
  <c r="G32" i="24"/>
  <c r="K30" i="24"/>
  <c r="J30" i="24"/>
  <c r="I30" i="24"/>
  <c r="H30" i="24"/>
  <c r="G30" i="24"/>
  <c r="K29" i="24"/>
  <c r="J29" i="24"/>
  <c r="I29" i="24"/>
  <c r="H29" i="24"/>
  <c r="G29" i="24"/>
  <c r="K28" i="24"/>
  <c r="J28" i="24"/>
  <c r="I28" i="24"/>
  <c r="H28" i="24"/>
  <c r="G28" i="24"/>
  <c r="K27" i="24"/>
  <c r="J27" i="24"/>
  <c r="I27" i="24"/>
  <c r="H27" i="24"/>
  <c r="G27" i="24"/>
  <c r="K26" i="24"/>
  <c r="J26" i="24"/>
  <c r="I26" i="24"/>
  <c r="H26" i="24"/>
  <c r="G26" i="24"/>
  <c r="K25" i="24"/>
  <c r="J25" i="24"/>
  <c r="I25" i="24"/>
  <c r="H25" i="24"/>
  <c r="G25" i="24"/>
  <c r="K24" i="24"/>
  <c r="J24" i="24"/>
  <c r="I24" i="24"/>
  <c r="H24" i="24"/>
  <c r="G24" i="24"/>
  <c r="K23" i="24"/>
  <c r="J23" i="24"/>
  <c r="I23" i="24"/>
  <c r="H23" i="24"/>
  <c r="G23" i="24"/>
  <c r="K22" i="24"/>
  <c r="J22" i="24"/>
  <c r="I22" i="24"/>
  <c r="H22" i="24"/>
  <c r="G22" i="24"/>
  <c r="K21" i="24"/>
  <c r="J21" i="24"/>
  <c r="I21" i="24"/>
  <c r="H21" i="24"/>
  <c r="G21" i="24"/>
  <c r="K20" i="24"/>
  <c r="J20" i="24"/>
  <c r="I20" i="24"/>
  <c r="H20" i="24"/>
  <c r="G20" i="24"/>
  <c r="K19" i="24"/>
  <c r="J19" i="24"/>
  <c r="I19" i="24"/>
  <c r="H19" i="24"/>
  <c r="G19" i="24"/>
  <c r="K18" i="24"/>
  <c r="J18" i="24"/>
  <c r="I18" i="24"/>
  <c r="H18" i="24"/>
  <c r="G18" i="24"/>
  <c r="K17" i="24"/>
  <c r="J17" i="24"/>
  <c r="I17" i="24"/>
  <c r="H17" i="24"/>
  <c r="G17" i="24"/>
  <c r="K16" i="24"/>
  <c r="J16" i="24"/>
  <c r="I16" i="24"/>
  <c r="H16" i="24"/>
  <c r="G16" i="24"/>
  <c r="K15" i="24"/>
  <c r="J15" i="24"/>
  <c r="I15" i="24"/>
  <c r="H15" i="24"/>
  <c r="G15" i="24"/>
  <c r="K14" i="24"/>
  <c r="J14" i="24"/>
  <c r="I14" i="24"/>
  <c r="H14" i="24"/>
  <c r="G14" i="24"/>
  <c r="K13" i="24"/>
  <c r="J13" i="24"/>
  <c r="I13" i="24"/>
  <c r="H13" i="24"/>
  <c r="G13" i="24"/>
  <c r="K12" i="24"/>
  <c r="J12" i="24"/>
  <c r="I12" i="24"/>
  <c r="H12" i="24"/>
  <c r="G12" i="24"/>
  <c r="K11" i="24"/>
  <c r="J11" i="24"/>
  <c r="I11" i="24"/>
  <c r="H11" i="24"/>
  <c r="G11" i="24"/>
  <c r="K10" i="24"/>
  <c r="J10" i="24"/>
  <c r="I10" i="24"/>
  <c r="H10" i="24"/>
  <c r="G10" i="24"/>
  <c r="K8" i="24"/>
  <c r="J8" i="24"/>
  <c r="I8" i="24"/>
  <c r="H8" i="24"/>
  <c r="G8" i="24"/>
  <c r="K7" i="24"/>
  <c r="J7" i="24"/>
  <c r="I7" i="24"/>
  <c r="H7" i="24"/>
  <c r="G7" i="24"/>
  <c r="K6" i="24"/>
  <c r="J6" i="24"/>
  <c r="I6" i="24"/>
  <c r="H6" i="24"/>
  <c r="G6" i="24"/>
  <c r="K5" i="24"/>
  <c r="J5" i="24"/>
  <c r="I5" i="24"/>
  <c r="H5" i="24"/>
  <c r="G5" i="24"/>
  <c r="K4" i="24"/>
  <c r="J4" i="24"/>
  <c r="I4" i="24"/>
  <c r="H4" i="24"/>
  <c r="G4" i="24"/>
  <c r="L4" i="24"/>
  <c r="G104" i="25" l="1"/>
  <c r="G100" i="25"/>
  <c r="G101" i="25"/>
  <c r="G103" i="25"/>
  <c r="K150" i="24"/>
  <c r="G7" i="3" s="1"/>
  <c r="J148" i="24"/>
  <c r="I148" i="24"/>
  <c r="H148" i="24"/>
  <c r="G148"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7" i="24" s="1"/>
  <c r="A78" i="24" s="1"/>
  <c r="A79" i="24" s="1"/>
  <c r="A80" i="24" s="1"/>
  <c r="A81" i="24" s="1"/>
  <c r="A82" i="24" s="1"/>
  <c r="A83" i="24" s="1"/>
  <c r="A84" i="24" s="1"/>
  <c r="A85" i="24" s="1"/>
  <c r="A86" i="24" s="1"/>
  <c r="A87" i="24" s="1"/>
  <c r="G105" i="25" l="1"/>
  <c r="A88" i="24"/>
  <c r="A89" i="24" s="1"/>
  <c r="A90" i="24" s="1"/>
  <c r="A91" i="24" s="1"/>
  <c r="A92" i="24" s="1"/>
  <c r="A93" i="24" s="1"/>
  <c r="A94" i="24" s="1"/>
  <c r="A95"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H150" i="24"/>
  <c r="D7" i="3" s="1"/>
  <c r="G150" i="24"/>
  <c r="C7" i="3" s="1"/>
  <c r="I150" i="24"/>
  <c r="E7" i="3" s="1"/>
  <c r="J150" i="24"/>
  <c r="F7" i="3" s="1"/>
  <c r="J161" i="23"/>
  <c r="I161" i="23"/>
  <c r="H161" i="23"/>
  <c r="G161" i="23"/>
  <c r="K158" i="23"/>
  <c r="J158" i="23"/>
  <c r="I158" i="23"/>
  <c r="H158" i="23"/>
  <c r="G158" i="23"/>
  <c r="K157" i="23"/>
  <c r="J157" i="23"/>
  <c r="I157" i="23"/>
  <c r="H157" i="23"/>
  <c r="G157" i="23"/>
  <c r="K156" i="23"/>
  <c r="J156" i="23"/>
  <c r="I156" i="23"/>
  <c r="H156" i="23"/>
  <c r="G156" i="23"/>
  <c r="K155" i="23"/>
  <c r="J155" i="23"/>
  <c r="I155" i="23"/>
  <c r="H155" i="23"/>
  <c r="G155" i="23"/>
  <c r="K154" i="23"/>
  <c r="J154" i="23"/>
  <c r="I154" i="23"/>
  <c r="H154" i="23"/>
  <c r="G154" i="23"/>
  <c r="K153" i="23"/>
  <c r="J153" i="23"/>
  <c r="I153" i="23"/>
  <c r="H153" i="23"/>
  <c r="G153" i="23"/>
  <c r="K152" i="23"/>
  <c r="J152" i="23"/>
  <c r="I152" i="23"/>
  <c r="H152" i="23"/>
  <c r="G152" i="23"/>
  <c r="K151" i="23"/>
  <c r="J151" i="23"/>
  <c r="I151" i="23"/>
  <c r="H151" i="23"/>
  <c r="G151" i="23"/>
  <c r="K150" i="23"/>
  <c r="J150" i="23"/>
  <c r="I150" i="23"/>
  <c r="H150" i="23"/>
  <c r="G150" i="23"/>
  <c r="K149" i="23"/>
  <c r="J149" i="23"/>
  <c r="I149" i="23"/>
  <c r="H149" i="23"/>
  <c r="G149" i="23"/>
  <c r="K148" i="23"/>
  <c r="J148" i="23"/>
  <c r="I148" i="23"/>
  <c r="H148" i="23"/>
  <c r="G148" i="23"/>
  <c r="K145" i="23"/>
  <c r="J145" i="23"/>
  <c r="I145" i="23"/>
  <c r="H145" i="23"/>
  <c r="G145" i="23"/>
  <c r="K143" i="23"/>
  <c r="J143" i="23"/>
  <c r="I143" i="23"/>
  <c r="H143" i="23"/>
  <c r="G143" i="23"/>
  <c r="K142" i="23"/>
  <c r="J142" i="23"/>
  <c r="I142" i="23"/>
  <c r="H142" i="23"/>
  <c r="G142" i="23"/>
  <c r="K141" i="23"/>
  <c r="J141" i="23"/>
  <c r="I141" i="23"/>
  <c r="H141" i="23"/>
  <c r="G141" i="23"/>
  <c r="K140" i="23"/>
  <c r="J140" i="23"/>
  <c r="I140" i="23"/>
  <c r="H140" i="23"/>
  <c r="G140" i="23"/>
  <c r="K138" i="23"/>
  <c r="J138" i="23"/>
  <c r="I138" i="23"/>
  <c r="H138" i="23"/>
  <c r="G138" i="23"/>
  <c r="K137" i="23"/>
  <c r="J137" i="23"/>
  <c r="I137" i="23"/>
  <c r="H137" i="23"/>
  <c r="G137" i="23"/>
  <c r="K136" i="23"/>
  <c r="J136" i="23"/>
  <c r="I136" i="23"/>
  <c r="H136" i="23"/>
  <c r="G136" i="23"/>
  <c r="K134" i="23"/>
  <c r="J134" i="23"/>
  <c r="I134" i="23"/>
  <c r="H134" i="23"/>
  <c r="G134" i="23"/>
  <c r="K133" i="23"/>
  <c r="J133" i="23"/>
  <c r="I133" i="23"/>
  <c r="H133" i="23"/>
  <c r="G133" i="23"/>
  <c r="K132" i="23"/>
  <c r="J132" i="23"/>
  <c r="I132" i="23"/>
  <c r="H132" i="23"/>
  <c r="G132" i="23"/>
  <c r="K130" i="23"/>
  <c r="J130" i="23"/>
  <c r="I130" i="23"/>
  <c r="H130" i="23"/>
  <c r="G130" i="23"/>
  <c r="K129" i="23"/>
  <c r="J129" i="23"/>
  <c r="I129" i="23"/>
  <c r="H129" i="23"/>
  <c r="G129" i="23"/>
  <c r="K128" i="23"/>
  <c r="J128" i="23"/>
  <c r="I128" i="23"/>
  <c r="H128" i="23"/>
  <c r="G128" i="23"/>
  <c r="K127" i="23"/>
  <c r="J127" i="23"/>
  <c r="I127" i="23"/>
  <c r="H127" i="23"/>
  <c r="G127" i="23"/>
  <c r="K126" i="23"/>
  <c r="J126" i="23"/>
  <c r="I126" i="23"/>
  <c r="H126" i="23"/>
  <c r="G126" i="23"/>
  <c r="K125" i="23"/>
  <c r="J125" i="23"/>
  <c r="I125" i="23"/>
  <c r="H125" i="23"/>
  <c r="G125" i="23"/>
  <c r="K124" i="23"/>
  <c r="J124" i="23"/>
  <c r="I124" i="23"/>
  <c r="H124" i="23"/>
  <c r="G124" i="23"/>
  <c r="K121" i="23"/>
  <c r="J121" i="23"/>
  <c r="I121" i="23"/>
  <c r="H121" i="23"/>
  <c r="G121" i="23"/>
  <c r="K120" i="23"/>
  <c r="J120" i="23"/>
  <c r="I120" i="23"/>
  <c r="H120" i="23"/>
  <c r="G120" i="23"/>
  <c r="K118" i="23"/>
  <c r="J118" i="23"/>
  <c r="I118" i="23"/>
  <c r="H118" i="23"/>
  <c r="G118" i="23"/>
  <c r="K117" i="23"/>
  <c r="J117" i="23"/>
  <c r="I117" i="23"/>
  <c r="H117" i="23"/>
  <c r="G117" i="23"/>
  <c r="K116" i="23"/>
  <c r="J116" i="23"/>
  <c r="I116" i="23"/>
  <c r="H116" i="23"/>
  <c r="G116" i="23"/>
  <c r="K115" i="23"/>
  <c r="J115" i="23"/>
  <c r="I115" i="23"/>
  <c r="H115" i="23"/>
  <c r="G115" i="23"/>
  <c r="K114" i="23"/>
  <c r="J114" i="23"/>
  <c r="I114" i="23"/>
  <c r="H114" i="23"/>
  <c r="G114" i="23"/>
  <c r="K113" i="23"/>
  <c r="J113" i="23"/>
  <c r="I113" i="23"/>
  <c r="H113" i="23"/>
  <c r="G113" i="23"/>
  <c r="K112" i="23"/>
  <c r="J112" i="23"/>
  <c r="I112" i="23"/>
  <c r="H112" i="23"/>
  <c r="G112" i="23"/>
  <c r="K111" i="23"/>
  <c r="J111" i="23"/>
  <c r="I111" i="23"/>
  <c r="H111" i="23"/>
  <c r="G111" i="23"/>
  <c r="K109" i="23"/>
  <c r="J109" i="23"/>
  <c r="I109" i="23"/>
  <c r="H109" i="23"/>
  <c r="G109" i="23"/>
  <c r="K107" i="23"/>
  <c r="J107" i="23"/>
  <c r="I107" i="23"/>
  <c r="H107" i="23"/>
  <c r="G107" i="23"/>
  <c r="K105" i="23"/>
  <c r="J105" i="23"/>
  <c r="I105" i="23"/>
  <c r="H105" i="23"/>
  <c r="G105" i="23"/>
  <c r="K103" i="23"/>
  <c r="J103" i="23"/>
  <c r="I103" i="23"/>
  <c r="H103" i="23"/>
  <c r="G103" i="23"/>
  <c r="K102" i="23"/>
  <c r="J102" i="23"/>
  <c r="I102" i="23"/>
  <c r="H102" i="23"/>
  <c r="G102" i="23"/>
  <c r="K100" i="23"/>
  <c r="J100" i="23"/>
  <c r="I100" i="23"/>
  <c r="H100" i="23"/>
  <c r="G100" i="23"/>
  <c r="K99" i="23"/>
  <c r="J99" i="23"/>
  <c r="I99" i="23"/>
  <c r="H99" i="23"/>
  <c r="G99" i="23"/>
  <c r="K98" i="23"/>
  <c r="J98" i="23"/>
  <c r="I98" i="23"/>
  <c r="H98" i="23"/>
  <c r="G98" i="23"/>
  <c r="K97" i="23"/>
  <c r="J97" i="23"/>
  <c r="I97" i="23"/>
  <c r="H97" i="23"/>
  <c r="G97" i="23"/>
  <c r="K96" i="23"/>
  <c r="J96" i="23"/>
  <c r="I96" i="23"/>
  <c r="H96" i="23"/>
  <c r="G96" i="23"/>
  <c r="K95" i="23"/>
  <c r="J95" i="23"/>
  <c r="I95" i="23"/>
  <c r="H95" i="23"/>
  <c r="G95" i="23"/>
  <c r="K94" i="23"/>
  <c r="J94" i="23"/>
  <c r="I94" i="23"/>
  <c r="H94" i="23"/>
  <c r="G94" i="23"/>
  <c r="K93" i="23"/>
  <c r="J93" i="23"/>
  <c r="I93" i="23"/>
  <c r="H93" i="23"/>
  <c r="G93" i="23"/>
  <c r="K91" i="23"/>
  <c r="J91" i="23"/>
  <c r="I91" i="23"/>
  <c r="H91" i="23"/>
  <c r="G91" i="23"/>
  <c r="K89" i="23"/>
  <c r="J89" i="23"/>
  <c r="I89" i="23"/>
  <c r="H89" i="23"/>
  <c r="G89" i="23"/>
  <c r="K87" i="23"/>
  <c r="J87" i="23"/>
  <c r="I87" i="23"/>
  <c r="H87" i="23"/>
  <c r="G87" i="23"/>
  <c r="K86" i="23"/>
  <c r="J86" i="23"/>
  <c r="I86" i="23"/>
  <c r="H86" i="23"/>
  <c r="G86" i="23"/>
  <c r="K85" i="23"/>
  <c r="J85" i="23"/>
  <c r="I85" i="23"/>
  <c r="H85" i="23"/>
  <c r="G85" i="23"/>
  <c r="K84" i="23"/>
  <c r="J84" i="23"/>
  <c r="I84" i="23"/>
  <c r="H84" i="23"/>
  <c r="G84" i="23"/>
  <c r="K83" i="23"/>
  <c r="J83" i="23"/>
  <c r="I83" i="23"/>
  <c r="H83" i="23"/>
  <c r="G83" i="23"/>
  <c r="K82" i="23"/>
  <c r="J82" i="23"/>
  <c r="I82" i="23"/>
  <c r="H82" i="23"/>
  <c r="G82" i="23"/>
  <c r="K81" i="23"/>
  <c r="J81" i="23"/>
  <c r="I81" i="23"/>
  <c r="H81" i="23"/>
  <c r="G81" i="23"/>
  <c r="K77" i="23"/>
  <c r="J77" i="23"/>
  <c r="I77" i="23"/>
  <c r="H77" i="23"/>
  <c r="G77" i="23"/>
  <c r="K76" i="23"/>
  <c r="J76" i="23"/>
  <c r="I76" i="23"/>
  <c r="H76" i="23"/>
  <c r="G76" i="23"/>
  <c r="K75" i="23"/>
  <c r="J75" i="23"/>
  <c r="I75" i="23"/>
  <c r="H75" i="23"/>
  <c r="G75" i="23"/>
  <c r="K74" i="23"/>
  <c r="J74" i="23"/>
  <c r="I74" i="23"/>
  <c r="H74" i="23"/>
  <c r="G74" i="23"/>
  <c r="K73" i="23"/>
  <c r="J73" i="23"/>
  <c r="I73" i="23"/>
  <c r="H73" i="23"/>
  <c r="G73" i="23"/>
  <c r="K71" i="23"/>
  <c r="J71" i="23"/>
  <c r="I71" i="23"/>
  <c r="H71" i="23"/>
  <c r="G71" i="23"/>
  <c r="K70" i="23"/>
  <c r="J70" i="23"/>
  <c r="I70" i="23"/>
  <c r="H70" i="23"/>
  <c r="G70" i="23"/>
  <c r="K69" i="23"/>
  <c r="J69" i="23"/>
  <c r="I69" i="23"/>
  <c r="H69" i="23"/>
  <c r="G69" i="23"/>
  <c r="K67" i="23"/>
  <c r="J67" i="23"/>
  <c r="I67" i="23"/>
  <c r="H67" i="23"/>
  <c r="G67" i="23"/>
  <c r="K66" i="23"/>
  <c r="J66" i="23"/>
  <c r="I66" i="23"/>
  <c r="H66" i="23"/>
  <c r="G66" i="23"/>
  <c r="K65" i="23"/>
  <c r="J65" i="23"/>
  <c r="I65" i="23"/>
  <c r="H65" i="23"/>
  <c r="G65" i="23"/>
  <c r="K64" i="23"/>
  <c r="J64" i="23"/>
  <c r="I64" i="23"/>
  <c r="H64" i="23"/>
  <c r="G64" i="23"/>
  <c r="K62" i="23"/>
  <c r="J62" i="23"/>
  <c r="I62" i="23"/>
  <c r="H62" i="23"/>
  <c r="G62" i="23"/>
  <c r="K61" i="23"/>
  <c r="J61" i="23"/>
  <c r="I61" i="23"/>
  <c r="H61" i="23"/>
  <c r="G61" i="23"/>
  <c r="K60" i="23"/>
  <c r="J60" i="23"/>
  <c r="I60" i="23"/>
  <c r="H60" i="23"/>
  <c r="G60" i="23"/>
  <c r="K57" i="23"/>
  <c r="J57" i="23"/>
  <c r="I57" i="23"/>
  <c r="H57" i="23"/>
  <c r="G57" i="23"/>
  <c r="K56" i="23"/>
  <c r="J56" i="23"/>
  <c r="I56" i="23"/>
  <c r="H56" i="23"/>
  <c r="G56" i="23"/>
  <c r="K55" i="23"/>
  <c r="J55" i="23"/>
  <c r="I55" i="23"/>
  <c r="H55" i="23"/>
  <c r="G55" i="23"/>
  <c r="K54" i="23"/>
  <c r="J54" i="23"/>
  <c r="I54" i="23"/>
  <c r="H54" i="23"/>
  <c r="G54" i="23"/>
  <c r="K53" i="23"/>
  <c r="J53" i="23"/>
  <c r="I53" i="23"/>
  <c r="H53" i="23"/>
  <c r="G53" i="23"/>
  <c r="K52" i="23"/>
  <c r="J52" i="23"/>
  <c r="I52" i="23"/>
  <c r="H52" i="23"/>
  <c r="G52" i="23"/>
  <c r="K51" i="23"/>
  <c r="J51" i="23"/>
  <c r="I51" i="23"/>
  <c r="H51" i="23"/>
  <c r="G51" i="23"/>
  <c r="K50" i="23"/>
  <c r="J50" i="23"/>
  <c r="I50" i="23"/>
  <c r="H50" i="23"/>
  <c r="G50" i="23"/>
  <c r="K48" i="23"/>
  <c r="J48" i="23"/>
  <c r="I48" i="23"/>
  <c r="H48" i="23"/>
  <c r="G48" i="23"/>
  <c r="K47" i="23"/>
  <c r="J47" i="23"/>
  <c r="I47" i="23"/>
  <c r="H47" i="23"/>
  <c r="G47" i="23"/>
  <c r="K46" i="23"/>
  <c r="J46" i="23"/>
  <c r="I46" i="23"/>
  <c r="H46" i="23"/>
  <c r="G46" i="23"/>
  <c r="K45" i="23"/>
  <c r="J45" i="23"/>
  <c r="I45" i="23"/>
  <c r="H45" i="23"/>
  <c r="G45" i="23"/>
  <c r="K42" i="23"/>
  <c r="J42" i="23"/>
  <c r="I42" i="23"/>
  <c r="H42" i="23"/>
  <c r="G42" i="23"/>
  <c r="K41" i="23"/>
  <c r="J41" i="23"/>
  <c r="I41" i="23"/>
  <c r="H41" i="23"/>
  <c r="G41" i="23"/>
  <c r="K40" i="23"/>
  <c r="J40" i="23"/>
  <c r="I40" i="23"/>
  <c r="H40" i="23"/>
  <c r="G40" i="23"/>
  <c r="K39" i="23"/>
  <c r="J39" i="23"/>
  <c r="I39" i="23"/>
  <c r="H39" i="23"/>
  <c r="G39" i="23"/>
  <c r="K37" i="23"/>
  <c r="J37" i="23"/>
  <c r="I37" i="23"/>
  <c r="H37" i="23"/>
  <c r="G37" i="23"/>
  <c r="K36" i="23"/>
  <c r="J36" i="23"/>
  <c r="I36" i="23"/>
  <c r="H36" i="23"/>
  <c r="G36" i="23"/>
  <c r="K35" i="23"/>
  <c r="J35" i="23"/>
  <c r="I35" i="23"/>
  <c r="H35" i="23"/>
  <c r="G35" i="23"/>
  <c r="K34" i="23"/>
  <c r="J34" i="23"/>
  <c r="I34" i="23"/>
  <c r="H34" i="23"/>
  <c r="G34" i="23"/>
  <c r="K33" i="23"/>
  <c r="J33" i="23"/>
  <c r="I33" i="23"/>
  <c r="H33" i="23"/>
  <c r="G33" i="23"/>
  <c r="K32" i="23"/>
  <c r="J32" i="23"/>
  <c r="I32" i="23"/>
  <c r="H32" i="23"/>
  <c r="G32" i="23"/>
  <c r="K31" i="23"/>
  <c r="J31" i="23"/>
  <c r="I31" i="23"/>
  <c r="H31" i="23"/>
  <c r="G31" i="23"/>
  <c r="K30" i="23"/>
  <c r="J30" i="23"/>
  <c r="I30" i="23"/>
  <c r="H30" i="23"/>
  <c r="G30" i="23"/>
  <c r="K28" i="23"/>
  <c r="J28" i="23"/>
  <c r="I28" i="23"/>
  <c r="H28" i="23"/>
  <c r="G28" i="23"/>
  <c r="J26" i="23"/>
  <c r="I26" i="23"/>
  <c r="H26" i="23"/>
  <c r="G26" i="23"/>
  <c r="K24" i="23"/>
  <c r="K23" i="23"/>
  <c r="J23" i="23"/>
  <c r="I23" i="23"/>
  <c r="H23" i="23"/>
  <c r="G23" i="23"/>
  <c r="K22" i="23"/>
  <c r="J22" i="23"/>
  <c r="I22" i="23"/>
  <c r="H22" i="23"/>
  <c r="G22" i="23"/>
  <c r="J21" i="23"/>
  <c r="I21" i="23"/>
  <c r="H21" i="23"/>
  <c r="G21" i="23"/>
  <c r="J20" i="23"/>
  <c r="I20" i="23"/>
  <c r="H20" i="23"/>
  <c r="G20" i="23"/>
  <c r="J19" i="23"/>
  <c r="I19" i="23"/>
  <c r="H19" i="23"/>
  <c r="G19" i="23"/>
  <c r="J18" i="23"/>
  <c r="I18" i="23"/>
  <c r="H18" i="23"/>
  <c r="G18" i="23"/>
  <c r="K17" i="23"/>
  <c r="K16" i="23"/>
  <c r="J16" i="23"/>
  <c r="I16" i="23"/>
  <c r="H16" i="23"/>
  <c r="G16" i="23"/>
  <c r="K15" i="23"/>
  <c r="K14" i="23"/>
  <c r="J14" i="23"/>
  <c r="I14" i="23"/>
  <c r="H14" i="23"/>
  <c r="G14" i="23"/>
  <c r="K12" i="23"/>
  <c r="J12" i="23"/>
  <c r="I12" i="23"/>
  <c r="H12" i="23"/>
  <c r="G12" i="23"/>
  <c r="K11" i="23"/>
  <c r="J11" i="23"/>
  <c r="I11" i="23"/>
  <c r="H11" i="23"/>
  <c r="G11" i="23"/>
  <c r="K8" i="23"/>
  <c r="J8" i="23"/>
  <c r="I8" i="23"/>
  <c r="H8" i="23"/>
  <c r="G8" i="23"/>
  <c r="K7" i="23"/>
  <c r="J7" i="23"/>
  <c r="I7" i="23"/>
  <c r="H7" i="23"/>
  <c r="G7" i="23"/>
  <c r="K6" i="23"/>
  <c r="J6" i="23"/>
  <c r="I6" i="23"/>
  <c r="H6" i="23"/>
  <c r="G6" i="23"/>
  <c r="K4" i="23"/>
  <c r="J4" i="23"/>
  <c r="I4" i="23"/>
  <c r="H4" i="23"/>
  <c r="G4" i="23"/>
  <c r="A4" i="23"/>
  <c r="A5" i="23" s="1"/>
  <c r="A6" i="23" s="1"/>
  <c r="A7" i="23" s="1"/>
  <c r="A8"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K120" i="22"/>
  <c r="J120" i="22"/>
  <c r="I120" i="22"/>
  <c r="H120" i="22"/>
  <c r="G120" i="22"/>
  <c r="K80" i="22"/>
  <c r="J80" i="22"/>
  <c r="I80" i="22"/>
  <c r="H80" i="22"/>
  <c r="G80" i="22"/>
  <c r="K79" i="22"/>
  <c r="J79" i="22"/>
  <c r="I79" i="22"/>
  <c r="H79" i="22"/>
  <c r="G79" i="22"/>
  <c r="K78" i="22"/>
  <c r="J78" i="22"/>
  <c r="I78" i="22"/>
  <c r="H78" i="22"/>
  <c r="G78" i="22"/>
  <c r="K77" i="22"/>
  <c r="J77" i="22"/>
  <c r="I77" i="22"/>
  <c r="H77" i="22"/>
  <c r="G77" i="22"/>
  <c r="K74" i="22"/>
  <c r="J74" i="22"/>
  <c r="I74" i="22"/>
  <c r="H74" i="22"/>
  <c r="G74" i="22"/>
  <c r="K73" i="22"/>
  <c r="J73" i="22"/>
  <c r="I73" i="22"/>
  <c r="H73" i="22"/>
  <c r="G73" i="22"/>
  <c r="K72" i="22"/>
  <c r="J72" i="22"/>
  <c r="I72" i="22"/>
  <c r="H72" i="22"/>
  <c r="G72" i="22"/>
  <c r="K71" i="22"/>
  <c r="J71" i="22"/>
  <c r="I71" i="22"/>
  <c r="H71" i="22"/>
  <c r="G71" i="22"/>
  <c r="K70" i="22"/>
  <c r="J70" i="22"/>
  <c r="I70" i="22"/>
  <c r="H70" i="22"/>
  <c r="G70" i="22"/>
  <c r="K67" i="22"/>
  <c r="J67" i="22"/>
  <c r="I67" i="22"/>
  <c r="H67" i="22"/>
  <c r="G67" i="22"/>
  <c r="K66" i="22"/>
  <c r="J66" i="22"/>
  <c r="I66" i="22"/>
  <c r="H66" i="22"/>
  <c r="G66" i="22"/>
  <c r="K65" i="22"/>
  <c r="J65" i="22"/>
  <c r="I65" i="22"/>
  <c r="H65" i="22"/>
  <c r="G65" i="22"/>
  <c r="K64" i="22"/>
  <c r="J64" i="22"/>
  <c r="I64" i="22"/>
  <c r="H64" i="22"/>
  <c r="G64" i="22"/>
  <c r="K62" i="22"/>
  <c r="J62" i="22"/>
  <c r="I62" i="22"/>
  <c r="H62" i="22"/>
  <c r="G62" i="22"/>
  <c r="K61" i="22"/>
  <c r="J61" i="22"/>
  <c r="I61" i="22"/>
  <c r="H61" i="22"/>
  <c r="G61" i="22"/>
  <c r="K60" i="22"/>
  <c r="J60" i="22"/>
  <c r="I60" i="22"/>
  <c r="H60" i="22"/>
  <c r="G60" i="22"/>
  <c r="K59" i="22"/>
  <c r="J59" i="22"/>
  <c r="I59" i="22"/>
  <c r="H59" i="22"/>
  <c r="G59" i="22"/>
  <c r="K58" i="22"/>
  <c r="J58" i="22"/>
  <c r="I58" i="22"/>
  <c r="H58" i="22"/>
  <c r="G58" i="22"/>
  <c r="K57" i="22"/>
  <c r="J57" i="22"/>
  <c r="I57" i="22"/>
  <c r="H57" i="22"/>
  <c r="G57" i="22"/>
  <c r="K56" i="22"/>
  <c r="J56" i="22"/>
  <c r="I56" i="22"/>
  <c r="H56" i="22"/>
  <c r="G56" i="22"/>
  <c r="K55" i="22"/>
  <c r="J55" i="22"/>
  <c r="I55" i="22"/>
  <c r="H55" i="22"/>
  <c r="G55" i="22"/>
  <c r="K54" i="22"/>
  <c r="J54" i="22"/>
  <c r="I54" i="22"/>
  <c r="H54" i="22"/>
  <c r="G54" i="22"/>
  <c r="K53" i="22"/>
  <c r="J53" i="22"/>
  <c r="I53" i="22"/>
  <c r="H53" i="22"/>
  <c r="G53" i="22"/>
  <c r="K50" i="22"/>
  <c r="J50" i="22"/>
  <c r="I50" i="22"/>
  <c r="H50" i="22"/>
  <c r="G50" i="22"/>
  <c r="K49" i="22"/>
  <c r="J49" i="22"/>
  <c r="I49" i="22"/>
  <c r="H49" i="22"/>
  <c r="G49" i="22"/>
  <c r="K48" i="22"/>
  <c r="J48" i="22"/>
  <c r="I48" i="22"/>
  <c r="H48" i="22"/>
  <c r="G48" i="22"/>
  <c r="K47" i="22"/>
  <c r="J47" i="22"/>
  <c r="I47" i="22"/>
  <c r="H47" i="22"/>
  <c r="G47" i="22"/>
  <c r="K46" i="22"/>
  <c r="J46" i="22"/>
  <c r="I46" i="22"/>
  <c r="H46" i="22"/>
  <c r="G46" i="22"/>
  <c r="K45" i="22"/>
  <c r="J45" i="22"/>
  <c r="I45" i="22"/>
  <c r="H45" i="22"/>
  <c r="G45" i="22"/>
  <c r="K42" i="22"/>
  <c r="J42" i="22"/>
  <c r="I42" i="22"/>
  <c r="H42" i="22"/>
  <c r="G42" i="22"/>
  <c r="K41" i="22"/>
  <c r="J41" i="22"/>
  <c r="I41" i="22"/>
  <c r="H41" i="22"/>
  <c r="G41" i="22"/>
  <c r="K39" i="22"/>
  <c r="J39" i="22"/>
  <c r="I39" i="22"/>
  <c r="H39" i="22"/>
  <c r="G39" i="22"/>
  <c r="K38" i="22"/>
  <c r="J38" i="22"/>
  <c r="I38" i="22"/>
  <c r="H38" i="22"/>
  <c r="G38" i="22"/>
  <c r="K37" i="22"/>
  <c r="J37" i="22"/>
  <c r="I37" i="22"/>
  <c r="H37" i="22"/>
  <c r="G37" i="22"/>
  <c r="K36" i="22"/>
  <c r="J36" i="22"/>
  <c r="I36" i="22"/>
  <c r="H36" i="22"/>
  <c r="G36" i="22"/>
  <c r="K35" i="22"/>
  <c r="J35" i="22"/>
  <c r="I35" i="22"/>
  <c r="H35" i="22"/>
  <c r="G35" i="22"/>
  <c r="K34" i="22"/>
  <c r="J34" i="22"/>
  <c r="I34" i="22"/>
  <c r="H34" i="22"/>
  <c r="G34" i="22"/>
  <c r="K33" i="22"/>
  <c r="J33" i="22"/>
  <c r="I33" i="22"/>
  <c r="H33" i="22"/>
  <c r="G33" i="22"/>
  <c r="K32" i="22"/>
  <c r="J32" i="22"/>
  <c r="I32" i="22"/>
  <c r="H32" i="22"/>
  <c r="G32" i="22"/>
  <c r="K30" i="22"/>
  <c r="J30" i="22"/>
  <c r="I30" i="22"/>
  <c r="H30" i="22"/>
  <c r="G30" i="22"/>
  <c r="K29" i="22"/>
  <c r="J29" i="22"/>
  <c r="I29" i="22"/>
  <c r="H29" i="22"/>
  <c r="G29" i="22"/>
  <c r="K28" i="22"/>
  <c r="K27" i="22"/>
  <c r="J27" i="22"/>
  <c r="I27" i="22"/>
  <c r="H27" i="22"/>
  <c r="G27" i="22"/>
  <c r="K24" i="22"/>
  <c r="J24" i="22"/>
  <c r="I24" i="22"/>
  <c r="H24" i="22"/>
  <c r="G24" i="22"/>
  <c r="K23" i="22"/>
  <c r="J23" i="22"/>
  <c r="I23" i="22"/>
  <c r="H23" i="22"/>
  <c r="G23" i="22"/>
  <c r="K22" i="22"/>
  <c r="J22" i="22"/>
  <c r="I22" i="22"/>
  <c r="H22" i="22"/>
  <c r="G22" i="22"/>
  <c r="K21" i="22"/>
  <c r="J21" i="22"/>
  <c r="I21" i="22"/>
  <c r="H21" i="22"/>
  <c r="G21" i="22"/>
  <c r="K20" i="22"/>
  <c r="J20" i="22"/>
  <c r="I20" i="22"/>
  <c r="H20" i="22"/>
  <c r="G20" i="22"/>
  <c r="K19" i="22"/>
  <c r="J19" i="22"/>
  <c r="I19" i="22"/>
  <c r="H19" i="22"/>
  <c r="G19" i="22"/>
  <c r="K17" i="22"/>
  <c r="J17" i="22"/>
  <c r="I17" i="22"/>
  <c r="H17" i="22"/>
  <c r="G17" i="22"/>
  <c r="K15" i="22"/>
  <c r="J15" i="22"/>
  <c r="I15" i="22"/>
  <c r="H15" i="22"/>
  <c r="G15" i="22"/>
  <c r="K13" i="22"/>
  <c r="J13" i="22"/>
  <c r="I13" i="22"/>
  <c r="H13" i="22"/>
  <c r="G13" i="22"/>
  <c r="K11" i="22"/>
  <c r="J11" i="22"/>
  <c r="I11" i="22"/>
  <c r="H11" i="22"/>
  <c r="G11" i="22"/>
  <c r="K9" i="22"/>
  <c r="J9" i="22"/>
  <c r="I9" i="22"/>
  <c r="H9" i="22"/>
  <c r="G9" i="22"/>
  <c r="K7" i="22"/>
  <c r="J7" i="22"/>
  <c r="I7" i="22"/>
  <c r="H7" i="22"/>
  <c r="G7" i="22"/>
  <c r="K6" i="22"/>
  <c r="J6" i="22"/>
  <c r="I6" i="22"/>
  <c r="H6" i="22"/>
  <c r="G6" i="22"/>
  <c r="K5" i="22"/>
  <c r="J5" i="22"/>
  <c r="I5" i="22"/>
  <c r="H5" i="22"/>
  <c r="G5" i="22"/>
  <c r="K4" i="22"/>
  <c r="J4" i="22"/>
  <c r="I4" i="22"/>
  <c r="H4" i="22"/>
  <c r="G4" i="22"/>
  <c r="A4" i="22"/>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9" i="22" s="1"/>
  <c r="A120" i="22" s="1"/>
  <c r="A121" i="22" s="1"/>
  <c r="A122" i="22" s="1"/>
  <c r="K45" i="19"/>
  <c r="J45" i="19"/>
  <c r="I45" i="19"/>
  <c r="H45" i="19"/>
  <c r="G45" i="19"/>
  <c r="K42" i="19"/>
  <c r="J42" i="19"/>
  <c r="I42" i="19"/>
  <c r="H42" i="19"/>
  <c r="G42" i="19"/>
  <c r="K41" i="19"/>
  <c r="J41" i="19"/>
  <c r="I41" i="19"/>
  <c r="H41" i="19"/>
  <c r="G41" i="19"/>
  <c r="K39" i="19"/>
  <c r="J39" i="19"/>
  <c r="I39" i="19"/>
  <c r="H39" i="19"/>
  <c r="G39" i="19"/>
  <c r="K38" i="19"/>
  <c r="J38" i="19"/>
  <c r="I38" i="19"/>
  <c r="H38" i="19"/>
  <c r="G38" i="19"/>
  <c r="K37" i="19"/>
  <c r="J37" i="19"/>
  <c r="I37" i="19"/>
  <c r="H37" i="19"/>
  <c r="G37" i="19"/>
  <c r="K36" i="19"/>
  <c r="J36" i="19"/>
  <c r="I36" i="19"/>
  <c r="H36" i="19"/>
  <c r="G36" i="19"/>
  <c r="K35" i="19"/>
  <c r="J35" i="19"/>
  <c r="I35" i="19"/>
  <c r="H35" i="19"/>
  <c r="G35" i="19"/>
  <c r="K34" i="19"/>
  <c r="J34" i="19"/>
  <c r="I34" i="19"/>
  <c r="H34" i="19"/>
  <c r="G34" i="19"/>
  <c r="K33" i="19"/>
  <c r="J33" i="19"/>
  <c r="I33" i="19"/>
  <c r="H33" i="19"/>
  <c r="G33" i="19"/>
  <c r="K32" i="19"/>
  <c r="J32" i="19"/>
  <c r="I32" i="19"/>
  <c r="H32" i="19"/>
  <c r="G32" i="19"/>
  <c r="K30" i="19"/>
  <c r="J30" i="19"/>
  <c r="I30" i="19"/>
  <c r="H30" i="19"/>
  <c r="G30" i="19"/>
  <c r="K89" i="10"/>
  <c r="J89" i="10"/>
  <c r="I89" i="10"/>
  <c r="H89" i="10"/>
  <c r="G89" i="10"/>
  <c r="K88" i="10"/>
  <c r="J88" i="10"/>
  <c r="I88" i="10"/>
  <c r="H88" i="10"/>
  <c r="G88" i="10"/>
  <c r="K87" i="10"/>
  <c r="J87" i="10"/>
  <c r="I87" i="10"/>
  <c r="H87" i="10"/>
  <c r="G87" i="10"/>
  <c r="K86" i="10"/>
  <c r="J86" i="10"/>
  <c r="I86" i="10"/>
  <c r="H86" i="10"/>
  <c r="G86" i="10"/>
  <c r="K85" i="10"/>
  <c r="J85" i="10"/>
  <c r="I85" i="10"/>
  <c r="H85" i="10"/>
  <c r="G85" i="10"/>
  <c r="K52" i="10"/>
  <c r="J52" i="10"/>
  <c r="I52" i="10"/>
  <c r="H52" i="10"/>
  <c r="G52" i="10"/>
  <c r="K51" i="10"/>
  <c r="J51" i="10"/>
  <c r="I51" i="10"/>
  <c r="H51" i="10"/>
  <c r="G51" i="10"/>
  <c r="K50" i="10"/>
  <c r="J50" i="10"/>
  <c r="I50" i="10"/>
  <c r="H50" i="10"/>
  <c r="G50" i="10"/>
  <c r="K49" i="10"/>
  <c r="J49" i="10"/>
  <c r="I49" i="10"/>
  <c r="H49" i="10"/>
  <c r="G49" i="10"/>
  <c r="K46" i="10"/>
  <c r="J46" i="10"/>
  <c r="I46" i="10"/>
  <c r="H46" i="10"/>
  <c r="G46" i="10"/>
  <c r="K45" i="10"/>
  <c r="J45" i="10"/>
  <c r="I45" i="10"/>
  <c r="H45" i="10"/>
  <c r="G45" i="10"/>
  <c r="K44" i="10"/>
  <c r="J44" i="10"/>
  <c r="I44" i="10"/>
  <c r="H44" i="10"/>
  <c r="G44" i="10"/>
  <c r="K43" i="10"/>
  <c r="J43" i="10"/>
  <c r="I43" i="10"/>
  <c r="H43" i="10"/>
  <c r="G43" i="10"/>
  <c r="K41" i="10"/>
  <c r="J41" i="10"/>
  <c r="I41" i="10"/>
  <c r="H41" i="10"/>
  <c r="G41" i="10"/>
  <c r="K40" i="10"/>
  <c r="J40" i="10"/>
  <c r="I40" i="10"/>
  <c r="H40" i="10"/>
  <c r="G40" i="10"/>
  <c r="K39" i="10"/>
  <c r="J39" i="10"/>
  <c r="I39" i="10"/>
  <c r="H39" i="10"/>
  <c r="G39" i="10"/>
  <c r="K38" i="10"/>
  <c r="J38" i="10"/>
  <c r="I38" i="10"/>
  <c r="H38" i="10"/>
  <c r="G38" i="10"/>
  <c r="K37" i="10"/>
  <c r="J37" i="10"/>
  <c r="I37" i="10"/>
  <c r="H37" i="10"/>
  <c r="G37" i="10"/>
  <c r="K36" i="10"/>
  <c r="J36" i="10"/>
  <c r="I36" i="10"/>
  <c r="H36" i="10"/>
  <c r="G36" i="10"/>
  <c r="K35" i="10"/>
  <c r="J35" i="10"/>
  <c r="I35" i="10"/>
  <c r="H35" i="10"/>
  <c r="G35" i="10"/>
  <c r="K34" i="10"/>
  <c r="J34" i="10"/>
  <c r="I34" i="10"/>
  <c r="H34" i="10"/>
  <c r="G34" i="10"/>
  <c r="K28" i="10"/>
  <c r="J28" i="10"/>
  <c r="I28" i="10"/>
  <c r="H28" i="10"/>
  <c r="G28" i="10"/>
  <c r="K191" i="10"/>
  <c r="J191" i="10"/>
  <c r="I191" i="10"/>
  <c r="H191" i="10"/>
  <c r="G191" i="10"/>
  <c r="K190" i="10"/>
  <c r="J190" i="10"/>
  <c r="I190" i="10"/>
  <c r="H190" i="10"/>
  <c r="G190" i="10"/>
  <c r="K189" i="10"/>
  <c r="J189" i="10"/>
  <c r="I189" i="10"/>
  <c r="H189" i="10"/>
  <c r="G189" i="10"/>
  <c r="K188" i="10"/>
  <c r="J188" i="10"/>
  <c r="I188" i="10"/>
  <c r="H188" i="10"/>
  <c r="G188" i="10"/>
  <c r="K187" i="10"/>
  <c r="J187" i="10"/>
  <c r="I187" i="10"/>
  <c r="H187" i="10"/>
  <c r="G187" i="10"/>
  <c r="K186" i="10"/>
  <c r="J186" i="10"/>
  <c r="I186" i="10"/>
  <c r="H186" i="10"/>
  <c r="G186" i="10"/>
  <c r="K185" i="10"/>
  <c r="J185" i="10"/>
  <c r="I185" i="10"/>
  <c r="H185" i="10"/>
  <c r="G185" i="10"/>
  <c r="K184" i="10"/>
  <c r="J184" i="10"/>
  <c r="I184" i="10"/>
  <c r="H184" i="10"/>
  <c r="G184" i="10"/>
  <c r="K183" i="10"/>
  <c r="J183" i="10"/>
  <c r="I183" i="10"/>
  <c r="H183" i="10"/>
  <c r="G183" i="10"/>
  <c r="K182" i="10"/>
  <c r="J182" i="10"/>
  <c r="I182" i="10"/>
  <c r="H182" i="10"/>
  <c r="G182" i="10"/>
  <c r="K181" i="10"/>
  <c r="J181" i="10"/>
  <c r="I181" i="10"/>
  <c r="H181" i="10"/>
  <c r="G181" i="10"/>
  <c r="K178" i="10"/>
  <c r="J178" i="10"/>
  <c r="I178" i="10"/>
  <c r="H178" i="10"/>
  <c r="G178" i="10"/>
  <c r="K176" i="10"/>
  <c r="J176" i="10"/>
  <c r="I176" i="10"/>
  <c r="H176" i="10"/>
  <c r="G176" i="10"/>
  <c r="K175" i="10"/>
  <c r="J175" i="10"/>
  <c r="I175" i="10"/>
  <c r="H175" i="10"/>
  <c r="G175" i="10"/>
  <c r="K174" i="10"/>
  <c r="J174" i="10"/>
  <c r="I174" i="10"/>
  <c r="H174" i="10"/>
  <c r="G174" i="10"/>
  <c r="K173" i="10"/>
  <c r="J173" i="10"/>
  <c r="I173" i="10"/>
  <c r="H173" i="10"/>
  <c r="G173" i="10"/>
  <c r="K171" i="10"/>
  <c r="J171" i="10"/>
  <c r="I171" i="10"/>
  <c r="H171" i="10"/>
  <c r="G171" i="10"/>
  <c r="K170" i="10"/>
  <c r="J170" i="10"/>
  <c r="I170" i="10"/>
  <c r="H170" i="10"/>
  <c r="G170" i="10"/>
  <c r="K169" i="10"/>
  <c r="J169" i="10"/>
  <c r="I169" i="10"/>
  <c r="H169" i="10"/>
  <c r="G169" i="10"/>
  <c r="K167" i="10"/>
  <c r="J167" i="10"/>
  <c r="I167" i="10"/>
  <c r="H167" i="10"/>
  <c r="G167" i="10"/>
  <c r="K166" i="10"/>
  <c r="J166" i="10"/>
  <c r="I166" i="10"/>
  <c r="H166" i="10"/>
  <c r="G166" i="10"/>
  <c r="K165" i="10"/>
  <c r="J165" i="10"/>
  <c r="I165" i="10"/>
  <c r="H165" i="10"/>
  <c r="G165" i="10"/>
  <c r="K163" i="10"/>
  <c r="J163" i="10"/>
  <c r="I163" i="10"/>
  <c r="H163" i="10"/>
  <c r="G163" i="10"/>
  <c r="K162" i="10"/>
  <c r="J162" i="10"/>
  <c r="I162" i="10"/>
  <c r="H162" i="10"/>
  <c r="G162" i="10"/>
  <c r="K161" i="10"/>
  <c r="J161" i="10"/>
  <c r="I161" i="10"/>
  <c r="H161" i="10"/>
  <c r="G161" i="10"/>
  <c r="K160" i="10"/>
  <c r="J160" i="10"/>
  <c r="I160" i="10"/>
  <c r="H160" i="10"/>
  <c r="G160" i="10"/>
  <c r="K159" i="10"/>
  <c r="J159" i="10"/>
  <c r="I159" i="10"/>
  <c r="H159" i="10"/>
  <c r="G159" i="10"/>
  <c r="K158" i="10"/>
  <c r="J158" i="10"/>
  <c r="I158" i="10"/>
  <c r="H158" i="10"/>
  <c r="G158" i="10"/>
  <c r="K157" i="10"/>
  <c r="J157" i="10"/>
  <c r="I157" i="10"/>
  <c r="H157" i="10"/>
  <c r="G157" i="10"/>
  <c r="K61" i="10"/>
  <c r="J61" i="10"/>
  <c r="I61" i="10"/>
  <c r="H61" i="10"/>
  <c r="G61" i="10"/>
  <c r="K60" i="10"/>
  <c r="J60" i="10"/>
  <c r="I60" i="10"/>
  <c r="H60" i="10"/>
  <c r="G60" i="10"/>
  <c r="K59" i="10"/>
  <c r="J59" i="10"/>
  <c r="I59" i="10"/>
  <c r="H59" i="10"/>
  <c r="G59" i="10"/>
  <c r="K58" i="10"/>
  <c r="J58" i="10"/>
  <c r="I58" i="10"/>
  <c r="H58" i="10"/>
  <c r="G58" i="10"/>
  <c r="K57" i="10"/>
  <c r="J57" i="10"/>
  <c r="I57" i="10"/>
  <c r="H57" i="10"/>
  <c r="G57" i="10"/>
  <c r="K80" i="19"/>
  <c r="J80" i="19"/>
  <c r="I80" i="19"/>
  <c r="H80" i="19"/>
  <c r="G80" i="19"/>
  <c r="K79" i="19"/>
  <c r="J79" i="19"/>
  <c r="I79" i="19"/>
  <c r="H79" i="19"/>
  <c r="G79" i="19"/>
  <c r="K78" i="19"/>
  <c r="J78" i="19"/>
  <c r="I78" i="19"/>
  <c r="H78" i="19"/>
  <c r="G78" i="19"/>
  <c r="K77" i="19"/>
  <c r="J77" i="19"/>
  <c r="I77" i="19"/>
  <c r="H77" i="19"/>
  <c r="G77" i="19"/>
  <c r="K74" i="19"/>
  <c r="J74" i="19"/>
  <c r="I74" i="19"/>
  <c r="H74" i="19"/>
  <c r="G74" i="19"/>
  <c r="K73" i="19"/>
  <c r="J73" i="19"/>
  <c r="I73" i="19"/>
  <c r="H73" i="19"/>
  <c r="G73" i="19"/>
  <c r="K72" i="19"/>
  <c r="J72" i="19"/>
  <c r="I72" i="19"/>
  <c r="H72" i="19"/>
  <c r="G72" i="19"/>
  <c r="K71" i="19"/>
  <c r="J71" i="19"/>
  <c r="I71" i="19"/>
  <c r="H71" i="19"/>
  <c r="G71" i="19"/>
  <c r="K70" i="19"/>
  <c r="J70" i="19"/>
  <c r="I70" i="19"/>
  <c r="H70" i="19"/>
  <c r="G70" i="19"/>
  <c r="K68" i="19"/>
  <c r="J68" i="19"/>
  <c r="I68" i="19"/>
  <c r="H68" i="19"/>
  <c r="G68" i="19"/>
  <c r="K67" i="19"/>
  <c r="J67" i="19"/>
  <c r="I67" i="19"/>
  <c r="H67" i="19"/>
  <c r="G67" i="19"/>
  <c r="K66" i="19"/>
  <c r="J66" i="19"/>
  <c r="I66" i="19"/>
  <c r="H66" i="19"/>
  <c r="G66" i="19"/>
  <c r="K65" i="19"/>
  <c r="J65" i="19"/>
  <c r="I65" i="19"/>
  <c r="H65" i="19"/>
  <c r="G65" i="19"/>
  <c r="K64" i="19"/>
  <c r="J64" i="19"/>
  <c r="I64" i="19"/>
  <c r="H64" i="19"/>
  <c r="G64" i="19"/>
  <c r="K62" i="19"/>
  <c r="J62" i="19"/>
  <c r="I62" i="19"/>
  <c r="H62" i="19"/>
  <c r="G62" i="19"/>
  <c r="K61" i="19"/>
  <c r="J61" i="19"/>
  <c r="I61" i="19"/>
  <c r="H61" i="19"/>
  <c r="G61" i="19"/>
  <c r="K60" i="19"/>
  <c r="J60" i="19"/>
  <c r="I60" i="19"/>
  <c r="H60" i="19"/>
  <c r="G60" i="19"/>
  <c r="K59" i="19"/>
  <c r="J59" i="19"/>
  <c r="I59" i="19"/>
  <c r="H59" i="19"/>
  <c r="G59" i="19"/>
  <c r="K58" i="19"/>
  <c r="J58" i="19"/>
  <c r="I58" i="19"/>
  <c r="H58" i="19"/>
  <c r="G58" i="19"/>
  <c r="K57" i="19"/>
  <c r="J57" i="19"/>
  <c r="I57" i="19"/>
  <c r="H57" i="19"/>
  <c r="G57" i="19"/>
  <c r="K56" i="19"/>
  <c r="J56" i="19"/>
  <c r="I56" i="19"/>
  <c r="H56" i="19"/>
  <c r="G56" i="19"/>
  <c r="K55" i="19"/>
  <c r="J55" i="19"/>
  <c r="I55" i="19"/>
  <c r="H55" i="19"/>
  <c r="G55" i="19"/>
  <c r="K54" i="19"/>
  <c r="J54" i="19"/>
  <c r="I54" i="19"/>
  <c r="H54" i="19"/>
  <c r="G54" i="19"/>
  <c r="K53" i="19"/>
  <c r="J53" i="19"/>
  <c r="I53" i="19"/>
  <c r="H53" i="19"/>
  <c r="G53" i="19"/>
  <c r="K50" i="19"/>
  <c r="J50" i="19"/>
  <c r="I50" i="19"/>
  <c r="H50" i="19"/>
  <c r="G50" i="19"/>
  <c r="K49" i="19"/>
  <c r="J49" i="19"/>
  <c r="I49" i="19"/>
  <c r="H49" i="19"/>
  <c r="G49" i="19"/>
  <c r="K48" i="19"/>
  <c r="J48" i="19"/>
  <c r="I48" i="19"/>
  <c r="H48" i="19"/>
  <c r="G48" i="19"/>
  <c r="K47" i="19"/>
  <c r="J47" i="19"/>
  <c r="I47" i="19"/>
  <c r="H47" i="19"/>
  <c r="G47" i="19"/>
  <c r="K46" i="19"/>
  <c r="J46" i="19"/>
  <c r="I46" i="19"/>
  <c r="H46" i="19"/>
  <c r="G46" i="19"/>
  <c r="K29" i="19"/>
  <c r="J29" i="19"/>
  <c r="I29" i="19"/>
  <c r="H29" i="19"/>
  <c r="G29" i="19"/>
  <c r="K28" i="19"/>
  <c r="K27" i="19"/>
  <c r="J27" i="19"/>
  <c r="I27" i="19"/>
  <c r="H27" i="19"/>
  <c r="G27" i="19"/>
  <c r="K24" i="19"/>
  <c r="J24" i="19"/>
  <c r="I24" i="19"/>
  <c r="H24" i="19"/>
  <c r="G24" i="19"/>
  <c r="K23" i="19"/>
  <c r="J23" i="19"/>
  <c r="I23" i="19"/>
  <c r="H23" i="19"/>
  <c r="G23" i="19"/>
  <c r="K22" i="19"/>
  <c r="J22" i="19"/>
  <c r="I22" i="19"/>
  <c r="H22" i="19"/>
  <c r="G22" i="19"/>
  <c r="K21" i="19"/>
  <c r="J21" i="19"/>
  <c r="I21" i="19"/>
  <c r="H21" i="19"/>
  <c r="G21" i="19"/>
  <c r="K20" i="19"/>
  <c r="J20" i="19"/>
  <c r="I20" i="19"/>
  <c r="H20" i="19"/>
  <c r="G20" i="19"/>
  <c r="K19" i="19"/>
  <c r="J19" i="19"/>
  <c r="I19" i="19"/>
  <c r="H19" i="19"/>
  <c r="G19" i="19"/>
  <c r="K17" i="19"/>
  <c r="J17" i="19"/>
  <c r="I17" i="19"/>
  <c r="H17" i="19"/>
  <c r="G17" i="19"/>
  <c r="K15" i="19"/>
  <c r="J15" i="19"/>
  <c r="I15" i="19"/>
  <c r="H15" i="19"/>
  <c r="G15" i="19"/>
  <c r="K13" i="19"/>
  <c r="J13" i="19"/>
  <c r="I13" i="19"/>
  <c r="H13" i="19"/>
  <c r="G13" i="19"/>
  <c r="K11" i="19"/>
  <c r="J11" i="19"/>
  <c r="I11" i="19"/>
  <c r="H11" i="19"/>
  <c r="G11" i="19"/>
  <c r="K9" i="19"/>
  <c r="J9" i="19"/>
  <c r="I9" i="19"/>
  <c r="H9" i="19"/>
  <c r="G9" i="19"/>
  <c r="K7" i="19"/>
  <c r="J7" i="19"/>
  <c r="I7" i="19"/>
  <c r="H7" i="19"/>
  <c r="G7" i="19"/>
  <c r="K6" i="19"/>
  <c r="J6" i="19"/>
  <c r="I6" i="19"/>
  <c r="H6" i="19"/>
  <c r="G6" i="19"/>
  <c r="K5" i="19"/>
  <c r="J5" i="19"/>
  <c r="I5" i="19"/>
  <c r="H5" i="19"/>
  <c r="G5" i="19"/>
  <c r="K4" i="19"/>
  <c r="J4" i="19"/>
  <c r="I4" i="19"/>
  <c r="H4" i="19"/>
  <c r="G4" i="19"/>
  <c r="A4" i="19"/>
  <c r="A5" i="19" s="1"/>
  <c r="A123" i="23" l="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J123" i="22"/>
  <c r="G123" i="22"/>
  <c r="C6" i="3" s="1"/>
  <c r="K123" i="22"/>
  <c r="H123" i="22"/>
  <c r="D6" i="3" s="1"/>
  <c r="I123" i="22"/>
  <c r="E6" i="3" s="1"/>
  <c r="G121" i="19"/>
  <c r="C5" i="3" s="1"/>
  <c r="K121" i="19"/>
  <c r="G5" i="3" s="1"/>
  <c r="J121" i="19"/>
  <c r="F5" i="3" s="1"/>
  <c r="H121" i="19"/>
  <c r="D5" i="3" s="1"/>
  <c r="I121" i="19"/>
  <c r="E5" i="3" s="1"/>
  <c r="J163" i="23"/>
  <c r="F4" i="3" s="1"/>
  <c r="I163" i="23"/>
  <c r="E4" i="3" s="1"/>
  <c r="H163" i="23"/>
  <c r="G163" i="23"/>
  <c r="C4" i="3" s="1"/>
  <c r="K163" i="23"/>
  <c r="G4" i="3" s="1"/>
  <c r="K71" i="10"/>
  <c r="J71" i="10"/>
  <c r="I71" i="10"/>
  <c r="H71" i="10"/>
  <c r="G71" i="10"/>
  <c r="K70" i="10"/>
  <c r="J70" i="10"/>
  <c r="I70" i="10"/>
  <c r="H70" i="10"/>
  <c r="G70" i="10"/>
  <c r="K69" i="10"/>
  <c r="J69" i="10"/>
  <c r="I69" i="10"/>
  <c r="H69" i="10"/>
  <c r="G69" i="10"/>
  <c r="K68" i="10"/>
  <c r="J68" i="10"/>
  <c r="I68" i="10"/>
  <c r="H68" i="10"/>
  <c r="G68" i="10"/>
  <c r="K56" i="10"/>
  <c r="J56" i="10"/>
  <c r="I56" i="10"/>
  <c r="H56" i="10"/>
  <c r="G56" i="10"/>
  <c r="K55" i="10"/>
  <c r="J55" i="10"/>
  <c r="I55" i="10"/>
  <c r="H55" i="10"/>
  <c r="G55" i="10"/>
  <c r="K54" i="10"/>
  <c r="J54" i="10"/>
  <c r="I54" i="10"/>
  <c r="H54" i="10"/>
  <c r="G54" i="10"/>
  <c r="K83" i="10"/>
  <c r="J83" i="10"/>
  <c r="I83" i="10"/>
  <c r="H83" i="10"/>
  <c r="G83" i="10"/>
  <c r="K82" i="10"/>
  <c r="J82" i="10"/>
  <c r="I82" i="10"/>
  <c r="H82" i="10"/>
  <c r="G82" i="10"/>
  <c r="K81" i="10"/>
  <c r="J81" i="10"/>
  <c r="I81" i="10"/>
  <c r="H81" i="10"/>
  <c r="G81" i="10"/>
  <c r="K66" i="10"/>
  <c r="J66" i="10"/>
  <c r="I66" i="10"/>
  <c r="H66" i="10"/>
  <c r="G66" i="10"/>
  <c r="K65" i="10"/>
  <c r="J65" i="10"/>
  <c r="I65" i="10"/>
  <c r="H65" i="10"/>
  <c r="G65" i="10"/>
  <c r="K64" i="10"/>
  <c r="J64" i="10"/>
  <c r="I64" i="10"/>
  <c r="H64" i="10"/>
  <c r="G64" i="10"/>
  <c r="F6" i="3" l="1"/>
  <c r="G6" i="3"/>
  <c r="K98" i="10" l="1"/>
  <c r="J98" i="10"/>
  <c r="I98" i="10"/>
  <c r="H98" i="10"/>
  <c r="G98" i="10"/>
  <c r="K97" i="10"/>
  <c r="J97" i="10"/>
  <c r="I97" i="10"/>
  <c r="H97" i="10"/>
  <c r="G97" i="10"/>
  <c r="K96" i="10"/>
  <c r="J96" i="10"/>
  <c r="I96" i="10"/>
  <c r="H96" i="10"/>
  <c r="G96" i="10"/>
  <c r="K95" i="10"/>
  <c r="J95" i="10"/>
  <c r="I95" i="10"/>
  <c r="H95" i="10"/>
  <c r="G95" i="10"/>
  <c r="K94" i="10"/>
  <c r="J94" i="10"/>
  <c r="I94" i="10"/>
  <c r="H94" i="10"/>
  <c r="G94" i="10"/>
  <c r="K93" i="10"/>
  <c r="J93" i="10"/>
  <c r="I93" i="10"/>
  <c r="H93" i="10"/>
  <c r="G93" i="10"/>
  <c r="K99" i="10"/>
  <c r="J99" i="10"/>
  <c r="I99" i="10"/>
  <c r="H99" i="10"/>
  <c r="G99" i="10"/>
  <c r="K115" i="10"/>
  <c r="J115" i="10"/>
  <c r="I115" i="10"/>
  <c r="H115" i="10"/>
  <c r="G115" i="10"/>
  <c r="K114" i="10"/>
  <c r="J114" i="10"/>
  <c r="I114" i="10"/>
  <c r="H114" i="10"/>
  <c r="G114" i="10"/>
  <c r="K118" i="10"/>
  <c r="J118" i="10"/>
  <c r="I118" i="10"/>
  <c r="H118" i="10"/>
  <c r="G118" i="10"/>
  <c r="K134" i="10"/>
  <c r="J134" i="10"/>
  <c r="I134" i="10"/>
  <c r="H134" i="10"/>
  <c r="G134" i="10"/>
  <c r="K133" i="10"/>
  <c r="J133" i="10"/>
  <c r="I133" i="10"/>
  <c r="H133" i="10"/>
  <c r="G133" i="10"/>
  <c r="K131" i="10"/>
  <c r="J131" i="10"/>
  <c r="I131" i="10"/>
  <c r="H131" i="10"/>
  <c r="G131" i="10"/>
  <c r="K130" i="10"/>
  <c r="J130" i="10"/>
  <c r="I130" i="10"/>
  <c r="H130" i="10"/>
  <c r="G130" i="10"/>
  <c r="K129" i="10"/>
  <c r="J129" i="10"/>
  <c r="I129" i="10"/>
  <c r="H129" i="10"/>
  <c r="G129" i="10"/>
  <c r="K128" i="10"/>
  <c r="J128" i="10"/>
  <c r="I128" i="10"/>
  <c r="H128" i="10"/>
  <c r="G128" i="10"/>
  <c r="K127" i="10"/>
  <c r="J127" i="10"/>
  <c r="I127" i="10"/>
  <c r="H127" i="10"/>
  <c r="G127" i="10"/>
  <c r="K126" i="10"/>
  <c r="J126" i="10"/>
  <c r="I126" i="10"/>
  <c r="H126" i="10"/>
  <c r="G126" i="10"/>
  <c r="K125" i="10"/>
  <c r="J125" i="10"/>
  <c r="I125" i="10"/>
  <c r="H125" i="10"/>
  <c r="G125" i="10"/>
  <c r="K124" i="10"/>
  <c r="J124" i="10"/>
  <c r="I124" i="10"/>
  <c r="H124" i="10"/>
  <c r="G124" i="10"/>
  <c r="K122" i="10"/>
  <c r="J122" i="10"/>
  <c r="I122" i="10"/>
  <c r="H122" i="10"/>
  <c r="G122" i="10"/>
  <c r="K120" i="10"/>
  <c r="J120" i="10"/>
  <c r="I120" i="10"/>
  <c r="H120" i="10"/>
  <c r="G120" i="10"/>
  <c r="K112" i="10"/>
  <c r="J112" i="10"/>
  <c r="I112" i="10"/>
  <c r="H112" i="10"/>
  <c r="G112" i="10"/>
  <c r="K111" i="10"/>
  <c r="J111" i="10"/>
  <c r="I111" i="10"/>
  <c r="H111" i="10"/>
  <c r="G111" i="10"/>
  <c r="K110" i="10"/>
  <c r="J110" i="10"/>
  <c r="I110" i="10"/>
  <c r="H110" i="10"/>
  <c r="G110" i="10"/>
  <c r="K109" i="10"/>
  <c r="J109" i="10"/>
  <c r="I109" i="10"/>
  <c r="H109" i="10"/>
  <c r="G109" i="10"/>
  <c r="K108" i="10"/>
  <c r="J108" i="10"/>
  <c r="I108" i="10"/>
  <c r="H108" i="10"/>
  <c r="G108" i="10"/>
  <c r="K107" i="10"/>
  <c r="J107" i="10"/>
  <c r="I107" i="10"/>
  <c r="H107" i="10"/>
  <c r="G107" i="10"/>
  <c r="K106" i="10"/>
  <c r="J106" i="10"/>
  <c r="I106" i="10"/>
  <c r="H106" i="10"/>
  <c r="G106" i="10"/>
  <c r="K105" i="10"/>
  <c r="J105" i="10"/>
  <c r="I105" i="10"/>
  <c r="H105" i="10"/>
  <c r="G105" i="10"/>
  <c r="K103" i="10"/>
  <c r="J103" i="10"/>
  <c r="I103" i="10"/>
  <c r="H103" i="10"/>
  <c r="G103" i="10"/>
  <c r="K101" i="10"/>
  <c r="J101" i="10"/>
  <c r="I101" i="10"/>
  <c r="H101" i="10"/>
  <c r="G101" i="10"/>
  <c r="J194" i="10" l="1"/>
  <c r="I194" i="10"/>
  <c r="H194" i="10"/>
  <c r="G194" i="10"/>
  <c r="J26" i="10" l="1"/>
  <c r="I26" i="10"/>
  <c r="H26" i="10"/>
  <c r="G26" i="10"/>
  <c r="J20" i="10"/>
  <c r="I20" i="10"/>
  <c r="H20" i="10"/>
  <c r="G20" i="10"/>
  <c r="J19" i="10"/>
  <c r="I19" i="10"/>
  <c r="H19" i="10"/>
  <c r="G19" i="10"/>
  <c r="J18" i="10"/>
  <c r="I18" i="10"/>
  <c r="H18" i="10"/>
  <c r="G18" i="10"/>
  <c r="G11" i="10"/>
  <c r="H11" i="10"/>
  <c r="I11" i="10"/>
  <c r="J11" i="10"/>
  <c r="J196" i="10" s="1"/>
  <c r="K11" i="10"/>
  <c r="G12" i="10"/>
  <c r="H12" i="10"/>
  <c r="I12" i="10"/>
  <c r="J12" i="10"/>
  <c r="K12" i="10"/>
  <c r="G14" i="10"/>
  <c r="H14" i="10"/>
  <c r="I14" i="10"/>
  <c r="J14" i="10"/>
  <c r="K14" i="10"/>
  <c r="K15" i="10"/>
  <c r="G16" i="10"/>
  <c r="H16" i="10"/>
  <c r="I16" i="10"/>
  <c r="J16" i="10"/>
  <c r="K16" i="10"/>
  <c r="K17" i="10"/>
  <c r="G21" i="10"/>
  <c r="H21" i="10"/>
  <c r="I21" i="10"/>
  <c r="J21" i="10"/>
  <c r="G22" i="10"/>
  <c r="H22" i="10"/>
  <c r="I22" i="10"/>
  <c r="J22" i="10"/>
  <c r="K22" i="10"/>
  <c r="G23" i="10"/>
  <c r="H23" i="10"/>
  <c r="I23" i="10"/>
  <c r="J23" i="10"/>
  <c r="K23" i="10"/>
  <c r="K24" i="10"/>
  <c r="H196" i="10" l="1"/>
  <c r="I196" i="10"/>
  <c r="K196" i="10"/>
  <c r="G196" i="10"/>
  <c r="K63" i="17"/>
  <c r="J63" i="17"/>
  <c r="I63" i="17"/>
  <c r="H63" i="17"/>
  <c r="G63" i="17"/>
  <c r="K59" i="17"/>
  <c r="J59" i="17"/>
  <c r="I59" i="17"/>
  <c r="H59" i="17"/>
  <c r="G59" i="17"/>
  <c r="K58" i="17"/>
  <c r="J58" i="17"/>
  <c r="I58" i="17"/>
  <c r="H58" i="17"/>
  <c r="G58" i="17"/>
  <c r="K57" i="17"/>
  <c r="J57" i="17"/>
  <c r="I57" i="17"/>
  <c r="H57" i="17"/>
  <c r="G57" i="17"/>
  <c r="K56" i="17"/>
  <c r="J56" i="17"/>
  <c r="I56" i="17"/>
  <c r="H56" i="17"/>
  <c r="G56" i="17"/>
  <c r="K53" i="17"/>
  <c r="J53" i="17"/>
  <c r="I53" i="17"/>
  <c r="H53" i="17"/>
  <c r="G53" i="17"/>
  <c r="K52" i="17"/>
  <c r="J52" i="17"/>
  <c r="I52" i="17"/>
  <c r="H52" i="17"/>
  <c r="G52" i="17"/>
  <c r="K51" i="17"/>
  <c r="J51" i="17"/>
  <c r="I51" i="17"/>
  <c r="H51" i="17"/>
  <c r="G51" i="17"/>
  <c r="K50" i="17"/>
  <c r="J50" i="17"/>
  <c r="I50" i="17"/>
  <c r="H50" i="17"/>
  <c r="G50" i="17"/>
  <c r="K49" i="17"/>
  <c r="J49" i="17"/>
  <c r="I49" i="17"/>
  <c r="H49" i="17"/>
  <c r="G49" i="17"/>
  <c r="K48" i="17"/>
  <c r="J48" i="17"/>
  <c r="I48" i="17"/>
  <c r="H48" i="17"/>
  <c r="G48" i="17"/>
  <c r="K47" i="17"/>
  <c r="J47" i="17"/>
  <c r="I47" i="17"/>
  <c r="H47" i="17"/>
  <c r="G47" i="17"/>
  <c r="K46" i="17"/>
  <c r="J46" i="17"/>
  <c r="I46" i="17"/>
  <c r="H46" i="17"/>
  <c r="G46" i="17"/>
  <c r="K45" i="17"/>
  <c r="J45" i="17"/>
  <c r="I45" i="17"/>
  <c r="H45" i="17"/>
  <c r="G45" i="17"/>
  <c r="K44" i="17"/>
  <c r="J44" i="17"/>
  <c r="I44" i="17"/>
  <c r="H44" i="17"/>
  <c r="G44" i="17"/>
  <c r="J43" i="17"/>
  <c r="I43" i="17"/>
  <c r="H43" i="17"/>
  <c r="G43" i="17"/>
  <c r="K39" i="17"/>
  <c r="J39" i="17"/>
  <c r="I39" i="17"/>
  <c r="K38" i="17"/>
  <c r="J38" i="17"/>
  <c r="I38" i="17"/>
  <c r="H38" i="17"/>
  <c r="G38" i="17"/>
  <c r="K37" i="17"/>
  <c r="J37" i="17"/>
  <c r="I37" i="17"/>
  <c r="H37" i="17"/>
  <c r="G37" i="17"/>
  <c r="K36" i="17"/>
  <c r="J36" i="17"/>
  <c r="I36" i="17"/>
  <c r="H36" i="17"/>
  <c r="G36" i="17"/>
  <c r="K35" i="17"/>
  <c r="J35" i="17"/>
  <c r="I35" i="17"/>
  <c r="H35" i="17"/>
  <c r="G35" i="17"/>
  <c r="K34" i="17"/>
  <c r="J34" i="17"/>
  <c r="I34" i="17"/>
  <c r="H34" i="17"/>
  <c r="G34" i="17"/>
  <c r="K33" i="17"/>
  <c r="J33" i="17"/>
  <c r="I33" i="17"/>
  <c r="H33" i="17"/>
  <c r="G33" i="17"/>
  <c r="K32" i="17"/>
  <c r="J32" i="17"/>
  <c r="I32" i="17"/>
  <c r="H32" i="17"/>
  <c r="G32" i="17"/>
  <c r="K30" i="17"/>
  <c r="J30" i="17"/>
  <c r="I30" i="17"/>
  <c r="H30" i="17"/>
  <c r="G30" i="17"/>
  <c r="K28" i="17"/>
  <c r="J28" i="17"/>
  <c r="I28" i="17"/>
  <c r="H28" i="17"/>
  <c r="G28" i="17"/>
  <c r="K27" i="17"/>
  <c r="J27" i="17"/>
  <c r="I27" i="17"/>
  <c r="H27" i="17"/>
  <c r="G27" i="17"/>
  <c r="K26" i="17"/>
  <c r="J26" i="17"/>
  <c r="I26" i="17"/>
  <c r="H26" i="17"/>
  <c r="G26" i="17"/>
  <c r="K24" i="17"/>
  <c r="J24" i="17"/>
  <c r="I24" i="17"/>
  <c r="H24" i="17"/>
  <c r="G24" i="17"/>
  <c r="K23" i="17"/>
  <c r="J23" i="17"/>
  <c r="I23" i="17"/>
  <c r="H23" i="17"/>
  <c r="G23" i="17"/>
  <c r="K22" i="17"/>
  <c r="K21" i="17"/>
  <c r="J21" i="17"/>
  <c r="I21" i="17"/>
  <c r="H21" i="17"/>
  <c r="G21" i="17"/>
  <c r="K18" i="17"/>
  <c r="J18" i="17"/>
  <c r="I18" i="17"/>
  <c r="H18" i="17"/>
  <c r="G18" i="17"/>
  <c r="K17" i="17"/>
  <c r="J17" i="17"/>
  <c r="I17" i="17"/>
  <c r="H17" i="17"/>
  <c r="G17" i="17"/>
  <c r="K16" i="17"/>
  <c r="J16" i="17"/>
  <c r="I16" i="17"/>
  <c r="H16" i="17"/>
  <c r="G16" i="17"/>
  <c r="K15" i="17"/>
  <c r="J15" i="17"/>
  <c r="I15" i="17"/>
  <c r="H15" i="17"/>
  <c r="G15" i="17"/>
  <c r="K14" i="17"/>
  <c r="J14" i="17"/>
  <c r="I14" i="17"/>
  <c r="H14" i="17"/>
  <c r="G14" i="17"/>
  <c r="K12" i="17"/>
  <c r="J12" i="17"/>
  <c r="I12" i="17"/>
  <c r="H12" i="17"/>
  <c r="G12" i="17"/>
  <c r="K10" i="17"/>
  <c r="J10" i="17"/>
  <c r="I10" i="17"/>
  <c r="H10" i="17"/>
  <c r="G10" i="17"/>
  <c r="K8" i="17"/>
  <c r="J8" i="17"/>
  <c r="I8" i="17"/>
  <c r="H8" i="17"/>
  <c r="G8" i="17"/>
  <c r="K6" i="17"/>
  <c r="J6" i="17"/>
  <c r="I6" i="17"/>
  <c r="H6" i="17"/>
  <c r="G6" i="17"/>
  <c r="K4" i="17"/>
  <c r="J4" i="17"/>
  <c r="I4" i="17"/>
  <c r="H4" i="17"/>
  <c r="G4" i="17"/>
  <c r="A4" i="17"/>
  <c r="A5" i="17" l="1"/>
  <c r="A6" i="17" s="1"/>
  <c r="A7" i="17" s="1"/>
  <c r="A8" i="17" s="1"/>
  <c r="A9" i="17" s="1"/>
  <c r="A10" i="17" s="1"/>
  <c r="A11" i="17" s="1"/>
  <c r="A12" i="17" s="1"/>
  <c r="A13" i="17" s="1"/>
  <c r="A14" i="17" s="1"/>
  <c r="A15" i="17" s="1"/>
  <c r="A16" i="17" s="1"/>
  <c r="A17" i="17" s="1"/>
  <c r="A18" i="17" s="1"/>
  <c r="A20" i="17" s="1"/>
  <c r="A21" i="17" s="1"/>
  <c r="A22" i="17" s="1"/>
  <c r="A23" i="17" s="1"/>
  <c r="A24" i="17" s="1"/>
  <c r="A26" i="17" s="1"/>
  <c r="A27" i="17" s="1"/>
  <c r="A28" i="17" s="1"/>
  <c r="A29" i="17" s="1"/>
  <c r="A30" i="17" s="1"/>
  <c r="A31" i="17" s="1"/>
  <c r="A32" i="17" s="1"/>
  <c r="A33" i="17" s="1"/>
  <c r="A34" i="17" s="1"/>
  <c r="A35" i="17" s="1"/>
  <c r="A36" i="17" s="1"/>
  <c r="A37" i="17" s="1"/>
  <c r="A38" i="17" s="1"/>
  <c r="A39" i="17" s="1"/>
  <c r="A40"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3" i="17" s="1"/>
  <c r="A64" i="17" s="1"/>
  <c r="A65" i="17" s="1"/>
  <c r="I66" i="17"/>
  <c r="H66" i="17"/>
  <c r="J66" i="17"/>
  <c r="G66" i="17"/>
  <c r="K66" i="17"/>
  <c r="H5" i="3" l="1"/>
  <c r="G3" i="3" l="1"/>
  <c r="K8" i="10"/>
  <c r="J8" i="10"/>
  <c r="I8" i="10"/>
  <c r="H8" i="10"/>
  <c r="G8" i="10"/>
  <c r="K7" i="10"/>
  <c r="J7" i="10"/>
  <c r="I7" i="10"/>
  <c r="H7" i="10"/>
  <c r="G7" i="10"/>
  <c r="K6" i="10"/>
  <c r="J6" i="10"/>
  <c r="I6" i="10"/>
  <c r="H6" i="10"/>
  <c r="G6" i="10"/>
  <c r="K5" i="10"/>
  <c r="J5" i="10"/>
  <c r="I5" i="10"/>
  <c r="H5" i="10"/>
  <c r="G5" i="10"/>
  <c r="K4" i="10"/>
  <c r="J4" i="10"/>
  <c r="I4" i="10"/>
  <c r="H4" i="10"/>
  <c r="G4" i="10"/>
  <c r="A4" i="10"/>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C3" i="3" l="1"/>
  <c r="E3" i="3"/>
  <c r="F3" i="3"/>
  <c r="D3" i="3" l="1"/>
  <c r="D4" i="3"/>
  <c r="H4" i="3" s="1"/>
  <c r="H7" i="3"/>
  <c r="H6" i="3" l="1"/>
  <c r="H3" i="3" l="1"/>
</calcChain>
</file>

<file path=xl/sharedStrings.xml><?xml version="1.0" encoding="utf-8"?>
<sst xmlns="http://schemas.openxmlformats.org/spreadsheetml/2006/main" count="1949" uniqueCount="438">
  <si>
    <t>Correct Y / N</t>
  </si>
  <si>
    <t>Test Case</t>
  </si>
  <si>
    <t>Expected Results</t>
  </si>
  <si>
    <t>Bug  ID</t>
  </si>
  <si>
    <t>Notes</t>
  </si>
  <si>
    <t>Pass</t>
  </si>
  <si>
    <t>Fail</t>
  </si>
  <si>
    <t>N/A</t>
  </si>
  <si>
    <t>Not Now</t>
  </si>
  <si>
    <t>To be Tested</t>
  </si>
  <si>
    <t>TOTAL</t>
  </si>
  <si>
    <t>Input data / Action / Field Name</t>
  </si>
  <si>
    <t>Data Dictionary</t>
  </si>
  <si>
    <t>Next</t>
  </si>
  <si>
    <t>Radio button: 
Normal Repurchase - Default</t>
  </si>
  <si>
    <t>Click Submit</t>
  </si>
  <si>
    <t>Click Exit</t>
  </si>
  <si>
    <t>Click Continue Process button</t>
  </si>
  <si>
    <t>Payment instruction should change to Green</t>
  </si>
  <si>
    <t>Click Next</t>
  </si>
  <si>
    <t>Repurchase Type, Batch (default) OR Online</t>
  </si>
  <si>
    <t>Print Letter, Yes, No (default)</t>
  </si>
  <si>
    <t>Repurchase Information Tab | Normal Repurchase</t>
  </si>
  <si>
    <t>The following fields should be available &gt; Leave Defaults</t>
  </si>
  <si>
    <r>
      <t xml:space="preserve">Verify Tranasction History &gt; </t>
    </r>
    <r>
      <rPr>
        <sz val="10"/>
        <color theme="1"/>
        <rFont val="Arial"/>
        <family val="2"/>
      </rPr>
      <t>Click Transaction History Button</t>
    </r>
  </si>
  <si>
    <t xml:space="preserve">Tranasction History displayed </t>
  </si>
  <si>
    <t>Series:</t>
  </si>
  <si>
    <t>Process date: Unknown</t>
  </si>
  <si>
    <t>Price Date: Current System Date</t>
  </si>
  <si>
    <t>Click the item entry for the new Transaction</t>
  </si>
  <si>
    <t>Details for Investment Displayed</t>
  </si>
  <si>
    <t>Price Date: Same as System Date that was captured</t>
  </si>
  <si>
    <t>Tranasction:UNPRICED REPURCHASE (201)</t>
  </si>
  <si>
    <t>Depending on the amout capture in the transaction</t>
  </si>
  <si>
    <t>Units: 00.00</t>
  </si>
  <si>
    <t>Balance: Unknown until Authorised</t>
  </si>
  <si>
    <t>Verification -  Client Total Value</t>
  </si>
  <si>
    <r>
      <rPr>
        <b/>
        <sz val="10"/>
        <color theme="1"/>
        <rFont val="Arial"/>
        <family val="2"/>
      </rPr>
      <t>Total Value</t>
    </r>
    <r>
      <rPr>
        <sz val="10"/>
        <color theme="1"/>
        <rFont val="Arial"/>
        <family val="2"/>
      </rPr>
      <t xml:space="preserve"> : Displays the Total value + Amount Invested</t>
    </r>
  </si>
  <si>
    <t xml:space="preserve">Portfolio &gt; Investment Value and Unit reflects the Amount </t>
  </si>
  <si>
    <r>
      <rPr>
        <b/>
        <sz val="10"/>
        <color theme="1"/>
        <rFont val="Arial"/>
        <family val="2"/>
      </rPr>
      <t>Unit:</t>
    </r>
    <r>
      <rPr>
        <sz val="10"/>
        <color theme="1"/>
        <rFont val="Arial"/>
        <family val="2"/>
      </rPr>
      <t xml:space="preserve"> Displays the Amount </t>
    </r>
  </si>
  <si>
    <r>
      <rPr>
        <b/>
        <sz val="10"/>
        <color theme="1"/>
        <rFont val="Arial"/>
        <family val="2"/>
      </rPr>
      <t>Value:</t>
    </r>
    <r>
      <rPr>
        <sz val="10"/>
        <color theme="1"/>
        <rFont val="Arial"/>
        <family val="2"/>
      </rPr>
      <t xml:space="preserve"> Displays the Amount </t>
    </r>
  </si>
  <si>
    <t>For the above selected Portfolio &gt; Check totals are correct</t>
  </si>
  <si>
    <r>
      <rPr>
        <b/>
        <sz val="10"/>
        <color theme="1"/>
        <rFont val="Arial"/>
        <family val="2"/>
      </rPr>
      <t>Total Value</t>
    </r>
    <r>
      <rPr>
        <sz val="10"/>
        <color theme="1"/>
        <rFont val="Arial"/>
        <family val="2"/>
      </rPr>
      <t xml:space="preserve"> : Displays the Total value - Repurchase Amount (as per the updated transaction history)  </t>
    </r>
  </si>
  <si>
    <t>Process date: Date Processed</t>
  </si>
  <si>
    <t>Price Date: Date transaction was captured</t>
  </si>
  <si>
    <t>Gross Amount: Amount Repurchased</t>
  </si>
  <si>
    <t>Units: Repurchase value in units</t>
  </si>
  <si>
    <t>Balance: New Unit balance for Selected Portfolio</t>
  </si>
  <si>
    <t>Verification -  Transaction History</t>
  </si>
  <si>
    <t>Price: Displays the new Amount</t>
  </si>
  <si>
    <t>Clerk:  Name of clerk who captured the Repurchase</t>
  </si>
  <si>
    <t>Deposit Reference#: Deposit Number captured on Bank Info screen</t>
  </si>
  <si>
    <t>Auth By: The person who Authed the transaction</t>
  </si>
  <si>
    <t>Payee Details: Client Details</t>
  </si>
  <si>
    <t>Bak Details: Bank details that were selected</t>
  </si>
  <si>
    <t>Intruction: Type of deposit</t>
  </si>
  <si>
    <t>Reference: Reference Number asigned to transaction</t>
  </si>
  <si>
    <t xml:space="preserve">Lookup an Internal Client where Primary Product Code = SEB RFA (24) </t>
  </si>
  <si>
    <t>Navigation Path - Client Maintenance &gt; Alter &gt; Alter Primary Product</t>
  </si>
  <si>
    <t>Alter Invest Code Details screen is loaded</t>
  </si>
  <si>
    <t xml:space="preserve">Primary Product Name </t>
  </si>
  <si>
    <t>Drop down list displays all primary Products associated with the Client</t>
  </si>
  <si>
    <t>Ensure that the Primary Product Name = SEB RFA (24)</t>
  </si>
  <si>
    <t>Navgation Path -  Unit Transactions &gt; Investment &gt; Normal Investments</t>
  </si>
  <si>
    <t>Personal Details screen is loaded</t>
  </si>
  <si>
    <t>Click No/Change Proceed</t>
  </si>
  <si>
    <t>Investment Profile screen is loaded listing the Portfolio for selection</t>
  </si>
  <si>
    <t xml:space="preserve">Select the Portfolio to Invest in  </t>
  </si>
  <si>
    <r>
      <t xml:space="preserve">Click the </t>
    </r>
    <r>
      <rPr>
        <b/>
        <sz val="10"/>
        <color theme="1"/>
        <rFont val="Arial"/>
        <family val="2"/>
      </rPr>
      <t>Check box in the Lump Sum Column</t>
    </r>
  </si>
  <si>
    <t>Submit Selection - Clickt the Submit button</t>
  </si>
  <si>
    <t>User directed to Lumpsum Profile Screen</t>
  </si>
  <si>
    <r>
      <rPr>
        <b/>
        <sz val="10"/>
        <color theme="1"/>
        <rFont val="Arial"/>
        <family val="2"/>
      </rPr>
      <t>Insert</t>
    </r>
    <r>
      <rPr>
        <sz val="10"/>
        <color theme="1"/>
        <rFont val="Arial"/>
        <family val="2"/>
      </rPr>
      <t xml:space="preserve">  : Total Investment Amount                                              </t>
    </r>
  </si>
  <si>
    <t xml:space="preserve">          : Price Date </t>
  </si>
  <si>
    <t>Current System Date</t>
  </si>
  <si>
    <t xml:space="preserve">          : Advice Note</t>
  </si>
  <si>
    <t>Leave Default</t>
  </si>
  <si>
    <t xml:space="preserve">          :Is one set of agents applicable for entire    transaction? Y</t>
  </si>
  <si>
    <r>
      <rPr>
        <b/>
        <sz val="10"/>
        <color theme="1"/>
        <rFont val="Arial"/>
        <family val="2"/>
      </rPr>
      <t>Source</t>
    </r>
    <r>
      <rPr>
        <sz val="10"/>
        <color theme="1"/>
        <rFont val="Arial"/>
        <family val="2"/>
      </rPr>
      <t xml:space="preserve"> : Select the Source Code for Internal Investment</t>
    </r>
  </si>
  <si>
    <t xml:space="preserve">Deposit Number : Enter if Required </t>
  </si>
  <si>
    <t>Deposit Number Captured</t>
  </si>
  <si>
    <r>
      <t xml:space="preserve">Continue : </t>
    </r>
    <r>
      <rPr>
        <sz val="10"/>
        <color theme="1"/>
        <rFont val="Arial"/>
        <family val="2"/>
      </rPr>
      <t>Click the Continue button</t>
    </r>
  </si>
  <si>
    <t>The deposit amount invested is allocated to the Portfolio</t>
  </si>
  <si>
    <r>
      <rPr>
        <b/>
        <sz val="10"/>
        <color theme="1"/>
        <rFont val="Arial"/>
        <family val="2"/>
      </rPr>
      <t>Agent Code</t>
    </r>
    <r>
      <rPr>
        <sz val="10"/>
        <color theme="1"/>
        <rFont val="Arial"/>
        <family val="2"/>
      </rPr>
      <t>: Enter the default agent code</t>
    </r>
  </si>
  <si>
    <t>Investor Code: Investor Code Displayed</t>
  </si>
  <si>
    <t>Fund Name: Portfolio Name is displayed</t>
  </si>
  <si>
    <t>Amount: Invested Amount Reflected</t>
  </si>
  <si>
    <t>Charges: Displays Zero</t>
  </si>
  <si>
    <t>Comm%: Displays Zero</t>
  </si>
  <si>
    <r>
      <t xml:space="preserve">Next : </t>
    </r>
    <r>
      <rPr>
        <sz val="10"/>
        <color theme="1"/>
        <rFont val="Arial"/>
        <family val="2"/>
      </rPr>
      <t>Click the Next button</t>
    </r>
  </si>
  <si>
    <t>Investment Amount loaded</t>
  </si>
  <si>
    <t>Tranasction: Reflects the Type of Investment:</t>
  </si>
  <si>
    <t>Gross Amount: Displays the Amount captured</t>
  </si>
  <si>
    <t xml:space="preserve">Units: 0.00 </t>
  </si>
  <si>
    <t>Balance: Unknown</t>
  </si>
  <si>
    <t>Price: 00.00</t>
  </si>
  <si>
    <t>Clerk: Your Name</t>
  </si>
  <si>
    <t>Charge: 0.00</t>
  </si>
  <si>
    <t>Comm % : 0.00</t>
  </si>
  <si>
    <t>Authorised: NO</t>
  </si>
  <si>
    <t xml:space="preserve">Charges(R)  0.00  </t>
  </si>
  <si>
    <t xml:space="preserve">Vat:  0.00  </t>
  </si>
  <si>
    <t xml:space="preserve">Pakkode:  0  </t>
  </si>
  <si>
    <t>Deposit #: 1000</t>
  </si>
  <si>
    <t>Investments Screen Is loaded</t>
  </si>
  <si>
    <t xml:space="preserve">Select  the transactions that were processed for the Porfolios </t>
  </si>
  <si>
    <t>Transactions Processed Succesfully</t>
  </si>
  <si>
    <t>For the above selected Portfolio &gt; Check that the Invested Amount is reflected</t>
  </si>
  <si>
    <t>Portfolio &gt; Investment Value and Unit reflects the Amount that was capture for the investment</t>
  </si>
  <si>
    <r>
      <rPr>
        <b/>
        <sz val="10"/>
        <color theme="1"/>
        <rFont val="Arial"/>
        <family val="2"/>
      </rPr>
      <t>Unit:</t>
    </r>
    <r>
      <rPr>
        <sz val="10"/>
        <color theme="1"/>
        <rFont val="Arial"/>
        <family val="2"/>
      </rPr>
      <t xml:space="preserve"> Displays the Amount Captured</t>
    </r>
  </si>
  <si>
    <r>
      <rPr>
        <b/>
        <sz val="10"/>
        <color theme="1"/>
        <rFont val="Arial"/>
        <family val="2"/>
      </rPr>
      <t>Value:</t>
    </r>
    <r>
      <rPr>
        <sz val="10"/>
        <color theme="1"/>
        <rFont val="Arial"/>
        <family val="2"/>
      </rPr>
      <t xml:space="preserve"> Displays the Amount Captured</t>
    </r>
  </si>
  <si>
    <t>Radio Button - Select Latest</t>
  </si>
  <si>
    <t>To order by latest transaction</t>
  </si>
  <si>
    <t>Click Search Button</t>
  </si>
  <si>
    <t>The Transaction is listed along with its Series Number</t>
  </si>
  <si>
    <r>
      <t xml:space="preserve">Series: </t>
    </r>
    <r>
      <rPr>
        <sz val="10"/>
        <color theme="1"/>
        <rFont val="Arial"/>
        <family val="2"/>
      </rPr>
      <t>The Series Number is assigned</t>
    </r>
  </si>
  <si>
    <r>
      <rPr>
        <b/>
        <sz val="10"/>
        <color theme="1"/>
        <rFont val="Arial"/>
        <family val="2"/>
      </rPr>
      <t>Process date</t>
    </r>
    <r>
      <rPr>
        <sz val="10"/>
        <color theme="1"/>
        <rFont val="Arial"/>
        <family val="2"/>
      </rPr>
      <t>: Date Transaction was processed</t>
    </r>
  </si>
  <si>
    <r>
      <t xml:space="preserve">Price date: </t>
    </r>
    <r>
      <rPr>
        <sz val="10"/>
        <color theme="1"/>
        <rFont val="Arial"/>
        <family val="2"/>
      </rPr>
      <t>Date the transaction was captured</t>
    </r>
  </si>
  <si>
    <r>
      <rPr>
        <b/>
        <sz val="10"/>
        <color theme="1"/>
        <rFont val="Arial"/>
        <family val="2"/>
      </rPr>
      <t>Gross Amount</t>
    </r>
    <r>
      <rPr>
        <sz val="10"/>
        <color theme="1"/>
        <rFont val="Arial"/>
        <family val="2"/>
      </rPr>
      <t>: Displays the Amount captured</t>
    </r>
  </si>
  <si>
    <r>
      <rPr>
        <b/>
        <sz val="10"/>
        <color theme="1"/>
        <rFont val="Arial"/>
        <family val="2"/>
      </rPr>
      <t>Units</t>
    </r>
    <r>
      <rPr>
        <sz val="10"/>
        <color theme="1"/>
        <rFont val="Arial"/>
        <family val="2"/>
      </rPr>
      <t>: Displays the units for the Amount</t>
    </r>
  </si>
  <si>
    <r>
      <rPr>
        <b/>
        <sz val="10"/>
        <color theme="1"/>
        <rFont val="Arial"/>
        <family val="2"/>
      </rPr>
      <t>Balance:</t>
    </r>
    <r>
      <rPr>
        <sz val="10"/>
        <color theme="1"/>
        <rFont val="Arial"/>
        <family val="2"/>
      </rPr>
      <t xml:space="preserve"> Display the Amount captured</t>
    </r>
  </si>
  <si>
    <t>Select the Transaction to be Reversed</t>
  </si>
  <si>
    <r>
      <rPr>
        <b/>
        <sz val="10"/>
        <color theme="1"/>
        <rFont val="Arial"/>
        <family val="2"/>
      </rPr>
      <t>Type of Reversal:</t>
    </r>
    <r>
      <rPr>
        <sz val="10"/>
        <color theme="1"/>
        <rFont val="Arial"/>
        <family val="2"/>
      </rPr>
      <t xml:space="preserve"> Select FT</t>
    </r>
  </si>
  <si>
    <r>
      <rPr>
        <b/>
        <sz val="10"/>
        <color theme="1"/>
        <rFont val="Arial"/>
        <family val="2"/>
      </rPr>
      <t xml:space="preserve">Reversal Reason: </t>
    </r>
    <r>
      <rPr>
        <sz val="10"/>
        <color theme="1"/>
        <rFont val="Arial"/>
        <family val="2"/>
      </rPr>
      <t>Provide a Reason</t>
    </r>
  </si>
  <si>
    <r>
      <rPr>
        <b/>
        <sz val="10"/>
        <color theme="1"/>
        <rFont val="Arial"/>
        <family val="2"/>
      </rPr>
      <t>Process date:</t>
    </r>
    <r>
      <rPr>
        <sz val="10"/>
        <color theme="1"/>
        <rFont val="Arial"/>
        <family val="2"/>
      </rPr>
      <t xml:space="preserve"> Current System Date</t>
    </r>
  </si>
  <si>
    <r>
      <rPr>
        <b/>
        <sz val="10"/>
        <color theme="1"/>
        <rFont val="Arial"/>
        <family val="2"/>
      </rPr>
      <t>Price Date</t>
    </r>
    <r>
      <rPr>
        <sz val="10"/>
        <color theme="1"/>
        <rFont val="Arial"/>
        <family val="2"/>
      </rPr>
      <t>: Reflects the Date transaction was captured</t>
    </r>
  </si>
  <si>
    <r>
      <rPr>
        <b/>
        <sz val="10"/>
        <color theme="1"/>
        <rFont val="Arial"/>
        <family val="2"/>
      </rPr>
      <t>Tranasction:</t>
    </r>
    <r>
      <rPr>
        <sz val="10"/>
        <color theme="1"/>
        <rFont val="Arial"/>
        <family val="2"/>
      </rPr>
      <t xml:space="preserve"> Reflects the Type of Reversal</t>
    </r>
  </si>
  <si>
    <r>
      <t>Invest Rev :</t>
    </r>
    <r>
      <rPr>
        <b/>
        <sz val="10"/>
        <color theme="1"/>
        <rFont val="Arial"/>
        <family val="2"/>
      </rPr>
      <t xml:space="preserve"> Invest Rev 940</t>
    </r>
  </si>
  <si>
    <r>
      <rPr>
        <b/>
        <sz val="10"/>
        <color theme="1"/>
        <rFont val="Arial"/>
        <family val="2"/>
      </rPr>
      <t>Gross Amount:</t>
    </r>
    <r>
      <rPr>
        <sz val="10"/>
        <color theme="1"/>
        <rFont val="Arial"/>
        <family val="2"/>
      </rPr>
      <t xml:space="preserve"> Displays the Amount Reversed</t>
    </r>
  </si>
  <si>
    <r>
      <rPr>
        <b/>
        <sz val="10"/>
        <color theme="1"/>
        <rFont val="Arial"/>
        <family val="2"/>
      </rPr>
      <t>Units</t>
    </r>
    <r>
      <rPr>
        <sz val="10"/>
        <color theme="1"/>
        <rFont val="Arial"/>
        <family val="2"/>
      </rPr>
      <t>: Displays the Amount in Units Reversed</t>
    </r>
  </si>
  <si>
    <t>Click the item entry for the Reversal Transaction</t>
  </si>
  <si>
    <t>Details for Reversal Displayed</t>
  </si>
  <si>
    <t>Contract Reason: The reason captured</t>
  </si>
  <si>
    <t xml:space="preserve">Agent:Default Agent or Agent Responsible </t>
  </si>
  <si>
    <t>Production :Amount reversed</t>
  </si>
  <si>
    <t>commision:N/A</t>
  </si>
  <si>
    <t>Vat:N/A</t>
  </si>
  <si>
    <t>Date: N/A</t>
  </si>
  <si>
    <t>Total Value : Displays the Total value LESS Amount that was Reversed</t>
  </si>
  <si>
    <t>Verification -  Accounting</t>
  </si>
  <si>
    <t xml:space="preserve"> Accounting Files - </t>
  </si>
  <si>
    <t>Refer to the Output file generated on the Walker System when Batch is completed</t>
  </si>
  <si>
    <r>
      <t xml:space="preserve"> Accouting Output must be verified : </t>
    </r>
    <r>
      <rPr>
        <b/>
        <sz val="10"/>
        <rFont val="Arial"/>
        <family val="2"/>
      </rPr>
      <t xml:space="preserve"> EA518, GH000, GP003, GP005, JE003 GF801/FA002/GA243 (depending on instruction type)</t>
    </r>
    <r>
      <rPr>
        <sz val="10"/>
        <rFont val="Arial"/>
        <family val="2"/>
      </rPr>
      <t xml:space="preserve">
</t>
    </r>
  </si>
  <si>
    <t>Repurchases &gt; Payment Type Benefit Payment</t>
  </si>
  <si>
    <t>Refer to Accounting Allocation Process Generated for Benefit Payment &amp; Terminations: Coris Funds</t>
  </si>
  <si>
    <t xml:space="preserve">Lookup an External Client where Primary Product Code = TEST ABSA GROUP PENSION FUND  (25) </t>
  </si>
  <si>
    <t xml:space="preserve">Ensure that the Primary Product Name = ABSA (25) </t>
  </si>
  <si>
    <t>Navigation Path - Unit Transactions &gt; Repurhases &gt; Normal Repurchases</t>
  </si>
  <si>
    <t>Repurchase Info Tab Displayed</t>
  </si>
  <si>
    <t>Click Next &gt;</t>
  </si>
  <si>
    <t>Personal Details Tab displayed</t>
  </si>
  <si>
    <t>Click  &gt; No Change/Proceed Button</t>
  </si>
  <si>
    <t>Repurchase Details Tab is displayed</t>
  </si>
  <si>
    <t>Leave Default &gt; Selection</t>
  </si>
  <si>
    <t>Click Next Button</t>
  </si>
  <si>
    <t>Select Instruction Type</t>
  </si>
  <si>
    <t xml:space="preserve"> Click Next Button</t>
  </si>
  <si>
    <t>Repurchase Details | Payment Instruction</t>
  </si>
  <si>
    <t>Enter Price Date</t>
  </si>
  <si>
    <t>Ensure Date = Current Date</t>
  </si>
  <si>
    <t>Select Quantity Type for Portfolio</t>
  </si>
  <si>
    <t>Quantity Type Selection - Amount</t>
  </si>
  <si>
    <t xml:space="preserve">Enter Amount </t>
  </si>
  <si>
    <t>Quantity Column - Amount Specified</t>
  </si>
  <si>
    <t>Navigate - Administrator &gt; Authorize Transactions . Investments</t>
  </si>
  <si>
    <t>SEB RFA Not necessary to be Authorized</t>
  </si>
  <si>
    <t>Tick Authorise box</t>
  </si>
  <si>
    <t>Tick Apply box</t>
  </si>
  <si>
    <t>Select Portfolio: STABLE BONUS</t>
  </si>
  <si>
    <t>R3012-00</t>
  </si>
  <si>
    <t>Repurchases &gt; Normal</t>
  </si>
  <si>
    <t>Load a Client &gt; TEST SANLAM UMBRELLA PENSION FUND</t>
  </si>
  <si>
    <t>LOADED</t>
  </si>
  <si>
    <t>Instruction Type = NO REQUEST TYPE SELECTED</t>
  </si>
  <si>
    <t>Selecion Payment Type Drop Down &gt; Select System Payment</t>
  </si>
  <si>
    <t>Select Payment &gt; Payment In Suspense</t>
  </si>
  <si>
    <t>Radio button with Payment in Suspense Selected</t>
  </si>
  <si>
    <r>
      <t xml:space="preserve">Dropdown Selection 
</t>
    </r>
    <r>
      <rPr>
        <b/>
        <sz val="10"/>
        <color theme="1"/>
        <rFont val="Arial"/>
        <family val="2"/>
      </rPr>
      <t xml:space="preserve">   Payment Type - Other</t>
    </r>
    <r>
      <rPr>
        <sz val="10"/>
        <color theme="1"/>
        <rFont val="Arial"/>
        <family val="2"/>
      </rPr>
      <t xml:space="preserve">
  </t>
    </r>
  </si>
  <si>
    <t>Enter Note</t>
  </si>
  <si>
    <t>Test entered into Note Input</t>
  </si>
  <si>
    <t xml:space="preserve">Click Submit </t>
  </si>
  <si>
    <t>Instruciton Status = Other</t>
  </si>
  <si>
    <t>Conclution Tab Displayed</t>
  </si>
  <si>
    <t xml:space="preserve">Message Reads - Repurchase Succesfully Created. Transaction Must still be Authorised </t>
  </si>
  <si>
    <t>Tranasction:Benefit Payment (201)</t>
  </si>
  <si>
    <t>Gross Amount: - 100.00?</t>
  </si>
  <si>
    <t xml:space="preserve"> Authorise and  Apply</t>
  </si>
  <si>
    <t>Navigate - Unit Tranactions &gt; Investments &gt; Apply/Delete Unprocessed</t>
  </si>
  <si>
    <t>If no prices are available then create a Prices Manally</t>
  </si>
  <si>
    <r>
      <t xml:space="preserve"> Accouting Output must be verified : </t>
    </r>
    <r>
      <rPr>
        <b/>
        <sz val="10"/>
        <rFont val="Arial"/>
        <family val="2"/>
      </rPr>
      <t xml:space="preserve"> JE003 (JE003),, GF801 (GF801), GP003, GP005, EA518, GH000
</t>
    </r>
    <r>
      <rPr>
        <sz val="10"/>
        <rFont val="Arial"/>
        <family val="2"/>
      </rPr>
      <t xml:space="preserve">
</t>
    </r>
  </si>
  <si>
    <t>Accouting Requirement 3.2</t>
  </si>
  <si>
    <t>Investments and Disinvestments for Coris Funds</t>
  </si>
  <si>
    <t>Payment Instruction = Payment In Suspense</t>
  </si>
  <si>
    <t>Refer to Accounting Disinvestment Process Generated for Investments and Disinvestments for Coris Funds</t>
  </si>
  <si>
    <t>Instruction Status = Other</t>
  </si>
  <si>
    <t xml:space="preserve">Select the Bank </t>
  </si>
  <si>
    <t>Bank Selected</t>
  </si>
  <si>
    <t>Conclusion Tab Displayed</t>
  </si>
  <si>
    <t>Repurchase successfully created. The transaction must still be authorised. Note(s) added successfully.</t>
  </si>
  <si>
    <t>Price: Displays Amount</t>
  </si>
  <si>
    <t>Refer to the Output file generated on the Walker System when Batch is completed. Refer to the SCI Projects Accounting requirements. EA518 For SEB RFA</t>
  </si>
  <si>
    <t>This is just to verify that the correct client has the correct Primary Product Value</t>
  </si>
  <si>
    <t>Instruction Type = Terminations</t>
  </si>
  <si>
    <t>Setup Payment Instruction -Payment In Suspense</t>
  </si>
  <si>
    <t>Details for Disinvestment Investment Displayed</t>
  </si>
  <si>
    <t>Reverse Repurchase</t>
  </si>
  <si>
    <t>Navigate - Unit Transaction &gt; Repurchases &gt;Reverse Repurchase</t>
  </si>
  <si>
    <t>Reverse repurchase screen is loaded</t>
  </si>
  <si>
    <t>Click Reverrse repurchase button</t>
  </si>
  <si>
    <t>Reverse Purchase Trasnaction dialog is displayed</t>
  </si>
  <si>
    <t>Details for reversal Displayed below</t>
  </si>
  <si>
    <t>reversal Screen Displayed and Transaction no longer in List</t>
  </si>
  <si>
    <t xml:space="preserve">Dropdown Selection 
   Payment Type - Payment to Sanlam Group
  </t>
  </si>
  <si>
    <t>Repeat Verification of Client Total</t>
  </si>
  <si>
    <t>Repeat Verification of Transaction History</t>
  </si>
  <si>
    <t xml:space="preserve">Client Totals checked </t>
  </si>
  <si>
    <t xml:space="preserve">Transaction History checked </t>
  </si>
  <si>
    <t>Repurchase Details | Payment Instruction Suspense</t>
  </si>
  <si>
    <t>Payment Type - Asset Transfer</t>
  </si>
  <si>
    <t xml:space="preserve">Dropdown Selection 
   Payment Type -Asset Transfer
  </t>
  </si>
  <si>
    <t>Select Instruction Drop Down &gt; Select Instruction</t>
  </si>
  <si>
    <t>Select Payment Type Drop Down &gt; Select  Payment Type</t>
  </si>
  <si>
    <t>This must be performed for each Instruction Type</t>
  </si>
  <si>
    <t>Instruction Status = Asset Transfer</t>
  </si>
  <si>
    <t>Repeat from 2.0000 Step Until 2.0024</t>
  </si>
  <si>
    <t>Instruction Status = Suspense</t>
  </si>
  <si>
    <r>
      <rPr>
        <b/>
        <sz val="10"/>
        <color theme="1"/>
        <rFont val="Arial"/>
        <family val="2"/>
      </rPr>
      <t>Reference:</t>
    </r>
    <r>
      <rPr>
        <sz val="10"/>
        <color theme="1"/>
        <rFont val="Arial"/>
        <family val="2"/>
      </rPr>
      <t xml:space="preserve"> Reference Number assigned to Instruction ASSET TRANSFER - 2R</t>
    </r>
  </si>
  <si>
    <r>
      <rPr>
        <b/>
        <sz val="10"/>
        <color theme="1"/>
        <rFont val="Arial"/>
        <family val="2"/>
      </rPr>
      <t>Reference:</t>
    </r>
    <r>
      <rPr>
        <sz val="10"/>
        <color theme="1"/>
        <rFont val="Arial"/>
        <family val="2"/>
      </rPr>
      <t xml:space="preserve"> Reference Number assigned to Instruction OTHER - 2D</t>
    </r>
  </si>
  <si>
    <t>Bonus (970/84)</t>
  </si>
  <si>
    <t>SEB Invest Admin Fee (201/86)</t>
  </si>
  <si>
    <t>Depending on Instruction</t>
  </si>
  <si>
    <t>Payment Type - Sanlam Group (SEB PROVIDER PENSIONS)</t>
  </si>
  <si>
    <t xml:space="preserve">Dropdown Selection 
   Instruction - SEB  PROVIDER PENSION
  </t>
  </si>
  <si>
    <t>SB Investment Fee (201/86)</t>
  </si>
  <si>
    <t>SB adm fee rev (250/86)</t>
  </si>
  <si>
    <t>Benefit Pay rev (250/80)</t>
  </si>
  <si>
    <t>Benefit Payment (210/80)</t>
  </si>
  <si>
    <t>SB Invest admin fee (201/86)</t>
  </si>
  <si>
    <r>
      <t xml:space="preserve">Transaction: </t>
    </r>
    <r>
      <rPr>
        <sz val="10"/>
        <color theme="1"/>
        <rFont val="Arial"/>
        <family val="2"/>
      </rPr>
      <t>Bonus Rev (940/84)</t>
    </r>
  </si>
  <si>
    <t xml:space="preserve">ASSET TRANSFER </t>
  </si>
  <si>
    <t>Tranasction:REPURCHASE (201/ 69)</t>
  </si>
  <si>
    <t>Displayed for Each Payment Type</t>
  </si>
  <si>
    <t>Other</t>
  </si>
  <si>
    <t>Tranasction: UNPRICED REPURCHASE (201)</t>
  </si>
  <si>
    <t>Displayed for each of the Above transactions</t>
  </si>
  <si>
    <t>Payment Type -Other</t>
  </si>
  <si>
    <t xml:space="preserve">Dropdown Selection 
   Payment Type - Other
  </t>
  </si>
  <si>
    <t>This step is to be perrformed and repeated for each Instruction Type highlighted in yellow below.</t>
  </si>
  <si>
    <r>
      <t xml:space="preserve">Transaction: </t>
    </r>
    <r>
      <rPr>
        <sz val="10"/>
        <color theme="1"/>
        <rFont val="Arial"/>
        <family val="2"/>
      </rPr>
      <t>REPURCHASE (201)</t>
    </r>
  </si>
  <si>
    <t>Bonus fee (201/84)</t>
  </si>
  <si>
    <t>Invest admin fee (201/86)</t>
  </si>
  <si>
    <t>Applies to a  Guarenteed Product</t>
  </si>
  <si>
    <t>Applies to a  Market Value Product</t>
  </si>
  <si>
    <r>
      <rPr>
        <b/>
        <sz val="10"/>
        <color theme="1"/>
        <rFont val="Arial"/>
        <family val="2"/>
      </rPr>
      <t>Process date:</t>
    </r>
    <r>
      <rPr>
        <sz val="10"/>
        <color theme="1"/>
        <rFont val="Arial"/>
        <family val="2"/>
      </rPr>
      <t xml:space="preserve"> Date Captured</t>
    </r>
  </si>
  <si>
    <t>Repeat from 2.0006 Step Until 2.0021</t>
  </si>
  <si>
    <t>Then continue with this Instruction Type</t>
  </si>
  <si>
    <t>Instruction Type = Select Terminations</t>
  </si>
  <si>
    <t>Ensure that the Primary Product Name = (27)</t>
  </si>
  <si>
    <t>Ensure that the Primary Product Name = (29)</t>
  </si>
  <si>
    <t>Lookup an Internal Client where Primary Product Code = (29)</t>
  </si>
  <si>
    <t>Lookup an Internal Client where Primary Product Code =(27)</t>
  </si>
  <si>
    <t>Payment Type - Sanlam Group (SEB SEEB CAPITAL)</t>
  </si>
  <si>
    <t>Dropdown Selection 
   Instruction - SEB  SEED CAPITAL</t>
  </si>
  <si>
    <t>Reversal for Intruction Other and Asset  - Transfer Coris Funds</t>
  </si>
  <si>
    <t>Reversal for Intruction Other and Asset Transfer - Non-Coris Funds</t>
  </si>
  <si>
    <t xml:space="preserve">   </t>
  </si>
  <si>
    <t>Repuechase Reversal for Reschedule 5 Accounting</t>
  </si>
  <si>
    <t>Repuechase Reversal for Reschedule 6 Accounting</t>
  </si>
  <si>
    <t>REVERSAL FOR Lump Sum &amp; Recurring Premiums</t>
  </si>
  <si>
    <t>Displays the Name of the Fund associated with the Primary Product</t>
  </si>
  <si>
    <t>Refer to Accounting Allocation Process Generated for Lumpsum Excluding coris Funds</t>
  </si>
  <si>
    <r>
      <t xml:space="preserve"> Accouting Output must be verified : </t>
    </r>
    <r>
      <rPr>
        <b/>
        <sz val="10"/>
        <rFont val="Arial"/>
        <family val="2"/>
      </rPr>
      <t>GN022, JE002, GP005, GP003, GH000, EA518  (Note 1)</t>
    </r>
    <r>
      <rPr>
        <sz val="10"/>
        <rFont val="Arial"/>
        <family val="2"/>
      </rPr>
      <t xml:space="preserve">
</t>
    </r>
  </si>
  <si>
    <t>(Type = Market Value) SMM Abs Ret +5%</t>
  </si>
  <si>
    <t>Market Value Portfolio - MV</t>
  </si>
  <si>
    <r>
      <rPr>
        <b/>
        <sz val="10"/>
        <color theme="1"/>
        <rFont val="Arial"/>
        <family val="2"/>
      </rPr>
      <t xml:space="preserve">Check Box Selection </t>
    </r>
    <r>
      <rPr>
        <sz val="10"/>
        <color theme="1"/>
        <rFont val="Arial"/>
        <family val="2"/>
      </rPr>
      <t>- SMM Abs Ret +5%</t>
    </r>
  </si>
  <si>
    <t>Reverse Invesments Trasnactions screen is loaded</t>
  </si>
  <si>
    <t>Select Portfolio and then Radio Button - Select Latest</t>
  </si>
  <si>
    <t>Details for Investment Displayed below</t>
  </si>
  <si>
    <t>Click Reverse Investment button</t>
  </si>
  <si>
    <t>Reverse Invesments Trasnaction dialog is displayed</t>
  </si>
  <si>
    <r>
      <t>Reverse Certificates:</t>
    </r>
    <r>
      <rPr>
        <sz val="10"/>
        <color theme="1"/>
        <rFont val="Arial"/>
        <family val="2"/>
      </rPr>
      <t xml:space="preserve"> N/A (Blank)</t>
    </r>
  </si>
  <si>
    <r>
      <rPr>
        <b/>
        <sz val="10"/>
        <color theme="1"/>
        <rFont val="Arial"/>
        <family val="2"/>
      </rPr>
      <t>Refund Payment to client</t>
    </r>
    <r>
      <rPr>
        <sz val="10"/>
        <color theme="1"/>
        <rFont val="Arial"/>
        <family val="2"/>
      </rPr>
      <t>: Select No (then submit)</t>
    </r>
  </si>
  <si>
    <r>
      <rPr>
        <b/>
        <sz val="10"/>
        <color theme="1"/>
        <rFont val="Arial"/>
        <family val="2"/>
      </rPr>
      <t>Balance:</t>
    </r>
    <r>
      <rPr>
        <sz val="10"/>
        <color theme="1"/>
        <rFont val="Arial"/>
        <family val="2"/>
      </rPr>
      <t xml:space="preserve"> Should reflect 0.00 or balance prior to investment BECAUSE TXN was reversed</t>
    </r>
  </si>
  <si>
    <t>Price: 100.00 Unit Price for all transactions</t>
  </si>
  <si>
    <t>Reversal Reference</t>
  </si>
  <si>
    <t>Verification -  Accounting FOR Reversal</t>
  </si>
  <si>
    <t>Accounting Files</t>
  </si>
  <si>
    <t>Select a different Portfolio</t>
  </si>
  <si>
    <t>Normal Investment - Internal Client  (Type = Market Value)</t>
  </si>
  <si>
    <t>Navigate - Unit Transaction &gt; Investments &gt; Reverse Investment</t>
  </si>
  <si>
    <t>Nett Amount 100 000</t>
  </si>
  <si>
    <r>
      <rPr>
        <b/>
        <sz val="10"/>
        <color theme="1"/>
        <rFont val="Arial"/>
        <family val="2"/>
      </rPr>
      <t>Type of Reversal:</t>
    </r>
    <r>
      <rPr>
        <sz val="10"/>
        <color theme="1"/>
        <rFont val="Arial"/>
        <family val="2"/>
      </rPr>
      <t xml:space="preserve"> Select VT</t>
    </r>
  </si>
  <si>
    <t>Sbmit &gt; Click Submit to Process transaction</t>
  </si>
  <si>
    <t>Transaction Submitted</t>
  </si>
  <si>
    <t>Portfolio Selection - MV for Investment 1</t>
  </si>
  <si>
    <t>(Type = Smooth Bonus) MBF</t>
  </si>
  <si>
    <t>Smooth Bonus Portfolio</t>
  </si>
  <si>
    <r>
      <rPr>
        <b/>
        <sz val="10"/>
        <color theme="1"/>
        <rFont val="Arial"/>
        <family val="2"/>
      </rPr>
      <t xml:space="preserve">Check Box Selection </t>
    </r>
    <r>
      <rPr>
        <sz val="10"/>
        <color theme="1"/>
        <rFont val="Arial"/>
        <family val="2"/>
      </rPr>
      <t>- MBF</t>
    </r>
  </si>
  <si>
    <r>
      <t xml:space="preserve">Enter the Deposit Number for </t>
    </r>
    <r>
      <rPr>
        <b/>
        <sz val="10"/>
        <color theme="1"/>
        <rFont val="Arial"/>
        <family val="2"/>
      </rPr>
      <t>- cash (18)</t>
    </r>
  </si>
  <si>
    <r>
      <t>Listed Items: Select</t>
    </r>
    <r>
      <rPr>
        <b/>
        <sz val="10"/>
        <color theme="1"/>
        <rFont val="Arial"/>
        <family val="2"/>
      </rPr>
      <t xml:space="preserve"> Recuring Cashn (18)</t>
    </r>
    <r>
      <rPr>
        <sz val="10"/>
        <color theme="1"/>
        <rFont val="Arial"/>
        <family val="2"/>
      </rPr>
      <t xml:space="preserve">  from the list of items</t>
    </r>
  </si>
  <si>
    <r>
      <t>Lump Sump Cash : Normal</t>
    </r>
    <r>
      <rPr>
        <b/>
        <sz val="10"/>
        <color theme="1"/>
        <rFont val="Arial"/>
        <family val="2"/>
      </rPr>
      <t xml:space="preserve"> Investment 970</t>
    </r>
  </si>
  <si>
    <t>Portfolio Selection - SB for Investment 2</t>
  </si>
  <si>
    <t xml:space="preserve">Lump Sump Cash </t>
  </si>
  <si>
    <t>Recurring Premiums</t>
  </si>
  <si>
    <t>Repeat Authorize and Apply</t>
  </si>
  <si>
    <t>Authorize and Apply completed</t>
  </si>
  <si>
    <t>Steps to be repeated</t>
  </si>
  <si>
    <t>Internal - Repurchase Reversal</t>
  </si>
  <si>
    <t>External - Repurchase Reversal</t>
  </si>
  <si>
    <t>Repurchase Reversal - Schedule 5</t>
  </si>
  <si>
    <t>Repurchase Reversal - Schedule 6</t>
  </si>
  <si>
    <t>Investment Reversal Lump Sum and Recurring</t>
  </si>
  <si>
    <t>Reversals</t>
  </si>
  <si>
    <t>Repeat this step for  Portfolios that follow!</t>
  </si>
  <si>
    <t>Repeat Reversal Step</t>
  </si>
  <si>
    <t>Portfolio Smooth Bonus Reversed</t>
  </si>
  <si>
    <t>Reverse Investment (1) MV &amp; Investment (2) SB Portfolios</t>
  </si>
  <si>
    <t>Select  investor code  by code or Name click Proceed</t>
  </si>
  <si>
    <t>Personal Details Tab: Click No change/ Proceed</t>
  </si>
  <si>
    <t>Enter Price date= Current date</t>
  </si>
  <si>
    <t>Select from fund (as per switch request)</t>
  </si>
  <si>
    <t>Enter Quantity- Rand amount or units</t>
  </si>
  <si>
    <t>Select: Standard Switch</t>
  </si>
  <si>
    <t>Administrator Capture Switch-Multiple targets</t>
  </si>
  <si>
    <t>Administrator capture: Normal Switch  –  Portfolio SB to mutiple MV</t>
  </si>
  <si>
    <r>
      <t xml:space="preserve">Profile tab:Select </t>
    </r>
    <r>
      <rPr>
        <b/>
        <sz val="9"/>
        <rFont val="Verdana"/>
        <family val="2"/>
      </rPr>
      <t>YES</t>
    </r>
    <r>
      <rPr>
        <sz val="9"/>
        <rFont val="Verdana"/>
        <family val="2"/>
      </rPr>
      <t xml:space="preserve"> for Multiple targets. Click Next</t>
    </r>
  </si>
  <si>
    <t>Authorise Switch</t>
  </si>
  <si>
    <t>Authorisor: authorise Switch captured</t>
  </si>
  <si>
    <t>Path:Administrator_Authorize transactions_Switches/ Transfers</t>
  </si>
  <si>
    <t>all unauthorised switches will appear</t>
  </si>
  <si>
    <t>Check confirm Source Fund, Target Fund and value (Rand amount or units as per switch request)</t>
  </si>
  <si>
    <t>Click Authorise tick box , Submit</t>
  </si>
  <si>
    <t>View Captured switches</t>
  </si>
  <si>
    <t>Check switch information captured is correct before sending for authorisation</t>
  </si>
  <si>
    <t>List of all unauthorised switches will appear</t>
  </si>
  <si>
    <t>Items Passed</t>
  </si>
  <si>
    <t>Items Failed</t>
  </si>
  <si>
    <t>Not Tested</t>
  </si>
  <si>
    <t>Refer to Accounting Posts to Walker - SCI Project Provider Pensions</t>
  </si>
  <si>
    <r>
      <t xml:space="preserve"> Accouting Output must be verified :</t>
    </r>
    <r>
      <rPr>
        <b/>
        <sz val="10"/>
        <rFont val="Arial"/>
        <family val="2"/>
      </rPr>
      <t xml:space="preserve"> GN041, MG018, GP005, GP003
,  GH000,  JE002</t>
    </r>
  </si>
  <si>
    <t>Path:Unit Transactions &gt; Switch &gt; Once off Switch</t>
  </si>
  <si>
    <t>Path: Unit Transactions &gt;Switch &gt; Apply/Deleted unprocessed</t>
  </si>
  <si>
    <t>Lookup an Internal Client where Primary Product Code =SEB RFA (24)</t>
  </si>
  <si>
    <t>Ensure that the Primary Product Name = (24)</t>
  </si>
  <si>
    <t>Select The Portfolio Giving the Money</t>
  </si>
  <si>
    <t>Portfolio switch: Smooth  Bonus to Smoothed Bonus</t>
  </si>
  <si>
    <t>Select Quantity type - Amount</t>
  </si>
  <si>
    <t>Profile Tab</t>
  </si>
  <si>
    <t>If Applicable to Portfolio . Then Select</t>
  </si>
  <si>
    <t>Click Multiple Targets Button</t>
  </si>
  <si>
    <t>Switch Targets Detail Screen is displayed</t>
  </si>
  <si>
    <t>Select the Investor Code of the Client</t>
  </si>
  <si>
    <t>Select the Recipient Portfolio</t>
  </si>
  <si>
    <t>Enter the Amount OR Quantity</t>
  </si>
  <si>
    <t>Profile Screen Displayed</t>
  </si>
  <si>
    <t>Switch Processed</t>
  </si>
  <si>
    <t>Click the Porfolio Sending the Money</t>
  </si>
  <si>
    <t>Gross Amount: Amount Sent</t>
  </si>
  <si>
    <t>Units: Value in units</t>
  </si>
  <si>
    <t xml:space="preserve">Verification -  Transaction History </t>
  </si>
  <si>
    <t>Sending Portfolio</t>
  </si>
  <si>
    <t>Recipient Portfolio</t>
  </si>
  <si>
    <t>(Recipient Portfolio)</t>
  </si>
  <si>
    <t>(SMM70)</t>
  </si>
  <si>
    <t>Not to be selected here</t>
  </si>
  <si>
    <t>Tranasction:SWITCH TO &lt;Investor Code&gt; (410)</t>
  </si>
  <si>
    <t>Tranasction:SWITCH FROM &lt;Investor Code&gt; (411)</t>
  </si>
  <si>
    <t>Reverse Switch Transaction</t>
  </si>
  <si>
    <t>Path:Unit Transactions &gt; Switch &gt; Switch \Transfer Reversal &gt;  Select Switch Reversal Screen Dsiplayed</t>
  </si>
  <si>
    <t>Switch Reversal Screen Dsiplayed</t>
  </si>
  <si>
    <t>Select Latest &gt; Click Search Button</t>
  </si>
  <si>
    <t>Transaction List displayed</t>
  </si>
  <si>
    <t>Select Transaction to Be Reversed</t>
  </si>
  <si>
    <t>Selected</t>
  </si>
  <si>
    <t>Click Reverse Transaction Button</t>
  </si>
  <si>
    <t>Reversal Reason Input Box displayed</t>
  </si>
  <si>
    <t xml:space="preserve">Provide Reason </t>
  </si>
  <si>
    <t>Transaction is Reversed</t>
  </si>
  <si>
    <t>NB:For each Recipient Portfolio</t>
  </si>
  <si>
    <t>This must be performed for each Fund</t>
  </si>
  <si>
    <t>If this it was a multiple Switch transfer then select only one of the recipient Portfolios to be reversed</t>
  </si>
  <si>
    <t>Click the Porfolio Sent the Money</t>
  </si>
  <si>
    <t>Tranasction:SWITCH REVERSED (250/21)</t>
  </si>
  <si>
    <t>Tranasction:SWITCH IN REVERSED (940/21)</t>
  </si>
  <si>
    <t>Refer to Accounting Smoothed Bonus Switches - Investment Switch In</t>
  </si>
  <si>
    <t>The Accounting Must be verified - Cr GF902,
Dr EA518,Cr GP005,Dr GP003,Cr GH000,Dr JE002</t>
  </si>
  <si>
    <t xml:space="preserve">Please note that the Acounting for Reversal displays all the Accounting in reversed </t>
  </si>
  <si>
    <t>Refer to Accounting Smoothed Bonus Switches -  Switch Out</t>
  </si>
  <si>
    <t>The Accounting Must be verified - Cr EA518,
Dr GF902,Cr GP003,Dr GP005,Cr JE003,Dr GH000</t>
  </si>
  <si>
    <t xml:space="preserve"> Click Payment Instruction Button</t>
  </si>
  <si>
    <t>Clicked</t>
  </si>
  <si>
    <t>GOTO AUTHORIZE AND APPLY STEP</t>
  </si>
  <si>
    <r>
      <t xml:space="preserve">Transaction: Termination </t>
    </r>
    <r>
      <rPr>
        <sz val="10"/>
        <color theme="1"/>
        <rFont val="Arial"/>
        <family val="2"/>
      </rPr>
      <t>(201/81)</t>
    </r>
  </si>
  <si>
    <t>On the Client Info to the right</t>
  </si>
  <si>
    <t>GOTO</t>
  </si>
  <si>
    <t>REVERSAL STEP 2.0119</t>
  </si>
  <si>
    <r>
      <t xml:space="preserve">Dropdown Selection 
</t>
    </r>
    <r>
      <rPr>
        <b/>
        <sz val="10"/>
        <color theme="1"/>
        <rFont val="Arial"/>
        <family val="2"/>
      </rPr>
      <t xml:space="preserve">   Payment Type - NB: These steps are applicable to each section / payment type below </t>
    </r>
    <r>
      <rPr>
        <sz val="10"/>
        <color theme="1"/>
        <rFont val="Arial"/>
        <family val="2"/>
      </rPr>
      <t xml:space="preserve">
</t>
    </r>
  </si>
  <si>
    <t xml:space="preserve"> Payment Type - PAYMENT TO SANLAM GROUP SEED CAPITAL</t>
  </si>
  <si>
    <t xml:space="preserve"> Payment Type - PAYMENT TO SANLAM GROUP PROVIDER PENSION</t>
  </si>
  <si>
    <t>2.0089 Payment Type - Asset Transfer</t>
  </si>
  <si>
    <t>Payment Type - EFT ABSA</t>
  </si>
  <si>
    <t xml:space="preserve">Dropdown Selection 
   Payment Type - EFT ABSA
  </t>
  </si>
  <si>
    <t>2.0106  Payment Type - Other</t>
  </si>
  <si>
    <t>2.0125 Payment Type - EFT ABSA</t>
  </si>
  <si>
    <t>Perform Reverse Repurchase</t>
  </si>
  <si>
    <t>Reversal Executed</t>
  </si>
  <si>
    <t>Repeat from 2.0000 Step Until 2.0026</t>
  </si>
  <si>
    <t>Repeat from 2.0000 Step Until 2.0029</t>
  </si>
  <si>
    <t>Repeat from 2.0006 Step Until 2.0027</t>
  </si>
  <si>
    <t>EFT ABSA</t>
  </si>
  <si>
    <t>Tranasction: Terminations (201/81)</t>
  </si>
  <si>
    <t>IF APPLICABLE</t>
  </si>
  <si>
    <t>Tranasction: Asset Transfer (201/69)</t>
  </si>
  <si>
    <t>Gross Amount: Displays the new Amount</t>
  </si>
  <si>
    <t>Navigate - Administrator &gt; Authorize Transactions . Repurchases</t>
  </si>
  <si>
    <t>Repurchases Screen Is loaded</t>
  </si>
  <si>
    <t xml:space="preserve">Select Portfolio: i.e STABLE BONUS If not available, use another option
</t>
  </si>
  <si>
    <t>If one does not exist use any other Smooth Bonus</t>
  </si>
  <si>
    <t>If Applicable</t>
  </si>
  <si>
    <t>Depending if Market Value or Guarenteed</t>
  </si>
  <si>
    <t>market  Value</t>
  </si>
  <si>
    <t>Gurenteed</t>
  </si>
  <si>
    <t>REPURCHASE REVERSED (250)</t>
  </si>
  <si>
    <r>
      <t xml:space="preserve">Listed Items: Select </t>
    </r>
    <r>
      <rPr>
        <b/>
        <sz val="10"/>
        <color theme="1"/>
        <rFont val="Arial"/>
        <family val="2"/>
      </rPr>
      <t xml:space="preserve">Invest SEB RFA (05) </t>
    </r>
    <r>
      <rPr>
        <sz val="10"/>
        <color theme="1"/>
        <rFont val="Arial"/>
        <family val="2"/>
      </rPr>
      <t xml:space="preserve"> from the list of items</t>
    </r>
  </si>
  <si>
    <r>
      <t xml:space="preserve">Enter the Deposit Number for </t>
    </r>
    <r>
      <rPr>
        <b/>
        <sz val="10"/>
        <color theme="1"/>
        <rFont val="Arial"/>
        <family val="2"/>
      </rPr>
      <t xml:space="preserve">Invest SEB RFA (05)  </t>
    </r>
  </si>
  <si>
    <r>
      <t xml:space="preserve">                             Source </t>
    </r>
    <r>
      <rPr>
        <b/>
        <sz val="10"/>
        <color theme="1"/>
        <rFont val="Arial"/>
        <family val="2"/>
      </rPr>
      <t>: 05</t>
    </r>
  </si>
  <si>
    <r>
      <t>Transaction:</t>
    </r>
    <r>
      <rPr>
        <sz val="10"/>
        <color theme="1"/>
        <rFont val="Arial"/>
        <family val="2"/>
      </rPr>
      <t xml:space="preserve"> Invest SEB RFA (970/05)</t>
    </r>
  </si>
  <si>
    <r>
      <t xml:space="preserve">                             </t>
    </r>
    <r>
      <rPr>
        <b/>
        <sz val="10"/>
        <color theme="1"/>
        <rFont val="Arial"/>
        <family val="2"/>
      </rPr>
      <t>Source : 05</t>
    </r>
  </si>
  <si>
    <r>
      <t>Transaction:</t>
    </r>
    <r>
      <rPr>
        <sz val="10"/>
        <color theme="1"/>
        <rFont val="Arial"/>
        <family val="2"/>
      </rPr>
      <t xml:space="preserve"> Invest SEB RFA (970/18)</t>
    </r>
  </si>
  <si>
    <t>Recurring Cash</t>
  </si>
  <si>
    <t>LumpSum or Invest Seb RFA (05)</t>
  </si>
  <si>
    <t>Recur Cash Reversal (940/18)</t>
  </si>
  <si>
    <r>
      <t xml:space="preserve">                             </t>
    </r>
    <r>
      <rPr>
        <b/>
        <sz val="10"/>
        <color theme="1"/>
        <rFont val="Arial"/>
        <family val="2"/>
      </rPr>
      <t>Source : 18</t>
    </r>
  </si>
  <si>
    <t>Switch Reversal</t>
  </si>
  <si>
    <t>Remember when you are loading prices, you need to ensure that both price dates for target and from portfolios are the same so if target was loaded with yesterdays date, you need to load prices for the from portfolio for yesterday</t>
  </si>
  <si>
    <t>pass</t>
  </si>
  <si>
    <t>Internal - Repurchase Normal</t>
  </si>
  <si>
    <t>TEST Provider (27)</t>
  </si>
  <si>
    <t>TEST SED (29)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</si>
</sst>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R&quot;\ #,##0.00;[Red]&quot;R&quot;\ \-#,##0.00"/>
    <numFmt numFmtId="164" formatCode="0.0000"/>
    <numFmt numFmtId="165" formatCode="0.0"/>
  </numFmts>
  <fonts count="19" x14ac:knownFonts="1">
    <font>
      <sz val="11"/>
      <color theme="1"/>
      <name val="Calibri"/>
      <family val="2"/>
      <scheme val="minor"/>
    </font>
    <font>
      <sz val="10"/>
      <color theme="1"/>
      <name val="Arial"/>
      <family val="2"/>
    </font>
    <font>
      <b/>
      <sz val="11"/>
      <color theme="1"/>
      <name val="Arial"/>
      <family val="2"/>
    </font>
    <font>
      <b/>
      <sz val="11"/>
      <color theme="1"/>
      <name val="Calibri"/>
      <family val="2"/>
      <scheme val="minor"/>
    </font>
    <font>
      <b/>
      <sz val="11"/>
      <color theme="0"/>
      <name val="Calibri"/>
      <family val="2"/>
      <scheme val="minor"/>
    </font>
    <font>
      <b/>
      <sz val="10"/>
      <color theme="0"/>
      <name val="Arial"/>
      <family val="2"/>
    </font>
    <font>
      <b/>
      <sz val="10"/>
      <color theme="1"/>
      <name val="Arial"/>
      <family val="2"/>
    </font>
    <font>
      <sz val="10"/>
      <name val="Arial"/>
      <family val="2"/>
    </font>
    <font>
      <b/>
      <sz val="10"/>
      <name val="Arial"/>
      <family val="2"/>
    </font>
    <font>
      <sz val="11"/>
      <color rgb="FF000000"/>
      <name val="Verdana"/>
      <family val="2"/>
    </font>
    <font>
      <sz val="11"/>
      <color rgb="FF000000"/>
      <name val="Calibri"/>
      <family val="2"/>
    </font>
    <font>
      <sz val="9"/>
      <color theme="1"/>
      <name val="Arial"/>
      <family val="2"/>
    </font>
    <font>
      <sz val="9"/>
      <name val="Verdana"/>
      <family val="2"/>
    </font>
    <font>
      <b/>
      <sz val="9"/>
      <name val="Verdana"/>
      <family val="2"/>
    </font>
    <font>
      <b/>
      <sz val="12"/>
      <color theme="1"/>
      <name val="Calibri"/>
      <family val="2"/>
      <scheme val="minor"/>
    </font>
    <font>
      <b/>
      <sz val="11"/>
      <name val="Calibri"/>
      <family val="2"/>
      <scheme val="minor"/>
    </font>
    <font>
      <b/>
      <sz val="11"/>
      <name val="Arial"/>
      <family val="2"/>
    </font>
    <font>
      <sz val="11"/>
      <name val="Calibri"/>
      <family val="2"/>
      <scheme val="minor"/>
    </font>
    <font>
      <b/>
      <sz val="12"/>
      <name val="Calibri"/>
      <family val="2"/>
      <scheme val="minor"/>
    </font>
  </fonts>
  <fills count="10">
    <fill>
      <patternFill patternType="none"/>
    </fill>
    <fill>
      <patternFill patternType="gray125"/>
    </fill>
    <fill>
      <patternFill patternType="solid">
        <fgColor rgb="FFE0E0E0"/>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4" tint="0.39997558519241921"/>
        <bgColor indexed="64"/>
      </patternFill>
    </fill>
  </fills>
  <borders count="13">
    <border>
      <left/>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right/>
      <top/>
      <bottom style="double">
        <color indexed="64"/>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24">
    <xf numFmtId="0" fontId="0" fillId="0" borderId="0" xfId="0"/>
    <xf numFmtId="0" fontId="0" fillId="0" borderId="0" xfId="0" applyAlignment="1">
      <alignment wrapText="1"/>
    </xf>
    <xf numFmtId="0" fontId="3" fillId="0" borderId="1" xfId="0" applyFont="1" applyBorder="1" applyAlignment="1">
      <alignment wrapText="1"/>
    </xf>
    <xf numFmtId="0" fontId="0" fillId="3" borderId="0" xfId="0" applyFill="1"/>
    <xf numFmtId="164" fontId="0" fillId="0" borderId="0" xfId="0" applyNumberFormat="1" applyAlignment="1">
      <alignment wrapText="1"/>
    </xf>
    <xf numFmtId="164" fontId="1" fillId="3" borderId="2" xfId="0" applyNumberFormat="1" applyFont="1" applyFill="1" applyBorder="1" applyAlignment="1">
      <alignment vertical="center" wrapText="1"/>
    </xf>
    <xf numFmtId="0" fontId="1" fillId="3" borderId="2" xfId="0" applyFont="1" applyFill="1" applyBorder="1" applyAlignment="1">
      <alignment vertical="center" wrapText="1"/>
    </xf>
    <xf numFmtId="0" fontId="1" fillId="0" borderId="2" xfId="0" applyFont="1" applyBorder="1" applyAlignment="1">
      <alignment vertical="center" wrapText="1"/>
    </xf>
    <xf numFmtId="0" fontId="0" fillId="0" borderId="2" xfId="0" applyBorder="1" applyAlignment="1">
      <alignment wrapText="1"/>
    </xf>
    <xf numFmtId="0" fontId="1" fillId="3" borderId="2" xfId="0" applyFont="1" applyFill="1" applyBorder="1" applyAlignment="1">
      <alignment horizontal="left" vertical="center" wrapText="1"/>
    </xf>
    <xf numFmtId="164" fontId="2" fillId="2" borderId="2" xfId="0" applyNumberFormat="1" applyFont="1" applyFill="1" applyBorder="1" applyAlignment="1">
      <alignment wrapText="1"/>
    </xf>
    <xf numFmtId="0" fontId="2" fillId="2" borderId="2" xfId="0" applyFont="1" applyFill="1" applyBorder="1" applyAlignment="1">
      <alignment wrapText="1"/>
    </xf>
    <xf numFmtId="0" fontId="2" fillId="2" borderId="2" xfId="0" applyFont="1" applyFill="1" applyBorder="1" applyAlignment="1">
      <alignment horizontal="center" wrapText="1"/>
    </xf>
    <xf numFmtId="0" fontId="2"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164" fontId="5" fillId="5" borderId="2" xfId="0" applyNumberFormat="1" applyFont="1" applyFill="1" applyBorder="1" applyAlignment="1">
      <alignment vertical="center" wrapText="1"/>
    </xf>
    <xf numFmtId="0" fontId="5" fillId="5" borderId="2" xfId="0" applyFont="1" applyFill="1" applyBorder="1" applyAlignment="1">
      <alignment vertical="center" wrapText="1"/>
    </xf>
    <xf numFmtId="0" fontId="5" fillId="5" borderId="2" xfId="0" applyFont="1" applyFill="1" applyBorder="1" applyAlignment="1">
      <alignment horizontal="left" vertical="center" wrapText="1"/>
    </xf>
    <xf numFmtId="0" fontId="4" fillId="5" borderId="2" xfId="0" applyFont="1" applyFill="1" applyBorder="1" applyAlignment="1">
      <alignment wrapText="1"/>
    </xf>
    <xf numFmtId="0" fontId="3" fillId="0" borderId="0" xfId="0" applyFont="1" applyAlignment="1">
      <alignment wrapText="1"/>
    </xf>
    <xf numFmtId="0" fontId="1" fillId="0" borderId="2" xfId="0" quotePrefix="1" applyFont="1" applyBorder="1" applyAlignment="1">
      <alignment vertical="center" wrapText="1"/>
    </xf>
    <xf numFmtId="0" fontId="1" fillId="3" borderId="4" xfId="0" applyFont="1" applyFill="1" applyBorder="1" applyAlignment="1">
      <alignment horizontal="left" vertical="center" wrapText="1"/>
    </xf>
    <xf numFmtId="0" fontId="1" fillId="3" borderId="4" xfId="0" applyFont="1" applyFill="1" applyBorder="1" applyAlignment="1">
      <alignment vertical="center" wrapText="1"/>
    </xf>
    <xf numFmtId="0" fontId="1" fillId="3" borderId="4" xfId="0" quotePrefix="1" applyFont="1" applyFill="1" applyBorder="1" applyAlignment="1">
      <alignment vertical="center" wrapText="1"/>
    </xf>
    <xf numFmtId="0" fontId="1" fillId="3" borderId="9" xfId="0" applyFont="1" applyFill="1" applyBorder="1" applyAlignment="1">
      <alignment vertical="center" wrapText="1"/>
    </xf>
    <xf numFmtId="0" fontId="1" fillId="3" borderId="0" xfId="0" applyFont="1" applyFill="1" applyBorder="1" applyAlignment="1">
      <alignment vertical="center" wrapText="1"/>
    </xf>
    <xf numFmtId="0" fontId="6" fillId="3" borderId="2" xfId="0" applyFont="1" applyFill="1" applyBorder="1" applyAlignment="1">
      <alignment vertical="center" wrapText="1"/>
    </xf>
    <xf numFmtId="0" fontId="1" fillId="3" borderId="2" xfId="0" applyFont="1" applyFill="1" applyBorder="1" applyAlignment="1">
      <alignment horizontal="left" vertical="center" wrapText="1" indent="1"/>
    </xf>
    <xf numFmtId="0" fontId="6" fillId="3" borderId="7" xfId="0" applyFont="1" applyFill="1" applyBorder="1" applyAlignment="1">
      <alignment vertical="center" wrapText="1"/>
    </xf>
    <xf numFmtId="0" fontId="6" fillId="3" borderId="4" xfId="0" applyFont="1" applyFill="1" applyBorder="1" applyAlignment="1">
      <alignment horizontal="left" vertical="center" wrapText="1"/>
    </xf>
    <xf numFmtId="0" fontId="3" fillId="0" borderId="8" xfId="0" applyFont="1" applyBorder="1" applyAlignment="1">
      <alignment wrapText="1"/>
    </xf>
    <xf numFmtId="0" fontId="6" fillId="0" borderId="2" xfId="0" applyFont="1" applyBorder="1" applyAlignment="1">
      <alignment vertical="center" wrapText="1"/>
    </xf>
    <xf numFmtId="164" fontId="1" fillId="3" borderId="0" xfId="0" applyNumberFormat="1" applyFont="1" applyFill="1" applyBorder="1" applyAlignment="1">
      <alignment vertical="center" wrapText="1"/>
    </xf>
    <xf numFmtId="0" fontId="1" fillId="0" borderId="0" xfId="0" applyFont="1" applyBorder="1" applyAlignment="1">
      <alignment vertical="center" wrapText="1"/>
    </xf>
    <xf numFmtId="0" fontId="0" fillId="0" borderId="0" xfId="0" applyBorder="1" applyAlignment="1">
      <alignment wrapText="1"/>
    </xf>
    <xf numFmtId="0" fontId="0" fillId="0" borderId="10" xfId="0" applyBorder="1" applyAlignment="1">
      <alignment wrapText="1"/>
    </xf>
    <xf numFmtId="0" fontId="2" fillId="0" borderId="2" xfId="0" applyFont="1" applyFill="1" applyBorder="1" applyAlignment="1">
      <alignment wrapText="1"/>
    </xf>
    <xf numFmtId="0" fontId="2" fillId="0" borderId="2" xfId="0" applyFont="1" applyFill="1" applyBorder="1" applyAlignment="1">
      <alignment horizontal="center" wrapText="1"/>
    </xf>
    <xf numFmtId="0" fontId="0" fillId="0" borderId="0" xfId="0" applyFill="1" applyAlignment="1">
      <alignment wrapText="1"/>
    </xf>
    <xf numFmtId="164" fontId="2" fillId="6" borderId="2" xfId="0" applyNumberFormat="1" applyFont="1" applyFill="1" applyBorder="1" applyAlignment="1">
      <alignment wrapText="1"/>
    </xf>
    <xf numFmtId="0" fontId="2" fillId="6" borderId="2" xfId="0" applyFont="1" applyFill="1" applyBorder="1" applyAlignment="1">
      <alignment horizontal="center" wrapText="1"/>
    </xf>
    <xf numFmtId="0" fontId="7" fillId="0" borderId="2" xfId="0" applyFont="1" applyFill="1" applyBorder="1" applyAlignment="1">
      <alignment vertical="center" wrapText="1"/>
    </xf>
    <xf numFmtId="0" fontId="7" fillId="0" borderId="2" xfId="0" applyFont="1" applyFill="1" applyBorder="1" applyAlignment="1">
      <alignment horizontal="left" vertical="center" wrapText="1"/>
    </xf>
    <xf numFmtId="0" fontId="5" fillId="5" borderId="5" xfId="0" applyFont="1" applyFill="1" applyBorder="1" applyAlignment="1">
      <alignment horizontal="left" vertical="center" indent="1"/>
    </xf>
    <xf numFmtId="0" fontId="7" fillId="0" borderId="2" xfId="0" applyFont="1" applyFill="1" applyBorder="1" applyAlignment="1">
      <alignment horizontal="left" vertical="center" indent="1"/>
    </xf>
    <xf numFmtId="0" fontId="5" fillId="0" borderId="5" xfId="0" applyFont="1" applyFill="1" applyBorder="1" applyAlignment="1">
      <alignment horizontal="left" vertical="center" indent="1"/>
    </xf>
    <xf numFmtId="0" fontId="5" fillId="0" borderId="2" xfId="0" applyFont="1" applyFill="1" applyBorder="1" applyAlignment="1">
      <alignment horizontal="left" vertical="center" wrapText="1"/>
    </xf>
    <xf numFmtId="0" fontId="8" fillId="5" borderId="2" xfId="0" applyFont="1" applyFill="1" applyBorder="1" applyAlignment="1">
      <alignment horizontal="left" vertical="center" indent="2"/>
    </xf>
    <xf numFmtId="0" fontId="8" fillId="5" borderId="2" xfId="0" applyFont="1" applyFill="1" applyBorder="1" applyAlignment="1">
      <alignment horizontal="left" vertical="center" wrapText="1"/>
    </xf>
    <xf numFmtId="0" fontId="5" fillId="0" borderId="2" xfId="0" applyFont="1" applyFill="1" applyBorder="1" applyAlignment="1">
      <alignment vertical="center" wrapText="1"/>
    </xf>
    <xf numFmtId="0" fontId="1" fillId="0" borderId="2" xfId="0" applyFont="1" applyFill="1" applyBorder="1" applyAlignment="1">
      <alignment vertical="center" wrapText="1"/>
    </xf>
    <xf numFmtId="0" fontId="2" fillId="2" borderId="2" xfId="0" applyFont="1" applyFill="1" applyBorder="1" applyAlignment="1">
      <alignment horizontal="left" wrapText="1"/>
    </xf>
    <xf numFmtId="0" fontId="2" fillId="6" borderId="2" xfId="0" applyFont="1" applyFill="1" applyBorder="1" applyAlignment="1">
      <alignment horizontal="left" wrapText="1"/>
    </xf>
    <xf numFmtId="0" fontId="1" fillId="0" borderId="2" xfId="0" applyFont="1" applyBorder="1" applyAlignment="1">
      <alignment horizontal="left" vertical="center" wrapText="1"/>
    </xf>
    <xf numFmtId="0" fontId="1" fillId="0" borderId="2" xfId="0" quotePrefix="1" applyFont="1" applyBorder="1" applyAlignment="1">
      <alignment horizontal="left" vertical="center" wrapText="1"/>
    </xf>
    <xf numFmtId="0" fontId="0" fillId="0" borderId="2" xfId="0" applyBorder="1" applyAlignment="1">
      <alignment horizontal="left" wrapText="1"/>
    </xf>
    <xf numFmtId="0" fontId="0" fillId="0" borderId="0" xfId="0" applyAlignment="1">
      <alignment horizontal="left" wrapText="1"/>
    </xf>
    <xf numFmtId="0" fontId="9" fillId="0" borderId="0" xfId="0" applyFont="1"/>
    <xf numFmtId="0" fontId="4" fillId="0" borderId="2" xfId="0" applyFont="1" applyFill="1" applyBorder="1" applyAlignment="1">
      <alignment wrapText="1"/>
    </xf>
    <xf numFmtId="0" fontId="1" fillId="7" borderId="2" xfId="0" applyFont="1" applyFill="1" applyBorder="1" applyAlignment="1">
      <alignment vertical="center" wrapText="1"/>
    </xf>
    <xf numFmtId="0" fontId="1" fillId="7" borderId="4" xfId="0" applyFont="1" applyFill="1" applyBorder="1" applyAlignment="1">
      <alignment vertical="center" wrapText="1"/>
    </xf>
    <xf numFmtId="0" fontId="6" fillId="7" borderId="2" xfId="0" applyFont="1" applyFill="1" applyBorder="1" applyAlignment="1">
      <alignment vertical="center" wrapText="1"/>
    </xf>
    <xf numFmtId="0" fontId="6" fillId="0" borderId="2" xfId="0" applyFont="1" applyFill="1" applyBorder="1" applyAlignment="1">
      <alignment horizontal="left" vertical="center" wrapText="1" indent="1"/>
    </xf>
    <xf numFmtId="0" fontId="6" fillId="0" borderId="4" xfId="0" applyFont="1" applyFill="1" applyBorder="1" applyAlignment="1">
      <alignment horizontal="left" vertical="center" wrapText="1"/>
    </xf>
    <xf numFmtId="0" fontId="0" fillId="7" borderId="2" xfId="0" applyFill="1" applyBorder="1" applyAlignment="1">
      <alignment wrapText="1"/>
    </xf>
    <xf numFmtId="0" fontId="6" fillId="8" borderId="2" xfId="0" applyFont="1" applyFill="1" applyBorder="1" applyAlignment="1">
      <alignment vertical="center" wrapText="1"/>
    </xf>
    <xf numFmtId="0" fontId="6" fillId="8" borderId="4" xfId="0" applyFont="1" applyFill="1" applyBorder="1" applyAlignment="1">
      <alignment vertical="center" wrapText="1"/>
    </xf>
    <xf numFmtId="0" fontId="3" fillId="8" borderId="2" xfId="0" applyFont="1" applyFill="1" applyBorder="1" applyAlignment="1">
      <alignment wrapText="1"/>
    </xf>
    <xf numFmtId="0" fontId="6" fillId="0" borderId="2" xfId="0" applyFont="1" applyFill="1" applyBorder="1" applyAlignment="1">
      <alignment vertical="center" wrapText="1"/>
    </xf>
    <xf numFmtId="0" fontId="6" fillId="0" borderId="4" xfId="0" applyFont="1" applyFill="1" applyBorder="1" applyAlignment="1">
      <alignment vertical="center" wrapText="1"/>
    </xf>
    <xf numFmtId="0" fontId="3" fillId="0" borderId="2" xfId="0" applyFont="1" applyFill="1" applyBorder="1" applyAlignment="1">
      <alignment wrapText="1"/>
    </xf>
    <xf numFmtId="0" fontId="3" fillId="0" borderId="2" xfId="0" applyFont="1" applyBorder="1" applyAlignment="1">
      <alignment wrapText="1"/>
    </xf>
    <xf numFmtId="0" fontId="6" fillId="7" borderId="4" xfId="0" applyFont="1" applyFill="1" applyBorder="1" applyAlignment="1">
      <alignment vertical="center" wrapText="1"/>
    </xf>
    <xf numFmtId="0" fontId="3" fillId="0" borderId="0" xfId="0" applyFont="1" applyFill="1" applyAlignment="1">
      <alignment wrapText="1"/>
    </xf>
    <xf numFmtId="0" fontId="1" fillId="7" borderId="2" xfId="0" applyFont="1" applyFill="1" applyBorder="1" applyAlignment="1">
      <alignment vertical="top" wrapText="1"/>
    </xf>
    <xf numFmtId="0" fontId="2" fillId="2" borderId="2" xfId="0" applyFont="1" applyFill="1" applyBorder="1" applyAlignment="1">
      <alignment horizontal="left" vertical="center" wrapText="1"/>
    </xf>
    <xf numFmtId="165" fontId="5" fillId="5" borderId="2" xfId="0" applyNumberFormat="1" applyFont="1" applyFill="1" applyBorder="1" applyAlignment="1">
      <alignment vertical="center" wrapText="1"/>
    </xf>
    <xf numFmtId="164" fontId="6" fillId="5" borderId="2" xfId="0" applyNumberFormat="1" applyFont="1" applyFill="1" applyBorder="1" applyAlignment="1">
      <alignment vertical="center" wrapText="1"/>
    </xf>
    <xf numFmtId="0" fontId="11" fillId="0" borderId="0" xfId="0" applyFont="1"/>
    <xf numFmtId="0" fontId="12" fillId="0" borderId="2" xfId="0" applyFont="1" applyBorder="1" applyAlignment="1">
      <alignment horizontal="left" vertical="top" wrapText="1"/>
    </xf>
    <xf numFmtId="0" fontId="12" fillId="0" borderId="2" xfId="0" applyFont="1" applyFill="1" applyBorder="1" applyAlignment="1">
      <alignment horizontal="left" vertical="top" wrapText="1"/>
    </xf>
    <xf numFmtId="164" fontId="1" fillId="0" borderId="2" xfId="0" applyNumberFormat="1" applyFont="1" applyFill="1" applyBorder="1" applyAlignment="1">
      <alignment vertical="center" wrapText="1"/>
    </xf>
    <xf numFmtId="0" fontId="0" fillId="0" borderId="2" xfId="0" applyFill="1" applyBorder="1" applyAlignment="1">
      <alignment wrapText="1"/>
    </xf>
    <xf numFmtId="0" fontId="14" fillId="0" borderId="1" xfId="0" applyFont="1" applyBorder="1" applyAlignment="1">
      <alignment wrapText="1"/>
    </xf>
    <xf numFmtId="10" fontId="0" fillId="0" borderId="0" xfId="0" applyNumberFormat="1" applyAlignment="1">
      <alignment wrapText="1"/>
    </xf>
    <xf numFmtId="10" fontId="3" fillId="0" borderId="1" xfId="0" applyNumberFormat="1" applyFont="1" applyBorder="1" applyAlignment="1">
      <alignment wrapText="1"/>
    </xf>
    <xf numFmtId="0" fontId="2" fillId="6" borderId="2" xfId="0" applyFont="1" applyFill="1" applyBorder="1" applyAlignment="1">
      <alignment wrapText="1"/>
    </xf>
    <xf numFmtId="0" fontId="0" fillId="6" borderId="0" xfId="0" applyFill="1" applyAlignment="1">
      <alignment wrapText="1"/>
    </xf>
    <xf numFmtId="165" fontId="1" fillId="0" borderId="2" xfId="0" applyNumberFormat="1" applyFont="1" applyFill="1" applyBorder="1" applyAlignment="1">
      <alignment vertical="center" wrapText="1"/>
    </xf>
    <xf numFmtId="0" fontId="1" fillId="0" borderId="2" xfId="0" applyFont="1" applyFill="1" applyBorder="1" applyAlignment="1">
      <alignment horizontal="left" vertical="center" wrapText="1"/>
    </xf>
    <xf numFmtId="164" fontId="6" fillId="0" borderId="2" xfId="0" applyNumberFormat="1" applyFont="1" applyFill="1" applyBorder="1" applyAlignment="1">
      <alignment vertical="center" wrapText="1"/>
    </xf>
    <xf numFmtId="164" fontId="6" fillId="3" borderId="2" xfId="0" applyNumberFormat="1" applyFont="1" applyFill="1" applyBorder="1" applyAlignment="1">
      <alignment vertical="center" wrapText="1"/>
    </xf>
    <xf numFmtId="164" fontId="8" fillId="0" borderId="2" xfId="0" applyNumberFormat="1" applyFont="1" applyFill="1" applyBorder="1" applyAlignment="1">
      <alignment vertical="center" wrapText="1"/>
    </xf>
    <xf numFmtId="0" fontId="8" fillId="0" borderId="2" xfId="0" applyFont="1" applyFill="1" applyBorder="1" applyAlignment="1">
      <alignment vertical="center" wrapText="1"/>
    </xf>
    <xf numFmtId="0" fontId="8" fillId="0" borderId="2" xfId="0" applyFont="1" applyFill="1" applyBorder="1" applyAlignment="1">
      <alignment horizontal="left" vertical="center" wrapText="1"/>
    </xf>
    <xf numFmtId="0" fontId="15" fillId="0" borderId="0" xfId="0" applyFont="1" applyFill="1" applyAlignment="1">
      <alignment wrapText="1"/>
    </xf>
    <xf numFmtId="164" fontId="5" fillId="9" borderId="2" xfId="0" applyNumberFormat="1" applyFont="1" applyFill="1" applyBorder="1" applyAlignment="1">
      <alignment vertical="center" wrapText="1"/>
    </xf>
    <xf numFmtId="0" fontId="13" fillId="9" borderId="2" xfId="0" applyFont="1" applyFill="1" applyBorder="1" applyAlignment="1">
      <alignment horizontal="left" vertical="top" wrapText="1"/>
    </xf>
    <xf numFmtId="0" fontId="1" fillId="7" borderId="4" xfId="0" applyFont="1" applyFill="1" applyBorder="1" applyAlignment="1">
      <alignment horizontal="left" vertical="center" wrapText="1"/>
    </xf>
    <xf numFmtId="0" fontId="0" fillId="0" borderId="2" xfId="0" applyFont="1" applyFill="1" applyBorder="1" applyAlignment="1">
      <alignment wrapText="1"/>
    </xf>
    <xf numFmtId="8" fontId="1" fillId="0" borderId="2" xfId="0" applyNumberFormat="1" applyFont="1" applyBorder="1" applyAlignment="1">
      <alignment horizontal="left" vertical="center" wrapText="1"/>
    </xf>
    <xf numFmtId="0" fontId="1" fillId="3" borderId="4" xfId="0" applyFont="1" applyFill="1" applyBorder="1" applyAlignment="1">
      <alignment horizontal="left" vertical="top" wrapText="1"/>
    </xf>
    <xf numFmtId="0" fontId="2" fillId="6" borderId="3" xfId="0" applyFont="1" applyFill="1" applyBorder="1" applyAlignment="1">
      <alignment horizontal="center" wrapText="1"/>
    </xf>
    <xf numFmtId="0" fontId="2" fillId="6" borderId="4" xfId="0" applyFont="1" applyFill="1" applyBorder="1" applyAlignment="1">
      <alignment horizontal="center" wrapText="1"/>
    </xf>
    <xf numFmtId="0" fontId="0" fillId="0" borderId="4" xfId="0" applyBorder="1" applyAlignment="1">
      <alignment horizontal="center" wrapText="1"/>
    </xf>
    <xf numFmtId="0" fontId="2" fillId="6" borderId="6" xfId="0" applyFont="1" applyFill="1" applyBorder="1" applyAlignment="1">
      <alignment horizontal="center" wrapText="1"/>
    </xf>
    <xf numFmtId="164" fontId="2" fillId="2" borderId="3" xfId="0" applyNumberFormat="1" applyFont="1" applyFill="1" applyBorder="1" applyAlignment="1"/>
    <xf numFmtId="0" fontId="0" fillId="0" borderId="6" xfId="0" applyBorder="1" applyAlignment="1"/>
    <xf numFmtId="0" fontId="0" fillId="0" borderId="4" xfId="0" applyBorder="1" applyAlignment="1"/>
    <xf numFmtId="164" fontId="2" fillId="6" borderId="3" xfId="0" applyNumberFormat="1" applyFont="1" applyFill="1" applyBorder="1" applyAlignment="1">
      <alignment wrapText="1"/>
    </xf>
    <xf numFmtId="0" fontId="0" fillId="6" borderId="6" xfId="0" applyFill="1" applyBorder="1" applyAlignment="1">
      <alignment wrapText="1"/>
    </xf>
    <xf numFmtId="0" fontId="0" fillId="6" borderId="4" xfId="0" applyFill="1" applyBorder="1" applyAlignment="1">
      <alignment wrapText="1"/>
    </xf>
    <xf numFmtId="0" fontId="0" fillId="0" borderId="5"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16" fillId="2" borderId="2" xfId="0" applyFont="1" applyFill="1" applyBorder="1" applyAlignment="1">
      <alignment horizontal="center" wrapText="1"/>
    </xf>
    <xf numFmtId="0" fontId="16" fillId="6" borderId="2" xfId="0" applyFont="1" applyFill="1" applyBorder="1" applyAlignment="1">
      <alignment horizontal="center" wrapText="1"/>
    </xf>
    <xf numFmtId="0" fontId="15" fillId="5" borderId="2" xfId="0" applyFont="1" applyFill="1" applyBorder="1" applyAlignment="1">
      <alignment wrapText="1"/>
    </xf>
    <xf numFmtId="0" fontId="15" fillId="0" borderId="2" xfId="0" applyFont="1" applyFill="1" applyBorder="1" applyAlignment="1">
      <alignment wrapText="1"/>
    </xf>
    <xf numFmtId="0" fontId="17" fillId="0" borderId="2" xfId="0" applyFont="1" applyBorder="1" applyAlignment="1">
      <alignment wrapText="1"/>
    </xf>
    <xf numFmtId="0" fontId="17" fillId="0" borderId="2" xfId="0" applyFont="1" applyFill="1" applyBorder="1" applyAlignment="1">
      <alignment wrapText="1"/>
    </xf>
    <xf numFmtId="0" fontId="18" fillId="0" borderId="1" xfId="0" applyFont="1" applyBorder="1" applyAlignment="1">
      <alignment wrapText="1"/>
    </xf>
    <xf numFmtId="0" fontId="17" fillId="0" borderId="0" xfId="0" applyFont="1" applyAlignment="1">
      <alignment wrapText="1"/>
    </xf>
  </cellXfs>
  <cellStyles count="1">
    <cellStyle name="Normal" xfId="0" builtinId="0"/>
  </cellStyles>
  <dxfs count="724">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9</xdr:row>
          <xdr:rowOff>57150</xdr:rowOff>
        </xdr:from>
        <xdr:to>
          <xdr:col>0</xdr:col>
          <xdr:colOff>581025</xdr:colOff>
          <xdr:row>10</xdr:row>
          <xdr:rowOff>104775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581025</xdr:colOff>
          <xdr:row>2</xdr:row>
          <xdr:rowOff>171450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581025</xdr:colOff>
          <xdr:row>3</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28575</xdr:rowOff>
        </xdr:from>
        <xdr:to>
          <xdr:col>0</xdr:col>
          <xdr:colOff>581025</xdr:colOff>
          <xdr:row>4</xdr:row>
          <xdr:rowOff>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0</xdr:rowOff>
        </xdr:from>
        <xdr:to>
          <xdr:col>0</xdr:col>
          <xdr:colOff>581025</xdr:colOff>
          <xdr:row>4</xdr:row>
          <xdr:rowOff>161925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34818" name="Button 2" hidden="1">
              <a:extLst>
                <a:ext uri="{63B3BB69-23CF-44E3-9099-C40C66FF867C}">
                  <a14:compatExt spid="_x0000_s348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34819" name="Button 3" hidden="1">
              <a:extLst>
                <a:ext uri="{63B3BB69-23CF-44E3-9099-C40C66FF867C}">
                  <a14:compatExt spid="_x0000_s348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939818\Documents\_Project%20Documents\SVN%20TEST%20%20team\_Sutuwa\Testing\Release%201\Stats\SEB_InvestAdmin_Investmen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B_InvestAdmin_Investmen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EB_InvestAdmin_Switche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E934817/Documents/Sutuwa/Copy%20of%20Switch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ternal"/>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est Case"/>
      <sheetName val="Automated Instructions"/>
      <sheetName val="Internal"/>
      <sheetName val="External"/>
      <sheetName val="External - Recurring"/>
      <sheetName val="Investment Reversal"/>
      <sheetName val="Alter Investment"/>
      <sheetName val="External - Policy AccountingSCI"/>
      <sheetName val="Internal - Policy AccountinSCI"/>
      <sheetName val="Sheet1"/>
      <sheetName val="Sheet2"/>
    </sheetNames>
    <definedNames>
      <definedName name="Button5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hart1"/>
      <sheetName val="Test Case"/>
      <sheetName val="Check Funding level"/>
      <sheetName val="SEB_InvestAdmin_Switches"/>
    </sheetNames>
    <definedNames>
      <definedName name="Button5_Click"/>
    </definedNames>
    <sheetDataSet>
      <sheetData sheetId="0"/>
      <sheetData sheetId="1" refreshError="1"/>
      <sheetData sheetId="2"/>
      <sheetData sheetId="3"/>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est Case"/>
      <sheetName val="MarketValueToStable"/>
      <sheetName val="Copy of Switches"/>
    </sheetNames>
    <definedNames>
      <definedName name="Button5_Click"/>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H9"/>
  <sheetViews>
    <sheetView tabSelected="1" zoomScaleNormal="100" workbookViewId="0">
      <selection activeCell="B20" sqref="B20"/>
    </sheetView>
  </sheetViews>
  <sheetFormatPr defaultRowHeight="15" x14ac:dyDescent="0.25"/>
  <cols>
    <col min="1" max="1" width="9.140625" style="3"/>
    <col min="2" max="2" width="50.85546875" style="3" customWidth="1"/>
    <col min="3" max="8" width="15" style="3" customWidth="1"/>
    <col min="9" max="16384" width="9.140625" style="3"/>
  </cols>
  <sheetData>
    <row r="2" spans="2:8" x14ac:dyDescent="0.25">
      <c r="B2" s="13" t="s">
        <v>311</v>
      </c>
      <c r="C2" s="13" t="s">
        <v>5</v>
      </c>
      <c r="D2" s="13" t="s">
        <v>6</v>
      </c>
      <c r="E2" s="13" t="s">
        <v>9</v>
      </c>
      <c r="F2" s="13" t="s">
        <v>7</v>
      </c>
      <c r="G2" s="13" t="s">
        <v>8</v>
      </c>
      <c r="H2" s="13" t="s">
        <v>10</v>
      </c>
    </row>
    <row r="3" spans="2:8" x14ac:dyDescent="0.25">
      <c r="B3" s="76" t="s">
        <v>306</v>
      </c>
      <c r="C3" s="14">
        <f>'Internal - Repurchase Reversal'!G196</f>
        <v>143</v>
      </c>
      <c r="D3" s="14">
        <f>'Internal - Repurchase Reversal'!H196</f>
        <v>0</v>
      </c>
      <c r="E3" s="14">
        <f>'Internal - Repurchase Reversal'!I196</f>
        <v>0</v>
      </c>
      <c r="F3" s="15">
        <f>'Internal - Repurchase Reversal'!J196</f>
        <v>4</v>
      </c>
      <c r="G3" s="15">
        <f>'Internal - Repurchase Reversal'!K196</f>
        <v>1</v>
      </c>
      <c r="H3" s="14">
        <f t="shared" ref="H3:H9" si="0">SUM(C3:E3)</f>
        <v>143</v>
      </c>
    </row>
    <row r="4" spans="2:8" x14ac:dyDescent="0.25">
      <c r="B4" s="76" t="s">
        <v>307</v>
      </c>
      <c r="C4" s="14">
        <f>'External - Repurchase Reversal'!G163</f>
        <v>112</v>
      </c>
      <c r="D4" s="14">
        <f>'Internal - Repurchase Reversal'!H196</f>
        <v>0</v>
      </c>
      <c r="E4" s="14">
        <f>'External - Repurchase Reversal'!I163</f>
        <v>0</v>
      </c>
      <c r="F4" s="14">
        <f>'External - Repurchase Reversal'!J163</f>
        <v>0</v>
      </c>
      <c r="G4" s="14">
        <f>'External - Repurchase Reversal'!K163</f>
        <v>0</v>
      </c>
      <c r="H4" s="14">
        <f t="shared" si="0"/>
        <v>112</v>
      </c>
    </row>
    <row r="5" spans="2:8" x14ac:dyDescent="0.25">
      <c r="B5" s="76" t="s">
        <v>308</v>
      </c>
      <c r="C5" s="14">
        <f>'Repurchase Reversal - SCHE 5'!G121</f>
        <v>86</v>
      </c>
      <c r="D5" s="14">
        <f>'Repurchase Reversal - SCHE 5'!H121</f>
        <v>0</v>
      </c>
      <c r="E5" s="14">
        <f>'Repurchase Reversal - SCHE 5'!I121</f>
        <v>0</v>
      </c>
      <c r="F5" s="15">
        <f>'Repurchase Reversal - SCHE 5'!J121</f>
        <v>0</v>
      </c>
      <c r="G5" s="15">
        <f>'Repurchase Reversal - SCHE 5'!K121</f>
        <v>1</v>
      </c>
      <c r="H5" s="14">
        <f t="shared" si="0"/>
        <v>86</v>
      </c>
    </row>
    <row r="6" spans="2:8" x14ac:dyDescent="0.25">
      <c r="B6" s="76" t="s">
        <v>309</v>
      </c>
      <c r="C6" s="14">
        <f>'Repurchase Reversal - SCHE 6'!G123</f>
        <v>86</v>
      </c>
      <c r="D6" s="14">
        <f>'Repurchase Reversal - SCHE 6'!H123</f>
        <v>0</v>
      </c>
      <c r="E6" s="14">
        <f>'Repurchase Reversal - SCHE 6'!I123</f>
        <v>0</v>
      </c>
      <c r="F6" s="15">
        <f>'Repurchase Reversal - SCHE 6'!J123</f>
        <v>0</v>
      </c>
      <c r="G6" s="15">
        <f>'Repurchase Reversal - SCHE 6'!J123</f>
        <v>0</v>
      </c>
      <c r="H6" s="14">
        <f t="shared" si="0"/>
        <v>86</v>
      </c>
    </row>
    <row r="7" spans="2:8" x14ac:dyDescent="0.25">
      <c r="B7" s="76" t="s">
        <v>310</v>
      </c>
      <c r="C7" s="14">
        <f>'Investment Reversal'!G150</f>
        <v>0</v>
      </c>
      <c r="D7" s="14">
        <f>'Investment Reversal'!H150</f>
        <v>0</v>
      </c>
      <c r="E7" s="14">
        <f>'Investment Reversal'!I150</f>
        <v>4</v>
      </c>
      <c r="F7" s="15">
        <f>'Investment Reversal'!J150</f>
        <v>124</v>
      </c>
      <c r="G7" s="15">
        <f>'Investment Reversal'!K150</f>
        <v>0</v>
      </c>
      <c r="H7" s="14">
        <f t="shared" si="0"/>
        <v>4</v>
      </c>
    </row>
    <row r="8" spans="2:8" x14ac:dyDescent="0.25">
      <c r="B8" s="76" t="s">
        <v>435</v>
      </c>
      <c r="C8" s="14">
        <f>'Internal Repurchase - Normal'!G66</f>
        <v>23</v>
      </c>
      <c r="D8" s="14">
        <f>'Internal Repurchase - Normal'!H66</f>
        <v>0</v>
      </c>
      <c r="E8" s="14">
        <f>'Internal Repurchase - Normal'!I66</f>
        <v>0</v>
      </c>
      <c r="F8" s="15">
        <f>'Internal Repurchase - Normal'!J66</f>
        <v>0</v>
      </c>
      <c r="G8" s="15">
        <f>'Internal Repurchase - Normal'!K66</f>
        <v>1</v>
      </c>
      <c r="H8" s="14">
        <f t="shared" si="0"/>
        <v>23</v>
      </c>
    </row>
    <row r="9" spans="2:8" x14ac:dyDescent="0.25">
      <c r="B9" s="76" t="s">
        <v>432</v>
      </c>
      <c r="C9" s="14">
        <f>'Switch Reversal - Multiple'!G98</f>
        <v>71</v>
      </c>
      <c r="D9" s="14">
        <f>'Switch Reversal - Multiple'!H98</f>
        <v>0</v>
      </c>
      <c r="E9" s="14">
        <f>'Switch Reversal - Multiple'!J98</f>
        <v>0</v>
      </c>
      <c r="F9" s="15">
        <f>'Switch Reversal - Multiple'!J98</f>
        <v>0</v>
      </c>
      <c r="G9" s="15">
        <f>'Switch Reversal - Multiple'!K98</f>
        <v>2</v>
      </c>
      <c r="H9" s="14">
        <f t="shared" si="0"/>
        <v>71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R">
                <anchor moveWithCells="1">
                  <from>
                    <xdr:col>0</xdr:col>
                    <xdr:colOff>38100</xdr:colOff>
                    <xdr:row>9</xdr:row>
                    <xdr:rowOff>57150</xdr:rowOff>
                  </from>
                  <to>
                    <xdr:col>0</xdr:col>
                    <xdr:colOff>581025</xdr:colOff>
                    <xdr:row>10</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from>
                    <xdr:col>0</xdr:col>
                    <xdr:colOff>38100</xdr:colOff>
                    <xdr:row>2</xdr:row>
                    <xdr:rowOff>9525</xdr:rowOff>
                  </from>
                  <to>
                    <xdr:col>0</xdr:col>
                    <xdr:colOff>581025</xdr:colOff>
                    <xdr:row>2</xdr:row>
                    <xdr:rowOff>171450</xdr:rowOff>
                  </to>
                </anchor>
              </controlPr>
            </control>
          </mc:Choice>
        </mc:AlternateContent>
        <mc:AlternateContent xmlns:mc="http://schemas.openxmlformats.org/markup-compatibility/2006">
          <mc:Choice Requires="x14">
            <control shapeId="3075" r:id="rId6" name="Button 3">
              <controlPr defaultSize="0" print="0" autoFill="0" autoPict="0" macro="[0]!Button1_Click">
                <anchor moveWithCells="1">
                  <from>
                    <xdr:col>0</xdr:col>
                    <xdr:colOff>38100</xdr:colOff>
                    <xdr:row>3</xdr:row>
                    <xdr:rowOff>0</xdr:rowOff>
                  </from>
                  <to>
                    <xdr:col>0</xdr:col>
                    <xdr:colOff>581025</xdr:colOff>
                    <xdr:row>3</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Button4_Click">
                <anchor moveWithCells="1">
                  <from>
                    <xdr:col>0</xdr:col>
                    <xdr:colOff>38100</xdr:colOff>
                    <xdr:row>3</xdr:row>
                    <xdr:rowOff>28575</xdr:rowOff>
                  </from>
                  <to>
                    <xdr:col>0</xdr:col>
                    <xdr:colOff>581025</xdr:colOff>
                    <xdr:row>4</xdr:row>
                    <xdr:rowOff>0</xdr:rowOff>
                  </to>
                </anchor>
              </controlPr>
            </control>
          </mc:Choice>
        </mc:AlternateContent>
        <mc:AlternateContent xmlns:mc="http://schemas.openxmlformats.org/markup-compatibility/2006">
          <mc:Choice Requires="x14">
            <control shapeId="3077" r:id="rId8" name="Button 5">
              <controlPr defaultSize="0" print="0" autoFill="0" autoPict="0" macro="[0]!Button3_Click">
                <anchor moveWithCells="1">
                  <from>
                    <xdr:col>0</xdr:col>
                    <xdr:colOff>38100</xdr:colOff>
                    <xdr:row>4</xdr:row>
                    <xdr:rowOff>0</xdr:rowOff>
                  </from>
                  <to>
                    <xdr:col>0</xdr:col>
                    <xdr:colOff>581025</xdr:colOff>
                    <xdr:row>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197"/>
  <sheetViews>
    <sheetView zoomScaleNormal="100" workbookViewId="0">
      <pane ySplit="1" topLeftCell="A164" activePane="bottomLeft" state="frozen"/>
      <selection pane="bottomLeft" activeCell="F143" sqref="F143"/>
    </sheetView>
  </sheetViews>
  <sheetFormatPr defaultRowHeight="15" x14ac:dyDescent="0.25"/>
  <cols>
    <col min="1" max="1" width="11.28515625" style="4" bestFit="1" customWidth="1"/>
    <col min="2" max="2" width="56.7109375" style="1" customWidth="1"/>
    <col min="3" max="3" width="58.7109375" style="1" bestFit="1" customWidth="1"/>
    <col min="4" max="4" width="21.425781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12</v>
      </c>
    </row>
    <row r="2" spans="1:12" s="39" customFormat="1" ht="30" customHeight="1" x14ac:dyDescent="0.25">
      <c r="A2" s="40"/>
      <c r="B2" s="103" t="s">
        <v>262</v>
      </c>
      <c r="C2" s="104"/>
      <c r="D2" s="41"/>
      <c r="E2" s="41"/>
      <c r="F2" s="41"/>
      <c r="G2" s="41"/>
      <c r="H2" s="41"/>
      <c r="I2" s="41"/>
      <c r="J2" s="41"/>
      <c r="K2" s="41"/>
      <c r="L2" s="38"/>
    </row>
    <row r="3" spans="1:12" s="20" customFormat="1" x14ac:dyDescent="0.25">
      <c r="A3" s="16">
        <v>2</v>
      </c>
      <c r="B3" s="17" t="s">
        <v>142</v>
      </c>
      <c r="C3" s="18"/>
      <c r="D3" s="17"/>
      <c r="E3" s="17"/>
      <c r="F3" s="19"/>
      <c r="G3" s="19"/>
      <c r="H3" s="19"/>
      <c r="I3" s="19"/>
      <c r="J3" s="19"/>
      <c r="K3" s="19"/>
      <c r="L3" s="17"/>
    </row>
    <row r="4" spans="1:12" ht="25.5" x14ac:dyDescent="0.25">
      <c r="A4" s="5">
        <f t="shared" ref="A4:A55" si="0">A3+0.0001</f>
        <v>2.0001000000000002</v>
      </c>
      <c r="B4" s="6" t="s">
        <v>57</v>
      </c>
      <c r="C4" s="9"/>
      <c r="D4" s="7"/>
      <c r="E4" s="6"/>
      <c r="F4" s="8" t="s">
        <v>5</v>
      </c>
      <c r="G4" s="8">
        <f t="shared" ref="G4:K9" si="1">IF($F4=G$1,1,0)</f>
        <v>1</v>
      </c>
      <c r="H4" s="8">
        <f t="shared" si="1"/>
        <v>0</v>
      </c>
      <c r="I4" s="8">
        <f t="shared" si="1"/>
        <v>0</v>
      </c>
      <c r="J4" s="8">
        <f t="shared" si="1"/>
        <v>0</v>
      </c>
      <c r="K4" s="8">
        <f t="shared" si="1"/>
        <v>0</v>
      </c>
      <c r="L4" s="7"/>
    </row>
    <row r="5" spans="1:12" ht="25.5" x14ac:dyDescent="0.25">
      <c r="A5" s="5">
        <f t="shared" si="0"/>
        <v>2.0002000000000004</v>
      </c>
      <c r="B5" s="27" t="s">
        <v>58</v>
      </c>
      <c r="C5" s="9" t="s">
        <v>59</v>
      </c>
      <c r="D5" s="7"/>
      <c r="E5" s="6"/>
      <c r="F5" s="8" t="s">
        <v>5</v>
      </c>
      <c r="G5" s="8">
        <f t="shared" si="1"/>
        <v>1</v>
      </c>
      <c r="H5" s="8">
        <f t="shared" si="1"/>
        <v>0</v>
      </c>
      <c r="I5" s="8">
        <f t="shared" si="1"/>
        <v>0</v>
      </c>
      <c r="J5" s="8">
        <f t="shared" si="1"/>
        <v>0</v>
      </c>
      <c r="K5" s="8">
        <f t="shared" si="1"/>
        <v>0</v>
      </c>
      <c r="L5" s="7"/>
    </row>
    <row r="6" spans="1:12" ht="25.5" x14ac:dyDescent="0.25">
      <c r="A6" s="5">
        <f t="shared" si="0"/>
        <v>2.0003000000000006</v>
      </c>
      <c r="B6" s="27" t="s">
        <v>60</v>
      </c>
      <c r="C6" s="9" t="s">
        <v>61</v>
      </c>
      <c r="D6" s="7"/>
      <c r="E6" s="6"/>
      <c r="F6" s="8" t="s">
        <v>5</v>
      </c>
      <c r="G6" s="8">
        <f t="shared" si="1"/>
        <v>1</v>
      </c>
      <c r="H6" s="8">
        <f t="shared" si="1"/>
        <v>0</v>
      </c>
      <c r="I6" s="8">
        <f t="shared" si="1"/>
        <v>0</v>
      </c>
      <c r="J6" s="8">
        <f t="shared" si="1"/>
        <v>0</v>
      </c>
      <c r="K6" s="8">
        <f t="shared" si="1"/>
        <v>0</v>
      </c>
      <c r="L6" s="7"/>
    </row>
    <row r="7" spans="1:12" x14ac:dyDescent="0.25">
      <c r="A7" s="5">
        <f t="shared" si="0"/>
        <v>2.0004000000000008</v>
      </c>
      <c r="B7" s="6"/>
      <c r="C7" s="9" t="s">
        <v>62</v>
      </c>
      <c r="D7" s="7"/>
      <c r="E7" s="6"/>
      <c r="F7" s="8" t="s">
        <v>5</v>
      </c>
      <c r="G7" s="8">
        <f t="shared" si="1"/>
        <v>1</v>
      </c>
      <c r="H7" s="8">
        <f t="shared" si="1"/>
        <v>0</v>
      </c>
      <c r="I7" s="8">
        <f t="shared" si="1"/>
        <v>0</v>
      </c>
      <c r="J7" s="8">
        <f t="shared" si="1"/>
        <v>0</v>
      </c>
      <c r="K7" s="8">
        <f t="shared" si="1"/>
        <v>0</v>
      </c>
      <c r="L7" s="7"/>
    </row>
    <row r="8" spans="1:12" x14ac:dyDescent="0.25">
      <c r="A8" s="5">
        <f t="shared" si="0"/>
        <v>2.0005000000000011</v>
      </c>
      <c r="B8" s="29" t="s">
        <v>392</v>
      </c>
      <c r="C8" s="30" t="s">
        <v>167</v>
      </c>
      <c r="D8" s="7"/>
      <c r="E8" s="7"/>
      <c r="F8" s="8" t="s">
        <v>5</v>
      </c>
      <c r="G8" s="8">
        <f t="shared" si="1"/>
        <v>1</v>
      </c>
      <c r="H8" s="8">
        <f t="shared" si="1"/>
        <v>0</v>
      </c>
      <c r="I8" s="8">
        <f t="shared" si="1"/>
        <v>0</v>
      </c>
      <c r="J8" s="8">
        <f t="shared" si="1"/>
        <v>0</v>
      </c>
      <c r="K8" s="8">
        <f t="shared" si="1"/>
        <v>0</v>
      </c>
      <c r="L8" s="7"/>
    </row>
    <row r="9" spans="1:12" x14ac:dyDescent="0.25">
      <c r="A9" s="5">
        <f t="shared" si="0"/>
        <v>2.0006000000000013</v>
      </c>
      <c r="B9" s="6" t="s">
        <v>148</v>
      </c>
      <c r="C9" s="30"/>
      <c r="D9" s="7"/>
      <c r="E9" s="7"/>
      <c r="F9" s="8" t="s">
        <v>5</v>
      </c>
      <c r="G9" s="8">
        <f t="shared" si="1"/>
        <v>1</v>
      </c>
      <c r="H9" s="8">
        <f t="shared" si="1"/>
        <v>0</v>
      </c>
      <c r="I9" s="8">
        <f t="shared" si="1"/>
        <v>0</v>
      </c>
      <c r="J9" s="8">
        <f t="shared" si="1"/>
        <v>0</v>
      </c>
      <c r="K9" s="8">
        <f t="shared" si="1"/>
        <v>0</v>
      </c>
      <c r="L9" s="34"/>
    </row>
    <row r="10" spans="1:12" x14ac:dyDescent="0.25">
      <c r="A10" s="5">
        <f t="shared" si="0"/>
        <v>2.0007000000000015</v>
      </c>
      <c r="B10" s="44" t="s">
        <v>22</v>
      </c>
      <c r="C10" s="18"/>
      <c r="D10" s="18"/>
      <c r="E10" s="8"/>
      <c r="F10" s="8"/>
      <c r="G10" s="8"/>
      <c r="H10" s="8"/>
      <c r="I10" s="8"/>
      <c r="J10" s="8"/>
      <c r="K10" s="8"/>
    </row>
    <row r="11" spans="1:12" ht="25.5" x14ac:dyDescent="0.25">
      <c r="A11" s="5">
        <f t="shared" si="0"/>
        <v>2.0008000000000017</v>
      </c>
      <c r="B11" s="27" t="s">
        <v>146</v>
      </c>
      <c r="C11" s="102" t="s">
        <v>147</v>
      </c>
      <c r="D11" s="54"/>
      <c r="E11" s="8"/>
      <c r="F11" s="8" t="s">
        <v>434</v>
      </c>
      <c r="G11" s="8">
        <f t="shared" ref="G11:K83" si="2">IF($F11=G$1,1,0)</f>
        <v>1</v>
      </c>
      <c r="H11" s="8">
        <f t="shared" si="2"/>
        <v>0</v>
      </c>
      <c r="I11" s="8">
        <f t="shared" si="2"/>
        <v>0</v>
      </c>
      <c r="J11" s="8">
        <f t="shared" si="2"/>
        <v>0</v>
      </c>
      <c r="K11" s="8">
        <f t="shared" si="2"/>
        <v>0</v>
      </c>
    </row>
    <row r="12" spans="1:12" x14ac:dyDescent="0.25">
      <c r="A12" s="5">
        <f t="shared" si="0"/>
        <v>2.0009000000000019</v>
      </c>
      <c r="B12" s="6" t="s">
        <v>148</v>
      </c>
      <c r="C12" s="22" t="s">
        <v>149</v>
      </c>
      <c r="D12" s="54"/>
      <c r="E12" s="8"/>
      <c r="F12" s="8" t="s">
        <v>434</v>
      </c>
      <c r="G12" s="8">
        <f t="shared" si="2"/>
        <v>1</v>
      </c>
      <c r="H12" s="8">
        <f t="shared" si="2"/>
        <v>0</v>
      </c>
      <c r="I12" s="8">
        <f t="shared" si="2"/>
        <v>0</v>
      </c>
      <c r="J12" s="8">
        <f t="shared" si="2"/>
        <v>0</v>
      </c>
      <c r="K12" s="8">
        <f t="shared" si="2"/>
        <v>0</v>
      </c>
    </row>
    <row r="13" spans="1:12" x14ac:dyDescent="0.25">
      <c r="A13" s="5">
        <f t="shared" si="0"/>
        <v>2.0010000000000021</v>
      </c>
      <c r="B13" s="6"/>
      <c r="C13" s="23"/>
      <c r="D13" s="54"/>
      <c r="E13" s="8"/>
      <c r="F13" s="8" t="s">
        <v>434</v>
      </c>
      <c r="G13" s="8">
        <f t="shared" si="2"/>
        <v>1</v>
      </c>
      <c r="H13" s="8">
        <f t="shared" si="2"/>
        <v>0</v>
      </c>
      <c r="I13" s="8">
        <f t="shared" si="2"/>
        <v>0</v>
      </c>
      <c r="J13" s="8">
        <f t="shared" si="2"/>
        <v>0</v>
      </c>
      <c r="K13" s="8">
        <f t="shared" si="2"/>
        <v>0</v>
      </c>
    </row>
    <row r="14" spans="1:12" x14ac:dyDescent="0.25">
      <c r="A14" s="5">
        <f t="shared" si="0"/>
        <v>2.0011000000000023</v>
      </c>
      <c r="B14" s="24" t="s">
        <v>150</v>
      </c>
      <c r="C14" s="23" t="s">
        <v>151</v>
      </c>
      <c r="D14" s="54"/>
      <c r="E14" s="8"/>
      <c r="F14" s="8" t="s">
        <v>434</v>
      </c>
      <c r="G14" s="8">
        <f t="shared" si="2"/>
        <v>1</v>
      </c>
      <c r="H14" s="8">
        <f t="shared" si="2"/>
        <v>0</v>
      </c>
      <c r="I14" s="8">
        <f t="shared" si="2"/>
        <v>0</v>
      </c>
      <c r="J14" s="8">
        <f t="shared" si="2"/>
        <v>0</v>
      </c>
      <c r="K14" s="8">
        <f t="shared" si="2"/>
        <v>0</v>
      </c>
    </row>
    <row r="15" spans="1:12" ht="18.75" customHeight="1" x14ac:dyDescent="0.25">
      <c r="A15" s="5">
        <f t="shared" si="0"/>
        <v>2.0012000000000025</v>
      </c>
      <c r="B15" s="6"/>
      <c r="C15" s="23"/>
      <c r="D15" s="54"/>
      <c r="E15" s="8"/>
      <c r="F15" s="8"/>
      <c r="G15" s="8"/>
      <c r="H15" s="8"/>
      <c r="I15" s="8"/>
      <c r="J15" s="8"/>
      <c r="K15" s="8">
        <f t="shared" si="2"/>
        <v>0</v>
      </c>
    </row>
    <row r="16" spans="1:12" ht="25.5" x14ac:dyDescent="0.25">
      <c r="A16" s="5">
        <f t="shared" si="0"/>
        <v>2.0013000000000027</v>
      </c>
      <c r="B16" s="9" t="s">
        <v>152</v>
      </c>
      <c r="C16" s="22" t="s">
        <v>14</v>
      </c>
      <c r="D16" s="54"/>
      <c r="E16" s="8"/>
      <c r="F16" s="8" t="s">
        <v>5</v>
      </c>
      <c r="G16" s="8">
        <f t="shared" si="2"/>
        <v>1</v>
      </c>
      <c r="H16" s="8">
        <f t="shared" si="2"/>
        <v>0</v>
      </c>
      <c r="I16" s="8">
        <f t="shared" si="2"/>
        <v>0</v>
      </c>
      <c r="J16" s="8">
        <f t="shared" si="2"/>
        <v>0</v>
      </c>
      <c r="K16" s="8">
        <f t="shared" si="2"/>
        <v>0</v>
      </c>
    </row>
    <row r="17" spans="1:11" x14ac:dyDescent="0.25">
      <c r="A17" s="5">
        <f t="shared" si="0"/>
        <v>2.001400000000003</v>
      </c>
      <c r="B17" s="46"/>
      <c r="C17" s="47"/>
      <c r="D17" s="54"/>
      <c r="E17" s="8"/>
      <c r="F17" s="8"/>
      <c r="G17" s="8"/>
      <c r="H17" s="8"/>
      <c r="I17" s="8"/>
      <c r="J17" s="8"/>
      <c r="K17" s="8">
        <f t="shared" si="2"/>
        <v>0</v>
      </c>
    </row>
    <row r="18" spans="1:11" x14ac:dyDescent="0.25">
      <c r="A18" s="5">
        <f t="shared" si="0"/>
        <v>2.0015000000000032</v>
      </c>
      <c r="B18" s="6" t="s">
        <v>153</v>
      </c>
      <c r="C18" s="23" t="s">
        <v>151</v>
      </c>
      <c r="D18" s="54"/>
      <c r="E18" s="8"/>
      <c r="F18" s="8" t="s">
        <v>434</v>
      </c>
      <c r="G18" s="8">
        <f t="shared" si="2"/>
        <v>1</v>
      </c>
      <c r="H18" s="8">
        <f t="shared" si="2"/>
        <v>0</v>
      </c>
      <c r="I18" s="8">
        <f t="shared" si="2"/>
        <v>0</v>
      </c>
      <c r="J18" s="8">
        <f t="shared" si="2"/>
        <v>0</v>
      </c>
      <c r="K18" s="8"/>
    </row>
    <row r="19" spans="1:11" x14ac:dyDescent="0.25">
      <c r="A19" s="5">
        <f t="shared" si="0"/>
        <v>2.0016000000000034</v>
      </c>
      <c r="B19" s="6" t="s">
        <v>157</v>
      </c>
      <c r="C19" s="23" t="s">
        <v>158</v>
      </c>
      <c r="D19" s="54"/>
      <c r="E19" s="8"/>
      <c r="F19" s="8" t="s">
        <v>434</v>
      </c>
      <c r="G19" s="8">
        <f t="shared" si="2"/>
        <v>1</v>
      </c>
      <c r="H19" s="8">
        <f t="shared" si="2"/>
        <v>0</v>
      </c>
      <c r="I19" s="8">
        <f t="shared" si="2"/>
        <v>0</v>
      </c>
      <c r="J19" s="8">
        <f t="shared" si="2"/>
        <v>0</v>
      </c>
      <c r="K19" s="8"/>
    </row>
    <row r="20" spans="1:11" x14ac:dyDescent="0.25">
      <c r="A20" s="5">
        <f t="shared" si="0"/>
        <v>2.0017000000000036</v>
      </c>
      <c r="B20" s="6" t="s">
        <v>159</v>
      </c>
      <c r="C20" s="22" t="s">
        <v>160</v>
      </c>
      <c r="D20" s="54" t="s">
        <v>264</v>
      </c>
      <c r="E20" s="8"/>
      <c r="F20" s="8" t="s">
        <v>434</v>
      </c>
      <c r="G20" s="8">
        <f t="shared" ref="G20:J20" si="3">IF($F20=G$1,1,0)</f>
        <v>1</v>
      </c>
      <c r="H20" s="8">
        <f t="shared" si="3"/>
        <v>0</v>
      </c>
      <c r="I20" s="8">
        <f t="shared" si="3"/>
        <v>0</v>
      </c>
      <c r="J20" s="8">
        <f t="shared" si="3"/>
        <v>0</v>
      </c>
      <c r="K20" s="8"/>
    </row>
    <row r="21" spans="1:11" x14ac:dyDescent="0.25">
      <c r="A21" s="5">
        <f t="shared" si="0"/>
        <v>2.0018000000000038</v>
      </c>
      <c r="B21" s="6" t="s">
        <v>161</v>
      </c>
      <c r="C21" s="22" t="s">
        <v>162</v>
      </c>
      <c r="D21" s="54"/>
      <c r="E21" s="8"/>
      <c r="F21" s="8" t="s">
        <v>434</v>
      </c>
      <c r="G21" s="8">
        <f>IF($F21=G$1,1,0)</f>
        <v>1</v>
      </c>
      <c r="H21" s="8">
        <f>IF($F21=H$1,1,0)</f>
        <v>0</v>
      </c>
      <c r="I21" s="8">
        <f>IF($F21=I$1,1,0)</f>
        <v>0</v>
      </c>
      <c r="J21" s="8">
        <f>IF($F21=J$1,1,0)</f>
        <v>0</v>
      </c>
      <c r="K21" s="8"/>
    </row>
    <row r="22" spans="1:11" x14ac:dyDescent="0.25">
      <c r="A22" s="5">
        <f t="shared" si="0"/>
        <v>2.001900000000004</v>
      </c>
      <c r="B22" s="6"/>
      <c r="C22" s="30" t="s">
        <v>201</v>
      </c>
      <c r="D22" s="54"/>
      <c r="E22" s="8"/>
      <c r="F22" s="8" t="s">
        <v>434</v>
      </c>
      <c r="G22" s="8">
        <f t="shared" si="2"/>
        <v>1</v>
      </c>
      <c r="H22" s="8">
        <f t="shared" si="2"/>
        <v>0</v>
      </c>
      <c r="I22" s="8">
        <f t="shared" si="2"/>
        <v>0</v>
      </c>
      <c r="J22" s="8">
        <f t="shared" si="2"/>
        <v>0</v>
      </c>
      <c r="K22" s="8">
        <f t="shared" si="2"/>
        <v>0</v>
      </c>
    </row>
    <row r="23" spans="1:11" x14ac:dyDescent="0.25">
      <c r="A23" s="5">
        <f t="shared" si="0"/>
        <v>2.0020000000000042</v>
      </c>
      <c r="B23" s="27" t="s">
        <v>388</v>
      </c>
      <c r="C23" s="30" t="s">
        <v>389</v>
      </c>
      <c r="D23" s="54"/>
      <c r="E23" s="8"/>
      <c r="F23" s="8" t="s">
        <v>434</v>
      </c>
      <c r="G23" s="8">
        <f t="shared" si="2"/>
        <v>1</v>
      </c>
      <c r="H23" s="8">
        <f t="shared" si="2"/>
        <v>0</v>
      </c>
      <c r="I23" s="8">
        <f t="shared" si="2"/>
        <v>0</v>
      </c>
      <c r="J23" s="8">
        <f t="shared" si="2"/>
        <v>0</v>
      </c>
      <c r="K23" s="8">
        <f t="shared" si="2"/>
        <v>0</v>
      </c>
    </row>
    <row r="24" spans="1:11" x14ac:dyDescent="0.25">
      <c r="A24" s="5">
        <f t="shared" si="0"/>
        <v>2.0021000000000044</v>
      </c>
      <c r="B24" s="7"/>
      <c r="C24" s="6"/>
      <c r="D24" s="7"/>
      <c r="E24" s="8"/>
      <c r="F24" s="8"/>
      <c r="G24" s="8"/>
      <c r="H24" s="8"/>
      <c r="I24" s="8"/>
      <c r="J24" s="8"/>
      <c r="K24" s="8">
        <f t="shared" si="2"/>
        <v>0</v>
      </c>
    </row>
    <row r="25" spans="1:11" x14ac:dyDescent="0.25">
      <c r="A25" s="5">
        <f t="shared" si="0"/>
        <v>2.0022000000000046</v>
      </c>
      <c r="B25" s="48" t="s">
        <v>156</v>
      </c>
      <c r="C25" s="49" t="s">
        <v>202</v>
      </c>
      <c r="D25" s="18"/>
      <c r="E25" s="8"/>
      <c r="F25" s="8"/>
      <c r="G25" s="8"/>
      <c r="H25" s="8"/>
      <c r="I25" s="8"/>
      <c r="J25" s="8"/>
      <c r="K25" s="8"/>
    </row>
    <row r="26" spans="1:11" x14ac:dyDescent="0.25">
      <c r="A26" s="5">
        <f t="shared" si="0"/>
        <v>2.0023000000000049</v>
      </c>
      <c r="B26" s="28" t="s">
        <v>174</v>
      </c>
      <c r="C26" s="22" t="s">
        <v>175</v>
      </c>
      <c r="D26" s="54"/>
      <c r="E26" s="8"/>
      <c r="F26" s="8" t="s">
        <v>5</v>
      </c>
      <c r="G26" s="8">
        <f t="shared" ref="G26:J26" si="4">IF($F26=G$1,1,0)</f>
        <v>1</v>
      </c>
      <c r="H26" s="8">
        <f t="shared" si="4"/>
        <v>0</v>
      </c>
      <c r="I26" s="8">
        <f t="shared" si="4"/>
        <v>0</v>
      </c>
      <c r="J26" s="8">
        <f t="shared" si="4"/>
        <v>0</v>
      </c>
      <c r="K26" s="8"/>
    </row>
    <row r="27" spans="1:11" x14ac:dyDescent="0.25">
      <c r="A27" s="5">
        <f t="shared" si="0"/>
        <v>2.0024000000000051</v>
      </c>
      <c r="B27" s="6"/>
      <c r="C27" s="23"/>
      <c r="D27" s="54"/>
      <c r="E27" s="8"/>
      <c r="F27" s="8"/>
      <c r="G27" s="8"/>
      <c r="H27" s="8"/>
      <c r="I27" s="8"/>
      <c r="J27" s="8"/>
      <c r="K27" s="8"/>
    </row>
    <row r="28" spans="1:11" ht="63.75" x14ac:dyDescent="0.25">
      <c r="A28" s="5">
        <f t="shared" si="0"/>
        <v>2.0025000000000053</v>
      </c>
      <c r="B28" s="28" t="s">
        <v>173</v>
      </c>
      <c r="C28" s="99" t="s">
        <v>395</v>
      </c>
      <c r="D28" s="54" t="s">
        <v>246</v>
      </c>
      <c r="E28" s="8"/>
      <c r="F28" s="8" t="s">
        <v>5</v>
      </c>
      <c r="G28" s="8">
        <f t="shared" ref="G28:K28" si="5">IF($F28=G$1,1,0)</f>
        <v>1</v>
      </c>
      <c r="H28" s="8">
        <f t="shared" si="5"/>
        <v>0</v>
      </c>
      <c r="I28" s="8">
        <f t="shared" si="5"/>
        <v>0</v>
      </c>
      <c r="J28" s="8">
        <f t="shared" si="5"/>
        <v>0</v>
      </c>
      <c r="K28" s="8">
        <f t="shared" si="5"/>
        <v>0</v>
      </c>
    </row>
    <row r="29" spans="1:11" x14ac:dyDescent="0.25">
      <c r="A29" s="5">
        <f t="shared" si="0"/>
        <v>2.0026000000000055</v>
      </c>
      <c r="B29" s="28"/>
      <c r="C29" s="99" t="s">
        <v>401</v>
      </c>
      <c r="D29" s="54"/>
      <c r="E29" s="8"/>
      <c r="F29" s="8" t="s">
        <v>5</v>
      </c>
      <c r="G29" s="8"/>
      <c r="H29" s="8"/>
      <c r="I29" s="8"/>
      <c r="J29" s="8"/>
      <c r="K29" s="8"/>
    </row>
    <row r="30" spans="1:11" x14ac:dyDescent="0.25">
      <c r="A30" s="5">
        <f t="shared" si="0"/>
        <v>2.0027000000000057</v>
      </c>
      <c r="B30" s="28"/>
      <c r="C30" s="99" t="s">
        <v>398</v>
      </c>
      <c r="D30" s="54"/>
      <c r="E30" s="8"/>
      <c r="F30" s="8" t="s">
        <v>5</v>
      </c>
      <c r="G30" s="8"/>
      <c r="H30" s="8"/>
      <c r="I30" s="8"/>
      <c r="J30" s="8"/>
      <c r="K30" s="8"/>
    </row>
    <row r="31" spans="1:11" x14ac:dyDescent="0.25">
      <c r="A31" s="5">
        <f t="shared" si="0"/>
        <v>2.0028000000000059</v>
      </c>
      <c r="B31" s="28"/>
      <c r="C31" s="99" t="s">
        <v>402</v>
      </c>
      <c r="D31" s="54"/>
      <c r="E31" s="8"/>
      <c r="F31" s="8" t="s">
        <v>5</v>
      </c>
      <c r="G31" s="8"/>
      <c r="H31" s="8"/>
      <c r="I31" s="8"/>
      <c r="J31" s="8"/>
      <c r="K31" s="8"/>
    </row>
    <row r="32" spans="1:11" x14ac:dyDescent="0.25">
      <c r="A32" s="5">
        <f t="shared" si="0"/>
        <v>2.0029000000000061</v>
      </c>
      <c r="B32" s="28"/>
      <c r="C32" s="99" t="s">
        <v>396</v>
      </c>
      <c r="D32" s="54"/>
      <c r="E32" s="8"/>
      <c r="F32" s="8" t="s">
        <v>7</v>
      </c>
      <c r="G32" s="8">
        <f t="shared" ref="G32:K33" si="6">IF($F32=G$1,1,0)</f>
        <v>0</v>
      </c>
      <c r="H32" s="8">
        <f t="shared" si="6"/>
        <v>0</v>
      </c>
      <c r="I32" s="8">
        <f t="shared" si="6"/>
        <v>0</v>
      </c>
      <c r="J32" s="8">
        <f t="shared" si="6"/>
        <v>1</v>
      </c>
      <c r="K32" s="8">
        <f t="shared" si="6"/>
        <v>0</v>
      </c>
    </row>
    <row r="33" spans="1:11" ht="25.5" x14ac:dyDescent="0.25">
      <c r="A33" s="5">
        <f t="shared" si="0"/>
        <v>2.0030000000000063</v>
      </c>
      <c r="B33" s="28"/>
      <c r="C33" s="99" t="s">
        <v>397</v>
      </c>
      <c r="D33" s="54"/>
      <c r="E33" s="8"/>
      <c r="F33" s="8" t="s">
        <v>7</v>
      </c>
      <c r="G33" s="8">
        <f t="shared" si="6"/>
        <v>0</v>
      </c>
      <c r="H33" s="8">
        <f t="shared" si="6"/>
        <v>0</v>
      </c>
      <c r="I33" s="8">
        <f t="shared" si="6"/>
        <v>0</v>
      </c>
      <c r="J33" s="8">
        <f t="shared" si="6"/>
        <v>1</v>
      </c>
      <c r="K33" s="8">
        <f t="shared" si="6"/>
        <v>0</v>
      </c>
    </row>
    <row r="34" spans="1:11" x14ac:dyDescent="0.25">
      <c r="A34" s="5">
        <f t="shared" si="0"/>
        <v>2.0031000000000065</v>
      </c>
      <c r="B34" s="6" t="s">
        <v>177</v>
      </c>
      <c r="C34" s="23" t="s">
        <v>178</v>
      </c>
      <c r="D34" s="54"/>
      <c r="E34" s="8"/>
      <c r="F34" s="8" t="s">
        <v>5</v>
      </c>
      <c r="G34" s="8">
        <f t="shared" ref="G34:K46" si="7">IF($F34=G$1,1,0)</f>
        <v>1</v>
      </c>
      <c r="H34" s="8">
        <f t="shared" si="7"/>
        <v>0</v>
      </c>
      <c r="I34" s="8">
        <f t="shared" si="7"/>
        <v>0</v>
      </c>
      <c r="J34" s="8">
        <f t="shared" si="7"/>
        <v>0</v>
      </c>
      <c r="K34" s="8">
        <f t="shared" si="7"/>
        <v>0</v>
      </c>
    </row>
    <row r="35" spans="1:11" x14ac:dyDescent="0.25">
      <c r="A35" s="5">
        <f t="shared" si="0"/>
        <v>2.0032000000000068</v>
      </c>
      <c r="B35" s="6" t="s">
        <v>194</v>
      </c>
      <c r="C35" s="23" t="s">
        <v>195</v>
      </c>
      <c r="D35" s="54"/>
      <c r="E35" s="8"/>
      <c r="F35" s="8" t="s">
        <v>5</v>
      </c>
      <c r="G35" s="8">
        <f t="shared" si="7"/>
        <v>1</v>
      </c>
      <c r="H35" s="8">
        <f t="shared" si="7"/>
        <v>0</v>
      </c>
      <c r="I35" s="8">
        <f t="shared" si="7"/>
        <v>0</v>
      </c>
      <c r="J35" s="8">
        <f t="shared" si="7"/>
        <v>0</v>
      </c>
      <c r="K35" s="8">
        <f t="shared" si="7"/>
        <v>0</v>
      </c>
    </row>
    <row r="36" spans="1:11" x14ac:dyDescent="0.25">
      <c r="A36" s="5">
        <f t="shared" si="0"/>
        <v>2.003300000000007</v>
      </c>
      <c r="B36" s="6" t="s">
        <v>179</v>
      </c>
      <c r="C36" s="23" t="s">
        <v>193</v>
      </c>
      <c r="D36" s="54"/>
      <c r="E36" s="8"/>
      <c r="F36" s="8" t="s">
        <v>5</v>
      </c>
      <c r="G36" s="8">
        <f t="shared" si="7"/>
        <v>1</v>
      </c>
      <c r="H36" s="8">
        <f t="shared" si="7"/>
        <v>0</v>
      </c>
      <c r="I36" s="8">
        <f t="shared" si="7"/>
        <v>0</v>
      </c>
      <c r="J36" s="8">
        <f t="shared" si="7"/>
        <v>0</v>
      </c>
      <c r="K36" s="8">
        <f t="shared" si="7"/>
        <v>0</v>
      </c>
    </row>
    <row r="37" spans="1:11" x14ac:dyDescent="0.25">
      <c r="A37" s="5">
        <f t="shared" si="0"/>
        <v>2.0034000000000072</v>
      </c>
      <c r="B37" s="6" t="s">
        <v>17</v>
      </c>
      <c r="C37" s="22" t="s">
        <v>18</v>
      </c>
      <c r="D37" s="54"/>
      <c r="E37" s="8"/>
      <c r="F37" s="8" t="s">
        <v>5</v>
      </c>
      <c r="G37" s="8">
        <f t="shared" si="7"/>
        <v>1</v>
      </c>
      <c r="H37" s="8">
        <f t="shared" si="7"/>
        <v>0</v>
      </c>
      <c r="I37" s="8">
        <f t="shared" si="7"/>
        <v>0</v>
      </c>
      <c r="J37" s="8">
        <f t="shared" si="7"/>
        <v>0</v>
      </c>
      <c r="K37" s="8">
        <f t="shared" si="7"/>
        <v>0</v>
      </c>
    </row>
    <row r="38" spans="1:11" x14ac:dyDescent="0.25">
      <c r="A38" s="5">
        <f t="shared" si="0"/>
        <v>2.0035000000000074</v>
      </c>
      <c r="B38" s="6" t="s">
        <v>19</v>
      </c>
      <c r="C38" s="23" t="s">
        <v>196</v>
      </c>
      <c r="D38" s="54"/>
      <c r="E38" s="8"/>
      <c r="F38" s="8" t="s">
        <v>5</v>
      </c>
      <c r="G38" s="8">
        <f t="shared" si="7"/>
        <v>1</v>
      </c>
      <c r="H38" s="8">
        <f t="shared" si="7"/>
        <v>0</v>
      </c>
      <c r="I38" s="8">
        <f t="shared" si="7"/>
        <v>0</v>
      </c>
      <c r="J38" s="8">
        <f t="shared" si="7"/>
        <v>0</v>
      </c>
      <c r="K38" s="8">
        <f t="shared" si="7"/>
        <v>0</v>
      </c>
    </row>
    <row r="39" spans="1:11" x14ac:dyDescent="0.25">
      <c r="A39" s="5">
        <f t="shared" si="0"/>
        <v>2.0036000000000076</v>
      </c>
      <c r="B39" s="6" t="s">
        <v>23</v>
      </c>
      <c r="C39" s="22" t="s">
        <v>20</v>
      </c>
      <c r="D39" s="7"/>
      <c r="E39" s="8"/>
      <c r="F39" s="8" t="s">
        <v>5</v>
      </c>
      <c r="G39" s="8">
        <f t="shared" si="7"/>
        <v>1</v>
      </c>
      <c r="H39" s="8">
        <f t="shared" si="7"/>
        <v>0</v>
      </c>
      <c r="I39" s="8">
        <f t="shared" si="7"/>
        <v>0</v>
      </c>
      <c r="J39" s="8">
        <f t="shared" si="7"/>
        <v>0</v>
      </c>
      <c r="K39" s="8">
        <f t="shared" si="7"/>
        <v>0</v>
      </c>
    </row>
    <row r="40" spans="1:11" x14ac:dyDescent="0.25">
      <c r="A40" s="5">
        <f t="shared" si="0"/>
        <v>2.0037000000000078</v>
      </c>
      <c r="B40" s="6"/>
      <c r="C40" s="22" t="s">
        <v>21</v>
      </c>
      <c r="D40" s="7"/>
      <c r="E40" s="8"/>
      <c r="F40" s="8" t="s">
        <v>5</v>
      </c>
      <c r="G40" s="8">
        <f t="shared" si="7"/>
        <v>1</v>
      </c>
      <c r="H40" s="8">
        <f t="shared" si="7"/>
        <v>0</v>
      </c>
      <c r="I40" s="8">
        <f t="shared" si="7"/>
        <v>0</v>
      </c>
      <c r="J40" s="8">
        <f t="shared" si="7"/>
        <v>0</v>
      </c>
      <c r="K40" s="8">
        <f t="shared" si="7"/>
        <v>0</v>
      </c>
    </row>
    <row r="41" spans="1:11" ht="25.5" x14ac:dyDescent="0.25">
      <c r="A41" s="5">
        <f t="shared" si="0"/>
        <v>2.003800000000008</v>
      </c>
      <c r="B41" s="6" t="s">
        <v>15</v>
      </c>
      <c r="C41" s="30" t="s">
        <v>197</v>
      </c>
      <c r="D41" s="7"/>
      <c r="E41" s="8"/>
      <c r="F41" s="8" t="s">
        <v>5</v>
      </c>
      <c r="G41" s="8">
        <f t="shared" si="7"/>
        <v>1</v>
      </c>
      <c r="H41" s="8">
        <f t="shared" si="7"/>
        <v>0</v>
      </c>
      <c r="I41" s="8">
        <f t="shared" si="7"/>
        <v>0</v>
      </c>
      <c r="J41" s="8">
        <f t="shared" si="7"/>
        <v>0</v>
      </c>
      <c r="K41" s="8">
        <f t="shared" si="7"/>
        <v>0</v>
      </c>
    </row>
    <row r="42" spans="1:11" x14ac:dyDescent="0.25">
      <c r="A42" s="5">
        <f t="shared" si="0"/>
        <v>2.0039000000000082</v>
      </c>
      <c r="B42" s="17" t="s">
        <v>36</v>
      </c>
      <c r="C42" s="17"/>
      <c r="D42" s="8"/>
      <c r="E42" s="8"/>
      <c r="F42" s="8"/>
      <c r="G42" s="8"/>
      <c r="H42" s="8"/>
      <c r="I42" s="8"/>
      <c r="J42" s="8"/>
      <c r="K42" s="8"/>
    </row>
    <row r="43" spans="1:11" x14ac:dyDescent="0.25">
      <c r="A43" s="5">
        <f t="shared" si="0"/>
        <v>2.0040000000000084</v>
      </c>
      <c r="B43" s="7" t="s">
        <v>41</v>
      </c>
      <c r="C43" s="6" t="s">
        <v>38</v>
      </c>
      <c r="D43" s="8"/>
      <c r="E43" s="8"/>
      <c r="F43" s="8" t="s">
        <v>5</v>
      </c>
      <c r="G43" s="8">
        <f t="shared" si="7"/>
        <v>1</v>
      </c>
      <c r="H43" s="8">
        <f t="shared" si="7"/>
        <v>0</v>
      </c>
      <c r="I43" s="8">
        <f t="shared" si="7"/>
        <v>0</v>
      </c>
      <c r="J43" s="8">
        <f t="shared" si="7"/>
        <v>0</v>
      </c>
      <c r="K43" s="8">
        <f t="shared" si="7"/>
        <v>0</v>
      </c>
    </row>
    <row r="44" spans="1:11" x14ac:dyDescent="0.25">
      <c r="A44" s="5">
        <f t="shared" si="0"/>
        <v>2.0041000000000087</v>
      </c>
      <c r="B44" s="7"/>
      <c r="C44" s="6" t="s">
        <v>39</v>
      </c>
      <c r="D44" s="8"/>
      <c r="E44" s="8"/>
      <c r="F44" s="8" t="s">
        <v>5</v>
      </c>
      <c r="G44" s="8">
        <f t="shared" si="7"/>
        <v>1</v>
      </c>
      <c r="H44" s="8">
        <f t="shared" si="7"/>
        <v>0</v>
      </c>
      <c r="I44" s="8">
        <f t="shared" si="7"/>
        <v>0</v>
      </c>
      <c r="J44" s="8">
        <f t="shared" si="7"/>
        <v>0</v>
      </c>
      <c r="K44" s="8">
        <f t="shared" si="7"/>
        <v>0</v>
      </c>
    </row>
    <row r="45" spans="1:11" x14ac:dyDescent="0.25">
      <c r="A45" s="5">
        <f t="shared" si="0"/>
        <v>2.0042000000000089</v>
      </c>
      <c r="B45" s="7"/>
      <c r="C45" s="6" t="s">
        <v>40</v>
      </c>
      <c r="D45" s="8"/>
      <c r="E45" s="8"/>
      <c r="F45" s="8" t="s">
        <v>5</v>
      </c>
      <c r="G45" s="8">
        <f t="shared" si="7"/>
        <v>1</v>
      </c>
      <c r="H45" s="8">
        <f t="shared" si="7"/>
        <v>0</v>
      </c>
      <c r="I45" s="8">
        <f t="shared" si="7"/>
        <v>0</v>
      </c>
      <c r="J45" s="8">
        <f t="shared" si="7"/>
        <v>0</v>
      </c>
      <c r="K45" s="8">
        <f t="shared" si="7"/>
        <v>0</v>
      </c>
    </row>
    <row r="46" spans="1:11" ht="25.5" x14ac:dyDescent="0.25">
      <c r="A46" s="5">
        <f t="shared" si="0"/>
        <v>2.0043000000000091</v>
      </c>
      <c r="B46" s="7"/>
      <c r="C46" s="6" t="s">
        <v>42</v>
      </c>
      <c r="D46" s="8"/>
      <c r="E46" s="8"/>
      <c r="F46" s="8" t="s">
        <v>5</v>
      </c>
      <c r="G46" s="8">
        <f t="shared" si="7"/>
        <v>1</v>
      </c>
      <c r="H46" s="8">
        <f t="shared" si="7"/>
        <v>0</v>
      </c>
      <c r="I46" s="8">
        <f t="shared" si="7"/>
        <v>0</v>
      </c>
      <c r="J46" s="8">
        <f t="shared" si="7"/>
        <v>0</v>
      </c>
      <c r="K46" s="8">
        <f t="shared" si="7"/>
        <v>0</v>
      </c>
    </row>
    <row r="47" spans="1:11" x14ac:dyDescent="0.25">
      <c r="A47" s="5">
        <f t="shared" si="0"/>
        <v>2.0044000000000093</v>
      </c>
      <c r="B47" s="7"/>
      <c r="C47" s="23"/>
      <c r="D47" s="8"/>
      <c r="E47" s="8"/>
      <c r="F47" s="8"/>
      <c r="G47" s="8"/>
      <c r="H47" s="8"/>
      <c r="I47" s="8"/>
      <c r="J47" s="8"/>
      <c r="K47" s="8"/>
    </row>
    <row r="48" spans="1:11" x14ac:dyDescent="0.25">
      <c r="A48" s="5">
        <f t="shared" si="0"/>
        <v>2.0045000000000095</v>
      </c>
      <c r="B48" s="17" t="s">
        <v>48</v>
      </c>
      <c r="C48" s="17"/>
      <c r="D48" s="8"/>
      <c r="E48" s="8"/>
      <c r="F48" s="8"/>
      <c r="G48" s="8"/>
      <c r="H48" s="8"/>
      <c r="I48" s="8"/>
      <c r="J48" s="8"/>
      <c r="K48" s="8"/>
    </row>
    <row r="49" spans="1:11" x14ac:dyDescent="0.25">
      <c r="A49" s="5">
        <f t="shared" si="0"/>
        <v>2.0046000000000097</v>
      </c>
      <c r="B49" s="32" t="s">
        <v>24</v>
      </c>
      <c r="C49" s="6" t="s">
        <v>25</v>
      </c>
      <c r="D49" s="8"/>
      <c r="E49" s="8"/>
      <c r="F49" s="8" t="s">
        <v>5</v>
      </c>
      <c r="G49" s="8">
        <f t="shared" ref="G49:K52" si="8">IF($F49=G$1,1,0)</f>
        <v>1</v>
      </c>
      <c r="H49" s="8">
        <f t="shared" si="8"/>
        <v>0</v>
      </c>
      <c r="I49" s="8">
        <f t="shared" si="8"/>
        <v>0</v>
      </c>
      <c r="J49" s="8">
        <f t="shared" si="8"/>
        <v>0</v>
      </c>
      <c r="K49" s="8">
        <f t="shared" si="8"/>
        <v>0</v>
      </c>
    </row>
    <row r="50" spans="1:11" x14ac:dyDescent="0.25">
      <c r="A50" s="5">
        <f t="shared" si="0"/>
        <v>2.0047000000000099</v>
      </c>
      <c r="B50" s="7"/>
      <c r="C50" s="6" t="s">
        <v>26</v>
      </c>
      <c r="D50" s="8"/>
      <c r="E50" s="8"/>
      <c r="F50" s="8" t="s">
        <v>5</v>
      </c>
      <c r="G50" s="8">
        <f t="shared" si="8"/>
        <v>1</v>
      </c>
      <c r="H50" s="8">
        <f t="shared" si="8"/>
        <v>0</v>
      </c>
      <c r="I50" s="8">
        <f t="shared" si="8"/>
        <v>0</v>
      </c>
      <c r="J50" s="8">
        <f t="shared" si="8"/>
        <v>0</v>
      </c>
      <c r="K50" s="8">
        <f t="shared" si="8"/>
        <v>0</v>
      </c>
    </row>
    <row r="51" spans="1:11" x14ac:dyDescent="0.25">
      <c r="A51" s="5">
        <f t="shared" si="0"/>
        <v>2.0048000000000101</v>
      </c>
      <c r="B51" s="7"/>
      <c r="C51" s="6" t="s">
        <v>43</v>
      </c>
      <c r="D51" s="8"/>
      <c r="E51" s="8"/>
      <c r="F51" s="8" t="s">
        <v>5</v>
      </c>
      <c r="G51" s="8">
        <f t="shared" si="8"/>
        <v>1</v>
      </c>
      <c r="H51" s="8">
        <f t="shared" si="8"/>
        <v>0</v>
      </c>
      <c r="I51" s="8">
        <f t="shared" si="8"/>
        <v>0</v>
      </c>
      <c r="J51" s="8">
        <f t="shared" si="8"/>
        <v>0</v>
      </c>
      <c r="K51" s="8">
        <f t="shared" si="8"/>
        <v>0</v>
      </c>
    </row>
    <row r="52" spans="1:11" x14ac:dyDescent="0.25">
      <c r="A52" s="5">
        <f t="shared" si="0"/>
        <v>2.0049000000000103</v>
      </c>
      <c r="B52" s="7"/>
      <c r="C52" s="6" t="s">
        <v>44</v>
      </c>
      <c r="D52" s="8"/>
      <c r="E52" s="8"/>
      <c r="F52" s="8" t="s">
        <v>5</v>
      </c>
      <c r="G52" s="8">
        <f t="shared" si="8"/>
        <v>1</v>
      </c>
      <c r="H52" s="8">
        <f t="shared" si="8"/>
        <v>0</v>
      </c>
      <c r="I52" s="8">
        <f t="shared" si="8"/>
        <v>0</v>
      </c>
      <c r="J52" s="8">
        <f t="shared" si="8"/>
        <v>0</v>
      </c>
      <c r="K52" s="8">
        <f t="shared" si="8"/>
        <v>0</v>
      </c>
    </row>
    <row r="53" spans="1:11" x14ac:dyDescent="0.25">
      <c r="A53" s="5">
        <f t="shared" si="0"/>
        <v>2.0050000000000106</v>
      </c>
      <c r="B53" s="72" t="s">
        <v>229</v>
      </c>
      <c r="C53" s="60" t="s">
        <v>241</v>
      </c>
      <c r="D53" s="8"/>
      <c r="E53" s="8"/>
      <c r="F53" s="8"/>
      <c r="G53" s="8"/>
      <c r="H53" s="8"/>
      <c r="I53" s="8"/>
      <c r="J53" s="8"/>
      <c r="K53" s="8"/>
    </row>
    <row r="54" spans="1:11" x14ac:dyDescent="0.25">
      <c r="A54" s="5">
        <f t="shared" si="0"/>
        <v>2.0051000000000108</v>
      </c>
      <c r="B54" s="7"/>
      <c r="C54" s="6" t="s">
        <v>409</v>
      </c>
      <c r="D54" s="8"/>
      <c r="E54" s="8"/>
      <c r="F54" s="8" t="s">
        <v>5</v>
      </c>
      <c r="G54" s="8">
        <f t="shared" si="2"/>
        <v>1</v>
      </c>
      <c r="H54" s="8">
        <f t="shared" si="2"/>
        <v>0</v>
      </c>
      <c r="I54" s="8">
        <f t="shared" si="2"/>
        <v>0</v>
      </c>
      <c r="J54" s="8">
        <f t="shared" si="2"/>
        <v>0</v>
      </c>
      <c r="K54" s="8">
        <f t="shared" si="2"/>
        <v>0</v>
      </c>
    </row>
    <row r="55" spans="1:11" x14ac:dyDescent="0.25">
      <c r="A55" s="5">
        <f t="shared" si="0"/>
        <v>2.005200000000011</v>
      </c>
      <c r="B55" s="7"/>
      <c r="C55" s="6" t="s">
        <v>227</v>
      </c>
      <c r="D55" s="8"/>
      <c r="E55" s="8"/>
      <c r="F55" s="8" t="s">
        <v>5</v>
      </c>
      <c r="G55" s="8">
        <f t="shared" si="2"/>
        <v>1</v>
      </c>
      <c r="H55" s="8">
        <f t="shared" si="2"/>
        <v>0</v>
      </c>
      <c r="I55" s="8">
        <f t="shared" si="2"/>
        <v>0</v>
      </c>
      <c r="J55" s="8">
        <f t="shared" si="2"/>
        <v>0</v>
      </c>
      <c r="K55" s="8">
        <f t="shared" si="2"/>
        <v>0</v>
      </c>
    </row>
    <row r="56" spans="1:11" x14ac:dyDescent="0.25">
      <c r="A56" s="5">
        <f t="shared" ref="A56:A127" si="9">A55+0.0001</f>
        <v>2.0053000000000112</v>
      </c>
      <c r="B56" s="7"/>
      <c r="C56" s="6" t="s">
        <v>228</v>
      </c>
      <c r="D56" s="8"/>
      <c r="E56" s="8"/>
      <c r="F56" s="8" t="s">
        <v>5</v>
      </c>
      <c r="G56" s="8">
        <f t="shared" si="2"/>
        <v>1</v>
      </c>
      <c r="H56" s="8">
        <f t="shared" si="2"/>
        <v>0</v>
      </c>
      <c r="I56" s="8">
        <f t="shared" si="2"/>
        <v>0</v>
      </c>
      <c r="J56" s="8">
        <f t="shared" si="2"/>
        <v>0</v>
      </c>
      <c r="K56" s="8">
        <f t="shared" si="2"/>
        <v>0</v>
      </c>
    </row>
    <row r="57" spans="1:11" x14ac:dyDescent="0.25">
      <c r="A57" s="5">
        <f t="shared" si="9"/>
        <v>2.0054000000000114</v>
      </c>
      <c r="B57" s="32" t="s">
        <v>29</v>
      </c>
      <c r="C57" s="27" t="s">
        <v>203</v>
      </c>
      <c r="D57" s="8"/>
      <c r="E57" s="8"/>
      <c r="F57" s="8" t="s">
        <v>5</v>
      </c>
      <c r="G57" s="8">
        <f t="shared" si="2"/>
        <v>1</v>
      </c>
      <c r="H57" s="8">
        <f t="shared" si="2"/>
        <v>0</v>
      </c>
      <c r="I57" s="8">
        <f t="shared" si="2"/>
        <v>0</v>
      </c>
      <c r="J57" s="8">
        <f t="shared" si="2"/>
        <v>0</v>
      </c>
      <c r="K57" s="8">
        <f t="shared" si="2"/>
        <v>0</v>
      </c>
    </row>
    <row r="58" spans="1:11" x14ac:dyDescent="0.25">
      <c r="A58" s="5">
        <f t="shared" si="9"/>
        <v>2.0055000000000116</v>
      </c>
      <c r="B58" s="7"/>
      <c r="C58" s="6" t="s">
        <v>412</v>
      </c>
      <c r="D58" s="8"/>
      <c r="E58" s="8"/>
      <c r="F58" s="8" t="s">
        <v>5</v>
      </c>
      <c r="G58" s="8">
        <f t="shared" si="2"/>
        <v>1</v>
      </c>
      <c r="H58" s="8">
        <f t="shared" si="2"/>
        <v>0</v>
      </c>
      <c r="I58" s="8">
        <f t="shared" si="2"/>
        <v>0</v>
      </c>
      <c r="J58" s="8">
        <f t="shared" si="2"/>
        <v>0</v>
      </c>
      <c r="K58" s="8">
        <f t="shared" si="2"/>
        <v>0</v>
      </c>
    </row>
    <row r="59" spans="1:11" x14ac:dyDescent="0.25">
      <c r="A59" s="5">
        <f t="shared" si="9"/>
        <v>2.0056000000000118</v>
      </c>
      <c r="B59" s="7"/>
      <c r="C59" s="6" t="s">
        <v>50</v>
      </c>
      <c r="D59" s="8"/>
      <c r="E59" s="8"/>
      <c r="F59" s="8" t="s">
        <v>5</v>
      </c>
      <c r="G59" s="8">
        <f t="shared" si="2"/>
        <v>1</v>
      </c>
      <c r="H59" s="8">
        <f t="shared" si="2"/>
        <v>0</v>
      </c>
      <c r="I59" s="8">
        <f t="shared" si="2"/>
        <v>0</v>
      </c>
      <c r="J59" s="8">
        <f t="shared" si="2"/>
        <v>0</v>
      </c>
      <c r="K59" s="8">
        <f t="shared" si="2"/>
        <v>0</v>
      </c>
    </row>
    <row r="60" spans="1:11" x14ac:dyDescent="0.25">
      <c r="A60" s="5">
        <f t="shared" si="9"/>
        <v>2.005700000000012</v>
      </c>
      <c r="B60" s="7"/>
      <c r="C60" s="6" t="s">
        <v>31</v>
      </c>
      <c r="D60" s="8"/>
      <c r="E60" s="8"/>
      <c r="F60" s="8" t="s">
        <v>5</v>
      </c>
      <c r="G60" s="8">
        <f t="shared" si="2"/>
        <v>1</v>
      </c>
      <c r="H60" s="8">
        <f t="shared" si="2"/>
        <v>0</v>
      </c>
      <c r="I60" s="8">
        <f t="shared" ref="G60:K61" si="10">IF($F60=I$1,1,0)</f>
        <v>0</v>
      </c>
      <c r="J60" s="8">
        <f t="shared" si="10"/>
        <v>0</v>
      </c>
      <c r="K60" s="8">
        <f t="shared" si="10"/>
        <v>0</v>
      </c>
    </row>
    <row r="61" spans="1:11" x14ac:dyDescent="0.25">
      <c r="A61" s="5">
        <f t="shared" si="9"/>
        <v>2.0058000000000122</v>
      </c>
      <c r="B61" s="7"/>
      <c r="C61" s="6" t="s">
        <v>226</v>
      </c>
      <c r="D61" s="8"/>
      <c r="E61" s="8"/>
      <c r="F61" s="8" t="s">
        <v>5</v>
      </c>
      <c r="G61" s="8">
        <f t="shared" si="10"/>
        <v>1</v>
      </c>
      <c r="H61" s="8">
        <f t="shared" si="10"/>
        <v>0</v>
      </c>
      <c r="I61" s="8">
        <f t="shared" si="10"/>
        <v>0</v>
      </c>
      <c r="J61" s="8">
        <f t="shared" si="10"/>
        <v>0</v>
      </c>
      <c r="K61" s="8">
        <f t="shared" si="10"/>
        <v>0</v>
      </c>
    </row>
    <row r="62" spans="1:11" x14ac:dyDescent="0.25">
      <c r="A62" s="5">
        <f t="shared" si="9"/>
        <v>2.0059000000000125</v>
      </c>
      <c r="B62" s="7"/>
      <c r="C62" s="6" t="s">
        <v>390</v>
      </c>
      <c r="D62" s="8"/>
      <c r="E62" s="8"/>
      <c r="F62" s="8"/>
      <c r="G62" s="8"/>
      <c r="H62" s="8"/>
      <c r="I62" s="8"/>
      <c r="J62" s="8"/>
      <c r="K62" s="8"/>
    </row>
    <row r="63" spans="1:11" x14ac:dyDescent="0.25">
      <c r="A63" s="5">
        <f t="shared" si="9"/>
        <v>2.0060000000000127</v>
      </c>
      <c r="B63" s="72" t="s">
        <v>229</v>
      </c>
      <c r="C63" s="60" t="s">
        <v>238</v>
      </c>
      <c r="D63" s="8"/>
      <c r="E63" s="8"/>
      <c r="F63" s="8"/>
      <c r="G63" s="8"/>
      <c r="H63" s="8"/>
      <c r="I63" s="8"/>
      <c r="J63" s="8"/>
      <c r="K63" s="8"/>
    </row>
    <row r="64" spans="1:11" x14ac:dyDescent="0.25">
      <c r="A64" s="5">
        <f t="shared" si="9"/>
        <v>2.0061000000000129</v>
      </c>
      <c r="B64" s="7"/>
      <c r="C64" s="6" t="s">
        <v>411</v>
      </c>
      <c r="D64" s="8"/>
      <c r="E64" s="8"/>
      <c r="F64" s="8" t="s">
        <v>5</v>
      </c>
      <c r="G64" s="8">
        <f t="shared" si="2"/>
        <v>1</v>
      </c>
      <c r="H64" s="8">
        <f t="shared" si="2"/>
        <v>0</v>
      </c>
      <c r="I64" s="8">
        <f t="shared" si="2"/>
        <v>0</v>
      </c>
      <c r="J64" s="8">
        <f t="shared" si="2"/>
        <v>0</v>
      </c>
      <c r="K64" s="8">
        <f t="shared" si="2"/>
        <v>0</v>
      </c>
    </row>
    <row r="65" spans="1:11" x14ac:dyDescent="0.25">
      <c r="A65" s="5">
        <f t="shared" si="9"/>
        <v>2.0062000000000131</v>
      </c>
      <c r="B65" s="7"/>
      <c r="C65" s="6" t="s">
        <v>227</v>
      </c>
      <c r="D65" s="8"/>
      <c r="E65" s="8"/>
      <c r="F65" s="8" t="s">
        <v>5</v>
      </c>
      <c r="G65" s="8">
        <f t="shared" si="2"/>
        <v>1</v>
      </c>
      <c r="H65" s="8">
        <f t="shared" si="2"/>
        <v>0</v>
      </c>
      <c r="I65" s="8">
        <f t="shared" si="2"/>
        <v>0</v>
      </c>
      <c r="J65" s="8">
        <f t="shared" si="2"/>
        <v>0</v>
      </c>
      <c r="K65" s="8">
        <f t="shared" si="2"/>
        <v>0</v>
      </c>
    </row>
    <row r="66" spans="1:11" x14ac:dyDescent="0.25">
      <c r="A66" s="5">
        <f t="shared" si="9"/>
        <v>2.0063000000000133</v>
      </c>
      <c r="B66" s="7"/>
      <c r="C66" s="6" t="s">
        <v>228</v>
      </c>
      <c r="D66" s="8"/>
      <c r="E66" s="8"/>
      <c r="F66" s="8" t="s">
        <v>5</v>
      </c>
      <c r="G66" s="8">
        <f t="shared" si="2"/>
        <v>1</v>
      </c>
      <c r="H66" s="8">
        <f t="shared" si="2"/>
        <v>0</v>
      </c>
      <c r="I66" s="8">
        <f t="shared" si="2"/>
        <v>0</v>
      </c>
      <c r="J66" s="8">
        <f t="shared" si="2"/>
        <v>0</v>
      </c>
      <c r="K66" s="8">
        <f t="shared" si="2"/>
        <v>0</v>
      </c>
    </row>
    <row r="67" spans="1:11" x14ac:dyDescent="0.25">
      <c r="A67" s="5">
        <f t="shared" si="9"/>
        <v>2.0064000000000135</v>
      </c>
      <c r="B67" s="32" t="s">
        <v>29</v>
      </c>
      <c r="C67" s="27" t="s">
        <v>203</v>
      </c>
      <c r="D67" s="8"/>
      <c r="E67" s="8"/>
      <c r="F67" s="8"/>
      <c r="G67" s="8"/>
      <c r="H67" s="8"/>
      <c r="I67" s="8"/>
      <c r="J67" s="8"/>
      <c r="K67" s="8"/>
    </row>
    <row r="68" spans="1:11" x14ac:dyDescent="0.25">
      <c r="A68" s="5">
        <f t="shared" si="9"/>
        <v>2.0065000000000137</v>
      </c>
      <c r="B68" s="7"/>
      <c r="C68" s="6" t="s">
        <v>412</v>
      </c>
      <c r="D68" s="8"/>
      <c r="E68" s="8"/>
      <c r="F68" s="8" t="s">
        <v>434</v>
      </c>
      <c r="G68" s="8">
        <f t="shared" si="2"/>
        <v>1</v>
      </c>
      <c r="H68" s="8">
        <f t="shared" si="2"/>
        <v>0</v>
      </c>
      <c r="I68" s="8">
        <f t="shared" si="2"/>
        <v>0</v>
      </c>
      <c r="J68" s="8">
        <f t="shared" si="2"/>
        <v>0</v>
      </c>
      <c r="K68" s="8">
        <f t="shared" si="2"/>
        <v>0</v>
      </c>
    </row>
    <row r="69" spans="1:11" x14ac:dyDescent="0.25">
      <c r="A69" s="5">
        <f t="shared" si="9"/>
        <v>2.0066000000000139</v>
      </c>
      <c r="B69" s="7"/>
      <c r="C69" s="6" t="s">
        <v>50</v>
      </c>
      <c r="D69" s="8"/>
      <c r="E69" s="8"/>
      <c r="F69" s="8" t="s">
        <v>434</v>
      </c>
      <c r="G69" s="8">
        <f t="shared" si="2"/>
        <v>1</v>
      </c>
      <c r="H69" s="8">
        <f t="shared" si="2"/>
        <v>0</v>
      </c>
      <c r="I69" s="8">
        <f t="shared" si="2"/>
        <v>0</v>
      </c>
      <c r="J69" s="8">
        <f t="shared" si="2"/>
        <v>0</v>
      </c>
      <c r="K69" s="8">
        <f t="shared" si="2"/>
        <v>0</v>
      </c>
    </row>
    <row r="70" spans="1:11" x14ac:dyDescent="0.25">
      <c r="A70" s="5">
        <f t="shared" si="9"/>
        <v>2.0067000000000141</v>
      </c>
      <c r="B70" s="7"/>
      <c r="C70" s="6" t="s">
        <v>31</v>
      </c>
      <c r="D70" s="8"/>
      <c r="E70" s="8"/>
      <c r="F70" s="8" t="s">
        <v>434</v>
      </c>
      <c r="G70" s="8">
        <f t="shared" si="2"/>
        <v>1</v>
      </c>
      <c r="H70" s="8">
        <f t="shared" si="2"/>
        <v>0</v>
      </c>
      <c r="I70" s="8">
        <f t="shared" si="2"/>
        <v>0</v>
      </c>
      <c r="J70" s="8">
        <f t="shared" si="2"/>
        <v>0</v>
      </c>
      <c r="K70" s="8">
        <f t="shared" si="2"/>
        <v>0</v>
      </c>
    </row>
    <row r="71" spans="1:11" ht="25.5" x14ac:dyDescent="0.25">
      <c r="A71" s="5">
        <f t="shared" si="9"/>
        <v>2.0068000000000144</v>
      </c>
      <c r="B71" s="7"/>
      <c r="C71" s="6" t="s">
        <v>225</v>
      </c>
      <c r="D71" s="8"/>
      <c r="E71" s="8"/>
      <c r="F71" s="8" t="s">
        <v>434</v>
      </c>
      <c r="G71" s="8">
        <f t="shared" si="2"/>
        <v>1</v>
      </c>
      <c r="H71" s="8">
        <f t="shared" si="2"/>
        <v>0</v>
      </c>
      <c r="I71" s="8">
        <f t="shared" si="2"/>
        <v>0</v>
      </c>
      <c r="J71" s="8">
        <f t="shared" si="2"/>
        <v>0</v>
      </c>
      <c r="K71" s="8">
        <f t="shared" si="2"/>
        <v>0</v>
      </c>
    </row>
    <row r="72" spans="1:11" x14ac:dyDescent="0.25">
      <c r="A72" s="5"/>
      <c r="B72" s="72" t="s">
        <v>229</v>
      </c>
      <c r="C72" s="60" t="s">
        <v>408</v>
      </c>
      <c r="D72" s="8"/>
      <c r="E72" s="8"/>
      <c r="F72" s="8" t="s">
        <v>434</v>
      </c>
      <c r="G72" s="8">
        <f t="shared" si="2"/>
        <v>1</v>
      </c>
      <c r="H72" s="8">
        <f t="shared" si="2"/>
        <v>0</v>
      </c>
      <c r="I72" s="8">
        <f t="shared" si="2"/>
        <v>0</v>
      </c>
      <c r="J72" s="8">
        <f t="shared" si="2"/>
        <v>0</v>
      </c>
      <c r="K72" s="8">
        <f t="shared" si="2"/>
        <v>0</v>
      </c>
    </row>
    <row r="73" spans="1:11" x14ac:dyDescent="0.25">
      <c r="A73" s="5"/>
      <c r="B73" s="7"/>
      <c r="C73" s="6" t="s">
        <v>409</v>
      </c>
      <c r="D73" s="8"/>
      <c r="E73" s="8"/>
      <c r="F73" s="8" t="s">
        <v>434</v>
      </c>
      <c r="G73" s="8">
        <f t="shared" si="2"/>
        <v>1</v>
      </c>
      <c r="H73" s="8">
        <f t="shared" si="2"/>
        <v>0</v>
      </c>
      <c r="I73" s="8">
        <f t="shared" si="2"/>
        <v>0</v>
      </c>
      <c r="J73" s="8">
        <f t="shared" si="2"/>
        <v>0</v>
      </c>
      <c r="K73" s="8">
        <f t="shared" si="2"/>
        <v>0</v>
      </c>
    </row>
    <row r="74" spans="1:11" x14ac:dyDescent="0.25">
      <c r="A74" s="5"/>
      <c r="B74" s="7"/>
      <c r="C74" s="6" t="s">
        <v>227</v>
      </c>
      <c r="D74" s="8"/>
      <c r="E74" s="8"/>
      <c r="F74" s="8" t="s">
        <v>434</v>
      </c>
      <c r="G74" s="8">
        <f t="shared" si="2"/>
        <v>1</v>
      </c>
      <c r="H74" s="8">
        <f t="shared" si="2"/>
        <v>0</v>
      </c>
      <c r="I74" s="8">
        <f t="shared" si="2"/>
        <v>0</v>
      </c>
      <c r="J74" s="8">
        <f t="shared" si="2"/>
        <v>0</v>
      </c>
      <c r="K74" s="8">
        <f t="shared" si="2"/>
        <v>0</v>
      </c>
    </row>
    <row r="75" spans="1:11" x14ac:dyDescent="0.25">
      <c r="A75" s="5"/>
      <c r="B75" s="7"/>
      <c r="C75" s="6" t="s">
        <v>228</v>
      </c>
      <c r="D75" s="8"/>
      <c r="E75" s="8"/>
      <c r="F75" s="8" t="s">
        <v>434</v>
      </c>
      <c r="G75" s="8">
        <f t="shared" si="2"/>
        <v>1</v>
      </c>
      <c r="H75" s="8">
        <f t="shared" si="2"/>
        <v>0</v>
      </c>
      <c r="I75" s="8">
        <f t="shared" si="2"/>
        <v>0</v>
      </c>
      <c r="J75" s="8">
        <f t="shared" si="2"/>
        <v>0</v>
      </c>
      <c r="K75" s="8">
        <f t="shared" si="2"/>
        <v>0</v>
      </c>
    </row>
    <row r="76" spans="1:11" x14ac:dyDescent="0.25">
      <c r="A76" s="5"/>
      <c r="B76" s="32" t="s">
        <v>29</v>
      </c>
      <c r="C76" s="27" t="s">
        <v>203</v>
      </c>
      <c r="D76" s="8"/>
      <c r="E76" s="8"/>
      <c r="F76" s="8" t="s">
        <v>434</v>
      </c>
      <c r="G76" s="8">
        <f t="shared" si="2"/>
        <v>1</v>
      </c>
      <c r="H76" s="8">
        <f t="shared" si="2"/>
        <v>0</v>
      </c>
      <c r="I76" s="8">
        <f t="shared" si="2"/>
        <v>0</v>
      </c>
      <c r="J76" s="8">
        <f t="shared" si="2"/>
        <v>0</v>
      </c>
      <c r="K76" s="8">
        <f t="shared" si="2"/>
        <v>0</v>
      </c>
    </row>
    <row r="77" spans="1:11" x14ac:dyDescent="0.25">
      <c r="A77" s="5"/>
      <c r="B77" s="7"/>
      <c r="C77" s="6" t="s">
        <v>412</v>
      </c>
      <c r="D77" s="8"/>
      <c r="E77" s="8"/>
      <c r="F77" s="8" t="s">
        <v>434</v>
      </c>
      <c r="G77" s="8">
        <f t="shared" si="2"/>
        <v>1</v>
      </c>
      <c r="H77" s="8">
        <f t="shared" si="2"/>
        <v>0</v>
      </c>
      <c r="I77" s="8">
        <f t="shared" si="2"/>
        <v>0</v>
      </c>
      <c r="J77" s="8">
        <f t="shared" si="2"/>
        <v>0</v>
      </c>
      <c r="K77" s="8">
        <f t="shared" si="2"/>
        <v>0</v>
      </c>
    </row>
    <row r="78" spans="1:11" x14ac:dyDescent="0.25">
      <c r="A78" s="5"/>
      <c r="B78" s="7"/>
      <c r="C78" s="6" t="s">
        <v>50</v>
      </c>
      <c r="D78" s="8"/>
      <c r="E78" s="8"/>
      <c r="F78" s="8" t="s">
        <v>434</v>
      </c>
      <c r="G78" s="8">
        <f t="shared" si="2"/>
        <v>1</v>
      </c>
      <c r="H78" s="8">
        <f t="shared" si="2"/>
        <v>0</v>
      </c>
      <c r="I78" s="8">
        <f t="shared" si="2"/>
        <v>0</v>
      </c>
      <c r="J78" s="8">
        <f t="shared" si="2"/>
        <v>0</v>
      </c>
      <c r="K78" s="8">
        <f t="shared" si="2"/>
        <v>0</v>
      </c>
    </row>
    <row r="79" spans="1:11" x14ac:dyDescent="0.25">
      <c r="A79" s="5"/>
      <c r="B79" s="7"/>
      <c r="C79" s="6" t="s">
        <v>31</v>
      </c>
      <c r="D79" s="8"/>
      <c r="E79" s="8"/>
      <c r="F79" s="8" t="s">
        <v>434</v>
      </c>
      <c r="G79" s="8">
        <f t="shared" si="2"/>
        <v>1</v>
      </c>
      <c r="H79" s="8">
        <f t="shared" si="2"/>
        <v>0</v>
      </c>
      <c r="I79" s="8">
        <f t="shared" si="2"/>
        <v>0</v>
      </c>
      <c r="J79" s="8">
        <f t="shared" si="2"/>
        <v>0</v>
      </c>
      <c r="K79" s="8">
        <f t="shared" si="2"/>
        <v>0</v>
      </c>
    </row>
    <row r="80" spans="1:11" ht="25.5" x14ac:dyDescent="0.25">
      <c r="A80" s="5">
        <f>A71+0.0001</f>
        <v>2.0069000000000146</v>
      </c>
      <c r="B80" s="7"/>
      <c r="C80" s="6" t="s">
        <v>225</v>
      </c>
      <c r="D80" s="8"/>
      <c r="E80" s="8"/>
      <c r="F80" s="8" t="s">
        <v>434</v>
      </c>
      <c r="G80" s="8">
        <f t="shared" si="2"/>
        <v>1</v>
      </c>
      <c r="H80" s="8">
        <f t="shared" si="2"/>
        <v>0</v>
      </c>
      <c r="I80" s="8">
        <f t="shared" si="2"/>
        <v>0</v>
      </c>
      <c r="J80" s="8">
        <f t="shared" si="2"/>
        <v>0</v>
      </c>
      <c r="K80" s="8">
        <f t="shared" si="2"/>
        <v>0</v>
      </c>
    </row>
    <row r="81" spans="1:11" x14ac:dyDescent="0.25">
      <c r="A81" s="5">
        <f t="shared" si="9"/>
        <v>2.0070000000000148</v>
      </c>
      <c r="B81" s="7" t="s">
        <v>240</v>
      </c>
      <c r="C81" s="6" t="s">
        <v>45</v>
      </c>
      <c r="D81" s="8"/>
      <c r="E81" s="8"/>
      <c r="F81" s="8" t="s">
        <v>434</v>
      </c>
      <c r="G81" s="8">
        <f t="shared" si="2"/>
        <v>1</v>
      </c>
      <c r="H81" s="8">
        <f t="shared" si="2"/>
        <v>0</v>
      </c>
      <c r="I81" s="8">
        <f t="shared" si="2"/>
        <v>0</v>
      </c>
      <c r="J81" s="8">
        <f t="shared" si="2"/>
        <v>0</v>
      </c>
      <c r="K81" s="8">
        <f t="shared" si="2"/>
        <v>0</v>
      </c>
    </row>
    <row r="82" spans="1:11" x14ac:dyDescent="0.25">
      <c r="A82" s="5">
        <f t="shared" si="9"/>
        <v>2.007100000000015</v>
      </c>
      <c r="B82" s="7"/>
      <c r="C82" s="6" t="s">
        <v>46</v>
      </c>
      <c r="D82" s="8"/>
      <c r="E82" s="8"/>
      <c r="F82" s="8" t="s">
        <v>434</v>
      </c>
      <c r="G82" s="8">
        <f t="shared" si="2"/>
        <v>1</v>
      </c>
      <c r="H82" s="8">
        <f t="shared" si="2"/>
        <v>0</v>
      </c>
      <c r="I82" s="8">
        <f t="shared" si="2"/>
        <v>0</v>
      </c>
      <c r="J82" s="8">
        <f t="shared" si="2"/>
        <v>0</v>
      </c>
      <c r="K82" s="8">
        <f t="shared" si="2"/>
        <v>0</v>
      </c>
    </row>
    <row r="83" spans="1:11" x14ac:dyDescent="0.25">
      <c r="A83" s="5">
        <f t="shared" si="9"/>
        <v>2.0072000000000152</v>
      </c>
      <c r="B83" s="7"/>
      <c r="C83" s="6" t="s">
        <v>47</v>
      </c>
      <c r="D83" s="8"/>
      <c r="E83" s="8"/>
      <c r="F83" s="8" t="s">
        <v>434</v>
      </c>
      <c r="G83" s="8">
        <f t="shared" si="2"/>
        <v>1</v>
      </c>
      <c r="H83" s="8">
        <f t="shared" si="2"/>
        <v>0</v>
      </c>
      <c r="I83" s="8">
        <f t="shared" si="2"/>
        <v>0</v>
      </c>
      <c r="J83" s="8">
        <f t="shared" si="2"/>
        <v>0</v>
      </c>
      <c r="K83" s="8">
        <f t="shared" si="2"/>
        <v>0</v>
      </c>
    </row>
    <row r="84" spans="1:11" x14ac:dyDescent="0.25">
      <c r="A84" s="5">
        <f t="shared" si="9"/>
        <v>2.0073000000000154</v>
      </c>
      <c r="B84" s="7"/>
      <c r="C84" s="6"/>
      <c r="D84" s="8"/>
      <c r="E84" s="8"/>
      <c r="F84" s="8"/>
      <c r="G84" s="8"/>
      <c r="H84" s="8"/>
      <c r="I84" s="8"/>
      <c r="J84" s="8"/>
      <c r="K84" s="8"/>
    </row>
    <row r="85" spans="1:11" x14ac:dyDescent="0.25">
      <c r="A85" s="5">
        <f t="shared" si="9"/>
        <v>2.0074000000000156</v>
      </c>
      <c r="B85" s="7" t="s">
        <v>243</v>
      </c>
      <c r="C85" s="6" t="s">
        <v>55</v>
      </c>
      <c r="D85" s="8"/>
      <c r="E85" s="8"/>
      <c r="F85" s="8" t="s">
        <v>5</v>
      </c>
      <c r="G85" s="8">
        <f t="shared" ref="G85:K89" si="11">IF($F85=G$1,1,0)</f>
        <v>1</v>
      </c>
      <c r="H85" s="8">
        <f t="shared" si="11"/>
        <v>0</v>
      </c>
      <c r="I85" s="8">
        <f t="shared" si="11"/>
        <v>0</v>
      </c>
      <c r="J85" s="8">
        <f t="shared" si="11"/>
        <v>0</v>
      </c>
      <c r="K85" s="8">
        <f t="shared" si="11"/>
        <v>0</v>
      </c>
    </row>
    <row r="86" spans="1:11" x14ac:dyDescent="0.25">
      <c r="A86" s="5">
        <f t="shared" si="9"/>
        <v>2.0075000000000158</v>
      </c>
      <c r="B86" s="7"/>
      <c r="C86" s="6" t="s">
        <v>54</v>
      </c>
      <c r="D86" s="8"/>
      <c r="E86" s="8"/>
      <c r="F86" s="8" t="s">
        <v>5</v>
      </c>
      <c r="G86" s="8">
        <f t="shared" si="11"/>
        <v>1</v>
      </c>
      <c r="H86" s="8">
        <f t="shared" si="11"/>
        <v>0</v>
      </c>
      <c r="I86" s="8">
        <f t="shared" si="11"/>
        <v>0</v>
      </c>
      <c r="J86" s="8">
        <f t="shared" si="11"/>
        <v>0</v>
      </c>
      <c r="K86" s="8">
        <f t="shared" si="11"/>
        <v>0</v>
      </c>
    </row>
    <row r="87" spans="1:11" x14ac:dyDescent="0.25">
      <c r="A87" s="5">
        <f t="shared" si="9"/>
        <v>2.007600000000016</v>
      </c>
      <c r="B87" s="7"/>
      <c r="C87" s="6" t="s">
        <v>53</v>
      </c>
      <c r="D87" s="8"/>
      <c r="E87" s="8"/>
      <c r="F87" s="8" t="s">
        <v>5</v>
      </c>
      <c r="G87" s="8">
        <f t="shared" si="11"/>
        <v>1</v>
      </c>
      <c r="H87" s="8">
        <f t="shared" si="11"/>
        <v>0</v>
      </c>
      <c r="I87" s="8">
        <f t="shared" si="11"/>
        <v>0</v>
      </c>
      <c r="J87" s="8">
        <f t="shared" si="11"/>
        <v>0</v>
      </c>
      <c r="K87" s="8">
        <f t="shared" si="11"/>
        <v>0</v>
      </c>
    </row>
    <row r="88" spans="1:11" x14ac:dyDescent="0.25">
      <c r="A88" s="5">
        <f t="shared" si="9"/>
        <v>2.0077000000000162</v>
      </c>
      <c r="B88" s="7"/>
      <c r="C88" s="6" t="s">
        <v>52</v>
      </c>
      <c r="D88" s="8"/>
      <c r="E88" s="8"/>
      <c r="F88" s="8" t="s">
        <v>5</v>
      </c>
      <c r="G88" s="8">
        <f t="shared" si="11"/>
        <v>1</v>
      </c>
      <c r="H88" s="8">
        <f t="shared" si="11"/>
        <v>0</v>
      </c>
      <c r="I88" s="8">
        <f t="shared" si="11"/>
        <v>0</v>
      </c>
      <c r="J88" s="8">
        <f t="shared" si="11"/>
        <v>0</v>
      </c>
      <c r="K88" s="8">
        <f t="shared" si="11"/>
        <v>0</v>
      </c>
    </row>
    <row r="89" spans="1:11" x14ac:dyDescent="0.25">
      <c r="A89" s="5">
        <f t="shared" si="9"/>
        <v>2.0078000000000165</v>
      </c>
      <c r="B89" s="6"/>
      <c r="C89" s="6" t="s">
        <v>51</v>
      </c>
      <c r="D89" s="8"/>
      <c r="E89" s="8"/>
      <c r="F89" s="8" t="s">
        <v>5</v>
      </c>
      <c r="G89" s="8">
        <f t="shared" si="11"/>
        <v>1</v>
      </c>
      <c r="H89" s="8">
        <f t="shared" si="11"/>
        <v>0</v>
      </c>
      <c r="I89" s="8">
        <f t="shared" si="11"/>
        <v>0</v>
      </c>
      <c r="J89" s="8">
        <f t="shared" si="11"/>
        <v>0</v>
      </c>
      <c r="K89" s="8">
        <f t="shared" si="11"/>
        <v>0</v>
      </c>
    </row>
    <row r="90" spans="1:11" x14ac:dyDescent="0.25">
      <c r="A90" s="5">
        <f t="shared" si="9"/>
        <v>2.0079000000000167</v>
      </c>
      <c r="B90" s="6"/>
      <c r="C90" s="23"/>
      <c r="D90" s="8"/>
      <c r="E90" s="8"/>
      <c r="F90" s="8"/>
      <c r="G90" s="8"/>
      <c r="H90" s="8"/>
      <c r="I90" s="8"/>
      <c r="J90" s="8"/>
      <c r="K90" s="8"/>
    </row>
    <row r="91" spans="1:11" x14ac:dyDescent="0.25">
      <c r="A91" s="5">
        <f t="shared" si="9"/>
        <v>2.0080000000000169</v>
      </c>
      <c r="B91" s="60" t="s">
        <v>221</v>
      </c>
      <c r="C91" s="61"/>
      <c r="D91" s="8"/>
      <c r="E91" s="8"/>
      <c r="F91" s="8"/>
      <c r="G91" s="8"/>
      <c r="H91" s="8"/>
      <c r="I91" s="8"/>
      <c r="J91" s="8"/>
      <c r="K91" s="8"/>
    </row>
    <row r="92" spans="1:11" x14ac:dyDescent="0.25">
      <c r="A92" s="5">
        <f t="shared" si="9"/>
        <v>2.0081000000000171</v>
      </c>
      <c r="B92" s="17" t="s">
        <v>185</v>
      </c>
      <c r="C92" s="18"/>
      <c r="D92" s="17"/>
      <c r="E92" s="8"/>
      <c r="F92" s="8"/>
      <c r="G92" s="8"/>
      <c r="H92" s="8"/>
      <c r="I92" s="8"/>
      <c r="J92" s="8"/>
      <c r="K92" s="8"/>
    </row>
    <row r="93" spans="1:11" ht="38.25" x14ac:dyDescent="0.25">
      <c r="A93" s="5">
        <f t="shared" si="9"/>
        <v>2.0082000000000173</v>
      </c>
      <c r="B93" s="6" t="s">
        <v>413</v>
      </c>
      <c r="C93" s="6" t="s">
        <v>414</v>
      </c>
      <c r="D93" s="7" t="s">
        <v>164</v>
      </c>
      <c r="E93" s="8"/>
      <c r="F93" s="8" t="s">
        <v>5</v>
      </c>
      <c r="G93" s="8">
        <f t="shared" ref="G93:K96" si="12">IF($F93=G$1,1,0)</f>
        <v>1</v>
      </c>
      <c r="H93" s="8">
        <f t="shared" si="12"/>
        <v>0</v>
      </c>
      <c r="I93" s="8">
        <f t="shared" si="12"/>
        <v>0</v>
      </c>
      <c r="J93" s="8">
        <f t="shared" si="12"/>
        <v>0</v>
      </c>
      <c r="K93" s="8">
        <f t="shared" si="12"/>
        <v>0</v>
      </c>
    </row>
    <row r="94" spans="1:11" ht="38.25" x14ac:dyDescent="0.25">
      <c r="A94" s="5">
        <f t="shared" si="9"/>
        <v>2.0083000000000175</v>
      </c>
      <c r="B94" s="6" t="s">
        <v>104</v>
      </c>
      <c r="C94" s="6" t="s">
        <v>165</v>
      </c>
      <c r="D94" s="7" t="s">
        <v>187</v>
      </c>
      <c r="E94" s="8"/>
      <c r="F94" s="8" t="s">
        <v>5</v>
      </c>
      <c r="G94" s="8">
        <f t="shared" si="12"/>
        <v>1</v>
      </c>
      <c r="H94" s="8">
        <f t="shared" si="12"/>
        <v>0</v>
      </c>
      <c r="I94" s="8">
        <f t="shared" si="12"/>
        <v>0</v>
      </c>
      <c r="J94" s="8">
        <f t="shared" si="12"/>
        <v>0</v>
      </c>
      <c r="K94" s="8">
        <f t="shared" si="12"/>
        <v>0</v>
      </c>
    </row>
    <row r="95" spans="1:11" x14ac:dyDescent="0.25">
      <c r="A95" s="5">
        <f t="shared" si="9"/>
        <v>2.0084000000000177</v>
      </c>
      <c r="B95" s="6" t="s">
        <v>15</v>
      </c>
      <c r="C95" s="6" t="s">
        <v>105</v>
      </c>
      <c r="D95" s="7"/>
      <c r="E95" s="8"/>
      <c r="F95" s="8" t="s">
        <v>5</v>
      </c>
      <c r="G95" s="8">
        <f t="shared" si="12"/>
        <v>1</v>
      </c>
      <c r="H95" s="8">
        <f t="shared" si="12"/>
        <v>0</v>
      </c>
      <c r="I95" s="8">
        <f t="shared" si="12"/>
        <v>0</v>
      </c>
      <c r="J95" s="8">
        <f t="shared" si="12"/>
        <v>0</v>
      </c>
      <c r="K95" s="8">
        <f t="shared" si="12"/>
        <v>0</v>
      </c>
    </row>
    <row r="96" spans="1:11" ht="25.5" x14ac:dyDescent="0.25">
      <c r="A96" s="5">
        <f t="shared" si="9"/>
        <v>2.0085000000000179</v>
      </c>
      <c r="B96" s="6" t="s">
        <v>186</v>
      </c>
      <c r="C96" s="6" t="s">
        <v>103</v>
      </c>
      <c r="D96" s="7"/>
      <c r="E96" s="8"/>
      <c r="F96" s="8" t="s">
        <v>5</v>
      </c>
      <c r="G96" s="8">
        <f t="shared" si="12"/>
        <v>1</v>
      </c>
      <c r="H96" s="8">
        <f t="shared" si="12"/>
        <v>0</v>
      </c>
      <c r="I96" s="8">
        <f t="shared" si="12"/>
        <v>0</v>
      </c>
      <c r="J96" s="8">
        <f t="shared" si="12"/>
        <v>0</v>
      </c>
      <c r="K96" s="8">
        <f t="shared" si="12"/>
        <v>0</v>
      </c>
    </row>
    <row r="97" spans="1:11" x14ac:dyDescent="0.25">
      <c r="A97" s="5">
        <f t="shared" si="9"/>
        <v>2.0086000000000181</v>
      </c>
      <c r="B97" s="6" t="s">
        <v>104</v>
      </c>
      <c r="C97" s="6" t="s">
        <v>166</v>
      </c>
      <c r="D97" s="7"/>
      <c r="E97" s="8"/>
      <c r="F97" s="8" t="s">
        <v>5</v>
      </c>
      <c r="G97" s="8">
        <f t="shared" ref="G97:K101" si="13">IF($F97=G$1,1,0)</f>
        <v>1</v>
      </c>
      <c r="H97" s="8">
        <f t="shared" si="13"/>
        <v>0</v>
      </c>
      <c r="I97" s="8">
        <f t="shared" si="13"/>
        <v>0</v>
      </c>
      <c r="J97" s="8">
        <f t="shared" si="13"/>
        <v>0</v>
      </c>
      <c r="K97" s="8">
        <f t="shared" si="13"/>
        <v>0</v>
      </c>
    </row>
    <row r="98" spans="1:11" x14ac:dyDescent="0.25">
      <c r="A98" s="5">
        <f t="shared" si="9"/>
        <v>2.0087000000000184</v>
      </c>
      <c r="B98" s="6" t="s">
        <v>15</v>
      </c>
      <c r="C98" s="6" t="s">
        <v>105</v>
      </c>
      <c r="D98" s="7"/>
      <c r="E98" s="8"/>
      <c r="F98" s="8" t="s">
        <v>5</v>
      </c>
      <c r="G98" s="8">
        <f t="shared" si="13"/>
        <v>1</v>
      </c>
      <c r="H98" s="8">
        <f t="shared" si="13"/>
        <v>0</v>
      </c>
      <c r="I98" s="8">
        <f t="shared" si="13"/>
        <v>0</v>
      </c>
      <c r="J98" s="8">
        <f t="shared" si="13"/>
        <v>0</v>
      </c>
      <c r="K98" s="8">
        <f t="shared" si="13"/>
        <v>0</v>
      </c>
    </row>
    <row r="99" spans="1:11" x14ac:dyDescent="0.25">
      <c r="A99" s="5">
        <f t="shared" si="9"/>
        <v>2.0088000000000186</v>
      </c>
      <c r="B99" s="62" t="s">
        <v>407</v>
      </c>
      <c r="C99" s="73" t="s">
        <v>254</v>
      </c>
      <c r="D99" s="65"/>
      <c r="E99" s="8"/>
      <c r="F99" s="8" t="s">
        <v>5</v>
      </c>
      <c r="G99" s="8">
        <f t="shared" si="13"/>
        <v>1</v>
      </c>
      <c r="H99" s="8">
        <f t="shared" si="13"/>
        <v>0</v>
      </c>
      <c r="I99" s="8">
        <f t="shared" si="13"/>
        <v>0</v>
      </c>
      <c r="J99" s="8">
        <f t="shared" si="13"/>
        <v>0</v>
      </c>
      <c r="K99" s="8">
        <f t="shared" si="13"/>
        <v>0</v>
      </c>
    </row>
    <row r="100" spans="1:11" x14ac:dyDescent="0.25">
      <c r="A100" s="5">
        <f t="shared" si="9"/>
        <v>2.0089000000000188</v>
      </c>
      <c r="B100" s="48" t="s">
        <v>216</v>
      </c>
      <c r="C100" s="49" t="s">
        <v>217</v>
      </c>
      <c r="D100" s="18"/>
      <c r="E100" s="8"/>
      <c r="F100" s="8"/>
      <c r="G100" s="8"/>
      <c r="H100" s="8"/>
      <c r="I100" s="8"/>
      <c r="J100" s="8"/>
      <c r="K100" s="8"/>
    </row>
    <row r="101" spans="1:11" x14ac:dyDescent="0.25">
      <c r="A101" s="5">
        <f t="shared" si="9"/>
        <v>2.009000000000019</v>
      </c>
      <c r="B101" s="28" t="s">
        <v>174</v>
      </c>
      <c r="C101" s="22" t="s">
        <v>175</v>
      </c>
      <c r="D101" s="54"/>
      <c r="E101" s="8"/>
      <c r="F101" s="8" t="s">
        <v>5</v>
      </c>
      <c r="G101" s="8">
        <f t="shared" si="13"/>
        <v>1</v>
      </c>
      <c r="H101" s="8">
        <f t="shared" si="13"/>
        <v>0</v>
      </c>
      <c r="I101" s="8">
        <f t="shared" si="13"/>
        <v>0</v>
      </c>
      <c r="J101" s="8">
        <f t="shared" si="13"/>
        <v>0</v>
      </c>
      <c r="K101" s="8">
        <f t="shared" si="13"/>
        <v>0</v>
      </c>
    </row>
    <row r="102" spans="1:11" x14ac:dyDescent="0.25">
      <c r="A102" s="5">
        <f t="shared" si="9"/>
        <v>2.0091000000000192</v>
      </c>
      <c r="B102" s="6"/>
      <c r="C102" s="23"/>
      <c r="D102" s="54"/>
      <c r="E102" s="8"/>
      <c r="F102" s="8"/>
      <c r="G102" s="8"/>
      <c r="H102" s="8"/>
      <c r="I102" s="8"/>
      <c r="J102" s="8"/>
      <c r="K102" s="8"/>
    </row>
    <row r="103" spans="1:11" ht="38.25" x14ac:dyDescent="0.25">
      <c r="A103" s="5">
        <f t="shared" si="9"/>
        <v>2.0092000000000194</v>
      </c>
      <c r="B103" s="63" t="s">
        <v>173</v>
      </c>
      <c r="C103" s="64" t="s">
        <v>218</v>
      </c>
      <c r="D103" s="54"/>
      <c r="E103" s="8"/>
      <c r="F103" s="8" t="s">
        <v>5</v>
      </c>
      <c r="G103" s="8">
        <f t="shared" ref="G103:K112" si="14">IF($F103=G$1,1,0)</f>
        <v>1</v>
      </c>
      <c r="H103" s="8">
        <f t="shared" si="14"/>
        <v>0</v>
      </c>
      <c r="I103" s="8">
        <f t="shared" si="14"/>
        <v>0</v>
      </c>
      <c r="J103" s="8">
        <f t="shared" si="14"/>
        <v>0</v>
      </c>
      <c r="K103" s="8">
        <f t="shared" si="14"/>
        <v>0</v>
      </c>
    </row>
    <row r="104" spans="1:11" x14ac:dyDescent="0.25">
      <c r="A104" s="5">
        <f t="shared" si="9"/>
        <v>2.0093000000000196</v>
      </c>
      <c r="B104" s="28"/>
      <c r="C104" s="22"/>
      <c r="D104" s="54"/>
      <c r="E104" s="8"/>
      <c r="F104" s="8"/>
      <c r="G104" s="8"/>
      <c r="H104" s="8"/>
      <c r="I104" s="8"/>
      <c r="J104" s="8"/>
      <c r="K104" s="8"/>
    </row>
    <row r="105" spans="1:11" x14ac:dyDescent="0.25">
      <c r="A105" s="5">
        <f t="shared" si="9"/>
        <v>2.0094000000000198</v>
      </c>
      <c r="B105" s="6" t="s">
        <v>177</v>
      </c>
      <c r="C105" s="23" t="s">
        <v>178</v>
      </c>
      <c r="D105" s="54"/>
      <c r="E105" s="8"/>
      <c r="F105" s="8" t="s">
        <v>5</v>
      </c>
      <c r="G105" s="8">
        <f t="shared" si="14"/>
        <v>1</v>
      </c>
      <c r="H105" s="8">
        <f t="shared" si="14"/>
        <v>0</v>
      </c>
      <c r="I105" s="8">
        <f t="shared" si="14"/>
        <v>0</v>
      </c>
      <c r="J105" s="8">
        <f t="shared" si="14"/>
        <v>0</v>
      </c>
      <c r="K105" s="8">
        <f t="shared" si="14"/>
        <v>0</v>
      </c>
    </row>
    <row r="106" spans="1:11" x14ac:dyDescent="0.25">
      <c r="A106" s="5">
        <f t="shared" si="9"/>
        <v>2.00950000000002</v>
      </c>
      <c r="B106" s="6" t="s">
        <v>194</v>
      </c>
      <c r="C106" s="23" t="s">
        <v>195</v>
      </c>
      <c r="D106" s="54" t="s">
        <v>410</v>
      </c>
      <c r="E106" s="8"/>
      <c r="F106" s="8" t="s">
        <v>5</v>
      </c>
      <c r="G106" s="8">
        <f t="shared" si="14"/>
        <v>1</v>
      </c>
      <c r="H106" s="8">
        <f t="shared" si="14"/>
        <v>0</v>
      </c>
      <c r="I106" s="8">
        <f t="shared" si="14"/>
        <v>0</v>
      </c>
      <c r="J106" s="8">
        <f t="shared" si="14"/>
        <v>0</v>
      </c>
      <c r="K106" s="8">
        <f t="shared" si="14"/>
        <v>0</v>
      </c>
    </row>
    <row r="107" spans="1:11" x14ac:dyDescent="0.25">
      <c r="A107" s="5">
        <f t="shared" si="9"/>
        <v>2.0096000000000203</v>
      </c>
      <c r="B107" s="6" t="s">
        <v>179</v>
      </c>
      <c r="C107" s="23" t="s">
        <v>222</v>
      </c>
      <c r="D107" s="54"/>
      <c r="E107" s="8"/>
      <c r="F107" s="8" t="s">
        <v>5</v>
      </c>
      <c r="G107" s="8">
        <f t="shared" si="14"/>
        <v>1</v>
      </c>
      <c r="H107" s="8">
        <f t="shared" si="14"/>
        <v>0</v>
      </c>
      <c r="I107" s="8">
        <f t="shared" si="14"/>
        <v>0</v>
      </c>
      <c r="J107" s="8">
        <f t="shared" si="14"/>
        <v>0</v>
      </c>
      <c r="K107" s="8">
        <f t="shared" si="14"/>
        <v>0</v>
      </c>
    </row>
    <row r="108" spans="1:11" x14ac:dyDescent="0.25">
      <c r="A108" s="5">
        <f t="shared" si="9"/>
        <v>2.0097000000000205</v>
      </c>
      <c r="B108" s="6" t="s">
        <v>17</v>
      </c>
      <c r="C108" s="22" t="s">
        <v>18</v>
      </c>
      <c r="D108" s="54"/>
      <c r="E108" s="8"/>
      <c r="F108" s="8" t="s">
        <v>5</v>
      </c>
      <c r="G108" s="8">
        <f t="shared" si="14"/>
        <v>1</v>
      </c>
      <c r="H108" s="8">
        <f t="shared" si="14"/>
        <v>0</v>
      </c>
      <c r="I108" s="8">
        <f t="shared" si="14"/>
        <v>0</v>
      </c>
      <c r="J108" s="8">
        <f t="shared" si="14"/>
        <v>0</v>
      </c>
      <c r="K108" s="8">
        <f t="shared" si="14"/>
        <v>0</v>
      </c>
    </row>
    <row r="109" spans="1:11" x14ac:dyDescent="0.25">
      <c r="A109" s="5">
        <f t="shared" si="9"/>
        <v>2.0098000000000207</v>
      </c>
      <c r="B109" s="6" t="s">
        <v>19</v>
      </c>
      <c r="C109" s="23" t="s">
        <v>196</v>
      </c>
      <c r="D109" s="54"/>
      <c r="E109" s="8"/>
      <c r="F109" s="8" t="s">
        <v>5</v>
      </c>
      <c r="G109" s="8">
        <f t="shared" si="14"/>
        <v>1</v>
      </c>
      <c r="H109" s="8">
        <f t="shared" si="14"/>
        <v>0</v>
      </c>
      <c r="I109" s="8">
        <f t="shared" si="14"/>
        <v>0</v>
      </c>
      <c r="J109" s="8">
        <f t="shared" si="14"/>
        <v>0</v>
      </c>
      <c r="K109" s="8">
        <f t="shared" si="14"/>
        <v>0</v>
      </c>
    </row>
    <row r="110" spans="1:11" x14ac:dyDescent="0.25">
      <c r="A110" s="5">
        <f t="shared" si="9"/>
        <v>2.0099000000000209</v>
      </c>
      <c r="B110" s="6" t="s">
        <v>23</v>
      </c>
      <c r="C110" s="22" t="s">
        <v>20</v>
      </c>
      <c r="D110" s="7"/>
      <c r="E110" s="8"/>
      <c r="F110" s="8" t="s">
        <v>5</v>
      </c>
      <c r="G110" s="8">
        <f t="shared" si="14"/>
        <v>1</v>
      </c>
      <c r="H110" s="8">
        <f t="shared" si="14"/>
        <v>0</v>
      </c>
      <c r="I110" s="8">
        <f t="shared" si="14"/>
        <v>0</v>
      </c>
      <c r="J110" s="8">
        <f t="shared" si="14"/>
        <v>0</v>
      </c>
      <c r="K110" s="8">
        <f t="shared" si="14"/>
        <v>0</v>
      </c>
    </row>
    <row r="111" spans="1:11" x14ac:dyDescent="0.25">
      <c r="A111" s="5">
        <f t="shared" si="9"/>
        <v>2.0100000000000211</v>
      </c>
      <c r="B111" s="6"/>
      <c r="C111" s="22" t="s">
        <v>21</v>
      </c>
      <c r="D111" s="7"/>
      <c r="E111" s="8"/>
      <c r="F111" s="8" t="s">
        <v>5</v>
      </c>
      <c r="G111" s="8">
        <f t="shared" si="14"/>
        <v>1</v>
      </c>
      <c r="H111" s="8">
        <f t="shared" si="14"/>
        <v>0</v>
      </c>
      <c r="I111" s="8">
        <f t="shared" si="14"/>
        <v>0</v>
      </c>
      <c r="J111" s="8">
        <f t="shared" si="14"/>
        <v>0</v>
      </c>
      <c r="K111" s="8">
        <f t="shared" si="14"/>
        <v>0</v>
      </c>
    </row>
    <row r="112" spans="1:11" ht="25.5" x14ac:dyDescent="0.25">
      <c r="A112" s="5">
        <f t="shared" si="9"/>
        <v>2.0101000000000213</v>
      </c>
      <c r="B112" s="6" t="s">
        <v>15</v>
      </c>
      <c r="C112" s="30" t="s">
        <v>197</v>
      </c>
      <c r="D112" s="7"/>
      <c r="E112" s="8"/>
      <c r="F112" s="8" t="s">
        <v>5</v>
      </c>
      <c r="G112" s="8">
        <f t="shared" si="14"/>
        <v>1</v>
      </c>
      <c r="H112" s="8">
        <f t="shared" si="14"/>
        <v>0</v>
      </c>
      <c r="I112" s="8">
        <f t="shared" si="14"/>
        <v>0</v>
      </c>
      <c r="J112" s="8">
        <f t="shared" si="14"/>
        <v>0</v>
      </c>
      <c r="K112" s="8">
        <f t="shared" si="14"/>
        <v>0</v>
      </c>
    </row>
    <row r="113" spans="1:11" x14ac:dyDescent="0.25">
      <c r="A113" s="5">
        <f t="shared" si="9"/>
        <v>2.0102000000000215</v>
      </c>
      <c r="B113" s="6"/>
      <c r="C113" s="6"/>
      <c r="D113" s="7"/>
      <c r="E113" s="8"/>
      <c r="F113" s="8"/>
      <c r="G113" s="8"/>
      <c r="H113" s="8"/>
      <c r="I113" s="8"/>
      <c r="J113" s="8"/>
      <c r="K113" s="8"/>
    </row>
    <row r="114" spans="1:11" x14ac:dyDescent="0.25">
      <c r="A114" s="5">
        <f t="shared" si="9"/>
        <v>2.0103000000000217</v>
      </c>
      <c r="B114" s="66" t="s">
        <v>212</v>
      </c>
      <c r="C114" s="67" t="s">
        <v>214</v>
      </c>
      <c r="D114" s="68"/>
      <c r="E114" s="8"/>
      <c r="F114" s="8" t="s">
        <v>5</v>
      </c>
      <c r="G114" s="8">
        <f t="shared" ref="G114:K116" si="15">IF($F114=G$1,1,0)</f>
        <v>1</v>
      </c>
      <c r="H114" s="8">
        <f t="shared" si="15"/>
        <v>0</v>
      </c>
      <c r="I114" s="8">
        <f t="shared" si="15"/>
        <v>0</v>
      </c>
      <c r="J114" s="8">
        <f t="shared" si="15"/>
        <v>0</v>
      </c>
      <c r="K114" s="8">
        <f t="shared" si="15"/>
        <v>0</v>
      </c>
    </row>
    <row r="115" spans="1:11" x14ac:dyDescent="0.25">
      <c r="A115" s="5">
        <f t="shared" si="9"/>
        <v>2.0104000000000219</v>
      </c>
      <c r="B115" s="66" t="s">
        <v>213</v>
      </c>
      <c r="C115" s="67" t="s">
        <v>215</v>
      </c>
      <c r="D115" s="68"/>
      <c r="E115" s="8"/>
      <c r="F115" s="8" t="s">
        <v>5</v>
      </c>
      <c r="G115" s="8">
        <f t="shared" si="15"/>
        <v>1</v>
      </c>
      <c r="H115" s="8">
        <f t="shared" si="15"/>
        <v>0</v>
      </c>
      <c r="I115" s="8">
        <f t="shared" si="15"/>
        <v>0</v>
      </c>
      <c r="J115" s="8">
        <f t="shared" si="15"/>
        <v>0</v>
      </c>
      <c r="K115" s="8">
        <f t="shared" si="15"/>
        <v>0</v>
      </c>
    </row>
    <row r="116" spans="1:11" s="39" customFormat="1" x14ac:dyDescent="0.25">
      <c r="A116" s="5">
        <f t="shared" si="9"/>
        <v>2.0105000000000222</v>
      </c>
      <c r="B116" s="66" t="s">
        <v>403</v>
      </c>
      <c r="C116" s="67" t="s">
        <v>404</v>
      </c>
      <c r="D116" s="68"/>
      <c r="E116" s="83"/>
      <c r="F116" s="8" t="s">
        <v>5</v>
      </c>
      <c r="G116" s="8">
        <f t="shared" si="15"/>
        <v>1</v>
      </c>
      <c r="H116" s="8">
        <f t="shared" si="15"/>
        <v>0</v>
      </c>
      <c r="I116" s="8">
        <f t="shared" si="15"/>
        <v>0</v>
      </c>
      <c r="J116" s="8">
        <f t="shared" si="15"/>
        <v>0</v>
      </c>
      <c r="K116" s="8">
        <f t="shared" si="15"/>
        <v>0</v>
      </c>
    </row>
    <row r="117" spans="1:11" x14ac:dyDescent="0.25">
      <c r="A117" s="5">
        <f t="shared" si="9"/>
        <v>2.0106000000000224</v>
      </c>
      <c r="B117" s="69"/>
      <c r="C117" s="70"/>
      <c r="D117" s="71"/>
      <c r="E117" s="8"/>
      <c r="F117" s="8"/>
      <c r="G117" s="8"/>
      <c r="H117" s="8"/>
      <c r="I117" s="8"/>
      <c r="J117" s="8"/>
      <c r="K117" s="8"/>
    </row>
    <row r="118" spans="1:11" x14ac:dyDescent="0.25">
      <c r="A118" s="5">
        <f t="shared" si="9"/>
        <v>2.0107000000000226</v>
      </c>
      <c r="B118" s="62" t="s">
        <v>405</v>
      </c>
      <c r="C118" s="61"/>
      <c r="D118" s="65"/>
      <c r="E118" s="8"/>
      <c r="F118" s="8" t="s">
        <v>5</v>
      </c>
      <c r="G118" s="8">
        <f t="shared" ref="G118:K118" si="16">IF($F118=G$1,1,0)</f>
        <v>1</v>
      </c>
      <c r="H118" s="8">
        <f t="shared" si="16"/>
        <v>0</v>
      </c>
      <c r="I118" s="8">
        <f t="shared" si="16"/>
        <v>0</v>
      </c>
      <c r="J118" s="8">
        <f t="shared" si="16"/>
        <v>0</v>
      </c>
      <c r="K118" s="8">
        <f t="shared" si="16"/>
        <v>0</v>
      </c>
    </row>
    <row r="119" spans="1:11" x14ac:dyDescent="0.25">
      <c r="A119" s="5">
        <f t="shared" si="9"/>
        <v>2.0108000000000228</v>
      </c>
      <c r="B119" s="48" t="s">
        <v>216</v>
      </c>
      <c r="C119" s="49" t="s">
        <v>244</v>
      </c>
      <c r="D119" s="18"/>
      <c r="E119" s="8"/>
      <c r="F119" s="8"/>
      <c r="G119" s="8"/>
      <c r="H119" s="8"/>
      <c r="I119" s="8"/>
      <c r="J119" s="8"/>
      <c r="K119" s="8"/>
    </row>
    <row r="120" spans="1:11" x14ac:dyDescent="0.25">
      <c r="A120" s="5">
        <f t="shared" si="9"/>
        <v>2.010900000000023</v>
      </c>
      <c r="B120" s="28" t="s">
        <v>174</v>
      </c>
      <c r="C120" s="22" t="s">
        <v>175</v>
      </c>
      <c r="D120" s="54"/>
      <c r="E120" s="8"/>
      <c r="F120" s="8" t="s">
        <v>5</v>
      </c>
      <c r="G120" s="8">
        <f t="shared" ref="G120:K120" si="17">IF($F120=G$1,1,0)</f>
        <v>1</v>
      </c>
      <c r="H120" s="8">
        <f t="shared" si="17"/>
        <v>0</v>
      </c>
      <c r="I120" s="8">
        <f t="shared" si="17"/>
        <v>0</v>
      </c>
      <c r="J120" s="8">
        <f t="shared" si="17"/>
        <v>0</v>
      </c>
      <c r="K120" s="8">
        <f t="shared" si="17"/>
        <v>0</v>
      </c>
    </row>
    <row r="121" spans="1:11" x14ac:dyDescent="0.25">
      <c r="A121" s="5">
        <f t="shared" si="9"/>
        <v>2.0110000000000232</v>
      </c>
      <c r="B121" s="6"/>
      <c r="C121" s="23"/>
      <c r="D121" s="54"/>
      <c r="E121" s="8"/>
      <c r="F121" s="8"/>
      <c r="G121" s="8"/>
      <c r="H121" s="8"/>
      <c r="I121" s="8"/>
      <c r="J121" s="8"/>
      <c r="K121" s="8"/>
    </row>
    <row r="122" spans="1:11" ht="38.25" x14ac:dyDescent="0.25">
      <c r="A122" s="5">
        <f t="shared" si="9"/>
        <v>2.0111000000000234</v>
      </c>
      <c r="B122" s="63" t="s">
        <v>173</v>
      </c>
      <c r="C122" s="64" t="s">
        <v>245</v>
      </c>
      <c r="D122" s="54"/>
      <c r="E122" s="8"/>
      <c r="F122" s="8" t="s">
        <v>5</v>
      </c>
      <c r="G122" s="8">
        <f t="shared" ref="G122:K122" si="18">IF($F122=G$1,1,0)</f>
        <v>1</v>
      </c>
      <c r="H122" s="8">
        <f t="shared" si="18"/>
        <v>0</v>
      </c>
      <c r="I122" s="8">
        <f t="shared" si="18"/>
        <v>0</v>
      </c>
      <c r="J122" s="8">
        <f t="shared" si="18"/>
        <v>0</v>
      </c>
      <c r="K122" s="8">
        <f t="shared" si="18"/>
        <v>0</v>
      </c>
    </row>
    <row r="123" spans="1:11" x14ac:dyDescent="0.25">
      <c r="A123" s="5">
        <f t="shared" si="9"/>
        <v>2.0112000000000236</v>
      </c>
      <c r="B123" s="28"/>
      <c r="C123" s="22"/>
      <c r="D123" s="54"/>
      <c r="E123" s="8"/>
      <c r="F123" s="8" t="s">
        <v>5</v>
      </c>
      <c r="G123" s="8"/>
      <c r="H123" s="8"/>
      <c r="I123" s="8"/>
      <c r="J123" s="8"/>
      <c r="K123" s="8"/>
    </row>
    <row r="124" spans="1:11" x14ac:dyDescent="0.25">
      <c r="A124" s="5">
        <f t="shared" si="9"/>
        <v>2.0113000000000238</v>
      </c>
      <c r="B124" s="6" t="s">
        <v>177</v>
      </c>
      <c r="C124" s="23" t="s">
        <v>178</v>
      </c>
      <c r="D124" s="54"/>
      <c r="E124" s="8"/>
      <c r="F124" s="8" t="s">
        <v>5</v>
      </c>
      <c r="G124" s="8">
        <f t="shared" ref="G124:K131" si="19">IF($F124=G$1,1,0)</f>
        <v>1</v>
      </c>
      <c r="H124" s="8">
        <f t="shared" si="19"/>
        <v>0</v>
      </c>
      <c r="I124" s="8">
        <f t="shared" si="19"/>
        <v>0</v>
      </c>
      <c r="J124" s="8">
        <f t="shared" si="19"/>
        <v>0</v>
      </c>
      <c r="K124" s="8">
        <f t="shared" si="19"/>
        <v>0</v>
      </c>
    </row>
    <row r="125" spans="1:11" x14ac:dyDescent="0.25">
      <c r="A125" s="5">
        <f t="shared" si="9"/>
        <v>2.0114000000000241</v>
      </c>
      <c r="B125" s="6" t="s">
        <v>194</v>
      </c>
      <c r="C125" s="23" t="s">
        <v>195</v>
      </c>
      <c r="D125" s="54"/>
      <c r="E125" s="8"/>
      <c r="F125" s="8" t="s">
        <v>5</v>
      </c>
      <c r="G125" s="8">
        <f t="shared" si="19"/>
        <v>1</v>
      </c>
      <c r="H125" s="8">
        <f t="shared" si="19"/>
        <v>0</v>
      </c>
      <c r="I125" s="8">
        <f t="shared" si="19"/>
        <v>0</v>
      </c>
      <c r="J125" s="8">
        <f t="shared" si="19"/>
        <v>0</v>
      </c>
      <c r="K125" s="8">
        <f t="shared" si="19"/>
        <v>0</v>
      </c>
    </row>
    <row r="126" spans="1:11" x14ac:dyDescent="0.25">
      <c r="A126" s="5">
        <f t="shared" si="9"/>
        <v>2.0115000000000243</v>
      </c>
      <c r="B126" s="6" t="s">
        <v>179</v>
      </c>
      <c r="C126" s="23" t="s">
        <v>224</v>
      </c>
      <c r="D126" s="54"/>
      <c r="E126" s="8"/>
      <c r="F126" s="8" t="s">
        <v>5</v>
      </c>
      <c r="G126" s="8">
        <f t="shared" si="19"/>
        <v>1</v>
      </c>
      <c r="H126" s="8">
        <f t="shared" si="19"/>
        <v>0</v>
      </c>
      <c r="I126" s="8">
        <f t="shared" si="19"/>
        <v>0</v>
      </c>
      <c r="J126" s="8">
        <f t="shared" si="19"/>
        <v>0</v>
      </c>
      <c r="K126" s="8">
        <f t="shared" si="19"/>
        <v>0</v>
      </c>
    </row>
    <row r="127" spans="1:11" x14ac:dyDescent="0.25">
      <c r="A127" s="5">
        <f t="shared" si="9"/>
        <v>2.0116000000000245</v>
      </c>
      <c r="B127" s="6" t="s">
        <v>17</v>
      </c>
      <c r="C127" s="22" t="s">
        <v>18</v>
      </c>
      <c r="D127" s="54"/>
      <c r="E127" s="8"/>
      <c r="F127" s="8" t="s">
        <v>5</v>
      </c>
      <c r="G127" s="8">
        <f t="shared" si="19"/>
        <v>1</v>
      </c>
      <c r="H127" s="8">
        <f t="shared" si="19"/>
        <v>0</v>
      </c>
      <c r="I127" s="8">
        <f t="shared" si="19"/>
        <v>0</v>
      </c>
      <c r="J127" s="8">
        <f t="shared" si="19"/>
        <v>0</v>
      </c>
      <c r="K127" s="8">
        <f t="shared" si="19"/>
        <v>0</v>
      </c>
    </row>
    <row r="128" spans="1:11" x14ac:dyDescent="0.25">
      <c r="A128" s="5">
        <f t="shared" ref="A128:A191" si="20">A127+0.0001</f>
        <v>2.0117000000000247</v>
      </c>
      <c r="B128" s="6" t="s">
        <v>19</v>
      </c>
      <c r="C128" s="23" t="s">
        <v>196</v>
      </c>
      <c r="D128" s="54"/>
      <c r="E128" s="8"/>
      <c r="F128" s="8" t="s">
        <v>5</v>
      </c>
      <c r="G128" s="8">
        <f t="shared" si="19"/>
        <v>1</v>
      </c>
      <c r="H128" s="8">
        <f t="shared" si="19"/>
        <v>0</v>
      </c>
      <c r="I128" s="8">
        <f t="shared" si="19"/>
        <v>0</v>
      </c>
      <c r="J128" s="8">
        <f t="shared" si="19"/>
        <v>0</v>
      </c>
      <c r="K128" s="8">
        <f t="shared" si="19"/>
        <v>0</v>
      </c>
    </row>
    <row r="129" spans="1:11" x14ac:dyDescent="0.25">
      <c r="A129" s="5">
        <f t="shared" si="20"/>
        <v>2.0118000000000249</v>
      </c>
      <c r="B129" s="6" t="s">
        <v>23</v>
      </c>
      <c r="C129" s="22" t="s">
        <v>20</v>
      </c>
      <c r="D129" s="7"/>
      <c r="E129" s="8"/>
      <c r="F129" s="8" t="s">
        <v>5</v>
      </c>
      <c r="G129" s="8">
        <f t="shared" si="19"/>
        <v>1</v>
      </c>
      <c r="H129" s="8">
        <f t="shared" si="19"/>
        <v>0</v>
      </c>
      <c r="I129" s="8">
        <f t="shared" si="19"/>
        <v>0</v>
      </c>
      <c r="J129" s="8">
        <f t="shared" si="19"/>
        <v>0</v>
      </c>
      <c r="K129" s="8">
        <f t="shared" si="19"/>
        <v>0</v>
      </c>
    </row>
    <row r="130" spans="1:11" x14ac:dyDescent="0.25">
      <c r="A130" s="5">
        <f t="shared" si="20"/>
        <v>2.0119000000000251</v>
      </c>
      <c r="B130" s="6"/>
      <c r="C130" s="22" t="s">
        <v>21</v>
      </c>
      <c r="D130" s="7"/>
      <c r="E130" s="8"/>
      <c r="F130" s="8" t="s">
        <v>5</v>
      </c>
      <c r="G130" s="8">
        <f t="shared" si="19"/>
        <v>1</v>
      </c>
      <c r="H130" s="8">
        <f t="shared" si="19"/>
        <v>0</v>
      </c>
      <c r="I130" s="8">
        <f t="shared" si="19"/>
        <v>0</v>
      </c>
      <c r="J130" s="8">
        <f t="shared" si="19"/>
        <v>0</v>
      </c>
      <c r="K130" s="8">
        <f t="shared" si="19"/>
        <v>0</v>
      </c>
    </row>
    <row r="131" spans="1:11" ht="25.5" x14ac:dyDescent="0.25">
      <c r="A131" s="5">
        <f t="shared" si="20"/>
        <v>2.0120000000000253</v>
      </c>
      <c r="B131" s="6" t="s">
        <v>15</v>
      </c>
      <c r="C131" s="30" t="s">
        <v>197</v>
      </c>
      <c r="D131" s="7"/>
      <c r="E131" s="8"/>
      <c r="F131" s="8" t="s">
        <v>5</v>
      </c>
      <c r="G131" s="8">
        <f t="shared" si="19"/>
        <v>1</v>
      </c>
      <c r="H131" s="8">
        <f t="shared" si="19"/>
        <v>0</v>
      </c>
      <c r="I131" s="8">
        <f t="shared" si="19"/>
        <v>0</v>
      </c>
      <c r="J131" s="8">
        <f t="shared" si="19"/>
        <v>0</v>
      </c>
      <c r="K131" s="8">
        <f t="shared" si="19"/>
        <v>0</v>
      </c>
    </row>
    <row r="132" spans="1:11" x14ac:dyDescent="0.25">
      <c r="A132" s="5">
        <f t="shared" si="20"/>
        <v>2.0121000000000255</v>
      </c>
      <c r="B132" s="6"/>
      <c r="C132" s="6"/>
      <c r="D132" s="7"/>
      <c r="E132" s="8"/>
      <c r="F132" s="8"/>
      <c r="G132" s="8"/>
      <c r="H132" s="8"/>
      <c r="I132" s="8"/>
      <c r="J132" s="8"/>
      <c r="K132" s="8"/>
    </row>
    <row r="133" spans="1:11" x14ac:dyDescent="0.25">
      <c r="A133" s="5">
        <f t="shared" si="20"/>
        <v>2.0122000000000257</v>
      </c>
      <c r="B133" s="66" t="s">
        <v>212</v>
      </c>
      <c r="C133" s="67" t="s">
        <v>214</v>
      </c>
      <c r="D133" s="68"/>
      <c r="E133" s="8"/>
      <c r="F133" s="8" t="s">
        <v>5</v>
      </c>
      <c r="G133" s="8">
        <f t="shared" ref="G133:K149" si="21">IF($F133=G$1,1,0)</f>
        <v>1</v>
      </c>
      <c r="H133" s="8">
        <f t="shared" si="21"/>
        <v>0</v>
      </c>
      <c r="I133" s="8">
        <f t="shared" si="21"/>
        <v>0</v>
      </c>
      <c r="J133" s="8">
        <f t="shared" si="21"/>
        <v>0</v>
      </c>
      <c r="K133" s="8">
        <f t="shared" si="21"/>
        <v>0</v>
      </c>
    </row>
    <row r="134" spans="1:11" x14ac:dyDescent="0.25">
      <c r="A134" s="5">
        <f t="shared" si="20"/>
        <v>2.012300000000026</v>
      </c>
      <c r="B134" s="66" t="s">
        <v>213</v>
      </c>
      <c r="C134" s="67" t="s">
        <v>215</v>
      </c>
      <c r="D134" s="68"/>
      <c r="E134" s="8"/>
      <c r="F134" s="8" t="s">
        <v>5</v>
      </c>
      <c r="G134" s="8">
        <f t="shared" si="21"/>
        <v>1</v>
      </c>
      <c r="H134" s="8">
        <f t="shared" si="21"/>
        <v>0</v>
      </c>
      <c r="I134" s="8">
        <f t="shared" si="21"/>
        <v>0</v>
      </c>
      <c r="J134" s="8">
        <f t="shared" si="21"/>
        <v>0</v>
      </c>
      <c r="K134" s="8">
        <f t="shared" si="21"/>
        <v>0</v>
      </c>
    </row>
    <row r="135" spans="1:11" s="39" customFormat="1" x14ac:dyDescent="0.25">
      <c r="A135" s="5">
        <f t="shared" si="20"/>
        <v>2.0124000000000262</v>
      </c>
      <c r="B135" s="66" t="s">
        <v>403</v>
      </c>
      <c r="C135" s="67" t="s">
        <v>404</v>
      </c>
      <c r="D135" s="68"/>
      <c r="E135" s="83"/>
      <c r="F135" s="8" t="s">
        <v>5</v>
      </c>
      <c r="G135" s="8">
        <f t="shared" si="21"/>
        <v>1</v>
      </c>
      <c r="H135" s="8">
        <f t="shared" si="21"/>
        <v>0</v>
      </c>
      <c r="I135" s="8">
        <f t="shared" si="21"/>
        <v>0</v>
      </c>
      <c r="J135" s="8">
        <f t="shared" si="21"/>
        <v>0</v>
      </c>
      <c r="K135" s="8">
        <f t="shared" si="21"/>
        <v>0</v>
      </c>
    </row>
    <row r="136" spans="1:11" s="39" customFormat="1" x14ac:dyDescent="0.25">
      <c r="A136" s="5">
        <f t="shared" si="20"/>
        <v>2.0125000000000264</v>
      </c>
      <c r="B136" s="69"/>
      <c r="C136" s="70"/>
      <c r="D136" s="71"/>
      <c r="E136" s="83"/>
      <c r="F136" s="83"/>
      <c r="G136" s="83"/>
      <c r="H136" s="83"/>
      <c r="I136" s="83"/>
      <c r="J136" s="83"/>
      <c r="K136" s="83"/>
    </row>
    <row r="137" spans="1:11" s="39" customFormat="1" x14ac:dyDescent="0.25">
      <c r="A137" s="5">
        <f t="shared" si="20"/>
        <v>2.0126000000000266</v>
      </c>
      <c r="B137" s="62" t="s">
        <v>406</v>
      </c>
      <c r="C137" s="61"/>
      <c r="D137" s="65"/>
      <c r="E137" s="83"/>
      <c r="F137" s="83" t="s">
        <v>5</v>
      </c>
      <c r="G137" s="8">
        <f t="shared" si="21"/>
        <v>1</v>
      </c>
      <c r="H137" s="8">
        <f t="shared" si="21"/>
        <v>0</v>
      </c>
      <c r="I137" s="8">
        <f t="shared" si="21"/>
        <v>0</v>
      </c>
      <c r="J137" s="8">
        <f t="shared" si="21"/>
        <v>0</v>
      </c>
      <c r="K137" s="8">
        <f t="shared" si="21"/>
        <v>0</v>
      </c>
    </row>
    <row r="138" spans="1:11" s="39" customFormat="1" x14ac:dyDescent="0.25">
      <c r="A138" s="5">
        <f t="shared" si="20"/>
        <v>2.0127000000000268</v>
      </c>
      <c r="B138" s="48" t="s">
        <v>216</v>
      </c>
      <c r="C138" s="49" t="s">
        <v>399</v>
      </c>
      <c r="D138" s="18"/>
      <c r="E138" s="83"/>
      <c r="F138" s="83"/>
      <c r="G138" s="83"/>
      <c r="H138" s="83"/>
      <c r="I138" s="83"/>
      <c r="J138" s="83"/>
      <c r="K138" s="83"/>
    </row>
    <row r="139" spans="1:11" s="39" customFormat="1" x14ac:dyDescent="0.25">
      <c r="A139" s="5">
        <f t="shared" si="20"/>
        <v>2.012800000000027</v>
      </c>
      <c r="B139" s="28" t="s">
        <v>174</v>
      </c>
      <c r="C139" s="22" t="s">
        <v>175</v>
      </c>
      <c r="D139" s="54"/>
      <c r="E139" s="83"/>
      <c r="F139" s="83" t="s">
        <v>5</v>
      </c>
      <c r="G139" s="8">
        <f t="shared" si="21"/>
        <v>1</v>
      </c>
      <c r="H139" s="8">
        <f t="shared" si="21"/>
        <v>0</v>
      </c>
      <c r="I139" s="8">
        <f t="shared" si="21"/>
        <v>0</v>
      </c>
      <c r="J139" s="8">
        <f t="shared" si="21"/>
        <v>0</v>
      </c>
      <c r="K139" s="8">
        <f t="shared" si="21"/>
        <v>0</v>
      </c>
    </row>
    <row r="140" spans="1:11" s="39" customFormat="1" x14ac:dyDescent="0.25">
      <c r="A140" s="5">
        <f t="shared" si="20"/>
        <v>2.0129000000000272</v>
      </c>
      <c r="B140" s="6"/>
      <c r="C140" s="23"/>
      <c r="D140" s="54"/>
      <c r="E140" s="83"/>
      <c r="F140" s="83" t="s">
        <v>5</v>
      </c>
      <c r="G140" s="8">
        <f t="shared" si="21"/>
        <v>1</v>
      </c>
      <c r="H140" s="8">
        <f t="shared" si="21"/>
        <v>0</v>
      </c>
      <c r="I140" s="8">
        <f t="shared" si="21"/>
        <v>0</v>
      </c>
      <c r="J140" s="8">
        <f t="shared" si="21"/>
        <v>0</v>
      </c>
      <c r="K140" s="8">
        <f t="shared" si="21"/>
        <v>0</v>
      </c>
    </row>
    <row r="141" spans="1:11" s="39" customFormat="1" ht="38.25" x14ac:dyDescent="0.25">
      <c r="A141" s="5">
        <f t="shared" si="20"/>
        <v>2.0130000000000274</v>
      </c>
      <c r="B141" s="63" t="s">
        <v>173</v>
      </c>
      <c r="C141" s="64" t="s">
        <v>400</v>
      </c>
      <c r="D141" s="54"/>
      <c r="E141" s="83"/>
      <c r="F141" s="83" t="s">
        <v>5</v>
      </c>
      <c r="G141" s="8">
        <f t="shared" si="21"/>
        <v>1</v>
      </c>
      <c r="H141" s="8">
        <f t="shared" si="21"/>
        <v>0</v>
      </c>
      <c r="I141" s="8">
        <f t="shared" si="21"/>
        <v>0</v>
      </c>
      <c r="J141" s="8">
        <f t="shared" si="21"/>
        <v>0</v>
      </c>
      <c r="K141" s="8">
        <f t="shared" si="21"/>
        <v>0</v>
      </c>
    </row>
    <row r="142" spans="1:11" s="39" customFormat="1" x14ac:dyDescent="0.25">
      <c r="A142" s="5">
        <f t="shared" si="20"/>
        <v>2.0131000000000276</v>
      </c>
      <c r="B142" s="28"/>
      <c r="C142" s="22"/>
      <c r="D142" s="54"/>
      <c r="E142" s="83"/>
      <c r="F142" s="83" t="s">
        <v>5</v>
      </c>
      <c r="G142" s="8">
        <f t="shared" si="21"/>
        <v>1</v>
      </c>
      <c r="H142" s="8">
        <f t="shared" si="21"/>
        <v>0</v>
      </c>
      <c r="I142" s="8">
        <f t="shared" si="21"/>
        <v>0</v>
      </c>
      <c r="J142" s="8">
        <f t="shared" si="21"/>
        <v>0</v>
      </c>
      <c r="K142" s="8">
        <f t="shared" si="21"/>
        <v>0</v>
      </c>
    </row>
    <row r="143" spans="1:11" s="39" customFormat="1" x14ac:dyDescent="0.25">
      <c r="A143" s="5">
        <f t="shared" si="20"/>
        <v>2.0132000000000279</v>
      </c>
      <c r="B143" s="6" t="s">
        <v>177</v>
      </c>
      <c r="C143" s="23" t="s">
        <v>178</v>
      </c>
      <c r="D143" s="54"/>
      <c r="E143" s="83"/>
      <c r="F143" s="83" t="s">
        <v>5</v>
      </c>
      <c r="G143" s="8">
        <f t="shared" si="21"/>
        <v>1</v>
      </c>
      <c r="H143" s="8">
        <f t="shared" si="21"/>
        <v>0</v>
      </c>
      <c r="I143" s="8">
        <f t="shared" si="21"/>
        <v>0</v>
      </c>
      <c r="J143" s="8">
        <f t="shared" si="21"/>
        <v>0</v>
      </c>
      <c r="K143" s="8">
        <f t="shared" si="21"/>
        <v>0</v>
      </c>
    </row>
    <row r="144" spans="1:11" s="39" customFormat="1" x14ac:dyDescent="0.25">
      <c r="A144" s="5">
        <f t="shared" si="20"/>
        <v>2.0133000000000281</v>
      </c>
      <c r="B144" s="6" t="s">
        <v>194</v>
      </c>
      <c r="C144" s="23" t="s">
        <v>195</v>
      </c>
      <c r="D144" s="54"/>
      <c r="E144" s="83"/>
      <c r="F144" s="83" t="s">
        <v>5</v>
      </c>
      <c r="G144" s="8">
        <f t="shared" si="21"/>
        <v>1</v>
      </c>
      <c r="H144" s="8">
        <f t="shared" si="21"/>
        <v>0</v>
      </c>
      <c r="I144" s="8">
        <f t="shared" si="21"/>
        <v>0</v>
      </c>
      <c r="J144" s="8">
        <f t="shared" si="21"/>
        <v>0</v>
      </c>
      <c r="K144" s="8">
        <f t="shared" si="21"/>
        <v>0</v>
      </c>
    </row>
    <row r="145" spans="1:11" s="39" customFormat="1" x14ac:dyDescent="0.25">
      <c r="A145" s="5">
        <f t="shared" si="20"/>
        <v>2.0134000000000283</v>
      </c>
      <c r="B145" s="6" t="s">
        <v>179</v>
      </c>
      <c r="C145" s="23" t="s">
        <v>224</v>
      </c>
      <c r="D145" s="54"/>
      <c r="E145" s="83"/>
      <c r="F145" s="83" t="s">
        <v>5</v>
      </c>
      <c r="G145" s="8">
        <f t="shared" si="21"/>
        <v>1</v>
      </c>
      <c r="H145" s="8">
        <f t="shared" si="21"/>
        <v>0</v>
      </c>
      <c r="I145" s="8">
        <f t="shared" si="21"/>
        <v>0</v>
      </c>
      <c r="J145" s="8">
        <f t="shared" si="21"/>
        <v>0</v>
      </c>
      <c r="K145" s="8">
        <f t="shared" si="21"/>
        <v>0</v>
      </c>
    </row>
    <row r="146" spans="1:11" s="39" customFormat="1" x14ac:dyDescent="0.25">
      <c r="A146" s="5">
        <f t="shared" si="20"/>
        <v>2.0135000000000285</v>
      </c>
      <c r="B146" s="6" t="s">
        <v>17</v>
      </c>
      <c r="C146" s="22" t="s">
        <v>18</v>
      </c>
      <c r="D146" s="54"/>
      <c r="E146" s="83"/>
      <c r="F146" s="83" t="s">
        <v>5</v>
      </c>
      <c r="G146" s="8">
        <f t="shared" si="21"/>
        <v>1</v>
      </c>
      <c r="H146" s="8">
        <f t="shared" si="21"/>
        <v>0</v>
      </c>
      <c r="I146" s="8">
        <f t="shared" si="21"/>
        <v>0</v>
      </c>
      <c r="J146" s="8">
        <f t="shared" si="21"/>
        <v>0</v>
      </c>
      <c r="K146" s="8">
        <f t="shared" si="21"/>
        <v>0</v>
      </c>
    </row>
    <row r="147" spans="1:11" s="39" customFormat="1" x14ac:dyDescent="0.25">
      <c r="A147" s="5">
        <f t="shared" si="20"/>
        <v>2.0136000000000287</v>
      </c>
      <c r="B147" s="6" t="s">
        <v>19</v>
      </c>
      <c r="C147" s="23" t="s">
        <v>196</v>
      </c>
      <c r="D147" s="54"/>
      <c r="E147" s="83"/>
      <c r="F147" s="83" t="s">
        <v>5</v>
      </c>
      <c r="G147" s="8">
        <f t="shared" si="21"/>
        <v>1</v>
      </c>
      <c r="H147" s="8">
        <f t="shared" si="21"/>
        <v>0</v>
      </c>
      <c r="I147" s="8">
        <f t="shared" si="21"/>
        <v>0</v>
      </c>
      <c r="J147" s="8">
        <f t="shared" si="21"/>
        <v>0</v>
      </c>
      <c r="K147" s="8">
        <f t="shared" si="21"/>
        <v>0</v>
      </c>
    </row>
    <row r="148" spans="1:11" s="39" customFormat="1" x14ac:dyDescent="0.25">
      <c r="A148" s="5">
        <f t="shared" si="20"/>
        <v>2.0137000000000289</v>
      </c>
      <c r="B148" s="6" t="s">
        <v>23</v>
      </c>
      <c r="C148" s="22" t="s">
        <v>20</v>
      </c>
      <c r="D148" s="7"/>
      <c r="E148" s="83"/>
      <c r="F148" s="83" t="s">
        <v>5</v>
      </c>
      <c r="G148" s="8">
        <f t="shared" si="21"/>
        <v>1</v>
      </c>
      <c r="H148" s="8">
        <f t="shared" si="21"/>
        <v>0</v>
      </c>
      <c r="I148" s="8">
        <f t="shared" si="21"/>
        <v>0</v>
      </c>
      <c r="J148" s="8">
        <f t="shared" si="21"/>
        <v>0</v>
      </c>
      <c r="K148" s="8">
        <f t="shared" si="21"/>
        <v>0</v>
      </c>
    </row>
    <row r="149" spans="1:11" s="39" customFormat="1" x14ac:dyDescent="0.25">
      <c r="A149" s="5">
        <f t="shared" si="20"/>
        <v>2.0138000000000291</v>
      </c>
      <c r="B149" s="6"/>
      <c r="C149" s="22" t="s">
        <v>21</v>
      </c>
      <c r="D149" s="7"/>
      <c r="E149" s="83"/>
      <c r="F149" s="83" t="s">
        <v>5</v>
      </c>
      <c r="G149" s="8">
        <f t="shared" si="21"/>
        <v>1</v>
      </c>
      <c r="H149" s="8">
        <f t="shared" si="21"/>
        <v>0</v>
      </c>
      <c r="I149" s="8">
        <f t="shared" si="21"/>
        <v>0</v>
      </c>
      <c r="J149" s="8">
        <f t="shared" si="21"/>
        <v>0</v>
      </c>
      <c r="K149" s="8">
        <f t="shared" si="21"/>
        <v>0</v>
      </c>
    </row>
    <row r="150" spans="1:11" s="39" customFormat="1" ht="25.5" x14ac:dyDescent="0.25">
      <c r="A150" s="5">
        <f t="shared" si="20"/>
        <v>2.0139000000000293</v>
      </c>
      <c r="B150" s="6" t="s">
        <v>15</v>
      </c>
      <c r="C150" s="30" t="s">
        <v>197</v>
      </c>
      <c r="D150" s="7"/>
      <c r="E150" s="83"/>
      <c r="F150" s="83" t="s">
        <v>5</v>
      </c>
      <c r="G150" s="8">
        <f t="shared" ref="G150:K154" si="22">IF($F150=G$1,1,0)</f>
        <v>1</v>
      </c>
      <c r="H150" s="8">
        <f t="shared" si="22"/>
        <v>0</v>
      </c>
      <c r="I150" s="8">
        <f t="shared" si="22"/>
        <v>0</v>
      </c>
      <c r="J150" s="8">
        <f t="shared" si="22"/>
        <v>0</v>
      </c>
      <c r="K150" s="8">
        <f t="shared" si="22"/>
        <v>0</v>
      </c>
    </row>
    <row r="151" spans="1:11" s="39" customFormat="1" x14ac:dyDescent="0.25">
      <c r="A151" s="5">
        <f t="shared" si="20"/>
        <v>2.0140000000000295</v>
      </c>
      <c r="B151" s="6"/>
      <c r="C151" s="6"/>
      <c r="D151" s="7"/>
      <c r="E151" s="83"/>
      <c r="F151" s="83"/>
      <c r="G151" s="83"/>
      <c r="H151" s="83"/>
      <c r="I151" s="83"/>
      <c r="J151" s="83"/>
      <c r="K151" s="83"/>
    </row>
    <row r="152" spans="1:11" s="39" customFormat="1" x14ac:dyDescent="0.25">
      <c r="A152" s="5">
        <f t="shared" si="20"/>
        <v>2.0141000000000298</v>
      </c>
      <c r="B152" s="66" t="s">
        <v>212</v>
      </c>
      <c r="C152" s="67" t="s">
        <v>214</v>
      </c>
      <c r="D152" s="68"/>
      <c r="E152" s="83"/>
      <c r="F152" s="83" t="s">
        <v>5</v>
      </c>
      <c r="G152" s="8">
        <f t="shared" si="22"/>
        <v>1</v>
      </c>
      <c r="H152" s="8">
        <f t="shared" si="22"/>
        <v>0</v>
      </c>
      <c r="I152" s="8">
        <f t="shared" si="22"/>
        <v>0</v>
      </c>
      <c r="J152" s="8">
        <f t="shared" si="22"/>
        <v>0</v>
      </c>
      <c r="K152" s="8">
        <f t="shared" si="22"/>
        <v>0</v>
      </c>
    </row>
    <row r="153" spans="1:11" s="39" customFormat="1" x14ac:dyDescent="0.25">
      <c r="A153" s="5">
        <f t="shared" si="20"/>
        <v>2.01420000000003</v>
      </c>
      <c r="B153" s="66" t="s">
        <v>213</v>
      </c>
      <c r="C153" s="67" t="s">
        <v>215</v>
      </c>
      <c r="D153" s="68"/>
      <c r="E153" s="83"/>
      <c r="F153" s="83" t="s">
        <v>5</v>
      </c>
      <c r="G153" s="8">
        <f t="shared" si="22"/>
        <v>1</v>
      </c>
      <c r="H153" s="8">
        <f t="shared" si="22"/>
        <v>0</v>
      </c>
      <c r="I153" s="8">
        <f t="shared" si="22"/>
        <v>0</v>
      </c>
      <c r="J153" s="8">
        <f t="shared" si="22"/>
        <v>0</v>
      </c>
      <c r="K153" s="8">
        <f t="shared" si="22"/>
        <v>0</v>
      </c>
    </row>
    <row r="154" spans="1:11" s="39" customFormat="1" x14ac:dyDescent="0.25">
      <c r="A154" s="5">
        <f t="shared" si="20"/>
        <v>2.0143000000000302</v>
      </c>
      <c r="B154" s="66" t="s">
        <v>403</v>
      </c>
      <c r="C154" s="67" t="s">
        <v>404</v>
      </c>
      <c r="D154" s="68"/>
      <c r="E154" s="83"/>
      <c r="F154" s="83" t="s">
        <v>5</v>
      </c>
      <c r="G154" s="8">
        <f t="shared" si="22"/>
        <v>1</v>
      </c>
      <c r="H154" s="8">
        <f t="shared" si="22"/>
        <v>0</v>
      </c>
      <c r="I154" s="8">
        <f t="shared" si="22"/>
        <v>0</v>
      </c>
      <c r="J154" s="8">
        <f t="shared" si="22"/>
        <v>0</v>
      </c>
      <c r="K154" s="8">
        <f t="shared" si="22"/>
        <v>0</v>
      </c>
    </row>
    <row r="155" spans="1:11" x14ac:dyDescent="0.25">
      <c r="A155" s="5">
        <f t="shared" si="20"/>
        <v>2.0144000000000304</v>
      </c>
      <c r="B155" s="69"/>
      <c r="C155" s="70"/>
      <c r="D155" s="71"/>
      <c r="E155" s="8"/>
      <c r="F155" s="8"/>
      <c r="G155" s="8"/>
      <c r="H155" s="8"/>
      <c r="I155" s="8"/>
      <c r="J155" s="8"/>
      <c r="K155" s="8"/>
    </row>
    <row r="156" spans="1:11" x14ac:dyDescent="0.25">
      <c r="A156" s="5">
        <f t="shared" si="20"/>
        <v>2.0145000000000306</v>
      </c>
      <c r="B156" s="17" t="s">
        <v>204</v>
      </c>
      <c r="C156" s="17"/>
      <c r="D156" s="17"/>
      <c r="E156" s="8"/>
      <c r="F156" s="8"/>
      <c r="G156" s="8"/>
      <c r="H156" s="8"/>
      <c r="I156" s="8"/>
      <c r="J156" s="8"/>
      <c r="K156" s="8"/>
    </row>
    <row r="157" spans="1:11" x14ac:dyDescent="0.25">
      <c r="A157" s="5">
        <f t="shared" si="20"/>
        <v>2.0146000000000308</v>
      </c>
      <c r="B157" s="7" t="s">
        <v>205</v>
      </c>
      <c r="C157" s="6" t="s">
        <v>206</v>
      </c>
      <c r="D157" s="71"/>
      <c r="E157" s="8"/>
      <c r="F157" s="8" t="s">
        <v>5</v>
      </c>
      <c r="G157" s="8">
        <f t="shared" ref="G157:K163" si="23">IF($F157=G$1,1,0)</f>
        <v>1</v>
      </c>
      <c r="H157" s="8">
        <f t="shared" si="23"/>
        <v>0</v>
      </c>
      <c r="I157" s="8">
        <f t="shared" si="23"/>
        <v>0</v>
      </c>
      <c r="J157" s="8">
        <f t="shared" si="23"/>
        <v>0</v>
      </c>
      <c r="K157" s="8">
        <f t="shared" si="23"/>
        <v>0</v>
      </c>
    </row>
    <row r="158" spans="1:11" x14ac:dyDescent="0.25">
      <c r="A158" s="5">
        <f t="shared" si="20"/>
        <v>2.014700000000031</v>
      </c>
      <c r="B158" s="7" t="s">
        <v>110</v>
      </c>
      <c r="C158" s="6" t="s">
        <v>111</v>
      </c>
      <c r="D158" s="71"/>
      <c r="E158" s="8"/>
      <c r="F158" s="8" t="s">
        <v>5</v>
      </c>
      <c r="G158" s="8">
        <f t="shared" si="23"/>
        <v>1</v>
      </c>
      <c r="H158" s="8">
        <f t="shared" si="23"/>
        <v>0</v>
      </c>
      <c r="I158" s="8">
        <f t="shared" si="23"/>
        <v>0</v>
      </c>
      <c r="J158" s="8">
        <f t="shared" si="23"/>
        <v>0</v>
      </c>
      <c r="K158" s="8">
        <f t="shared" si="23"/>
        <v>0</v>
      </c>
    </row>
    <row r="159" spans="1:11" x14ac:dyDescent="0.25">
      <c r="A159" s="5">
        <f t="shared" si="20"/>
        <v>2.0148000000000312</v>
      </c>
      <c r="B159" s="7" t="s">
        <v>112</v>
      </c>
      <c r="C159" s="27" t="s">
        <v>113</v>
      </c>
      <c r="D159" s="71"/>
      <c r="E159" s="8"/>
      <c r="F159" s="8" t="s">
        <v>5</v>
      </c>
      <c r="G159" s="8">
        <f t="shared" si="23"/>
        <v>1</v>
      </c>
      <c r="H159" s="8">
        <f t="shared" si="23"/>
        <v>0</v>
      </c>
      <c r="I159" s="8">
        <f t="shared" si="23"/>
        <v>0</v>
      </c>
      <c r="J159" s="8">
        <f t="shared" si="23"/>
        <v>0</v>
      </c>
      <c r="K159" s="8">
        <f t="shared" si="23"/>
        <v>0</v>
      </c>
    </row>
    <row r="160" spans="1:11" x14ac:dyDescent="0.25">
      <c r="A160" s="5">
        <f t="shared" si="20"/>
        <v>2.0149000000000314</v>
      </c>
      <c r="B160" s="7"/>
      <c r="C160" s="27" t="s">
        <v>114</v>
      </c>
      <c r="D160" s="71"/>
      <c r="E160" s="8"/>
      <c r="F160" s="8" t="s">
        <v>5</v>
      </c>
      <c r="G160" s="8">
        <f t="shared" si="23"/>
        <v>1</v>
      </c>
      <c r="H160" s="8">
        <f t="shared" si="23"/>
        <v>0</v>
      </c>
      <c r="I160" s="8">
        <f t="shared" si="23"/>
        <v>0</v>
      </c>
      <c r="J160" s="8">
        <f t="shared" si="23"/>
        <v>0</v>
      </c>
      <c r="K160" s="8">
        <f t="shared" si="23"/>
        <v>0</v>
      </c>
    </row>
    <row r="161" spans="1:11" x14ac:dyDescent="0.25">
      <c r="A161" s="5">
        <f t="shared" si="20"/>
        <v>2.0150000000000317</v>
      </c>
      <c r="B161" s="7"/>
      <c r="C161" s="6" t="s">
        <v>115</v>
      </c>
      <c r="D161" s="71"/>
      <c r="E161" s="8"/>
      <c r="F161" s="8" t="s">
        <v>5</v>
      </c>
      <c r="G161" s="8">
        <f t="shared" si="23"/>
        <v>1</v>
      </c>
      <c r="H161" s="8">
        <f t="shared" si="23"/>
        <v>0</v>
      </c>
      <c r="I161" s="8">
        <f t="shared" si="23"/>
        <v>0</v>
      </c>
      <c r="J161" s="8">
        <f t="shared" si="23"/>
        <v>0</v>
      </c>
      <c r="K161" s="8">
        <f t="shared" si="23"/>
        <v>0</v>
      </c>
    </row>
    <row r="162" spans="1:11" x14ac:dyDescent="0.25">
      <c r="A162" s="5">
        <f t="shared" si="20"/>
        <v>2.0151000000000319</v>
      </c>
      <c r="B162" s="7"/>
      <c r="C162" s="27" t="s">
        <v>116</v>
      </c>
      <c r="D162" s="71"/>
      <c r="E162" s="8"/>
      <c r="F162" s="8" t="s">
        <v>5</v>
      </c>
      <c r="G162" s="8">
        <f t="shared" si="23"/>
        <v>1</v>
      </c>
      <c r="H162" s="8">
        <f t="shared" si="23"/>
        <v>0</v>
      </c>
      <c r="I162" s="8">
        <f t="shared" si="23"/>
        <v>0</v>
      </c>
      <c r="J162" s="8">
        <f t="shared" si="23"/>
        <v>0</v>
      </c>
      <c r="K162" s="8">
        <f t="shared" si="23"/>
        <v>0</v>
      </c>
    </row>
    <row r="163" spans="1:11" x14ac:dyDescent="0.25">
      <c r="A163" s="5">
        <f t="shared" si="20"/>
        <v>2.0152000000000321</v>
      </c>
      <c r="B163" s="62" t="s">
        <v>250</v>
      </c>
      <c r="C163" s="62" t="s">
        <v>247</v>
      </c>
      <c r="D163" s="71"/>
      <c r="E163" s="8"/>
      <c r="F163" s="8" t="s">
        <v>5</v>
      </c>
      <c r="G163" s="8">
        <f t="shared" si="23"/>
        <v>1</v>
      </c>
      <c r="H163" s="8">
        <f t="shared" si="23"/>
        <v>0</v>
      </c>
      <c r="I163" s="8">
        <f t="shared" si="23"/>
        <v>0</v>
      </c>
      <c r="J163" s="8">
        <f t="shared" si="23"/>
        <v>0</v>
      </c>
      <c r="K163" s="8">
        <f t="shared" si="23"/>
        <v>0</v>
      </c>
    </row>
    <row r="164" spans="1:11" x14ac:dyDescent="0.25">
      <c r="A164" s="5">
        <f t="shared" si="20"/>
        <v>2.0153000000000323</v>
      </c>
      <c r="B164" s="6"/>
      <c r="C164" s="69"/>
      <c r="D164" s="71"/>
      <c r="E164" s="8"/>
      <c r="F164" s="8"/>
      <c r="G164" s="8"/>
      <c r="H164" s="8"/>
      <c r="I164" s="8"/>
      <c r="J164" s="8"/>
      <c r="K164" s="8"/>
    </row>
    <row r="165" spans="1:11" x14ac:dyDescent="0.25">
      <c r="A165" s="5">
        <f t="shared" si="20"/>
        <v>2.0154000000000325</v>
      </c>
      <c r="B165" s="62" t="s">
        <v>251</v>
      </c>
      <c r="C165" s="62" t="s">
        <v>391</v>
      </c>
      <c r="D165" s="71"/>
      <c r="E165" s="8"/>
      <c r="F165" s="8" t="s">
        <v>5</v>
      </c>
      <c r="G165" s="8">
        <f t="shared" ref="G165:K167" si="24">IF($F165=G$1,1,0)</f>
        <v>1</v>
      </c>
      <c r="H165" s="8">
        <f t="shared" si="24"/>
        <v>0</v>
      </c>
      <c r="I165" s="8">
        <f t="shared" si="24"/>
        <v>0</v>
      </c>
      <c r="J165" s="8">
        <f t="shared" si="24"/>
        <v>0</v>
      </c>
      <c r="K165" s="8">
        <f t="shared" si="24"/>
        <v>0</v>
      </c>
    </row>
    <row r="166" spans="1:11" x14ac:dyDescent="0.25">
      <c r="A166" s="5">
        <f t="shared" si="20"/>
        <v>2.0155000000000327</v>
      </c>
      <c r="B166" s="6"/>
      <c r="C166" s="60" t="s">
        <v>248</v>
      </c>
      <c r="D166" s="71"/>
      <c r="E166" s="8"/>
      <c r="F166" s="8" t="s">
        <v>7</v>
      </c>
      <c r="G166" s="8">
        <f t="shared" si="24"/>
        <v>0</v>
      </c>
      <c r="H166" s="8">
        <f t="shared" si="24"/>
        <v>0</v>
      </c>
      <c r="I166" s="8">
        <f t="shared" si="24"/>
        <v>0</v>
      </c>
      <c r="J166" s="8">
        <f t="shared" si="24"/>
        <v>1</v>
      </c>
      <c r="K166" s="8">
        <f t="shared" si="24"/>
        <v>0</v>
      </c>
    </row>
    <row r="167" spans="1:11" x14ac:dyDescent="0.25">
      <c r="A167" s="5">
        <f t="shared" si="20"/>
        <v>2.0156000000000329</v>
      </c>
      <c r="B167" s="6"/>
      <c r="C167" s="60" t="s">
        <v>249</v>
      </c>
      <c r="D167" s="71"/>
      <c r="E167" s="8"/>
      <c r="F167" s="8" t="s">
        <v>7</v>
      </c>
      <c r="G167" s="8">
        <f t="shared" si="24"/>
        <v>0</v>
      </c>
      <c r="H167" s="8">
        <f t="shared" si="24"/>
        <v>0</v>
      </c>
      <c r="I167" s="8">
        <f t="shared" si="24"/>
        <v>0</v>
      </c>
      <c r="J167" s="8">
        <f t="shared" si="24"/>
        <v>1</v>
      </c>
      <c r="K167" s="8">
        <f t="shared" si="24"/>
        <v>0</v>
      </c>
    </row>
    <row r="168" spans="1:11" x14ac:dyDescent="0.25">
      <c r="A168" s="5">
        <f t="shared" si="20"/>
        <v>2.0157000000000331</v>
      </c>
      <c r="B168" s="6"/>
      <c r="C168" s="69"/>
      <c r="D168" s="71"/>
      <c r="E168" s="8"/>
      <c r="F168" s="8"/>
      <c r="G168" s="8"/>
      <c r="H168" s="8"/>
      <c r="I168" s="8"/>
      <c r="J168" s="8"/>
      <c r="K168" s="8"/>
    </row>
    <row r="169" spans="1:11" x14ac:dyDescent="0.25">
      <c r="A169" s="5">
        <f t="shared" si="20"/>
        <v>2.0158000000000333</v>
      </c>
      <c r="B169" s="6"/>
      <c r="C169" s="6" t="s">
        <v>117</v>
      </c>
      <c r="D169" s="71"/>
      <c r="E169" s="8"/>
      <c r="F169" s="8" t="s">
        <v>5</v>
      </c>
      <c r="G169" s="8">
        <f t="shared" ref="G169:K171" si="25">IF($F169=G$1,1,0)</f>
        <v>1</v>
      </c>
      <c r="H169" s="8">
        <f t="shared" si="25"/>
        <v>0</v>
      </c>
      <c r="I169" s="8">
        <f t="shared" si="25"/>
        <v>0</v>
      </c>
      <c r="J169" s="8">
        <f t="shared" si="25"/>
        <v>0</v>
      </c>
      <c r="K169" s="8">
        <f t="shared" si="25"/>
        <v>0</v>
      </c>
    </row>
    <row r="170" spans="1:11" x14ac:dyDescent="0.25">
      <c r="A170" s="5">
        <f t="shared" si="20"/>
        <v>2.0159000000000336</v>
      </c>
      <c r="B170" s="6"/>
      <c r="C170" s="6" t="s">
        <v>118</v>
      </c>
      <c r="D170" s="71"/>
      <c r="E170" s="8"/>
      <c r="F170" s="8" t="s">
        <v>5</v>
      </c>
      <c r="G170" s="8">
        <f t="shared" si="25"/>
        <v>1</v>
      </c>
      <c r="H170" s="8">
        <f t="shared" si="25"/>
        <v>0</v>
      </c>
      <c r="I170" s="8">
        <f t="shared" si="25"/>
        <v>0</v>
      </c>
      <c r="J170" s="8">
        <f t="shared" si="25"/>
        <v>0</v>
      </c>
      <c r="K170" s="8">
        <f t="shared" si="25"/>
        <v>0</v>
      </c>
    </row>
    <row r="171" spans="1:11" x14ac:dyDescent="0.25">
      <c r="A171" s="5">
        <f t="shared" si="20"/>
        <v>2.0160000000000338</v>
      </c>
      <c r="B171" s="6"/>
      <c r="C171" s="6" t="s">
        <v>119</v>
      </c>
      <c r="D171" s="71"/>
      <c r="E171" s="8"/>
      <c r="F171" s="8" t="s">
        <v>5</v>
      </c>
      <c r="G171" s="8">
        <f t="shared" si="25"/>
        <v>1</v>
      </c>
      <c r="H171" s="8">
        <f t="shared" si="25"/>
        <v>0</v>
      </c>
      <c r="I171" s="8">
        <f t="shared" si="25"/>
        <v>0</v>
      </c>
      <c r="J171" s="8">
        <f t="shared" si="25"/>
        <v>0</v>
      </c>
      <c r="K171" s="8">
        <f t="shared" si="25"/>
        <v>0</v>
      </c>
    </row>
    <row r="172" spans="1:11" x14ac:dyDescent="0.25">
      <c r="A172" s="5">
        <f t="shared" si="20"/>
        <v>2.016100000000034</v>
      </c>
      <c r="B172" s="6"/>
      <c r="C172" s="6"/>
      <c r="D172" s="71"/>
      <c r="E172" s="8"/>
      <c r="F172" s="8"/>
      <c r="G172" s="8"/>
      <c r="H172" s="8"/>
      <c r="I172" s="8"/>
      <c r="J172" s="8"/>
      <c r="K172" s="8"/>
    </row>
    <row r="173" spans="1:11" x14ac:dyDescent="0.25">
      <c r="A173" s="5">
        <f t="shared" si="20"/>
        <v>2.0162000000000342</v>
      </c>
      <c r="B173" s="6" t="s">
        <v>120</v>
      </c>
      <c r="C173" s="6" t="s">
        <v>209</v>
      </c>
      <c r="D173" s="71"/>
      <c r="E173" s="8"/>
      <c r="F173" s="8" t="s">
        <v>5</v>
      </c>
      <c r="G173" s="8">
        <f t="shared" ref="G173:K176" si="26">IF($F173=G$1,1,0)</f>
        <v>1</v>
      </c>
      <c r="H173" s="8">
        <f t="shared" si="26"/>
        <v>0</v>
      </c>
      <c r="I173" s="8">
        <f t="shared" si="26"/>
        <v>0</v>
      </c>
      <c r="J173" s="8">
        <f t="shared" si="26"/>
        <v>0</v>
      </c>
      <c r="K173" s="8">
        <f t="shared" si="26"/>
        <v>0</v>
      </c>
    </row>
    <row r="174" spans="1:11" x14ac:dyDescent="0.25">
      <c r="A174" s="5">
        <f t="shared" si="20"/>
        <v>2.0163000000000344</v>
      </c>
      <c r="B174" s="6" t="s">
        <v>207</v>
      </c>
      <c r="C174" s="27" t="s">
        <v>208</v>
      </c>
      <c r="D174" s="71"/>
      <c r="E174" s="8"/>
      <c r="F174" s="8" t="s">
        <v>5</v>
      </c>
      <c r="G174" s="8">
        <f t="shared" si="26"/>
        <v>1</v>
      </c>
      <c r="H174" s="8">
        <f t="shared" si="26"/>
        <v>0</v>
      </c>
      <c r="I174" s="8">
        <f t="shared" si="26"/>
        <v>0</v>
      </c>
      <c r="J174" s="8">
        <f t="shared" si="26"/>
        <v>0</v>
      </c>
      <c r="K174" s="8">
        <f t="shared" si="26"/>
        <v>0</v>
      </c>
    </row>
    <row r="175" spans="1:11" ht="30" x14ac:dyDescent="0.25">
      <c r="A175" s="5">
        <f t="shared" si="20"/>
        <v>2.0164000000000346</v>
      </c>
      <c r="B175" s="6"/>
      <c r="C175" s="6" t="s">
        <v>121</v>
      </c>
      <c r="D175" s="100"/>
      <c r="E175" s="8"/>
      <c r="F175" s="8" t="s">
        <v>8</v>
      </c>
      <c r="G175" s="8">
        <f t="shared" si="26"/>
        <v>0</v>
      </c>
      <c r="H175" s="8">
        <f t="shared" si="26"/>
        <v>0</v>
      </c>
      <c r="I175" s="8">
        <f t="shared" si="26"/>
        <v>0</v>
      </c>
      <c r="J175" s="8">
        <f t="shared" si="26"/>
        <v>0</v>
      </c>
      <c r="K175" s="8">
        <f t="shared" si="26"/>
        <v>1</v>
      </c>
    </row>
    <row r="176" spans="1:11" x14ac:dyDescent="0.25">
      <c r="A176" s="5">
        <f t="shared" si="20"/>
        <v>2.0165000000000348</v>
      </c>
      <c r="B176" s="6"/>
      <c r="C176" s="6" t="s">
        <v>122</v>
      </c>
      <c r="D176" s="71"/>
      <c r="E176" s="8"/>
      <c r="F176" s="8" t="s">
        <v>5</v>
      </c>
      <c r="G176" s="8">
        <f t="shared" si="26"/>
        <v>1</v>
      </c>
      <c r="H176" s="8">
        <f t="shared" si="26"/>
        <v>0</v>
      </c>
      <c r="I176" s="8">
        <f t="shared" si="26"/>
        <v>0</v>
      </c>
      <c r="J176" s="8">
        <f t="shared" si="26"/>
        <v>0</v>
      </c>
      <c r="K176" s="8">
        <f t="shared" si="26"/>
        <v>0</v>
      </c>
    </row>
    <row r="177" spans="1:11" x14ac:dyDescent="0.25">
      <c r="A177" s="5">
        <f t="shared" si="20"/>
        <v>2.016600000000035</v>
      </c>
      <c r="B177" s="6"/>
      <c r="C177" s="27"/>
      <c r="D177" s="71"/>
      <c r="E177" s="8"/>
      <c r="F177" s="8"/>
      <c r="G177" s="8"/>
      <c r="H177" s="8"/>
      <c r="I177" s="8"/>
      <c r="J177" s="8"/>
      <c r="K177" s="8"/>
    </row>
    <row r="178" spans="1:11" x14ac:dyDescent="0.25">
      <c r="A178" s="5">
        <f t="shared" si="20"/>
        <v>2.0167000000000352</v>
      </c>
      <c r="B178" s="6" t="s">
        <v>16</v>
      </c>
      <c r="C178" s="27" t="s">
        <v>210</v>
      </c>
      <c r="D178" s="71"/>
      <c r="E178" s="8"/>
      <c r="F178" s="8" t="s">
        <v>5</v>
      </c>
      <c r="G178" s="8">
        <f t="shared" ref="G178:K178" si="27">IF($F178=G$1,1,0)</f>
        <v>1</v>
      </c>
      <c r="H178" s="8">
        <f t="shared" si="27"/>
        <v>0</v>
      </c>
      <c r="I178" s="8">
        <f t="shared" si="27"/>
        <v>0</v>
      </c>
      <c r="J178" s="8">
        <f t="shared" si="27"/>
        <v>0</v>
      </c>
      <c r="K178" s="8">
        <f t="shared" si="27"/>
        <v>0</v>
      </c>
    </row>
    <row r="179" spans="1:11" x14ac:dyDescent="0.25">
      <c r="A179" s="5">
        <f t="shared" si="20"/>
        <v>2.0168000000000355</v>
      </c>
      <c r="B179" s="6"/>
      <c r="C179" s="6"/>
      <c r="D179" s="71"/>
      <c r="E179" s="8"/>
      <c r="F179" s="8"/>
      <c r="G179" s="8"/>
      <c r="H179" s="8"/>
      <c r="I179" s="8"/>
      <c r="J179" s="8"/>
      <c r="K179" s="8"/>
    </row>
    <row r="180" spans="1:11" x14ac:dyDescent="0.25">
      <c r="A180" s="5">
        <f t="shared" si="20"/>
        <v>2.0169000000000357</v>
      </c>
      <c r="B180" s="69"/>
      <c r="C180" s="70"/>
      <c r="D180" s="71"/>
      <c r="E180" s="8"/>
      <c r="F180" s="8"/>
      <c r="G180" s="8"/>
      <c r="H180" s="8"/>
      <c r="I180" s="8"/>
      <c r="J180" s="8"/>
      <c r="K180" s="8"/>
    </row>
    <row r="181" spans="1:11" x14ac:dyDescent="0.25">
      <c r="A181" s="5">
        <f t="shared" si="20"/>
        <v>2.0170000000000359</v>
      </c>
      <c r="B181" s="32" t="s">
        <v>24</v>
      </c>
      <c r="C181" s="27" t="s">
        <v>25</v>
      </c>
      <c r="D181" s="71"/>
      <c r="E181" s="8"/>
      <c r="F181" s="8" t="s">
        <v>5</v>
      </c>
      <c r="G181" s="8">
        <f t="shared" ref="G181:K191" si="28">IF($F181=G$1,1,0)</f>
        <v>1</v>
      </c>
      <c r="H181" s="8">
        <f t="shared" si="28"/>
        <v>0</v>
      </c>
      <c r="I181" s="8">
        <f t="shared" si="28"/>
        <v>0</v>
      </c>
      <c r="J181" s="8">
        <f t="shared" si="28"/>
        <v>0</v>
      </c>
      <c r="K181" s="8">
        <f t="shared" si="28"/>
        <v>0</v>
      </c>
    </row>
    <row r="182" spans="1:11" x14ac:dyDescent="0.25">
      <c r="A182" s="5">
        <f t="shared" si="20"/>
        <v>2.0171000000000361</v>
      </c>
      <c r="B182" s="7"/>
      <c r="C182" s="6" t="s">
        <v>26</v>
      </c>
      <c r="D182" s="71"/>
      <c r="E182" s="8"/>
      <c r="F182" s="8" t="s">
        <v>5</v>
      </c>
      <c r="G182" s="8">
        <f t="shared" si="28"/>
        <v>1</v>
      </c>
      <c r="H182" s="8">
        <f t="shared" si="28"/>
        <v>0</v>
      </c>
      <c r="I182" s="8">
        <f t="shared" si="28"/>
        <v>0</v>
      </c>
      <c r="J182" s="8">
        <f t="shared" si="28"/>
        <v>0</v>
      </c>
      <c r="K182" s="8">
        <f t="shared" si="28"/>
        <v>0</v>
      </c>
    </row>
    <row r="183" spans="1:11" x14ac:dyDescent="0.25">
      <c r="A183" s="5">
        <f t="shared" si="20"/>
        <v>2.0172000000000363</v>
      </c>
      <c r="B183" s="7"/>
      <c r="C183" s="6" t="s">
        <v>252</v>
      </c>
      <c r="D183" s="71"/>
      <c r="E183" s="8"/>
      <c r="F183" s="8" t="s">
        <v>5</v>
      </c>
      <c r="G183" s="8">
        <f t="shared" si="28"/>
        <v>1</v>
      </c>
      <c r="H183" s="8">
        <f t="shared" si="28"/>
        <v>0</v>
      </c>
      <c r="I183" s="8">
        <f t="shared" si="28"/>
        <v>0</v>
      </c>
      <c r="J183" s="8">
        <f t="shared" si="28"/>
        <v>0</v>
      </c>
      <c r="K183" s="8">
        <f t="shared" si="28"/>
        <v>0</v>
      </c>
    </row>
    <row r="184" spans="1:11" x14ac:dyDescent="0.25">
      <c r="A184" s="5">
        <f t="shared" si="20"/>
        <v>2.0173000000000365</v>
      </c>
      <c r="B184" s="7"/>
      <c r="C184" s="6" t="s">
        <v>124</v>
      </c>
      <c r="D184" s="71"/>
      <c r="E184" s="8"/>
      <c r="F184" s="8" t="s">
        <v>5</v>
      </c>
      <c r="G184" s="8">
        <f t="shared" si="28"/>
        <v>1</v>
      </c>
      <c r="H184" s="8">
        <f t="shared" si="28"/>
        <v>0</v>
      </c>
      <c r="I184" s="8">
        <f t="shared" si="28"/>
        <v>0</v>
      </c>
      <c r="J184" s="8">
        <f t="shared" si="28"/>
        <v>0</v>
      </c>
      <c r="K184" s="8">
        <f t="shared" si="28"/>
        <v>0</v>
      </c>
    </row>
    <row r="185" spans="1:11" x14ac:dyDescent="0.25">
      <c r="A185" s="5">
        <f t="shared" si="20"/>
        <v>2.0174000000000367</v>
      </c>
      <c r="B185" s="7"/>
      <c r="C185" s="62" t="s">
        <v>237</v>
      </c>
      <c r="D185" s="71"/>
      <c r="E185" s="8"/>
      <c r="F185" s="8" t="s">
        <v>5</v>
      </c>
      <c r="G185" s="8">
        <f t="shared" si="28"/>
        <v>1</v>
      </c>
      <c r="H185" s="8">
        <f t="shared" si="28"/>
        <v>0</v>
      </c>
      <c r="I185" s="8">
        <f t="shared" si="28"/>
        <v>0</v>
      </c>
      <c r="J185" s="8">
        <f t="shared" si="28"/>
        <v>0</v>
      </c>
      <c r="K185" s="8">
        <f t="shared" si="28"/>
        <v>0</v>
      </c>
    </row>
    <row r="186" spans="1:11" x14ac:dyDescent="0.25">
      <c r="A186" s="5">
        <f t="shared" si="20"/>
        <v>2.0175000000000369</v>
      </c>
      <c r="B186" s="7"/>
      <c r="C186" s="62" t="s">
        <v>233</v>
      </c>
      <c r="D186" s="71"/>
      <c r="E186" s="8"/>
      <c r="F186" s="8" t="s">
        <v>5</v>
      </c>
      <c r="G186" s="8">
        <f t="shared" si="28"/>
        <v>1</v>
      </c>
      <c r="H186" s="8">
        <f t="shared" si="28"/>
        <v>0</v>
      </c>
      <c r="I186" s="8">
        <f t="shared" si="28"/>
        <v>0</v>
      </c>
      <c r="J186" s="8">
        <f t="shared" si="28"/>
        <v>0</v>
      </c>
      <c r="K186" s="8">
        <f t="shared" si="28"/>
        <v>0</v>
      </c>
    </row>
    <row r="187" spans="1:11" x14ac:dyDescent="0.25">
      <c r="A187" s="5">
        <f t="shared" si="20"/>
        <v>2.0176000000000371</v>
      </c>
      <c r="B187" s="7"/>
      <c r="C187" s="62" t="s">
        <v>234</v>
      </c>
      <c r="D187" s="71"/>
      <c r="E187" s="8"/>
      <c r="F187" s="8" t="s">
        <v>5</v>
      </c>
      <c r="G187" s="8">
        <f t="shared" si="28"/>
        <v>1</v>
      </c>
      <c r="H187" s="8">
        <f t="shared" si="28"/>
        <v>0</v>
      </c>
      <c r="I187" s="8">
        <f t="shared" si="28"/>
        <v>0</v>
      </c>
      <c r="J187" s="8">
        <f t="shared" si="28"/>
        <v>0</v>
      </c>
      <c r="K187" s="8">
        <f t="shared" si="28"/>
        <v>0</v>
      </c>
    </row>
    <row r="188" spans="1:11" x14ac:dyDescent="0.25">
      <c r="A188" s="5">
        <f t="shared" si="20"/>
        <v>2.0177000000000374</v>
      </c>
      <c r="B188" s="7"/>
      <c r="C188" s="62" t="s">
        <v>235</v>
      </c>
      <c r="D188" s="71"/>
      <c r="E188" s="8"/>
      <c r="F188" s="8" t="s">
        <v>5</v>
      </c>
      <c r="G188" s="8">
        <f t="shared" si="28"/>
        <v>1</v>
      </c>
      <c r="H188" s="8">
        <f t="shared" si="28"/>
        <v>0</v>
      </c>
      <c r="I188" s="8">
        <f t="shared" si="28"/>
        <v>0</v>
      </c>
      <c r="J188" s="8">
        <f t="shared" si="28"/>
        <v>0</v>
      </c>
      <c r="K188" s="8">
        <f t="shared" si="28"/>
        <v>0</v>
      </c>
    </row>
    <row r="189" spans="1:11" x14ac:dyDescent="0.25">
      <c r="A189" s="5">
        <f t="shared" si="20"/>
        <v>2.0178000000000376</v>
      </c>
      <c r="B189" s="7"/>
      <c r="C189" s="62" t="s">
        <v>227</v>
      </c>
      <c r="D189" s="71"/>
      <c r="E189" s="8"/>
      <c r="F189" s="8" t="s">
        <v>5</v>
      </c>
      <c r="G189" s="8">
        <f t="shared" si="28"/>
        <v>1</v>
      </c>
      <c r="H189" s="8">
        <f t="shared" si="28"/>
        <v>0</v>
      </c>
      <c r="I189" s="8">
        <f t="shared" si="28"/>
        <v>0</v>
      </c>
      <c r="J189" s="8">
        <f t="shared" si="28"/>
        <v>0</v>
      </c>
      <c r="K189" s="8">
        <f t="shared" si="28"/>
        <v>0</v>
      </c>
    </row>
    <row r="190" spans="1:11" x14ac:dyDescent="0.25">
      <c r="A190" s="5">
        <f t="shared" si="20"/>
        <v>2.0179000000000378</v>
      </c>
      <c r="B190" s="7"/>
      <c r="C190" s="62" t="s">
        <v>236</v>
      </c>
      <c r="D190" s="71"/>
      <c r="E190" s="8"/>
      <c r="F190" s="8" t="s">
        <v>5</v>
      </c>
      <c r="G190" s="8">
        <f t="shared" si="28"/>
        <v>1</v>
      </c>
      <c r="H190" s="8">
        <f t="shared" si="28"/>
        <v>0</v>
      </c>
      <c r="I190" s="8">
        <f t="shared" si="28"/>
        <v>0</v>
      </c>
      <c r="J190" s="8">
        <f t="shared" si="28"/>
        <v>0</v>
      </c>
      <c r="K190" s="8">
        <f t="shared" si="28"/>
        <v>0</v>
      </c>
    </row>
    <row r="191" spans="1:11" x14ac:dyDescent="0.25">
      <c r="A191" s="5">
        <f t="shared" si="20"/>
        <v>2.018000000000038</v>
      </c>
      <c r="B191" s="69"/>
      <c r="C191" s="62" t="s">
        <v>227</v>
      </c>
      <c r="D191" s="71"/>
      <c r="E191" s="8"/>
      <c r="F191" s="8" t="s">
        <v>5</v>
      </c>
      <c r="G191" s="8">
        <f t="shared" si="28"/>
        <v>1</v>
      </c>
      <c r="H191" s="8">
        <f t="shared" si="28"/>
        <v>0</v>
      </c>
      <c r="I191" s="8">
        <f t="shared" si="28"/>
        <v>0</v>
      </c>
      <c r="J191" s="8">
        <f t="shared" si="28"/>
        <v>0</v>
      </c>
      <c r="K191" s="8">
        <f t="shared" si="28"/>
        <v>0</v>
      </c>
    </row>
    <row r="192" spans="1:11" x14ac:dyDescent="0.25">
      <c r="A192" s="5">
        <f t="shared" ref="A192:A195" si="29">A191+0.0001</f>
        <v>2.0181000000000382</v>
      </c>
      <c r="B192" s="69"/>
      <c r="C192" s="70"/>
      <c r="D192" s="71"/>
      <c r="E192" s="8"/>
      <c r="F192" s="8"/>
      <c r="G192" s="8"/>
      <c r="H192" s="8"/>
      <c r="I192" s="8"/>
      <c r="J192" s="8"/>
      <c r="K192" s="8"/>
    </row>
    <row r="193" spans="1:11" x14ac:dyDescent="0.25">
      <c r="A193" s="5">
        <f t="shared" si="29"/>
        <v>2.0182000000000384</v>
      </c>
      <c r="B193" s="17" t="s">
        <v>138</v>
      </c>
      <c r="C193" s="18" t="s">
        <v>139</v>
      </c>
      <c r="D193" s="17"/>
      <c r="E193" s="8"/>
      <c r="F193" s="8"/>
      <c r="G193" s="8"/>
      <c r="H193" s="8"/>
      <c r="I193" s="8"/>
      <c r="J193" s="8"/>
      <c r="K193" s="8"/>
    </row>
    <row r="194" spans="1:11" ht="51" x14ac:dyDescent="0.25">
      <c r="A194" s="5">
        <f t="shared" si="29"/>
        <v>2.0183000000000386</v>
      </c>
      <c r="B194" s="42" t="s">
        <v>143</v>
      </c>
      <c r="C194" s="43" t="s">
        <v>141</v>
      </c>
      <c r="D194" s="7" t="s">
        <v>140</v>
      </c>
      <c r="E194" s="8"/>
      <c r="F194" s="8" t="s">
        <v>8</v>
      </c>
      <c r="G194" s="8">
        <f t="shared" ref="G194:J194" si="30">IF($F194=G$1,1,0)</f>
        <v>0</v>
      </c>
      <c r="H194" s="8">
        <f t="shared" si="30"/>
        <v>0</v>
      </c>
      <c r="I194" s="8">
        <f t="shared" si="30"/>
        <v>0</v>
      </c>
      <c r="J194" s="8">
        <f t="shared" si="30"/>
        <v>0</v>
      </c>
      <c r="K194" s="8"/>
    </row>
    <row r="195" spans="1:11" x14ac:dyDescent="0.25">
      <c r="A195" s="5">
        <f t="shared" si="29"/>
        <v>2.0184000000000388</v>
      </c>
      <c r="B195" s="7"/>
      <c r="C195" s="6"/>
      <c r="D195" s="8"/>
      <c r="E195" s="8"/>
      <c r="F195" s="8"/>
      <c r="G195" s="8"/>
      <c r="H195" s="8"/>
      <c r="I195" s="8"/>
      <c r="J195" s="8"/>
      <c r="K195" s="8"/>
    </row>
    <row r="196" spans="1:11" ht="15.75" thickBot="1" x14ac:dyDescent="0.3">
      <c r="G196" s="31">
        <f>SUM(G4:G195)</f>
        <v>143</v>
      </c>
      <c r="H196" s="31">
        <f t="shared" ref="H196:K196" si="31">SUM(H4:H195)</f>
        <v>0</v>
      </c>
      <c r="I196" s="31">
        <f t="shared" si="31"/>
        <v>0</v>
      </c>
      <c r="J196" s="31">
        <f t="shared" si="31"/>
        <v>4</v>
      </c>
      <c r="K196" s="31">
        <f t="shared" si="31"/>
        <v>1</v>
      </c>
    </row>
    <row r="197" spans="1:11" ht="15.75" thickTop="1" x14ac:dyDescent="0.25"/>
  </sheetData>
  <mergeCells count="1">
    <mergeCell ref="B2:C2"/>
  </mergeCells>
  <conditionalFormatting sqref="B49:C52 B64:B66 B54:B56 C53:C56 B81:C91 B43:C47 B62:C62 C63 B68:B71 G4:K7 D8:E9 B12:C19 D12:D16 B157:C169 B192:C192 B195:C195 B155:C155 B133:C134 B136:C136 A4:A195 G8:L9 F10:K195">
    <cfRule type="expression" dxfId="723" priority="357">
      <formula>$F4="Fail"</formula>
    </cfRule>
  </conditionalFormatting>
  <conditionalFormatting sqref="A3:K3 D4:E5">
    <cfRule type="expression" dxfId="722" priority="356">
      <formula>$F3="Fail"</formula>
    </cfRule>
  </conditionalFormatting>
  <conditionalFormatting sqref="D7:E7">
    <cfRule type="expression" dxfId="721" priority="351">
      <formula>$F7="Fail"</formula>
    </cfRule>
  </conditionalFormatting>
  <conditionalFormatting sqref="D6:E6">
    <cfRule type="expression" dxfId="720" priority="350">
      <formula>$F6="Fail"</formula>
    </cfRule>
  </conditionalFormatting>
  <conditionalFormatting sqref="F4">
    <cfRule type="expression" dxfId="719" priority="349">
      <formula>$F4="Fail"</formula>
    </cfRule>
  </conditionalFormatting>
  <conditionalFormatting sqref="L3:L5">
    <cfRule type="expression" dxfId="718" priority="347">
      <formula>$F3="Fail"</formula>
    </cfRule>
  </conditionalFormatting>
  <conditionalFormatting sqref="L7">
    <cfRule type="expression" dxfId="717" priority="342">
      <formula>$F7="Fail"</formula>
    </cfRule>
  </conditionalFormatting>
  <conditionalFormatting sqref="L6">
    <cfRule type="expression" dxfId="716" priority="341">
      <formula>$F6="Fail"</formula>
    </cfRule>
  </conditionalFormatting>
  <conditionalFormatting sqref="G196:K196">
    <cfRule type="expression" dxfId="715" priority="320">
      <formula>$F196="Fail"</formula>
    </cfRule>
  </conditionalFormatting>
  <conditionalFormatting sqref="D24 B24 D39:D41">
    <cfRule type="expression" dxfId="714" priority="306">
      <formula>$F24="Fail"</formula>
    </cfRule>
  </conditionalFormatting>
  <conditionalFormatting sqref="B42">
    <cfRule type="expression" dxfId="713" priority="287">
      <formula>$F42="Fail"</formula>
    </cfRule>
  </conditionalFormatting>
  <conditionalFormatting sqref="C42">
    <cfRule type="expression" dxfId="712" priority="286">
      <formula>$F42="Fail"</formula>
    </cfRule>
  </conditionalFormatting>
  <conditionalFormatting sqref="C24">
    <cfRule type="expression" dxfId="711" priority="266">
      <formula>$F24="Fail"</formula>
    </cfRule>
  </conditionalFormatting>
  <conditionalFormatting sqref="B117:C117">
    <cfRule type="expression" dxfId="710" priority="282">
      <formula>$F117="Fail"</formula>
    </cfRule>
  </conditionalFormatting>
  <conditionalFormatting sqref="B117:C117">
    <cfRule type="expression" dxfId="709" priority="281">
      <formula>$F117="Fail"</formula>
    </cfRule>
  </conditionalFormatting>
  <conditionalFormatting sqref="C83:C84">
    <cfRule type="expression" dxfId="708" priority="279">
      <formula>$F83="Fail"</formula>
    </cfRule>
  </conditionalFormatting>
  <conditionalFormatting sqref="B48">
    <cfRule type="expression" dxfId="707" priority="278">
      <formula>$F48="Fail"</formula>
    </cfRule>
  </conditionalFormatting>
  <conditionalFormatting sqref="C48">
    <cfRule type="expression" dxfId="706" priority="277">
      <formula>$F48="Fail"</formula>
    </cfRule>
  </conditionalFormatting>
  <conditionalFormatting sqref="C195">
    <cfRule type="expression" dxfId="705" priority="271">
      <formula>$F195="Fail"</formula>
    </cfRule>
  </conditionalFormatting>
  <conditionalFormatting sqref="D18:D23 B23:C23">
    <cfRule type="expression" dxfId="704" priority="255">
      <formula>$F18="Fail"</formula>
    </cfRule>
  </conditionalFormatting>
  <conditionalFormatting sqref="D17">
    <cfRule type="expression" dxfId="703" priority="254">
      <formula>$F17="Fail"</formula>
    </cfRule>
  </conditionalFormatting>
  <conditionalFormatting sqref="C24">
    <cfRule type="expression" dxfId="702" priority="268">
      <formula>$F24="Fail"</formula>
    </cfRule>
  </conditionalFormatting>
  <conditionalFormatting sqref="B193:D193 B194:C194">
    <cfRule type="expression" dxfId="701" priority="263">
      <formula>$F193="Fail"</formula>
    </cfRule>
  </conditionalFormatting>
  <conditionalFormatting sqref="D194">
    <cfRule type="expression" dxfId="700" priority="262">
      <formula>$F194="Fail"</formula>
    </cfRule>
  </conditionalFormatting>
  <conditionalFormatting sqref="B25">
    <cfRule type="expression" dxfId="699" priority="236">
      <formula>$F25="Fail"</formula>
    </cfRule>
  </conditionalFormatting>
  <conditionalFormatting sqref="C4 B5:C7">
    <cfRule type="expression" dxfId="698" priority="257">
      <formula>$F4="Fail"</formula>
    </cfRule>
  </conditionalFormatting>
  <conditionalFormatting sqref="B4">
    <cfRule type="expression" dxfId="697" priority="256">
      <formula>$F4="Fail"</formula>
    </cfRule>
  </conditionalFormatting>
  <conditionalFormatting sqref="B22:C22">
    <cfRule type="expression" dxfId="696" priority="247">
      <formula>$F22="Fail"</formula>
    </cfRule>
  </conditionalFormatting>
  <conditionalFormatting sqref="D11">
    <cfRule type="expression" dxfId="695" priority="253">
      <formula>$F11="Fail"</formula>
    </cfRule>
  </conditionalFormatting>
  <conditionalFormatting sqref="B10:C10 B20">
    <cfRule type="expression" dxfId="694" priority="251">
      <formula>$F10="Fail"</formula>
    </cfRule>
  </conditionalFormatting>
  <conditionalFormatting sqref="C20">
    <cfRule type="expression" dxfId="693" priority="248">
      <formula>$F20="Fail"</formula>
    </cfRule>
  </conditionalFormatting>
  <conditionalFormatting sqref="C21">
    <cfRule type="expression" dxfId="692" priority="244">
      <formula>$F21="Fail"</formula>
    </cfRule>
  </conditionalFormatting>
  <conditionalFormatting sqref="B11">
    <cfRule type="expression" dxfId="691" priority="250">
      <formula>$F11="Fail"</formula>
    </cfRule>
  </conditionalFormatting>
  <conditionalFormatting sqref="D10">
    <cfRule type="expression" dxfId="690" priority="246">
      <formula>$F10="Fail"</formula>
    </cfRule>
  </conditionalFormatting>
  <conditionalFormatting sqref="B21">
    <cfRule type="expression" dxfId="689" priority="245">
      <formula>$F21="Fail"</formula>
    </cfRule>
  </conditionalFormatting>
  <conditionalFormatting sqref="B22">
    <cfRule type="expression" dxfId="688" priority="243">
      <formula>$F22="Fail"</formula>
    </cfRule>
  </conditionalFormatting>
  <conditionalFormatting sqref="C22">
    <cfRule type="expression" dxfId="687" priority="242">
      <formula>$F22="Fail"</formula>
    </cfRule>
  </conditionalFormatting>
  <conditionalFormatting sqref="B37:C37">
    <cfRule type="expression" dxfId="686" priority="226">
      <formula>$F37="Fail"</formula>
    </cfRule>
  </conditionalFormatting>
  <conditionalFormatting sqref="D26:D36">
    <cfRule type="expression" dxfId="685" priority="240">
      <formula>$F26="Fail"</formula>
    </cfRule>
  </conditionalFormatting>
  <conditionalFormatting sqref="D37:D38">
    <cfRule type="expression" dxfId="684" priority="239">
      <formula>$F37="Fail"</formula>
    </cfRule>
  </conditionalFormatting>
  <conditionalFormatting sqref="C25">
    <cfRule type="expression" dxfId="683" priority="237">
      <formula>$F25="Fail"</formula>
    </cfRule>
  </conditionalFormatting>
  <conditionalFormatting sqref="B27:C27 B34:C36 B38:C40 B41">
    <cfRule type="expression" dxfId="682" priority="229">
      <formula>$F27="Fail"</formula>
    </cfRule>
  </conditionalFormatting>
  <conditionalFormatting sqref="B26:C26">
    <cfRule type="expression" dxfId="681" priority="228">
      <formula>$F26="Fail"</formula>
    </cfRule>
  </conditionalFormatting>
  <conditionalFormatting sqref="D25">
    <cfRule type="expression" dxfId="680" priority="232">
      <formula>$F25="Fail"</formula>
    </cfRule>
  </conditionalFormatting>
  <conditionalFormatting sqref="C41">
    <cfRule type="expression" dxfId="679" priority="225">
      <formula>$F41="Fail"</formula>
    </cfRule>
  </conditionalFormatting>
  <conditionalFormatting sqref="B28:C33">
    <cfRule type="expression" dxfId="678" priority="227">
      <formula>$F28="Fail"</formula>
    </cfRule>
  </conditionalFormatting>
  <conditionalFormatting sqref="B99:C99 B114:C115">
    <cfRule type="expression" dxfId="677" priority="207">
      <formula>$F99="Fail"</formula>
    </cfRule>
  </conditionalFormatting>
  <conditionalFormatting sqref="B99:C99 B114:C115">
    <cfRule type="expression" dxfId="676" priority="206">
      <formula>$F99="Fail"</formula>
    </cfRule>
  </conditionalFormatting>
  <conditionalFormatting sqref="B113 D110:D112">
    <cfRule type="expression" dxfId="675" priority="205">
      <formula>$F110="Fail"</formula>
    </cfRule>
  </conditionalFormatting>
  <conditionalFormatting sqref="B113 D113">
    <cfRule type="expression" dxfId="674" priority="204">
      <formula>$F113="Fail"</formula>
    </cfRule>
  </conditionalFormatting>
  <conditionalFormatting sqref="C113">
    <cfRule type="expression" dxfId="673" priority="203">
      <formula>$F113="Fail"</formula>
    </cfRule>
  </conditionalFormatting>
  <conditionalFormatting sqref="C113">
    <cfRule type="expression" dxfId="672" priority="202">
      <formula>$F113="Fail"</formula>
    </cfRule>
  </conditionalFormatting>
  <conditionalFormatting sqref="B108:C108">
    <cfRule type="expression" dxfId="671" priority="193">
      <formula>$F108="Fail"</formula>
    </cfRule>
  </conditionalFormatting>
  <conditionalFormatting sqref="D101:D107">
    <cfRule type="expression" dxfId="670" priority="201">
      <formula>$F101="Fail"</formula>
    </cfRule>
  </conditionalFormatting>
  <conditionalFormatting sqref="D108:D109">
    <cfRule type="expression" dxfId="669" priority="200">
      <formula>$F108="Fail"</formula>
    </cfRule>
  </conditionalFormatting>
  <conditionalFormatting sqref="C100">
    <cfRule type="expression" dxfId="668" priority="199">
      <formula>$F100="Fail"</formula>
    </cfRule>
  </conditionalFormatting>
  <conditionalFormatting sqref="D100">
    <cfRule type="expression" dxfId="667" priority="197">
      <formula>$F100="Fail"</formula>
    </cfRule>
  </conditionalFormatting>
  <conditionalFormatting sqref="B102:C102 B105:C107 B109:C111 B112">
    <cfRule type="expression" dxfId="666" priority="196">
      <formula>$F102="Fail"</formula>
    </cfRule>
  </conditionalFormatting>
  <conditionalFormatting sqref="B101:C101">
    <cfRule type="expression" dxfId="665" priority="195">
      <formula>$F101="Fail"</formula>
    </cfRule>
  </conditionalFormatting>
  <conditionalFormatting sqref="D119">
    <cfRule type="expression" dxfId="664" priority="181">
      <formula>$F119="Fail"</formula>
    </cfRule>
  </conditionalFormatting>
  <conditionalFormatting sqref="C112">
    <cfRule type="expression" dxfId="663" priority="192">
      <formula>$F112="Fail"</formula>
    </cfRule>
  </conditionalFormatting>
  <conditionalFormatting sqref="B103:C104">
    <cfRule type="expression" dxfId="662" priority="194">
      <formula>$F103="Fail"</formula>
    </cfRule>
  </conditionalFormatting>
  <conditionalFormatting sqref="B100">
    <cfRule type="expression" dxfId="661" priority="191">
      <formula>$F100="Fail"</formula>
    </cfRule>
  </conditionalFormatting>
  <conditionalFormatting sqref="C118 B180:C180 B191">
    <cfRule type="expression" dxfId="660" priority="190">
      <formula>$F118="Fail"</formula>
    </cfRule>
  </conditionalFormatting>
  <conditionalFormatting sqref="C118 B180:C180 B191">
    <cfRule type="expression" dxfId="659" priority="189">
      <formula>$F118="Fail"</formula>
    </cfRule>
  </conditionalFormatting>
  <conditionalFormatting sqref="B132 D129:D131">
    <cfRule type="expression" dxfId="658" priority="188">
      <formula>$F129="Fail"</formula>
    </cfRule>
  </conditionalFormatting>
  <conditionalFormatting sqref="B132 D132">
    <cfRule type="expression" dxfId="657" priority="187">
      <formula>$F132="Fail"</formula>
    </cfRule>
  </conditionalFormatting>
  <conditionalFormatting sqref="C132">
    <cfRule type="expression" dxfId="656" priority="186">
      <formula>$F132="Fail"</formula>
    </cfRule>
  </conditionalFormatting>
  <conditionalFormatting sqref="C132">
    <cfRule type="expression" dxfId="655" priority="185">
      <formula>$F132="Fail"</formula>
    </cfRule>
  </conditionalFormatting>
  <conditionalFormatting sqref="B127:C127">
    <cfRule type="expression" dxfId="654" priority="177">
      <formula>$F127="Fail"</formula>
    </cfRule>
  </conditionalFormatting>
  <conditionalFormatting sqref="D120:D126">
    <cfRule type="expression" dxfId="653" priority="184">
      <formula>$F120="Fail"</formula>
    </cfRule>
  </conditionalFormatting>
  <conditionalFormatting sqref="D127:D128">
    <cfRule type="expression" dxfId="652" priority="183">
      <formula>$F127="Fail"</formula>
    </cfRule>
  </conditionalFormatting>
  <conditionalFormatting sqref="C119">
    <cfRule type="expression" dxfId="651" priority="182">
      <formula>$F119="Fail"</formula>
    </cfRule>
  </conditionalFormatting>
  <conditionalFormatting sqref="B121:C121 B124:C126 B128:C130 B131">
    <cfRule type="expression" dxfId="650" priority="180">
      <formula>$F121="Fail"</formula>
    </cfRule>
  </conditionalFormatting>
  <conditionalFormatting sqref="B120:C120">
    <cfRule type="expression" dxfId="649" priority="179">
      <formula>$F120="Fail"</formula>
    </cfRule>
  </conditionalFormatting>
  <conditionalFormatting sqref="C131">
    <cfRule type="expression" dxfId="648" priority="176">
      <formula>$F131="Fail"</formula>
    </cfRule>
  </conditionalFormatting>
  <conditionalFormatting sqref="B122:C123">
    <cfRule type="expression" dxfId="647" priority="178">
      <formula>$F122="Fail"</formula>
    </cfRule>
  </conditionalFormatting>
  <conditionalFormatting sqref="B119">
    <cfRule type="expression" dxfId="646" priority="175">
      <formula>$F119="Fail"</formula>
    </cfRule>
  </conditionalFormatting>
  <conditionalFormatting sqref="B118">
    <cfRule type="expression" dxfId="645" priority="124">
      <formula>$F118="Fail"</formula>
    </cfRule>
  </conditionalFormatting>
  <conditionalFormatting sqref="B118">
    <cfRule type="expression" dxfId="644" priority="123">
      <formula>$F118="Fail"</formula>
    </cfRule>
  </conditionalFormatting>
  <conditionalFormatting sqref="C68:C70">
    <cfRule type="expression" dxfId="643" priority="103">
      <formula>$F68="Fail"</formula>
    </cfRule>
  </conditionalFormatting>
  <conditionalFormatting sqref="C68:C70">
    <cfRule type="expression" dxfId="642" priority="102">
      <formula>$F68="Fail"</formula>
    </cfRule>
  </conditionalFormatting>
  <conditionalFormatting sqref="C67">
    <cfRule type="expression" dxfId="641" priority="101">
      <formula>$F67="Fail"</formula>
    </cfRule>
  </conditionalFormatting>
  <conditionalFormatting sqref="C67">
    <cfRule type="expression" dxfId="640" priority="100">
      <formula>$F67="Fail"</formula>
    </cfRule>
  </conditionalFormatting>
  <conditionalFormatting sqref="C67">
    <cfRule type="expression" dxfId="639" priority="99">
      <formula>$F67="Fail"</formula>
    </cfRule>
  </conditionalFormatting>
  <conditionalFormatting sqref="B67">
    <cfRule type="expression" dxfId="638" priority="86">
      <formula>$F67="Fail"</formula>
    </cfRule>
  </conditionalFormatting>
  <conditionalFormatting sqref="C71">
    <cfRule type="expression" dxfId="637" priority="83">
      <formula>$F71="Fail"</formula>
    </cfRule>
  </conditionalFormatting>
  <conditionalFormatting sqref="C71">
    <cfRule type="expression" dxfId="636" priority="82">
      <formula>$F71="Fail"</formula>
    </cfRule>
  </conditionalFormatting>
  <conditionalFormatting sqref="B58:B61">
    <cfRule type="expression" dxfId="635" priority="75">
      <formula>$F58="Fail"</formula>
    </cfRule>
  </conditionalFormatting>
  <conditionalFormatting sqref="C59:C61">
    <cfRule type="expression" dxfId="634" priority="74">
      <formula>$F59="Fail"</formula>
    </cfRule>
  </conditionalFormatting>
  <conditionalFormatting sqref="C59:C61">
    <cfRule type="expression" dxfId="633" priority="73">
      <formula>$F59="Fail"</formula>
    </cfRule>
  </conditionalFormatting>
  <conditionalFormatting sqref="C57">
    <cfRule type="expression" dxfId="632" priority="72">
      <formula>$F57="Fail"</formula>
    </cfRule>
  </conditionalFormatting>
  <conditionalFormatting sqref="C57">
    <cfRule type="expression" dxfId="631" priority="71">
      <formula>$F57="Fail"</formula>
    </cfRule>
  </conditionalFormatting>
  <conditionalFormatting sqref="C57">
    <cfRule type="expression" dxfId="630" priority="70">
      <formula>$F57="Fail"</formula>
    </cfRule>
  </conditionalFormatting>
  <conditionalFormatting sqref="B57">
    <cfRule type="expression" dxfId="629" priority="69">
      <formula>$F57="Fail"</formula>
    </cfRule>
  </conditionalFormatting>
  <conditionalFormatting sqref="C170 B171:C174 B179:C179 B175:B177">
    <cfRule type="expression" dxfId="628" priority="67">
      <formula>$F170="Fail"</formula>
    </cfRule>
  </conditionalFormatting>
  <conditionalFormatting sqref="C170 B171:C174 B179:C179 B175:B177">
    <cfRule type="expression" dxfId="627" priority="66">
      <formula>$F170="Fail"</formula>
    </cfRule>
  </conditionalFormatting>
  <conditionalFormatting sqref="B156">
    <cfRule type="expression" dxfId="626" priority="65">
      <formula>$F156="Fail"</formula>
    </cfRule>
  </conditionalFormatting>
  <conditionalFormatting sqref="B170">
    <cfRule type="expression" dxfId="625" priority="64">
      <formula>$F170="Fail"</formula>
    </cfRule>
  </conditionalFormatting>
  <conditionalFormatting sqref="B170">
    <cfRule type="expression" dxfId="624" priority="63">
      <formula>$F170="Fail"</formula>
    </cfRule>
  </conditionalFormatting>
  <conditionalFormatting sqref="C176:C177">
    <cfRule type="expression" dxfId="623" priority="62">
      <formula>$F176="Fail"</formula>
    </cfRule>
  </conditionalFormatting>
  <conditionalFormatting sqref="C176:C177">
    <cfRule type="expression" dxfId="622" priority="61">
      <formula>$F176="Fail"</formula>
    </cfRule>
  </conditionalFormatting>
  <conditionalFormatting sqref="C175">
    <cfRule type="expression" dxfId="621" priority="60">
      <formula>$F175="Fail"</formula>
    </cfRule>
  </conditionalFormatting>
  <conditionalFormatting sqref="C175">
    <cfRule type="expression" dxfId="620" priority="59">
      <formula>$F175="Fail"</formula>
    </cfRule>
  </conditionalFormatting>
  <conditionalFormatting sqref="C156">
    <cfRule type="expression" dxfId="619" priority="58">
      <formula>$F156="Fail"</formula>
    </cfRule>
  </conditionalFormatting>
  <conditionalFormatting sqref="B178">
    <cfRule type="expression" dxfId="618" priority="57">
      <formula>$F178="Fail"</formula>
    </cfRule>
  </conditionalFormatting>
  <conditionalFormatting sqref="B178">
    <cfRule type="expression" dxfId="617" priority="56">
      <formula>$F178="Fail"</formula>
    </cfRule>
  </conditionalFormatting>
  <conditionalFormatting sqref="C178">
    <cfRule type="expression" dxfId="616" priority="55">
      <formula>$F178="Fail"</formula>
    </cfRule>
  </conditionalFormatting>
  <conditionalFormatting sqref="C178">
    <cfRule type="expression" dxfId="615" priority="54">
      <formula>$F178="Fail"</formula>
    </cfRule>
  </conditionalFormatting>
  <conditionalFormatting sqref="D156">
    <cfRule type="expression" dxfId="614" priority="53">
      <formula>$F156="Fail"</formula>
    </cfRule>
  </conditionalFormatting>
  <conditionalFormatting sqref="B181:C184 B185:B190">
    <cfRule type="expression" dxfId="613" priority="52">
      <formula>$F181="Fail"</formula>
    </cfRule>
  </conditionalFormatting>
  <conditionalFormatting sqref="C185:C191">
    <cfRule type="expression" dxfId="612" priority="49">
      <formula>$F185="Fail"</formula>
    </cfRule>
  </conditionalFormatting>
  <conditionalFormatting sqref="C185:C191">
    <cfRule type="expression" dxfId="611" priority="50">
      <formula>$F185="Fail"</formula>
    </cfRule>
  </conditionalFormatting>
  <conditionalFormatting sqref="F5:F9">
    <cfRule type="expression" dxfId="610" priority="48">
      <formula>$F5="Fail"</formula>
    </cfRule>
  </conditionalFormatting>
  <conditionalFormatting sqref="B8:C8 C9">
    <cfRule type="expression" dxfId="609" priority="45">
      <formula>$F8="Fail"</formula>
    </cfRule>
  </conditionalFormatting>
  <conditionalFormatting sqref="B9">
    <cfRule type="expression" dxfId="608" priority="44">
      <formula>$F9="Fail"</formula>
    </cfRule>
  </conditionalFormatting>
  <conditionalFormatting sqref="B137">
    <cfRule type="expression" dxfId="607" priority="27">
      <formula>$F137="Fail"</formula>
    </cfRule>
  </conditionalFormatting>
  <conditionalFormatting sqref="B137">
    <cfRule type="expression" dxfId="606" priority="26">
      <formula>$F137="Fail"</formula>
    </cfRule>
  </conditionalFormatting>
  <conditionalFormatting sqref="D138">
    <cfRule type="expression" dxfId="605" priority="34">
      <formula>$F138="Fail"</formula>
    </cfRule>
  </conditionalFormatting>
  <conditionalFormatting sqref="C137 B152:C153">
    <cfRule type="expression" dxfId="604" priority="43">
      <formula>$F137="Fail"</formula>
    </cfRule>
  </conditionalFormatting>
  <conditionalFormatting sqref="C137 B152:C153">
    <cfRule type="expression" dxfId="603" priority="42">
      <formula>$F137="Fail"</formula>
    </cfRule>
  </conditionalFormatting>
  <conditionalFormatting sqref="B151 D148:D150">
    <cfRule type="expression" dxfId="602" priority="41">
      <formula>$F148="Fail"</formula>
    </cfRule>
  </conditionalFormatting>
  <conditionalFormatting sqref="B151 D151">
    <cfRule type="expression" dxfId="601" priority="40">
      <formula>$F151="Fail"</formula>
    </cfRule>
  </conditionalFormatting>
  <conditionalFormatting sqref="C151">
    <cfRule type="expression" dxfId="600" priority="39">
      <formula>$F151="Fail"</formula>
    </cfRule>
  </conditionalFormatting>
  <conditionalFormatting sqref="C151">
    <cfRule type="expression" dxfId="599" priority="38">
      <formula>$F151="Fail"</formula>
    </cfRule>
  </conditionalFormatting>
  <conditionalFormatting sqref="B146:C146">
    <cfRule type="expression" dxfId="598" priority="30">
      <formula>$F146="Fail"</formula>
    </cfRule>
  </conditionalFormatting>
  <conditionalFormatting sqref="D139:D145">
    <cfRule type="expression" dxfId="597" priority="37">
      <formula>$F139="Fail"</formula>
    </cfRule>
  </conditionalFormatting>
  <conditionalFormatting sqref="D146:D147">
    <cfRule type="expression" dxfId="596" priority="36">
      <formula>$F146="Fail"</formula>
    </cfRule>
  </conditionalFormatting>
  <conditionalFormatting sqref="C138">
    <cfRule type="expression" dxfId="595" priority="35">
      <formula>$F138="Fail"</formula>
    </cfRule>
  </conditionalFormatting>
  <conditionalFormatting sqref="B140:C140 B143:C145 B147:C149 B150">
    <cfRule type="expression" dxfId="594" priority="33">
      <formula>$F140="Fail"</formula>
    </cfRule>
  </conditionalFormatting>
  <conditionalFormatting sqref="B139:C139">
    <cfRule type="expression" dxfId="593" priority="32">
      <formula>$F139="Fail"</formula>
    </cfRule>
  </conditionalFormatting>
  <conditionalFormatting sqref="C150">
    <cfRule type="expression" dxfId="592" priority="29">
      <formula>$F150="Fail"</formula>
    </cfRule>
  </conditionalFormatting>
  <conditionalFormatting sqref="B141:C142">
    <cfRule type="expression" dxfId="591" priority="31">
      <formula>$F141="Fail"</formula>
    </cfRule>
  </conditionalFormatting>
  <conditionalFormatting sqref="B138">
    <cfRule type="expression" dxfId="590" priority="28">
      <formula>$F138="Fail"</formula>
    </cfRule>
  </conditionalFormatting>
  <conditionalFormatting sqref="B116:C116">
    <cfRule type="expression" dxfId="589" priority="25">
      <formula>$F116="Fail"</formula>
    </cfRule>
  </conditionalFormatting>
  <conditionalFormatting sqref="B116:C116">
    <cfRule type="expression" dxfId="588" priority="24">
      <formula>$F116="Fail"</formula>
    </cfRule>
  </conditionalFormatting>
  <conditionalFormatting sqref="B154:C154">
    <cfRule type="expression" dxfId="587" priority="23">
      <formula>$F154="Fail"</formula>
    </cfRule>
  </conditionalFormatting>
  <conditionalFormatting sqref="B154:C154">
    <cfRule type="expression" dxfId="586" priority="22">
      <formula>$F154="Fail"</formula>
    </cfRule>
  </conditionalFormatting>
  <conditionalFormatting sqref="B135:C135">
    <cfRule type="expression" dxfId="585" priority="21">
      <formula>$F135="Fail"</formula>
    </cfRule>
  </conditionalFormatting>
  <conditionalFormatting sqref="B135:C135">
    <cfRule type="expression" dxfId="584" priority="20">
      <formula>$F135="Fail"</formula>
    </cfRule>
  </conditionalFormatting>
  <conditionalFormatting sqref="B73:B75 C72 B77:B80">
    <cfRule type="expression" dxfId="583" priority="19">
      <formula>$F72="Fail"</formula>
    </cfRule>
  </conditionalFormatting>
  <conditionalFormatting sqref="C78:C79">
    <cfRule type="expression" dxfId="582" priority="17">
      <formula>$F78="Fail"</formula>
    </cfRule>
  </conditionalFormatting>
  <conditionalFormatting sqref="C78:C79">
    <cfRule type="expression" dxfId="581" priority="16">
      <formula>$F78="Fail"</formula>
    </cfRule>
  </conditionalFormatting>
  <conditionalFormatting sqref="C76">
    <cfRule type="expression" dxfId="580" priority="15">
      <formula>$F76="Fail"</formula>
    </cfRule>
  </conditionalFormatting>
  <conditionalFormatting sqref="C76">
    <cfRule type="expression" dxfId="579" priority="14">
      <formula>$F76="Fail"</formula>
    </cfRule>
  </conditionalFormatting>
  <conditionalFormatting sqref="C76">
    <cfRule type="expression" dxfId="578" priority="13">
      <formula>$F76="Fail"</formula>
    </cfRule>
  </conditionalFormatting>
  <conditionalFormatting sqref="B76">
    <cfRule type="expression" dxfId="577" priority="12">
      <formula>$F76="Fail"</formula>
    </cfRule>
  </conditionalFormatting>
  <conditionalFormatting sqref="C80">
    <cfRule type="expression" dxfId="576" priority="11">
      <formula>$F80="Fail"</formula>
    </cfRule>
  </conditionalFormatting>
  <conditionalFormatting sqref="C80">
    <cfRule type="expression" dxfId="575" priority="10">
      <formula>$F80="Fail"</formula>
    </cfRule>
  </conditionalFormatting>
  <conditionalFormatting sqref="C65:C66">
    <cfRule type="expression" dxfId="574" priority="9">
      <formula>$F65="Fail"</formula>
    </cfRule>
  </conditionalFormatting>
  <conditionalFormatting sqref="C74:C75">
    <cfRule type="expression" dxfId="573" priority="8">
      <formula>$F74="Fail"</formula>
    </cfRule>
  </conditionalFormatting>
  <conditionalFormatting sqref="C64">
    <cfRule type="expression" dxfId="572" priority="7">
      <formula>$F64="Fail"</formula>
    </cfRule>
  </conditionalFormatting>
  <conditionalFormatting sqref="C73">
    <cfRule type="expression" dxfId="571" priority="6">
      <formula>$F73="Fail"</formula>
    </cfRule>
  </conditionalFormatting>
  <conditionalFormatting sqref="C58">
    <cfRule type="expression" dxfId="570" priority="5">
      <formula>$F58="Fail"</formula>
    </cfRule>
  </conditionalFormatting>
  <conditionalFormatting sqref="C58">
    <cfRule type="expression" dxfId="569" priority="4">
      <formula>$F58="Fail"</formula>
    </cfRule>
  </conditionalFormatting>
  <conditionalFormatting sqref="C77">
    <cfRule type="expression" dxfId="568" priority="3">
      <formula>$F77="Fail"</formula>
    </cfRule>
  </conditionalFormatting>
  <conditionalFormatting sqref="C77">
    <cfRule type="expression" dxfId="567" priority="2">
      <formula>$F77="Fail"</formula>
    </cfRule>
  </conditionalFormatting>
  <conditionalFormatting sqref="C11">
    <cfRule type="expression" dxfId="566" priority="1">
      <formula>$F11="Fail"</formula>
    </cfRule>
  </conditionalFormatting>
  <dataValidations count="1">
    <dataValidation type="list" allowBlank="1" showInputMessage="1" showErrorMessage="1" sqref="F3:F195">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5" id="{F16819DA-4D98-41AF-A7A0-2C80DA8B91A0}">
            <xm:f>'C:\Users\E939818\Documents\_Project Documents\SVN TEST  team\_Sutuwa\Testing\Release 1\Stats\[SEB_InvestAdmin_Investment.xlsm]External'!#REF!="Fail"</xm:f>
            <x14:dxf>
              <font>
                <color rgb="FFFF0000"/>
              </font>
              <fill>
                <patternFill>
                  <bgColor theme="9" tint="0.59996337778862885"/>
                </patternFill>
              </fill>
            </x14:dxf>
          </x14:cfRule>
          <xm:sqref>B92:D98</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164"/>
  <sheetViews>
    <sheetView zoomScaleNormal="100" workbookViewId="0">
      <pane ySplit="1" topLeftCell="A149" activePane="bottomLeft" state="frozen"/>
      <selection pane="bottomLeft" activeCell="F148" sqref="F148:F158"/>
    </sheetView>
  </sheetViews>
  <sheetFormatPr defaultRowHeight="15" x14ac:dyDescent="0.25"/>
  <cols>
    <col min="1" max="1" width="11.28515625" style="4" bestFit="1" customWidth="1"/>
    <col min="2" max="2" width="56.7109375" style="1" customWidth="1"/>
    <col min="3" max="3" width="58.7109375" style="1" bestFit="1" customWidth="1"/>
    <col min="4" max="4" width="21.425781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12</v>
      </c>
    </row>
    <row r="2" spans="1:12" s="39" customFormat="1" ht="30" customHeight="1" x14ac:dyDescent="0.25">
      <c r="A2" s="40"/>
      <c r="B2" s="103" t="s">
        <v>263</v>
      </c>
      <c r="C2" s="104"/>
      <c r="D2" s="41"/>
      <c r="E2" s="41"/>
      <c r="F2" s="41"/>
      <c r="G2" s="41"/>
      <c r="H2" s="41"/>
      <c r="I2" s="41"/>
      <c r="J2" s="41"/>
      <c r="K2" s="41"/>
      <c r="L2" s="38"/>
    </row>
    <row r="3" spans="1:12" s="20" customFormat="1" x14ac:dyDescent="0.25">
      <c r="A3" s="16">
        <v>2</v>
      </c>
      <c r="B3" s="17" t="s">
        <v>142</v>
      </c>
      <c r="C3" s="18"/>
      <c r="D3" s="17"/>
      <c r="E3" s="17"/>
      <c r="F3" s="19"/>
      <c r="G3" s="19"/>
      <c r="H3" s="19"/>
      <c r="I3" s="19"/>
      <c r="J3" s="19"/>
      <c r="K3" s="19"/>
      <c r="L3" s="17"/>
    </row>
    <row r="4" spans="1:12" ht="25.5" x14ac:dyDescent="0.25">
      <c r="A4" s="5">
        <f t="shared" ref="A4:A68" si="0">A3+0.0001</f>
        <v>2.0001000000000002</v>
      </c>
      <c r="B4" s="6" t="s">
        <v>144</v>
      </c>
      <c r="C4" s="9"/>
      <c r="D4" s="7"/>
      <c r="E4" s="6"/>
      <c r="F4" s="8" t="s">
        <v>5</v>
      </c>
      <c r="G4" s="8">
        <f>IF($F4=G$1,1,0)</f>
        <v>1</v>
      </c>
      <c r="H4" s="8">
        <f>IF($F4=H$1,1,0)</f>
        <v>0</v>
      </c>
      <c r="I4" s="8">
        <f>IF($F4=I$1,1,0)</f>
        <v>0</v>
      </c>
      <c r="J4" s="8">
        <f>IF($F4=J$1,1,0)</f>
        <v>0</v>
      </c>
      <c r="K4" s="8">
        <f>IF($F4=K$1,1,0)</f>
        <v>0</v>
      </c>
      <c r="L4" s="7"/>
    </row>
    <row r="5" spans="1:12" x14ac:dyDescent="0.25">
      <c r="A5" s="5">
        <f t="shared" si="0"/>
        <v>2.0002000000000004</v>
      </c>
      <c r="B5" s="27"/>
      <c r="C5" s="9"/>
      <c r="D5" s="7"/>
      <c r="E5" s="6"/>
      <c r="F5" s="8"/>
      <c r="G5" s="8"/>
      <c r="H5" s="8"/>
      <c r="I5" s="8"/>
      <c r="J5" s="8"/>
      <c r="K5" s="8"/>
      <c r="L5" s="7"/>
    </row>
    <row r="6" spans="1:12" ht="25.5" x14ac:dyDescent="0.25">
      <c r="A6" s="5">
        <f t="shared" si="0"/>
        <v>2.0003000000000006</v>
      </c>
      <c r="B6" s="27" t="s">
        <v>60</v>
      </c>
      <c r="C6" s="9" t="s">
        <v>61</v>
      </c>
      <c r="D6" s="7"/>
      <c r="E6" s="6"/>
      <c r="F6" s="8" t="s">
        <v>5</v>
      </c>
      <c r="G6" s="8">
        <f t="shared" ref="G6:K9" si="1">IF($F6=G$1,1,0)</f>
        <v>1</v>
      </c>
      <c r="H6" s="8">
        <f t="shared" si="1"/>
        <v>0</v>
      </c>
      <c r="I6" s="8">
        <f t="shared" si="1"/>
        <v>0</v>
      </c>
      <c r="J6" s="8">
        <f t="shared" si="1"/>
        <v>0</v>
      </c>
      <c r="K6" s="8">
        <f t="shared" si="1"/>
        <v>0</v>
      </c>
      <c r="L6" s="7"/>
    </row>
    <row r="7" spans="1:12" x14ac:dyDescent="0.25">
      <c r="A7" s="5">
        <f t="shared" si="0"/>
        <v>2.0004000000000008</v>
      </c>
      <c r="B7" s="6"/>
      <c r="C7" s="9" t="s">
        <v>145</v>
      </c>
      <c r="D7" s="7"/>
      <c r="E7" s="6"/>
      <c r="F7" s="8" t="s">
        <v>5</v>
      </c>
      <c r="G7" s="8">
        <f t="shared" si="1"/>
        <v>1</v>
      </c>
      <c r="H7" s="8">
        <f t="shared" si="1"/>
        <v>0</v>
      </c>
      <c r="I7" s="8">
        <f t="shared" si="1"/>
        <v>0</v>
      </c>
      <c r="J7" s="8">
        <f t="shared" si="1"/>
        <v>0</v>
      </c>
      <c r="K7" s="8">
        <f t="shared" si="1"/>
        <v>0</v>
      </c>
      <c r="L7" s="7"/>
    </row>
    <row r="8" spans="1:12" ht="51" x14ac:dyDescent="0.25">
      <c r="A8" s="5">
        <f t="shared" si="0"/>
        <v>2.0005000000000011</v>
      </c>
      <c r="B8" s="29" t="s">
        <v>392</v>
      </c>
      <c r="C8" s="30" t="s">
        <v>415</v>
      </c>
      <c r="D8" s="7"/>
      <c r="E8" s="7"/>
      <c r="F8" s="8" t="s">
        <v>5</v>
      </c>
      <c r="G8" s="8">
        <f t="shared" si="1"/>
        <v>1</v>
      </c>
      <c r="H8" s="8">
        <f t="shared" si="1"/>
        <v>0</v>
      </c>
      <c r="I8" s="8">
        <f t="shared" si="1"/>
        <v>0</v>
      </c>
      <c r="J8" s="8">
        <f t="shared" si="1"/>
        <v>0</v>
      </c>
      <c r="K8" s="8">
        <f t="shared" si="1"/>
        <v>0</v>
      </c>
      <c r="L8" s="7"/>
    </row>
    <row r="9" spans="1:12" x14ac:dyDescent="0.25">
      <c r="A9" s="5"/>
      <c r="B9" s="6" t="s">
        <v>148</v>
      </c>
      <c r="C9" s="30"/>
      <c r="D9" s="7"/>
      <c r="E9" s="7"/>
      <c r="F9" s="8" t="s">
        <v>5</v>
      </c>
      <c r="G9" s="8">
        <f t="shared" si="1"/>
        <v>1</v>
      </c>
      <c r="H9" s="8">
        <f t="shared" si="1"/>
        <v>0</v>
      </c>
      <c r="I9" s="8">
        <f t="shared" si="1"/>
        <v>0</v>
      </c>
      <c r="J9" s="8">
        <f t="shared" si="1"/>
        <v>0</v>
      </c>
      <c r="K9" s="8">
        <f t="shared" si="1"/>
        <v>0</v>
      </c>
      <c r="L9" s="34"/>
    </row>
    <row r="10" spans="1:12" x14ac:dyDescent="0.25">
      <c r="A10" s="5">
        <f>A8+0.0001</f>
        <v>2.0006000000000013</v>
      </c>
      <c r="B10" s="44" t="s">
        <v>22</v>
      </c>
      <c r="C10" s="18"/>
      <c r="D10" s="18"/>
      <c r="E10" s="8"/>
      <c r="F10" s="8"/>
      <c r="G10" s="8"/>
      <c r="H10" s="8"/>
      <c r="I10" s="8"/>
      <c r="J10" s="8"/>
      <c r="K10" s="8"/>
    </row>
    <row r="11" spans="1:12" ht="25.5" x14ac:dyDescent="0.25">
      <c r="A11" s="5">
        <f t="shared" si="0"/>
        <v>2.0007000000000015</v>
      </c>
      <c r="B11" s="27" t="s">
        <v>146</v>
      </c>
      <c r="C11" s="45" t="s">
        <v>147</v>
      </c>
      <c r="D11" s="54"/>
      <c r="E11" s="8"/>
      <c r="F11" s="8" t="s">
        <v>5</v>
      </c>
      <c r="G11" s="8">
        <f t="shared" ref="G11:K71" si="2">IF($F11=G$1,1,0)</f>
        <v>1</v>
      </c>
      <c r="H11" s="8">
        <f t="shared" si="2"/>
        <v>0</v>
      </c>
      <c r="I11" s="8">
        <f t="shared" si="2"/>
        <v>0</v>
      </c>
      <c r="J11" s="8">
        <f t="shared" si="2"/>
        <v>0</v>
      </c>
      <c r="K11" s="8">
        <f t="shared" si="2"/>
        <v>0</v>
      </c>
    </row>
    <row r="12" spans="1:12" x14ac:dyDescent="0.25">
      <c r="A12" s="5">
        <f t="shared" si="0"/>
        <v>2.0008000000000017</v>
      </c>
      <c r="B12" s="6" t="s">
        <v>148</v>
      </c>
      <c r="C12" s="22" t="s">
        <v>149</v>
      </c>
      <c r="D12" s="54"/>
      <c r="E12" s="8"/>
      <c r="F12" s="8" t="s">
        <v>5</v>
      </c>
      <c r="G12" s="8">
        <f t="shared" si="2"/>
        <v>1</v>
      </c>
      <c r="H12" s="8">
        <f t="shared" si="2"/>
        <v>0</v>
      </c>
      <c r="I12" s="8">
        <f t="shared" si="2"/>
        <v>0</v>
      </c>
      <c r="J12" s="8">
        <f t="shared" si="2"/>
        <v>0</v>
      </c>
      <c r="K12" s="8">
        <f t="shared" si="2"/>
        <v>0</v>
      </c>
    </row>
    <row r="13" spans="1:12" x14ac:dyDescent="0.25">
      <c r="A13" s="5">
        <f t="shared" si="0"/>
        <v>2.0009000000000019</v>
      </c>
      <c r="B13" s="6"/>
      <c r="C13" s="23"/>
      <c r="D13" s="54"/>
      <c r="E13" s="8"/>
      <c r="F13" s="8"/>
      <c r="G13" s="8"/>
      <c r="H13" s="8"/>
      <c r="I13" s="8"/>
      <c r="J13" s="8"/>
      <c r="K13" s="8"/>
    </row>
    <row r="14" spans="1:12" x14ac:dyDescent="0.25">
      <c r="A14" s="5">
        <f t="shared" si="0"/>
        <v>2.0010000000000021</v>
      </c>
      <c r="B14" s="24" t="s">
        <v>150</v>
      </c>
      <c r="C14" s="23" t="s">
        <v>151</v>
      </c>
      <c r="D14" s="54"/>
      <c r="E14" s="8"/>
      <c r="F14" s="8" t="s">
        <v>5</v>
      </c>
      <c r="G14" s="8">
        <f t="shared" si="2"/>
        <v>1</v>
      </c>
      <c r="H14" s="8">
        <f t="shared" si="2"/>
        <v>0</v>
      </c>
      <c r="I14" s="8">
        <f t="shared" si="2"/>
        <v>0</v>
      </c>
      <c r="J14" s="8">
        <f t="shared" si="2"/>
        <v>0</v>
      </c>
      <c r="K14" s="8">
        <f t="shared" si="2"/>
        <v>0</v>
      </c>
    </row>
    <row r="15" spans="1:12" ht="18.75" customHeight="1" x14ac:dyDescent="0.25">
      <c r="A15" s="5">
        <f t="shared" si="0"/>
        <v>2.0011000000000023</v>
      </c>
      <c r="B15" s="6"/>
      <c r="C15" s="23"/>
      <c r="D15" s="54"/>
      <c r="E15" s="8"/>
      <c r="F15" s="8"/>
      <c r="G15" s="8"/>
      <c r="H15" s="8"/>
      <c r="I15" s="8"/>
      <c r="J15" s="8"/>
      <c r="K15" s="8">
        <f t="shared" si="2"/>
        <v>0</v>
      </c>
    </row>
    <row r="16" spans="1:12" ht="25.5" x14ac:dyDescent="0.25">
      <c r="A16" s="5">
        <f t="shared" si="0"/>
        <v>2.0012000000000025</v>
      </c>
      <c r="B16" s="9" t="s">
        <v>152</v>
      </c>
      <c r="C16" s="22" t="s">
        <v>14</v>
      </c>
      <c r="D16" s="54"/>
      <c r="E16" s="8"/>
      <c r="F16" s="8" t="s">
        <v>5</v>
      </c>
      <c r="G16" s="8">
        <f t="shared" si="2"/>
        <v>1</v>
      </c>
      <c r="H16" s="8">
        <f t="shared" si="2"/>
        <v>0</v>
      </c>
      <c r="I16" s="8">
        <f t="shared" si="2"/>
        <v>0</v>
      </c>
      <c r="J16" s="8">
        <f t="shared" si="2"/>
        <v>0</v>
      </c>
      <c r="K16" s="8">
        <f t="shared" si="2"/>
        <v>0</v>
      </c>
    </row>
    <row r="17" spans="1:11" x14ac:dyDescent="0.25">
      <c r="A17" s="5">
        <f t="shared" si="0"/>
        <v>2.0013000000000027</v>
      </c>
      <c r="B17" s="46"/>
      <c r="C17" s="47"/>
      <c r="D17" s="54"/>
      <c r="E17" s="8"/>
      <c r="F17" s="8"/>
      <c r="G17" s="8"/>
      <c r="H17" s="8"/>
      <c r="I17" s="8"/>
      <c r="J17" s="8"/>
      <c r="K17" s="8">
        <f t="shared" si="2"/>
        <v>0</v>
      </c>
    </row>
    <row r="18" spans="1:11" x14ac:dyDescent="0.25">
      <c r="A18" s="5">
        <f t="shared" si="0"/>
        <v>2.001400000000003</v>
      </c>
      <c r="B18" s="6" t="s">
        <v>153</v>
      </c>
      <c r="C18" s="23" t="s">
        <v>151</v>
      </c>
      <c r="D18" s="54"/>
      <c r="E18" s="8"/>
      <c r="F18" s="8" t="s">
        <v>5</v>
      </c>
      <c r="G18" s="8">
        <f t="shared" si="2"/>
        <v>1</v>
      </c>
      <c r="H18" s="8">
        <f t="shared" si="2"/>
        <v>0</v>
      </c>
      <c r="I18" s="8">
        <f t="shared" si="2"/>
        <v>0</v>
      </c>
      <c r="J18" s="8">
        <f t="shared" si="2"/>
        <v>0</v>
      </c>
      <c r="K18" s="8"/>
    </row>
    <row r="19" spans="1:11" x14ac:dyDescent="0.25">
      <c r="A19" s="5">
        <f t="shared" si="0"/>
        <v>2.0015000000000032</v>
      </c>
      <c r="B19" s="6" t="s">
        <v>157</v>
      </c>
      <c r="C19" s="23" t="s">
        <v>158</v>
      </c>
      <c r="D19" s="54"/>
      <c r="E19" s="8"/>
      <c r="F19" s="8" t="s">
        <v>5</v>
      </c>
      <c r="G19" s="8">
        <f t="shared" si="2"/>
        <v>1</v>
      </c>
      <c r="H19" s="8">
        <f t="shared" si="2"/>
        <v>0</v>
      </c>
      <c r="I19" s="8">
        <f t="shared" si="2"/>
        <v>0</v>
      </c>
      <c r="J19" s="8">
        <f t="shared" si="2"/>
        <v>0</v>
      </c>
      <c r="K19" s="8"/>
    </row>
    <row r="20" spans="1:11" x14ac:dyDescent="0.25">
      <c r="A20" s="5">
        <f t="shared" si="0"/>
        <v>2.0016000000000034</v>
      </c>
      <c r="B20" s="6" t="s">
        <v>159</v>
      </c>
      <c r="C20" s="22" t="s">
        <v>160</v>
      </c>
      <c r="D20" s="101">
        <v>12345</v>
      </c>
      <c r="E20" s="8"/>
      <c r="F20" s="8" t="s">
        <v>5</v>
      </c>
      <c r="G20" s="8">
        <f t="shared" si="2"/>
        <v>1</v>
      </c>
      <c r="H20" s="8">
        <f t="shared" si="2"/>
        <v>0</v>
      </c>
      <c r="I20" s="8">
        <f t="shared" si="2"/>
        <v>0</v>
      </c>
      <c r="J20" s="8">
        <f t="shared" si="2"/>
        <v>0</v>
      </c>
      <c r="K20" s="8"/>
    </row>
    <row r="21" spans="1:11" x14ac:dyDescent="0.25">
      <c r="A21" s="5">
        <f t="shared" si="0"/>
        <v>2.0017000000000036</v>
      </c>
      <c r="B21" s="6" t="s">
        <v>161</v>
      </c>
      <c r="C21" s="22" t="s">
        <v>162</v>
      </c>
      <c r="D21" s="54"/>
      <c r="E21" s="8"/>
      <c r="F21" s="8" t="s">
        <v>5</v>
      </c>
      <c r="G21" s="8">
        <f>IF($F21=G$1,1,0)</f>
        <v>1</v>
      </c>
      <c r="H21" s="8">
        <f>IF($F21=H$1,1,0)</f>
        <v>0</v>
      </c>
      <c r="I21" s="8">
        <f>IF($F21=I$1,1,0)</f>
        <v>0</v>
      </c>
      <c r="J21" s="8">
        <f>IF($F21=J$1,1,0)</f>
        <v>0</v>
      </c>
      <c r="K21" s="8"/>
    </row>
    <row r="22" spans="1:11" x14ac:dyDescent="0.25">
      <c r="A22" s="5">
        <f t="shared" si="0"/>
        <v>2.0018000000000038</v>
      </c>
      <c r="B22" s="6"/>
      <c r="C22" s="30" t="s">
        <v>201</v>
      </c>
      <c r="D22" s="54"/>
      <c r="E22" s="8"/>
      <c r="F22" s="8" t="s">
        <v>5</v>
      </c>
      <c r="G22" s="8">
        <f t="shared" si="2"/>
        <v>1</v>
      </c>
      <c r="H22" s="8">
        <f t="shared" si="2"/>
        <v>0</v>
      </c>
      <c r="I22" s="8">
        <f t="shared" si="2"/>
        <v>0</v>
      </c>
      <c r="J22" s="8">
        <f t="shared" si="2"/>
        <v>0</v>
      </c>
      <c r="K22" s="8">
        <f t="shared" si="2"/>
        <v>0</v>
      </c>
    </row>
    <row r="23" spans="1:11" x14ac:dyDescent="0.25">
      <c r="A23" s="5">
        <f t="shared" si="0"/>
        <v>2.001900000000004</v>
      </c>
      <c r="B23" s="27" t="s">
        <v>388</v>
      </c>
      <c r="C23" s="30" t="s">
        <v>389</v>
      </c>
      <c r="D23" s="54"/>
      <c r="E23" s="8"/>
      <c r="F23" s="8" t="s">
        <v>5</v>
      </c>
      <c r="G23" s="8">
        <f t="shared" si="2"/>
        <v>1</v>
      </c>
      <c r="H23" s="8">
        <f t="shared" si="2"/>
        <v>0</v>
      </c>
      <c r="I23" s="8">
        <f t="shared" si="2"/>
        <v>0</v>
      </c>
      <c r="J23" s="8">
        <f t="shared" si="2"/>
        <v>0</v>
      </c>
      <c r="K23" s="8">
        <f t="shared" si="2"/>
        <v>0</v>
      </c>
    </row>
    <row r="24" spans="1:11" x14ac:dyDescent="0.25">
      <c r="A24" s="5">
        <f t="shared" si="0"/>
        <v>2.0020000000000042</v>
      </c>
      <c r="B24" s="7"/>
      <c r="C24" s="6"/>
      <c r="D24" s="7"/>
      <c r="E24" s="8"/>
      <c r="F24" s="8"/>
      <c r="G24" s="8"/>
      <c r="H24" s="8"/>
      <c r="I24" s="8"/>
      <c r="J24" s="8"/>
      <c r="K24" s="8">
        <f t="shared" si="2"/>
        <v>0</v>
      </c>
    </row>
    <row r="25" spans="1:11" x14ac:dyDescent="0.25">
      <c r="A25" s="5">
        <f t="shared" si="0"/>
        <v>2.0021000000000044</v>
      </c>
      <c r="B25" s="48" t="s">
        <v>156</v>
      </c>
      <c r="C25" s="49" t="s">
        <v>202</v>
      </c>
      <c r="D25" s="18"/>
      <c r="E25" s="8"/>
      <c r="F25" s="8"/>
      <c r="G25" s="8"/>
      <c r="H25" s="8"/>
      <c r="I25" s="8"/>
      <c r="J25" s="8"/>
      <c r="K25" s="8"/>
    </row>
    <row r="26" spans="1:11" x14ac:dyDescent="0.25">
      <c r="A26" s="5">
        <f t="shared" si="0"/>
        <v>2.0022000000000046</v>
      </c>
      <c r="B26" s="28" t="s">
        <v>174</v>
      </c>
      <c r="C26" s="22" t="s">
        <v>175</v>
      </c>
      <c r="D26" s="54"/>
      <c r="E26" s="8"/>
      <c r="F26" s="8" t="s">
        <v>5</v>
      </c>
      <c r="G26" s="8">
        <f t="shared" ref="G26:J26" si="3">IF($F26=G$1,1,0)</f>
        <v>1</v>
      </c>
      <c r="H26" s="8">
        <f t="shared" si="3"/>
        <v>0</v>
      </c>
      <c r="I26" s="8">
        <f t="shared" si="3"/>
        <v>0</v>
      </c>
      <c r="J26" s="8">
        <f t="shared" si="3"/>
        <v>0</v>
      </c>
      <c r="K26" s="8"/>
    </row>
    <row r="27" spans="1:11" x14ac:dyDescent="0.25">
      <c r="A27" s="5">
        <f t="shared" si="0"/>
        <v>2.0023000000000049</v>
      </c>
      <c r="B27" s="6"/>
      <c r="C27" s="23"/>
      <c r="D27" s="54"/>
      <c r="E27" s="8"/>
      <c r="F27" s="8"/>
      <c r="G27" s="8"/>
      <c r="H27" s="8"/>
      <c r="I27" s="8"/>
      <c r="J27" s="8"/>
      <c r="K27" s="8"/>
    </row>
    <row r="28" spans="1:11" ht="63.75" x14ac:dyDescent="0.25">
      <c r="A28" s="5">
        <f t="shared" si="0"/>
        <v>2.0024000000000051</v>
      </c>
      <c r="B28" s="28" t="s">
        <v>173</v>
      </c>
      <c r="C28" s="22" t="s">
        <v>176</v>
      </c>
      <c r="D28" s="54" t="s">
        <v>246</v>
      </c>
      <c r="E28" s="8"/>
      <c r="F28" s="8" t="s">
        <v>5</v>
      </c>
      <c r="G28" s="8">
        <f t="shared" ref="G28:K28" si="4">IF($F28=G$1,1,0)</f>
        <v>1</v>
      </c>
      <c r="H28" s="8">
        <f t="shared" si="4"/>
        <v>0</v>
      </c>
      <c r="I28" s="8">
        <f t="shared" si="4"/>
        <v>0</v>
      </c>
      <c r="J28" s="8">
        <f t="shared" si="4"/>
        <v>0</v>
      </c>
      <c r="K28" s="8">
        <f t="shared" si="4"/>
        <v>0</v>
      </c>
    </row>
    <row r="29" spans="1:11" x14ac:dyDescent="0.25">
      <c r="A29" s="5">
        <f t="shared" si="0"/>
        <v>2.0025000000000053</v>
      </c>
      <c r="B29" s="28"/>
      <c r="C29" s="22"/>
      <c r="D29" s="54"/>
      <c r="E29" s="8"/>
      <c r="F29" s="8"/>
      <c r="G29" s="8"/>
      <c r="H29" s="8"/>
      <c r="I29" s="8"/>
      <c r="J29" s="8"/>
      <c r="K29" s="8"/>
    </row>
    <row r="30" spans="1:11" x14ac:dyDescent="0.25">
      <c r="A30" s="5">
        <f t="shared" si="0"/>
        <v>2.0026000000000055</v>
      </c>
      <c r="B30" s="6" t="s">
        <v>177</v>
      </c>
      <c r="C30" s="23" t="s">
        <v>178</v>
      </c>
      <c r="D30" s="54"/>
      <c r="E30" s="8"/>
      <c r="F30" s="8" t="s">
        <v>5</v>
      </c>
      <c r="G30" s="8">
        <f t="shared" ref="G30:K42" si="5">IF($F30=G$1,1,0)</f>
        <v>1</v>
      </c>
      <c r="H30" s="8">
        <f t="shared" si="5"/>
        <v>0</v>
      </c>
      <c r="I30" s="8">
        <f t="shared" si="5"/>
        <v>0</v>
      </c>
      <c r="J30" s="8">
        <f t="shared" si="5"/>
        <v>0</v>
      </c>
      <c r="K30" s="8">
        <f t="shared" si="5"/>
        <v>0</v>
      </c>
    </row>
    <row r="31" spans="1:11" x14ac:dyDescent="0.25">
      <c r="A31" s="5">
        <f t="shared" si="0"/>
        <v>2.0027000000000057</v>
      </c>
      <c r="B31" s="6" t="s">
        <v>194</v>
      </c>
      <c r="C31" s="23" t="s">
        <v>195</v>
      </c>
      <c r="D31" s="54"/>
      <c r="E31" s="8"/>
      <c r="F31" s="8" t="s">
        <v>5</v>
      </c>
      <c r="G31" s="8">
        <f t="shared" si="5"/>
        <v>1</v>
      </c>
      <c r="H31" s="8">
        <f t="shared" si="5"/>
        <v>0</v>
      </c>
      <c r="I31" s="8">
        <f t="shared" si="5"/>
        <v>0</v>
      </c>
      <c r="J31" s="8">
        <f t="shared" si="5"/>
        <v>0</v>
      </c>
      <c r="K31" s="8">
        <f t="shared" si="5"/>
        <v>0</v>
      </c>
    </row>
    <row r="32" spans="1:11" x14ac:dyDescent="0.25">
      <c r="A32" s="5">
        <f t="shared" si="0"/>
        <v>2.0028000000000059</v>
      </c>
      <c r="B32" s="6" t="s">
        <v>179</v>
      </c>
      <c r="C32" s="23" t="s">
        <v>193</v>
      </c>
      <c r="D32" s="54"/>
      <c r="E32" s="8"/>
      <c r="F32" s="8" t="s">
        <v>5</v>
      </c>
      <c r="G32" s="8">
        <f t="shared" si="5"/>
        <v>1</v>
      </c>
      <c r="H32" s="8">
        <f t="shared" si="5"/>
        <v>0</v>
      </c>
      <c r="I32" s="8">
        <f t="shared" si="5"/>
        <v>0</v>
      </c>
      <c r="J32" s="8">
        <f t="shared" si="5"/>
        <v>0</v>
      </c>
      <c r="K32" s="8">
        <f t="shared" si="5"/>
        <v>0</v>
      </c>
    </row>
    <row r="33" spans="1:11" x14ac:dyDescent="0.25">
      <c r="A33" s="5">
        <f t="shared" si="0"/>
        <v>2.0029000000000061</v>
      </c>
      <c r="B33" s="6" t="s">
        <v>17</v>
      </c>
      <c r="C33" s="22" t="s">
        <v>18</v>
      </c>
      <c r="D33" s="54"/>
      <c r="E33" s="8"/>
      <c r="F33" s="8" t="s">
        <v>5</v>
      </c>
      <c r="G33" s="8">
        <f t="shared" si="5"/>
        <v>1</v>
      </c>
      <c r="H33" s="8">
        <f t="shared" si="5"/>
        <v>0</v>
      </c>
      <c r="I33" s="8">
        <f t="shared" si="5"/>
        <v>0</v>
      </c>
      <c r="J33" s="8">
        <f t="shared" si="5"/>
        <v>0</v>
      </c>
      <c r="K33" s="8">
        <f t="shared" si="5"/>
        <v>0</v>
      </c>
    </row>
    <row r="34" spans="1:11" x14ac:dyDescent="0.25">
      <c r="A34" s="5">
        <f t="shared" si="0"/>
        <v>2.0030000000000063</v>
      </c>
      <c r="B34" s="6" t="s">
        <v>19</v>
      </c>
      <c r="C34" s="23" t="s">
        <v>196</v>
      </c>
      <c r="D34" s="54"/>
      <c r="E34" s="8"/>
      <c r="F34" s="8" t="s">
        <v>5</v>
      </c>
      <c r="G34" s="8">
        <f t="shared" si="5"/>
        <v>1</v>
      </c>
      <c r="H34" s="8">
        <f t="shared" si="5"/>
        <v>0</v>
      </c>
      <c r="I34" s="8">
        <f t="shared" si="5"/>
        <v>0</v>
      </c>
      <c r="J34" s="8">
        <f t="shared" si="5"/>
        <v>0</v>
      </c>
      <c r="K34" s="8">
        <f t="shared" si="5"/>
        <v>0</v>
      </c>
    </row>
    <row r="35" spans="1:11" x14ac:dyDescent="0.25">
      <c r="A35" s="5">
        <f t="shared" si="0"/>
        <v>2.0031000000000065</v>
      </c>
      <c r="B35" s="6" t="s">
        <v>23</v>
      </c>
      <c r="C35" s="22" t="s">
        <v>20</v>
      </c>
      <c r="D35" s="7"/>
      <c r="E35" s="8"/>
      <c r="F35" s="8" t="s">
        <v>5</v>
      </c>
      <c r="G35" s="8">
        <f t="shared" si="5"/>
        <v>1</v>
      </c>
      <c r="H35" s="8">
        <f t="shared" si="5"/>
        <v>0</v>
      </c>
      <c r="I35" s="8">
        <f t="shared" si="5"/>
        <v>0</v>
      </c>
      <c r="J35" s="8">
        <f t="shared" si="5"/>
        <v>0</v>
      </c>
      <c r="K35" s="8">
        <f t="shared" si="5"/>
        <v>0</v>
      </c>
    </row>
    <row r="36" spans="1:11" x14ac:dyDescent="0.25">
      <c r="A36" s="5">
        <f t="shared" si="0"/>
        <v>2.0032000000000068</v>
      </c>
      <c r="B36" s="6"/>
      <c r="C36" s="22" t="s">
        <v>21</v>
      </c>
      <c r="D36" s="7"/>
      <c r="E36" s="8"/>
      <c r="F36" s="8" t="s">
        <v>5</v>
      </c>
      <c r="G36" s="8">
        <f t="shared" si="5"/>
        <v>1</v>
      </c>
      <c r="H36" s="8">
        <f t="shared" si="5"/>
        <v>0</v>
      </c>
      <c r="I36" s="8">
        <f t="shared" si="5"/>
        <v>0</v>
      </c>
      <c r="J36" s="8">
        <f t="shared" si="5"/>
        <v>0</v>
      </c>
      <c r="K36" s="8">
        <f t="shared" si="5"/>
        <v>0</v>
      </c>
    </row>
    <row r="37" spans="1:11" ht="25.5" x14ac:dyDescent="0.25">
      <c r="A37" s="5">
        <f t="shared" si="0"/>
        <v>2.003300000000007</v>
      </c>
      <c r="B37" s="6" t="s">
        <v>15</v>
      </c>
      <c r="C37" s="30" t="s">
        <v>197</v>
      </c>
      <c r="D37" s="7"/>
      <c r="E37" s="8"/>
      <c r="F37" s="8" t="s">
        <v>5</v>
      </c>
      <c r="G37" s="8">
        <f t="shared" si="5"/>
        <v>1</v>
      </c>
      <c r="H37" s="8">
        <f t="shared" si="5"/>
        <v>0</v>
      </c>
      <c r="I37" s="8">
        <f t="shared" si="5"/>
        <v>0</v>
      </c>
      <c r="J37" s="8">
        <f t="shared" si="5"/>
        <v>0</v>
      </c>
      <c r="K37" s="8">
        <f t="shared" si="5"/>
        <v>0</v>
      </c>
    </row>
    <row r="38" spans="1:11" x14ac:dyDescent="0.25">
      <c r="A38" s="5">
        <f t="shared" si="0"/>
        <v>2.0034000000000072</v>
      </c>
      <c r="B38" s="17" t="s">
        <v>36</v>
      </c>
      <c r="C38" s="17"/>
      <c r="D38" s="8"/>
      <c r="E38" s="8"/>
      <c r="F38" s="8"/>
      <c r="G38" s="8"/>
      <c r="H38" s="8"/>
      <c r="I38" s="8"/>
      <c r="J38" s="8"/>
      <c r="K38" s="8"/>
    </row>
    <row r="39" spans="1:11" x14ac:dyDescent="0.25">
      <c r="A39" s="5">
        <f t="shared" si="0"/>
        <v>2.0035000000000074</v>
      </c>
      <c r="B39" s="7" t="s">
        <v>41</v>
      </c>
      <c r="C39" s="6" t="s">
        <v>38</v>
      </c>
      <c r="D39" s="8"/>
      <c r="E39" s="8"/>
      <c r="F39" s="8" t="s">
        <v>5</v>
      </c>
      <c r="G39" s="8">
        <f t="shared" si="5"/>
        <v>1</v>
      </c>
      <c r="H39" s="8">
        <f t="shared" si="5"/>
        <v>0</v>
      </c>
      <c r="I39" s="8">
        <f t="shared" si="5"/>
        <v>0</v>
      </c>
      <c r="J39" s="8">
        <f t="shared" si="5"/>
        <v>0</v>
      </c>
      <c r="K39" s="8">
        <f t="shared" si="5"/>
        <v>0</v>
      </c>
    </row>
    <row r="40" spans="1:11" x14ac:dyDescent="0.25">
      <c r="A40" s="5">
        <f t="shared" si="0"/>
        <v>2.0036000000000076</v>
      </c>
      <c r="B40" s="7"/>
      <c r="C40" s="6" t="s">
        <v>39</v>
      </c>
      <c r="D40" s="8"/>
      <c r="E40" s="8"/>
      <c r="F40" s="8" t="s">
        <v>5</v>
      </c>
      <c r="G40" s="8">
        <f t="shared" si="5"/>
        <v>1</v>
      </c>
      <c r="H40" s="8">
        <f t="shared" si="5"/>
        <v>0</v>
      </c>
      <c r="I40" s="8">
        <f t="shared" si="5"/>
        <v>0</v>
      </c>
      <c r="J40" s="8">
        <f t="shared" si="5"/>
        <v>0</v>
      </c>
      <c r="K40" s="8">
        <f t="shared" si="5"/>
        <v>0</v>
      </c>
    </row>
    <row r="41" spans="1:11" x14ac:dyDescent="0.25">
      <c r="A41" s="5">
        <f t="shared" si="0"/>
        <v>2.0037000000000078</v>
      </c>
      <c r="B41" s="7"/>
      <c r="C41" s="6" t="s">
        <v>40</v>
      </c>
      <c r="D41" s="8"/>
      <c r="E41" s="8"/>
      <c r="F41" s="8" t="s">
        <v>5</v>
      </c>
      <c r="G41" s="8">
        <f t="shared" si="5"/>
        <v>1</v>
      </c>
      <c r="H41" s="8">
        <f t="shared" si="5"/>
        <v>0</v>
      </c>
      <c r="I41" s="8">
        <f t="shared" si="5"/>
        <v>0</v>
      </c>
      <c r="J41" s="8">
        <f t="shared" si="5"/>
        <v>0</v>
      </c>
      <c r="K41" s="8">
        <f t="shared" si="5"/>
        <v>0</v>
      </c>
    </row>
    <row r="42" spans="1:11" ht="25.5" x14ac:dyDescent="0.25">
      <c r="A42" s="5">
        <f t="shared" si="0"/>
        <v>2.003800000000008</v>
      </c>
      <c r="B42" s="7"/>
      <c r="C42" s="6" t="s">
        <v>42</v>
      </c>
      <c r="D42" s="8"/>
      <c r="E42" s="8"/>
      <c r="F42" s="8" t="s">
        <v>5</v>
      </c>
      <c r="G42" s="8">
        <f t="shared" si="5"/>
        <v>1</v>
      </c>
      <c r="H42" s="8">
        <f t="shared" si="5"/>
        <v>0</v>
      </c>
      <c r="I42" s="8">
        <f t="shared" si="5"/>
        <v>0</v>
      </c>
      <c r="J42" s="8">
        <f t="shared" si="5"/>
        <v>0</v>
      </c>
      <c r="K42" s="8">
        <f t="shared" si="5"/>
        <v>0</v>
      </c>
    </row>
    <row r="43" spans="1:11" x14ac:dyDescent="0.25">
      <c r="A43" s="5">
        <f t="shared" si="0"/>
        <v>2.0039000000000082</v>
      </c>
      <c r="B43" s="7"/>
      <c r="C43" s="23"/>
      <c r="D43" s="8"/>
      <c r="E43" s="8"/>
      <c r="F43" s="8"/>
      <c r="G43" s="8"/>
      <c r="H43" s="8"/>
      <c r="I43" s="8"/>
      <c r="J43" s="8"/>
      <c r="K43" s="8"/>
    </row>
    <row r="44" spans="1:11" x14ac:dyDescent="0.25">
      <c r="A44" s="5">
        <f t="shared" si="0"/>
        <v>2.0040000000000084</v>
      </c>
      <c r="B44" s="17" t="s">
        <v>48</v>
      </c>
      <c r="C44" s="17"/>
      <c r="D44" s="8"/>
      <c r="E44" s="8"/>
      <c r="F44" s="8"/>
      <c r="G44" s="8"/>
      <c r="H44" s="8"/>
      <c r="I44" s="8"/>
      <c r="J44" s="8"/>
      <c r="K44" s="8"/>
    </row>
    <row r="45" spans="1:11" x14ac:dyDescent="0.25">
      <c r="A45" s="5">
        <f t="shared" si="0"/>
        <v>2.0041000000000087</v>
      </c>
      <c r="B45" s="32" t="s">
        <v>24</v>
      </c>
      <c r="C45" s="6" t="s">
        <v>25</v>
      </c>
      <c r="D45" s="8"/>
      <c r="E45" s="8"/>
      <c r="F45" s="8" t="s">
        <v>434</v>
      </c>
      <c r="G45" s="8">
        <f t="shared" ref="G45:K48" si="6">IF($F45=G$1,1,0)</f>
        <v>1</v>
      </c>
      <c r="H45" s="8">
        <f t="shared" si="6"/>
        <v>0</v>
      </c>
      <c r="I45" s="8">
        <f t="shared" si="6"/>
        <v>0</v>
      </c>
      <c r="J45" s="8">
        <f t="shared" si="6"/>
        <v>0</v>
      </c>
      <c r="K45" s="8">
        <f t="shared" si="6"/>
        <v>0</v>
      </c>
    </row>
    <row r="46" spans="1:11" x14ac:dyDescent="0.25">
      <c r="A46" s="5">
        <f t="shared" si="0"/>
        <v>2.0042000000000089</v>
      </c>
      <c r="B46" s="7"/>
      <c r="C46" s="6" t="s">
        <v>26</v>
      </c>
      <c r="D46" s="8"/>
      <c r="E46" s="8"/>
      <c r="F46" s="8" t="s">
        <v>434</v>
      </c>
      <c r="G46" s="8">
        <f t="shared" si="6"/>
        <v>1</v>
      </c>
      <c r="H46" s="8">
        <f t="shared" si="6"/>
        <v>0</v>
      </c>
      <c r="I46" s="8">
        <f t="shared" si="6"/>
        <v>0</v>
      </c>
      <c r="J46" s="8">
        <f t="shared" si="6"/>
        <v>0</v>
      </c>
      <c r="K46" s="8">
        <f t="shared" si="6"/>
        <v>0</v>
      </c>
    </row>
    <row r="47" spans="1:11" x14ac:dyDescent="0.25">
      <c r="A47" s="5">
        <f t="shared" si="0"/>
        <v>2.0043000000000091</v>
      </c>
      <c r="B47" s="7"/>
      <c r="C47" s="6" t="s">
        <v>43</v>
      </c>
      <c r="D47" s="8"/>
      <c r="E47" s="8"/>
      <c r="F47" s="8" t="s">
        <v>434</v>
      </c>
      <c r="G47" s="8">
        <f t="shared" si="6"/>
        <v>1</v>
      </c>
      <c r="H47" s="8">
        <f t="shared" si="6"/>
        <v>0</v>
      </c>
      <c r="I47" s="8">
        <f t="shared" si="6"/>
        <v>0</v>
      </c>
      <c r="J47" s="8">
        <f t="shared" si="6"/>
        <v>0</v>
      </c>
      <c r="K47" s="8">
        <f t="shared" si="6"/>
        <v>0</v>
      </c>
    </row>
    <row r="48" spans="1:11" x14ac:dyDescent="0.25">
      <c r="A48" s="5">
        <f t="shared" si="0"/>
        <v>2.0044000000000093</v>
      </c>
      <c r="B48" s="7"/>
      <c r="C48" s="6" t="s">
        <v>44</v>
      </c>
      <c r="D48" s="8"/>
      <c r="E48" s="8"/>
      <c r="F48" s="8" t="s">
        <v>434</v>
      </c>
      <c r="G48" s="8">
        <f t="shared" si="6"/>
        <v>1</v>
      </c>
      <c r="H48" s="8">
        <f t="shared" si="6"/>
        <v>0</v>
      </c>
      <c r="I48" s="8">
        <f t="shared" si="6"/>
        <v>0</v>
      </c>
      <c r="J48" s="8">
        <f t="shared" si="6"/>
        <v>0</v>
      </c>
      <c r="K48" s="8">
        <f t="shared" si="6"/>
        <v>0</v>
      </c>
    </row>
    <row r="49" spans="1:11" x14ac:dyDescent="0.25">
      <c r="A49" s="5">
        <f t="shared" si="0"/>
        <v>2.0045000000000095</v>
      </c>
      <c r="B49" s="72" t="s">
        <v>229</v>
      </c>
      <c r="C49" s="60" t="s">
        <v>241</v>
      </c>
      <c r="D49" s="8"/>
      <c r="E49" s="8"/>
      <c r="F49" s="8"/>
      <c r="G49" s="8"/>
      <c r="H49" s="8"/>
      <c r="I49" s="8"/>
      <c r="J49" s="8"/>
      <c r="K49" s="8"/>
    </row>
    <row r="50" spans="1:11" x14ac:dyDescent="0.25">
      <c r="A50" s="5">
        <f t="shared" si="0"/>
        <v>2.0046000000000097</v>
      </c>
      <c r="B50" s="7"/>
      <c r="C50" s="6" t="s">
        <v>242</v>
      </c>
      <c r="D50" s="8"/>
      <c r="E50" s="8"/>
      <c r="F50" s="8" t="s">
        <v>5</v>
      </c>
      <c r="G50" s="8">
        <f t="shared" si="2"/>
        <v>1</v>
      </c>
      <c r="H50" s="8">
        <f t="shared" si="2"/>
        <v>0</v>
      </c>
      <c r="I50" s="8">
        <f t="shared" si="2"/>
        <v>0</v>
      </c>
      <c r="J50" s="8">
        <f t="shared" si="2"/>
        <v>0</v>
      </c>
      <c r="K50" s="8">
        <f t="shared" si="2"/>
        <v>0</v>
      </c>
    </row>
    <row r="51" spans="1:11" x14ac:dyDescent="0.25">
      <c r="A51" s="5">
        <f t="shared" si="0"/>
        <v>2.0047000000000099</v>
      </c>
      <c r="B51" s="7"/>
      <c r="C51" s="6" t="s">
        <v>227</v>
      </c>
      <c r="D51" s="8"/>
      <c r="E51" s="8"/>
      <c r="F51" s="8" t="s">
        <v>5</v>
      </c>
      <c r="G51" s="8">
        <f t="shared" si="2"/>
        <v>1</v>
      </c>
      <c r="H51" s="8">
        <f t="shared" si="2"/>
        <v>0</v>
      </c>
      <c r="I51" s="8">
        <f t="shared" si="2"/>
        <v>0</v>
      </c>
      <c r="J51" s="8">
        <f t="shared" si="2"/>
        <v>0</v>
      </c>
      <c r="K51" s="8">
        <f t="shared" si="2"/>
        <v>0</v>
      </c>
    </row>
    <row r="52" spans="1:11" x14ac:dyDescent="0.25">
      <c r="A52" s="5">
        <f t="shared" si="0"/>
        <v>2.0048000000000101</v>
      </c>
      <c r="B52" s="7"/>
      <c r="C52" s="6" t="s">
        <v>228</v>
      </c>
      <c r="D52" s="8"/>
      <c r="E52" s="8"/>
      <c r="F52" s="8" t="s">
        <v>5</v>
      </c>
      <c r="G52" s="8">
        <f t="shared" si="2"/>
        <v>1</v>
      </c>
      <c r="H52" s="8">
        <f t="shared" si="2"/>
        <v>0</v>
      </c>
      <c r="I52" s="8">
        <f t="shared" si="2"/>
        <v>0</v>
      </c>
      <c r="J52" s="8">
        <f t="shared" si="2"/>
        <v>0</v>
      </c>
      <c r="K52" s="8">
        <f t="shared" si="2"/>
        <v>0</v>
      </c>
    </row>
    <row r="53" spans="1:11" x14ac:dyDescent="0.25">
      <c r="A53" s="5">
        <f t="shared" si="0"/>
        <v>2.0049000000000103</v>
      </c>
      <c r="B53" s="32" t="s">
        <v>29</v>
      </c>
      <c r="C53" s="27" t="s">
        <v>203</v>
      </c>
      <c r="D53" s="8"/>
      <c r="E53" s="8"/>
      <c r="F53" s="8" t="s">
        <v>5</v>
      </c>
      <c r="G53" s="8">
        <f t="shared" si="2"/>
        <v>1</v>
      </c>
      <c r="H53" s="8">
        <f t="shared" si="2"/>
        <v>0</v>
      </c>
      <c r="I53" s="8">
        <f t="shared" si="2"/>
        <v>0</v>
      </c>
      <c r="J53" s="8">
        <f t="shared" si="2"/>
        <v>0</v>
      </c>
      <c r="K53" s="8">
        <f t="shared" si="2"/>
        <v>0</v>
      </c>
    </row>
    <row r="54" spans="1:11" x14ac:dyDescent="0.25">
      <c r="A54" s="5">
        <f t="shared" si="0"/>
        <v>2.0050000000000106</v>
      </c>
      <c r="B54" s="7"/>
      <c r="C54" s="6" t="s">
        <v>49</v>
      </c>
      <c r="D54" s="8"/>
      <c r="E54" s="8"/>
      <c r="F54" s="8" t="s">
        <v>5</v>
      </c>
      <c r="G54" s="8">
        <f t="shared" si="2"/>
        <v>1</v>
      </c>
      <c r="H54" s="8">
        <f t="shared" si="2"/>
        <v>0</v>
      </c>
      <c r="I54" s="8">
        <f t="shared" si="2"/>
        <v>0</v>
      </c>
      <c r="J54" s="8">
        <f t="shared" si="2"/>
        <v>0</v>
      </c>
      <c r="K54" s="8">
        <f t="shared" si="2"/>
        <v>0</v>
      </c>
    </row>
    <row r="55" spans="1:11" x14ac:dyDescent="0.25">
      <c r="A55" s="5">
        <f t="shared" si="0"/>
        <v>2.0051000000000108</v>
      </c>
      <c r="B55" s="7"/>
      <c r="C55" s="6" t="s">
        <v>50</v>
      </c>
      <c r="D55" s="8"/>
      <c r="E55" s="8"/>
      <c r="F55" s="8" t="s">
        <v>5</v>
      </c>
      <c r="G55" s="8">
        <f t="shared" si="2"/>
        <v>1</v>
      </c>
      <c r="H55" s="8">
        <f t="shared" si="2"/>
        <v>0</v>
      </c>
      <c r="I55" s="8">
        <f t="shared" si="2"/>
        <v>0</v>
      </c>
      <c r="J55" s="8">
        <f t="shared" si="2"/>
        <v>0</v>
      </c>
      <c r="K55" s="8">
        <f t="shared" si="2"/>
        <v>0</v>
      </c>
    </row>
    <row r="56" spans="1:11" x14ac:dyDescent="0.25">
      <c r="A56" s="5">
        <f t="shared" si="0"/>
        <v>2.005200000000011</v>
      </c>
      <c r="B56" s="7"/>
      <c r="C56" s="6" t="s">
        <v>31</v>
      </c>
      <c r="D56" s="8"/>
      <c r="E56" s="8"/>
      <c r="F56" s="8" t="s">
        <v>5</v>
      </c>
      <c r="G56" s="8">
        <f t="shared" si="2"/>
        <v>1</v>
      </c>
      <c r="H56" s="8">
        <f t="shared" si="2"/>
        <v>0</v>
      </c>
      <c r="I56" s="8">
        <f t="shared" si="2"/>
        <v>0</v>
      </c>
      <c r="J56" s="8">
        <f t="shared" si="2"/>
        <v>0</v>
      </c>
      <c r="K56" s="8">
        <f t="shared" si="2"/>
        <v>0</v>
      </c>
    </row>
    <row r="57" spans="1:11" x14ac:dyDescent="0.25">
      <c r="A57" s="5">
        <f t="shared" si="0"/>
        <v>2.0053000000000112</v>
      </c>
      <c r="B57" s="7"/>
      <c r="C57" s="6" t="s">
        <v>226</v>
      </c>
      <c r="D57" s="8"/>
      <c r="E57" s="8"/>
      <c r="F57" s="8" t="s">
        <v>5</v>
      </c>
      <c r="G57" s="8">
        <f t="shared" si="2"/>
        <v>1</v>
      </c>
      <c r="H57" s="8">
        <f t="shared" si="2"/>
        <v>0</v>
      </c>
      <c r="I57" s="8">
        <f t="shared" si="2"/>
        <v>0</v>
      </c>
      <c r="J57" s="8">
        <f t="shared" si="2"/>
        <v>0</v>
      </c>
      <c r="K57" s="8">
        <f t="shared" si="2"/>
        <v>0</v>
      </c>
    </row>
    <row r="58" spans="1:11" x14ac:dyDescent="0.25">
      <c r="A58" s="5">
        <f t="shared" si="0"/>
        <v>2.0054000000000114</v>
      </c>
      <c r="B58" s="7"/>
      <c r="C58" s="6"/>
      <c r="D58" s="8"/>
      <c r="E58" s="8"/>
      <c r="F58" s="8"/>
      <c r="G58" s="8"/>
      <c r="H58" s="8"/>
      <c r="I58" s="8"/>
      <c r="J58" s="8"/>
      <c r="K58" s="8"/>
    </row>
    <row r="59" spans="1:11" x14ac:dyDescent="0.25">
      <c r="A59" s="5">
        <f t="shared" si="0"/>
        <v>2.0055000000000116</v>
      </c>
      <c r="B59" s="72" t="s">
        <v>229</v>
      </c>
      <c r="C59" s="60" t="s">
        <v>238</v>
      </c>
      <c r="D59" s="8"/>
      <c r="E59" s="8"/>
      <c r="F59" s="8"/>
      <c r="G59" s="8"/>
      <c r="H59" s="8"/>
      <c r="I59" s="8"/>
      <c r="J59" s="8"/>
      <c r="K59" s="8"/>
    </row>
    <row r="60" spans="1:11" x14ac:dyDescent="0.25">
      <c r="A60" s="5">
        <f t="shared" si="0"/>
        <v>2.0056000000000118</v>
      </c>
      <c r="B60" s="7"/>
      <c r="C60" s="6" t="s">
        <v>239</v>
      </c>
      <c r="D60" s="8"/>
      <c r="E60" s="8"/>
      <c r="F60" s="8" t="s">
        <v>5</v>
      </c>
      <c r="G60" s="8">
        <f t="shared" si="2"/>
        <v>1</v>
      </c>
      <c r="H60" s="8">
        <f t="shared" si="2"/>
        <v>0</v>
      </c>
      <c r="I60" s="8">
        <f t="shared" si="2"/>
        <v>0</v>
      </c>
      <c r="J60" s="8">
        <f t="shared" si="2"/>
        <v>0</v>
      </c>
      <c r="K60" s="8">
        <f t="shared" si="2"/>
        <v>0</v>
      </c>
    </row>
    <row r="61" spans="1:11" x14ac:dyDescent="0.25">
      <c r="A61" s="5">
        <f t="shared" si="0"/>
        <v>2.005700000000012</v>
      </c>
      <c r="B61" s="7"/>
      <c r="C61" s="6" t="s">
        <v>227</v>
      </c>
      <c r="D61" s="8"/>
      <c r="E61" s="8"/>
      <c r="F61" s="8" t="s">
        <v>5</v>
      </c>
      <c r="G61" s="8">
        <f t="shared" si="2"/>
        <v>1</v>
      </c>
      <c r="H61" s="8">
        <f t="shared" si="2"/>
        <v>0</v>
      </c>
      <c r="I61" s="8">
        <f t="shared" si="2"/>
        <v>0</v>
      </c>
      <c r="J61" s="8">
        <f t="shared" si="2"/>
        <v>0</v>
      </c>
      <c r="K61" s="8">
        <f t="shared" si="2"/>
        <v>0</v>
      </c>
    </row>
    <row r="62" spans="1:11" x14ac:dyDescent="0.25">
      <c r="A62" s="5">
        <f t="shared" si="0"/>
        <v>2.0058000000000122</v>
      </c>
      <c r="B62" s="7"/>
      <c r="C62" s="6" t="s">
        <v>228</v>
      </c>
      <c r="D62" s="8"/>
      <c r="E62" s="8"/>
      <c r="F62" s="8" t="s">
        <v>5</v>
      </c>
      <c r="G62" s="8">
        <f t="shared" si="2"/>
        <v>1</v>
      </c>
      <c r="H62" s="8">
        <f t="shared" si="2"/>
        <v>0</v>
      </c>
      <c r="I62" s="8">
        <f t="shared" si="2"/>
        <v>0</v>
      </c>
      <c r="J62" s="8">
        <f t="shared" si="2"/>
        <v>0</v>
      </c>
      <c r="K62" s="8">
        <f t="shared" si="2"/>
        <v>0</v>
      </c>
    </row>
    <row r="63" spans="1:11" x14ac:dyDescent="0.25">
      <c r="A63" s="5">
        <f t="shared" si="0"/>
        <v>2.0059000000000125</v>
      </c>
      <c r="B63" s="32" t="s">
        <v>29</v>
      </c>
      <c r="C63" s="27" t="s">
        <v>203</v>
      </c>
      <c r="D63" s="8"/>
      <c r="E63" s="8"/>
      <c r="F63" s="8"/>
      <c r="G63" s="8"/>
      <c r="H63" s="8"/>
      <c r="I63" s="8"/>
      <c r="J63" s="8"/>
      <c r="K63" s="8"/>
    </row>
    <row r="64" spans="1:11" x14ac:dyDescent="0.25">
      <c r="A64" s="5">
        <f t="shared" si="0"/>
        <v>2.0060000000000127</v>
      </c>
      <c r="B64" s="7"/>
      <c r="C64" s="6" t="s">
        <v>49</v>
      </c>
      <c r="D64" s="8"/>
      <c r="E64" s="8"/>
      <c r="F64" s="8" t="s">
        <v>5</v>
      </c>
      <c r="G64" s="8">
        <f t="shared" si="2"/>
        <v>1</v>
      </c>
      <c r="H64" s="8">
        <f t="shared" si="2"/>
        <v>0</v>
      </c>
      <c r="I64" s="8">
        <f t="shared" si="2"/>
        <v>0</v>
      </c>
      <c r="J64" s="8">
        <f t="shared" si="2"/>
        <v>0</v>
      </c>
      <c r="K64" s="8">
        <f t="shared" si="2"/>
        <v>0</v>
      </c>
    </row>
    <row r="65" spans="1:11" x14ac:dyDescent="0.25">
      <c r="A65" s="5">
        <f t="shared" si="0"/>
        <v>2.0061000000000129</v>
      </c>
      <c r="B65" s="7"/>
      <c r="C65" s="6" t="s">
        <v>50</v>
      </c>
      <c r="D65" s="8"/>
      <c r="E65" s="8"/>
      <c r="F65" s="8" t="s">
        <v>5</v>
      </c>
      <c r="G65" s="8">
        <f t="shared" si="2"/>
        <v>1</v>
      </c>
      <c r="H65" s="8">
        <f t="shared" si="2"/>
        <v>0</v>
      </c>
      <c r="I65" s="8">
        <f t="shared" si="2"/>
        <v>0</v>
      </c>
      <c r="J65" s="8">
        <f t="shared" si="2"/>
        <v>0</v>
      </c>
      <c r="K65" s="8">
        <f t="shared" si="2"/>
        <v>0</v>
      </c>
    </row>
    <row r="66" spans="1:11" x14ac:dyDescent="0.25">
      <c r="A66" s="5">
        <f t="shared" si="0"/>
        <v>2.0062000000000131</v>
      </c>
      <c r="B66" s="7"/>
      <c r="C66" s="6" t="s">
        <v>31</v>
      </c>
      <c r="D66" s="8"/>
      <c r="E66" s="8"/>
      <c r="F66" s="8" t="s">
        <v>5</v>
      </c>
      <c r="G66" s="8">
        <f t="shared" si="2"/>
        <v>1</v>
      </c>
      <c r="H66" s="8">
        <f t="shared" si="2"/>
        <v>0</v>
      </c>
      <c r="I66" s="8">
        <f t="shared" si="2"/>
        <v>0</v>
      </c>
      <c r="J66" s="8">
        <f t="shared" si="2"/>
        <v>0</v>
      </c>
      <c r="K66" s="8">
        <f t="shared" si="2"/>
        <v>0</v>
      </c>
    </row>
    <row r="67" spans="1:11" ht="25.5" x14ac:dyDescent="0.25">
      <c r="A67" s="5">
        <f t="shared" si="0"/>
        <v>2.0063000000000133</v>
      </c>
      <c r="B67" s="7"/>
      <c r="C67" s="6" t="s">
        <v>225</v>
      </c>
      <c r="D67" s="8"/>
      <c r="E67" s="8"/>
      <c r="F67" s="8" t="s">
        <v>5</v>
      </c>
      <c r="G67" s="8">
        <f t="shared" si="2"/>
        <v>1</v>
      </c>
      <c r="H67" s="8">
        <f t="shared" si="2"/>
        <v>0</v>
      </c>
      <c r="I67" s="8">
        <f t="shared" si="2"/>
        <v>0</v>
      </c>
      <c r="J67" s="8">
        <f t="shared" si="2"/>
        <v>0</v>
      </c>
      <c r="K67" s="8">
        <f t="shared" si="2"/>
        <v>0</v>
      </c>
    </row>
    <row r="68" spans="1:11" x14ac:dyDescent="0.25">
      <c r="A68" s="5">
        <f t="shared" si="0"/>
        <v>2.0064000000000135</v>
      </c>
      <c r="B68" s="7"/>
      <c r="C68" s="6"/>
      <c r="D68" s="8"/>
      <c r="E68" s="8"/>
      <c r="F68" s="8"/>
      <c r="G68" s="8"/>
      <c r="H68" s="8"/>
      <c r="I68" s="8"/>
      <c r="J68" s="8"/>
      <c r="K68" s="8"/>
    </row>
    <row r="69" spans="1:11" x14ac:dyDescent="0.25">
      <c r="A69" s="5">
        <f t="shared" ref="A69:A132" si="7">A68+0.0001</f>
        <v>2.0065000000000137</v>
      </c>
      <c r="B69" s="7" t="s">
        <v>240</v>
      </c>
      <c r="C69" s="6" t="s">
        <v>45</v>
      </c>
      <c r="D69" s="8"/>
      <c r="E69" s="8"/>
      <c r="F69" s="8" t="s">
        <v>5</v>
      </c>
      <c r="G69" s="8">
        <f t="shared" si="2"/>
        <v>1</v>
      </c>
      <c r="H69" s="8">
        <f t="shared" si="2"/>
        <v>0</v>
      </c>
      <c r="I69" s="8">
        <f t="shared" si="2"/>
        <v>0</v>
      </c>
      <c r="J69" s="8">
        <f t="shared" si="2"/>
        <v>0</v>
      </c>
      <c r="K69" s="8">
        <f t="shared" si="2"/>
        <v>0</v>
      </c>
    </row>
    <row r="70" spans="1:11" x14ac:dyDescent="0.25">
      <c r="A70" s="5">
        <f t="shared" si="7"/>
        <v>2.0066000000000139</v>
      </c>
      <c r="B70" s="7"/>
      <c r="C70" s="6" t="s">
        <v>46</v>
      </c>
      <c r="D70" s="8"/>
      <c r="E70" s="8"/>
      <c r="F70" s="8" t="s">
        <v>5</v>
      </c>
      <c r="G70" s="8">
        <f t="shared" si="2"/>
        <v>1</v>
      </c>
      <c r="H70" s="8">
        <f t="shared" si="2"/>
        <v>0</v>
      </c>
      <c r="I70" s="8">
        <f t="shared" si="2"/>
        <v>0</v>
      </c>
      <c r="J70" s="8">
        <f t="shared" si="2"/>
        <v>0</v>
      </c>
      <c r="K70" s="8">
        <f t="shared" si="2"/>
        <v>0</v>
      </c>
    </row>
    <row r="71" spans="1:11" x14ac:dyDescent="0.25">
      <c r="A71" s="5">
        <f t="shared" si="7"/>
        <v>2.0067000000000141</v>
      </c>
      <c r="B71" s="7"/>
      <c r="C71" s="6" t="s">
        <v>47</v>
      </c>
      <c r="D71" s="8"/>
      <c r="E71" s="8"/>
      <c r="F71" s="8" t="s">
        <v>5</v>
      </c>
      <c r="G71" s="8">
        <f t="shared" si="2"/>
        <v>1</v>
      </c>
      <c r="H71" s="8">
        <f t="shared" si="2"/>
        <v>0</v>
      </c>
      <c r="I71" s="8">
        <f t="shared" si="2"/>
        <v>0</v>
      </c>
      <c r="J71" s="8">
        <f t="shared" si="2"/>
        <v>0</v>
      </c>
      <c r="K71" s="8">
        <f t="shared" si="2"/>
        <v>0</v>
      </c>
    </row>
    <row r="72" spans="1:11" x14ac:dyDescent="0.25">
      <c r="A72" s="5">
        <f t="shared" si="7"/>
        <v>2.0068000000000144</v>
      </c>
      <c r="B72" s="7"/>
      <c r="C72" s="6"/>
      <c r="D72" s="8"/>
      <c r="E72" s="8"/>
      <c r="F72" s="8"/>
      <c r="G72" s="8"/>
      <c r="H72" s="8"/>
      <c r="I72" s="8"/>
      <c r="J72" s="8"/>
      <c r="K72" s="8"/>
    </row>
    <row r="73" spans="1:11" x14ac:dyDescent="0.25">
      <c r="A73" s="5">
        <f t="shared" si="7"/>
        <v>2.0069000000000146</v>
      </c>
      <c r="B73" s="7" t="s">
        <v>243</v>
      </c>
      <c r="C73" s="6" t="s">
        <v>55</v>
      </c>
      <c r="D73" s="8"/>
      <c r="E73" s="8"/>
      <c r="F73" s="8" t="s">
        <v>5</v>
      </c>
      <c r="G73" s="8">
        <f t="shared" ref="G73:K77" si="8">IF($F73=G$1,1,0)</f>
        <v>1</v>
      </c>
      <c r="H73" s="8">
        <f t="shared" si="8"/>
        <v>0</v>
      </c>
      <c r="I73" s="8">
        <f t="shared" si="8"/>
        <v>0</v>
      </c>
      <c r="J73" s="8">
        <f t="shared" si="8"/>
        <v>0</v>
      </c>
      <c r="K73" s="8">
        <f t="shared" si="8"/>
        <v>0</v>
      </c>
    </row>
    <row r="74" spans="1:11" x14ac:dyDescent="0.25">
      <c r="A74" s="5">
        <f t="shared" si="7"/>
        <v>2.0070000000000148</v>
      </c>
      <c r="B74" s="7"/>
      <c r="C74" s="6" t="s">
        <v>54</v>
      </c>
      <c r="D74" s="8"/>
      <c r="E74" s="8"/>
      <c r="F74" s="8" t="s">
        <v>5</v>
      </c>
      <c r="G74" s="8">
        <f t="shared" si="8"/>
        <v>1</v>
      </c>
      <c r="H74" s="8">
        <f t="shared" si="8"/>
        <v>0</v>
      </c>
      <c r="I74" s="8">
        <f t="shared" si="8"/>
        <v>0</v>
      </c>
      <c r="J74" s="8">
        <f t="shared" si="8"/>
        <v>0</v>
      </c>
      <c r="K74" s="8">
        <f t="shared" si="8"/>
        <v>0</v>
      </c>
    </row>
    <row r="75" spans="1:11" x14ac:dyDescent="0.25">
      <c r="A75" s="5">
        <f t="shared" si="7"/>
        <v>2.007100000000015</v>
      </c>
      <c r="B75" s="7"/>
      <c r="C75" s="6" t="s">
        <v>53</v>
      </c>
      <c r="D75" s="8"/>
      <c r="E75" s="8"/>
      <c r="F75" s="8" t="s">
        <v>5</v>
      </c>
      <c r="G75" s="8">
        <f t="shared" si="8"/>
        <v>1</v>
      </c>
      <c r="H75" s="8">
        <f t="shared" si="8"/>
        <v>0</v>
      </c>
      <c r="I75" s="8">
        <f t="shared" si="8"/>
        <v>0</v>
      </c>
      <c r="J75" s="8">
        <f t="shared" si="8"/>
        <v>0</v>
      </c>
      <c r="K75" s="8">
        <f t="shared" si="8"/>
        <v>0</v>
      </c>
    </row>
    <row r="76" spans="1:11" x14ac:dyDescent="0.25">
      <c r="A76" s="5">
        <f t="shared" si="7"/>
        <v>2.0072000000000152</v>
      </c>
      <c r="B76" s="7"/>
      <c r="C76" s="6" t="s">
        <v>52</v>
      </c>
      <c r="D76" s="8"/>
      <c r="E76" s="8"/>
      <c r="F76" s="8" t="s">
        <v>5</v>
      </c>
      <c r="G76" s="8">
        <f t="shared" si="8"/>
        <v>1</v>
      </c>
      <c r="H76" s="8">
        <f t="shared" si="8"/>
        <v>0</v>
      </c>
      <c r="I76" s="8">
        <f t="shared" si="8"/>
        <v>0</v>
      </c>
      <c r="J76" s="8">
        <f t="shared" si="8"/>
        <v>0</v>
      </c>
      <c r="K76" s="8">
        <f t="shared" si="8"/>
        <v>0</v>
      </c>
    </row>
    <row r="77" spans="1:11" x14ac:dyDescent="0.25">
      <c r="A77" s="5">
        <f t="shared" si="7"/>
        <v>2.0073000000000154</v>
      </c>
      <c r="B77" s="6"/>
      <c r="C77" s="6" t="s">
        <v>51</v>
      </c>
      <c r="D77" s="8"/>
      <c r="E77" s="8"/>
      <c r="F77" s="8" t="s">
        <v>5</v>
      </c>
      <c r="G77" s="8">
        <f t="shared" si="8"/>
        <v>1</v>
      </c>
      <c r="H77" s="8">
        <f t="shared" si="8"/>
        <v>0</v>
      </c>
      <c r="I77" s="8">
        <f t="shared" si="8"/>
        <v>0</v>
      </c>
      <c r="J77" s="8">
        <f t="shared" si="8"/>
        <v>0</v>
      </c>
      <c r="K77" s="8">
        <f t="shared" si="8"/>
        <v>0</v>
      </c>
    </row>
    <row r="78" spans="1:11" x14ac:dyDescent="0.25">
      <c r="A78" s="5">
        <f t="shared" si="7"/>
        <v>2.0074000000000156</v>
      </c>
      <c r="B78" s="6"/>
      <c r="C78" s="23"/>
      <c r="D78" s="8"/>
      <c r="E78" s="8"/>
      <c r="F78" s="8"/>
      <c r="G78" s="8"/>
      <c r="H78" s="8"/>
      <c r="I78" s="8"/>
      <c r="J78" s="8"/>
      <c r="K78" s="8"/>
    </row>
    <row r="79" spans="1:11" x14ac:dyDescent="0.25">
      <c r="A79" s="5">
        <f t="shared" si="7"/>
        <v>2.0075000000000158</v>
      </c>
      <c r="B79" s="60" t="s">
        <v>221</v>
      </c>
      <c r="C79" s="61"/>
      <c r="D79" s="8"/>
      <c r="E79" s="8"/>
      <c r="F79" s="8"/>
      <c r="G79" s="8"/>
      <c r="H79" s="8"/>
      <c r="I79" s="8"/>
      <c r="J79" s="8"/>
      <c r="K79" s="8"/>
    </row>
    <row r="80" spans="1:11" x14ac:dyDescent="0.25">
      <c r="A80" s="5">
        <f t="shared" si="7"/>
        <v>2.007600000000016</v>
      </c>
      <c r="B80" s="17" t="s">
        <v>185</v>
      </c>
      <c r="C80" s="18"/>
      <c r="D80" s="17"/>
      <c r="E80" s="8"/>
      <c r="F80" s="8"/>
      <c r="G80" s="8"/>
      <c r="H80" s="8"/>
      <c r="I80" s="8"/>
      <c r="J80" s="8"/>
      <c r="K80" s="8"/>
    </row>
    <row r="81" spans="1:11" ht="38.25" x14ac:dyDescent="0.25">
      <c r="A81" s="5">
        <f t="shared" si="7"/>
        <v>2.0077000000000162</v>
      </c>
      <c r="B81" s="6" t="s">
        <v>413</v>
      </c>
      <c r="C81" s="6" t="s">
        <v>103</v>
      </c>
      <c r="D81" s="7" t="s">
        <v>164</v>
      </c>
      <c r="E81" s="8"/>
      <c r="F81" s="8" t="s">
        <v>5</v>
      </c>
      <c r="G81" s="8">
        <f t="shared" ref="G81:K89" si="9">IF($F81=G$1,1,0)</f>
        <v>1</v>
      </c>
      <c r="H81" s="8">
        <f t="shared" si="9"/>
        <v>0</v>
      </c>
      <c r="I81" s="8">
        <f t="shared" si="9"/>
        <v>0</v>
      </c>
      <c r="J81" s="8">
        <f t="shared" si="9"/>
        <v>0</v>
      </c>
      <c r="K81" s="8">
        <f t="shared" si="9"/>
        <v>0</v>
      </c>
    </row>
    <row r="82" spans="1:11" ht="38.25" x14ac:dyDescent="0.25">
      <c r="A82" s="5">
        <f t="shared" si="7"/>
        <v>2.0078000000000165</v>
      </c>
      <c r="B82" s="6" t="s">
        <v>104</v>
      </c>
      <c r="C82" s="6" t="s">
        <v>165</v>
      </c>
      <c r="D82" s="7" t="s">
        <v>187</v>
      </c>
      <c r="E82" s="8"/>
      <c r="F82" s="8" t="s">
        <v>5</v>
      </c>
      <c r="G82" s="8">
        <f t="shared" si="9"/>
        <v>1</v>
      </c>
      <c r="H82" s="8">
        <f t="shared" si="9"/>
        <v>0</v>
      </c>
      <c r="I82" s="8">
        <f t="shared" si="9"/>
        <v>0</v>
      </c>
      <c r="J82" s="8">
        <f t="shared" si="9"/>
        <v>0</v>
      </c>
      <c r="K82" s="8">
        <f t="shared" si="9"/>
        <v>0</v>
      </c>
    </row>
    <row r="83" spans="1:11" x14ac:dyDescent="0.25">
      <c r="A83" s="5">
        <f t="shared" si="7"/>
        <v>2.0079000000000167</v>
      </c>
      <c r="B83" s="6" t="s">
        <v>15</v>
      </c>
      <c r="C83" s="6" t="s">
        <v>105</v>
      </c>
      <c r="D83" s="7"/>
      <c r="E83" s="8"/>
      <c r="F83" s="8" t="s">
        <v>5</v>
      </c>
      <c r="G83" s="8">
        <f t="shared" si="9"/>
        <v>1</v>
      </c>
      <c r="H83" s="8">
        <f t="shared" si="9"/>
        <v>0</v>
      </c>
      <c r="I83" s="8">
        <f t="shared" si="9"/>
        <v>0</v>
      </c>
      <c r="J83" s="8">
        <f t="shared" si="9"/>
        <v>0</v>
      </c>
      <c r="K83" s="8">
        <f t="shared" si="9"/>
        <v>0</v>
      </c>
    </row>
    <row r="84" spans="1:11" ht="25.5" x14ac:dyDescent="0.25">
      <c r="A84" s="5">
        <f t="shared" si="7"/>
        <v>2.0080000000000169</v>
      </c>
      <c r="B84" s="6" t="s">
        <v>186</v>
      </c>
      <c r="C84" s="6" t="s">
        <v>103</v>
      </c>
      <c r="D84" s="7"/>
      <c r="E84" s="8"/>
      <c r="F84" s="8" t="s">
        <v>5</v>
      </c>
      <c r="G84" s="8">
        <f t="shared" si="9"/>
        <v>1</v>
      </c>
      <c r="H84" s="8">
        <f t="shared" si="9"/>
        <v>0</v>
      </c>
      <c r="I84" s="8">
        <f t="shared" si="9"/>
        <v>0</v>
      </c>
      <c r="J84" s="8">
        <f t="shared" si="9"/>
        <v>0</v>
      </c>
      <c r="K84" s="8">
        <f t="shared" si="9"/>
        <v>0</v>
      </c>
    </row>
    <row r="85" spans="1:11" x14ac:dyDescent="0.25">
      <c r="A85" s="5">
        <f t="shared" si="7"/>
        <v>2.0081000000000171</v>
      </c>
      <c r="B85" s="6" t="s">
        <v>104</v>
      </c>
      <c r="C85" s="6" t="s">
        <v>166</v>
      </c>
      <c r="D85" s="7"/>
      <c r="E85" s="8"/>
      <c r="F85" s="8" t="s">
        <v>5</v>
      </c>
      <c r="G85" s="8">
        <f t="shared" si="9"/>
        <v>1</v>
      </c>
      <c r="H85" s="8">
        <f t="shared" si="9"/>
        <v>0</v>
      </c>
      <c r="I85" s="8">
        <f t="shared" si="9"/>
        <v>0</v>
      </c>
      <c r="J85" s="8">
        <f t="shared" si="9"/>
        <v>0</v>
      </c>
      <c r="K85" s="8">
        <f t="shared" si="9"/>
        <v>0</v>
      </c>
    </row>
    <row r="86" spans="1:11" x14ac:dyDescent="0.25">
      <c r="A86" s="5">
        <f t="shared" si="7"/>
        <v>2.0082000000000173</v>
      </c>
      <c r="B86" s="6" t="s">
        <v>15</v>
      </c>
      <c r="C86" s="6" t="s">
        <v>105</v>
      </c>
      <c r="D86" s="7"/>
      <c r="E86" s="8"/>
      <c r="F86" s="8" t="s">
        <v>5</v>
      </c>
      <c r="G86" s="8">
        <f t="shared" si="9"/>
        <v>1</v>
      </c>
      <c r="H86" s="8">
        <f t="shared" si="9"/>
        <v>0</v>
      </c>
      <c r="I86" s="8">
        <f t="shared" si="9"/>
        <v>0</v>
      </c>
      <c r="J86" s="8">
        <f t="shared" si="9"/>
        <v>0</v>
      </c>
      <c r="K86" s="8">
        <f t="shared" si="9"/>
        <v>0</v>
      </c>
    </row>
    <row r="87" spans="1:11" x14ac:dyDescent="0.25">
      <c r="A87" s="5">
        <f t="shared" si="7"/>
        <v>2.0083000000000175</v>
      </c>
      <c r="B87" s="62" t="s">
        <v>253</v>
      </c>
      <c r="C87" s="73" t="s">
        <v>254</v>
      </c>
      <c r="D87" s="65"/>
      <c r="E87" s="8"/>
      <c r="F87" s="8" t="s">
        <v>5</v>
      </c>
      <c r="G87" s="8">
        <f t="shared" si="9"/>
        <v>1</v>
      </c>
      <c r="H87" s="8">
        <f t="shared" si="9"/>
        <v>0</v>
      </c>
      <c r="I87" s="8">
        <f t="shared" si="9"/>
        <v>0</v>
      </c>
      <c r="J87" s="8">
        <f t="shared" si="9"/>
        <v>0</v>
      </c>
      <c r="K87" s="8">
        <f t="shared" si="9"/>
        <v>0</v>
      </c>
    </row>
    <row r="88" spans="1:11" x14ac:dyDescent="0.25">
      <c r="A88" s="5">
        <f t="shared" si="7"/>
        <v>2.0084000000000177</v>
      </c>
      <c r="B88" s="48" t="s">
        <v>216</v>
      </c>
      <c r="C88" s="49" t="s">
        <v>217</v>
      </c>
      <c r="D88" s="18"/>
      <c r="E88" s="8"/>
      <c r="F88" s="8"/>
      <c r="G88" s="8"/>
      <c r="H88" s="8"/>
      <c r="I88" s="8"/>
      <c r="J88" s="8"/>
      <c r="K88" s="8"/>
    </row>
    <row r="89" spans="1:11" x14ac:dyDescent="0.25">
      <c r="A89" s="5">
        <f t="shared" si="7"/>
        <v>2.0085000000000179</v>
      </c>
      <c r="B89" s="28" t="s">
        <v>174</v>
      </c>
      <c r="C89" s="22" t="s">
        <v>175</v>
      </c>
      <c r="D89" s="54"/>
      <c r="E89" s="8"/>
      <c r="F89" s="8" t="s">
        <v>5</v>
      </c>
      <c r="G89" s="8">
        <f t="shared" si="9"/>
        <v>1</v>
      </c>
      <c r="H89" s="8">
        <f t="shared" si="9"/>
        <v>0</v>
      </c>
      <c r="I89" s="8">
        <f t="shared" si="9"/>
        <v>0</v>
      </c>
      <c r="J89" s="8">
        <f t="shared" si="9"/>
        <v>0</v>
      </c>
      <c r="K89" s="8">
        <f t="shared" si="9"/>
        <v>0</v>
      </c>
    </row>
    <row r="90" spans="1:11" x14ac:dyDescent="0.25">
      <c r="A90" s="5">
        <f t="shared" si="7"/>
        <v>2.0086000000000181</v>
      </c>
      <c r="B90" s="6"/>
      <c r="C90" s="23"/>
      <c r="D90" s="54"/>
      <c r="E90" s="8"/>
      <c r="F90" s="8"/>
      <c r="G90" s="8"/>
      <c r="H90" s="8"/>
      <c r="I90" s="8"/>
      <c r="J90" s="8"/>
      <c r="K90" s="8"/>
    </row>
    <row r="91" spans="1:11" ht="38.25" x14ac:dyDescent="0.25">
      <c r="A91" s="5">
        <f t="shared" si="7"/>
        <v>2.0087000000000184</v>
      </c>
      <c r="B91" s="63" t="s">
        <v>173</v>
      </c>
      <c r="C91" s="64" t="s">
        <v>218</v>
      </c>
      <c r="D91" s="54"/>
      <c r="E91" s="8"/>
      <c r="F91" s="8" t="s">
        <v>5</v>
      </c>
      <c r="G91" s="8">
        <f t="shared" ref="G91:K100" si="10">IF($F91=G$1,1,0)</f>
        <v>1</v>
      </c>
      <c r="H91" s="8">
        <f t="shared" si="10"/>
        <v>0</v>
      </c>
      <c r="I91" s="8">
        <f t="shared" si="10"/>
        <v>0</v>
      </c>
      <c r="J91" s="8">
        <f t="shared" si="10"/>
        <v>0</v>
      </c>
      <c r="K91" s="8">
        <f t="shared" si="10"/>
        <v>0</v>
      </c>
    </row>
    <row r="92" spans="1:11" x14ac:dyDescent="0.25">
      <c r="A92" s="5">
        <f t="shared" si="7"/>
        <v>2.0088000000000186</v>
      </c>
      <c r="B92" s="28"/>
      <c r="C92" s="22"/>
      <c r="D92" s="54"/>
      <c r="E92" s="8"/>
      <c r="F92" s="8"/>
      <c r="G92" s="8"/>
      <c r="H92" s="8"/>
      <c r="I92" s="8"/>
      <c r="J92" s="8"/>
      <c r="K92" s="8"/>
    </row>
    <row r="93" spans="1:11" x14ac:dyDescent="0.25">
      <c r="A93" s="5">
        <f t="shared" si="7"/>
        <v>2.0089000000000188</v>
      </c>
      <c r="B93" s="6" t="s">
        <v>177</v>
      </c>
      <c r="C93" s="23" t="s">
        <v>178</v>
      </c>
      <c r="D93" s="54"/>
      <c r="E93" s="8"/>
      <c r="F93" s="8" t="s">
        <v>5</v>
      </c>
      <c r="G93" s="8">
        <f t="shared" si="10"/>
        <v>1</v>
      </c>
      <c r="H93" s="8">
        <f t="shared" si="10"/>
        <v>0</v>
      </c>
      <c r="I93" s="8">
        <f t="shared" si="10"/>
        <v>0</v>
      </c>
      <c r="J93" s="8">
        <f t="shared" si="10"/>
        <v>0</v>
      </c>
      <c r="K93" s="8">
        <f t="shared" si="10"/>
        <v>0</v>
      </c>
    </row>
    <row r="94" spans="1:11" x14ac:dyDescent="0.25">
      <c r="A94" s="5">
        <f t="shared" si="7"/>
        <v>2.009000000000019</v>
      </c>
      <c r="B94" s="6" t="s">
        <v>194</v>
      </c>
      <c r="C94" s="23" t="s">
        <v>195</v>
      </c>
      <c r="D94" s="54"/>
      <c r="E94" s="8"/>
      <c r="F94" s="8" t="s">
        <v>5</v>
      </c>
      <c r="G94" s="8">
        <f t="shared" si="10"/>
        <v>1</v>
      </c>
      <c r="H94" s="8">
        <f t="shared" si="10"/>
        <v>0</v>
      </c>
      <c r="I94" s="8">
        <f t="shared" si="10"/>
        <v>0</v>
      </c>
      <c r="J94" s="8">
        <f t="shared" si="10"/>
        <v>0</v>
      </c>
      <c r="K94" s="8">
        <f t="shared" si="10"/>
        <v>0</v>
      </c>
    </row>
    <row r="95" spans="1:11" x14ac:dyDescent="0.25">
      <c r="A95" s="5">
        <f t="shared" si="7"/>
        <v>2.0091000000000192</v>
      </c>
      <c r="B95" s="6" t="s">
        <v>179</v>
      </c>
      <c r="C95" s="23" t="s">
        <v>222</v>
      </c>
      <c r="D95" s="54"/>
      <c r="E95" s="8"/>
      <c r="F95" s="8" t="s">
        <v>5</v>
      </c>
      <c r="G95" s="8">
        <f t="shared" si="10"/>
        <v>1</v>
      </c>
      <c r="H95" s="8">
        <f t="shared" si="10"/>
        <v>0</v>
      </c>
      <c r="I95" s="8">
        <f t="shared" si="10"/>
        <v>0</v>
      </c>
      <c r="J95" s="8">
        <f t="shared" si="10"/>
        <v>0</v>
      </c>
      <c r="K95" s="8">
        <f t="shared" si="10"/>
        <v>0</v>
      </c>
    </row>
    <row r="96" spans="1:11" x14ac:dyDescent="0.25">
      <c r="A96" s="5">
        <f t="shared" si="7"/>
        <v>2.0092000000000194</v>
      </c>
      <c r="B96" s="6" t="s">
        <v>17</v>
      </c>
      <c r="C96" s="22" t="s">
        <v>18</v>
      </c>
      <c r="D96" s="54"/>
      <c r="E96" s="8"/>
      <c r="F96" s="8" t="s">
        <v>5</v>
      </c>
      <c r="G96" s="8">
        <f t="shared" si="10"/>
        <v>1</v>
      </c>
      <c r="H96" s="8">
        <f t="shared" si="10"/>
        <v>0</v>
      </c>
      <c r="I96" s="8">
        <f t="shared" si="10"/>
        <v>0</v>
      </c>
      <c r="J96" s="8">
        <f t="shared" si="10"/>
        <v>0</v>
      </c>
      <c r="K96" s="8">
        <f t="shared" si="10"/>
        <v>0</v>
      </c>
    </row>
    <row r="97" spans="1:11" x14ac:dyDescent="0.25">
      <c r="A97" s="5">
        <f t="shared" si="7"/>
        <v>2.0093000000000196</v>
      </c>
      <c r="B97" s="6" t="s">
        <v>19</v>
      </c>
      <c r="C97" s="23" t="s">
        <v>196</v>
      </c>
      <c r="D97" s="54"/>
      <c r="E97" s="8"/>
      <c r="F97" s="8" t="s">
        <v>5</v>
      </c>
      <c r="G97" s="8">
        <f t="shared" si="10"/>
        <v>1</v>
      </c>
      <c r="H97" s="8">
        <f t="shared" si="10"/>
        <v>0</v>
      </c>
      <c r="I97" s="8">
        <f t="shared" si="10"/>
        <v>0</v>
      </c>
      <c r="J97" s="8">
        <f t="shared" si="10"/>
        <v>0</v>
      </c>
      <c r="K97" s="8">
        <f t="shared" si="10"/>
        <v>0</v>
      </c>
    </row>
    <row r="98" spans="1:11" x14ac:dyDescent="0.25">
      <c r="A98" s="5">
        <f t="shared" si="7"/>
        <v>2.0094000000000198</v>
      </c>
      <c r="B98" s="6" t="s">
        <v>23</v>
      </c>
      <c r="C98" s="22" t="s">
        <v>20</v>
      </c>
      <c r="D98" s="7"/>
      <c r="E98" s="8"/>
      <c r="F98" s="8" t="s">
        <v>5</v>
      </c>
      <c r="G98" s="8">
        <f t="shared" si="10"/>
        <v>1</v>
      </c>
      <c r="H98" s="8">
        <f t="shared" si="10"/>
        <v>0</v>
      </c>
      <c r="I98" s="8">
        <f t="shared" si="10"/>
        <v>0</v>
      </c>
      <c r="J98" s="8">
        <f t="shared" si="10"/>
        <v>0</v>
      </c>
      <c r="K98" s="8">
        <f t="shared" si="10"/>
        <v>0</v>
      </c>
    </row>
    <row r="99" spans="1:11" x14ac:dyDescent="0.25">
      <c r="A99" s="5">
        <f t="shared" si="7"/>
        <v>2.00950000000002</v>
      </c>
      <c r="B99" s="6"/>
      <c r="C99" s="22" t="s">
        <v>21</v>
      </c>
      <c r="D99" s="7"/>
      <c r="E99" s="8"/>
      <c r="F99" s="8" t="s">
        <v>5</v>
      </c>
      <c r="G99" s="8">
        <f t="shared" si="10"/>
        <v>1</v>
      </c>
      <c r="H99" s="8">
        <f t="shared" si="10"/>
        <v>0</v>
      </c>
      <c r="I99" s="8">
        <f t="shared" si="10"/>
        <v>0</v>
      </c>
      <c r="J99" s="8">
        <f t="shared" si="10"/>
        <v>0</v>
      </c>
      <c r="K99" s="8">
        <f t="shared" si="10"/>
        <v>0</v>
      </c>
    </row>
    <row r="100" spans="1:11" ht="25.5" x14ac:dyDescent="0.25">
      <c r="A100" s="5">
        <f t="shared" si="7"/>
        <v>2.0096000000000203</v>
      </c>
      <c r="B100" s="6" t="s">
        <v>15</v>
      </c>
      <c r="C100" s="30" t="s">
        <v>197</v>
      </c>
      <c r="D100" s="7"/>
      <c r="E100" s="8"/>
      <c r="F100" s="8" t="s">
        <v>5</v>
      </c>
      <c r="G100" s="8">
        <f t="shared" si="10"/>
        <v>1</v>
      </c>
      <c r="H100" s="8">
        <f t="shared" si="10"/>
        <v>0</v>
      </c>
      <c r="I100" s="8">
        <f t="shared" si="10"/>
        <v>0</v>
      </c>
      <c r="J100" s="8">
        <f t="shared" si="10"/>
        <v>0</v>
      </c>
      <c r="K100" s="8">
        <f t="shared" si="10"/>
        <v>0</v>
      </c>
    </row>
    <row r="101" spans="1:11" x14ac:dyDescent="0.25">
      <c r="A101" s="5">
        <f t="shared" si="7"/>
        <v>2.0097000000000205</v>
      </c>
      <c r="B101" s="6"/>
      <c r="C101" s="6"/>
      <c r="D101" s="7"/>
      <c r="E101" s="8"/>
      <c r="F101" s="8"/>
      <c r="G101" s="8"/>
      <c r="H101" s="8"/>
      <c r="I101" s="8"/>
      <c r="J101" s="8"/>
      <c r="K101" s="8"/>
    </row>
    <row r="102" spans="1:11" x14ac:dyDescent="0.25">
      <c r="A102" s="5">
        <f t="shared" si="7"/>
        <v>2.0098000000000207</v>
      </c>
      <c r="B102" s="66" t="s">
        <v>212</v>
      </c>
      <c r="C102" s="67" t="s">
        <v>214</v>
      </c>
      <c r="D102" s="68"/>
      <c r="E102" s="8"/>
      <c r="F102" s="8" t="s">
        <v>5</v>
      </c>
      <c r="G102" s="8">
        <f t="shared" ref="G102:K103" si="11">IF($F102=G$1,1,0)</f>
        <v>1</v>
      </c>
      <c r="H102" s="8">
        <f t="shared" si="11"/>
        <v>0</v>
      </c>
      <c r="I102" s="8">
        <f t="shared" si="11"/>
        <v>0</v>
      </c>
      <c r="J102" s="8">
        <f t="shared" si="11"/>
        <v>0</v>
      </c>
      <c r="K102" s="8">
        <f t="shared" si="11"/>
        <v>0</v>
      </c>
    </row>
    <row r="103" spans="1:11" x14ac:dyDescent="0.25">
      <c r="A103" s="5">
        <f t="shared" si="7"/>
        <v>2.0099000000000209</v>
      </c>
      <c r="B103" s="66" t="s">
        <v>213</v>
      </c>
      <c r="C103" s="67" t="s">
        <v>215</v>
      </c>
      <c r="D103" s="68"/>
      <c r="E103" s="8"/>
      <c r="F103" s="8" t="s">
        <v>5</v>
      </c>
      <c r="G103" s="8">
        <f t="shared" si="11"/>
        <v>1</v>
      </c>
      <c r="H103" s="8">
        <f t="shared" si="11"/>
        <v>0</v>
      </c>
      <c r="I103" s="8">
        <f t="shared" si="11"/>
        <v>0</v>
      </c>
      <c r="J103" s="8">
        <f t="shared" si="11"/>
        <v>0</v>
      </c>
      <c r="K103" s="8">
        <f t="shared" si="11"/>
        <v>0</v>
      </c>
    </row>
    <row r="104" spans="1:11" x14ac:dyDescent="0.25">
      <c r="A104" s="5">
        <f t="shared" si="7"/>
        <v>2.0100000000000211</v>
      </c>
      <c r="B104" s="69"/>
      <c r="C104" s="70"/>
      <c r="D104" s="71"/>
      <c r="E104" s="8"/>
      <c r="F104" s="8"/>
      <c r="G104" s="8"/>
      <c r="H104" s="8"/>
      <c r="I104" s="8"/>
      <c r="J104" s="8"/>
      <c r="K104" s="8"/>
    </row>
    <row r="105" spans="1:11" x14ac:dyDescent="0.25">
      <c r="A105" s="5">
        <f t="shared" si="7"/>
        <v>2.0101000000000213</v>
      </c>
      <c r="B105" s="62" t="s">
        <v>223</v>
      </c>
      <c r="C105" s="61"/>
      <c r="D105" s="65"/>
      <c r="E105" s="8"/>
      <c r="F105" s="8" t="s">
        <v>5</v>
      </c>
      <c r="G105" s="8">
        <f t="shared" ref="G105:K105" si="12">IF($F105=G$1,1,0)</f>
        <v>1</v>
      </c>
      <c r="H105" s="8">
        <f t="shared" si="12"/>
        <v>0</v>
      </c>
      <c r="I105" s="8">
        <f t="shared" si="12"/>
        <v>0</v>
      </c>
      <c r="J105" s="8">
        <f t="shared" si="12"/>
        <v>0</v>
      </c>
      <c r="K105" s="8">
        <f t="shared" si="12"/>
        <v>0</v>
      </c>
    </row>
    <row r="106" spans="1:11" x14ac:dyDescent="0.25">
      <c r="A106" s="5">
        <f t="shared" si="7"/>
        <v>2.0102000000000215</v>
      </c>
      <c r="B106" s="48" t="s">
        <v>216</v>
      </c>
      <c r="C106" s="49" t="s">
        <v>244</v>
      </c>
      <c r="D106" s="18"/>
      <c r="E106" s="8"/>
      <c r="F106" s="8"/>
      <c r="G106" s="8"/>
      <c r="H106" s="8"/>
      <c r="I106" s="8"/>
      <c r="J106" s="8"/>
      <c r="K106" s="8"/>
    </row>
    <row r="107" spans="1:11" x14ac:dyDescent="0.25">
      <c r="A107" s="5">
        <f t="shared" si="7"/>
        <v>2.0103000000000217</v>
      </c>
      <c r="B107" s="28" t="s">
        <v>174</v>
      </c>
      <c r="C107" s="22" t="s">
        <v>175</v>
      </c>
      <c r="D107" s="54"/>
      <c r="E107" s="8"/>
      <c r="F107" s="8" t="s">
        <v>5</v>
      </c>
      <c r="G107" s="8">
        <f t="shared" ref="G107:K107" si="13">IF($F107=G$1,1,0)</f>
        <v>1</v>
      </c>
      <c r="H107" s="8">
        <f t="shared" si="13"/>
        <v>0</v>
      </c>
      <c r="I107" s="8">
        <f t="shared" si="13"/>
        <v>0</v>
      </c>
      <c r="J107" s="8">
        <f t="shared" si="13"/>
        <v>0</v>
      </c>
      <c r="K107" s="8">
        <f t="shared" si="13"/>
        <v>0</v>
      </c>
    </row>
    <row r="108" spans="1:11" x14ac:dyDescent="0.25">
      <c r="A108" s="5">
        <f t="shared" si="7"/>
        <v>2.0104000000000219</v>
      </c>
      <c r="B108" s="6"/>
      <c r="C108" s="23"/>
      <c r="D108" s="54"/>
      <c r="E108" s="8"/>
      <c r="F108" s="8" t="s">
        <v>5</v>
      </c>
      <c r="G108" s="8"/>
      <c r="H108" s="8"/>
      <c r="I108" s="8"/>
      <c r="J108" s="8"/>
      <c r="K108" s="8"/>
    </row>
    <row r="109" spans="1:11" ht="38.25" x14ac:dyDescent="0.25">
      <c r="A109" s="5">
        <f t="shared" si="7"/>
        <v>2.0105000000000222</v>
      </c>
      <c r="B109" s="63" t="s">
        <v>173</v>
      </c>
      <c r="C109" s="64" t="s">
        <v>245</v>
      </c>
      <c r="D109" s="54"/>
      <c r="E109" s="8"/>
      <c r="F109" s="8" t="s">
        <v>5</v>
      </c>
      <c r="G109" s="8">
        <f t="shared" ref="G109:K109" si="14">IF($F109=G$1,1,0)</f>
        <v>1</v>
      </c>
      <c r="H109" s="8">
        <f t="shared" si="14"/>
        <v>0</v>
      </c>
      <c r="I109" s="8">
        <f t="shared" si="14"/>
        <v>0</v>
      </c>
      <c r="J109" s="8">
        <f t="shared" si="14"/>
        <v>0</v>
      </c>
      <c r="K109" s="8">
        <f t="shared" si="14"/>
        <v>0</v>
      </c>
    </row>
    <row r="110" spans="1:11" x14ac:dyDescent="0.25">
      <c r="A110" s="5">
        <f t="shared" si="7"/>
        <v>2.0106000000000224</v>
      </c>
      <c r="B110" s="28"/>
      <c r="C110" s="22"/>
      <c r="D110" s="54"/>
      <c r="E110" s="8"/>
      <c r="F110" s="8" t="s">
        <v>5</v>
      </c>
      <c r="G110" s="8"/>
      <c r="H110" s="8"/>
      <c r="I110" s="8"/>
      <c r="J110" s="8"/>
      <c r="K110" s="8"/>
    </row>
    <row r="111" spans="1:11" x14ac:dyDescent="0.25">
      <c r="A111" s="5">
        <f t="shared" si="7"/>
        <v>2.0107000000000226</v>
      </c>
      <c r="B111" s="6" t="s">
        <v>177</v>
      </c>
      <c r="C111" s="23" t="s">
        <v>178</v>
      </c>
      <c r="D111" s="54"/>
      <c r="E111" s="8"/>
      <c r="F111" s="8" t="s">
        <v>5</v>
      </c>
      <c r="G111" s="8">
        <f t="shared" ref="G111:K118" si="15">IF($F111=G$1,1,0)</f>
        <v>1</v>
      </c>
      <c r="H111" s="8">
        <f t="shared" si="15"/>
        <v>0</v>
      </c>
      <c r="I111" s="8">
        <f t="shared" si="15"/>
        <v>0</v>
      </c>
      <c r="J111" s="8">
        <f t="shared" si="15"/>
        <v>0</v>
      </c>
      <c r="K111" s="8">
        <f t="shared" si="15"/>
        <v>0</v>
      </c>
    </row>
    <row r="112" spans="1:11" x14ac:dyDescent="0.25">
      <c r="A112" s="5">
        <f t="shared" si="7"/>
        <v>2.0108000000000228</v>
      </c>
      <c r="B112" s="6" t="s">
        <v>194</v>
      </c>
      <c r="C112" s="23" t="s">
        <v>195</v>
      </c>
      <c r="D112" s="54"/>
      <c r="E112" s="8"/>
      <c r="F112" s="8" t="s">
        <v>5</v>
      </c>
      <c r="G112" s="8">
        <f t="shared" si="15"/>
        <v>1</v>
      </c>
      <c r="H112" s="8">
        <f t="shared" si="15"/>
        <v>0</v>
      </c>
      <c r="I112" s="8">
        <f t="shared" si="15"/>
        <v>0</v>
      </c>
      <c r="J112" s="8">
        <f t="shared" si="15"/>
        <v>0</v>
      </c>
      <c r="K112" s="8">
        <f t="shared" si="15"/>
        <v>0</v>
      </c>
    </row>
    <row r="113" spans="1:11" x14ac:dyDescent="0.25">
      <c r="A113" s="5">
        <f t="shared" si="7"/>
        <v>2.010900000000023</v>
      </c>
      <c r="B113" s="6" t="s">
        <v>179</v>
      </c>
      <c r="C113" s="23" t="s">
        <v>224</v>
      </c>
      <c r="D113" s="54"/>
      <c r="E113" s="8"/>
      <c r="F113" s="8" t="s">
        <v>5</v>
      </c>
      <c r="G113" s="8">
        <f t="shared" si="15"/>
        <v>1</v>
      </c>
      <c r="H113" s="8">
        <f t="shared" si="15"/>
        <v>0</v>
      </c>
      <c r="I113" s="8">
        <f t="shared" si="15"/>
        <v>0</v>
      </c>
      <c r="J113" s="8">
        <f t="shared" si="15"/>
        <v>0</v>
      </c>
      <c r="K113" s="8">
        <f t="shared" si="15"/>
        <v>0</v>
      </c>
    </row>
    <row r="114" spans="1:11" x14ac:dyDescent="0.25">
      <c r="A114" s="5">
        <f t="shared" si="7"/>
        <v>2.0110000000000232</v>
      </c>
      <c r="B114" s="6" t="s">
        <v>17</v>
      </c>
      <c r="C114" s="22" t="s">
        <v>18</v>
      </c>
      <c r="D114" s="54"/>
      <c r="E114" s="8"/>
      <c r="F114" s="8" t="s">
        <v>5</v>
      </c>
      <c r="G114" s="8">
        <f t="shared" si="15"/>
        <v>1</v>
      </c>
      <c r="H114" s="8">
        <f t="shared" si="15"/>
        <v>0</v>
      </c>
      <c r="I114" s="8">
        <f t="shared" si="15"/>
        <v>0</v>
      </c>
      <c r="J114" s="8">
        <f t="shared" si="15"/>
        <v>0</v>
      </c>
      <c r="K114" s="8">
        <f t="shared" si="15"/>
        <v>0</v>
      </c>
    </row>
    <row r="115" spans="1:11" x14ac:dyDescent="0.25">
      <c r="A115" s="5">
        <f t="shared" si="7"/>
        <v>2.0111000000000234</v>
      </c>
      <c r="B115" s="6" t="s">
        <v>19</v>
      </c>
      <c r="C115" s="23" t="s">
        <v>196</v>
      </c>
      <c r="D115" s="54"/>
      <c r="E115" s="8"/>
      <c r="F115" s="8" t="s">
        <v>5</v>
      </c>
      <c r="G115" s="8">
        <f t="shared" si="15"/>
        <v>1</v>
      </c>
      <c r="H115" s="8">
        <f t="shared" si="15"/>
        <v>0</v>
      </c>
      <c r="I115" s="8">
        <f t="shared" si="15"/>
        <v>0</v>
      </c>
      <c r="J115" s="8">
        <f t="shared" si="15"/>
        <v>0</v>
      </c>
      <c r="K115" s="8">
        <f t="shared" si="15"/>
        <v>0</v>
      </c>
    </row>
    <row r="116" spans="1:11" x14ac:dyDescent="0.25">
      <c r="A116" s="5">
        <f t="shared" si="7"/>
        <v>2.0112000000000236</v>
      </c>
      <c r="B116" s="6" t="s">
        <v>23</v>
      </c>
      <c r="C116" s="22" t="s">
        <v>20</v>
      </c>
      <c r="D116" s="7"/>
      <c r="E116" s="8"/>
      <c r="F116" s="8" t="s">
        <v>5</v>
      </c>
      <c r="G116" s="8">
        <f t="shared" si="15"/>
        <v>1</v>
      </c>
      <c r="H116" s="8">
        <f t="shared" si="15"/>
        <v>0</v>
      </c>
      <c r="I116" s="8">
        <f t="shared" si="15"/>
        <v>0</v>
      </c>
      <c r="J116" s="8">
        <f t="shared" si="15"/>
        <v>0</v>
      </c>
      <c r="K116" s="8">
        <f t="shared" si="15"/>
        <v>0</v>
      </c>
    </row>
    <row r="117" spans="1:11" x14ac:dyDescent="0.25">
      <c r="A117" s="5">
        <f t="shared" si="7"/>
        <v>2.0113000000000238</v>
      </c>
      <c r="B117" s="6"/>
      <c r="C117" s="22" t="s">
        <v>21</v>
      </c>
      <c r="D117" s="7"/>
      <c r="E117" s="8"/>
      <c r="F117" s="8" t="s">
        <v>5</v>
      </c>
      <c r="G117" s="8">
        <f t="shared" si="15"/>
        <v>1</v>
      </c>
      <c r="H117" s="8">
        <f t="shared" si="15"/>
        <v>0</v>
      </c>
      <c r="I117" s="8">
        <f t="shared" si="15"/>
        <v>0</v>
      </c>
      <c r="J117" s="8">
        <f t="shared" si="15"/>
        <v>0</v>
      </c>
      <c r="K117" s="8">
        <f t="shared" si="15"/>
        <v>0</v>
      </c>
    </row>
    <row r="118" spans="1:11" ht="25.5" x14ac:dyDescent="0.25">
      <c r="A118" s="5">
        <f t="shared" si="7"/>
        <v>2.0114000000000241</v>
      </c>
      <c r="B118" s="6" t="s">
        <v>15</v>
      </c>
      <c r="C118" s="30" t="s">
        <v>197</v>
      </c>
      <c r="D118" s="7"/>
      <c r="E118" s="8"/>
      <c r="F118" s="8" t="s">
        <v>5</v>
      </c>
      <c r="G118" s="8">
        <f t="shared" si="15"/>
        <v>1</v>
      </c>
      <c r="H118" s="8">
        <f t="shared" si="15"/>
        <v>0</v>
      </c>
      <c r="I118" s="8">
        <f t="shared" si="15"/>
        <v>0</v>
      </c>
      <c r="J118" s="8">
        <f t="shared" si="15"/>
        <v>0</v>
      </c>
      <c r="K118" s="8">
        <f t="shared" si="15"/>
        <v>0</v>
      </c>
    </row>
    <row r="119" spans="1:11" x14ac:dyDescent="0.25">
      <c r="A119" s="5">
        <f t="shared" si="7"/>
        <v>2.0115000000000243</v>
      </c>
      <c r="B119" s="27" t="s">
        <v>393</v>
      </c>
      <c r="C119" s="27" t="s">
        <v>394</v>
      </c>
      <c r="D119" s="7"/>
      <c r="E119" s="8"/>
      <c r="F119" s="8"/>
      <c r="G119" s="8"/>
      <c r="H119" s="8"/>
      <c r="I119" s="8"/>
      <c r="J119" s="8"/>
      <c r="K119" s="8"/>
    </row>
    <row r="120" spans="1:11" x14ac:dyDescent="0.25">
      <c r="A120" s="5">
        <f t="shared" si="7"/>
        <v>2.0116000000000245</v>
      </c>
      <c r="B120" s="66" t="s">
        <v>212</v>
      </c>
      <c r="C120" s="67" t="s">
        <v>214</v>
      </c>
      <c r="D120" s="68"/>
      <c r="E120" s="8"/>
      <c r="F120" s="8" t="s">
        <v>5</v>
      </c>
      <c r="G120" s="8">
        <f t="shared" ref="G120:K121" si="16">IF($F120=G$1,1,0)</f>
        <v>1</v>
      </c>
      <c r="H120" s="8">
        <f t="shared" si="16"/>
        <v>0</v>
      </c>
      <c r="I120" s="8">
        <f t="shared" si="16"/>
        <v>0</v>
      </c>
      <c r="J120" s="8">
        <f t="shared" si="16"/>
        <v>0</v>
      </c>
      <c r="K120" s="8">
        <f t="shared" si="16"/>
        <v>0</v>
      </c>
    </row>
    <row r="121" spans="1:11" x14ac:dyDescent="0.25">
      <c r="A121" s="5">
        <f t="shared" si="7"/>
        <v>2.0117000000000247</v>
      </c>
      <c r="B121" s="66" t="s">
        <v>213</v>
      </c>
      <c r="C121" s="67" t="s">
        <v>215</v>
      </c>
      <c r="D121" s="68"/>
      <c r="E121" s="8"/>
      <c r="F121" s="8" t="s">
        <v>5</v>
      </c>
      <c r="G121" s="8">
        <f t="shared" si="16"/>
        <v>1</v>
      </c>
      <c r="H121" s="8">
        <f t="shared" si="16"/>
        <v>0</v>
      </c>
      <c r="I121" s="8">
        <f t="shared" si="16"/>
        <v>0</v>
      </c>
      <c r="J121" s="8">
        <f t="shared" si="16"/>
        <v>0</v>
      </c>
      <c r="K121" s="8">
        <f t="shared" si="16"/>
        <v>0</v>
      </c>
    </row>
    <row r="122" spans="1:11" x14ac:dyDescent="0.25">
      <c r="A122" s="5">
        <f t="shared" si="7"/>
        <v>2.0118000000000249</v>
      </c>
      <c r="B122" s="69"/>
      <c r="C122" s="70"/>
      <c r="D122" s="71"/>
      <c r="E122" s="8"/>
      <c r="F122" s="8"/>
      <c r="G122" s="8"/>
      <c r="H122" s="8"/>
      <c r="I122" s="8"/>
      <c r="J122" s="8"/>
      <c r="K122" s="8"/>
    </row>
    <row r="123" spans="1:11" x14ac:dyDescent="0.25">
      <c r="A123" s="5">
        <f>A122+0.0001</f>
        <v>2.0119000000000251</v>
      </c>
      <c r="B123" s="17" t="s">
        <v>204</v>
      </c>
      <c r="C123" s="17"/>
      <c r="D123" s="17"/>
      <c r="E123" s="8"/>
      <c r="F123" s="8"/>
      <c r="G123" s="8"/>
      <c r="H123" s="8"/>
      <c r="I123" s="8"/>
      <c r="J123" s="8"/>
      <c r="K123" s="8"/>
    </row>
    <row r="124" spans="1:11" x14ac:dyDescent="0.25">
      <c r="A124" s="5">
        <f t="shared" si="7"/>
        <v>2.0120000000000253</v>
      </c>
      <c r="B124" s="7" t="s">
        <v>205</v>
      </c>
      <c r="C124" s="6" t="s">
        <v>206</v>
      </c>
      <c r="D124" s="71"/>
      <c r="E124" s="8"/>
      <c r="F124" s="8" t="s">
        <v>5</v>
      </c>
      <c r="G124" s="8">
        <f t="shared" ref="G124:K130" si="17">IF($F124=G$1,1,0)</f>
        <v>1</v>
      </c>
      <c r="H124" s="8">
        <f t="shared" si="17"/>
        <v>0</v>
      </c>
      <c r="I124" s="8">
        <f t="shared" si="17"/>
        <v>0</v>
      </c>
      <c r="J124" s="8">
        <f t="shared" si="17"/>
        <v>0</v>
      </c>
      <c r="K124" s="8">
        <f t="shared" si="17"/>
        <v>0</v>
      </c>
    </row>
    <row r="125" spans="1:11" x14ac:dyDescent="0.25">
      <c r="A125" s="5">
        <f t="shared" si="7"/>
        <v>2.0121000000000255</v>
      </c>
      <c r="B125" s="7" t="s">
        <v>110</v>
      </c>
      <c r="C125" s="6" t="s">
        <v>111</v>
      </c>
      <c r="D125" s="71"/>
      <c r="E125" s="8"/>
      <c r="F125" s="8" t="s">
        <v>5</v>
      </c>
      <c r="G125" s="8">
        <f t="shared" si="17"/>
        <v>1</v>
      </c>
      <c r="H125" s="8">
        <f t="shared" si="17"/>
        <v>0</v>
      </c>
      <c r="I125" s="8">
        <f t="shared" si="17"/>
        <v>0</v>
      </c>
      <c r="J125" s="8">
        <f t="shared" si="17"/>
        <v>0</v>
      </c>
      <c r="K125" s="8">
        <f t="shared" si="17"/>
        <v>0</v>
      </c>
    </row>
    <row r="126" spans="1:11" x14ac:dyDescent="0.25">
      <c r="A126" s="5">
        <f t="shared" si="7"/>
        <v>2.0122000000000257</v>
      </c>
      <c r="B126" s="7" t="s">
        <v>112</v>
      </c>
      <c r="C126" s="27" t="s">
        <v>113</v>
      </c>
      <c r="D126" s="71"/>
      <c r="E126" s="8"/>
      <c r="F126" s="8" t="s">
        <v>5</v>
      </c>
      <c r="G126" s="8">
        <f t="shared" si="17"/>
        <v>1</v>
      </c>
      <c r="H126" s="8">
        <f t="shared" si="17"/>
        <v>0</v>
      </c>
      <c r="I126" s="8">
        <f t="shared" si="17"/>
        <v>0</v>
      </c>
      <c r="J126" s="8">
        <f t="shared" si="17"/>
        <v>0</v>
      </c>
      <c r="K126" s="8">
        <f t="shared" si="17"/>
        <v>0</v>
      </c>
    </row>
    <row r="127" spans="1:11" x14ac:dyDescent="0.25">
      <c r="A127" s="5">
        <f t="shared" si="7"/>
        <v>2.012300000000026</v>
      </c>
      <c r="B127" s="7"/>
      <c r="C127" s="27" t="s">
        <v>114</v>
      </c>
      <c r="D127" s="71"/>
      <c r="E127" s="8"/>
      <c r="F127" s="8" t="s">
        <v>5</v>
      </c>
      <c r="G127" s="8">
        <f t="shared" si="17"/>
        <v>1</v>
      </c>
      <c r="H127" s="8">
        <f t="shared" si="17"/>
        <v>0</v>
      </c>
      <c r="I127" s="8">
        <f t="shared" si="17"/>
        <v>0</v>
      </c>
      <c r="J127" s="8">
        <f t="shared" si="17"/>
        <v>0</v>
      </c>
      <c r="K127" s="8">
        <f t="shared" si="17"/>
        <v>0</v>
      </c>
    </row>
    <row r="128" spans="1:11" x14ac:dyDescent="0.25">
      <c r="A128" s="5">
        <f t="shared" si="7"/>
        <v>2.0124000000000262</v>
      </c>
      <c r="B128" s="7"/>
      <c r="C128" s="6" t="s">
        <v>115</v>
      </c>
      <c r="D128" s="71"/>
      <c r="E128" s="8"/>
      <c r="F128" s="8" t="s">
        <v>5</v>
      </c>
      <c r="G128" s="8">
        <f t="shared" si="17"/>
        <v>1</v>
      </c>
      <c r="H128" s="8">
        <f t="shared" si="17"/>
        <v>0</v>
      </c>
      <c r="I128" s="8">
        <f t="shared" si="17"/>
        <v>0</v>
      </c>
      <c r="J128" s="8">
        <f t="shared" si="17"/>
        <v>0</v>
      </c>
      <c r="K128" s="8">
        <f t="shared" si="17"/>
        <v>0</v>
      </c>
    </row>
    <row r="129" spans="1:11" x14ac:dyDescent="0.25">
      <c r="A129" s="5">
        <f t="shared" si="7"/>
        <v>2.0125000000000264</v>
      </c>
      <c r="B129" s="7"/>
      <c r="C129" s="27" t="s">
        <v>116</v>
      </c>
      <c r="D129" s="71"/>
      <c r="E129" s="8"/>
      <c r="F129" s="8" t="s">
        <v>5</v>
      </c>
      <c r="G129" s="8">
        <f t="shared" si="17"/>
        <v>1</v>
      </c>
      <c r="H129" s="8">
        <f t="shared" si="17"/>
        <v>0</v>
      </c>
      <c r="I129" s="8">
        <f t="shared" si="17"/>
        <v>0</v>
      </c>
      <c r="J129" s="8">
        <f t="shared" si="17"/>
        <v>0</v>
      </c>
      <c r="K129" s="8">
        <f t="shared" si="17"/>
        <v>0</v>
      </c>
    </row>
    <row r="130" spans="1:11" x14ac:dyDescent="0.25">
      <c r="A130" s="5">
        <f t="shared" si="7"/>
        <v>2.0126000000000266</v>
      </c>
      <c r="B130" s="62" t="s">
        <v>250</v>
      </c>
      <c r="C130" s="62" t="s">
        <v>247</v>
      </c>
      <c r="D130" s="71"/>
      <c r="E130" s="8"/>
      <c r="F130" s="8" t="s">
        <v>5</v>
      </c>
      <c r="G130" s="8">
        <f t="shared" si="17"/>
        <v>1</v>
      </c>
      <c r="H130" s="8">
        <f t="shared" si="17"/>
        <v>0</v>
      </c>
      <c r="I130" s="8">
        <f t="shared" si="17"/>
        <v>0</v>
      </c>
      <c r="J130" s="8">
        <f t="shared" si="17"/>
        <v>0</v>
      </c>
      <c r="K130" s="8">
        <f t="shared" si="17"/>
        <v>0</v>
      </c>
    </row>
    <row r="131" spans="1:11" x14ac:dyDescent="0.25">
      <c r="A131" s="5">
        <f t="shared" si="7"/>
        <v>2.0127000000000268</v>
      </c>
      <c r="B131" s="6"/>
      <c r="C131" s="69"/>
      <c r="D131" s="71"/>
      <c r="E131" s="8"/>
      <c r="F131" s="8"/>
      <c r="G131" s="8"/>
      <c r="H131" s="8"/>
      <c r="I131" s="8"/>
      <c r="J131" s="8"/>
      <c r="K131" s="8"/>
    </row>
    <row r="132" spans="1:11" x14ac:dyDescent="0.25">
      <c r="A132" s="5">
        <f t="shared" si="7"/>
        <v>2.012800000000027</v>
      </c>
      <c r="B132" s="62" t="s">
        <v>251</v>
      </c>
      <c r="C132" s="62" t="s">
        <v>247</v>
      </c>
      <c r="D132" s="71"/>
      <c r="E132" s="8"/>
      <c r="F132" s="8" t="s">
        <v>5</v>
      </c>
      <c r="G132" s="8">
        <f t="shared" ref="G132:K134" si="18">IF($F132=G$1,1,0)</f>
        <v>1</v>
      </c>
      <c r="H132" s="8">
        <f t="shared" si="18"/>
        <v>0</v>
      </c>
      <c r="I132" s="8">
        <f t="shared" si="18"/>
        <v>0</v>
      </c>
      <c r="J132" s="8">
        <f t="shared" si="18"/>
        <v>0</v>
      </c>
      <c r="K132" s="8">
        <f t="shared" si="18"/>
        <v>0</v>
      </c>
    </row>
    <row r="133" spans="1:11" x14ac:dyDescent="0.25">
      <c r="A133" s="5">
        <f t="shared" ref="A133:A162" si="19">A132+0.0001</f>
        <v>2.0129000000000272</v>
      </c>
      <c r="B133" s="6"/>
      <c r="C133" s="60" t="s">
        <v>248</v>
      </c>
      <c r="D133" s="71"/>
      <c r="E133" s="8"/>
      <c r="F133" s="8" t="s">
        <v>5</v>
      </c>
      <c r="G133" s="8">
        <f t="shared" si="18"/>
        <v>1</v>
      </c>
      <c r="H133" s="8">
        <f t="shared" si="18"/>
        <v>0</v>
      </c>
      <c r="I133" s="8">
        <f t="shared" si="18"/>
        <v>0</v>
      </c>
      <c r="J133" s="8">
        <f t="shared" si="18"/>
        <v>0</v>
      </c>
      <c r="K133" s="8">
        <f t="shared" si="18"/>
        <v>0</v>
      </c>
    </row>
    <row r="134" spans="1:11" x14ac:dyDescent="0.25">
      <c r="A134" s="5">
        <f t="shared" si="19"/>
        <v>2.0130000000000274</v>
      </c>
      <c r="B134" s="6"/>
      <c r="C134" s="60" t="s">
        <v>249</v>
      </c>
      <c r="D134" s="71"/>
      <c r="E134" s="8"/>
      <c r="F134" s="8" t="s">
        <v>5</v>
      </c>
      <c r="G134" s="8">
        <f t="shared" si="18"/>
        <v>1</v>
      </c>
      <c r="H134" s="8">
        <f t="shared" si="18"/>
        <v>0</v>
      </c>
      <c r="I134" s="8">
        <f t="shared" si="18"/>
        <v>0</v>
      </c>
      <c r="J134" s="8">
        <f t="shared" si="18"/>
        <v>0</v>
      </c>
      <c r="K134" s="8">
        <f t="shared" si="18"/>
        <v>0</v>
      </c>
    </row>
    <row r="135" spans="1:11" x14ac:dyDescent="0.25">
      <c r="A135" s="5">
        <f t="shared" si="19"/>
        <v>2.0131000000000276</v>
      </c>
      <c r="B135" s="6"/>
      <c r="C135" s="69"/>
      <c r="D135" s="71"/>
      <c r="E135" s="8"/>
      <c r="F135" s="8"/>
      <c r="G135" s="8"/>
      <c r="H135" s="8"/>
      <c r="I135" s="8"/>
      <c r="J135" s="8"/>
      <c r="K135" s="8"/>
    </row>
    <row r="136" spans="1:11" x14ac:dyDescent="0.25">
      <c r="A136" s="5">
        <f t="shared" si="19"/>
        <v>2.0132000000000279</v>
      </c>
      <c r="B136" s="6"/>
      <c r="C136" s="6" t="s">
        <v>117</v>
      </c>
      <c r="D136" s="71"/>
      <c r="E136" s="8"/>
      <c r="F136" s="8" t="s">
        <v>5</v>
      </c>
      <c r="G136" s="8">
        <f t="shared" ref="G136:K138" si="20">IF($F136=G$1,1,0)</f>
        <v>1</v>
      </c>
      <c r="H136" s="8">
        <f t="shared" si="20"/>
        <v>0</v>
      </c>
      <c r="I136" s="8">
        <f t="shared" si="20"/>
        <v>0</v>
      </c>
      <c r="J136" s="8">
        <f t="shared" si="20"/>
        <v>0</v>
      </c>
      <c r="K136" s="8">
        <f t="shared" si="20"/>
        <v>0</v>
      </c>
    </row>
    <row r="137" spans="1:11" x14ac:dyDescent="0.25">
      <c r="A137" s="5">
        <f t="shared" si="19"/>
        <v>2.0133000000000281</v>
      </c>
      <c r="B137" s="6"/>
      <c r="C137" s="6" t="s">
        <v>118</v>
      </c>
      <c r="D137" s="71"/>
      <c r="E137" s="8"/>
      <c r="F137" s="8" t="s">
        <v>5</v>
      </c>
      <c r="G137" s="8">
        <f t="shared" si="20"/>
        <v>1</v>
      </c>
      <c r="H137" s="8">
        <f t="shared" si="20"/>
        <v>0</v>
      </c>
      <c r="I137" s="8">
        <f t="shared" si="20"/>
        <v>0</v>
      </c>
      <c r="J137" s="8">
        <f t="shared" si="20"/>
        <v>0</v>
      </c>
      <c r="K137" s="8">
        <f t="shared" si="20"/>
        <v>0</v>
      </c>
    </row>
    <row r="138" spans="1:11" x14ac:dyDescent="0.25">
      <c r="A138" s="5">
        <f t="shared" si="19"/>
        <v>2.0134000000000283</v>
      </c>
      <c r="B138" s="6"/>
      <c r="C138" s="6" t="s">
        <v>119</v>
      </c>
      <c r="D138" s="71"/>
      <c r="E138" s="8"/>
      <c r="F138" s="8" t="s">
        <v>5</v>
      </c>
      <c r="G138" s="8">
        <f t="shared" si="20"/>
        <v>1</v>
      </c>
      <c r="H138" s="8">
        <f t="shared" si="20"/>
        <v>0</v>
      </c>
      <c r="I138" s="8">
        <f t="shared" si="20"/>
        <v>0</v>
      </c>
      <c r="J138" s="8">
        <f t="shared" si="20"/>
        <v>0</v>
      </c>
      <c r="K138" s="8">
        <f t="shared" si="20"/>
        <v>0</v>
      </c>
    </row>
    <row r="139" spans="1:11" x14ac:dyDescent="0.25">
      <c r="A139" s="5">
        <f t="shared" si="19"/>
        <v>2.0135000000000285</v>
      </c>
      <c r="B139" s="6"/>
      <c r="C139" s="6"/>
      <c r="D139" s="71"/>
      <c r="E139" s="8"/>
      <c r="F139" s="8"/>
      <c r="G139" s="8"/>
      <c r="H139" s="8"/>
      <c r="I139" s="8"/>
      <c r="J139" s="8"/>
      <c r="K139" s="8"/>
    </row>
    <row r="140" spans="1:11" x14ac:dyDescent="0.25">
      <c r="A140" s="5">
        <f t="shared" si="19"/>
        <v>2.0136000000000287</v>
      </c>
      <c r="B140" s="6" t="s">
        <v>120</v>
      </c>
      <c r="C140" s="6" t="s">
        <v>209</v>
      </c>
      <c r="D140" s="71"/>
      <c r="E140" s="8"/>
      <c r="F140" s="8" t="s">
        <v>5</v>
      </c>
      <c r="G140" s="8">
        <f t="shared" ref="G140:K143" si="21">IF($F140=G$1,1,0)</f>
        <v>1</v>
      </c>
      <c r="H140" s="8">
        <f t="shared" si="21"/>
        <v>0</v>
      </c>
      <c r="I140" s="8">
        <f t="shared" si="21"/>
        <v>0</v>
      </c>
      <c r="J140" s="8">
        <f t="shared" si="21"/>
        <v>0</v>
      </c>
      <c r="K140" s="8">
        <f t="shared" si="21"/>
        <v>0</v>
      </c>
    </row>
    <row r="141" spans="1:11" x14ac:dyDescent="0.25">
      <c r="A141" s="5">
        <f t="shared" si="19"/>
        <v>2.0137000000000289</v>
      </c>
      <c r="B141" s="6" t="s">
        <v>207</v>
      </c>
      <c r="C141" s="27" t="s">
        <v>208</v>
      </c>
      <c r="D141" s="71"/>
      <c r="E141" s="8"/>
      <c r="F141" s="8" t="s">
        <v>5</v>
      </c>
      <c r="G141" s="8">
        <f t="shared" si="21"/>
        <v>1</v>
      </c>
      <c r="H141" s="8">
        <f t="shared" si="21"/>
        <v>0</v>
      </c>
      <c r="I141" s="8">
        <f t="shared" si="21"/>
        <v>0</v>
      </c>
      <c r="J141" s="8">
        <f t="shared" si="21"/>
        <v>0</v>
      </c>
      <c r="K141" s="8">
        <f t="shared" si="21"/>
        <v>0</v>
      </c>
    </row>
    <row r="142" spans="1:11" x14ac:dyDescent="0.25">
      <c r="A142" s="5">
        <f t="shared" si="19"/>
        <v>2.0138000000000291</v>
      </c>
      <c r="B142" s="6"/>
      <c r="C142" s="6" t="s">
        <v>121</v>
      </c>
      <c r="D142" s="71"/>
      <c r="E142" s="8"/>
      <c r="F142" s="8" t="s">
        <v>5</v>
      </c>
      <c r="G142" s="8">
        <f t="shared" si="21"/>
        <v>1</v>
      </c>
      <c r="H142" s="8">
        <f t="shared" si="21"/>
        <v>0</v>
      </c>
      <c r="I142" s="8">
        <f t="shared" si="21"/>
        <v>0</v>
      </c>
      <c r="J142" s="8">
        <f t="shared" si="21"/>
        <v>0</v>
      </c>
      <c r="K142" s="8">
        <f t="shared" si="21"/>
        <v>0</v>
      </c>
    </row>
    <row r="143" spans="1:11" x14ac:dyDescent="0.25">
      <c r="A143" s="5">
        <f t="shared" si="19"/>
        <v>2.0139000000000293</v>
      </c>
      <c r="B143" s="6"/>
      <c r="C143" s="6" t="s">
        <v>122</v>
      </c>
      <c r="D143" s="71"/>
      <c r="E143" s="8"/>
      <c r="F143" s="8" t="s">
        <v>5</v>
      </c>
      <c r="G143" s="8">
        <f t="shared" si="21"/>
        <v>1</v>
      </c>
      <c r="H143" s="8">
        <f t="shared" si="21"/>
        <v>0</v>
      </c>
      <c r="I143" s="8">
        <f t="shared" si="21"/>
        <v>0</v>
      </c>
      <c r="J143" s="8">
        <f t="shared" si="21"/>
        <v>0</v>
      </c>
      <c r="K143" s="8">
        <f t="shared" si="21"/>
        <v>0</v>
      </c>
    </row>
    <row r="144" spans="1:11" x14ac:dyDescent="0.25">
      <c r="A144" s="5">
        <f t="shared" si="19"/>
        <v>2.0140000000000295</v>
      </c>
      <c r="B144" s="6"/>
      <c r="C144" s="27"/>
      <c r="D144" s="71"/>
      <c r="E144" s="8"/>
      <c r="F144" s="8"/>
      <c r="G144" s="8"/>
      <c r="H144" s="8"/>
      <c r="I144" s="8"/>
      <c r="J144" s="8"/>
      <c r="K144" s="8"/>
    </row>
    <row r="145" spans="1:11" x14ac:dyDescent="0.25">
      <c r="A145" s="5">
        <f t="shared" si="19"/>
        <v>2.0141000000000298</v>
      </c>
      <c r="B145" s="6" t="s">
        <v>16</v>
      </c>
      <c r="C145" s="27" t="s">
        <v>210</v>
      </c>
      <c r="D145" s="71"/>
      <c r="E145" s="8"/>
      <c r="F145" s="8" t="s">
        <v>5</v>
      </c>
      <c r="G145" s="8">
        <f t="shared" ref="G145:K145" si="22">IF($F145=G$1,1,0)</f>
        <v>1</v>
      </c>
      <c r="H145" s="8">
        <f t="shared" si="22"/>
        <v>0</v>
      </c>
      <c r="I145" s="8">
        <f t="shared" si="22"/>
        <v>0</v>
      </c>
      <c r="J145" s="8">
        <f t="shared" si="22"/>
        <v>0</v>
      </c>
      <c r="K145" s="8">
        <f t="shared" si="22"/>
        <v>0</v>
      </c>
    </row>
    <row r="146" spans="1:11" x14ac:dyDescent="0.25">
      <c r="A146" s="5">
        <f t="shared" si="19"/>
        <v>2.01420000000003</v>
      </c>
      <c r="B146" s="6"/>
      <c r="C146" s="6"/>
      <c r="D146" s="71"/>
      <c r="E146" s="8"/>
      <c r="F146" s="8"/>
      <c r="G146" s="8"/>
      <c r="H146" s="8"/>
      <c r="I146" s="8"/>
      <c r="J146" s="8"/>
      <c r="K146" s="8"/>
    </row>
    <row r="147" spans="1:11" x14ac:dyDescent="0.25">
      <c r="A147" s="5">
        <f t="shared" si="19"/>
        <v>2.0143000000000302</v>
      </c>
      <c r="B147" s="69"/>
      <c r="C147" s="70"/>
      <c r="D147" s="71"/>
      <c r="E147" s="8"/>
      <c r="F147" s="8"/>
      <c r="G147" s="8"/>
      <c r="H147" s="8"/>
      <c r="I147" s="8"/>
      <c r="J147" s="8"/>
      <c r="K147" s="8"/>
    </row>
    <row r="148" spans="1:11" x14ac:dyDescent="0.25">
      <c r="A148" s="5">
        <f t="shared" si="19"/>
        <v>2.0144000000000304</v>
      </c>
      <c r="B148" s="32" t="s">
        <v>24</v>
      </c>
      <c r="C148" s="27" t="s">
        <v>25</v>
      </c>
      <c r="D148" s="71"/>
      <c r="E148" s="8"/>
      <c r="F148" s="8" t="s">
        <v>5</v>
      </c>
      <c r="G148" s="8">
        <f t="shared" ref="G148:K158" si="23">IF($F148=G$1,1,0)</f>
        <v>1</v>
      </c>
      <c r="H148" s="8">
        <f t="shared" si="23"/>
        <v>0</v>
      </c>
      <c r="I148" s="8">
        <f t="shared" si="23"/>
        <v>0</v>
      </c>
      <c r="J148" s="8">
        <f t="shared" si="23"/>
        <v>0</v>
      </c>
      <c r="K148" s="8">
        <f t="shared" si="23"/>
        <v>0</v>
      </c>
    </row>
    <row r="149" spans="1:11" x14ac:dyDescent="0.25">
      <c r="A149" s="5">
        <f t="shared" si="19"/>
        <v>2.0145000000000306</v>
      </c>
      <c r="B149" s="7"/>
      <c r="C149" s="6" t="s">
        <v>26</v>
      </c>
      <c r="D149" s="71"/>
      <c r="E149" s="8"/>
      <c r="F149" s="8" t="s">
        <v>5</v>
      </c>
      <c r="G149" s="8">
        <f t="shared" si="23"/>
        <v>1</v>
      </c>
      <c r="H149" s="8">
        <f t="shared" si="23"/>
        <v>0</v>
      </c>
      <c r="I149" s="8">
        <f t="shared" si="23"/>
        <v>0</v>
      </c>
      <c r="J149" s="8">
        <f t="shared" si="23"/>
        <v>0</v>
      </c>
      <c r="K149" s="8">
        <f t="shared" si="23"/>
        <v>0</v>
      </c>
    </row>
    <row r="150" spans="1:11" x14ac:dyDescent="0.25">
      <c r="A150" s="5">
        <f t="shared" si="19"/>
        <v>2.0146000000000308</v>
      </c>
      <c r="B150" s="7"/>
      <c r="C150" s="6" t="s">
        <v>252</v>
      </c>
      <c r="D150" s="71"/>
      <c r="E150" s="8"/>
      <c r="F150" s="8" t="s">
        <v>5</v>
      </c>
      <c r="G150" s="8">
        <f t="shared" si="23"/>
        <v>1</v>
      </c>
      <c r="H150" s="8">
        <f t="shared" si="23"/>
        <v>0</v>
      </c>
      <c r="I150" s="8">
        <f t="shared" si="23"/>
        <v>0</v>
      </c>
      <c r="J150" s="8">
        <f t="shared" si="23"/>
        <v>0</v>
      </c>
      <c r="K150" s="8">
        <f t="shared" si="23"/>
        <v>0</v>
      </c>
    </row>
    <row r="151" spans="1:11" x14ac:dyDescent="0.25">
      <c r="A151" s="5">
        <f t="shared" si="19"/>
        <v>2.014700000000031</v>
      </c>
      <c r="B151" s="7"/>
      <c r="C151" s="6" t="s">
        <v>124</v>
      </c>
      <c r="D151" s="71"/>
      <c r="E151" s="8"/>
      <c r="F151" s="8" t="s">
        <v>5</v>
      </c>
      <c r="G151" s="8">
        <f t="shared" si="23"/>
        <v>1</v>
      </c>
      <c r="H151" s="8">
        <f t="shared" si="23"/>
        <v>0</v>
      </c>
      <c r="I151" s="8">
        <f t="shared" si="23"/>
        <v>0</v>
      </c>
      <c r="J151" s="8">
        <f t="shared" si="23"/>
        <v>0</v>
      </c>
      <c r="K151" s="8">
        <f t="shared" si="23"/>
        <v>0</v>
      </c>
    </row>
    <row r="152" spans="1:11" x14ac:dyDescent="0.25">
      <c r="A152" s="5">
        <f t="shared" si="19"/>
        <v>2.0148000000000312</v>
      </c>
      <c r="B152" s="7"/>
      <c r="C152" s="62" t="s">
        <v>237</v>
      </c>
      <c r="D152" s="71"/>
      <c r="E152" s="8"/>
      <c r="F152" s="8" t="s">
        <v>5</v>
      </c>
      <c r="G152" s="8">
        <f t="shared" si="23"/>
        <v>1</v>
      </c>
      <c r="H152" s="8">
        <f t="shared" si="23"/>
        <v>0</v>
      </c>
      <c r="I152" s="8">
        <f t="shared" si="23"/>
        <v>0</v>
      </c>
      <c r="J152" s="8">
        <f t="shared" si="23"/>
        <v>0</v>
      </c>
      <c r="K152" s="8">
        <f t="shared" si="23"/>
        <v>0</v>
      </c>
    </row>
    <row r="153" spans="1:11" x14ac:dyDescent="0.25">
      <c r="A153" s="5">
        <f t="shared" si="19"/>
        <v>2.0149000000000314</v>
      </c>
      <c r="B153" s="7"/>
      <c r="C153" s="62" t="s">
        <v>233</v>
      </c>
      <c r="D153" s="71"/>
      <c r="E153" s="8"/>
      <c r="F153" s="8" t="s">
        <v>5</v>
      </c>
      <c r="G153" s="8">
        <f t="shared" si="23"/>
        <v>1</v>
      </c>
      <c r="H153" s="8">
        <f t="shared" si="23"/>
        <v>0</v>
      </c>
      <c r="I153" s="8">
        <f t="shared" si="23"/>
        <v>0</v>
      </c>
      <c r="J153" s="8">
        <f t="shared" si="23"/>
        <v>0</v>
      </c>
      <c r="K153" s="8">
        <f t="shared" si="23"/>
        <v>0</v>
      </c>
    </row>
    <row r="154" spans="1:11" x14ac:dyDescent="0.25">
      <c r="A154" s="5">
        <f t="shared" si="19"/>
        <v>2.0150000000000317</v>
      </c>
      <c r="B154" s="7"/>
      <c r="C154" s="62" t="s">
        <v>234</v>
      </c>
      <c r="D154" s="71"/>
      <c r="E154" s="8"/>
      <c r="F154" s="8" t="s">
        <v>5</v>
      </c>
      <c r="G154" s="8">
        <f t="shared" si="23"/>
        <v>1</v>
      </c>
      <c r="H154" s="8">
        <f t="shared" si="23"/>
        <v>0</v>
      </c>
      <c r="I154" s="8">
        <f t="shared" si="23"/>
        <v>0</v>
      </c>
      <c r="J154" s="8">
        <f t="shared" si="23"/>
        <v>0</v>
      </c>
      <c r="K154" s="8">
        <f t="shared" si="23"/>
        <v>0</v>
      </c>
    </row>
    <row r="155" spans="1:11" x14ac:dyDescent="0.25">
      <c r="A155" s="5">
        <f t="shared" si="19"/>
        <v>2.0151000000000319</v>
      </c>
      <c r="B155" s="7"/>
      <c r="C155" s="62" t="s">
        <v>235</v>
      </c>
      <c r="D155" s="71"/>
      <c r="E155" s="8"/>
      <c r="F155" s="8" t="s">
        <v>5</v>
      </c>
      <c r="G155" s="8">
        <f t="shared" si="23"/>
        <v>1</v>
      </c>
      <c r="H155" s="8">
        <f t="shared" si="23"/>
        <v>0</v>
      </c>
      <c r="I155" s="8">
        <f t="shared" si="23"/>
        <v>0</v>
      </c>
      <c r="J155" s="8">
        <f t="shared" si="23"/>
        <v>0</v>
      </c>
      <c r="K155" s="8">
        <f t="shared" si="23"/>
        <v>0</v>
      </c>
    </row>
    <row r="156" spans="1:11" x14ac:dyDescent="0.25">
      <c r="A156" s="5">
        <f t="shared" si="19"/>
        <v>2.0152000000000321</v>
      </c>
      <c r="B156" s="7"/>
      <c r="C156" s="62" t="s">
        <v>227</v>
      </c>
      <c r="D156" s="71"/>
      <c r="E156" s="8"/>
      <c r="F156" s="8" t="s">
        <v>5</v>
      </c>
      <c r="G156" s="8">
        <f t="shared" si="23"/>
        <v>1</v>
      </c>
      <c r="H156" s="8">
        <f t="shared" si="23"/>
        <v>0</v>
      </c>
      <c r="I156" s="8">
        <f t="shared" si="23"/>
        <v>0</v>
      </c>
      <c r="J156" s="8">
        <f t="shared" si="23"/>
        <v>0</v>
      </c>
      <c r="K156" s="8">
        <f t="shared" si="23"/>
        <v>0</v>
      </c>
    </row>
    <row r="157" spans="1:11" x14ac:dyDescent="0.25">
      <c r="A157" s="5">
        <f t="shared" si="19"/>
        <v>2.0153000000000323</v>
      </c>
      <c r="B157" s="7"/>
      <c r="C157" s="62" t="s">
        <v>236</v>
      </c>
      <c r="D157" s="71"/>
      <c r="E157" s="8"/>
      <c r="F157" s="8" t="s">
        <v>5</v>
      </c>
      <c r="G157" s="8">
        <f t="shared" si="23"/>
        <v>1</v>
      </c>
      <c r="H157" s="8">
        <f t="shared" si="23"/>
        <v>0</v>
      </c>
      <c r="I157" s="8">
        <f t="shared" si="23"/>
        <v>0</v>
      </c>
      <c r="J157" s="8">
        <f t="shared" si="23"/>
        <v>0</v>
      </c>
      <c r="K157" s="8">
        <f t="shared" si="23"/>
        <v>0</v>
      </c>
    </row>
    <row r="158" spans="1:11" x14ac:dyDescent="0.25">
      <c r="A158" s="5">
        <f t="shared" si="19"/>
        <v>2.0154000000000325</v>
      </c>
      <c r="B158" s="69"/>
      <c r="C158" s="62" t="s">
        <v>227</v>
      </c>
      <c r="D158" s="71"/>
      <c r="E158" s="8"/>
      <c r="F158" s="8" t="s">
        <v>5</v>
      </c>
      <c r="G158" s="8">
        <f t="shared" si="23"/>
        <v>1</v>
      </c>
      <c r="H158" s="8">
        <f t="shared" si="23"/>
        <v>0</v>
      </c>
      <c r="I158" s="8">
        <f t="shared" si="23"/>
        <v>0</v>
      </c>
      <c r="J158" s="8">
        <f t="shared" si="23"/>
        <v>0</v>
      </c>
      <c r="K158" s="8">
        <f t="shared" si="23"/>
        <v>0</v>
      </c>
    </row>
    <row r="159" spans="1:11" x14ac:dyDescent="0.25">
      <c r="A159" s="5">
        <f t="shared" si="19"/>
        <v>2.0155000000000327</v>
      </c>
      <c r="B159" s="69"/>
      <c r="C159" s="70"/>
      <c r="D159" s="71"/>
      <c r="E159" s="8"/>
      <c r="F159" s="8"/>
      <c r="G159" s="8"/>
      <c r="H159" s="8"/>
      <c r="I159" s="8"/>
      <c r="J159" s="8"/>
      <c r="K159" s="8"/>
    </row>
    <row r="160" spans="1:11" x14ac:dyDescent="0.25">
      <c r="A160" s="5">
        <f t="shared" si="19"/>
        <v>2.0156000000000329</v>
      </c>
      <c r="B160" s="17" t="s">
        <v>138</v>
      </c>
      <c r="C160" s="18" t="s">
        <v>139</v>
      </c>
      <c r="D160" s="17"/>
      <c r="E160" s="8"/>
      <c r="F160" s="8"/>
      <c r="G160" s="8"/>
      <c r="H160" s="8"/>
      <c r="I160" s="8"/>
      <c r="J160" s="8"/>
      <c r="K160" s="8"/>
    </row>
    <row r="161" spans="1:11" ht="51" x14ac:dyDescent="0.25">
      <c r="A161" s="5">
        <f t="shared" si="19"/>
        <v>2.0157000000000331</v>
      </c>
      <c r="B161" s="42" t="s">
        <v>143</v>
      </c>
      <c r="C161" s="43" t="s">
        <v>141</v>
      </c>
      <c r="D161" s="7" t="s">
        <v>140</v>
      </c>
      <c r="E161" s="8"/>
      <c r="F161" s="8" t="s">
        <v>8</v>
      </c>
      <c r="G161" s="8">
        <f t="shared" ref="G161:J161" si="24">IF($F161=G$1,1,0)</f>
        <v>0</v>
      </c>
      <c r="H161" s="8">
        <f t="shared" si="24"/>
        <v>0</v>
      </c>
      <c r="I161" s="8">
        <f t="shared" si="24"/>
        <v>0</v>
      </c>
      <c r="J161" s="8">
        <f t="shared" si="24"/>
        <v>0</v>
      </c>
      <c r="K161" s="8"/>
    </row>
    <row r="162" spans="1:11" x14ac:dyDescent="0.25">
      <c r="A162" s="5">
        <f t="shared" si="19"/>
        <v>2.0158000000000333</v>
      </c>
      <c r="B162" s="7"/>
      <c r="C162" s="6"/>
      <c r="D162" s="8"/>
      <c r="E162" s="8"/>
      <c r="F162" s="8"/>
      <c r="G162" s="8"/>
      <c r="H162" s="8"/>
      <c r="I162" s="8"/>
      <c r="J162" s="8"/>
      <c r="K162" s="8"/>
    </row>
    <row r="163" spans="1:11" ht="15.75" thickBot="1" x14ac:dyDescent="0.3">
      <c r="G163" s="31">
        <f>SUM(G10:G162)</f>
        <v>112</v>
      </c>
      <c r="H163" s="31">
        <f>SUM(H10:H162)</f>
        <v>0</v>
      </c>
      <c r="I163" s="31">
        <f>SUM(I10:I162)</f>
        <v>0</v>
      </c>
      <c r="J163" s="31">
        <f>SUM(J10:J162)</f>
        <v>0</v>
      </c>
      <c r="K163" s="31">
        <f>SUM(K10:K162)</f>
        <v>0</v>
      </c>
    </row>
    <row r="164" spans="1:11" ht="15.75" thickTop="1" x14ac:dyDescent="0.25"/>
  </sheetData>
  <mergeCells count="1">
    <mergeCell ref="B2:C2"/>
  </mergeCells>
  <conditionalFormatting sqref="B45:C48 B60:B62 B50:B52 C49:C52 B69:C79 B39:C43 B58:C58 C59 B64:B68 G4:K7 F5 B12:C19 D12:D16 B124:C136 B159:C159 B162:C162 A4:A162 D8:E9 G8:L9 F10:K10 F13:K13 G11:K12 F15:K15 G14:K14 F17:K17 G16:K16 G18:K23 F24:K162">
    <cfRule type="expression" dxfId="564" priority="127">
      <formula>$F4="Fail"</formula>
    </cfRule>
  </conditionalFormatting>
  <conditionalFormatting sqref="A3:K3 D4:E5">
    <cfRule type="expression" dxfId="563" priority="126">
      <formula>$F3="Fail"</formula>
    </cfRule>
  </conditionalFormatting>
  <conditionalFormatting sqref="D7:E7">
    <cfRule type="expression" dxfId="562" priority="125">
      <formula>$F7="Fail"</formula>
    </cfRule>
  </conditionalFormatting>
  <conditionalFormatting sqref="D6:E6">
    <cfRule type="expression" dxfId="561" priority="124">
      <formula>$F6="Fail"</formula>
    </cfRule>
  </conditionalFormatting>
  <conditionalFormatting sqref="F4">
    <cfRule type="expression" dxfId="560" priority="123">
      <formula>$F4="Fail"</formula>
    </cfRule>
  </conditionalFormatting>
  <conditionalFormatting sqref="L3:L5">
    <cfRule type="expression" dxfId="559" priority="122">
      <formula>$F3="Fail"</formula>
    </cfRule>
  </conditionalFormatting>
  <conditionalFormatting sqref="L7">
    <cfRule type="expression" dxfId="558" priority="121">
      <formula>$F7="Fail"</formula>
    </cfRule>
  </conditionalFormatting>
  <conditionalFormatting sqref="L6">
    <cfRule type="expression" dxfId="557" priority="120">
      <formula>$F6="Fail"</formula>
    </cfRule>
  </conditionalFormatting>
  <conditionalFormatting sqref="G163:K163">
    <cfRule type="expression" dxfId="556" priority="119">
      <formula>$F163="Fail"</formula>
    </cfRule>
  </conditionalFormatting>
  <conditionalFormatting sqref="D24 B24 D35:D37">
    <cfRule type="expression" dxfId="555" priority="118">
      <formula>$F24="Fail"</formula>
    </cfRule>
  </conditionalFormatting>
  <conditionalFormatting sqref="B38">
    <cfRule type="expression" dxfId="554" priority="117">
      <formula>$F38="Fail"</formula>
    </cfRule>
  </conditionalFormatting>
  <conditionalFormatting sqref="C38">
    <cfRule type="expression" dxfId="553" priority="116">
      <formula>$F38="Fail"</formula>
    </cfRule>
  </conditionalFormatting>
  <conditionalFormatting sqref="C24">
    <cfRule type="expression" dxfId="552" priority="108">
      <formula>$F24="Fail"</formula>
    </cfRule>
  </conditionalFormatting>
  <conditionalFormatting sqref="B104:C104">
    <cfRule type="expression" dxfId="551" priority="115">
      <formula>$F104="Fail"</formula>
    </cfRule>
  </conditionalFormatting>
  <conditionalFormatting sqref="B104:C104">
    <cfRule type="expression" dxfId="550" priority="114">
      <formula>$F104="Fail"</formula>
    </cfRule>
  </conditionalFormatting>
  <conditionalFormatting sqref="C71:C72">
    <cfRule type="expression" dxfId="549" priority="113">
      <formula>$F71="Fail"</formula>
    </cfRule>
  </conditionalFormatting>
  <conditionalFormatting sqref="B44">
    <cfRule type="expression" dxfId="548" priority="112">
      <formula>$F44="Fail"</formula>
    </cfRule>
  </conditionalFormatting>
  <conditionalFormatting sqref="C44">
    <cfRule type="expression" dxfId="547" priority="111">
      <formula>$F44="Fail"</formula>
    </cfRule>
  </conditionalFormatting>
  <conditionalFormatting sqref="C162">
    <cfRule type="expression" dxfId="546" priority="110">
      <formula>$F162="Fail"</formula>
    </cfRule>
  </conditionalFormatting>
  <conditionalFormatting sqref="D18:D23">
    <cfRule type="expression" dxfId="545" priority="102">
      <formula>$F18="Fail"</formula>
    </cfRule>
  </conditionalFormatting>
  <conditionalFormatting sqref="D17">
    <cfRule type="expression" dxfId="544" priority="101">
      <formula>$F17="Fail"</formula>
    </cfRule>
  </conditionalFormatting>
  <conditionalFormatting sqref="C24">
    <cfRule type="expression" dxfId="543" priority="109">
      <formula>$F24="Fail"</formula>
    </cfRule>
  </conditionalFormatting>
  <conditionalFormatting sqref="B160:D160 B161:C161">
    <cfRule type="expression" dxfId="542" priority="107">
      <formula>$F160="Fail"</formula>
    </cfRule>
  </conditionalFormatting>
  <conditionalFormatting sqref="D161">
    <cfRule type="expression" dxfId="541" priority="106">
      <formula>$F161="Fail"</formula>
    </cfRule>
  </conditionalFormatting>
  <conditionalFormatting sqref="B8:C8 C9">
    <cfRule type="expression" dxfId="540" priority="105">
      <formula>$F8="Fail"</formula>
    </cfRule>
  </conditionalFormatting>
  <conditionalFormatting sqref="C4 B5:C6 B7">
    <cfRule type="expression" dxfId="539" priority="104">
      <formula>$F4="Fail"</formula>
    </cfRule>
  </conditionalFormatting>
  <conditionalFormatting sqref="B22:C22">
    <cfRule type="expression" dxfId="538" priority="95">
      <formula>$F22="Fail"</formula>
    </cfRule>
  </conditionalFormatting>
  <conditionalFormatting sqref="D11">
    <cfRule type="expression" dxfId="537" priority="100">
      <formula>$F11="Fail"</formula>
    </cfRule>
  </conditionalFormatting>
  <conditionalFormatting sqref="B10:C10 B20">
    <cfRule type="expression" dxfId="536" priority="99">
      <formula>$F10="Fail"</formula>
    </cfRule>
  </conditionalFormatting>
  <conditionalFormatting sqref="C20">
    <cfRule type="expression" dxfId="535" priority="96">
      <formula>$F20="Fail"</formula>
    </cfRule>
  </conditionalFormatting>
  <conditionalFormatting sqref="C21">
    <cfRule type="expression" dxfId="534" priority="92">
      <formula>$F21="Fail"</formula>
    </cfRule>
  </conditionalFormatting>
  <conditionalFormatting sqref="B11">
    <cfRule type="expression" dxfId="533" priority="98">
      <formula>$F11="Fail"</formula>
    </cfRule>
  </conditionalFormatting>
  <conditionalFormatting sqref="C11">
    <cfRule type="expression" dxfId="532" priority="97">
      <formula>$F11="Fail"</formula>
    </cfRule>
  </conditionalFormatting>
  <conditionalFormatting sqref="D10">
    <cfRule type="expression" dxfId="531" priority="94">
      <formula>$F10="Fail"</formula>
    </cfRule>
  </conditionalFormatting>
  <conditionalFormatting sqref="B21">
    <cfRule type="expression" dxfId="530" priority="93">
      <formula>$F21="Fail"</formula>
    </cfRule>
  </conditionalFormatting>
  <conditionalFormatting sqref="B22">
    <cfRule type="expression" dxfId="529" priority="91">
      <formula>$F22="Fail"</formula>
    </cfRule>
  </conditionalFormatting>
  <conditionalFormatting sqref="C22">
    <cfRule type="expression" dxfId="528" priority="90">
      <formula>$F22="Fail"</formula>
    </cfRule>
  </conditionalFormatting>
  <conditionalFormatting sqref="B33:C33">
    <cfRule type="expression" dxfId="527" priority="81">
      <formula>$F33="Fail"</formula>
    </cfRule>
  </conditionalFormatting>
  <conditionalFormatting sqref="D26:D32">
    <cfRule type="expression" dxfId="526" priority="89">
      <formula>$F26="Fail"</formula>
    </cfRule>
  </conditionalFormatting>
  <conditionalFormatting sqref="D33:D34">
    <cfRule type="expression" dxfId="525" priority="88">
      <formula>$F33="Fail"</formula>
    </cfRule>
  </conditionalFormatting>
  <conditionalFormatting sqref="C25">
    <cfRule type="expression" dxfId="524" priority="87">
      <formula>$F25="Fail"</formula>
    </cfRule>
  </conditionalFormatting>
  <conditionalFormatting sqref="B25">
    <cfRule type="expression" dxfId="523" priority="86">
      <formula>$F25="Fail"</formula>
    </cfRule>
  </conditionalFormatting>
  <conditionalFormatting sqref="B27:C27 B30:C32 B34:C36 B37">
    <cfRule type="expression" dxfId="522" priority="84">
      <formula>$F27="Fail"</formula>
    </cfRule>
  </conditionalFormatting>
  <conditionalFormatting sqref="B26:C26">
    <cfRule type="expression" dxfId="521" priority="83">
      <formula>$F26="Fail"</formula>
    </cfRule>
  </conditionalFormatting>
  <conditionalFormatting sqref="D25">
    <cfRule type="expression" dxfId="520" priority="85">
      <formula>$F25="Fail"</formula>
    </cfRule>
  </conditionalFormatting>
  <conditionalFormatting sqref="C37">
    <cfRule type="expression" dxfId="519" priority="80">
      <formula>$F37="Fail"</formula>
    </cfRule>
  </conditionalFormatting>
  <conditionalFormatting sqref="B28:C29">
    <cfRule type="expression" dxfId="518" priority="82">
      <formula>$F28="Fail"</formula>
    </cfRule>
  </conditionalFormatting>
  <conditionalFormatting sqref="B87:C87 B102:C103">
    <cfRule type="expression" dxfId="517" priority="79">
      <formula>$F87="Fail"</formula>
    </cfRule>
  </conditionalFormatting>
  <conditionalFormatting sqref="B87:C87 B102:C103">
    <cfRule type="expression" dxfId="516" priority="78">
      <formula>$F87="Fail"</formula>
    </cfRule>
  </conditionalFormatting>
  <conditionalFormatting sqref="B101 D98:D100">
    <cfRule type="expression" dxfId="515" priority="77">
      <formula>$F98="Fail"</formula>
    </cfRule>
  </conditionalFormatting>
  <conditionalFormatting sqref="B101 D101">
    <cfRule type="expression" dxfId="514" priority="76">
      <formula>$F101="Fail"</formula>
    </cfRule>
  </conditionalFormatting>
  <conditionalFormatting sqref="C101">
    <cfRule type="expression" dxfId="513" priority="75">
      <formula>$F101="Fail"</formula>
    </cfRule>
  </conditionalFormatting>
  <conditionalFormatting sqref="C101">
    <cfRule type="expression" dxfId="512" priority="74">
      <formula>$F101="Fail"</formula>
    </cfRule>
  </conditionalFormatting>
  <conditionalFormatting sqref="B96:C96">
    <cfRule type="expression" dxfId="511" priority="66">
      <formula>$F96="Fail"</formula>
    </cfRule>
  </conditionalFormatting>
  <conditionalFormatting sqref="D89:D95">
    <cfRule type="expression" dxfId="510" priority="73">
      <formula>$F89="Fail"</formula>
    </cfRule>
  </conditionalFormatting>
  <conditionalFormatting sqref="D96:D97">
    <cfRule type="expression" dxfId="509" priority="72">
      <formula>$F96="Fail"</formula>
    </cfRule>
  </conditionalFormatting>
  <conditionalFormatting sqref="C88">
    <cfRule type="expression" dxfId="508" priority="71">
      <formula>$F88="Fail"</formula>
    </cfRule>
  </conditionalFormatting>
  <conditionalFormatting sqref="D88">
    <cfRule type="expression" dxfId="507" priority="70">
      <formula>$F88="Fail"</formula>
    </cfRule>
  </conditionalFormatting>
  <conditionalFormatting sqref="B90:C90 B93:C95 B97:C99 B100">
    <cfRule type="expression" dxfId="506" priority="69">
      <formula>$F90="Fail"</formula>
    </cfRule>
  </conditionalFormatting>
  <conditionalFormatting sqref="B89:C89">
    <cfRule type="expression" dxfId="505" priority="68">
      <formula>$F89="Fail"</formula>
    </cfRule>
  </conditionalFormatting>
  <conditionalFormatting sqref="D106">
    <cfRule type="expression" dxfId="504" priority="54">
      <formula>$F106="Fail"</formula>
    </cfRule>
  </conditionalFormatting>
  <conditionalFormatting sqref="C100">
    <cfRule type="expression" dxfId="503" priority="65">
      <formula>$F100="Fail"</formula>
    </cfRule>
  </conditionalFormatting>
  <conditionalFormatting sqref="B91:C92">
    <cfRule type="expression" dxfId="502" priority="67">
      <formula>$F91="Fail"</formula>
    </cfRule>
  </conditionalFormatting>
  <conditionalFormatting sqref="B88">
    <cfRule type="expression" dxfId="501" priority="64">
      <formula>$F88="Fail"</formula>
    </cfRule>
  </conditionalFormatting>
  <conditionalFormatting sqref="C105 B120:C122 B147:C147 B158">
    <cfRule type="expression" dxfId="500" priority="63">
      <formula>$F105="Fail"</formula>
    </cfRule>
  </conditionalFormatting>
  <conditionalFormatting sqref="C105 B120:C122 B147:C147 B158">
    <cfRule type="expression" dxfId="499" priority="62">
      <formula>$F105="Fail"</formula>
    </cfRule>
  </conditionalFormatting>
  <conditionalFormatting sqref="B119 D116:D118">
    <cfRule type="expression" dxfId="498" priority="61">
      <formula>$F116="Fail"</formula>
    </cfRule>
  </conditionalFormatting>
  <conditionalFormatting sqref="B119 D119">
    <cfRule type="expression" dxfId="497" priority="60">
      <formula>$F119="Fail"</formula>
    </cfRule>
  </conditionalFormatting>
  <conditionalFormatting sqref="C119">
    <cfRule type="expression" dxfId="496" priority="59">
      <formula>$F119="Fail"</formula>
    </cfRule>
  </conditionalFormatting>
  <conditionalFormatting sqref="C119">
    <cfRule type="expression" dxfId="495" priority="58">
      <formula>$F119="Fail"</formula>
    </cfRule>
  </conditionalFormatting>
  <conditionalFormatting sqref="B114:C114">
    <cfRule type="expression" dxfId="494" priority="50">
      <formula>$F114="Fail"</formula>
    </cfRule>
  </conditionalFormatting>
  <conditionalFormatting sqref="D107:D113">
    <cfRule type="expression" dxfId="493" priority="57">
      <formula>$F107="Fail"</formula>
    </cfRule>
  </conditionalFormatting>
  <conditionalFormatting sqref="D114:D115">
    <cfRule type="expression" dxfId="492" priority="56">
      <formula>$F114="Fail"</formula>
    </cfRule>
  </conditionalFormatting>
  <conditionalFormatting sqref="C106">
    <cfRule type="expression" dxfId="491" priority="55">
      <formula>$F106="Fail"</formula>
    </cfRule>
  </conditionalFormatting>
  <conditionalFormatting sqref="B108:C108 B111:C113 B115:C117 B118">
    <cfRule type="expression" dxfId="490" priority="53">
      <formula>$F108="Fail"</formula>
    </cfRule>
  </conditionalFormatting>
  <conditionalFormatting sqref="B107:C107">
    <cfRule type="expression" dxfId="489" priority="52">
      <formula>$F107="Fail"</formula>
    </cfRule>
  </conditionalFormatting>
  <conditionalFormatting sqref="C118">
    <cfRule type="expression" dxfId="488" priority="49">
      <formula>$F118="Fail"</formula>
    </cfRule>
  </conditionalFormatting>
  <conditionalFormatting sqref="B109:C110">
    <cfRule type="expression" dxfId="487" priority="51">
      <formula>$F109="Fail"</formula>
    </cfRule>
  </conditionalFormatting>
  <conditionalFormatting sqref="B106">
    <cfRule type="expression" dxfId="486" priority="48">
      <formula>$F106="Fail"</formula>
    </cfRule>
  </conditionalFormatting>
  <conditionalFormatting sqref="B105">
    <cfRule type="expression" dxfId="485" priority="46">
      <formula>$F105="Fail"</formula>
    </cfRule>
  </conditionalFormatting>
  <conditionalFormatting sqref="B105">
    <cfRule type="expression" dxfId="484" priority="45">
      <formula>$F105="Fail"</formula>
    </cfRule>
  </conditionalFormatting>
  <conditionalFormatting sqref="C60:C62">
    <cfRule type="expression" dxfId="483" priority="44">
      <formula>$F60="Fail"</formula>
    </cfRule>
  </conditionalFormatting>
  <conditionalFormatting sqref="C64:C66">
    <cfRule type="expression" dxfId="482" priority="43">
      <formula>$F64="Fail"</formula>
    </cfRule>
  </conditionalFormatting>
  <conditionalFormatting sqref="C64:C66">
    <cfRule type="expression" dxfId="481" priority="42">
      <formula>$F64="Fail"</formula>
    </cfRule>
  </conditionalFormatting>
  <conditionalFormatting sqref="C63">
    <cfRule type="expression" dxfId="480" priority="41">
      <formula>$F63="Fail"</formula>
    </cfRule>
  </conditionalFormatting>
  <conditionalFormatting sqref="C63">
    <cfRule type="expression" dxfId="479" priority="40">
      <formula>$F63="Fail"</formula>
    </cfRule>
  </conditionalFormatting>
  <conditionalFormatting sqref="C63">
    <cfRule type="expression" dxfId="478" priority="39">
      <formula>$F63="Fail"</formula>
    </cfRule>
  </conditionalFormatting>
  <conditionalFormatting sqref="B63">
    <cfRule type="expression" dxfId="477" priority="38">
      <formula>$F63="Fail"</formula>
    </cfRule>
  </conditionalFormatting>
  <conditionalFormatting sqref="C67:C68">
    <cfRule type="expression" dxfId="476" priority="37">
      <formula>$F67="Fail"</formula>
    </cfRule>
  </conditionalFormatting>
  <conditionalFormatting sqref="C67:C68">
    <cfRule type="expression" dxfId="475" priority="36">
      <formula>$F67="Fail"</formula>
    </cfRule>
  </conditionalFormatting>
  <conditionalFormatting sqref="B54:B57">
    <cfRule type="expression" dxfId="474" priority="35">
      <formula>$F54="Fail"</formula>
    </cfRule>
  </conditionalFormatting>
  <conditionalFormatting sqref="C54:C57">
    <cfRule type="expression" dxfId="473" priority="34">
      <formula>$F54="Fail"</formula>
    </cfRule>
  </conditionalFormatting>
  <conditionalFormatting sqref="C54:C57">
    <cfRule type="expression" dxfId="472" priority="33">
      <formula>$F54="Fail"</formula>
    </cfRule>
  </conditionalFormatting>
  <conditionalFormatting sqref="C53">
    <cfRule type="expression" dxfId="471" priority="32">
      <formula>$F53="Fail"</formula>
    </cfRule>
  </conditionalFormatting>
  <conditionalFormatting sqref="C53">
    <cfRule type="expression" dxfId="470" priority="31">
      <formula>$F53="Fail"</formula>
    </cfRule>
  </conditionalFormatting>
  <conditionalFormatting sqref="C53">
    <cfRule type="expression" dxfId="469" priority="30">
      <formula>$F53="Fail"</formula>
    </cfRule>
  </conditionalFormatting>
  <conditionalFormatting sqref="B53">
    <cfRule type="expression" dxfId="468" priority="29">
      <formula>$F53="Fail"</formula>
    </cfRule>
  </conditionalFormatting>
  <conditionalFormatting sqref="C137 B138:C141 B146:C146 B142:B144">
    <cfRule type="expression" dxfId="467" priority="28">
      <formula>$F137="Fail"</formula>
    </cfRule>
  </conditionalFormatting>
  <conditionalFormatting sqref="C137 B138:C141 B146:C146 B142:B144">
    <cfRule type="expression" dxfId="466" priority="27">
      <formula>$F137="Fail"</formula>
    </cfRule>
  </conditionalFormatting>
  <conditionalFormatting sqref="B123">
    <cfRule type="expression" dxfId="465" priority="26">
      <formula>$F123="Fail"</formula>
    </cfRule>
  </conditionalFormatting>
  <conditionalFormatting sqref="B137">
    <cfRule type="expression" dxfId="464" priority="25">
      <formula>$F137="Fail"</formula>
    </cfRule>
  </conditionalFormatting>
  <conditionalFormatting sqref="B137">
    <cfRule type="expression" dxfId="463" priority="24">
      <formula>$F137="Fail"</formula>
    </cfRule>
  </conditionalFormatting>
  <conditionalFormatting sqref="C143:C144">
    <cfRule type="expression" dxfId="462" priority="23">
      <formula>$F143="Fail"</formula>
    </cfRule>
  </conditionalFormatting>
  <conditionalFormatting sqref="C143:C144">
    <cfRule type="expression" dxfId="461" priority="22">
      <formula>$F143="Fail"</formula>
    </cfRule>
  </conditionalFormatting>
  <conditionalFormatting sqref="C142">
    <cfRule type="expression" dxfId="460" priority="21">
      <formula>$F142="Fail"</formula>
    </cfRule>
  </conditionalFormatting>
  <conditionalFormatting sqref="C142">
    <cfRule type="expression" dxfId="459" priority="20">
      <formula>$F142="Fail"</formula>
    </cfRule>
  </conditionalFormatting>
  <conditionalFormatting sqref="C123">
    <cfRule type="expression" dxfId="458" priority="19">
      <formula>$F123="Fail"</formula>
    </cfRule>
  </conditionalFormatting>
  <conditionalFormatting sqref="B145">
    <cfRule type="expression" dxfId="457" priority="18">
      <formula>$F145="Fail"</formula>
    </cfRule>
  </conditionalFormatting>
  <conditionalFormatting sqref="B145">
    <cfRule type="expression" dxfId="456" priority="17">
      <formula>$F145="Fail"</formula>
    </cfRule>
  </conditionalFormatting>
  <conditionalFormatting sqref="C145">
    <cfRule type="expression" dxfId="455" priority="16">
      <formula>$F145="Fail"</formula>
    </cfRule>
  </conditionalFormatting>
  <conditionalFormatting sqref="C145">
    <cfRule type="expression" dxfId="454" priority="15">
      <formula>$F145="Fail"</formula>
    </cfRule>
  </conditionalFormatting>
  <conditionalFormatting sqref="D123">
    <cfRule type="expression" dxfId="453" priority="14">
      <formula>$F123="Fail"</formula>
    </cfRule>
  </conditionalFormatting>
  <conditionalFormatting sqref="B148:C151 B152:B157">
    <cfRule type="expression" dxfId="452" priority="13">
      <formula>$F148="Fail"</formula>
    </cfRule>
  </conditionalFormatting>
  <conditionalFormatting sqref="C152:C158">
    <cfRule type="expression" dxfId="451" priority="11">
      <formula>$F152="Fail"</formula>
    </cfRule>
  </conditionalFormatting>
  <conditionalFormatting sqref="C152:C158">
    <cfRule type="expression" dxfId="450" priority="12">
      <formula>$F152="Fail"</formula>
    </cfRule>
  </conditionalFormatting>
  <conditionalFormatting sqref="B4">
    <cfRule type="expression" dxfId="449" priority="10">
      <formula>$F4="Fail"</formula>
    </cfRule>
  </conditionalFormatting>
  <conditionalFormatting sqref="C7">
    <cfRule type="expression" dxfId="448" priority="9">
      <formula>$F7="Fail"</formula>
    </cfRule>
  </conditionalFormatting>
  <conditionalFormatting sqref="B23:C23">
    <cfRule type="expression" dxfId="447" priority="8">
      <formula>$F23="Fail"</formula>
    </cfRule>
  </conditionalFormatting>
  <conditionalFormatting sqref="B9">
    <cfRule type="expression" dxfId="446" priority="7">
      <formula>$F9="Fail"</formula>
    </cfRule>
  </conditionalFormatting>
  <conditionalFormatting sqref="F18:F23 F16">
    <cfRule type="expression" dxfId="445" priority="1">
      <formula>$F16="Fail"</formula>
    </cfRule>
  </conditionalFormatting>
  <conditionalFormatting sqref="F6:F9">
    <cfRule type="expression" dxfId="444" priority="5">
      <formula>$F6="Fail"</formula>
    </cfRule>
  </conditionalFormatting>
  <conditionalFormatting sqref="F11:F12">
    <cfRule type="expression" dxfId="443" priority="4">
      <formula>$F11="Fail"</formula>
    </cfRule>
  </conditionalFormatting>
  <conditionalFormatting sqref="F14">
    <cfRule type="expression" dxfId="442" priority="3">
      <formula>$F14="Fail"</formula>
    </cfRule>
  </conditionalFormatting>
  <dataValidations count="1">
    <dataValidation type="list" allowBlank="1" showInputMessage="1" showErrorMessage="1" sqref="F3:F162">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 id="{25636E9A-E9F6-4151-9ACE-5D85A76607BD}">
            <xm:f>'C:\Users\E939818\Documents\_Project Documents\SVN TEST  team\_Sutuwa\Testing\Release 1\Stats\[SEB_InvestAdmin_Investment.xlsm]External'!#REF!="Fail"</xm:f>
            <x14:dxf>
              <font>
                <color rgb="FFFF0000"/>
              </font>
              <fill>
                <patternFill>
                  <bgColor theme="9" tint="0.59996337778862885"/>
                </patternFill>
              </fill>
            </x14:dxf>
          </x14:cfRule>
          <xm:sqref>B80:D86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L67"/>
  <sheetViews>
    <sheetView topLeftCell="C1" zoomScaleNormal="100" workbookViewId="0">
      <pane ySplit="1" topLeftCell="A59" activePane="bottomLeft" state="frozen"/>
      <selection pane="bottomLeft" activeCell="D56" sqref="D56"/>
    </sheetView>
  </sheetViews>
  <sheetFormatPr defaultRowHeight="15" x14ac:dyDescent="0.25"/>
  <cols>
    <col min="1" max="1" width="13.7109375" style="4" bestFit="1" customWidth="1"/>
    <col min="2" max="2" width="56.7109375" style="1" customWidth="1"/>
    <col min="3" max="3" width="50.7109375" style="1" customWidth="1"/>
    <col min="4" max="4" width="48.140625" style="57"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52" t="s">
        <v>4</v>
      </c>
      <c r="E1" s="12" t="s">
        <v>3</v>
      </c>
      <c r="F1" s="11" t="s">
        <v>0</v>
      </c>
      <c r="G1" s="12" t="s">
        <v>5</v>
      </c>
      <c r="H1" s="12" t="s">
        <v>6</v>
      </c>
      <c r="I1" s="12"/>
      <c r="J1" s="12" t="s">
        <v>7</v>
      </c>
      <c r="K1" s="12" t="s">
        <v>8</v>
      </c>
      <c r="L1" s="12" t="s">
        <v>12</v>
      </c>
    </row>
    <row r="2" spans="1:12" s="39" customFormat="1" ht="30" customHeight="1" x14ac:dyDescent="0.25">
      <c r="A2" s="40"/>
      <c r="B2" s="103" t="s">
        <v>190</v>
      </c>
      <c r="C2" s="105"/>
      <c r="D2" s="53" t="s">
        <v>189</v>
      </c>
      <c r="E2" s="38"/>
      <c r="F2" s="37"/>
      <c r="G2" s="38"/>
      <c r="H2" s="38"/>
      <c r="I2" s="38"/>
      <c r="J2" s="38"/>
      <c r="K2" s="38"/>
      <c r="L2" s="38"/>
    </row>
    <row r="3" spans="1:12" s="20" customFormat="1" x14ac:dyDescent="0.25">
      <c r="A3" s="16">
        <v>2</v>
      </c>
      <c r="B3" s="17" t="s">
        <v>169</v>
      </c>
      <c r="C3" s="18"/>
      <c r="D3" s="18"/>
      <c r="E3" s="17"/>
      <c r="F3" s="19"/>
      <c r="G3" s="19"/>
      <c r="H3" s="19"/>
      <c r="I3" s="19"/>
      <c r="J3" s="19"/>
      <c r="K3" s="19"/>
      <c r="L3" s="17"/>
    </row>
    <row r="4" spans="1:12" x14ac:dyDescent="0.25">
      <c r="A4" s="5">
        <f t="shared" ref="A4:A54" si="0">A3+0.0001</f>
        <v>2.0001000000000002</v>
      </c>
      <c r="B4" s="27" t="s">
        <v>170</v>
      </c>
      <c r="C4" s="22" t="s">
        <v>171</v>
      </c>
      <c r="D4" s="54"/>
      <c r="E4" s="6"/>
      <c r="F4" s="8" t="s">
        <v>5</v>
      </c>
      <c r="G4" s="8">
        <f t="shared" ref="G4:K30" si="1">IF($F4=G$1,1,0)</f>
        <v>1</v>
      </c>
      <c r="H4" s="8">
        <f t="shared" si="1"/>
        <v>0</v>
      </c>
      <c r="I4" s="8">
        <f t="shared" si="1"/>
        <v>0</v>
      </c>
      <c r="J4" s="8">
        <f t="shared" si="1"/>
        <v>0</v>
      </c>
      <c r="K4" s="8">
        <f t="shared" si="1"/>
        <v>0</v>
      </c>
      <c r="L4" s="7"/>
    </row>
    <row r="5" spans="1:12" x14ac:dyDescent="0.25">
      <c r="A5" s="5">
        <f t="shared" si="0"/>
        <v>2.0002000000000004</v>
      </c>
      <c r="B5" s="44" t="s">
        <v>22</v>
      </c>
      <c r="C5" s="18"/>
      <c r="D5" s="18"/>
      <c r="E5" s="7"/>
      <c r="F5" s="8"/>
      <c r="G5" s="8"/>
      <c r="H5" s="8"/>
      <c r="I5" s="8"/>
      <c r="J5" s="8"/>
      <c r="K5" s="8"/>
      <c r="L5" s="7"/>
    </row>
    <row r="6" spans="1:12" ht="25.5" x14ac:dyDescent="0.25">
      <c r="A6" s="5">
        <f t="shared" si="0"/>
        <v>2.0003000000000006</v>
      </c>
      <c r="B6" s="27" t="s">
        <v>146</v>
      </c>
      <c r="C6" s="45" t="s">
        <v>147</v>
      </c>
      <c r="D6" s="54"/>
      <c r="E6" s="7"/>
      <c r="F6" s="8" t="s">
        <v>5</v>
      </c>
      <c r="G6" s="8">
        <f t="shared" si="1"/>
        <v>1</v>
      </c>
      <c r="H6" s="8">
        <f t="shared" si="1"/>
        <v>0</v>
      </c>
      <c r="I6" s="8">
        <f t="shared" si="1"/>
        <v>0</v>
      </c>
      <c r="J6" s="8">
        <f t="shared" si="1"/>
        <v>0</v>
      </c>
      <c r="K6" s="8">
        <f t="shared" si="1"/>
        <v>0</v>
      </c>
      <c r="L6" s="7"/>
    </row>
    <row r="7" spans="1:12" x14ac:dyDescent="0.25">
      <c r="A7" s="5">
        <f t="shared" si="0"/>
        <v>2.0004000000000008</v>
      </c>
      <c r="B7" s="6"/>
      <c r="C7" s="22"/>
      <c r="D7" s="54"/>
      <c r="E7" s="7"/>
      <c r="F7" s="8"/>
      <c r="G7" s="8"/>
      <c r="H7" s="8"/>
      <c r="I7" s="8"/>
      <c r="J7" s="8"/>
      <c r="K7" s="8"/>
      <c r="L7" s="7"/>
    </row>
    <row r="8" spans="1:12" x14ac:dyDescent="0.25">
      <c r="A8" s="5">
        <f t="shared" si="0"/>
        <v>2.0005000000000011</v>
      </c>
      <c r="B8" s="6" t="s">
        <v>148</v>
      </c>
      <c r="C8" s="22" t="s">
        <v>149</v>
      </c>
      <c r="D8" s="54"/>
      <c r="E8" s="7"/>
      <c r="F8" s="8" t="s">
        <v>5</v>
      </c>
      <c r="G8" s="8">
        <f t="shared" si="1"/>
        <v>1</v>
      </c>
      <c r="H8" s="8">
        <f t="shared" si="1"/>
        <v>0</v>
      </c>
      <c r="I8" s="8">
        <f t="shared" si="1"/>
        <v>0</v>
      </c>
      <c r="J8" s="8">
        <f t="shared" si="1"/>
        <v>0</v>
      </c>
      <c r="K8" s="8">
        <f t="shared" si="1"/>
        <v>0</v>
      </c>
      <c r="L8" s="7"/>
    </row>
    <row r="9" spans="1:12" x14ac:dyDescent="0.25">
      <c r="A9" s="5">
        <f t="shared" si="0"/>
        <v>2.0006000000000013</v>
      </c>
      <c r="B9" s="6"/>
      <c r="C9" s="23"/>
      <c r="D9" s="54"/>
      <c r="E9" s="7"/>
      <c r="F9" s="8"/>
      <c r="G9" s="8"/>
      <c r="H9" s="8"/>
      <c r="I9" s="8"/>
      <c r="J9" s="8"/>
      <c r="K9" s="8"/>
      <c r="L9" s="7"/>
    </row>
    <row r="10" spans="1:12" x14ac:dyDescent="0.25">
      <c r="A10" s="5">
        <f t="shared" si="0"/>
        <v>2.0007000000000015</v>
      </c>
      <c r="B10" s="24" t="s">
        <v>150</v>
      </c>
      <c r="C10" s="23" t="s">
        <v>151</v>
      </c>
      <c r="D10" s="54"/>
      <c r="E10" s="7"/>
      <c r="F10" s="8" t="s">
        <v>5</v>
      </c>
      <c r="G10" s="8">
        <f t="shared" si="1"/>
        <v>1</v>
      </c>
      <c r="H10" s="8">
        <f t="shared" si="1"/>
        <v>0</v>
      </c>
      <c r="I10" s="8">
        <f t="shared" si="1"/>
        <v>0</v>
      </c>
      <c r="J10" s="8">
        <f t="shared" si="1"/>
        <v>0</v>
      </c>
      <c r="K10" s="8">
        <f t="shared" si="1"/>
        <v>0</v>
      </c>
      <c r="L10" s="7"/>
    </row>
    <row r="11" spans="1:12" x14ac:dyDescent="0.25">
      <c r="A11" s="5">
        <f t="shared" si="0"/>
        <v>2.0008000000000017</v>
      </c>
      <c r="B11" s="6"/>
      <c r="C11" s="23"/>
      <c r="D11" s="54"/>
      <c r="E11" s="7"/>
      <c r="F11" s="8"/>
      <c r="G11" s="8"/>
      <c r="H11" s="8"/>
      <c r="I11" s="8"/>
      <c r="J11" s="8"/>
      <c r="K11" s="8"/>
      <c r="L11" s="7"/>
    </row>
    <row r="12" spans="1:12" ht="25.5" x14ac:dyDescent="0.25">
      <c r="A12" s="5">
        <f t="shared" si="0"/>
        <v>2.0009000000000019</v>
      </c>
      <c r="B12" s="9" t="s">
        <v>152</v>
      </c>
      <c r="C12" s="22" t="s">
        <v>14</v>
      </c>
      <c r="D12" s="54"/>
      <c r="E12" s="7"/>
      <c r="F12" s="8" t="s">
        <v>5</v>
      </c>
      <c r="G12" s="8">
        <f t="shared" si="1"/>
        <v>1</v>
      </c>
      <c r="H12" s="8">
        <f t="shared" si="1"/>
        <v>0</v>
      </c>
      <c r="I12" s="8">
        <f t="shared" si="1"/>
        <v>0</v>
      </c>
      <c r="J12" s="8">
        <f t="shared" si="1"/>
        <v>0</v>
      </c>
      <c r="K12" s="8">
        <f t="shared" si="1"/>
        <v>0</v>
      </c>
      <c r="L12" s="7"/>
    </row>
    <row r="13" spans="1:12" x14ac:dyDescent="0.25">
      <c r="A13" s="5">
        <f t="shared" si="0"/>
        <v>2.0010000000000021</v>
      </c>
      <c r="B13" s="46"/>
      <c r="C13" s="47"/>
      <c r="D13" s="54"/>
      <c r="E13" s="7"/>
      <c r="F13" s="8"/>
      <c r="G13" s="8"/>
      <c r="H13" s="8"/>
      <c r="I13" s="8"/>
      <c r="J13" s="8"/>
      <c r="K13" s="8"/>
      <c r="L13" s="7"/>
    </row>
    <row r="14" spans="1:12" x14ac:dyDescent="0.25">
      <c r="A14" s="5">
        <f t="shared" si="0"/>
        <v>2.0011000000000023</v>
      </c>
      <c r="B14" s="6" t="s">
        <v>153</v>
      </c>
      <c r="C14" s="23" t="s">
        <v>151</v>
      </c>
      <c r="D14" s="54"/>
      <c r="E14" s="7"/>
      <c r="F14" s="8" t="s">
        <v>5</v>
      </c>
      <c r="G14" s="8">
        <f t="shared" si="1"/>
        <v>1</v>
      </c>
      <c r="H14" s="8">
        <f t="shared" si="1"/>
        <v>0</v>
      </c>
      <c r="I14" s="8">
        <f t="shared" si="1"/>
        <v>0</v>
      </c>
      <c r="J14" s="8">
        <f t="shared" si="1"/>
        <v>0</v>
      </c>
      <c r="K14" s="8">
        <f t="shared" si="1"/>
        <v>0</v>
      </c>
      <c r="L14" s="7"/>
    </row>
    <row r="15" spans="1:12" x14ac:dyDescent="0.25">
      <c r="A15" s="5">
        <f t="shared" si="0"/>
        <v>2.0012000000000025</v>
      </c>
      <c r="B15" s="6" t="s">
        <v>157</v>
      </c>
      <c r="C15" s="23" t="s">
        <v>158</v>
      </c>
      <c r="D15" s="54"/>
      <c r="E15" s="7"/>
      <c r="F15" s="8" t="s">
        <v>5</v>
      </c>
      <c r="G15" s="8">
        <f t="shared" si="1"/>
        <v>1</v>
      </c>
      <c r="H15" s="8">
        <f t="shared" si="1"/>
        <v>0</v>
      </c>
      <c r="I15" s="8">
        <f t="shared" si="1"/>
        <v>0</v>
      </c>
      <c r="J15" s="8">
        <f t="shared" si="1"/>
        <v>0</v>
      </c>
      <c r="K15" s="8">
        <f t="shared" si="1"/>
        <v>0</v>
      </c>
      <c r="L15" s="7"/>
    </row>
    <row r="16" spans="1:12" x14ac:dyDescent="0.25">
      <c r="A16" s="5">
        <f t="shared" si="0"/>
        <v>2.0013000000000027</v>
      </c>
      <c r="B16" s="6" t="s">
        <v>159</v>
      </c>
      <c r="C16" s="22" t="s">
        <v>160</v>
      </c>
      <c r="D16" s="54" t="s">
        <v>168</v>
      </c>
      <c r="E16" s="7"/>
      <c r="F16" s="8" t="s">
        <v>5</v>
      </c>
      <c r="G16" s="8">
        <f t="shared" si="1"/>
        <v>1</v>
      </c>
      <c r="H16" s="8">
        <f t="shared" si="1"/>
        <v>0</v>
      </c>
      <c r="I16" s="8">
        <f t="shared" si="1"/>
        <v>0</v>
      </c>
      <c r="J16" s="8">
        <f t="shared" si="1"/>
        <v>0</v>
      </c>
      <c r="K16" s="8">
        <f t="shared" si="1"/>
        <v>0</v>
      </c>
      <c r="L16" s="7"/>
    </row>
    <row r="17" spans="1:12" x14ac:dyDescent="0.25">
      <c r="A17" s="5">
        <f t="shared" si="0"/>
        <v>2.001400000000003</v>
      </c>
      <c r="B17" s="6" t="s">
        <v>161</v>
      </c>
      <c r="C17" s="22" t="s">
        <v>162</v>
      </c>
      <c r="D17" s="54"/>
      <c r="E17" s="7"/>
      <c r="F17" s="8" t="s">
        <v>5</v>
      </c>
      <c r="G17" s="8">
        <f t="shared" si="1"/>
        <v>1</v>
      </c>
      <c r="H17" s="8">
        <f t="shared" si="1"/>
        <v>0</v>
      </c>
      <c r="I17" s="8">
        <f t="shared" si="1"/>
        <v>0</v>
      </c>
      <c r="J17" s="8">
        <f t="shared" si="1"/>
        <v>0</v>
      </c>
      <c r="K17" s="8">
        <f t="shared" si="1"/>
        <v>0</v>
      </c>
      <c r="L17" s="7"/>
    </row>
    <row r="18" spans="1:12" x14ac:dyDescent="0.25">
      <c r="A18" s="5">
        <f t="shared" si="0"/>
        <v>2.0015000000000032</v>
      </c>
      <c r="B18" s="6" t="s">
        <v>154</v>
      </c>
      <c r="C18" s="30" t="s">
        <v>172</v>
      </c>
      <c r="D18" s="54"/>
      <c r="E18" s="7"/>
      <c r="F18" s="8" t="s">
        <v>5</v>
      </c>
      <c r="G18" s="8">
        <f t="shared" si="1"/>
        <v>1</v>
      </c>
      <c r="H18" s="8">
        <f t="shared" si="1"/>
        <v>0</v>
      </c>
      <c r="I18" s="8">
        <f t="shared" si="1"/>
        <v>0</v>
      </c>
      <c r="J18" s="8">
        <f t="shared" si="1"/>
        <v>0</v>
      </c>
      <c r="K18" s="8">
        <f t="shared" si="1"/>
        <v>0</v>
      </c>
      <c r="L18" s="7"/>
    </row>
    <row r="19" spans="1:12" x14ac:dyDescent="0.25">
      <c r="A19" s="5"/>
      <c r="B19" s="27" t="s">
        <v>388</v>
      </c>
      <c r="C19" s="30" t="s">
        <v>389</v>
      </c>
      <c r="D19" s="54"/>
      <c r="E19" s="7"/>
      <c r="F19" s="8"/>
      <c r="G19" s="8"/>
      <c r="H19" s="8"/>
      <c r="I19" s="8"/>
      <c r="J19" s="8"/>
      <c r="K19" s="8"/>
      <c r="L19" s="7"/>
    </row>
    <row r="20" spans="1:12" x14ac:dyDescent="0.25">
      <c r="A20" s="5">
        <f t="shared" si="0"/>
        <v>1E-4</v>
      </c>
      <c r="B20" s="48" t="s">
        <v>156</v>
      </c>
      <c r="C20" s="49" t="s">
        <v>191</v>
      </c>
      <c r="D20" s="18"/>
      <c r="E20" s="7"/>
      <c r="F20" s="8"/>
      <c r="G20" s="8"/>
      <c r="H20" s="8"/>
      <c r="I20" s="8"/>
      <c r="J20" s="8"/>
      <c r="K20" s="8"/>
      <c r="L20" s="7"/>
    </row>
    <row r="21" spans="1:12" x14ac:dyDescent="0.25">
      <c r="A21" s="5">
        <f t="shared" si="0"/>
        <v>2.0000000000000001E-4</v>
      </c>
      <c r="B21" s="28" t="s">
        <v>174</v>
      </c>
      <c r="C21" s="22" t="s">
        <v>175</v>
      </c>
      <c r="D21" s="54"/>
      <c r="E21" s="7"/>
      <c r="F21" s="8" t="s">
        <v>5</v>
      </c>
      <c r="G21" s="8">
        <f t="shared" si="1"/>
        <v>1</v>
      </c>
      <c r="H21" s="8">
        <f t="shared" si="1"/>
        <v>0</v>
      </c>
      <c r="I21" s="8">
        <f t="shared" si="1"/>
        <v>0</v>
      </c>
      <c r="J21" s="8">
        <f t="shared" si="1"/>
        <v>0</v>
      </c>
      <c r="K21" s="8">
        <f t="shared" si="1"/>
        <v>0</v>
      </c>
      <c r="L21" s="7"/>
    </row>
    <row r="22" spans="1:12" x14ac:dyDescent="0.25">
      <c r="A22" s="5">
        <f t="shared" si="0"/>
        <v>3.0000000000000003E-4</v>
      </c>
      <c r="B22" s="6"/>
      <c r="C22" s="23"/>
      <c r="D22" s="54"/>
      <c r="E22" s="7"/>
      <c r="F22" s="8"/>
      <c r="G22" s="8"/>
      <c r="H22" s="8"/>
      <c r="I22" s="8"/>
      <c r="J22" s="8"/>
      <c r="K22" s="8">
        <f t="shared" si="1"/>
        <v>0</v>
      </c>
      <c r="L22" s="7"/>
    </row>
    <row r="23" spans="1:12" ht="38.25" x14ac:dyDescent="0.25">
      <c r="A23" s="5">
        <f t="shared" si="0"/>
        <v>4.0000000000000002E-4</v>
      </c>
      <c r="B23" s="28" t="s">
        <v>173</v>
      </c>
      <c r="C23" s="22" t="s">
        <v>176</v>
      </c>
      <c r="D23" s="54"/>
      <c r="E23" s="7"/>
      <c r="F23" s="8" t="s">
        <v>5</v>
      </c>
      <c r="G23" s="8">
        <f t="shared" si="1"/>
        <v>1</v>
      </c>
      <c r="H23" s="8">
        <f t="shared" si="1"/>
        <v>0</v>
      </c>
      <c r="I23" s="8">
        <f t="shared" si="1"/>
        <v>0</v>
      </c>
      <c r="J23" s="8">
        <f t="shared" si="1"/>
        <v>0</v>
      </c>
      <c r="K23" s="8">
        <f t="shared" si="1"/>
        <v>0</v>
      </c>
      <c r="L23" s="7"/>
    </row>
    <row r="24" spans="1:12" x14ac:dyDescent="0.25">
      <c r="A24" s="5">
        <f t="shared" si="0"/>
        <v>5.0000000000000001E-4</v>
      </c>
      <c r="B24" s="6" t="s">
        <v>177</v>
      </c>
      <c r="C24" s="23" t="s">
        <v>178</v>
      </c>
      <c r="D24" s="54"/>
      <c r="E24" s="7"/>
      <c r="F24" s="8" t="s">
        <v>5</v>
      </c>
      <c r="G24" s="8">
        <f t="shared" si="1"/>
        <v>1</v>
      </c>
      <c r="H24" s="8">
        <f t="shared" si="1"/>
        <v>0</v>
      </c>
      <c r="I24" s="8">
        <f t="shared" si="1"/>
        <v>0</v>
      </c>
      <c r="J24" s="8">
        <f t="shared" si="1"/>
        <v>0</v>
      </c>
      <c r="K24" s="8">
        <f t="shared" si="1"/>
        <v>0</v>
      </c>
      <c r="L24" s="7"/>
    </row>
    <row r="25" spans="1:12" x14ac:dyDescent="0.25">
      <c r="A25" s="5"/>
      <c r="B25" s="6" t="s">
        <v>179</v>
      </c>
      <c r="C25" s="23" t="s">
        <v>180</v>
      </c>
      <c r="D25" s="54"/>
      <c r="E25" s="7"/>
      <c r="F25" s="8"/>
      <c r="G25" s="8"/>
      <c r="H25" s="8"/>
      <c r="I25" s="8"/>
      <c r="J25" s="8"/>
      <c r="K25" s="8"/>
      <c r="L25" s="7"/>
    </row>
    <row r="26" spans="1:12" x14ac:dyDescent="0.25">
      <c r="A26" s="5">
        <f>A24+0.0001</f>
        <v>6.0000000000000006E-4</v>
      </c>
      <c r="B26" s="6" t="s">
        <v>17</v>
      </c>
      <c r="C26" s="22" t="s">
        <v>18</v>
      </c>
      <c r="D26" s="54"/>
      <c r="E26" s="7"/>
      <c r="F26" s="8" t="s">
        <v>5</v>
      </c>
      <c r="G26" s="8">
        <f t="shared" si="1"/>
        <v>1</v>
      </c>
      <c r="H26" s="8">
        <f t="shared" si="1"/>
        <v>0</v>
      </c>
      <c r="I26" s="8">
        <f t="shared" si="1"/>
        <v>0</v>
      </c>
      <c r="J26" s="8">
        <f t="shared" si="1"/>
        <v>0</v>
      </c>
      <c r="K26" s="8">
        <f t="shared" si="1"/>
        <v>0</v>
      </c>
      <c r="L26" s="7"/>
    </row>
    <row r="27" spans="1:12" x14ac:dyDescent="0.25">
      <c r="A27" s="5">
        <f t="shared" si="0"/>
        <v>7.000000000000001E-4</v>
      </c>
      <c r="B27" s="6" t="s">
        <v>19</v>
      </c>
      <c r="C27" s="23" t="s">
        <v>181</v>
      </c>
      <c r="D27" s="54"/>
      <c r="E27" s="7"/>
      <c r="F27" s="8" t="s">
        <v>5</v>
      </c>
      <c r="G27" s="8">
        <f t="shared" si="1"/>
        <v>1</v>
      </c>
      <c r="H27" s="8">
        <f t="shared" si="1"/>
        <v>0</v>
      </c>
      <c r="I27" s="8">
        <f t="shared" si="1"/>
        <v>0</v>
      </c>
      <c r="J27" s="8">
        <f t="shared" si="1"/>
        <v>0</v>
      </c>
      <c r="K27" s="8">
        <f t="shared" si="1"/>
        <v>0</v>
      </c>
      <c r="L27" s="7"/>
    </row>
    <row r="28" spans="1:12" x14ac:dyDescent="0.25">
      <c r="A28" s="5">
        <f t="shared" si="0"/>
        <v>8.0000000000000015E-4</v>
      </c>
      <c r="B28" s="6" t="s">
        <v>23</v>
      </c>
      <c r="C28" s="22" t="s">
        <v>20</v>
      </c>
      <c r="D28" s="54"/>
      <c r="E28" s="7"/>
      <c r="F28" s="8" t="s">
        <v>5</v>
      </c>
      <c r="G28" s="8">
        <f t="shared" si="1"/>
        <v>1</v>
      </c>
      <c r="H28" s="8">
        <f t="shared" si="1"/>
        <v>0</v>
      </c>
      <c r="I28" s="8">
        <f t="shared" si="1"/>
        <v>0</v>
      </c>
      <c r="J28" s="8">
        <f t="shared" si="1"/>
        <v>0</v>
      </c>
      <c r="K28" s="8">
        <f t="shared" si="1"/>
        <v>0</v>
      </c>
      <c r="L28" s="7"/>
    </row>
    <row r="29" spans="1:12" x14ac:dyDescent="0.25">
      <c r="A29" s="5">
        <f t="shared" si="0"/>
        <v>9.0000000000000019E-4</v>
      </c>
      <c r="B29" s="6"/>
      <c r="C29" s="22" t="s">
        <v>21</v>
      </c>
      <c r="D29" s="54"/>
      <c r="E29" s="7"/>
      <c r="F29" s="8"/>
      <c r="G29" s="8"/>
      <c r="H29" s="8"/>
      <c r="I29" s="8"/>
      <c r="J29" s="8"/>
      <c r="K29" s="8"/>
      <c r="L29" s="7"/>
    </row>
    <row r="30" spans="1:12" ht="25.5" x14ac:dyDescent="0.25">
      <c r="A30" s="5">
        <f t="shared" si="0"/>
        <v>1.0000000000000002E-3</v>
      </c>
      <c r="B30" s="6" t="s">
        <v>15</v>
      </c>
      <c r="C30" s="30" t="s">
        <v>182</v>
      </c>
      <c r="D30" s="54"/>
      <c r="E30" s="7"/>
      <c r="F30" s="8" t="s">
        <v>5</v>
      </c>
      <c r="G30" s="8">
        <f t="shared" si="1"/>
        <v>1</v>
      </c>
      <c r="H30" s="8">
        <f t="shared" si="1"/>
        <v>0</v>
      </c>
      <c r="I30" s="8">
        <f t="shared" si="1"/>
        <v>0</v>
      </c>
      <c r="J30" s="8">
        <f t="shared" si="1"/>
        <v>0</v>
      </c>
      <c r="K30" s="8">
        <f t="shared" si="1"/>
        <v>0</v>
      </c>
      <c r="L30" s="7"/>
    </row>
    <row r="31" spans="1:12" x14ac:dyDescent="0.25">
      <c r="A31" s="5">
        <f t="shared" si="0"/>
        <v>1.1000000000000003E-3</v>
      </c>
      <c r="B31" s="17" t="s">
        <v>48</v>
      </c>
      <c r="C31" s="17"/>
      <c r="D31" s="18"/>
      <c r="E31" s="8"/>
      <c r="F31" s="8"/>
      <c r="G31" s="8"/>
      <c r="H31" s="8"/>
      <c r="I31" s="8"/>
      <c r="J31" s="8"/>
      <c r="K31" s="8"/>
    </row>
    <row r="32" spans="1:12" x14ac:dyDescent="0.25">
      <c r="A32" s="5">
        <f t="shared" si="0"/>
        <v>1.2000000000000003E-3</v>
      </c>
      <c r="B32" s="32" t="s">
        <v>24</v>
      </c>
      <c r="C32" s="6" t="s">
        <v>25</v>
      </c>
      <c r="D32" s="54"/>
      <c r="E32" s="8"/>
      <c r="F32" s="8" t="s">
        <v>5</v>
      </c>
      <c r="G32" s="8">
        <f t="shared" ref="G32:K53" si="2">IF($F32=G$1,1,0)</f>
        <v>1</v>
      </c>
      <c r="H32" s="8">
        <f t="shared" si="2"/>
        <v>0</v>
      </c>
      <c r="I32" s="8">
        <f t="shared" si="2"/>
        <v>0</v>
      </c>
      <c r="J32" s="8">
        <f t="shared" si="2"/>
        <v>0</v>
      </c>
      <c r="K32" s="8">
        <f t="shared" si="2"/>
        <v>0</v>
      </c>
    </row>
    <row r="33" spans="1:11" x14ac:dyDescent="0.25">
      <c r="A33" s="5">
        <f t="shared" si="0"/>
        <v>1.3000000000000004E-3</v>
      </c>
      <c r="B33" s="7"/>
      <c r="C33" s="6" t="s">
        <v>26</v>
      </c>
      <c r="D33" s="54"/>
      <c r="E33" s="8"/>
      <c r="F33" s="8" t="s">
        <v>5</v>
      </c>
      <c r="G33" s="8">
        <f t="shared" si="2"/>
        <v>1</v>
      </c>
      <c r="H33" s="8">
        <f t="shared" si="2"/>
        <v>0</v>
      </c>
      <c r="I33" s="8">
        <f t="shared" si="2"/>
        <v>0</v>
      </c>
      <c r="J33" s="8">
        <f t="shared" si="2"/>
        <v>0</v>
      </c>
      <c r="K33" s="8">
        <f t="shared" si="2"/>
        <v>0</v>
      </c>
    </row>
    <row r="34" spans="1:11" x14ac:dyDescent="0.25">
      <c r="A34" s="5">
        <f t="shared" si="0"/>
        <v>1.4000000000000004E-3</v>
      </c>
      <c r="B34" s="7"/>
      <c r="C34" s="6" t="s">
        <v>27</v>
      </c>
      <c r="D34" s="54"/>
      <c r="E34" s="8"/>
      <c r="F34" s="8" t="s">
        <v>5</v>
      </c>
      <c r="G34" s="8">
        <f t="shared" si="2"/>
        <v>1</v>
      </c>
      <c r="H34" s="8">
        <f t="shared" si="2"/>
        <v>0</v>
      </c>
      <c r="I34" s="8">
        <f t="shared" si="2"/>
        <v>0</v>
      </c>
      <c r="J34" s="8">
        <f t="shared" si="2"/>
        <v>0</v>
      </c>
      <c r="K34" s="8">
        <f t="shared" si="2"/>
        <v>0</v>
      </c>
    </row>
    <row r="35" spans="1:11" x14ac:dyDescent="0.25">
      <c r="A35" s="5">
        <f t="shared" si="0"/>
        <v>1.5000000000000005E-3</v>
      </c>
      <c r="B35" s="7"/>
      <c r="C35" s="6" t="s">
        <v>28</v>
      </c>
      <c r="D35" s="54"/>
      <c r="E35" s="8"/>
      <c r="F35" s="8" t="s">
        <v>5</v>
      </c>
      <c r="G35" s="8">
        <f t="shared" si="2"/>
        <v>1</v>
      </c>
      <c r="H35" s="8">
        <f t="shared" si="2"/>
        <v>0</v>
      </c>
      <c r="I35" s="8">
        <f t="shared" si="2"/>
        <v>0</v>
      </c>
      <c r="J35" s="8">
        <f t="shared" si="2"/>
        <v>0</v>
      </c>
      <c r="K35" s="8">
        <f t="shared" si="2"/>
        <v>0</v>
      </c>
    </row>
    <row r="36" spans="1:11" x14ac:dyDescent="0.25">
      <c r="A36" s="5">
        <f t="shared" si="0"/>
        <v>1.6000000000000005E-3</v>
      </c>
      <c r="B36" s="7"/>
      <c r="C36" s="60" t="s">
        <v>183</v>
      </c>
      <c r="D36" s="54"/>
      <c r="E36" s="8"/>
      <c r="F36" s="8" t="s">
        <v>5</v>
      </c>
      <c r="G36" s="8">
        <f t="shared" si="2"/>
        <v>1</v>
      </c>
      <c r="H36" s="8">
        <f t="shared" si="2"/>
        <v>0</v>
      </c>
      <c r="I36" s="8">
        <f t="shared" si="2"/>
        <v>0</v>
      </c>
      <c r="J36" s="8">
        <f t="shared" si="2"/>
        <v>0</v>
      </c>
      <c r="K36" s="8">
        <f t="shared" si="2"/>
        <v>0</v>
      </c>
    </row>
    <row r="37" spans="1:11" ht="18.75" customHeight="1" x14ac:dyDescent="0.25">
      <c r="A37" s="5">
        <f t="shared" si="0"/>
        <v>1.7000000000000006E-3</v>
      </c>
      <c r="B37" s="7"/>
      <c r="C37" s="6" t="s">
        <v>184</v>
      </c>
      <c r="D37" s="54" t="s">
        <v>33</v>
      </c>
      <c r="E37" s="8"/>
      <c r="F37" s="8" t="s">
        <v>5</v>
      </c>
      <c r="G37" s="8">
        <f t="shared" si="2"/>
        <v>1</v>
      </c>
      <c r="H37" s="8">
        <f t="shared" si="2"/>
        <v>0</v>
      </c>
      <c r="I37" s="8">
        <f t="shared" si="2"/>
        <v>0</v>
      </c>
      <c r="J37" s="8">
        <f t="shared" si="2"/>
        <v>0</v>
      </c>
      <c r="K37" s="8">
        <f t="shared" si="2"/>
        <v>0</v>
      </c>
    </row>
    <row r="38" spans="1:11" x14ac:dyDescent="0.25">
      <c r="A38" s="5">
        <f t="shared" si="0"/>
        <v>1.8000000000000006E-3</v>
      </c>
      <c r="B38" s="7"/>
      <c r="C38" s="6" t="s">
        <v>34</v>
      </c>
      <c r="D38" s="54"/>
      <c r="E38" s="8"/>
      <c r="F38" s="8" t="s">
        <v>5</v>
      </c>
      <c r="G38" s="8">
        <f t="shared" si="2"/>
        <v>1</v>
      </c>
      <c r="H38" s="8">
        <f t="shared" si="2"/>
        <v>0</v>
      </c>
      <c r="I38" s="8">
        <f t="shared" si="2"/>
        <v>0</v>
      </c>
      <c r="J38" s="8">
        <f t="shared" si="2"/>
        <v>0</v>
      </c>
      <c r="K38" s="8">
        <f t="shared" si="2"/>
        <v>0</v>
      </c>
    </row>
    <row r="39" spans="1:11" x14ac:dyDescent="0.25">
      <c r="A39" s="5">
        <f t="shared" si="0"/>
        <v>1.9000000000000006E-3</v>
      </c>
      <c r="B39" s="7"/>
      <c r="C39" s="6" t="s">
        <v>35</v>
      </c>
      <c r="D39" s="54"/>
      <c r="E39" s="8"/>
      <c r="F39" s="8" t="s">
        <v>5</v>
      </c>
      <c r="G39" s="8">
        <f t="shared" si="2"/>
        <v>1</v>
      </c>
      <c r="H39" s="8">
        <f t="shared" si="2"/>
        <v>0</v>
      </c>
      <c r="I39" s="8">
        <f t="shared" si="2"/>
        <v>0</v>
      </c>
      <c r="J39" s="8">
        <f t="shared" si="2"/>
        <v>0</v>
      </c>
      <c r="K39" s="8">
        <f t="shared" si="2"/>
        <v>0</v>
      </c>
    </row>
    <row r="40" spans="1:11" x14ac:dyDescent="0.25">
      <c r="A40" s="5">
        <f t="shared" si="0"/>
        <v>2.0000000000000005E-3</v>
      </c>
      <c r="B40" s="7"/>
      <c r="C40" s="6"/>
      <c r="D40" s="54"/>
      <c r="E40" s="8"/>
      <c r="F40" s="8"/>
      <c r="G40" s="8"/>
      <c r="H40" s="8"/>
      <c r="I40" s="8"/>
      <c r="J40" s="8"/>
      <c r="K40" s="8"/>
    </row>
    <row r="41" spans="1:11" x14ac:dyDescent="0.25">
      <c r="A41" s="5"/>
      <c r="B41" s="6"/>
      <c r="C41" s="6"/>
      <c r="D41" s="54"/>
      <c r="E41" s="8"/>
      <c r="F41" s="8"/>
      <c r="G41" s="8"/>
      <c r="H41" s="8"/>
      <c r="I41" s="8"/>
      <c r="J41" s="8"/>
      <c r="K41" s="8"/>
    </row>
    <row r="42" spans="1:11" x14ac:dyDescent="0.25">
      <c r="A42" s="5">
        <f t="shared" si="0"/>
        <v>1E-4</v>
      </c>
      <c r="B42" s="6"/>
      <c r="C42" s="6"/>
      <c r="D42" s="54"/>
      <c r="E42" s="8"/>
      <c r="F42" s="8"/>
      <c r="G42" s="8"/>
      <c r="H42" s="8"/>
      <c r="I42" s="8"/>
      <c r="J42" s="8"/>
      <c r="K42" s="8"/>
    </row>
    <row r="43" spans="1:11" x14ac:dyDescent="0.25">
      <c r="A43" s="5">
        <f t="shared" si="0"/>
        <v>2.0000000000000001E-4</v>
      </c>
      <c r="B43" s="32" t="s">
        <v>29</v>
      </c>
      <c r="C43" s="27" t="s">
        <v>30</v>
      </c>
      <c r="D43" s="54"/>
      <c r="E43" s="8"/>
      <c r="F43" s="8" t="s">
        <v>5</v>
      </c>
      <c r="G43" s="8">
        <f>IF($F43=G$1,1,0)</f>
        <v>1</v>
      </c>
      <c r="H43" s="8">
        <f>IF($F43=H$1,1,0)</f>
        <v>0</v>
      </c>
      <c r="I43" s="8">
        <f>IF($F43=I$1,1,0)</f>
        <v>0</v>
      </c>
      <c r="J43" s="8">
        <f>IF($F43=J$1,1,0)</f>
        <v>0</v>
      </c>
      <c r="K43" s="8"/>
    </row>
    <row r="44" spans="1:11" x14ac:dyDescent="0.25">
      <c r="A44" s="5">
        <f t="shared" si="0"/>
        <v>3.0000000000000003E-4</v>
      </c>
      <c r="B44" s="7"/>
      <c r="C44" s="6" t="s">
        <v>198</v>
      </c>
      <c r="D44" s="54"/>
      <c r="E44" s="8"/>
      <c r="F44" s="8" t="s">
        <v>5</v>
      </c>
      <c r="G44" s="8">
        <f t="shared" si="2"/>
        <v>1</v>
      </c>
      <c r="H44" s="8">
        <f t="shared" si="2"/>
        <v>0</v>
      </c>
      <c r="I44" s="8">
        <f t="shared" si="2"/>
        <v>0</v>
      </c>
      <c r="J44" s="8">
        <f t="shared" si="2"/>
        <v>0</v>
      </c>
      <c r="K44" s="8">
        <f t="shared" si="2"/>
        <v>0</v>
      </c>
    </row>
    <row r="45" spans="1:11" x14ac:dyDescent="0.25">
      <c r="A45" s="5">
        <f t="shared" si="0"/>
        <v>4.0000000000000002E-4</v>
      </c>
      <c r="B45" s="7"/>
      <c r="C45" s="6" t="s">
        <v>50</v>
      </c>
      <c r="D45" s="54"/>
      <c r="E45" s="8"/>
      <c r="F45" s="8" t="s">
        <v>5</v>
      </c>
      <c r="G45" s="8">
        <f t="shared" si="2"/>
        <v>1</v>
      </c>
      <c r="H45" s="8">
        <f t="shared" si="2"/>
        <v>0</v>
      </c>
      <c r="I45" s="8">
        <f t="shared" si="2"/>
        <v>0</v>
      </c>
      <c r="J45" s="8">
        <f t="shared" si="2"/>
        <v>0</v>
      </c>
      <c r="K45" s="8">
        <f t="shared" si="2"/>
        <v>0</v>
      </c>
    </row>
    <row r="46" spans="1:11" x14ac:dyDescent="0.25">
      <c r="A46" s="5">
        <f t="shared" si="0"/>
        <v>5.0000000000000001E-4</v>
      </c>
      <c r="B46" s="7"/>
      <c r="C46" s="6" t="s">
        <v>31</v>
      </c>
      <c r="D46" s="54"/>
      <c r="E46" s="8"/>
      <c r="F46" s="8" t="s">
        <v>5</v>
      </c>
      <c r="G46" s="8">
        <f t="shared" si="2"/>
        <v>1</v>
      </c>
      <c r="H46" s="8">
        <f t="shared" si="2"/>
        <v>0</v>
      </c>
      <c r="I46" s="8">
        <f t="shared" si="2"/>
        <v>0</v>
      </c>
      <c r="J46" s="8">
        <f t="shared" si="2"/>
        <v>0</v>
      </c>
      <c r="K46" s="8">
        <f t="shared" si="2"/>
        <v>0</v>
      </c>
    </row>
    <row r="47" spans="1:11" x14ac:dyDescent="0.25">
      <c r="A47" s="5">
        <f t="shared" si="0"/>
        <v>6.0000000000000006E-4</v>
      </c>
      <c r="B47" s="7"/>
      <c r="C47" s="6"/>
      <c r="D47" s="54"/>
      <c r="E47" s="8"/>
      <c r="F47" s="8" t="s">
        <v>5</v>
      </c>
      <c r="G47" s="8">
        <f t="shared" si="2"/>
        <v>1</v>
      </c>
      <c r="H47" s="8">
        <f t="shared" si="2"/>
        <v>0</v>
      </c>
      <c r="I47" s="8">
        <f t="shared" si="2"/>
        <v>0</v>
      </c>
      <c r="J47" s="8">
        <f t="shared" si="2"/>
        <v>0</v>
      </c>
      <c r="K47" s="8">
        <f t="shared" si="2"/>
        <v>0</v>
      </c>
    </row>
    <row r="48" spans="1:11" x14ac:dyDescent="0.25">
      <c r="A48" s="5">
        <f t="shared" si="0"/>
        <v>7.000000000000001E-4</v>
      </c>
      <c r="B48" s="7"/>
      <c r="C48" s="6" t="s">
        <v>56</v>
      </c>
      <c r="D48" s="54"/>
      <c r="E48" s="8"/>
      <c r="F48" s="8" t="s">
        <v>5</v>
      </c>
      <c r="G48" s="8">
        <f t="shared" si="2"/>
        <v>1</v>
      </c>
      <c r="H48" s="8">
        <f t="shared" si="2"/>
        <v>0</v>
      </c>
      <c r="I48" s="8">
        <f t="shared" si="2"/>
        <v>0</v>
      </c>
      <c r="J48" s="8">
        <f t="shared" si="2"/>
        <v>0</v>
      </c>
      <c r="K48" s="8">
        <f t="shared" si="2"/>
        <v>0</v>
      </c>
    </row>
    <row r="49" spans="1:11" ht="16.5" customHeight="1" x14ac:dyDescent="0.25">
      <c r="A49" s="5">
        <f t="shared" si="0"/>
        <v>8.0000000000000015E-4</v>
      </c>
      <c r="B49" s="7"/>
      <c r="C49" s="6" t="s">
        <v>55</v>
      </c>
      <c r="D49" s="54"/>
      <c r="E49" s="8"/>
      <c r="F49" s="8" t="s">
        <v>5</v>
      </c>
      <c r="G49" s="8">
        <f t="shared" si="2"/>
        <v>1</v>
      </c>
      <c r="H49" s="8">
        <f t="shared" si="2"/>
        <v>0</v>
      </c>
      <c r="I49" s="8">
        <f t="shared" si="2"/>
        <v>0</v>
      </c>
      <c r="J49" s="8">
        <f t="shared" si="2"/>
        <v>0</v>
      </c>
      <c r="K49" s="8">
        <f t="shared" si="2"/>
        <v>0</v>
      </c>
    </row>
    <row r="50" spans="1:11" x14ac:dyDescent="0.25">
      <c r="A50" s="5">
        <f t="shared" si="0"/>
        <v>9.0000000000000019E-4</v>
      </c>
      <c r="B50" s="7"/>
      <c r="C50" s="6" t="s">
        <v>54</v>
      </c>
      <c r="D50" s="54"/>
      <c r="E50" s="8"/>
      <c r="F50" s="8" t="s">
        <v>5</v>
      </c>
      <c r="G50" s="8">
        <f t="shared" si="2"/>
        <v>1</v>
      </c>
      <c r="H50" s="8">
        <f t="shared" si="2"/>
        <v>0</v>
      </c>
      <c r="I50" s="8">
        <f t="shared" si="2"/>
        <v>0</v>
      </c>
      <c r="J50" s="8">
        <f t="shared" si="2"/>
        <v>0</v>
      </c>
      <c r="K50" s="8">
        <f t="shared" si="2"/>
        <v>0</v>
      </c>
    </row>
    <row r="51" spans="1:11" x14ac:dyDescent="0.25">
      <c r="A51" s="5">
        <f t="shared" si="0"/>
        <v>1.0000000000000002E-3</v>
      </c>
      <c r="B51" s="7"/>
      <c r="C51" s="6" t="s">
        <v>53</v>
      </c>
      <c r="D51" s="54"/>
      <c r="E51" s="8"/>
      <c r="F51" s="8" t="s">
        <v>5</v>
      </c>
      <c r="G51" s="8">
        <f t="shared" si="2"/>
        <v>1</v>
      </c>
      <c r="H51" s="8">
        <f t="shared" si="2"/>
        <v>0</v>
      </c>
      <c r="I51" s="8">
        <f t="shared" si="2"/>
        <v>0</v>
      </c>
      <c r="J51" s="8">
        <f t="shared" si="2"/>
        <v>0</v>
      </c>
      <c r="K51" s="8">
        <f t="shared" si="2"/>
        <v>0</v>
      </c>
    </row>
    <row r="52" spans="1:11" x14ac:dyDescent="0.25">
      <c r="A52" s="5">
        <f t="shared" si="0"/>
        <v>1.1000000000000003E-3</v>
      </c>
      <c r="B52" s="7"/>
      <c r="C52" s="6" t="s">
        <v>52</v>
      </c>
      <c r="D52" s="54"/>
      <c r="E52" s="8"/>
      <c r="F52" s="8" t="s">
        <v>5</v>
      </c>
      <c r="G52" s="8">
        <f t="shared" si="2"/>
        <v>1</v>
      </c>
      <c r="H52" s="8">
        <f t="shared" si="2"/>
        <v>0</v>
      </c>
      <c r="I52" s="8">
        <f t="shared" si="2"/>
        <v>0</v>
      </c>
      <c r="J52" s="8">
        <f t="shared" si="2"/>
        <v>0</v>
      </c>
      <c r="K52" s="8">
        <f t="shared" si="2"/>
        <v>0</v>
      </c>
    </row>
    <row r="53" spans="1:11" ht="25.5" x14ac:dyDescent="0.25">
      <c r="A53" s="5">
        <f t="shared" si="0"/>
        <v>1.2000000000000003E-3</v>
      </c>
      <c r="B53" s="6"/>
      <c r="C53" s="6" t="s">
        <v>51</v>
      </c>
      <c r="D53" s="58"/>
      <c r="E53" s="8"/>
      <c r="F53" s="8" t="s">
        <v>5</v>
      </c>
      <c r="G53" s="8">
        <f t="shared" si="2"/>
        <v>1</v>
      </c>
      <c r="H53" s="8">
        <f t="shared" si="2"/>
        <v>0</v>
      </c>
      <c r="I53" s="8">
        <f t="shared" si="2"/>
        <v>0</v>
      </c>
      <c r="J53" s="8">
        <f t="shared" si="2"/>
        <v>0</v>
      </c>
      <c r="K53" s="8">
        <f t="shared" si="2"/>
        <v>0</v>
      </c>
    </row>
    <row r="54" spans="1:11" x14ac:dyDescent="0.25">
      <c r="A54" s="5">
        <f t="shared" si="0"/>
        <v>1.3000000000000004E-3</v>
      </c>
      <c r="B54" s="6"/>
      <c r="C54" s="23"/>
      <c r="D54" s="54"/>
      <c r="E54" s="8"/>
      <c r="F54" s="8"/>
      <c r="G54" s="8"/>
      <c r="H54" s="8"/>
      <c r="I54" s="8"/>
      <c r="J54" s="8"/>
      <c r="K54" s="8"/>
    </row>
    <row r="55" spans="1:11" x14ac:dyDescent="0.25">
      <c r="A55" s="5" t="e">
        <f>#REF!+0.0001</f>
        <v>#REF!</v>
      </c>
      <c r="B55" s="17" t="s">
        <v>36</v>
      </c>
      <c r="C55" s="17"/>
      <c r="D55" s="18"/>
      <c r="E55" s="8"/>
      <c r="F55" s="8"/>
      <c r="G55" s="8"/>
      <c r="H55" s="8"/>
      <c r="I55" s="8"/>
      <c r="J55" s="8"/>
      <c r="K55" s="8"/>
    </row>
    <row r="56" spans="1:11" x14ac:dyDescent="0.25">
      <c r="A56" s="5" t="e">
        <f t="shared" ref="A56:A65" si="3">A55+0.0001</f>
        <v>#REF!</v>
      </c>
      <c r="B56" s="7" t="s">
        <v>41</v>
      </c>
      <c r="C56" s="6" t="s">
        <v>38</v>
      </c>
      <c r="D56" s="56"/>
      <c r="E56" s="8"/>
      <c r="F56" s="8" t="s">
        <v>5</v>
      </c>
      <c r="G56" s="8">
        <f t="shared" ref="G56:K59" si="4">IF($F56=G$1,1,0)</f>
        <v>1</v>
      </c>
      <c r="H56" s="8">
        <f t="shared" si="4"/>
        <v>0</v>
      </c>
      <c r="I56" s="8">
        <f t="shared" si="4"/>
        <v>0</v>
      </c>
      <c r="J56" s="8">
        <f t="shared" si="4"/>
        <v>0</v>
      </c>
      <c r="K56" s="8">
        <f t="shared" si="4"/>
        <v>0</v>
      </c>
    </row>
    <row r="57" spans="1:11" x14ac:dyDescent="0.25">
      <c r="A57" s="5" t="e">
        <f t="shared" si="3"/>
        <v>#REF!</v>
      </c>
      <c r="B57" s="7"/>
      <c r="C57" s="6" t="s">
        <v>39</v>
      </c>
      <c r="D57" s="56"/>
      <c r="E57" s="8"/>
      <c r="F57" s="8" t="s">
        <v>5</v>
      </c>
      <c r="G57" s="8">
        <f t="shared" si="4"/>
        <v>1</v>
      </c>
      <c r="H57" s="8">
        <f t="shared" si="4"/>
        <v>0</v>
      </c>
      <c r="I57" s="8">
        <f t="shared" si="4"/>
        <v>0</v>
      </c>
      <c r="J57" s="8">
        <f t="shared" si="4"/>
        <v>0</v>
      </c>
      <c r="K57" s="8">
        <f t="shared" si="4"/>
        <v>0</v>
      </c>
    </row>
    <row r="58" spans="1:11" x14ac:dyDescent="0.25">
      <c r="A58" s="5" t="e">
        <f t="shared" si="3"/>
        <v>#REF!</v>
      </c>
      <c r="B58" s="7"/>
      <c r="C58" s="6" t="s">
        <v>40</v>
      </c>
      <c r="D58" s="56"/>
      <c r="E58" s="8"/>
      <c r="F58" s="8" t="s">
        <v>5</v>
      </c>
      <c r="G58" s="8">
        <f t="shared" si="4"/>
        <v>1</v>
      </c>
      <c r="H58" s="8">
        <f t="shared" si="4"/>
        <v>0</v>
      </c>
      <c r="I58" s="8">
        <f t="shared" si="4"/>
        <v>0</v>
      </c>
      <c r="J58" s="8">
        <f t="shared" si="4"/>
        <v>0</v>
      </c>
      <c r="K58" s="8">
        <f t="shared" si="4"/>
        <v>0</v>
      </c>
    </row>
    <row r="59" spans="1:11" ht="25.5" x14ac:dyDescent="0.25">
      <c r="A59" s="5" t="e">
        <f t="shared" si="3"/>
        <v>#REF!</v>
      </c>
      <c r="B59" s="7"/>
      <c r="C59" s="6" t="s">
        <v>42</v>
      </c>
      <c r="D59" s="56"/>
      <c r="E59" s="8"/>
      <c r="F59" s="8" t="s">
        <v>5</v>
      </c>
      <c r="G59" s="8">
        <f t="shared" si="4"/>
        <v>1</v>
      </c>
      <c r="H59" s="8">
        <f t="shared" si="4"/>
        <v>0</v>
      </c>
      <c r="I59" s="8">
        <f t="shared" si="4"/>
        <v>0</v>
      </c>
      <c r="J59" s="8">
        <f t="shared" si="4"/>
        <v>0</v>
      </c>
      <c r="K59" s="8">
        <f t="shared" si="4"/>
        <v>0</v>
      </c>
    </row>
    <row r="60" spans="1:11" x14ac:dyDescent="0.25">
      <c r="A60" s="5" t="e">
        <f t="shared" si="3"/>
        <v>#REF!</v>
      </c>
      <c r="B60" s="7"/>
      <c r="C60" s="23"/>
      <c r="D60" s="56"/>
      <c r="E60" s="8"/>
      <c r="F60" s="8"/>
      <c r="G60" s="8"/>
      <c r="H60" s="8"/>
      <c r="I60" s="8"/>
      <c r="J60" s="8"/>
      <c r="K60" s="8"/>
    </row>
    <row r="61" spans="1:11" x14ac:dyDescent="0.25">
      <c r="A61" s="5" t="e">
        <f t="shared" si="3"/>
        <v>#REF!</v>
      </c>
      <c r="B61" s="7"/>
      <c r="C61" s="23"/>
      <c r="D61" s="56"/>
      <c r="E61" s="8"/>
      <c r="F61" s="8"/>
      <c r="G61" s="8"/>
      <c r="H61" s="8"/>
      <c r="I61" s="8"/>
      <c r="J61" s="8"/>
      <c r="K61" s="8"/>
    </row>
    <row r="62" spans="1:11" x14ac:dyDescent="0.25">
      <c r="A62" s="5">
        <v>66666644</v>
      </c>
      <c r="B62" s="17" t="s">
        <v>138</v>
      </c>
      <c r="C62" s="18" t="s">
        <v>139</v>
      </c>
      <c r="D62" s="18"/>
      <c r="E62" s="8"/>
      <c r="F62" s="8"/>
      <c r="G62" s="8"/>
      <c r="H62" s="8"/>
      <c r="I62" s="8"/>
      <c r="J62" s="8"/>
      <c r="K62" s="8"/>
    </row>
    <row r="63" spans="1:11" ht="51" x14ac:dyDescent="0.25">
      <c r="A63" s="5">
        <f t="shared" si="3"/>
        <v>66666644.000100002</v>
      </c>
      <c r="B63" s="42" t="s">
        <v>192</v>
      </c>
      <c r="C63" s="43" t="s">
        <v>188</v>
      </c>
      <c r="D63" s="54" t="s">
        <v>199</v>
      </c>
      <c r="E63" s="8"/>
      <c r="F63" s="8" t="s">
        <v>8</v>
      </c>
      <c r="G63" s="8">
        <f>IF($F63=G$1,1,0)</f>
        <v>0</v>
      </c>
      <c r="H63" s="8">
        <f>IF($F63=H$1,1,0)</f>
        <v>0</v>
      </c>
      <c r="I63" s="8">
        <f>IF($F63=I$1,1,0)</f>
        <v>0</v>
      </c>
      <c r="J63" s="8">
        <f>IF($F63=J$1,1,0)</f>
        <v>0</v>
      </c>
      <c r="K63" s="8">
        <f>IF($F63=K$1,1,0)</f>
        <v>1</v>
      </c>
    </row>
    <row r="64" spans="1:11" x14ac:dyDescent="0.25">
      <c r="A64" s="5">
        <f t="shared" si="3"/>
        <v>66666644.000200003</v>
      </c>
      <c r="B64" s="7"/>
      <c r="C64" s="6"/>
      <c r="D64" s="56"/>
      <c r="E64" s="8"/>
      <c r="F64" s="8"/>
      <c r="G64" s="8"/>
      <c r="H64" s="8"/>
      <c r="I64" s="8"/>
      <c r="J64" s="8"/>
      <c r="K64" s="8"/>
    </row>
    <row r="65" spans="1:11" x14ac:dyDescent="0.25">
      <c r="A65" s="5">
        <f t="shared" si="3"/>
        <v>66666644.000300005</v>
      </c>
      <c r="B65" s="7"/>
      <c r="C65" s="6"/>
      <c r="D65" s="56"/>
      <c r="E65" s="8"/>
      <c r="F65" s="8"/>
      <c r="G65" s="8"/>
      <c r="H65" s="8"/>
      <c r="I65" s="8"/>
      <c r="J65" s="8"/>
      <c r="K65" s="8"/>
    </row>
    <row r="66" spans="1:11" ht="15.75" thickBot="1" x14ac:dyDescent="0.3">
      <c r="G66" s="31">
        <f>SUM(G31:G65)</f>
        <v>23</v>
      </c>
      <c r="H66" s="31">
        <f>SUM(H31:H65)</f>
        <v>0</v>
      </c>
      <c r="I66" s="31">
        <f>SUM(I31:I65)</f>
        <v>0</v>
      </c>
      <c r="J66" s="31">
        <f>SUM(J31:J65)</f>
        <v>0</v>
      </c>
      <c r="K66" s="31">
        <f>SUM(K31:K65)</f>
        <v>1</v>
      </c>
    </row>
    <row r="67" spans="1:11" ht="15.75" thickTop="1" x14ac:dyDescent="0.25"/>
  </sheetData>
  <mergeCells count="1">
    <mergeCell ref="B2:C2"/>
  </mergeCells>
  <conditionalFormatting sqref="E30 G30:K30 L29:L30 B64:C65 G4:K4 L3:L21 A4:E4 A5:A65 F5:K19 F31:K65">
    <cfRule type="expression" dxfId="440" priority="110">
      <formula>$F3="Fail"</formula>
    </cfRule>
  </conditionalFormatting>
  <conditionalFormatting sqref="A3:K3">
    <cfRule type="expression" dxfId="439" priority="109">
      <formula>$F3="Fail"</formula>
    </cfRule>
  </conditionalFormatting>
  <conditionalFormatting sqref="E29 G29:K29">
    <cfRule type="expression" dxfId="438" priority="108">
      <formula>$F29="Fail"</formula>
    </cfRule>
  </conditionalFormatting>
  <conditionalFormatting sqref="E20:K20 E21 E5:E19">
    <cfRule type="expression" dxfId="437" priority="107">
      <formula>$F5="Fail"</formula>
    </cfRule>
  </conditionalFormatting>
  <conditionalFormatting sqref="E22:F22 E23:E28">
    <cfRule type="expression" dxfId="436" priority="106">
      <formula>$F22="Fail"</formula>
    </cfRule>
  </conditionalFormatting>
  <conditionalFormatting sqref="L22:L28">
    <cfRule type="expression" dxfId="435" priority="101">
      <formula>$F22="Fail"</formula>
    </cfRule>
  </conditionalFormatting>
  <conditionalFormatting sqref="G21:K28">
    <cfRule type="expression" dxfId="434" priority="90">
      <formula>$F21="Fail"</formula>
    </cfRule>
  </conditionalFormatting>
  <conditionalFormatting sqref="G66:K66">
    <cfRule type="expression" dxfId="433" priority="89">
      <formula>$F66="Fail"</formula>
    </cfRule>
  </conditionalFormatting>
  <conditionalFormatting sqref="B41:C42">
    <cfRule type="expression" dxfId="432" priority="86">
      <formula>$F41="Fail"</formula>
    </cfRule>
  </conditionalFormatting>
  <conditionalFormatting sqref="B54:C54 D43:D52 B43:B53">
    <cfRule type="expression" dxfId="431" priority="85">
      <formula>$F43="Fail"</formula>
    </cfRule>
  </conditionalFormatting>
  <conditionalFormatting sqref="D32:D42">
    <cfRule type="expression" dxfId="430" priority="88">
      <formula>$F32="Fail"</formula>
    </cfRule>
  </conditionalFormatting>
  <conditionalFormatting sqref="B32:C42">
    <cfRule type="expression" dxfId="429" priority="87">
      <formula>$F32="Fail"</formula>
    </cfRule>
  </conditionalFormatting>
  <conditionalFormatting sqref="B54:D54 B53">
    <cfRule type="expression" dxfId="428" priority="84">
      <formula>$F53="Fail"</formula>
    </cfRule>
  </conditionalFormatting>
  <conditionalFormatting sqref="C39">
    <cfRule type="expression" dxfId="427" priority="83">
      <formula>$F39="Fail"</formula>
    </cfRule>
  </conditionalFormatting>
  <conditionalFormatting sqref="C56:C61">
    <cfRule type="expression" dxfId="426" priority="67">
      <formula>$F56="Fail"</formula>
    </cfRule>
  </conditionalFormatting>
  <conditionalFormatting sqref="B55">
    <cfRule type="expression" dxfId="425" priority="66">
      <formula>$F55="Fail"</formula>
    </cfRule>
  </conditionalFormatting>
  <conditionalFormatting sqref="C55">
    <cfRule type="expression" dxfId="424" priority="65">
      <formula>$F55="Fail"</formula>
    </cfRule>
  </conditionalFormatting>
  <conditionalFormatting sqref="C59:C61">
    <cfRule type="expression" dxfId="423" priority="64">
      <formula>$F59="Fail"</formula>
    </cfRule>
  </conditionalFormatting>
  <conditionalFormatting sqref="C56:C61">
    <cfRule type="expression" dxfId="422" priority="68">
      <formula>$F56="Fail"</formula>
    </cfRule>
  </conditionalFormatting>
  <conditionalFormatting sqref="B56:C61">
    <cfRule type="expression" dxfId="421" priority="69">
      <formula>$F56="Fail"</formula>
    </cfRule>
  </conditionalFormatting>
  <conditionalFormatting sqref="C43:C52">
    <cfRule type="expression" dxfId="420" priority="45">
      <formula>$F43="Fail"</formula>
    </cfRule>
  </conditionalFormatting>
  <conditionalFormatting sqref="C65">
    <cfRule type="expression" dxfId="419" priority="50">
      <formula>$F65="Fail"</formula>
    </cfRule>
  </conditionalFormatting>
  <conditionalFormatting sqref="B31">
    <cfRule type="expression" dxfId="418" priority="49">
      <formula>$F31="Fail"</formula>
    </cfRule>
  </conditionalFormatting>
  <conditionalFormatting sqref="C31">
    <cfRule type="expression" dxfId="417" priority="48">
      <formula>$F31="Fail"</formula>
    </cfRule>
  </conditionalFormatting>
  <conditionalFormatting sqref="C43:C53">
    <cfRule type="expression" dxfId="416" priority="47">
      <formula>$F43="Fail"</formula>
    </cfRule>
  </conditionalFormatting>
  <conditionalFormatting sqref="C53">
    <cfRule type="expression" dxfId="415" priority="46">
      <formula>$F53="Fail"</formula>
    </cfRule>
  </conditionalFormatting>
  <conditionalFormatting sqref="B62:D62 B63:C63">
    <cfRule type="expression" dxfId="414" priority="43">
      <formula>$F62="Fail"</formula>
    </cfRule>
  </conditionalFormatting>
  <conditionalFormatting sqref="D63">
    <cfRule type="expression" dxfId="413" priority="42">
      <formula>$F63="Fail"</formula>
    </cfRule>
  </conditionalFormatting>
  <conditionalFormatting sqref="D55">
    <cfRule type="expression" dxfId="412" priority="39">
      <formula>$F55="Fail"</formula>
    </cfRule>
  </conditionalFormatting>
  <conditionalFormatting sqref="C30">
    <cfRule type="expression" dxfId="411" priority="24">
      <formula>$F30="Fail"</formula>
    </cfRule>
  </conditionalFormatting>
  <conditionalFormatting sqref="D31">
    <cfRule type="expression" dxfId="410" priority="37">
      <formula>$F31="Fail"</formula>
    </cfRule>
  </conditionalFormatting>
  <conditionalFormatting sqref="B18:C18">
    <cfRule type="expression" dxfId="409" priority="15">
      <formula>$F18="Fail"</formula>
    </cfRule>
  </conditionalFormatting>
  <conditionalFormatting sqref="D21:D28">
    <cfRule type="expression" dxfId="408" priority="33">
      <formula>$F21="Fail"</formula>
    </cfRule>
  </conditionalFormatting>
  <conditionalFormatting sqref="D29:D30">
    <cfRule type="expression" dxfId="407" priority="32">
      <formula>$F29="Fail"</formula>
    </cfRule>
  </conditionalFormatting>
  <conditionalFormatting sqref="B22:C22 B24:C25 B27:C29 B30">
    <cfRule type="expression" dxfId="406" priority="31">
      <formula>$F22="Fail"</formula>
    </cfRule>
  </conditionalFormatting>
  <conditionalFormatting sqref="C20">
    <cfRule type="expression" dxfId="405" priority="30">
      <formula>$F20="Fail"</formula>
    </cfRule>
  </conditionalFormatting>
  <conditionalFormatting sqref="B20">
    <cfRule type="expression" dxfId="404" priority="29">
      <formula>$F20="Fail"</formula>
    </cfRule>
  </conditionalFormatting>
  <conditionalFormatting sqref="B21:C21">
    <cfRule type="expression" dxfId="403" priority="28">
      <formula>$F21="Fail"</formula>
    </cfRule>
  </conditionalFormatting>
  <conditionalFormatting sqref="B23:C23">
    <cfRule type="expression" dxfId="402" priority="27">
      <formula>$F23="Fail"</formula>
    </cfRule>
  </conditionalFormatting>
  <conditionalFormatting sqref="B26:C26">
    <cfRule type="expression" dxfId="401" priority="26">
      <formula>$F26="Fail"</formula>
    </cfRule>
  </conditionalFormatting>
  <conditionalFormatting sqref="D20">
    <cfRule type="expression" dxfId="400" priority="25">
      <formula>$F20="Fail"</formula>
    </cfRule>
  </conditionalFormatting>
  <conditionalFormatting sqref="D6">
    <cfRule type="expression" dxfId="399" priority="21">
      <formula>$F6="Fail"</formula>
    </cfRule>
  </conditionalFormatting>
  <conditionalFormatting sqref="B5:C5 B7:C15 B16">
    <cfRule type="expression" dxfId="398" priority="19">
      <formula>$F5="Fail"</formula>
    </cfRule>
  </conditionalFormatting>
  <conditionalFormatting sqref="C16">
    <cfRule type="expression" dxfId="397" priority="16">
      <formula>$F16="Fail"</formula>
    </cfRule>
  </conditionalFormatting>
  <conditionalFormatting sqref="C17">
    <cfRule type="expression" dxfId="396" priority="12">
      <formula>$F17="Fail"</formula>
    </cfRule>
  </conditionalFormatting>
  <conditionalFormatting sqref="D14:D19">
    <cfRule type="expression" dxfId="395" priority="23">
      <formula>$F14="Fail"</formula>
    </cfRule>
  </conditionalFormatting>
  <conditionalFormatting sqref="D13">
    <cfRule type="expression" dxfId="394" priority="22">
      <formula>$F13="Fail"</formula>
    </cfRule>
  </conditionalFormatting>
  <conditionalFormatting sqref="D7:D12">
    <cfRule type="expression" dxfId="393" priority="20">
      <formula>$F7="Fail"</formula>
    </cfRule>
  </conditionalFormatting>
  <conditionalFormatting sqref="B6">
    <cfRule type="expression" dxfId="392" priority="18">
      <formula>$F6="Fail"</formula>
    </cfRule>
  </conditionalFormatting>
  <conditionalFormatting sqref="C6">
    <cfRule type="expression" dxfId="391" priority="17">
      <formula>$F6="Fail"</formula>
    </cfRule>
  </conditionalFormatting>
  <conditionalFormatting sqref="D5">
    <cfRule type="expression" dxfId="390" priority="14">
      <formula>$F5="Fail"</formula>
    </cfRule>
  </conditionalFormatting>
  <conditionalFormatting sqref="B17">
    <cfRule type="expression" dxfId="389" priority="13">
      <formula>$F17="Fail"</formula>
    </cfRule>
  </conditionalFormatting>
  <conditionalFormatting sqref="B18">
    <cfRule type="expression" dxfId="388" priority="11">
      <formula>$F18="Fail"</formula>
    </cfRule>
  </conditionalFormatting>
  <conditionalFormatting sqref="C18">
    <cfRule type="expression" dxfId="387" priority="10">
      <formula>$F18="Fail"</formula>
    </cfRule>
  </conditionalFormatting>
  <conditionalFormatting sqref="F25 F29">
    <cfRule type="expression" dxfId="386" priority="9">
      <formula>$F25="Fail"</formula>
    </cfRule>
  </conditionalFormatting>
  <conditionalFormatting sqref="B19:C19">
    <cfRule type="expression" dxfId="385" priority="6">
      <formula>$F19="Fail"</formula>
    </cfRule>
  </conditionalFormatting>
  <conditionalFormatting sqref="F30">
    <cfRule type="expression" dxfId="384" priority="5">
      <formula>$F30="Fail"</formula>
    </cfRule>
  </conditionalFormatting>
  <conditionalFormatting sqref="F26:F28">
    <cfRule type="expression" dxfId="383" priority="4">
      <formula>$F26="Fail"</formula>
    </cfRule>
  </conditionalFormatting>
  <conditionalFormatting sqref="F23:F24">
    <cfRule type="expression" dxfId="382" priority="3">
      <formula>$F23="Fail"</formula>
    </cfRule>
  </conditionalFormatting>
  <conditionalFormatting sqref="F21">
    <cfRule type="expression" dxfId="381" priority="2">
      <formula>$F21="Fail"</formula>
    </cfRule>
  </conditionalFormatting>
  <conditionalFormatting sqref="F4">
    <cfRule type="expression" dxfId="380" priority="1">
      <formula>$F4="Fail"</formula>
    </cfRule>
  </conditionalFormatting>
  <dataValidations count="1">
    <dataValidation type="list" allowBlank="1" showInputMessage="1" showErrorMessage="1" sqref="F3:F65">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122"/>
  <sheetViews>
    <sheetView topLeftCell="B1" zoomScaleNormal="100" workbookViewId="0">
      <pane ySplit="1" topLeftCell="A102" activePane="bottomLeft" state="frozen"/>
      <selection pane="bottomLeft" activeCell="F105" sqref="F105:F117"/>
    </sheetView>
  </sheetViews>
  <sheetFormatPr defaultRowHeight="15" x14ac:dyDescent="0.25"/>
  <cols>
    <col min="1" max="1" width="11.28515625" style="4" bestFit="1" customWidth="1"/>
    <col min="2" max="2" width="56.7109375" style="1" customWidth="1"/>
    <col min="3" max="3" width="58.5703125" style="1" customWidth="1"/>
    <col min="4" max="4" width="48.140625" style="57"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52" t="s">
        <v>4</v>
      </c>
      <c r="E1" s="12" t="s">
        <v>3</v>
      </c>
      <c r="F1" s="11" t="s">
        <v>0</v>
      </c>
      <c r="G1" s="12" t="s">
        <v>5</v>
      </c>
      <c r="H1" s="12" t="s">
        <v>6</v>
      </c>
      <c r="I1" s="12"/>
      <c r="J1" s="12" t="s">
        <v>7</v>
      </c>
      <c r="K1" s="12" t="s">
        <v>8</v>
      </c>
      <c r="L1" s="12" t="s">
        <v>12</v>
      </c>
    </row>
    <row r="2" spans="1:12" s="39" customFormat="1" ht="30" customHeight="1" x14ac:dyDescent="0.25">
      <c r="A2" s="40"/>
      <c r="B2" s="103" t="s">
        <v>265</v>
      </c>
      <c r="C2" s="105"/>
      <c r="D2" s="53"/>
      <c r="E2" s="53"/>
      <c r="F2" s="53"/>
      <c r="G2" s="53"/>
      <c r="H2" s="53"/>
      <c r="I2" s="53"/>
      <c r="J2" s="53"/>
      <c r="K2" s="38"/>
      <c r="L2" s="38"/>
    </row>
    <row r="3" spans="1:12" s="20" customFormat="1" x14ac:dyDescent="0.25">
      <c r="A3" s="16">
        <v>2</v>
      </c>
      <c r="B3" s="17" t="s">
        <v>142</v>
      </c>
      <c r="C3" s="18"/>
      <c r="D3" s="18"/>
      <c r="E3" s="17"/>
      <c r="F3" s="19"/>
      <c r="G3" s="19"/>
      <c r="H3" s="19"/>
      <c r="I3" s="19"/>
      <c r="J3" s="19"/>
      <c r="K3" s="19"/>
      <c r="L3" s="17"/>
    </row>
    <row r="4" spans="1:12" x14ac:dyDescent="0.25">
      <c r="A4" s="5">
        <f t="shared" ref="A4:A67" si="0">A3+0.0001</f>
        <v>2.0001000000000002</v>
      </c>
      <c r="B4" s="6" t="s">
        <v>259</v>
      </c>
      <c r="C4" s="9"/>
      <c r="D4" s="54"/>
      <c r="E4" s="6"/>
      <c r="F4" s="8" t="s">
        <v>5</v>
      </c>
      <c r="G4" s="8">
        <f t="shared" ref="G4:K30" si="1">IF($F4=G$1,1,0)</f>
        <v>1</v>
      </c>
      <c r="H4" s="8">
        <f t="shared" si="1"/>
        <v>0</v>
      </c>
      <c r="I4" s="8">
        <f t="shared" si="1"/>
        <v>0</v>
      </c>
      <c r="J4" s="8">
        <f t="shared" si="1"/>
        <v>0</v>
      </c>
      <c r="K4" s="8">
        <f t="shared" si="1"/>
        <v>0</v>
      </c>
      <c r="L4" s="7"/>
    </row>
    <row r="5" spans="1:12" ht="25.5" x14ac:dyDescent="0.25">
      <c r="A5" s="5">
        <f t="shared" si="0"/>
        <v>2.0002000000000004</v>
      </c>
      <c r="B5" s="27" t="s">
        <v>58</v>
      </c>
      <c r="C5" s="9" t="s">
        <v>59</v>
      </c>
      <c r="D5" s="54"/>
      <c r="E5" s="6"/>
      <c r="F5" s="8" t="s">
        <v>5</v>
      </c>
      <c r="G5" s="8">
        <f t="shared" si="1"/>
        <v>1</v>
      </c>
      <c r="H5" s="8">
        <f t="shared" si="1"/>
        <v>0</v>
      </c>
      <c r="I5" s="8">
        <f t="shared" si="1"/>
        <v>0</v>
      </c>
      <c r="J5" s="8">
        <f t="shared" si="1"/>
        <v>0</v>
      </c>
      <c r="K5" s="8">
        <f t="shared" si="1"/>
        <v>0</v>
      </c>
      <c r="L5" s="7"/>
    </row>
    <row r="6" spans="1:12" ht="25.5" x14ac:dyDescent="0.25">
      <c r="A6" s="5">
        <f t="shared" si="0"/>
        <v>2.0003000000000006</v>
      </c>
      <c r="B6" s="27" t="s">
        <v>60</v>
      </c>
      <c r="C6" s="9" t="s">
        <v>61</v>
      </c>
      <c r="D6" s="54" t="s">
        <v>200</v>
      </c>
      <c r="E6" s="6"/>
      <c r="F6" s="8" t="s">
        <v>5</v>
      </c>
      <c r="G6" s="8">
        <f t="shared" si="1"/>
        <v>1</v>
      </c>
      <c r="H6" s="8">
        <f t="shared" si="1"/>
        <v>0</v>
      </c>
      <c r="I6" s="8">
        <f t="shared" si="1"/>
        <v>0</v>
      </c>
      <c r="J6" s="8">
        <f t="shared" si="1"/>
        <v>0</v>
      </c>
      <c r="K6" s="8">
        <f t="shared" si="1"/>
        <v>0</v>
      </c>
      <c r="L6" s="7"/>
    </row>
    <row r="7" spans="1:12" x14ac:dyDescent="0.25">
      <c r="A7" s="5">
        <f t="shared" si="0"/>
        <v>2.0004000000000008</v>
      </c>
      <c r="B7" s="6"/>
      <c r="C7" s="9" t="s">
        <v>256</v>
      </c>
      <c r="D7" s="54"/>
      <c r="E7" s="6"/>
      <c r="F7" s="8" t="s">
        <v>5</v>
      </c>
      <c r="G7" s="8">
        <f t="shared" si="1"/>
        <v>1</v>
      </c>
      <c r="H7" s="8">
        <f t="shared" si="1"/>
        <v>0</v>
      </c>
      <c r="I7" s="8">
        <f t="shared" si="1"/>
        <v>0</v>
      </c>
      <c r="J7" s="8">
        <f t="shared" si="1"/>
        <v>0</v>
      </c>
      <c r="K7" s="8">
        <f t="shared" si="1"/>
        <v>0</v>
      </c>
      <c r="L7" s="7"/>
    </row>
    <row r="8" spans="1:12" x14ac:dyDescent="0.25">
      <c r="A8" s="5">
        <f t="shared" si="0"/>
        <v>2.0005000000000011</v>
      </c>
      <c r="B8" s="25"/>
      <c r="C8" s="23" t="s">
        <v>436</v>
      </c>
      <c r="D8" s="55"/>
      <c r="E8" s="6"/>
      <c r="F8" s="8"/>
      <c r="G8" s="8"/>
      <c r="H8" s="8"/>
      <c r="I8" s="8"/>
      <c r="J8" s="8"/>
      <c r="K8" s="8"/>
      <c r="L8" s="7"/>
    </row>
    <row r="9" spans="1:12" x14ac:dyDescent="0.25">
      <c r="A9" s="5">
        <f t="shared" si="0"/>
        <v>2.0006000000000013</v>
      </c>
      <c r="B9" s="29"/>
      <c r="C9" s="30" t="s">
        <v>167</v>
      </c>
      <c r="D9" s="54"/>
      <c r="E9" s="7"/>
      <c r="F9" s="8" t="s">
        <v>5</v>
      </c>
      <c r="G9" s="8">
        <f t="shared" si="1"/>
        <v>1</v>
      </c>
      <c r="H9" s="8">
        <f t="shared" si="1"/>
        <v>0</v>
      </c>
      <c r="I9" s="8">
        <f t="shared" si="1"/>
        <v>0</v>
      </c>
      <c r="J9" s="8">
        <f t="shared" si="1"/>
        <v>0</v>
      </c>
      <c r="K9" s="8">
        <f t="shared" si="1"/>
        <v>0</v>
      </c>
      <c r="L9" s="7"/>
    </row>
    <row r="10" spans="1:12" x14ac:dyDescent="0.25">
      <c r="A10" s="5">
        <f t="shared" si="0"/>
        <v>2.0007000000000015</v>
      </c>
      <c r="B10" s="44" t="s">
        <v>22</v>
      </c>
      <c r="C10" s="18"/>
      <c r="D10" s="18"/>
      <c r="E10" s="7"/>
      <c r="F10" s="8"/>
      <c r="G10" s="8"/>
      <c r="H10" s="8"/>
      <c r="I10" s="8"/>
      <c r="J10" s="8"/>
      <c r="K10" s="8"/>
      <c r="L10" s="7"/>
    </row>
    <row r="11" spans="1:12" ht="25.5" x14ac:dyDescent="0.25">
      <c r="A11" s="5">
        <f t="shared" si="0"/>
        <v>2.0008000000000017</v>
      </c>
      <c r="B11" s="27" t="s">
        <v>146</v>
      </c>
      <c r="C11" s="45" t="s">
        <v>147</v>
      </c>
      <c r="D11" s="54"/>
      <c r="E11" s="7"/>
      <c r="F11" s="8" t="s">
        <v>5</v>
      </c>
      <c r="G11" s="8">
        <f t="shared" si="1"/>
        <v>1</v>
      </c>
      <c r="H11" s="8">
        <f t="shared" si="1"/>
        <v>0</v>
      </c>
      <c r="I11" s="8">
        <f t="shared" si="1"/>
        <v>0</v>
      </c>
      <c r="J11" s="8">
        <f t="shared" si="1"/>
        <v>0</v>
      </c>
      <c r="K11" s="8">
        <f t="shared" si="1"/>
        <v>0</v>
      </c>
      <c r="L11" s="7"/>
    </row>
    <row r="12" spans="1:12" x14ac:dyDescent="0.25">
      <c r="A12" s="5">
        <f t="shared" si="0"/>
        <v>2.0009000000000019</v>
      </c>
      <c r="B12" s="6"/>
      <c r="C12" s="22"/>
      <c r="D12" s="54"/>
      <c r="E12" s="7"/>
      <c r="F12" s="8"/>
      <c r="G12" s="8"/>
      <c r="H12" s="8"/>
      <c r="I12" s="8"/>
      <c r="J12" s="8"/>
      <c r="K12" s="8"/>
      <c r="L12" s="7"/>
    </row>
    <row r="13" spans="1:12" x14ac:dyDescent="0.25">
      <c r="A13" s="5">
        <f t="shared" si="0"/>
        <v>2.0010000000000021</v>
      </c>
      <c r="B13" s="6" t="s">
        <v>148</v>
      </c>
      <c r="C13" s="22" t="s">
        <v>149</v>
      </c>
      <c r="D13" s="54"/>
      <c r="E13" s="7"/>
      <c r="F13" s="8" t="s">
        <v>5</v>
      </c>
      <c r="G13" s="8">
        <f t="shared" si="1"/>
        <v>1</v>
      </c>
      <c r="H13" s="8">
        <f t="shared" si="1"/>
        <v>0</v>
      </c>
      <c r="I13" s="8">
        <f t="shared" si="1"/>
        <v>0</v>
      </c>
      <c r="J13" s="8">
        <f t="shared" si="1"/>
        <v>0</v>
      </c>
      <c r="K13" s="8">
        <f t="shared" si="1"/>
        <v>0</v>
      </c>
      <c r="L13" s="7"/>
    </row>
    <row r="14" spans="1:12" x14ac:dyDescent="0.25">
      <c r="A14" s="5">
        <f t="shared" si="0"/>
        <v>2.0011000000000023</v>
      </c>
      <c r="B14" s="6"/>
      <c r="C14" s="23"/>
      <c r="D14" s="54"/>
      <c r="E14" s="7"/>
      <c r="F14" s="8"/>
      <c r="G14" s="8"/>
      <c r="H14" s="8"/>
      <c r="I14" s="8"/>
      <c r="J14" s="8"/>
      <c r="K14" s="8"/>
      <c r="L14" s="7"/>
    </row>
    <row r="15" spans="1:12" x14ac:dyDescent="0.25">
      <c r="A15" s="5">
        <f t="shared" si="0"/>
        <v>2.0012000000000025</v>
      </c>
      <c r="B15" s="24" t="s">
        <v>150</v>
      </c>
      <c r="C15" s="23" t="s">
        <v>151</v>
      </c>
      <c r="D15" s="54"/>
      <c r="E15" s="7"/>
      <c r="F15" s="8" t="s">
        <v>5</v>
      </c>
      <c r="G15" s="8">
        <f t="shared" si="1"/>
        <v>1</v>
      </c>
      <c r="H15" s="8">
        <f t="shared" si="1"/>
        <v>0</v>
      </c>
      <c r="I15" s="8">
        <f t="shared" si="1"/>
        <v>0</v>
      </c>
      <c r="J15" s="8">
        <f t="shared" si="1"/>
        <v>0</v>
      </c>
      <c r="K15" s="8">
        <f t="shared" si="1"/>
        <v>0</v>
      </c>
      <c r="L15" s="7"/>
    </row>
    <row r="16" spans="1:12" x14ac:dyDescent="0.25">
      <c r="A16" s="5">
        <f t="shared" si="0"/>
        <v>2.0013000000000027</v>
      </c>
      <c r="B16" s="6"/>
      <c r="C16" s="23"/>
      <c r="D16" s="54"/>
      <c r="E16" s="7"/>
      <c r="F16" s="8"/>
      <c r="G16" s="8"/>
      <c r="H16" s="8"/>
      <c r="I16" s="8"/>
      <c r="J16" s="8"/>
      <c r="K16" s="8"/>
      <c r="L16" s="7"/>
    </row>
    <row r="17" spans="1:12" ht="25.5" x14ac:dyDescent="0.25">
      <c r="A17" s="5">
        <f t="shared" si="0"/>
        <v>2.001400000000003</v>
      </c>
      <c r="B17" s="9" t="s">
        <v>152</v>
      </c>
      <c r="C17" s="22" t="s">
        <v>14</v>
      </c>
      <c r="D17" s="54"/>
      <c r="E17" s="7"/>
      <c r="F17" s="8" t="s">
        <v>5</v>
      </c>
      <c r="G17" s="8">
        <f t="shared" si="1"/>
        <v>1</v>
      </c>
      <c r="H17" s="8">
        <f t="shared" si="1"/>
        <v>0</v>
      </c>
      <c r="I17" s="8">
        <f t="shared" si="1"/>
        <v>0</v>
      </c>
      <c r="J17" s="8">
        <f t="shared" si="1"/>
        <v>0</v>
      </c>
      <c r="K17" s="8">
        <f t="shared" si="1"/>
        <v>0</v>
      </c>
      <c r="L17" s="7"/>
    </row>
    <row r="18" spans="1:12" x14ac:dyDescent="0.25">
      <c r="A18" s="5">
        <f t="shared" si="0"/>
        <v>2.0015000000000032</v>
      </c>
      <c r="B18" s="46"/>
      <c r="C18" s="47"/>
      <c r="D18" s="54"/>
      <c r="E18" s="7"/>
      <c r="F18" s="8"/>
      <c r="G18" s="8"/>
      <c r="H18" s="8"/>
      <c r="I18" s="8"/>
      <c r="J18" s="8"/>
      <c r="K18" s="8"/>
      <c r="L18" s="7"/>
    </row>
    <row r="19" spans="1:12" x14ac:dyDescent="0.25">
      <c r="A19" s="5">
        <f t="shared" si="0"/>
        <v>2.0016000000000034</v>
      </c>
      <c r="B19" s="6" t="s">
        <v>153</v>
      </c>
      <c r="C19" s="23" t="s">
        <v>151</v>
      </c>
      <c r="D19" s="54"/>
      <c r="E19" s="7"/>
      <c r="F19" s="8" t="s">
        <v>5</v>
      </c>
      <c r="G19" s="8">
        <f t="shared" si="1"/>
        <v>1</v>
      </c>
      <c r="H19" s="8">
        <f t="shared" si="1"/>
        <v>0</v>
      </c>
      <c r="I19" s="8">
        <f t="shared" si="1"/>
        <v>0</v>
      </c>
      <c r="J19" s="8">
        <f t="shared" si="1"/>
        <v>0</v>
      </c>
      <c r="K19" s="8">
        <f t="shared" si="1"/>
        <v>0</v>
      </c>
      <c r="L19" s="7"/>
    </row>
    <row r="20" spans="1:12" x14ac:dyDescent="0.25">
      <c r="A20" s="5">
        <f t="shared" si="0"/>
        <v>2.0017000000000036</v>
      </c>
      <c r="B20" s="6" t="s">
        <v>157</v>
      </c>
      <c r="C20" s="23" t="s">
        <v>158</v>
      </c>
      <c r="D20" s="54"/>
      <c r="E20" s="7"/>
      <c r="F20" s="8" t="s">
        <v>5</v>
      </c>
      <c r="G20" s="8">
        <f t="shared" si="1"/>
        <v>1</v>
      </c>
      <c r="H20" s="8">
        <f t="shared" si="1"/>
        <v>0</v>
      </c>
      <c r="I20" s="8">
        <f t="shared" si="1"/>
        <v>0</v>
      </c>
      <c r="J20" s="8">
        <f t="shared" si="1"/>
        <v>0</v>
      </c>
      <c r="K20" s="8">
        <f t="shared" si="1"/>
        <v>0</v>
      </c>
      <c r="L20" s="7"/>
    </row>
    <row r="21" spans="1:12" x14ac:dyDescent="0.25">
      <c r="A21" s="5">
        <f t="shared" si="0"/>
        <v>2.0018000000000038</v>
      </c>
      <c r="B21" s="6" t="s">
        <v>159</v>
      </c>
      <c r="C21" s="22" t="s">
        <v>160</v>
      </c>
      <c r="D21" s="54"/>
      <c r="E21" s="7"/>
      <c r="F21" s="8" t="s">
        <v>5</v>
      </c>
      <c r="G21" s="8">
        <f t="shared" si="1"/>
        <v>1</v>
      </c>
      <c r="H21" s="8">
        <f t="shared" si="1"/>
        <v>0</v>
      </c>
      <c r="I21" s="8">
        <f t="shared" si="1"/>
        <v>0</v>
      </c>
      <c r="J21" s="8">
        <f t="shared" si="1"/>
        <v>0</v>
      </c>
      <c r="K21" s="8">
        <f t="shared" si="1"/>
        <v>0</v>
      </c>
      <c r="L21" s="7"/>
    </row>
    <row r="22" spans="1:12" x14ac:dyDescent="0.25">
      <c r="A22" s="5">
        <f t="shared" si="0"/>
        <v>2.001900000000004</v>
      </c>
      <c r="B22" s="6" t="s">
        <v>161</v>
      </c>
      <c r="C22" s="22" t="s">
        <v>162</v>
      </c>
      <c r="D22" s="54"/>
      <c r="E22" s="7"/>
      <c r="F22" s="8" t="s">
        <v>5</v>
      </c>
      <c r="G22" s="8">
        <f t="shared" si="1"/>
        <v>1</v>
      </c>
      <c r="H22" s="8">
        <f t="shared" si="1"/>
        <v>0</v>
      </c>
      <c r="I22" s="8">
        <f t="shared" si="1"/>
        <v>0</v>
      </c>
      <c r="J22" s="8">
        <f t="shared" si="1"/>
        <v>0</v>
      </c>
      <c r="K22" s="8">
        <f t="shared" si="1"/>
        <v>0</v>
      </c>
      <c r="L22" s="7"/>
    </row>
    <row r="23" spans="1:12" x14ac:dyDescent="0.25">
      <c r="A23" s="5">
        <f t="shared" si="0"/>
        <v>2.0020000000000042</v>
      </c>
      <c r="B23" s="6" t="s">
        <v>154</v>
      </c>
      <c r="C23" s="30" t="s">
        <v>255</v>
      </c>
      <c r="D23" s="54"/>
      <c r="E23" s="7"/>
      <c r="F23" s="8" t="s">
        <v>5</v>
      </c>
      <c r="G23" s="8">
        <f t="shared" si="1"/>
        <v>1</v>
      </c>
      <c r="H23" s="8">
        <f t="shared" si="1"/>
        <v>0</v>
      </c>
      <c r="I23" s="8">
        <f t="shared" si="1"/>
        <v>0</v>
      </c>
      <c r="J23" s="8">
        <f t="shared" si="1"/>
        <v>0</v>
      </c>
      <c r="K23" s="8">
        <f t="shared" si="1"/>
        <v>0</v>
      </c>
      <c r="L23" s="7"/>
    </row>
    <row r="24" spans="1:12" x14ac:dyDescent="0.25">
      <c r="A24" s="5">
        <f t="shared" si="0"/>
        <v>2.0021000000000044</v>
      </c>
      <c r="B24" s="27" t="s">
        <v>155</v>
      </c>
      <c r="C24" s="30" t="s">
        <v>13</v>
      </c>
      <c r="D24" s="54"/>
      <c r="E24" s="7"/>
      <c r="F24" s="8" t="s">
        <v>5</v>
      </c>
      <c r="G24" s="8">
        <f t="shared" si="1"/>
        <v>1</v>
      </c>
      <c r="H24" s="8">
        <f t="shared" si="1"/>
        <v>0</v>
      </c>
      <c r="I24" s="8">
        <f t="shared" si="1"/>
        <v>0</v>
      </c>
      <c r="J24" s="8">
        <f t="shared" si="1"/>
        <v>0</v>
      </c>
      <c r="K24" s="8">
        <f t="shared" si="1"/>
        <v>0</v>
      </c>
      <c r="L24" s="7"/>
    </row>
    <row r="25" spans="1:12" x14ac:dyDescent="0.25">
      <c r="A25" s="5">
        <f t="shared" si="0"/>
        <v>2.0022000000000046</v>
      </c>
      <c r="B25" s="62"/>
      <c r="C25" s="61"/>
      <c r="D25" s="65"/>
      <c r="E25" s="7"/>
      <c r="F25" s="8"/>
      <c r="G25" s="8"/>
      <c r="H25" s="8"/>
      <c r="I25" s="8"/>
      <c r="J25" s="8"/>
      <c r="K25" s="8"/>
      <c r="L25" s="7"/>
    </row>
    <row r="26" spans="1:12" x14ac:dyDescent="0.25">
      <c r="A26" s="5">
        <f t="shared" si="0"/>
        <v>2.0023000000000049</v>
      </c>
      <c r="B26" s="48" t="s">
        <v>216</v>
      </c>
      <c r="C26" s="49" t="s">
        <v>230</v>
      </c>
      <c r="D26" s="18"/>
      <c r="E26" s="7"/>
      <c r="F26" s="8"/>
      <c r="G26" s="8"/>
      <c r="H26" s="8"/>
      <c r="I26" s="8"/>
      <c r="J26" s="8"/>
      <c r="K26" s="8"/>
      <c r="L26" s="7"/>
    </row>
    <row r="27" spans="1:12" x14ac:dyDescent="0.25">
      <c r="A27" s="5">
        <f t="shared" si="0"/>
        <v>2.0024000000000051</v>
      </c>
      <c r="B27" s="28" t="s">
        <v>174</v>
      </c>
      <c r="C27" s="22" t="s">
        <v>175</v>
      </c>
      <c r="D27" s="54"/>
      <c r="E27" s="7"/>
      <c r="F27" s="8" t="s">
        <v>5</v>
      </c>
      <c r="G27" s="8">
        <f t="shared" si="1"/>
        <v>1</v>
      </c>
      <c r="H27" s="8">
        <f t="shared" si="1"/>
        <v>0</v>
      </c>
      <c r="I27" s="8">
        <f t="shared" si="1"/>
        <v>0</v>
      </c>
      <c r="J27" s="8">
        <f t="shared" si="1"/>
        <v>0</v>
      </c>
      <c r="K27" s="8">
        <f t="shared" si="1"/>
        <v>0</v>
      </c>
      <c r="L27" s="7"/>
    </row>
    <row r="28" spans="1:12" x14ac:dyDescent="0.25">
      <c r="A28" s="5">
        <f t="shared" si="0"/>
        <v>2.0025000000000053</v>
      </c>
      <c r="B28" s="6"/>
      <c r="C28" s="23"/>
      <c r="D28" s="54"/>
      <c r="E28" s="7"/>
      <c r="F28" s="8"/>
      <c r="G28" s="8"/>
      <c r="H28" s="8"/>
      <c r="I28" s="8"/>
      <c r="J28" s="8"/>
      <c r="K28" s="8">
        <f t="shared" si="1"/>
        <v>0</v>
      </c>
      <c r="L28" s="7"/>
    </row>
    <row r="29" spans="1:12" ht="38.25" x14ac:dyDescent="0.25">
      <c r="A29" s="5">
        <f t="shared" si="0"/>
        <v>2.0026000000000055</v>
      </c>
      <c r="B29" s="63" t="s">
        <v>220</v>
      </c>
      <c r="C29" s="64" t="s">
        <v>211</v>
      </c>
      <c r="D29" s="54"/>
      <c r="E29" s="7"/>
      <c r="F29" s="8" t="s">
        <v>5</v>
      </c>
      <c r="G29" s="8">
        <f t="shared" si="1"/>
        <v>1</v>
      </c>
      <c r="H29" s="8">
        <f t="shared" si="1"/>
        <v>0</v>
      </c>
      <c r="I29" s="8">
        <f t="shared" si="1"/>
        <v>0</v>
      </c>
      <c r="J29" s="8">
        <f t="shared" si="1"/>
        <v>0</v>
      </c>
      <c r="K29" s="8">
        <f t="shared" si="1"/>
        <v>0</v>
      </c>
      <c r="L29" s="7"/>
    </row>
    <row r="30" spans="1:12" ht="38.25" x14ac:dyDescent="0.25">
      <c r="A30" s="5">
        <f t="shared" si="0"/>
        <v>2.0027000000000057</v>
      </c>
      <c r="B30" s="63" t="s">
        <v>219</v>
      </c>
      <c r="C30" s="64" t="s">
        <v>231</v>
      </c>
      <c r="D30" s="54"/>
      <c r="E30" s="7"/>
      <c r="F30" s="8" t="s">
        <v>5</v>
      </c>
      <c r="G30" s="8">
        <f t="shared" si="1"/>
        <v>1</v>
      </c>
      <c r="H30" s="8">
        <f t="shared" si="1"/>
        <v>0</v>
      </c>
      <c r="I30" s="8">
        <f t="shared" si="1"/>
        <v>0</v>
      </c>
      <c r="J30" s="8">
        <f t="shared" si="1"/>
        <v>0</v>
      </c>
      <c r="K30" s="8">
        <f t="shared" si="1"/>
        <v>0</v>
      </c>
      <c r="L30" s="7"/>
    </row>
    <row r="31" spans="1:12" x14ac:dyDescent="0.25">
      <c r="A31" s="5">
        <f t="shared" si="0"/>
        <v>2.0028000000000059</v>
      </c>
      <c r="B31" s="28"/>
      <c r="C31" s="22"/>
      <c r="D31" s="54"/>
      <c r="E31" s="7"/>
      <c r="F31" s="8"/>
      <c r="G31" s="8"/>
      <c r="H31" s="8"/>
      <c r="I31" s="8"/>
      <c r="J31" s="8"/>
      <c r="K31" s="8"/>
      <c r="L31" s="7"/>
    </row>
    <row r="32" spans="1:12" x14ac:dyDescent="0.25">
      <c r="A32" s="5">
        <f t="shared" si="0"/>
        <v>2.0029000000000061</v>
      </c>
      <c r="B32" s="6" t="s">
        <v>177</v>
      </c>
      <c r="C32" s="23" t="s">
        <v>178</v>
      </c>
      <c r="D32" s="54"/>
      <c r="E32" s="7"/>
      <c r="F32" s="8" t="s">
        <v>5</v>
      </c>
      <c r="G32" s="8">
        <f t="shared" ref="G32:K39" si="2">IF($F32=G$1,1,0)</f>
        <v>1</v>
      </c>
      <c r="H32" s="8">
        <f t="shared" si="2"/>
        <v>0</v>
      </c>
      <c r="I32" s="8">
        <f t="shared" si="2"/>
        <v>0</v>
      </c>
      <c r="J32" s="8">
        <f t="shared" si="2"/>
        <v>0</v>
      </c>
      <c r="K32" s="8">
        <f t="shared" si="2"/>
        <v>0</v>
      </c>
      <c r="L32" s="7"/>
    </row>
    <row r="33" spans="1:12" x14ac:dyDescent="0.25">
      <c r="A33" s="5">
        <f t="shared" si="0"/>
        <v>2.0030000000000063</v>
      </c>
      <c r="B33" s="6" t="s">
        <v>194</v>
      </c>
      <c r="C33" s="23" t="s">
        <v>195</v>
      </c>
      <c r="D33" s="54"/>
      <c r="E33" s="7"/>
      <c r="F33" s="8" t="s">
        <v>5</v>
      </c>
      <c r="G33" s="8">
        <f t="shared" si="2"/>
        <v>1</v>
      </c>
      <c r="H33" s="8">
        <f t="shared" si="2"/>
        <v>0</v>
      </c>
      <c r="I33" s="8">
        <f t="shared" si="2"/>
        <v>0</v>
      </c>
      <c r="J33" s="8">
        <f t="shared" si="2"/>
        <v>0</v>
      </c>
      <c r="K33" s="8">
        <f t="shared" si="2"/>
        <v>0</v>
      </c>
      <c r="L33" s="7"/>
    </row>
    <row r="34" spans="1:12" x14ac:dyDescent="0.25">
      <c r="A34" s="5">
        <f t="shared" si="0"/>
        <v>2.0031000000000065</v>
      </c>
      <c r="B34" s="6" t="s">
        <v>179</v>
      </c>
      <c r="C34" s="23" t="s">
        <v>193</v>
      </c>
      <c r="D34" s="54"/>
      <c r="E34" s="7"/>
      <c r="F34" s="8" t="s">
        <v>5</v>
      </c>
      <c r="G34" s="8">
        <f t="shared" si="2"/>
        <v>1</v>
      </c>
      <c r="H34" s="8">
        <f t="shared" si="2"/>
        <v>0</v>
      </c>
      <c r="I34" s="8">
        <f t="shared" si="2"/>
        <v>0</v>
      </c>
      <c r="J34" s="8">
        <f t="shared" si="2"/>
        <v>0</v>
      </c>
      <c r="K34" s="8">
        <f t="shared" si="2"/>
        <v>0</v>
      </c>
      <c r="L34" s="7"/>
    </row>
    <row r="35" spans="1:12" x14ac:dyDescent="0.25">
      <c r="A35" s="5">
        <f t="shared" si="0"/>
        <v>2.0032000000000068</v>
      </c>
      <c r="B35" s="6" t="s">
        <v>17</v>
      </c>
      <c r="C35" s="22" t="s">
        <v>18</v>
      </c>
      <c r="D35" s="54"/>
      <c r="E35" s="7"/>
      <c r="F35" s="8" t="s">
        <v>5</v>
      </c>
      <c r="G35" s="8">
        <f t="shared" si="2"/>
        <v>1</v>
      </c>
      <c r="H35" s="8">
        <f t="shared" si="2"/>
        <v>0</v>
      </c>
      <c r="I35" s="8">
        <f t="shared" si="2"/>
        <v>0</v>
      </c>
      <c r="J35" s="8">
        <f t="shared" si="2"/>
        <v>0</v>
      </c>
      <c r="K35" s="8">
        <f t="shared" si="2"/>
        <v>0</v>
      </c>
      <c r="L35" s="7"/>
    </row>
    <row r="36" spans="1:12" x14ac:dyDescent="0.25">
      <c r="A36" s="5">
        <f t="shared" si="0"/>
        <v>2.003300000000007</v>
      </c>
      <c r="B36" s="6" t="s">
        <v>19</v>
      </c>
      <c r="C36" s="23" t="s">
        <v>196</v>
      </c>
      <c r="D36" s="54"/>
      <c r="E36" s="7"/>
      <c r="F36" s="8" t="s">
        <v>5</v>
      </c>
      <c r="G36" s="8">
        <f t="shared" si="2"/>
        <v>1</v>
      </c>
      <c r="H36" s="8">
        <f t="shared" si="2"/>
        <v>0</v>
      </c>
      <c r="I36" s="8">
        <f t="shared" si="2"/>
        <v>0</v>
      </c>
      <c r="J36" s="8">
        <f t="shared" si="2"/>
        <v>0</v>
      </c>
      <c r="K36" s="8">
        <f t="shared" si="2"/>
        <v>0</v>
      </c>
      <c r="L36" s="7"/>
    </row>
    <row r="37" spans="1:12" x14ac:dyDescent="0.25">
      <c r="A37" s="5">
        <f t="shared" si="0"/>
        <v>2.0034000000000072</v>
      </c>
      <c r="B37" s="6" t="s">
        <v>23</v>
      </c>
      <c r="C37" s="22" t="s">
        <v>20</v>
      </c>
      <c r="D37" s="54"/>
      <c r="E37" s="7"/>
      <c r="F37" s="8" t="s">
        <v>5</v>
      </c>
      <c r="G37" s="8">
        <f t="shared" si="2"/>
        <v>1</v>
      </c>
      <c r="H37" s="8">
        <f t="shared" si="2"/>
        <v>0</v>
      </c>
      <c r="I37" s="8">
        <f t="shared" si="2"/>
        <v>0</v>
      </c>
      <c r="J37" s="8">
        <f t="shared" si="2"/>
        <v>0</v>
      </c>
      <c r="K37" s="8">
        <f t="shared" si="2"/>
        <v>0</v>
      </c>
      <c r="L37" s="7"/>
    </row>
    <row r="38" spans="1:12" x14ac:dyDescent="0.25">
      <c r="A38" s="5">
        <f t="shared" si="0"/>
        <v>2.0035000000000074</v>
      </c>
      <c r="B38" s="6"/>
      <c r="C38" s="22" t="s">
        <v>21</v>
      </c>
      <c r="D38" s="54"/>
      <c r="E38" s="7"/>
      <c r="F38" s="8" t="s">
        <v>5</v>
      </c>
      <c r="G38" s="8">
        <f t="shared" si="2"/>
        <v>1</v>
      </c>
      <c r="H38" s="8">
        <f t="shared" si="2"/>
        <v>0</v>
      </c>
      <c r="I38" s="8">
        <f t="shared" si="2"/>
        <v>0</v>
      </c>
      <c r="J38" s="8">
        <f t="shared" si="2"/>
        <v>0</v>
      </c>
      <c r="K38" s="8">
        <f t="shared" si="2"/>
        <v>0</v>
      </c>
      <c r="L38" s="7"/>
    </row>
    <row r="39" spans="1:12" ht="25.5" x14ac:dyDescent="0.25">
      <c r="A39" s="5">
        <f t="shared" si="0"/>
        <v>2.0036000000000076</v>
      </c>
      <c r="B39" s="6" t="s">
        <v>15</v>
      </c>
      <c r="C39" s="30" t="s">
        <v>197</v>
      </c>
      <c r="D39" s="54"/>
      <c r="E39" s="7"/>
      <c r="F39" s="8" t="s">
        <v>5</v>
      </c>
      <c r="G39" s="8">
        <f t="shared" si="2"/>
        <v>1</v>
      </c>
      <c r="H39" s="8">
        <f t="shared" si="2"/>
        <v>0</v>
      </c>
      <c r="I39" s="8">
        <f t="shared" si="2"/>
        <v>0</v>
      </c>
      <c r="J39" s="8">
        <f t="shared" si="2"/>
        <v>0</v>
      </c>
      <c r="K39" s="8">
        <f t="shared" si="2"/>
        <v>0</v>
      </c>
      <c r="L39" s="7"/>
    </row>
    <row r="40" spans="1:12" x14ac:dyDescent="0.25">
      <c r="A40" s="5">
        <f t="shared" si="0"/>
        <v>2.0037000000000078</v>
      </c>
      <c r="B40" s="28"/>
      <c r="C40" s="22"/>
      <c r="D40" s="54"/>
      <c r="E40" s="7"/>
      <c r="F40" s="8"/>
      <c r="G40" s="8"/>
      <c r="H40" s="8"/>
      <c r="I40" s="8"/>
      <c r="J40" s="8"/>
      <c r="K40" s="8"/>
      <c r="L40" s="7"/>
    </row>
    <row r="41" spans="1:12" x14ac:dyDescent="0.25">
      <c r="A41" s="5">
        <f t="shared" si="0"/>
        <v>2.003800000000008</v>
      </c>
      <c r="B41" s="66" t="s">
        <v>212</v>
      </c>
      <c r="C41" s="67" t="s">
        <v>214</v>
      </c>
      <c r="D41" s="67"/>
      <c r="E41" s="7"/>
      <c r="F41" s="8" t="s">
        <v>5</v>
      </c>
      <c r="G41" s="8">
        <f t="shared" ref="G41:K42" si="3">IF($F41=G$1,1,0)</f>
        <v>1</v>
      </c>
      <c r="H41" s="8">
        <f t="shared" si="3"/>
        <v>0</v>
      </c>
      <c r="I41" s="8">
        <f t="shared" si="3"/>
        <v>0</v>
      </c>
      <c r="J41" s="8">
        <f t="shared" si="3"/>
        <v>0</v>
      </c>
      <c r="K41" s="8">
        <f t="shared" si="3"/>
        <v>0</v>
      </c>
      <c r="L41" s="7"/>
    </row>
    <row r="42" spans="1:12" x14ac:dyDescent="0.25">
      <c r="A42" s="5">
        <f t="shared" si="0"/>
        <v>2.0039000000000082</v>
      </c>
      <c r="B42" s="66" t="s">
        <v>213</v>
      </c>
      <c r="C42" s="67" t="s">
        <v>215</v>
      </c>
      <c r="D42" s="67"/>
      <c r="E42" s="7"/>
      <c r="F42" s="8" t="s">
        <v>5</v>
      </c>
      <c r="G42" s="8">
        <f t="shared" si="3"/>
        <v>1</v>
      </c>
      <c r="H42" s="8">
        <f t="shared" si="3"/>
        <v>0</v>
      </c>
      <c r="I42" s="8">
        <f t="shared" si="3"/>
        <v>0</v>
      </c>
      <c r="J42" s="8">
        <f t="shared" si="3"/>
        <v>0</v>
      </c>
      <c r="K42" s="8">
        <f t="shared" si="3"/>
        <v>0</v>
      </c>
      <c r="L42" s="7"/>
    </row>
    <row r="43" spans="1:12" x14ac:dyDescent="0.25">
      <c r="A43" s="5">
        <f t="shared" si="0"/>
        <v>2.0040000000000084</v>
      </c>
      <c r="B43" s="6"/>
      <c r="C43" s="30"/>
      <c r="D43" s="54"/>
      <c r="E43" s="7"/>
      <c r="F43" s="8"/>
      <c r="G43" s="8"/>
      <c r="H43" s="8"/>
      <c r="I43" s="8"/>
      <c r="J43" s="8"/>
      <c r="K43" s="8"/>
      <c r="L43" s="34"/>
    </row>
    <row r="44" spans="1:12" x14ac:dyDescent="0.25">
      <c r="A44" s="5">
        <f t="shared" si="0"/>
        <v>2.0041000000000087</v>
      </c>
      <c r="B44" s="17" t="s">
        <v>185</v>
      </c>
      <c r="C44" s="18"/>
      <c r="D44" s="17"/>
      <c r="E44" s="7"/>
      <c r="F44" s="8"/>
      <c r="G44" s="8"/>
      <c r="H44" s="8"/>
      <c r="I44" s="8"/>
      <c r="J44" s="8"/>
      <c r="K44" s="8"/>
      <c r="L44" s="34"/>
    </row>
    <row r="45" spans="1:12" x14ac:dyDescent="0.25">
      <c r="A45" s="5">
        <f t="shared" si="0"/>
        <v>2.0042000000000089</v>
      </c>
      <c r="B45" s="6" t="s">
        <v>413</v>
      </c>
      <c r="C45" s="6" t="s">
        <v>414</v>
      </c>
      <c r="D45" s="7" t="s">
        <v>164</v>
      </c>
      <c r="E45" s="8"/>
      <c r="F45" s="8" t="s">
        <v>5</v>
      </c>
      <c r="G45" s="8">
        <f t="shared" ref="G45:K50" si="4">IF($F45=G$1,1,0)</f>
        <v>1</v>
      </c>
      <c r="H45" s="8">
        <f t="shared" si="4"/>
        <v>0</v>
      </c>
      <c r="I45" s="8">
        <f t="shared" si="4"/>
        <v>0</v>
      </c>
      <c r="J45" s="8">
        <f t="shared" si="4"/>
        <v>0</v>
      </c>
      <c r="K45" s="8">
        <f t="shared" si="4"/>
        <v>0</v>
      </c>
    </row>
    <row r="46" spans="1:12" x14ac:dyDescent="0.25">
      <c r="A46" s="5">
        <f t="shared" si="0"/>
        <v>2.0043000000000091</v>
      </c>
      <c r="B46" s="6" t="s">
        <v>104</v>
      </c>
      <c r="C46" s="6" t="s">
        <v>165</v>
      </c>
      <c r="D46" s="7" t="s">
        <v>187</v>
      </c>
      <c r="E46" s="8"/>
      <c r="F46" s="8" t="s">
        <v>5</v>
      </c>
      <c r="G46" s="8">
        <f t="shared" si="4"/>
        <v>1</v>
      </c>
      <c r="H46" s="8">
        <f t="shared" si="4"/>
        <v>0</v>
      </c>
      <c r="I46" s="8">
        <f t="shared" si="4"/>
        <v>0</v>
      </c>
      <c r="J46" s="8">
        <f t="shared" si="4"/>
        <v>0</v>
      </c>
      <c r="K46" s="8">
        <f t="shared" si="4"/>
        <v>0</v>
      </c>
    </row>
    <row r="47" spans="1:12" x14ac:dyDescent="0.25">
      <c r="A47" s="5">
        <f t="shared" si="0"/>
        <v>2.0044000000000093</v>
      </c>
      <c r="B47" s="6" t="s">
        <v>15</v>
      </c>
      <c r="C47" s="6" t="s">
        <v>105</v>
      </c>
      <c r="D47" s="7"/>
      <c r="E47" s="8"/>
      <c r="F47" s="8" t="s">
        <v>5</v>
      </c>
      <c r="G47" s="8">
        <f t="shared" si="4"/>
        <v>1</v>
      </c>
      <c r="H47" s="8">
        <f t="shared" si="4"/>
        <v>0</v>
      </c>
      <c r="I47" s="8">
        <f t="shared" si="4"/>
        <v>0</v>
      </c>
      <c r="J47" s="8">
        <f t="shared" si="4"/>
        <v>0</v>
      </c>
      <c r="K47" s="8">
        <f t="shared" si="4"/>
        <v>0</v>
      </c>
    </row>
    <row r="48" spans="1:12" ht="25.5" x14ac:dyDescent="0.25">
      <c r="A48" s="5">
        <f t="shared" si="0"/>
        <v>2.0045000000000095</v>
      </c>
      <c r="B48" s="6" t="s">
        <v>186</v>
      </c>
      <c r="C48" s="6" t="s">
        <v>103</v>
      </c>
      <c r="D48" s="7"/>
      <c r="E48" s="8"/>
      <c r="F48" s="8" t="s">
        <v>5</v>
      </c>
      <c r="G48" s="8">
        <f t="shared" si="4"/>
        <v>1</v>
      </c>
      <c r="H48" s="8">
        <f t="shared" si="4"/>
        <v>0</v>
      </c>
      <c r="I48" s="8">
        <f t="shared" si="4"/>
        <v>0</v>
      </c>
      <c r="J48" s="8">
        <f t="shared" si="4"/>
        <v>0</v>
      </c>
      <c r="K48" s="8">
        <f t="shared" si="4"/>
        <v>0</v>
      </c>
    </row>
    <row r="49" spans="1:11" x14ac:dyDescent="0.25">
      <c r="A49" s="5">
        <f t="shared" si="0"/>
        <v>2.0046000000000097</v>
      </c>
      <c r="B49" s="6" t="s">
        <v>104</v>
      </c>
      <c r="C49" s="6" t="s">
        <v>166</v>
      </c>
      <c r="D49" s="7"/>
      <c r="E49" s="8"/>
      <c r="F49" s="8" t="s">
        <v>5</v>
      </c>
      <c r="G49" s="8">
        <f t="shared" si="4"/>
        <v>1</v>
      </c>
      <c r="H49" s="8">
        <f t="shared" si="4"/>
        <v>0</v>
      </c>
      <c r="I49" s="8">
        <f t="shared" si="4"/>
        <v>0</v>
      </c>
      <c r="J49" s="8">
        <f t="shared" si="4"/>
        <v>0</v>
      </c>
      <c r="K49" s="8">
        <f t="shared" si="4"/>
        <v>0</v>
      </c>
    </row>
    <row r="50" spans="1:11" x14ac:dyDescent="0.25">
      <c r="A50" s="5">
        <f t="shared" si="0"/>
        <v>2.0047000000000099</v>
      </c>
      <c r="B50" s="6" t="s">
        <v>15</v>
      </c>
      <c r="C50" s="6" t="s">
        <v>105</v>
      </c>
      <c r="D50" s="7"/>
      <c r="E50" s="8"/>
      <c r="F50" s="8" t="s">
        <v>5</v>
      </c>
      <c r="G50" s="8">
        <f t="shared" si="4"/>
        <v>1</v>
      </c>
      <c r="H50" s="8">
        <f t="shared" si="4"/>
        <v>0</v>
      </c>
      <c r="I50" s="8">
        <f t="shared" si="4"/>
        <v>0</v>
      </c>
      <c r="J50" s="8">
        <f t="shared" si="4"/>
        <v>0</v>
      </c>
      <c r="K50" s="8">
        <f t="shared" si="4"/>
        <v>0</v>
      </c>
    </row>
    <row r="51" spans="1:11" x14ac:dyDescent="0.25">
      <c r="A51" s="5">
        <f t="shared" si="0"/>
        <v>2.0048000000000101</v>
      </c>
      <c r="B51" s="7"/>
      <c r="C51" s="23"/>
      <c r="D51" s="56"/>
      <c r="E51" s="8"/>
      <c r="F51" s="8"/>
      <c r="G51" s="8"/>
      <c r="H51" s="8"/>
      <c r="I51" s="8"/>
      <c r="J51" s="8"/>
      <c r="K51" s="8"/>
    </row>
    <row r="52" spans="1:11" x14ac:dyDescent="0.25">
      <c r="A52" s="5">
        <f t="shared" si="0"/>
        <v>2.0049000000000103</v>
      </c>
      <c r="B52" s="17" t="s">
        <v>48</v>
      </c>
      <c r="C52" s="17"/>
      <c r="D52" s="18"/>
      <c r="E52" s="8"/>
      <c r="F52" s="8"/>
      <c r="G52" s="8"/>
      <c r="H52" s="8"/>
      <c r="I52" s="8"/>
      <c r="J52" s="8"/>
      <c r="K52" s="8"/>
    </row>
    <row r="53" spans="1:11" x14ac:dyDescent="0.25">
      <c r="A53" s="5">
        <f t="shared" si="0"/>
        <v>2.0050000000000106</v>
      </c>
      <c r="B53" s="32" t="s">
        <v>24</v>
      </c>
      <c r="C53" s="6" t="s">
        <v>25</v>
      </c>
      <c r="D53" s="56"/>
      <c r="E53" s="8"/>
      <c r="F53" s="8" t="s">
        <v>5</v>
      </c>
      <c r="G53" s="8">
        <f t="shared" ref="G53:K62" si="5">IF($F53=G$1,1,0)</f>
        <v>1</v>
      </c>
      <c r="H53" s="8">
        <f t="shared" si="5"/>
        <v>0</v>
      </c>
      <c r="I53" s="8">
        <f t="shared" si="5"/>
        <v>0</v>
      </c>
      <c r="J53" s="8">
        <f t="shared" si="5"/>
        <v>0</v>
      </c>
      <c r="K53" s="8">
        <f t="shared" si="5"/>
        <v>0</v>
      </c>
    </row>
    <row r="54" spans="1:11" x14ac:dyDescent="0.25">
      <c r="A54" s="5">
        <f t="shared" si="0"/>
        <v>2.0051000000000108</v>
      </c>
      <c r="B54" s="7"/>
      <c r="C54" s="6" t="s">
        <v>26</v>
      </c>
      <c r="D54" s="56"/>
      <c r="E54" s="8"/>
      <c r="F54" s="8" t="s">
        <v>5</v>
      </c>
      <c r="G54" s="8">
        <f t="shared" si="5"/>
        <v>1</v>
      </c>
      <c r="H54" s="8">
        <f t="shared" si="5"/>
        <v>0</v>
      </c>
      <c r="I54" s="8">
        <f t="shared" si="5"/>
        <v>0</v>
      </c>
      <c r="J54" s="8">
        <f t="shared" si="5"/>
        <v>0</v>
      </c>
      <c r="K54" s="8">
        <f t="shared" si="5"/>
        <v>0</v>
      </c>
    </row>
    <row r="55" spans="1:11" x14ac:dyDescent="0.25">
      <c r="A55" s="5">
        <f t="shared" si="0"/>
        <v>2.005200000000011</v>
      </c>
      <c r="B55" s="7"/>
      <c r="C55" s="6" t="s">
        <v>43</v>
      </c>
      <c r="D55" s="56"/>
      <c r="E55" s="8"/>
      <c r="F55" s="8" t="s">
        <v>5</v>
      </c>
      <c r="G55" s="8">
        <f t="shared" si="5"/>
        <v>1</v>
      </c>
      <c r="H55" s="8">
        <f t="shared" si="5"/>
        <v>0</v>
      </c>
      <c r="I55" s="8">
        <f t="shared" si="5"/>
        <v>0</v>
      </c>
      <c r="J55" s="8">
        <f t="shared" si="5"/>
        <v>0</v>
      </c>
      <c r="K55" s="8">
        <f t="shared" si="5"/>
        <v>0</v>
      </c>
    </row>
    <row r="56" spans="1:11" x14ac:dyDescent="0.25">
      <c r="A56" s="5">
        <f t="shared" si="0"/>
        <v>2.0053000000000112</v>
      </c>
      <c r="B56" s="7"/>
      <c r="C56" s="6" t="s">
        <v>44</v>
      </c>
      <c r="D56" s="56"/>
      <c r="E56" s="8"/>
      <c r="F56" s="8" t="s">
        <v>5</v>
      </c>
      <c r="G56" s="8">
        <f t="shared" si="5"/>
        <v>1</v>
      </c>
      <c r="H56" s="8">
        <f t="shared" si="5"/>
        <v>0</v>
      </c>
      <c r="I56" s="8">
        <f t="shared" si="5"/>
        <v>0</v>
      </c>
      <c r="J56" s="8">
        <f t="shared" si="5"/>
        <v>0</v>
      </c>
      <c r="K56" s="8">
        <f t="shared" si="5"/>
        <v>0</v>
      </c>
    </row>
    <row r="57" spans="1:11" x14ac:dyDescent="0.25">
      <c r="A57" s="5">
        <f t="shared" si="0"/>
        <v>2.0054000000000114</v>
      </c>
      <c r="B57" s="7"/>
      <c r="C57" s="60" t="s">
        <v>32</v>
      </c>
      <c r="D57" s="56"/>
      <c r="E57" s="8"/>
      <c r="F57" s="8" t="s">
        <v>5</v>
      </c>
      <c r="G57" s="8">
        <f t="shared" si="5"/>
        <v>1</v>
      </c>
      <c r="H57" s="8">
        <f t="shared" si="5"/>
        <v>0</v>
      </c>
      <c r="I57" s="8">
        <f t="shared" si="5"/>
        <v>0</v>
      </c>
      <c r="J57" s="8">
        <f t="shared" si="5"/>
        <v>0</v>
      </c>
      <c r="K57" s="8">
        <f t="shared" si="5"/>
        <v>0</v>
      </c>
    </row>
    <row r="58" spans="1:11" x14ac:dyDescent="0.25">
      <c r="A58" s="5">
        <f t="shared" si="0"/>
        <v>2.0055000000000116</v>
      </c>
      <c r="B58" s="7"/>
      <c r="C58" s="60" t="s">
        <v>227</v>
      </c>
      <c r="D58" s="56"/>
      <c r="E58" s="8"/>
      <c r="F58" s="8" t="s">
        <v>5</v>
      </c>
      <c r="G58" s="8">
        <f t="shared" si="5"/>
        <v>1</v>
      </c>
      <c r="H58" s="8">
        <f t="shared" si="5"/>
        <v>0</v>
      </c>
      <c r="I58" s="8">
        <f t="shared" si="5"/>
        <v>0</v>
      </c>
      <c r="J58" s="8">
        <f t="shared" si="5"/>
        <v>0</v>
      </c>
      <c r="K58" s="8">
        <f t="shared" si="5"/>
        <v>0</v>
      </c>
    </row>
    <row r="59" spans="1:11" x14ac:dyDescent="0.25">
      <c r="A59" s="5">
        <f t="shared" si="0"/>
        <v>2.0056000000000118</v>
      </c>
      <c r="B59" s="7"/>
      <c r="C59" s="60" t="s">
        <v>232</v>
      </c>
      <c r="D59" s="56"/>
      <c r="E59" s="8"/>
      <c r="F59" s="8" t="s">
        <v>5</v>
      </c>
      <c r="G59" s="8">
        <f t="shared" si="5"/>
        <v>1</v>
      </c>
      <c r="H59" s="8">
        <f t="shared" si="5"/>
        <v>0</v>
      </c>
      <c r="I59" s="8">
        <f t="shared" si="5"/>
        <v>0</v>
      </c>
      <c r="J59" s="8">
        <f t="shared" si="5"/>
        <v>0</v>
      </c>
      <c r="K59" s="8">
        <f t="shared" si="5"/>
        <v>0</v>
      </c>
    </row>
    <row r="60" spans="1:11" x14ac:dyDescent="0.25">
      <c r="A60" s="5">
        <f t="shared" si="0"/>
        <v>2.005700000000012</v>
      </c>
      <c r="B60" s="7"/>
      <c r="C60" s="6" t="s">
        <v>45</v>
      </c>
      <c r="D60" s="56"/>
      <c r="E60" s="8"/>
      <c r="F60" s="8" t="s">
        <v>5</v>
      </c>
      <c r="G60" s="8">
        <f t="shared" si="5"/>
        <v>1</v>
      </c>
      <c r="H60" s="8">
        <f t="shared" si="5"/>
        <v>0</v>
      </c>
      <c r="I60" s="8">
        <f t="shared" si="5"/>
        <v>0</v>
      </c>
      <c r="J60" s="8">
        <f t="shared" si="5"/>
        <v>0</v>
      </c>
      <c r="K60" s="8">
        <f t="shared" si="5"/>
        <v>0</v>
      </c>
    </row>
    <row r="61" spans="1:11" x14ac:dyDescent="0.25">
      <c r="A61" s="5">
        <f t="shared" si="0"/>
        <v>2.0058000000000122</v>
      </c>
      <c r="B61" s="7"/>
      <c r="C61" s="6" t="s">
        <v>46</v>
      </c>
      <c r="D61" s="56"/>
      <c r="E61" s="8"/>
      <c r="F61" s="8" t="s">
        <v>5</v>
      </c>
      <c r="G61" s="8">
        <f t="shared" si="5"/>
        <v>1</v>
      </c>
      <c r="H61" s="8">
        <f t="shared" si="5"/>
        <v>0</v>
      </c>
      <c r="I61" s="8">
        <f t="shared" si="5"/>
        <v>0</v>
      </c>
      <c r="J61" s="8">
        <f t="shared" si="5"/>
        <v>0</v>
      </c>
      <c r="K61" s="8">
        <f t="shared" si="5"/>
        <v>0</v>
      </c>
    </row>
    <row r="62" spans="1:11" x14ac:dyDescent="0.25">
      <c r="A62" s="5">
        <f t="shared" si="0"/>
        <v>2.0059000000000125</v>
      </c>
      <c r="B62" s="7"/>
      <c r="C62" s="6" t="s">
        <v>47</v>
      </c>
      <c r="D62" s="56"/>
      <c r="E62" s="8"/>
      <c r="F62" s="8" t="s">
        <v>5</v>
      </c>
      <c r="G62" s="8">
        <f t="shared" si="5"/>
        <v>1</v>
      </c>
      <c r="H62" s="8">
        <f t="shared" si="5"/>
        <v>0</v>
      </c>
      <c r="I62" s="8">
        <f t="shared" si="5"/>
        <v>0</v>
      </c>
      <c r="J62" s="8">
        <f t="shared" si="5"/>
        <v>0</v>
      </c>
      <c r="K62" s="8">
        <f t="shared" si="5"/>
        <v>0</v>
      </c>
    </row>
    <row r="63" spans="1:11" x14ac:dyDescent="0.25">
      <c r="A63" s="5">
        <f t="shared" si="0"/>
        <v>2.0060000000000127</v>
      </c>
      <c r="B63" s="6"/>
      <c r="C63" s="6"/>
      <c r="D63" s="56"/>
      <c r="E63" s="8"/>
      <c r="F63" s="8"/>
      <c r="G63" s="8"/>
      <c r="H63" s="8"/>
      <c r="I63" s="8"/>
      <c r="J63" s="8"/>
      <c r="K63" s="8"/>
    </row>
    <row r="64" spans="1:11" x14ac:dyDescent="0.25">
      <c r="A64" s="5">
        <f t="shared" si="0"/>
        <v>2.0061000000000129</v>
      </c>
      <c r="B64" s="32" t="s">
        <v>29</v>
      </c>
      <c r="C64" s="27" t="s">
        <v>203</v>
      </c>
      <c r="D64" s="56"/>
      <c r="E64" s="8"/>
      <c r="F64" s="8" t="s">
        <v>5</v>
      </c>
      <c r="G64" s="8">
        <f t="shared" ref="G64:K68" si="6">IF($F64=G$1,1,0)</f>
        <v>1</v>
      </c>
      <c r="H64" s="8">
        <f t="shared" si="6"/>
        <v>0</v>
      </c>
      <c r="I64" s="8">
        <f t="shared" si="6"/>
        <v>0</v>
      </c>
      <c r="J64" s="8">
        <f t="shared" si="6"/>
        <v>0</v>
      </c>
      <c r="K64" s="8">
        <f t="shared" si="6"/>
        <v>0</v>
      </c>
    </row>
    <row r="65" spans="1:11" x14ac:dyDescent="0.25">
      <c r="A65" s="5">
        <f t="shared" si="0"/>
        <v>2.0062000000000131</v>
      </c>
      <c r="B65" s="7"/>
      <c r="C65" s="6" t="s">
        <v>49</v>
      </c>
      <c r="D65" s="56"/>
      <c r="E65" s="8"/>
      <c r="F65" s="8" t="s">
        <v>5</v>
      </c>
      <c r="G65" s="8">
        <f t="shared" si="6"/>
        <v>1</v>
      </c>
      <c r="H65" s="8">
        <f t="shared" si="6"/>
        <v>0</v>
      </c>
      <c r="I65" s="8">
        <f t="shared" si="6"/>
        <v>0</v>
      </c>
      <c r="J65" s="8">
        <f t="shared" si="6"/>
        <v>0</v>
      </c>
      <c r="K65" s="8">
        <f t="shared" si="6"/>
        <v>0</v>
      </c>
    </row>
    <row r="66" spans="1:11" x14ac:dyDescent="0.25">
      <c r="A66" s="5">
        <f t="shared" si="0"/>
        <v>2.0063000000000133</v>
      </c>
      <c r="B66" s="7"/>
      <c r="C66" s="6" t="s">
        <v>50</v>
      </c>
      <c r="D66" s="56"/>
      <c r="E66" s="8"/>
      <c r="F66" s="8" t="s">
        <v>5</v>
      </c>
      <c r="G66" s="8">
        <f t="shared" si="6"/>
        <v>1</v>
      </c>
      <c r="H66" s="8">
        <f t="shared" si="6"/>
        <v>0</v>
      </c>
      <c r="I66" s="8">
        <f t="shared" si="6"/>
        <v>0</v>
      </c>
      <c r="J66" s="8">
        <f t="shared" si="6"/>
        <v>0</v>
      </c>
      <c r="K66" s="8">
        <f t="shared" si="6"/>
        <v>0</v>
      </c>
    </row>
    <row r="67" spans="1:11" x14ac:dyDescent="0.25">
      <c r="A67" s="5">
        <f t="shared" si="0"/>
        <v>2.0064000000000135</v>
      </c>
      <c r="B67" s="7"/>
      <c r="C67" s="6" t="s">
        <v>31</v>
      </c>
      <c r="D67" s="56"/>
      <c r="E67" s="8"/>
      <c r="F67" s="8" t="s">
        <v>5</v>
      </c>
      <c r="G67" s="8">
        <f t="shared" si="6"/>
        <v>1</v>
      </c>
      <c r="H67" s="8">
        <f t="shared" si="6"/>
        <v>0</v>
      </c>
      <c r="I67" s="8">
        <f t="shared" si="6"/>
        <v>0</v>
      </c>
      <c r="J67" s="8">
        <f t="shared" si="6"/>
        <v>0</v>
      </c>
      <c r="K67" s="8">
        <f t="shared" si="6"/>
        <v>0</v>
      </c>
    </row>
    <row r="68" spans="1:11" x14ac:dyDescent="0.25">
      <c r="A68" s="5">
        <f t="shared" ref="A68:A120" si="7">A67+0.0001</f>
        <v>2.0065000000000137</v>
      </c>
      <c r="B68" s="7"/>
      <c r="C68" s="6"/>
      <c r="D68" s="56"/>
      <c r="E68" s="8"/>
      <c r="F68" s="8" t="s">
        <v>5</v>
      </c>
      <c r="G68" s="8">
        <f t="shared" si="6"/>
        <v>1</v>
      </c>
      <c r="H68" s="8">
        <f t="shared" si="6"/>
        <v>0</v>
      </c>
      <c r="I68" s="8">
        <f t="shared" si="6"/>
        <v>0</v>
      </c>
      <c r="J68" s="8">
        <f t="shared" si="6"/>
        <v>0</v>
      </c>
      <c r="K68" s="8">
        <f t="shared" si="6"/>
        <v>0</v>
      </c>
    </row>
    <row r="69" spans="1:11" x14ac:dyDescent="0.25">
      <c r="A69" s="5">
        <f t="shared" si="7"/>
        <v>2.0066000000000139</v>
      </c>
      <c r="B69" s="7"/>
      <c r="C69" s="6" t="s">
        <v>56</v>
      </c>
      <c r="D69" s="56"/>
      <c r="E69" s="8"/>
      <c r="F69" s="8"/>
      <c r="G69" s="8"/>
      <c r="H69" s="8"/>
      <c r="I69" s="8"/>
      <c r="J69" s="8"/>
      <c r="K69" s="8"/>
    </row>
    <row r="70" spans="1:11" x14ac:dyDescent="0.25">
      <c r="A70" s="5">
        <f t="shared" si="7"/>
        <v>2.0067000000000141</v>
      </c>
      <c r="B70" s="7"/>
      <c r="C70" s="6" t="s">
        <v>55</v>
      </c>
      <c r="D70" s="56"/>
      <c r="E70" s="8"/>
      <c r="F70" s="8" t="s">
        <v>5</v>
      </c>
      <c r="G70" s="8">
        <f t="shared" ref="G70:K74" si="8">IF($F70=G$1,1,0)</f>
        <v>1</v>
      </c>
      <c r="H70" s="8">
        <f t="shared" si="8"/>
        <v>0</v>
      </c>
      <c r="I70" s="8">
        <f t="shared" si="8"/>
        <v>0</v>
      </c>
      <c r="J70" s="8">
        <f t="shared" si="8"/>
        <v>0</v>
      </c>
      <c r="K70" s="8">
        <f t="shared" si="8"/>
        <v>0</v>
      </c>
    </row>
    <row r="71" spans="1:11" x14ac:dyDescent="0.25">
      <c r="A71" s="5">
        <f t="shared" si="7"/>
        <v>2.0068000000000144</v>
      </c>
      <c r="B71" s="7"/>
      <c r="C71" s="6" t="s">
        <v>54</v>
      </c>
      <c r="D71" s="56"/>
      <c r="E71" s="8"/>
      <c r="F71" s="8" t="s">
        <v>5</v>
      </c>
      <c r="G71" s="8">
        <f t="shared" si="8"/>
        <v>1</v>
      </c>
      <c r="H71" s="8">
        <f t="shared" si="8"/>
        <v>0</v>
      </c>
      <c r="I71" s="8">
        <f t="shared" si="8"/>
        <v>0</v>
      </c>
      <c r="J71" s="8">
        <f t="shared" si="8"/>
        <v>0</v>
      </c>
      <c r="K71" s="8">
        <f t="shared" si="8"/>
        <v>0</v>
      </c>
    </row>
    <row r="72" spans="1:11" x14ac:dyDescent="0.25">
      <c r="A72" s="5">
        <f t="shared" si="7"/>
        <v>2.0069000000000146</v>
      </c>
      <c r="B72" s="7"/>
      <c r="C72" s="6" t="s">
        <v>53</v>
      </c>
      <c r="D72" s="56"/>
      <c r="E72" s="8"/>
      <c r="F72" s="8" t="s">
        <v>5</v>
      </c>
      <c r="G72" s="8">
        <f t="shared" si="8"/>
        <v>1</v>
      </c>
      <c r="H72" s="8">
        <f t="shared" si="8"/>
        <v>0</v>
      </c>
      <c r="I72" s="8">
        <f t="shared" si="8"/>
        <v>0</v>
      </c>
      <c r="J72" s="8">
        <f t="shared" si="8"/>
        <v>0</v>
      </c>
      <c r="K72" s="8">
        <f t="shared" si="8"/>
        <v>0</v>
      </c>
    </row>
    <row r="73" spans="1:11" x14ac:dyDescent="0.25">
      <c r="A73" s="5">
        <f t="shared" si="7"/>
        <v>2.0070000000000148</v>
      </c>
      <c r="B73" s="7"/>
      <c r="C73" s="6" t="s">
        <v>52</v>
      </c>
      <c r="D73" s="56"/>
      <c r="E73" s="8"/>
      <c r="F73" s="8" t="s">
        <v>5</v>
      </c>
      <c r="G73" s="8">
        <f t="shared" si="8"/>
        <v>1</v>
      </c>
      <c r="H73" s="8">
        <f t="shared" si="8"/>
        <v>0</v>
      </c>
      <c r="I73" s="8">
        <f t="shared" si="8"/>
        <v>0</v>
      </c>
      <c r="J73" s="8">
        <f t="shared" si="8"/>
        <v>0</v>
      </c>
      <c r="K73" s="8">
        <f t="shared" si="8"/>
        <v>0</v>
      </c>
    </row>
    <row r="74" spans="1:11" x14ac:dyDescent="0.25">
      <c r="A74" s="5">
        <f t="shared" si="7"/>
        <v>2.007100000000015</v>
      </c>
      <c r="B74" s="6"/>
      <c r="C74" s="6" t="s">
        <v>51</v>
      </c>
      <c r="D74" s="56"/>
      <c r="E74" s="8"/>
      <c r="F74" s="8" t="s">
        <v>5</v>
      </c>
      <c r="G74" s="8">
        <f t="shared" si="8"/>
        <v>1</v>
      </c>
      <c r="H74" s="8">
        <f t="shared" si="8"/>
        <v>0</v>
      </c>
      <c r="I74" s="8">
        <f t="shared" si="8"/>
        <v>0</v>
      </c>
      <c r="J74" s="8">
        <f t="shared" si="8"/>
        <v>0</v>
      </c>
      <c r="K74" s="8">
        <f t="shared" si="8"/>
        <v>0</v>
      </c>
    </row>
    <row r="75" spans="1:11" x14ac:dyDescent="0.25">
      <c r="A75" s="5">
        <f t="shared" si="7"/>
        <v>2.0072000000000152</v>
      </c>
      <c r="B75" s="6"/>
      <c r="C75" s="22"/>
      <c r="D75" s="56"/>
      <c r="E75" s="8"/>
      <c r="F75" s="8"/>
      <c r="G75" s="8"/>
      <c r="H75" s="8"/>
      <c r="I75" s="8"/>
      <c r="J75" s="8"/>
      <c r="K75" s="8"/>
    </row>
    <row r="76" spans="1:11" x14ac:dyDescent="0.25">
      <c r="A76" s="5">
        <f t="shared" si="7"/>
        <v>2.0073000000000154</v>
      </c>
      <c r="B76" s="17" t="s">
        <v>36</v>
      </c>
      <c r="C76" s="17"/>
      <c r="D76" s="18"/>
      <c r="E76" s="8"/>
      <c r="F76" s="8"/>
      <c r="G76" s="8"/>
      <c r="H76" s="8"/>
      <c r="I76" s="8"/>
      <c r="J76" s="8"/>
      <c r="K76" s="8"/>
    </row>
    <row r="77" spans="1:11" x14ac:dyDescent="0.25">
      <c r="A77" s="5">
        <f t="shared" si="7"/>
        <v>2.0074000000000156</v>
      </c>
      <c r="B77" s="7" t="s">
        <v>41</v>
      </c>
      <c r="C77" s="6" t="s">
        <v>38</v>
      </c>
      <c r="D77" s="56"/>
      <c r="E77" s="8"/>
      <c r="F77" s="8" t="s">
        <v>5</v>
      </c>
      <c r="G77" s="8">
        <f t="shared" ref="G77:K80" si="9">IF($F77=G$1,1,0)</f>
        <v>1</v>
      </c>
      <c r="H77" s="8">
        <f t="shared" si="9"/>
        <v>0</v>
      </c>
      <c r="I77" s="8">
        <f t="shared" si="9"/>
        <v>0</v>
      </c>
      <c r="J77" s="8">
        <f t="shared" si="9"/>
        <v>0</v>
      </c>
      <c r="K77" s="8">
        <f t="shared" si="9"/>
        <v>0</v>
      </c>
    </row>
    <row r="78" spans="1:11" x14ac:dyDescent="0.25">
      <c r="A78" s="5">
        <f t="shared" si="7"/>
        <v>2.0075000000000158</v>
      </c>
      <c r="B78" s="7"/>
      <c r="C78" s="6" t="s">
        <v>39</v>
      </c>
      <c r="D78" s="56"/>
      <c r="E78" s="8"/>
      <c r="F78" s="8" t="s">
        <v>5</v>
      </c>
      <c r="G78" s="8">
        <f t="shared" si="9"/>
        <v>1</v>
      </c>
      <c r="H78" s="8">
        <f t="shared" si="9"/>
        <v>0</v>
      </c>
      <c r="I78" s="8">
        <f t="shared" si="9"/>
        <v>0</v>
      </c>
      <c r="J78" s="8">
        <f t="shared" si="9"/>
        <v>0</v>
      </c>
      <c r="K78" s="8">
        <f t="shared" si="9"/>
        <v>0</v>
      </c>
    </row>
    <row r="79" spans="1:11" x14ac:dyDescent="0.25">
      <c r="A79" s="5">
        <f t="shared" si="7"/>
        <v>2.007600000000016</v>
      </c>
      <c r="B79" s="7"/>
      <c r="C79" s="6" t="s">
        <v>40</v>
      </c>
      <c r="D79" s="56"/>
      <c r="E79" s="8"/>
      <c r="F79" s="8" t="s">
        <v>5</v>
      </c>
      <c r="G79" s="8">
        <f t="shared" si="9"/>
        <v>1</v>
      </c>
      <c r="H79" s="8">
        <f t="shared" si="9"/>
        <v>0</v>
      </c>
      <c r="I79" s="8">
        <f t="shared" si="9"/>
        <v>0</v>
      </c>
      <c r="J79" s="8">
        <f t="shared" si="9"/>
        <v>0</v>
      </c>
      <c r="K79" s="8">
        <f t="shared" si="9"/>
        <v>0</v>
      </c>
    </row>
    <row r="80" spans="1:11" ht="25.5" x14ac:dyDescent="0.25">
      <c r="A80" s="5">
        <f t="shared" si="7"/>
        <v>2.0077000000000162</v>
      </c>
      <c r="B80" s="7"/>
      <c r="C80" s="6" t="s">
        <v>42</v>
      </c>
      <c r="D80" s="56"/>
      <c r="E80" s="8"/>
      <c r="F80" s="8" t="s">
        <v>5</v>
      </c>
      <c r="G80" s="8">
        <f t="shared" si="9"/>
        <v>1</v>
      </c>
      <c r="H80" s="8">
        <f t="shared" si="9"/>
        <v>0</v>
      </c>
      <c r="I80" s="8">
        <f t="shared" si="9"/>
        <v>0</v>
      </c>
      <c r="J80" s="8">
        <f t="shared" si="9"/>
        <v>0</v>
      </c>
      <c r="K80" s="8">
        <f t="shared" si="9"/>
        <v>0</v>
      </c>
    </row>
    <row r="81" spans="1:11" x14ac:dyDescent="0.25">
      <c r="A81" s="5">
        <f t="shared" si="7"/>
        <v>2.0078000000000165</v>
      </c>
      <c r="B81" s="7"/>
      <c r="C81" s="6"/>
      <c r="D81" s="56"/>
      <c r="E81" s="8"/>
      <c r="F81" s="8"/>
      <c r="G81" s="8"/>
      <c r="H81" s="8"/>
      <c r="I81" s="8"/>
      <c r="J81" s="8"/>
      <c r="K81" s="8"/>
    </row>
    <row r="82" spans="1:11" x14ac:dyDescent="0.25">
      <c r="A82" s="5">
        <f t="shared" si="7"/>
        <v>2.0079000000000167</v>
      </c>
      <c r="B82" s="42"/>
      <c r="C82" s="43"/>
      <c r="D82" s="54"/>
      <c r="E82" s="8"/>
      <c r="F82" s="8"/>
      <c r="G82" s="8"/>
      <c r="H82" s="8"/>
      <c r="I82" s="8"/>
      <c r="J82" s="8"/>
      <c r="K82" s="8"/>
    </row>
    <row r="83" spans="1:11" x14ac:dyDescent="0.25">
      <c r="A83" s="5">
        <f t="shared" si="7"/>
        <v>2.0080000000000169</v>
      </c>
      <c r="B83" s="17" t="s">
        <v>204</v>
      </c>
      <c r="C83" s="17"/>
      <c r="D83" s="17"/>
      <c r="E83" s="8"/>
      <c r="F83" s="8"/>
      <c r="G83" s="8"/>
      <c r="H83" s="8"/>
      <c r="I83" s="8"/>
      <c r="J83" s="8"/>
      <c r="K83" s="8"/>
    </row>
    <row r="84" spans="1:11" x14ac:dyDescent="0.25">
      <c r="A84" s="5">
        <f t="shared" si="7"/>
        <v>2.0081000000000171</v>
      </c>
      <c r="B84" s="7" t="s">
        <v>205</v>
      </c>
      <c r="C84" s="6" t="s">
        <v>206</v>
      </c>
      <c r="D84" s="71"/>
      <c r="E84" s="8"/>
      <c r="F84" s="8" t="s">
        <v>5</v>
      </c>
      <c r="G84" s="8">
        <f t="shared" ref="G84:K90" si="10">IF($F84=G$1,1,0)</f>
        <v>1</v>
      </c>
      <c r="H84" s="8">
        <f t="shared" si="10"/>
        <v>0</v>
      </c>
      <c r="I84" s="8">
        <f t="shared" si="10"/>
        <v>0</v>
      </c>
      <c r="J84" s="8">
        <f t="shared" si="10"/>
        <v>0</v>
      </c>
      <c r="K84" s="8">
        <f t="shared" si="10"/>
        <v>0</v>
      </c>
    </row>
    <row r="85" spans="1:11" x14ac:dyDescent="0.25">
      <c r="A85" s="5">
        <f t="shared" si="7"/>
        <v>2.0082000000000173</v>
      </c>
      <c r="B85" s="7" t="s">
        <v>110</v>
      </c>
      <c r="C85" s="6" t="s">
        <v>111</v>
      </c>
      <c r="D85" s="71"/>
      <c r="E85" s="8"/>
      <c r="F85" s="8" t="s">
        <v>5</v>
      </c>
      <c r="G85" s="8">
        <f t="shared" si="10"/>
        <v>1</v>
      </c>
      <c r="H85" s="8">
        <f t="shared" si="10"/>
        <v>0</v>
      </c>
      <c r="I85" s="8">
        <f t="shared" si="10"/>
        <v>0</v>
      </c>
      <c r="J85" s="8">
        <f t="shared" si="10"/>
        <v>0</v>
      </c>
      <c r="K85" s="8">
        <f t="shared" si="10"/>
        <v>0</v>
      </c>
    </row>
    <row r="86" spans="1:11" x14ac:dyDescent="0.25">
      <c r="A86" s="5">
        <f t="shared" si="7"/>
        <v>2.0083000000000175</v>
      </c>
      <c r="B86" s="7" t="s">
        <v>112</v>
      </c>
      <c r="C86" s="27" t="s">
        <v>113</v>
      </c>
      <c r="D86" s="71"/>
      <c r="E86" s="8"/>
      <c r="F86" s="8" t="s">
        <v>5</v>
      </c>
      <c r="G86" s="8">
        <f t="shared" si="10"/>
        <v>1</v>
      </c>
      <c r="H86" s="8">
        <f t="shared" si="10"/>
        <v>0</v>
      </c>
      <c r="I86" s="8">
        <f t="shared" si="10"/>
        <v>0</v>
      </c>
      <c r="J86" s="8">
        <f t="shared" si="10"/>
        <v>0</v>
      </c>
      <c r="K86" s="8">
        <f t="shared" si="10"/>
        <v>0</v>
      </c>
    </row>
    <row r="87" spans="1:11" x14ac:dyDescent="0.25">
      <c r="A87" s="5">
        <f t="shared" si="7"/>
        <v>2.0084000000000177</v>
      </c>
      <c r="B87" s="7"/>
      <c r="C87" s="27" t="s">
        <v>114</v>
      </c>
      <c r="D87" s="71"/>
      <c r="E87" s="8"/>
      <c r="F87" s="8" t="s">
        <v>5</v>
      </c>
      <c r="G87" s="8">
        <f t="shared" si="10"/>
        <v>1</v>
      </c>
      <c r="H87" s="8">
        <f t="shared" si="10"/>
        <v>0</v>
      </c>
      <c r="I87" s="8">
        <f t="shared" si="10"/>
        <v>0</v>
      </c>
      <c r="J87" s="8">
        <f t="shared" si="10"/>
        <v>0</v>
      </c>
      <c r="K87" s="8">
        <f t="shared" si="10"/>
        <v>0</v>
      </c>
    </row>
    <row r="88" spans="1:11" x14ac:dyDescent="0.25">
      <c r="A88" s="5">
        <f t="shared" si="7"/>
        <v>2.0085000000000179</v>
      </c>
      <c r="B88" s="7"/>
      <c r="C88" s="6" t="s">
        <v>115</v>
      </c>
      <c r="D88" s="71"/>
      <c r="E88" s="8"/>
      <c r="F88" s="8" t="s">
        <v>5</v>
      </c>
      <c r="G88" s="8">
        <f t="shared" si="10"/>
        <v>1</v>
      </c>
      <c r="H88" s="8">
        <f t="shared" si="10"/>
        <v>0</v>
      </c>
      <c r="I88" s="8">
        <f t="shared" si="10"/>
        <v>0</v>
      </c>
      <c r="J88" s="8">
        <f t="shared" si="10"/>
        <v>0</v>
      </c>
      <c r="K88" s="8">
        <f t="shared" si="10"/>
        <v>0</v>
      </c>
    </row>
    <row r="89" spans="1:11" x14ac:dyDescent="0.25">
      <c r="A89" s="5">
        <f t="shared" si="7"/>
        <v>2.0086000000000181</v>
      </c>
      <c r="B89" s="7"/>
      <c r="C89" s="27" t="s">
        <v>116</v>
      </c>
      <c r="D89" s="71"/>
      <c r="E89" s="8"/>
      <c r="F89" s="8" t="s">
        <v>5</v>
      </c>
      <c r="G89" s="8">
        <f t="shared" si="10"/>
        <v>1</v>
      </c>
      <c r="H89" s="8">
        <f t="shared" si="10"/>
        <v>0</v>
      </c>
      <c r="I89" s="8">
        <f t="shared" si="10"/>
        <v>0</v>
      </c>
      <c r="J89" s="8">
        <f t="shared" si="10"/>
        <v>0</v>
      </c>
      <c r="K89" s="8">
        <f t="shared" si="10"/>
        <v>0</v>
      </c>
    </row>
    <row r="90" spans="1:11" x14ac:dyDescent="0.25">
      <c r="A90" s="5">
        <f t="shared" si="7"/>
        <v>2.0087000000000184</v>
      </c>
      <c r="B90" s="62" t="s">
        <v>250</v>
      </c>
      <c r="C90" s="62" t="s">
        <v>247</v>
      </c>
      <c r="D90" s="71"/>
      <c r="E90" s="8"/>
      <c r="F90" s="8" t="s">
        <v>5</v>
      </c>
      <c r="G90" s="8">
        <f t="shared" si="10"/>
        <v>1</v>
      </c>
      <c r="H90" s="8">
        <f t="shared" si="10"/>
        <v>0</v>
      </c>
      <c r="I90" s="8">
        <f t="shared" si="10"/>
        <v>0</v>
      </c>
      <c r="J90" s="8">
        <f t="shared" si="10"/>
        <v>0</v>
      </c>
      <c r="K90" s="8">
        <f t="shared" si="10"/>
        <v>0</v>
      </c>
    </row>
    <row r="91" spans="1:11" x14ac:dyDescent="0.25">
      <c r="A91" s="5">
        <f t="shared" si="7"/>
        <v>2.0088000000000186</v>
      </c>
      <c r="B91" s="6"/>
      <c r="C91" s="69"/>
      <c r="D91" s="71"/>
      <c r="E91" s="8"/>
      <c r="F91" s="8"/>
      <c r="G91" s="8"/>
      <c r="H91" s="8"/>
      <c r="I91" s="8"/>
      <c r="J91" s="8"/>
      <c r="K91" s="8"/>
    </row>
    <row r="92" spans="1:11" x14ac:dyDescent="0.25">
      <c r="A92" s="5">
        <f t="shared" si="7"/>
        <v>2.0089000000000188</v>
      </c>
      <c r="B92" s="62" t="s">
        <v>251</v>
      </c>
      <c r="C92" s="62" t="s">
        <v>247</v>
      </c>
      <c r="D92" s="71"/>
      <c r="E92" s="8"/>
      <c r="F92" s="8" t="s">
        <v>5</v>
      </c>
      <c r="G92" s="8">
        <f t="shared" ref="G92:K94" si="11">IF($F92=G$1,1,0)</f>
        <v>1</v>
      </c>
      <c r="H92" s="8">
        <f t="shared" si="11"/>
        <v>0</v>
      </c>
      <c r="I92" s="8">
        <f t="shared" si="11"/>
        <v>0</v>
      </c>
      <c r="J92" s="8">
        <f t="shared" si="11"/>
        <v>0</v>
      </c>
      <c r="K92" s="8">
        <f t="shared" si="11"/>
        <v>0</v>
      </c>
    </row>
    <row r="93" spans="1:11" x14ac:dyDescent="0.25">
      <c r="A93" s="5">
        <f t="shared" si="7"/>
        <v>2.009000000000019</v>
      </c>
      <c r="B93" s="6"/>
      <c r="C93" s="60" t="s">
        <v>248</v>
      </c>
      <c r="D93" s="71"/>
      <c r="E93" s="8"/>
      <c r="F93" s="8" t="s">
        <v>5</v>
      </c>
      <c r="G93" s="8">
        <f t="shared" si="11"/>
        <v>1</v>
      </c>
      <c r="H93" s="8">
        <f t="shared" si="11"/>
        <v>0</v>
      </c>
      <c r="I93" s="8">
        <f t="shared" si="11"/>
        <v>0</v>
      </c>
      <c r="J93" s="8">
        <f t="shared" si="11"/>
        <v>0</v>
      </c>
      <c r="K93" s="8">
        <f t="shared" si="11"/>
        <v>0</v>
      </c>
    </row>
    <row r="94" spans="1:11" x14ac:dyDescent="0.25">
      <c r="A94" s="5">
        <f t="shared" si="7"/>
        <v>2.0091000000000192</v>
      </c>
      <c r="B94" s="6"/>
      <c r="C94" s="60" t="s">
        <v>249</v>
      </c>
      <c r="D94" s="71"/>
      <c r="E94" s="8"/>
      <c r="F94" s="8" t="s">
        <v>5</v>
      </c>
      <c r="G94" s="8">
        <f t="shared" si="11"/>
        <v>1</v>
      </c>
      <c r="H94" s="8">
        <f t="shared" si="11"/>
        <v>0</v>
      </c>
      <c r="I94" s="8">
        <f t="shared" si="11"/>
        <v>0</v>
      </c>
      <c r="J94" s="8">
        <f t="shared" si="11"/>
        <v>0</v>
      </c>
      <c r="K94" s="8">
        <f t="shared" si="11"/>
        <v>0</v>
      </c>
    </row>
    <row r="95" spans="1:11" x14ac:dyDescent="0.25">
      <c r="A95" s="5">
        <f t="shared" si="7"/>
        <v>2.0092000000000194</v>
      </c>
      <c r="B95" s="6"/>
      <c r="C95" s="69"/>
      <c r="D95" s="71"/>
      <c r="E95" s="8"/>
      <c r="F95" s="8"/>
      <c r="G95" s="8"/>
      <c r="H95" s="8"/>
      <c r="I95" s="8"/>
      <c r="J95" s="8"/>
      <c r="K95" s="8"/>
    </row>
    <row r="96" spans="1:11" x14ac:dyDescent="0.25">
      <c r="A96" s="5">
        <f t="shared" si="7"/>
        <v>2.0093000000000196</v>
      </c>
      <c r="B96" s="6"/>
      <c r="C96" s="6" t="s">
        <v>117</v>
      </c>
      <c r="D96" s="71"/>
      <c r="E96" s="8"/>
      <c r="F96" s="8" t="s">
        <v>5</v>
      </c>
      <c r="G96" s="8">
        <f t="shared" ref="G96:K98" si="12">IF($F96=G$1,1,0)</f>
        <v>1</v>
      </c>
      <c r="H96" s="8">
        <f t="shared" si="12"/>
        <v>0</v>
      </c>
      <c r="I96" s="8">
        <f t="shared" si="12"/>
        <v>0</v>
      </c>
      <c r="J96" s="8">
        <f t="shared" si="12"/>
        <v>0</v>
      </c>
      <c r="K96" s="8">
        <f t="shared" si="12"/>
        <v>0</v>
      </c>
    </row>
    <row r="97" spans="1:11" x14ac:dyDescent="0.25">
      <c r="A97" s="5">
        <f t="shared" si="7"/>
        <v>2.0094000000000198</v>
      </c>
      <c r="B97" s="6"/>
      <c r="C97" s="6" t="s">
        <v>118</v>
      </c>
      <c r="D97" s="71"/>
      <c r="E97" s="8"/>
      <c r="F97" s="8" t="s">
        <v>5</v>
      </c>
      <c r="G97" s="8">
        <f t="shared" si="12"/>
        <v>1</v>
      </c>
      <c r="H97" s="8">
        <f t="shared" si="12"/>
        <v>0</v>
      </c>
      <c r="I97" s="8">
        <f t="shared" si="12"/>
        <v>0</v>
      </c>
      <c r="J97" s="8">
        <f t="shared" si="12"/>
        <v>0</v>
      </c>
      <c r="K97" s="8">
        <f t="shared" si="12"/>
        <v>0</v>
      </c>
    </row>
    <row r="98" spans="1:11" x14ac:dyDescent="0.25">
      <c r="A98" s="5">
        <f t="shared" si="7"/>
        <v>2.00950000000002</v>
      </c>
      <c r="B98" s="6"/>
      <c r="C98" s="6" t="s">
        <v>119</v>
      </c>
      <c r="D98" s="71"/>
      <c r="E98" s="8"/>
      <c r="F98" s="8" t="s">
        <v>5</v>
      </c>
      <c r="G98" s="8">
        <f t="shared" si="12"/>
        <v>1</v>
      </c>
      <c r="H98" s="8">
        <f t="shared" si="12"/>
        <v>0</v>
      </c>
      <c r="I98" s="8">
        <f t="shared" si="12"/>
        <v>0</v>
      </c>
      <c r="J98" s="8">
        <f t="shared" si="12"/>
        <v>0</v>
      </c>
      <c r="K98" s="8">
        <f t="shared" si="12"/>
        <v>0</v>
      </c>
    </row>
    <row r="99" spans="1:11" x14ac:dyDescent="0.25">
      <c r="A99" s="5">
        <f t="shared" si="7"/>
        <v>2.0096000000000203</v>
      </c>
      <c r="B99" s="6"/>
      <c r="C99" s="6"/>
      <c r="D99" s="71"/>
      <c r="E99" s="8"/>
      <c r="F99" s="8"/>
      <c r="G99" s="8"/>
      <c r="H99" s="8"/>
      <c r="I99" s="8"/>
      <c r="J99" s="8"/>
      <c r="K99" s="8"/>
    </row>
    <row r="100" spans="1:11" x14ac:dyDescent="0.25">
      <c r="A100" s="5">
        <f t="shared" si="7"/>
        <v>2.0097000000000205</v>
      </c>
      <c r="B100" s="6" t="s">
        <v>120</v>
      </c>
      <c r="C100" s="6" t="s">
        <v>209</v>
      </c>
      <c r="D100" s="71"/>
      <c r="E100" s="8"/>
      <c r="F100" s="8" t="s">
        <v>5</v>
      </c>
      <c r="G100" s="8">
        <f t="shared" ref="G100:K103" si="13">IF($F100=G$1,1,0)</f>
        <v>1</v>
      </c>
      <c r="H100" s="8">
        <f t="shared" si="13"/>
        <v>0</v>
      </c>
      <c r="I100" s="8">
        <f t="shared" si="13"/>
        <v>0</v>
      </c>
      <c r="J100" s="8">
        <f t="shared" si="13"/>
        <v>0</v>
      </c>
      <c r="K100" s="8">
        <f t="shared" si="13"/>
        <v>0</v>
      </c>
    </row>
    <row r="101" spans="1:11" x14ac:dyDescent="0.25">
      <c r="A101" s="5">
        <f t="shared" si="7"/>
        <v>2.0098000000000207</v>
      </c>
      <c r="B101" s="6" t="s">
        <v>207</v>
      </c>
      <c r="C101" s="27" t="s">
        <v>208</v>
      </c>
      <c r="D101" s="71"/>
      <c r="E101" s="8"/>
      <c r="F101" s="8" t="s">
        <v>5</v>
      </c>
      <c r="G101" s="8">
        <f t="shared" si="13"/>
        <v>1</v>
      </c>
      <c r="H101" s="8">
        <f t="shared" si="13"/>
        <v>0</v>
      </c>
      <c r="I101" s="8">
        <f t="shared" si="13"/>
        <v>0</v>
      </c>
      <c r="J101" s="8">
        <f t="shared" si="13"/>
        <v>0</v>
      </c>
      <c r="K101" s="8">
        <f t="shared" si="13"/>
        <v>0</v>
      </c>
    </row>
    <row r="102" spans="1:11" x14ac:dyDescent="0.25">
      <c r="A102" s="5">
        <f t="shared" si="7"/>
        <v>2.0099000000000209</v>
      </c>
      <c r="B102" s="6"/>
      <c r="C102" s="6" t="s">
        <v>121</v>
      </c>
      <c r="D102" s="71"/>
      <c r="E102" s="8"/>
      <c r="F102" s="8" t="s">
        <v>5</v>
      </c>
      <c r="G102" s="8">
        <f t="shared" si="13"/>
        <v>1</v>
      </c>
      <c r="H102" s="8">
        <f t="shared" si="13"/>
        <v>0</v>
      </c>
      <c r="I102" s="8">
        <f t="shared" si="13"/>
        <v>0</v>
      </c>
      <c r="J102" s="8">
        <f t="shared" si="13"/>
        <v>0</v>
      </c>
      <c r="K102" s="8">
        <f t="shared" si="13"/>
        <v>0</v>
      </c>
    </row>
    <row r="103" spans="1:11" x14ac:dyDescent="0.25">
      <c r="A103" s="5">
        <f t="shared" si="7"/>
        <v>2.0100000000000211</v>
      </c>
      <c r="B103" s="6"/>
      <c r="C103" s="6" t="s">
        <v>122</v>
      </c>
      <c r="D103" s="71"/>
      <c r="E103" s="8"/>
      <c r="F103" s="8" t="s">
        <v>5</v>
      </c>
      <c r="G103" s="8">
        <f t="shared" si="13"/>
        <v>1</v>
      </c>
      <c r="H103" s="8">
        <f t="shared" si="13"/>
        <v>0</v>
      </c>
      <c r="I103" s="8">
        <f t="shared" si="13"/>
        <v>0</v>
      </c>
      <c r="J103" s="8">
        <f t="shared" si="13"/>
        <v>0</v>
      </c>
      <c r="K103" s="8">
        <f t="shared" si="13"/>
        <v>0</v>
      </c>
    </row>
    <row r="104" spans="1:11" x14ac:dyDescent="0.25">
      <c r="A104" s="5">
        <f t="shared" si="7"/>
        <v>2.0101000000000213</v>
      </c>
      <c r="B104" s="6"/>
      <c r="C104" s="27"/>
      <c r="D104" s="71"/>
      <c r="E104" s="8"/>
      <c r="F104" s="8"/>
      <c r="G104" s="8"/>
      <c r="H104" s="8"/>
      <c r="I104" s="8"/>
      <c r="J104" s="8"/>
      <c r="K104" s="8"/>
    </row>
    <row r="105" spans="1:11" x14ac:dyDescent="0.25">
      <c r="A105" s="5">
        <f t="shared" si="7"/>
        <v>2.0102000000000215</v>
      </c>
      <c r="B105" s="6" t="s">
        <v>16</v>
      </c>
      <c r="C105" s="27" t="s">
        <v>210</v>
      </c>
      <c r="D105" s="71"/>
      <c r="E105" s="8"/>
      <c r="F105" s="8" t="s">
        <v>5</v>
      </c>
      <c r="G105" s="8">
        <f t="shared" ref="G105:K105" si="14">IF($F105=G$1,1,0)</f>
        <v>1</v>
      </c>
      <c r="H105" s="8">
        <f t="shared" si="14"/>
        <v>0</v>
      </c>
      <c r="I105" s="8">
        <f t="shared" si="14"/>
        <v>0</v>
      </c>
      <c r="J105" s="8">
        <f t="shared" si="14"/>
        <v>0</v>
      </c>
      <c r="K105" s="8">
        <f t="shared" si="14"/>
        <v>0</v>
      </c>
    </row>
    <row r="106" spans="1:11" x14ac:dyDescent="0.25">
      <c r="A106" s="5">
        <f t="shared" si="7"/>
        <v>2.0103000000000217</v>
      </c>
      <c r="B106" s="6"/>
      <c r="C106" s="6"/>
      <c r="D106" s="71"/>
      <c r="E106" s="8"/>
      <c r="F106" s="8"/>
      <c r="G106" s="8"/>
      <c r="H106" s="8"/>
      <c r="I106" s="8"/>
      <c r="J106" s="8"/>
      <c r="K106" s="8"/>
    </row>
    <row r="107" spans="1:11" x14ac:dyDescent="0.25">
      <c r="A107" s="5">
        <f t="shared" si="7"/>
        <v>2.0104000000000219</v>
      </c>
      <c r="B107" s="32" t="s">
        <v>24</v>
      </c>
      <c r="C107" s="27" t="s">
        <v>25</v>
      </c>
      <c r="D107" s="71"/>
      <c r="E107" s="8"/>
      <c r="F107" s="8"/>
      <c r="G107" s="8"/>
      <c r="H107" s="8"/>
      <c r="I107" s="8"/>
      <c r="J107" s="8"/>
      <c r="K107" s="8"/>
    </row>
    <row r="108" spans="1:11" x14ac:dyDescent="0.25">
      <c r="A108" s="5">
        <f t="shared" si="7"/>
        <v>2.0105000000000222</v>
      </c>
      <c r="B108" s="7"/>
      <c r="C108" s="6" t="s">
        <v>26</v>
      </c>
      <c r="D108" s="71"/>
      <c r="E108" s="8"/>
      <c r="F108" s="8" t="s">
        <v>5</v>
      </c>
      <c r="G108" s="8">
        <f t="shared" ref="G108:K117" si="15">IF($F108=G$1,1,0)</f>
        <v>1</v>
      </c>
      <c r="H108" s="8">
        <f t="shared" si="15"/>
        <v>0</v>
      </c>
      <c r="I108" s="8">
        <f t="shared" si="15"/>
        <v>0</v>
      </c>
      <c r="J108" s="8">
        <f t="shared" si="15"/>
        <v>0</v>
      </c>
      <c r="K108" s="8">
        <f t="shared" si="15"/>
        <v>0</v>
      </c>
    </row>
    <row r="109" spans="1:11" x14ac:dyDescent="0.25">
      <c r="A109" s="5">
        <f t="shared" si="7"/>
        <v>2.0106000000000224</v>
      </c>
      <c r="B109" s="7"/>
      <c r="C109" s="6" t="s">
        <v>252</v>
      </c>
      <c r="D109" s="71"/>
      <c r="E109" s="8"/>
      <c r="F109" s="8" t="s">
        <v>5</v>
      </c>
      <c r="G109" s="8">
        <f t="shared" si="15"/>
        <v>1</v>
      </c>
      <c r="H109" s="8">
        <f t="shared" si="15"/>
        <v>0</v>
      </c>
      <c r="I109" s="8">
        <f t="shared" si="15"/>
        <v>0</v>
      </c>
      <c r="J109" s="8">
        <f t="shared" si="15"/>
        <v>0</v>
      </c>
      <c r="K109" s="8">
        <f t="shared" si="15"/>
        <v>0</v>
      </c>
    </row>
    <row r="110" spans="1:11" x14ac:dyDescent="0.25">
      <c r="A110" s="5">
        <f t="shared" si="7"/>
        <v>2.0107000000000226</v>
      </c>
      <c r="B110" s="7"/>
      <c r="C110" s="6" t="s">
        <v>124</v>
      </c>
      <c r="D110" s="71"/>
      <c r="E110" s="8"/>
      <c r="F110" s="8" t="s">
        <v>5</v>
      </c>
      <c r="G110" s="8">
        <f t="shared" si="15"/>
        <v>1</v>
      </c>
      <c r="H110" s="8">
        <f t="shared" si="15"/>
        <v>0</v>
      </c>
      <c r="I110" s="8">
        <f t="shared" si="15"/>
        <v>0</v>
      </c>
      <c r="J110" s="8">
        <f t="shared" si="15"/>
        <v>0</v>
      </c>
      <c r="K110" s="8">
        <f t="shared" si="15"/>
        <v>0</v>
      </c>
    </row>
    <row r="111" spans="1:11" x14ac:dyDescent="0.25">
      <c r="A111" s="5">
        <f t="shared" si="7"/>
        <v>2.0108000000000228</v>
      </c>
      <c r="B111" s="7"/>
      <c r="C111" s="62" t="s">
        <v>237</v>
      </c>
      <c r="D111" s="71"/>
      <c r="E111" s="8"/>
      <c r="F111" s="8" t="s">
        <v>5</v>
      </c>
      <c r="G111" s="8">
        <f t="shared" si="15"/>
        <v>1</v>
      </c>
      <c r="H111" s="8">
        <f t="shared" si="15"/>
        <v>0</v>
      </c>
      <c r="I111" s="8">
        <f t="shared" si="15"/>
        <v>0</v>
      </c>
      <c r="J111" s="8">
        <f t="shared" si="15"/>
        <v>0</v>
      </c>
      <c r="K111" s="8">
        <f t="shared" si="15"/>
        <v>0</v>
      </c>
    </row>
    <row r="112" spans="1:11" x14ac:dyDescent="0.25">
      <c r="A112" s="5">
        <f t="shared" si="7"/>
        <v>2.010900000000023</v>
      </c>
      <c r="B112" s="7"/>
      <c r="C112" s="62" t="s">
        <v>233</v>
      </c>
      <c r="D112" s="71"/>
      <c r="E112" s="8"/>
      <c r="F112" s="8" t="s">
        <v>5</v>
      </c>
      <c r="G112" s="8">
        <f t="shared" si="15"/>
        <v>1</v>
      </c>
      <c r="H112" s="8">
        <f t="shared" si="15"/>
        <v>0</v>
      </c>
      <c r="I112" s="8">
        <f t="shared" si="15"/>
        <v>0</v>
      </c>
      <c r="J112" s="8">
        <f t="shared" si="15"/>
        <v>0</v>
      </c>
      <c r="K112" s="8">
        <f t="shared" si="15"/>
        <v>0</v>
      </c>
    </row>
    <row r="113" spans="1:11" x14ac:dyDescent="0.25">
      <c r="A113" s="5">
        <f t="shared" si="7"/>
        <v>2.0110000000000232</v>
      </c>
      <c r="B113" s="7"/>
      <c r="C113" s="62" t="s">
        <v>234</v>
      </c>
      <c r="D113" s="71"/>
      <c r="E113" s="8"/>
      <c r="F113" s="8" t="s">
        <v>5</v>
      </c>
      <c r="G113" s="8">
        <f t="shared" si="15"/>
        <v>1</v>
      </c>
      <c r="H113" s="8">
        <f t="shared" si="15"/>
        <v>0</v>
      </c>
      <c r="I113" s="8">
        <f t="shared" si="15"/>
        <v>0</v>
      </c>
      <c r="J113" s="8">
        <f t="shared" si="15"/>
        <v>0</v>
      </c>
      <c r="K113" s="8">
        <f t="shared" si="15"/>
        <v>0</v>
      </c>
    </row>
    <row r="114" spans="1:11" x14ac:dyDescent="0.25">
      <c r="A114" s="5">
        <f t="shared" si="7"/>
        <v>2.0111000000000234</v>
      </c>
      <c r="B114" s="7"/>
      <c r="C114" s="62" t="s">
        <v>235</v>
      </c>
      <c r="D114" s="71"/>
      <c r="E114" s="8"/>
      <c r="F114" s="8" t="s">
        <v>5</v>
      </c>
      <c r="G114" s="8">
        <f t="shared" si="15"/>
        <v>1</v>
      </c>
      <c r="H114" s="8">
        <f t="shared" si="15"/>
        <v>0</v>
      </c>
      <c r="I114" s="8">
        <f t="shared" si="15"/>
        <v>0</v>
      </c>
      <c r="J114" s="8">
        <f t="shared" si="15"/>
        <v>0</v>
      </c>
      <c r="K114" s="8">
        <f t="shared" si="15"/>
        <v>0</v>
      </c>
    </row>
    <row r="115" spans="1:11" x14ac:dyDescent="0.25">
      <c r="A115" s="5">
        <f t="shared" si="7"/>
        <v>2.0112000000000236</v>
      </c>
      <c r="B115" s="7"/>
      <c r="C115" s="62" t="s">
        <v>227</v>
      </c>
      <c r="D115" s="71"/>
      <c r="E115" s="8"/>
      <c r="F115" s="8" t="s">
        <v>5</v>
      </c>
      <c r="G115" s="8">
        <f t="shared" si="15"/>
        <v>1</v>
      </c>
      <c r="H115" s="8">
        <f t="shared" si="15"/>
        <v>0</v>
      </c>
      <c r="I115" s="8">
        <f t="shared" si="15"/>
        <v>0</v>
      </c>
      <c r="J115" s="8">
        <f t="shared" si="15"/>
        <v>0</v>
      </c>
      <c r="K115" s="8">
        <f t="shared" si="15"/>
        <v>0</v>
      </c>
    </row>
    <row r="116" spans="1:11" x14ac:dyDescent="0.25">
      <c r="A116" s="5">
        <f t="shared" si="7"/>
        <v>2.0113000000000238</v>
      </c>
      <c r="B116" s="7"/>
      <c r="C116" s="62" t="s">
        <v>236</v>
      </c>
      <c r="D116" s="71"/>
      <c r="E116" s="8"/>
      <c r="F116" s="8" t="s">
        <v>5</v>
      </c>
      <c r="G116" s="8">
        <f t="shared" si="15"/>
        <v>1</v>
      </c>
      <c r="H116" s="8">
        <f t="shared" si="15"/>
        <v>0</v>
      </c>
      <c r="I116" s="8">
        <f t="shared" si="15"/>
        <v>0</v>
      </c>
      <c r="J116" s="8">
        <f t="shared" si="15"/>
        <v>0</v>
      </c>
      <c r="K116" s="8">
        <f t="shared" si="15"/>
        <v>0</v>
      </c>
    </row>
    <row r="117" spans="1:11" x14ac:dyDescent="0.25">
      <c r="A117" s="5">
        <f t="shared" si="7"/>
        <v>2.0114000000000241</v>
      </c>
      <c r="B117" s="69"/>
      <c r="C117" s="62" t="s">
        <v>227</v>
      </c>
      <c r="D117" s="71"/>
      <c r="E117" s="8"/>
      <c r="F117" s="8" t="s">
        <v>5</v>
      </c>
      <c r="G117" s="8">
        <f t="shared" si="15"/>
        <v>1</v>
      </c>
      <c r="H117" s="8">
        <f t="shared" si="15"/>
        <v>0</v>
      </c>
      <c r="I117" s="8">
        <f t="shared" si="15"/>
        <v>0</v>
      </c>
      <c r="J117" s="8">
        <f t="shared" si="15"/>
        <v>0</v>
      </c>
      <c r="K117" s="8">
        <f t="shared" si="15"/>
        <v>0</v>
      </c>
    </row>
    <row r="118" spans="1:11" x14ac:dyDescent="0.25">
      <c r="A118" s="5">
        <f t="shared" si="7"/>
        <v>2.0115000000000243</v>
      </c>
      <c r="B118" s="42"/>
      <c r="C118" s="43"/>
      <c r="D118" s="54"/>
      <c r="E118" s="8"/>
      <c r="F118" s="8"/>
      <c r="G118" s="8"/>
      <c r="H118" s="8"/>
      <c r="I118" s="8"/>
      <c r="J118" s="8"/>
      <c r="K118" s="8"/>
    </row>
    <row r="119" spans="1:11" x14ac:dyDescent="0.25">
      <c r="A119" s="5">
        <f t="shared" si="7"/>
        <v>2.0116000000000245</v>
      </c>
      <c r="B119" s="17" t="s">
        <v>138</v>
      </c>
      <c r="C119" s="18" t="s">
        <v>139</v>
      </c>
      <c r="D119" s="18"/>
      <c r="E119" s="8"/>
      <c r="F119" s="8"/>
      <c r="G119" s="8"/>
      <c r="H119" s="8"/>
      <c r="I119" s="8"/>
      <c r="J119" s="8"/>
      <c r="K119" s="8"/>
    </row>
    <row r="120" spans="1:11" ht="38.25" x14ac:dyDescent="0.25">
      <c r="A120" s="5">
        <f t="shared" si="7"/>
        <v>2.0117000000000247</v>
      </c>
      <c r="B120" s="42" t="s">
        <v>337</v>
      </c>
      <c r="C120" s="43" t="s">
        <v>338</v>
      </c>
      <c r="D120" s="54" t="s">
        <v>140</v>
      </c>
      <c r="E120" s="8"/>
      <c r="F120" s="8" t="s">
        <v>8</v>
      </c>
      <c r="G120" s="8">
        <f>IF($F120=G$1,1,0)</f>
        <v>0</v>
      </c>
      <c r="H120" s="8">
        <f>IF($F120=H$1,1,0)</f>
        <v>0</v>
      </c>
      <c r="I120" s="8">
        <f>IF($F120=I$1,1,0)</f>
        <v>0</v>
      </c>
      <c r="J120" s="8">
        <f>IF($F120=J$1,1,0)</f>
        <v>0</v>
      </c>
      <c r="K120" s="8">
        <f>IF($F120=K$1,1,0)</f>
        <v>1</v>
      </c>
    </row>
    <row r="121" spans="1:11" ht="15.75" thickBot="1" x14ac:dyDescent="0.3">
      <c r="G121" s="31">
        <f>SUM(G4:G120)</f>
        <v>86</v>
      </c>
      <c r="H121" s="31">
        <f t="shared" ref="H121:K121" si="16">SUM(H4:H120)</f>
        <v>0</v>
      </c>
      <c r="I121" s="31">
        <f t="shared" si="16"/>
        <v>0</v>
      </c>
      <c r="J121" s="31">
        <f t="shared" si="16"/>
        <v>0</v>
      </c>
      <c r="K121" s="31">
        <f t="shared" si="16"/>
        <v>1</v>
      </c>
    </row>
    <row r="122" spans="1:11" ht="15.75" thickTop="1" x14ac:dyDescent="0.25"/>
  </sheetData>
  <mergeCells count="1">
    <mergeCell ref="B2:C2"/>
  </mergeCells>
  <conditionalFormatting sqref="G4:K9 F10:K10 B9:C9 B43:D43 B53:C63 B30:C31 E31:F31 L10:L44 D27:D40 B82:D82 A4:A120 F51:K52 F12:K12 G11:K11 F14:K14 G13:K13 F16:K16 G15:K15 F18:K18 G17:K17 F25:K25 G19:K24 E29:E30 E40:F40 E32:E39 E43:F44 E41:E42 G27:K50 F63:K63 G53:K62 F69:K69 G64:K68 F75:K76 G70:K74 F81:K83 G77:K80 F91:K91 G84:K90 F95:K95 G92:K94 F99:K99 G96:K98 F104:K104 G100:K103 F106:K107 G105:K105 F118:K118 G108:K117">
    <cfRule type="expression" dxfId="379" priority="148">
      <formula>$F4="Fail"</formula>
    </cfRule>
  </conditionalFormatting>
  <conditionalFormatting sqref="A3:K3 D8:E9 D4:E5">
    <cfRule type="expression" dxfId="378" priority="147">
      <formula>$F3="Fail"</formula>
    </cfRule>
  </conditionalFormatting>
  <conditionalFormatting sqref="E26:K26 E27 E10:E25">
    <cfRule type="expression" dxfId="377" priority="145">
      <formula>$F10="Fail"</formula>
    </cfRule>
  </conditionalFormatting>
  <conditionalFormatting sqref="E28:F28">
    <cfRule type="expression" dxfId="376" priority="144">
      <formula>$F28="Fail"</formula>
    </cfRule>
  </conditionalFormatting>
  <conditionalFormatting sqref="D7:E7">
    <cfRule type="expression" dxfId="375" priority="143">
      <formula>$F7="Fail"</formula>
    </cfRule>
  </conditionalFormatting>
  <conditionalFormatting sqref="D6:E6">
    <cfRule type="expression" dxfId="374" priority="142">
      <formula>$F6="Fail"</formula>
    </cfRule>
  </conditionalFormatting>
  <conditionalFormatting sqref="F4">
    <cfRule type="expression" dxfId="373" priority="141">
      <formula>$F4="Fail"</formula>
    </cfRule>
  </conditionalFormatting>
  <conditionalFormatting sqref="L8:L9 L3:L5">
    <cfRule type="expression" dxfId="372" priority="140">
      <formula>$F3="Fail"</formula>
    </cfRule>
  </conditionalFormatting>
  <conditionalFormatting sqref="L7">
    <cfRule type="expression" dxfId="371" priority="138">
      <formula>$F7="Fail"</formula>
    </cfRule>
  </conditionalFormatting>
  <conditionalFormatting sqref="L6">
    <cfRule type="expression" dxfId="370" priority="137">
      <formula>$F6="Fail"</formula>
    </cfRule>
  </conditionalFormatting>
  <conditionalFormatting sqref="B8:C8 B75:C75">
    <cfRule type="expression" dxfId="369" priority="136">
      <formula>$F8="Fail"</formula>
    </cfRule>
  </conditionalFormatting>
  <conditionalFormatting sqref="B8:C8">
    <cfRule type="expression" dxfId="368" priority="135">
      <formula>$F8="Fail"</formula>
    </cfRule>
  </conditionalFormatting>
  <conditionalFormatting sqref="G121:K121">
    <cfRule type="expression" dxfId="367" priority="130">
      <formula>$F121="Fail"</formula>
    </cfRule>
  </conditionalFormatting>
  <conditionalFormatting sqref="C51">
    <cfRule type="expression" dxfId="366" priority="127">
      <formula>$F51="Fail"</formula>
    </cfRule>
  </conditionalFormatting>
  <conditionalFormatting sqref="C51">
    <cfRule type="expression" dxfId="365" priority="126">
      <formula>$F51="Fail"</formula>
    </cfRule>
  </conditionalFormatting>
  <conditionalFormatting sqref="C51">
    <cfRule type="expression" dxfId="364" priority="128">
      <formula>$F51="Fail"</formula>
    </cfRule>
  </conditionalFormatting>
  <conditionalFormatting sqref="B51:C51">
    <cfRule type="expression" dxfId="363" priority="129">
      <formula>$F51="Fail"</formula>
    </cfRule>
  </conditionalFormatting>
  <conditionalFormatting sqref="B65:C74 B64">
    <cfRule type="expression" dxfId="362" priority="123">
      <formula>$F64="Fail"</formula>
    </cfRule>
  </conditionalFormatting>
  <conditionalFormatting sqref="B74:C74">
    <cfRule type="expression" dxfId="361" priority="122">
      <formula>$F74="Fail"</formula>
    </cfRule>
  </conditionalFormatting>
  <conditionalFormatting sqref="C65:C73">
    <cfRule type="expression" dxfId="360" priority="121">
      <formula>$F65="Fail"</formula>
    </cfRule>
  </conditionalFormatting>
  <conditionalFormatting sqref="C62">
    <cfRule type="expression" dxfId="359" priority="120">
      <formula>$F62="Fail"</formula>
    </cfRule>
  </conditionalFormatting>
  <conditionalFormatting sqref="B52">
    <cfRule type="expression" dxfId="358" priority="119">
      <formula>$F52="Fail"</formula>
    </cfRule>
  </conditionalFormatting>
  <conditionalFormatting sqref="C52">
    <cfRule type="expression" dxfId="357" priority="118">
      <formula>$F52="Fail"</formula>
    </cfRule>
  </conditionalFormatting>
  <conditionalFormatting sqref="C81">
    <cfRule type="expression" dxfId="356" priority="115">
      <formula>$F81="Fail"</formula>
    </cfRule>
  </conditionalFormatting>
  <conditionalFormatting sqref="C81">
    <cfRule type="expression" dxfId="355" priority="116">
      <formula>$F81="Fail"</formula>
    </cfRule>
  </conditionalFormatting>
  <conditionalFormatting sqref="B81:C81">
    <cfRule type="expression" dxfId="354" priority="117">
      <formula>$F81="Fail"</formula>
    </cfRule>
  </conditionalFormatting>
  <conditionalFormatting sqref="C81">
    <cfRule type="expression" dxfId="353" priority="113">
      <formula>$F81="Fail"</formula>
    </cfRule>
  </conditionalFormatting>
  <conditionalFormatting sqref="B118:C118">
    <cfRule type="expression" dxfId="352" priority="112">
      <formula>$F118="Fail"</formula>
    </cfRule>
  </conditionalFormatting>
  <conditionalFormatting sqref="D118">
    <cfRule type="expression" dxfId="351" priority="111">
      <formula>$F118="Fail"</formula>
    </cfRule>
  </conditionalFormatting>
  <conditionalFormatting sqref="D52">
    <cfRule type="expression" dxfId="350" priority="110">
      <formula>$F52="Fail"</formula>
    </cfRule>
  </conditionalFormatting>
  <conditionalFormatting sqref="B23:C23">
    <cfRule type="expression" dxfId="349" priority="95">
      <formula>$F23="Fail"</formula>
    </cfRule>
  </conditionalFormatting>
  <conditionalFormatting sqref="F8">
    <cfRule type="expression" dxfId="348" priority="109">
      <formula>$F8="Fail"</formula>
    </cfRule>
  </conditionalFormatting>
  <conditionalFormatting sqref="D26">
    <cfRule type="expression" dxfId="347" priority="105">
      <formula>$F26="Fail"</formula>
    </cfRule>
  </conditionalFormatting>
  <conditionalFormatting sqref="D11">
    <cfRule type="expression" dxfId="346" priority="101">
      <formula>$F11="Fail"</formula>
    </cfRule>
  </conditionalFormatting>
  <conditionalFormatting sqref="B10:C10 B12:C20 B21">
    <cfRule type="expression" dxfId="345" priority="99">
      <formula>$F10="Fail"</formula>
    </cfRule>
  </conditionalFormatting>
  <conditionalFormatting sqref="C21">
    <cfRule type="expression" dxfId="344" priority="96">
      <formula>$F21="Fail"</formula>
    </cfRule>
  </conditionalFormatting>
  <conditionalFormatting sqref="C22">
    <cfRule type="expression" dxfId="343" priority="92">
      <formula>$F22="Fail"</formula>
    </cfRule>
  </conditionalFormatting>
  <conditionalFormatting sqref="D19:D24 B24:C24">
    <cfRule type="expression" dxfId="342" priority="103">
      <formula>$F19="Fail"</formula>
    </cfRule>
  </conditionalFormatting>
  <conditionalFormatting sqref="D18">
    <cfRule type="expression" dxfId="341" priority="102">
      <formula>$F18="Fail"</formula>
    </cfRule>
  </conditionalFormatting>
  <conditionalFormatting sqref="D12:D17">
    <cfRule type="expression" dxfId="340" priority="100">
      <formula>$F12="Fail"</formula>
    </cfRule>
  </conditionalFormatting>
  <conditionalFormatting sqref="B11">
    <cfRule type="expression" dxfId="339" priority="98">
      <formula>$F11="Fail"</formula>
    </cfRule>
  </conditionalFormatting>
  <conditionalFormatting sqref="C11">
    <cfRule type="expression" dxfId="338" priority="97">
      <formula>$F11="Fail"</formula>
    </cfRule>
  </conditionalFormatting>
  <conditionalFormatting sqref="D10">
    <cfRule type="expression" dxfId="337" priority="94">
      <formula>$F10="Fail"</formula>
    </cfRule>
  </conditionalFormatting>
  <conditionalFormatting sqref="B22">
    <cfRule type="expression" dxfId="336" priority="93">
      <formula>$F22="Fail"</formula>
    </cfRule>
  </conditionalFormatting>
  <conditionalFormatting sqref="B23">
    <cfRule type="expression" dxfId="335" priority="91">
      <formula>$F23="Fail"</formula>
    </cfRule>
  </conditionalFormatting>
  <conditionalFormatting sqref="C23">
    <cfRule type="expression" dxfId="334" priority="90">
      <formula>$F23="Fail"</formula>
    </cfRule>
  </conditionalFormatting>
  <conditionalFormatting sqref="C4 B5:C7">
    <cfRule type="expression" dxfId="333" priority="88">
      <formula>$F4="Fail"</formula>
    </cfRule>
  </conditionalFormatting>
  <conditionalFormatting sqref="B4">
    <cfRule type="expression" dxfId="332" priority="87">
      <formula>$F4="Fail"</formula>
    </cfRule>
  </conditionalFormatting>
  <conditionalFormatting sqref="C64">
    <cfRule type="expression" dxfId="331" priority="71">
      <formula>$F64="Fail"</formula>
    </cfRule>
  </conditionalFormatting>
  <conditionalFormatting sqref="C64">
    <cfRule type="expression" dxfId="330" priority="69">
      <formula>$F64="Fail"</formula>
    </cfRule>
  </conditionalFormatting>
  <conditionalFormatting sqref="B40:C40">
    <cfRule type="expression" dxfId="329" priority="82">
      <formula>$F40="Fail"</formula>
    </cfRule>
  </conditionalFormatting>
  <conditionalFormatting sqref="C77:C80">
    <cfRule type="expression" dxfId="328" priority="77">
      <formula>$F77="Fail"</formula>
    </cfRule>
  </conditionalFormatting>
  <conditionalFormatting sqref="B76">
    <cfRule type="expression" dxfId="327" priority="76">
      <formula>$F76="Fail"</formula>
    </cfRule>
  </conditionalFormatting>
  <conditionalFormatting sqref="C76">
    <cfRule type="expression" dxfId="326" priority="75">
      <formula>$F76="Fail"</formula>
    </cfRule>
  </conditionalFormatting>
  <conditionalFormatting sqref="C80">
    <cfRule type="expression" dxfId="325" priority="74">
      <formula>$F80="Fail"</formula>
    </cfRule>
  </conditionalFormatting>
  <conditionalFormatting sqref="C77:C80">
    <cfRule type="expression" dxfId="324" priority="78">
      <formula>$F77="Fail"</formula>
    </cfRule>
  </conditionalFormatting>
  <conditionalFormatting sqref="B77:C80">
    <cfRule type="expression" dxfId="323" priority="79">
      <formula>$F77="Fail"</formula>
    </cfRule>
  </conditionalFormatting>
  <conditionalFormatting sqref="D76">
    <cfRule type="expression" dxfId="322" priority="73">
      <formula>$F76="Fail"</formula>
    </cfRule>
  </conditionalFormatting>
  <conditionalFormatting sqref="C64">
    <cfRule type="expression" dxfId="321" priority="70">
      <formula>$F64="Fail"</formula>
    </cfRule>
  </conditionalFormatting>
  <conditionalFormatting sqref="B26">
    <cfRule type="expression" dxfId="320" priority="63">
      <formula>$F26="Fail"</formula>
    </cfRule>
  </conditionalFormatting>
  <conditionalFormatting sqref="B28:C28 B32:C34 B36:C38 B39">
    <cfRule type="expression" dxfId="319" priority="62">
      <formula>$F28="Fail"</formula>
    </cfRule>
  </conditionalFormatting>
  <conditionalFormatting sqref="C26">
    <cfRule type="expression" dxfId="318" priority="64">
      <formula>$F26="Fail"</formula>
    </cfRule>
  </conditionalFormatting>
  <conditionalFormatting sqref="B27:C27">
    <cfRule type="expression" dxfId="317" priority="61">
      <formula>$F27="Fail"</formula>
    </cfRule>
  </conditionalFormatting>
  <conditionalFormatting sqref="C29">
    <cfRule type="expression" dxfId="316" priority="60">
      <formula>$F29="Fail"</formula>
    </cfRule>
  </conditionalFormatting>
  <conditionalFormatting sqref="B35:C35">
    <cfRule type="expression" dxfId="315" priority="59">
      <formula>$F35="Fail"</formula>
    </cfRule>
  </conditionalFormatting>
  <conditionalFormatting sqref="C39">
    <cfRule type="expression" dxfId="314" priority="58">
      <formula>$F39="Fail"</formula>
    </cfRule>
  </conditionalFormatting>
  <conditionalFormatting sqref="B29">
    <cfRule type="expression" dxfId="313" priority="57">
      <formula>$F29="Fail"</formula>
    </cfRule>
  </conditionalFormatting>
  <conditionalFormatting sqref="B41:C42">
    <cfRule type="expression" dxfId="312" priority="56">
      <formula>$F41="Fail"</formula>
    </cfRule>
  </conditionalFormatting>
  <conditionalFormatting sqref="B41:C42">
    <cfRule type="expression" dxfId="311" priority="55">
      <formula>$F41="Fail"</formula>
    </cfRule>
  </conditionalFormatting>
  <conditionalFormatting sqref="D41:D42">
    <cfRule type="expression" dxfId="310" priority="54">
      <formula>$F41="Fail"</formula>
    </cfRule>
  </conditionalFormatting>
  <conditionalFormatting sqref="D41:D42">
    <cfRule type="expression" dxfId="309" priority="53">
      <formula>$F41="Fail"</formula>
    </cfRule>
  </conditionalFormatting>
  <conditionalFormatting sqref="C25">
    <cfRule type="expression" dxfId="308" priority="52">
      <formula>$F25="Fail"</formula>
    </cfRule>
  </conditionalFormatting>
  <conditionalFormatting sqref="C25">
    <cfRule type="expression" dxfId="307" priority="51">
      <formula>$F25="Fail"</formula>
    </cfRule>
  </conditionalFormatting>
  <conditionalFormatting sqref="B25">
    <cfRule type="expression" dxfId="306" priority="50">
      <formula>$F25="Fail"</formula>
    </cfRule>
  </conditionalFormatting>
  <conditionalFormatting sqref="B25">
    <cfRule type="expression" dxfId="305" priority="49">
      <formula>$F25="Fail"</formula>
    </cfRule>
  </conditionalFormatting>
  <conditionalFormatting sqref="B84:C96">
    <cfRule type="expression" dxfId="304" priority="48">
      <formula>$F84="Fail"</formula>
    </cfRule>
  </conditionalFormatting>
  <conditionalFormatting sqref="B117">
    <cfRule type="expression" dxfId="303" priority="47">
      <formula>$F117="Fail"</formula>
    </cfRule>
  </conditionalFormatting>
  <conditionalFormatting sqref="B117">
    <cfRule type="expression" dxfId="302" priority="46">
      <formula>$F117="Fail"</formula>
    </cfRule>
  </conditionalFormatting>
  <conditionalFormatting sqref="C97 B98:C101 B106:C106 B102:B104">
    <cfRule type="expression" dxfId="301" priority="45">
      <formula>$F97="Fail"</formula>
    </cfRule>
  </conditionalFormatting>
  <conditionalFormatting sqref="C97 B98:C101 B106:C106 B102:B104">
    <cfRule type="expression" dxfId="300" priority="44">
      <formula>$F97="Fail"</formula>
    </cfRule>
  </conditionalFormatting>
  <conditionalFormatting sqref="B83">
    <cfRule type="expression" dxfId="299" priority="43">
      <formula>$F83="Fail"</formula>
    </cfRule>
  </conditionalFormatting>
  <conditionalFormatting sqref="B97">
    <cfRule type="expression" dxfId="298" priority="42">
      <formula>$F97="Fail"</formula>
    </cfRule>
  </conditionalFormatting>
  <conditionalFormatting sqref="B97">
    <cfRule type="expression" dxfId="297" priority="41">
      <formula>$F97="Fail"</formula>
    </cfRule>
  </conditionalFormatting>
  <conditionalFormatting sqref="C103:C104">
    <cfRule type="expression" dxfId="296" priority="40">
      <formula>$F103="Fail"</formula>
    </cfRule>
  </conditionalFormatting>
  <conditionalFormatting sqref="C103:C104">
    <cfRule type="expression" dxfId="295" priority="39">
      <formula>$F103="Fail"</formula>
    </cfRule>
  </conditionalFormatting>
  <conditionalFormatting sqref="C102">
    <cfRule type="expression" dxfId="294" priority="38">
      <formula>$F102="Fail"</formula>
    </cfRule>
  </conditionalFormatting>
  <conditionalFormatting sqref="C102">
    <cfRule type="expression" dxfId="293" priority="37">
      <formula>$F102="Fail"</formula>
    </cfRule>
  </conditionalFormatting>
  <conditionalFormatting sqref="C83">
    <cfRule type="expression" dxfId="292" priority="36">
      <formula>$F83="Fail"</formula>
    </cfRule>
  </conditionalFormatting>
  <conditionalFormatting sqref="B105">
    <cfRule type="expression" dxfId="291" priority="35">
      <formula>$F105="Fail"</formula>
    </cfRule>
  </conditionalFormatting>
  <conditionalFormatting sqref="B105">
    <cfRule type="expression" dxfId="290" priority="34">
      <formula>$F105="Fail"</formula>
    </cfRule>
  </conditionalFormatting>
  <conditionalFormatting sqref="C105">
    <cfRule type="expression" dxfId="289" priority="33">
      <formula>$F105="Fail"</formula>
    </cfRule>
  </conditionalFormatting>
  <conditionalFormatting sqref="C105">
    <cfRule type="expression" dxfId="288" priority="32">
      <formula>$F105="Fail"</formula>
    </cfRule>
  </conditionalFormatting>
  <conditionalFormatting sqref="D83">
    <cfRule type="expression" dxfId="287" priority="31">
      <formula>$F83="Fail"</formula>
    </cfRule>
  </conditionalFormatting>
  <conditionalFormatting sqref="B107:C110 B111:B116">
    <cfRule type="expression" dxfId="286" priority="30">
      <formula>$F107="Fail"</formula>
    </cfRule>
  </conditionalFormatting>
  <conditionalFormatting sqref="C111:C117">
    <cfRule type="expression" dxfId="285" priority="28">
      <formula>$F111="Fail"</formula>
    </cfRule>
  </conditionalFormatting>
  <conditionalFormatting sqref="C111:C117">
    <cfRule type="expression" dxfId="284" priority="29">
      <formula>$F111="Fail"</formula>
    </cfRule>
  </conditionalFormatting>
  <conditionalFormatting sqref="F119:K120">
    <cfRule type="expression" dxfId="283" priority="27">
      <formula>$F119="Fail"</formula>
    </cfRule>
  </conditionalFormatting>
  <conditionalFormatting sqref="B119:D119 B120:C120">
    <cfRule type="expression" dxfId="282" priority="26">
      <formula>$F119="Fail"</formula>
    </cfRule>
  </conditionalFormatting>
  <conditionalFormatting sqref="D120">
    <cfRule type="expression" dxfId="281" priority="25">
      <formula>$F120="Fail"</formula>
    </cfRule>
  </conditionalFormatting>
  <conditionalFormatting sqref="F5:F7">
    <cfRule type="expression" dxfId="280" priority="24">
      <formula>$F5="Fail"</formula>
    </cfRule>
  </conditionalFormatting>
  <conditionalFormatting sqref="F9">
    <cfRule type="expression" dxfId="279" priority="23">
      <formula>$F9="Fail"</formula>
    </cfRule>
  </conditionalFormatting>
  <conditionalFormatting sqref="F11">
    <cfRule type="expression" dxfId="278" priority="22">
      <formula>$F11="Fail"</formula>
    </cfRule>
  </conditionalFormatting>
  <conditionalFormatting sqref="F13">
    <cfRule type="expression" dxfId="277" priority="21">
      <formula>$F13="Fail"</formula>
    </cfRule>
  </conditionalFormatting>
  <conditionalFormatting sqref="F108:F117">
    <cfRule type="expression" dxfId="276" priority="1">
      <formula>$F108="Fail"</formula>
    </cfRule>
  </conditionalFormatting>
  <conditionalFormatting sqref="F15">
    <cfRule type="expression" dxfId="275" priority="20">
      <formula>$F15="Fail"</formula>
    </cfRule>
  </conditionalFormatting>
  <conditionalFormatting sqref="F17">
    <cfRule type="expression" dxfId="274" priority="19">
      <formula>$F17="Fail"</formula>
    </cfRule>
  </conditionalFormatting>
  <conditionalFormatting sqref="F19:F24">
    <cfRule type="expression" dxfId="273" priority="18">
      <formula>$F19="Fail"</formula>
    </cfRule>
  </conditionalFormatting>
  <conditionalFormatting sqref="F27">
    <cfRule type="expression" dxfId="272" priority="17">
      <formula>$F27="Fail"</formula>
    </cfRule>
  </conditionalFormatting>
  <conditionalFormatting sqref="F29:F30">
    <cfRule type="expression" dxfId="271" priority="16">
      <formula>$F29="Fail"</formula>
    </cfRule>
  </conditionalFormatting>
  <conditionalFormatting sqref="F32:F38">
    <cfRule type="expression" dxfId="270" priority="15">
      <formula>$F32="Fail"</formula>
    </cfRule>
  </conditionalFormatting>
  <conditionalFormatting sqref="F39">
    <cfRule type="expression" dxfId="269" priority="14">
      <formula>$F39="Fail"</formula>
    </cfRule>
  </conditionalFormatting>
  <conditionalFormatting sqref="F41:F42">
    <cfRule type="expression" dxfId="268" priority="13">
      <formula>$F41="Fail"</formula>
    </cfRule>
  </conditionalFormatting>
  <conditionalFormatting sqref="F45:F47">
    <cfRule type="expression" dxfId="267" priority="12">
      <formula>$F45="Fail"</formula>
    </cfRule>
  </conditionalFormatting>
  <conditionalFormatting sqref="F48:F50">
    <cfRule type="expression" dxfId="266" priority="11">
      <formula>$F48="Fail"</formula>
    </cfRule>
  </conditionalFormatting>
  <conditionalFormatting sqref="F53:F62">
    <cfRule type="expression" dxfId="265" priority="10">
      <formula>$F53="Fail"</formula>
    </cfRule>
  </conditionalFormatting>
  <conditionalFormatting sqref="F64:F68">
    <cfRule type="expression" dxfId="264" priority="9">
      <formula>$F64="Fail"</formula>
    </cfRule>
  </conditionalFormatting>
  <conditionalFormatting sqref="F70:F74">
    <cfRule type="expression" dxfId="263" priority="8">
      <formula>$F70="Fail"</formula>
    </cfRule>
  </conditionalFormatting>
  <conditionalFormatting sqref="F77:F80">
    <cfRule type="expression" dxfId="262" priority="7">
      <formula>$F77="Fail"</formula>
    </cfRule>
  </conditionalFormatting>
  <conditionalFormatting sqref="F84:F90">
    <cfRule type="expression" dxfId="261" priority="6">
      <formula>$F84="Fail"</formula>
    </cfRule>
  </conditionalFormatting>
  <conditionalFormatting sqref="F92:F94">
    <cfRule type="expression" dxfId="260" priority="5">
      <formula>$F92="Fail"</formula>
    </cfRule>
  </conditionalFormatting>
  <conditionalFormatting sqref="F96:F98">
    <cfRule type="expression" dxfId="259" priority="4">
      <formula>$F96="Fail"</formula>
    </cfRule>
  </conditionalFormatting>
  <conditionalFormatting sqref="F100:F103">
    <cfRule type="expression" dxfId="258" priority="3">
      <formula>$F100="Fail"</formula>
    </cfRule>
  </conditionalFormatting>
  <conditionalFormatting sqref="F105">
    <cfRule type="expression" dxfId="257" priority="2">
      <formula>$F105="Fail"</formula>
    </cfRule>
  </conditionalFormatting>
  <dataValidations count="1">
    <dataValidation type="list" allowBlank="1" showInputMessage="1" showErrorMessage="1" sqref="F3:F120">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 id="{3528EBF4-63FA-4299-B63D-404BE1DD29BC}">
            <xm:f>'C:\Users\E939818\Documents\_Project Documents\SVN TEST  team\_Sutuwa\Testing\Release 1\Stats\[SEB_InvestAdmin_Investment.xlsm]External'!#REF!="Fail"</xm:f>
            <x14:dxf>
              <font>
                <color rgb="FFFF0000"/>
              </font>
              <fill>
                <patternFill>
                  <bgColor theme="9" tint="0.59996337778862885"/>
                </patternFill>
              </fill>
            </x14:dxf>
          </x14:cfRule>
          <xm:sqref>B44:D50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124"/>
  <sheetViews>
    <sheetView topLeftCell="B1" zoomScaleNormal="100" workbookViewId="0">
      <pane ySplit="1" topLeftCell="A113" activePane="bottomLeft" state="frozen"/>
      <selection pane="bottomLeft" activeCell="D127" sqref="D127"/>
    </sheetView>
  </sheetViews>
  <sheetFormatPr defaultRowHeight="15" x14ac:dyDescent="0.25"/>
  <cols>
    <col min="1" max="1" width="11.28515625" style="4" bestFit="1" customWidth="1"/>
    <col min="2" max="2" width="63.7109375" style="1" customWidth="1"/>
    <col min="3" max="3" width="58.5703125" style="1" customWidth="1"/>
    <col min="4" max="4" width="48.140625" style="57"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52" t="s">
        <v>4</v>
      </c>
      <c r="E1" s="12" t="s">
        <v>3</v>
      </c>
      <c r="F1" s="11" t="s">
        <v>0</v>
      </c>
      <c r="G1" s="12" t="s">
        <v>5</v>
      </c>
      <c r="H1" s="12" t="s">
        <v>6</v>
      </c>
      <c r="I1" s="12"/>
      <c r="J1" s="12" t="s">
        <v>7</v>
      </c>
      <c r="K1" s="12" t="s">
        <v>8</v>
      </c>
      <c r="L1" s="12" t="s">
        <v>12</v>
      </c>
    </row>
    <row r="2" spans="1:12" s="39" customFormat="1" ht="30" customHeight="1" x14ac:dyDescent="0.25">
      <c r="A2" s="40"/>
      <c r="B2" s="103" t="s">
        <v>266</v>
      </c>
      <c r="C2" s="105"/>
      <c r="D2" s="53"/>
      <c r="E2" s="53"/>
      <c r="F2" s="53"/>
      <c r="G2" s="53"/>
      <c r="H2" s="53"/>
      <c r="I2" s="53"/>
      <c r="J2" s="53"/>
      <c r="K2" s="38"/>
      <c r="L2" s="38"/>
    </row>
    <row r="3" spans="1:12" s="20" customFormat="1" x14ac:dyDescent="0.25">
      <c r="A3" s="16">
        <v>2</v>
      </c>
      <c r="B3" s="17" t="s">
        <v>142</v>
      </c>
      <c r="C3" s="18"/>
      <c r="D3" s="18"/>
      <c r="E3" s="17"/>
      <c r="F3" s="19"/>
      <c r="G3" s="19"/>
      <c r="H3" s="19"/>
      <c r="I3" s="19"/>
      <c r="J3" s="19"/>
      <c r="K3" s="19"/>
      <c r="L3" s="17"/>
    </row>
    <row r="4" spans="1:12" x14ac:dyDescent="0.25">
      <c r="A4" s="5">
        <f t="shared" ref="A4:A67" si="0">A3+0.0001</f>
        <v>2.0001000000000002</v>
      </c>
      <c r="B4" s="6" t="s">
        <v>258</v>
      </c>
      <c r="C4" s="9"/>
      <c r="D4" s="54"/>
      <c r="E4" s="6"/>
      <c r="F4" s="8" t="s">
        <v>5</v>
      </c>
      <c r="G4" s="8">
        <f t="shared" ref="G4:K30" si="1">IF($F4=G$1,1,0)</f>
        <v>1</v>
      </c>
      <c r="H4" s="8">
        <f t="shared" si="1"/>
        <v>0</v>
      </c>
      <c r="I4" s="8">
        <f t="shared" si="1"/>
        <v>0</v>
      </c>
      <c r="J4" s="8">
        <f t="shared" si="1"/>
        <v>0</v>
      </c>
      <c r="K4" s="8">
        <f t="shared" si="1"/>
        <v>0</v>
      </c>
      <c r="L4" s="7"/>
    </row>
    <row r="5" spans="1:12" ht="25.5" x14ac:dyDescent="0.25">
      <c r="A5" s="5">
        <f t="shared" si="0"/>
        <v>2.0002000000000004</v>
      </c>
      <c r="B5" s="27" t="s">
        <v>58</v>
      </c>
      <c r="C5" s="9" t="s">
        <v>59</v>
      </c>
      <c r="D5" s="54"/>
      <c r="E5" s="6"/>
      <c r="F5" s="8" t="s">
        <v>5</v>
      </c>
      <c r="G5" s="8">
        <f t="shared" si="1"/>
        <v>1</v>
      </c>
      <c r="H5" s="8">
        <f t="shared" si="1"/>
        <v>0</v>
      </c>
      <c r="I5" s="8">
        <f t="shared" si="1"/>
        <v>0</v>
      </c>
      <c r="J5" s="8">
        <f t="shared" si="1"/>
        <v>0</v>
      </c>
      <c r="K5" s="8">
        <f t="shared" si="1"/>
        <v>0</v>
      </c>
      <c r="L5" s="7"/>
    </row>
    <row r="6" spans="1:12" ht="25.5" x14ac:dyDescent="0.25">
      <c r="A6" s="5">
        <f t="shared" si="0"/>
        <v>2.0003000000000006</v>
      </c>
      <c r="B6" s="27" t="s">
        <v>60</v>
      </c>
      <c r="C6" s="9" t="s">
        <v>61</v>
      </c>
      <c r="D6" s="54" t="s">
        <v>200</v>
      </c>
      <c r="E6" s="6"/>
      <c r="F6" s="8" t="s">
        <v>5</v>
      </c>
      <c r="G6" s="8">
        <f t="shared" si="1"/>
        <v>1</v>
      </c>
      <c r="H6" s="8">
        <f t="shared" si="1"/>
        <v>0</v>
      </c>
      <c r="I6" s="8">
        <f t="shared" si="1"/>
        <v>0</v>
      </c>
      <c r="J6" s="8">
        <f t="shared" si="1"/>
        <v>0</v>
      </c>
      <c r="K6" s="8">
        <f t="shared" si="1"/>
        <v>0</v>
      </c>
      <c r="L6" s="7"/>
    </row>
    <row r="7" spans="1:12" x14ac:dyDescent="0.25">
      <c r="A7" s="5">
        <f t="shared" si="0"/>
        <v>2.0004000000000008</v>
      </c>
      <c r="B7" s="6"/>
      <c r="C7" s="9" t="s">
        <v>257</v>
      </c>
      <c r="D7" s="54"/>
      <c r="E7" s="6"/>
      <c r="F7" s="8" t="s">
        <v>5</v>
      </c>
      <c r="G7" s="8">
        <f t="shared" si="1"/>
        <v>1</v>
      </c>
      <c r="H7" s="8">
        <f t="shared" si="1"/>
        <v>0</v>
      </c>
      <c r="I7" s="8">
        <f t="shared" si="1"/>
        <v>0</v>
      </c>
      <c r="J7" s="8">
        <f t="shared" si="1"/>
        <v>0</v>
      </c>
      <c r="K7" s="8">
        <f t="shared" si="1"/>
        <v>0</v>
      </c>
      <c r="L7" s="7"/>
    </row>
    <row r="8" spans="1:12" x14ac:dyDescent="0.25">
      <c r="A8" s="5">
        <f t="shared" si="0"/>
        <v>2.0005000000000011</v>
      </c>
      <c r="B8" s="25"/>
      <c r="C8" s="23" t="s">
        <v>437</v>
      </c>
      <c r="D8" s="55"/>
      <c r="E8" s="6"/>
      <c r="F8" s="8"/>
      <c r="G8" s="8"/>
      <c r="H8" s="8"/>
      <c r="I8" s="8"/>
      <c r="J8" s="8"/>
      <c r="K8" s="8"/>
      <c r="L8" s="7"/>
    </row>
    <row r="9" spans="1:12" x14ac:dyDescent="0.25">
      <c r="A9" s="5">
        <f t="shared" si="0"/>
        <v>2.0006000000000013</v>
      </c>
      <c r="B9" s="29"/>
      <c r="C9" s="30" t="s">
        <v>167</v>
      </c>
      <c r="D9" s="54" t="s">
        <v>416</v>
      </c>
      <c r="E9" s="7"/>
      <c r="F9" s="8" t="s">
        <v>5</v>
      </c>
      <c r="G9" s="8">
        <f t="shared" si="1"/>
        <v>1</v>
      </c>
      <c r="H9" s="8">
        <f t="shared" si="1"/>
        <v>0</v>
      </c>
      <c r="I9" s="8">
        <f t="shared" si="1"/>
        <v>0</v>
      </c>
      <c r="J9" s="8">
        <f t="shared" si="1"/>
        <v>0</v>
      </c>
      <c r="K9" s="8">
        <f t="shared" si="1"/>
        <v>0</v>
      </c>
      <c r="L9" s="7"/>
    </row>
    <row r="10" spans="1:12" x14ac:dyDescent="0.25">
      <c r="A10" s="5">
        <f t="shared" si="0"/>
        <v>2.0007000000000015</v>
      </c>
      <c r="B10" s="44" t="s">
        <v>22</v>
      </c>
      <c r="C10" s="18"/>
      <c r="D10" s="18"/>
      <c r="E10" s="7"/>
      <c r="F10" s="8"/>
      <c r="G10" s="8"/>
      <c r="H10" s="8"/>
      <c r="I10" s="8"/>
      <c r="J10" s="8"/>
      <c r="K10" s="8"/>
      <c r="L10" s="7"/>
    </row>
    <row r="11" spans="1:12" ht="25.5" x14ac:dyDescent="0.25">
      <c r="A11" s="5">
        <f t="shared" si="0"/>
        <v>2.0008000000000017</v>
      </c>
      <c r="B11" s="27" t="s">
        <v>146</v>
      </c>
      <c r="C11" s="45" t="s">
        <v>147</v>
      </c>
      <c r="D11" s="54"/>
      <c r="E11" s="7"/>
      <c r="F11" s="8" t="s">
        <v>5</v>
      </c>
      <c r="G11" s="8">
        <f t="shared" si="1"/>
        <v>1</v>
      </c>
      <c r="H11" s="8">
        <f t="shared" si="1"/>
        <v>0</v>
      </c>
      <c r="I11" s="8">
        <f t="shared" si="1"/>
        <v>0</v>
      </c>
      <c r="J11" s="8">
        <f t="shared" si="1"/>
        <v>0</v>
      </c>
      <c r="K11" s="8">
        <f t="shared" si="1"/>
        <v>0</v>
      </c>
      <c r="L11" s="7"/>
    </row>
    <row r="12" spans="1:12" x14ac:dyDescent="0.25">
      <c r="A12" s="5">
        <f t="shared" si="0"/>
        <v>2.0009000000000019</v>
      </c>
      <c r="B12" s="6"/>
      <c r="C12" s="22"/>
      <c r="D12" s="54"/>
      <c r="E12" s="7"/>
      <c r="F12" s="8"/>
      <c r="G12" s="8"/>
      <c r="H12" s="8"/>
      <c r="I12" s="8"/>
      <c r="J12" s="8"/>
      <c r="K12" s="8"/>
      <c r="L12" s="7"/>
    </row>
    <row r="13" spans="1:12" x14ac:dyDescent="0.25">
      <c r="A13" s="5">
        <f t="shared" si="0"/>
        <v>2.0010000000000021</v>
      </c>
      <c r="B13" s="6" t="s">
        <v>148</v>
      </c>
      <c r="C13" s="22" t="s">
        <v>149</v>
      </c>
      <c r="D13" s="54"/>
      <c r="E13" s="7"/>
      <c r="F13" s="8" t="s">
        <v>5</v>
      </c>
      <c r="G13" s="8">
        <f t="shared" si="1"/>
        <v>1</v>
      </c>
      <c r="H13" s="8">
        <f t="shared" si="1"/>
        <v>0</v>
      </c>
      <c r="I13" s="8">
        <f t="shared" si="1"/>
        <v>0</v>
      </c>
      <c r="J13" s="8">
        <f t="shared" si="1"/>
        <v>0</v>
      </c>
      <c r="K13" s="8">
        <f t="shared" si="1"/>
        <v>0</v>
      </c>
      <c r="L13" s="7"/>
    </row>
    <row r="14" spans="1:12" x14ac:dyDescent="0.25">
      <c r="A14" s="5">
        <f t="shared" si="0"/>
        <v>2.0011000000000023</v>
      </c>
      <c r="B14" s="6"/>
      <c r="C14" s="23"/>
      <c r="D14" s="54"/>
      <c r="E14" s="7"/>
      <c r="F14" s="8"/>
      <c r="G14" s="8"/>
      <c r="H14" s="8"/>
      <c r="I14" s="8"/>
      <c r="J14" s="8"/>
      <c r="K14" s="8"/>
      <c r="L14" s="7"/>
    </row>
    <row r="15" spans="1:12" x14ac:dyDescent="0.25">
      <c r="A15" s="5">
        <f t="shared" si="0"/>
        <v>2.0012000000000025</v>
      </c>
      <c r="B15" s="24" t="s">
        <v>150</v>
      </c>
      <c r="C15" s="23" t="s">
        <v>151</v>
      </c>
      <c r="D15" s="54"/>
      <c r="E15" s="7"/>
      <c r="F15" s="8" t="s">
        <v>5</v>
      </c>
      <c r="G15" s="8">
        <f t="shared" si="1"/>
        <v>1</v>
      </c>
      <c r="H15" s="8">
        <f t="shared" si="1"/>
        <v>0</v>
      </c>
      <c r="I15" s="8">
        <f t="shared" si="1"/>
        <v>0</v>
      </c>
      <c r="J15" s="8">
        <f t="shared" si="1"/>
        <v>0</v>
      </c>
      <c r="K15" s="8">
        <f t="shared" si="1"/>
        <v>0</v>
      </c>
      <c r="L15" s="7"/>
    </row>
    <row r="16" spans="1:12" x14ac:dyDescent="0.25">
      <c r="A16" s="5">
        <f t="shared" si="0"/>
        <v>2.0013000000000027</v>
      </c>
      <c r="B16" s="6"/>
      <c r="C16" s="23"/>
      <c r="D16" s="54"/>
      <c r="E16" s="7"/>
      <c r="F16" s="8"/>
      <c r="G16" s="8"/>
      <c r="H16" s="8"/>
      <c r="I16" s="8"/>
      <c r="J16" s="8"/>
      <c r="K16" s="8"/>
      <c r="L16" s="7"/>
    </row>
    <row r="17" spans="1:12" ht="25.5" x14ac:dyDescent="0.25">
      <c r="A17" s="5">
        <f t="shared" si="0"/>
        <v>2.001400000000003</v>
      </c>
      <c r="B17" s="9" t="s">
        <v>152</v>
      </c>
      <c r="C17" s="22" t="s">
        <v>14</v>
      </c>
      <c r="D17" s="54"/>
      <c r="E17" s="7"/>
      <c r="F17" s="8" t="s">
        <v>5</v>
      </c>
      <c r="G17" s="8">
        <f t="shared" si="1"/>
        <v>1</v>
      </c>
      <c r="H17" s="8">
        <f t="shared" si="1"/>
        <v>0</v>
      </c>
      <c r="I17" s="8">
        <f t="shared" si="1"/>
        <v>0</v>
      </c>
      <c r="J17" s="8">
        <f t="shared" si="1"/>
        <v>0</v>
      </c>
      <c r="K17" s="8">
        <f t="shared" si="1"/>
        <v>0</v>
      </c>
      <c r="L17" s="7"/>
    </row>
    <row r="18" spans="1:12" x14ac:dyDescent="0.25">
      <c r="A18" s="5">
        <f t="shared" si="0"/>
        <v>2.0015000000000032</v>
      </c>
      <c r="B18" s="46"/>
      <c r="C18" s="47"/>
      <c r="D18" s="54"/>
      <c r="E18" s="7"/>
      <c r="F18" s="8"/>
      <c r="G18" s="8"/>
      <c r="H18" s="8"/>
      <c r="I18" s="8"/>
      <c r="J18" s="8"/>
      <c r="K18" s="8"/>
      <c r="L18" s="7"/>
    </row>
    <row r="19" spans="1:12" x14ac:dyDescent="0.25">
      <c r="A19" s="5">
        <f t="shared" si="0"/>
        <v>2.0016000000000034</v>
      </c>
      <c r="B19" s="6" t="s">
        <v>153</v>
      </c>
      <c r="C19" s="23" t="s">
        <v>151</v>
      </c>
      <c r="D19" s="54"/>
      <c r="E19" s="7"/>
      <c r="F19" s="8" t="s">
        <v>5</v>
      </c>
      <c r="G19" s="8">
        <f t="shared" si="1"/>
        <v>1</v>
      </c>
      <c r="H19" s="8">
        <f t="shared" si="1"/>
        <v>0</v>
      </c>
      <c r="I19" s="8">
        <f t="shared" si="1"/>
        <v>0</v>
      </c>
      <c r="J19" s="8">
        <f t="shared" si="1"/>
        <v>0</v>
      </c>
      <c r="K19" s="8">
        <f t="shared" si="1"/>
        <v>0</v>
      </c>
      <c r="L19" s="7"/>
    </row>
    <row r="20" spans="1:12" x14ac:dyDescent="0.25">
      <c r="A20" s="5">
        <f t="shared" si="0"/>
        <v>2.0017000000000036</v>
      </c>
      <c r="B20" s="6" t="s">
        <v>157</v>
      </c>
      <c r="C20" s="23" t="s">
        <v>158</v>
      </c>
      <c r="D20" s="54"/>
      <c r="E20" s="7"/>
      <c r="F20" s="8" t="s">
        <v>5</v>
      </c>
      <c r="G20" s="8">
        <f t="shared" si="1"/>
        <v>1</v>
      </c>
      <c r="H20" s="8">
        <f t="shared" si="1"/>
        <v>0</v>
      </c>
      <c r="I20" s="8">
        <f t="shared" si="1"/>
        <v>0</v>
      </c>
      <c r="J20" s="8">
        <f t="shared" si="1"/>
        <v>0</v>
      </c>
      <c r="K20" s="8">
        <f t="shared" si="1"/>
        <v>0</v>
      </c>
      <c r="L20" s="7"/>
    </row>
    <row r="21" spans="1:12" x14ac:dyDescent="0.25">
      <c r="A21" s="5">
        <f t="shared" si="0"/>
        <v>2.0018000000000038</v>
      </c>
      <c r="B21" s="6" t="s">
        <v>159</v>
      </c>
      <c r="C21" s="22" t="s">
        <v>160</v>
      </c>
      <c r="D21" s="54"/>
      <c r="E21" s="7"/>
      <c r="F21" s="8" t="s">
        <v>5</v>
      </c>
      <c r="G21" s="8">
        <f t="shared" si="1"/>
        <v>1</v>
      </c>
      <c r="H21" s="8">
        <f t="shared" si="1"/>
        <v>0</v>
      </c>
      <c r="I21" s="8">
        <f t="shared" si="1"/>
        <v>0</v>
      </c>
      <c r="J21" s="8">
        <f t="shared" si="1"/>
        <v>0</v>
      </c>
      <c r="K21" s="8">
        <f t="shared" si="1"/>
        <v>0</v>
      </c>
      <c r="L21" s="7"/>
    </row>
    <row r="22" spans="1:12" x14ac:dyDescent="0.25">
      <c r="A22" s="5">
        <f t="shared" si="0"/>
        <v>2.001900000000004</v>
      </c>
      <c r="B22" s="6" t="s">
        <v>161</v>
      </c>
      <c r="C22" s="22" t="s">
        <v>162</v>
      </c>
      <c r="D22" s="54"/>
      <c r="E22" s="7"/>
      <c r="F22" s="8" t="s">
        <v>5</v>
      </c>
      <c r="G22" s="8">
        <f t="shared" si="1"/>
        <v>1</v>
      </c>
      <c r="H22" s="8">
        <f t="shared" si="1"/>
        <v>0</v>
      </c>
      <c r="I22" s="8">
        <f t="shared" si="1"/>
        <v>0</v>
      </c>
      <c r="J22" s="8">
        <f t="shared" si="1"/>
        <v>0</v>
      </c>
      <c r="K22" s="8">
        <f t="shared" si="1"/>
        <v>0</v>
      </c>
      <c r="L22" s="7"/>
    </row>
    <row r="23" spans="1:12" x14ac:dyDescent="0.25">
      <c r="A23" s="5">
        <f t="shared" si="0"/>
        <v>2.0020000000000042</v>
      </c>
      <c r="B23" s="6" t="s">
        <v>154</v>
      </c>
      <c r="C23" s="30" t="s">
        <v>255</v>
      </c>
      <c r="D23" s="54" t="s">
        <v>417</v>
      </c>
      <c r="E23" s="7"/>
      <c r="F23" s="8" t="s">
        <v>5</v>
      </c>
      <c r="G23" s="8">
        <f t="shared" si="1"/>
        <v>1</v>
      </c>
      <c r="H23" s="8">
        <f t="shared" si="1"/>
        <v>0</v>
      </c>
      <c r="I23" s="8">
        <f t="shared" si="1"/>
        <v>0</v>
      </c>
      <c r="J23" s="8">
        <f t="shared" si="1"/>
        <v>0</v>
      </c>
      <c r="K23" s="8">
        <f t="shared" si="1"/>
        <v>0</v>
      </c>
      <c r="L23" s="7"/>
    </row>
    <row r="24" spans="1:12" x14ac:dyDescent="0.25">
      <c r="A24" s="5">
        <f t="shared" si="0"/>
        <v>2.0021000000000044</v>
      </c>
      <c r="B24" s="27" t="s">
        <v>155</v>
      </c>
      <c r="C24" s="30" t="s">
        <v>13</v>
      </c>
      <c r="D24" s="54"/>
      <c r="E24" s="7"/>
      <c r="F24" s="8" t="s">
        <v>5</v>
      </c>
      <c r="G24" s="8">
        <f t="shared" si="1"/>
        <v>1</v>
      </c>
      <c r="H24" s="8">
        <f t="shared" si="1"/>
        <v>0</v>
      </c>
      <c r="I24" s="8">
        <f t="shared" si="1"/>
        <v>0</v>
      </c>
      <c r="J24" s="8">
        <f t="shared" si="1"/>
        <v>0</v>
      </c>
      <c r="K24" s="8">
        <f t="shared" si="1"/>
        <v>0</v>
      </c>
      <c r="L24" s="7"/>
    </row>
    <row r="25" spans="1:12" x14ac:dyDescent="0.25">
      <c r="A25" s="5">
        <f t="shared" si="0"/>
        <v>2.0022000000000046</v>
      </c>
      <c r="B25" s="62"/>
      <c r="C25" s="61"/>
      <c r="D25" s="65"/>
      <c r="E25" s="7"/>
      <c r="F25" s="8"/>
      <c r="G25" s="8"/>
      <c r="H25" s="8"/>
      <c r="I25" s="8"/>
      <c r="J25" s="8"/>
      <c r="K25" s="8"/>
      <c r="L25" s="7"/>
    </row>
    <row r="26" spans="1:12" x14ac:dyDescent="0.25">
      <c r="A26" s="5">
        <f t="shared" si="0"/>
        <v>2.0023000000000049</v>
      </c>
      <c r="B26" s="48" t="s">
        <v>216</v>
      </c>
      <c r="C26" s="49" t="s">
        <v>260</v>
      </c>
      <c r="D26" s="18"/>
      <c r="E26" s="7"/>
      <c r="F26" s="8"/>
      <c r="G26" s="8"/>
      <c r="H26" s="8"/>
      <c r="I26" s="8"/>
      <c r="J26" s="8"/>
      <c r="K26" s="8"/>
      <c r="L26" s="7"/>
    </row>
    <row r="27" spans="1:12" x14ac:dyDescent="0.25">
      <c r="A27" s="5">
        <f t="shared" si="0"/>
        <v>2.0024000000000051</v>
      </c>
      <c r="B27" s="28" t="s">
        <v>174</v>
      </c>
      <c r="C27" s="22" t="s">
        <v>175</v>
      </c>
      <c r="D27" s="54"/>
      <c r="E27" s="7"/>
      <c r="F27" s="8" t="s">
        <v>5</v>
      </c>
      <c r="G27" s="8">
        <f t="shared" si="1"/>
        <v>1</v>
      </c>
      <c r="H27" s="8">
        <f t="shared" si="1"/>
        <v>0</v>
      </c>
      <c r="I27" s="8">
        <f t="shared" si="1"/>
        <v>0</v>
      </c>
      <c r="J27" s="8">
        <f t="shared" si="1"/>
        <v>0</v>
      </c>
      <c r="K27" s="8">
        <f t="shared" si="1"/>
        <v>0</v>
      </c>
      <c r="L27" s="7"/>
    </row>
    <row r="28" spans="1:12" x14ac:dyDescent="0.25">
      <c r="A28" s="5">
        <f t="shared" si="0"/>
        <v>2.0025000000000053</v>
      </c>
      <c r="B28" s="6"/>
      <c r="C28" s="23"/>
      <c r="D28" s="54"/>
      <c r="E28" s="7"/>
      <c r="F28" s="8"/>
      <c r="G28" s="8"/>
      <c r="H28" s="8"/>
      <c r="I28" s="8"/>
      <c r="J28" s="8"/>
      <c r="K28" s="8">
        <f t="shared" si="1"/>
        <v>0</v>
      </c>
      <c r="L28" s="7"/>
    </row>
    <row r="29" spans="1:12" ht="38.25" x14ac:dyDescent="0.25">
      <c r="A29" s="5">
        <f t="shared" si="0"/>
        <v>2.0026000000000055</v>
      </c>
      <c r="B29" s="63" t="s">
        <v>220</v>
      </c>
      <c r="C29" s="64" t="s">
        <v>211</v>
      </c>
      <c r="D29" s="54"/>
      <c r="E29" s="7"/>
      <c r="F29" s="8" t="s">
        <v>5</v>
      </c>
      <c r="G29" s="8">
        <f t="shared" si="1"/>
        <v>1</v>
      </c>
      <c r="H29" s="8">
        <f t="shared" si="1"/>
        <v>0</v>
      </c>
      <c r="I29" s="8">
        <f t="shared" si="1"/>
        <v>0</v>
      </c>
      <c r="J29" s="8">
        <f t="shared" si="1"/>
        <v>0</v>
      </c>
      <c r="K29" s="8">
        <f t="shared" si="1"/>
        <v>0</v>
      </c>
      <c r="L29" s="7"/>
    </row>
    <row r="30" spans="1:12" ht="25.5" x14ac:dyDescent="0.25">
      <c r="A30" s="5">
        <f t="shared" si="0"/>
        <v>2.0027000000000057</v>
      </c>
      <c r="B30" s="63" t="s">
        <v>219</v>
      </c>
      <c r="C30" s="64" t="s">
        <v>261</v>
      </c>
      <c r="D30" s="54"/>
      <c r="E30" s="7"/>
      <c r="F30" s="8" t="s">
        <v>5</v>
      </c>
      <c r="G30" s="8">
        <f t="shared" si="1"/>
        <v>1</v>
      </c>
      <c r="H30" s="8">
        <f t="shared" si="1"/>
        <v>0</v>
      </c>
      <c r="I30" s="8">
        <f t="shared" si="1"/>
        <v>0</v>
      </c>
      <c r="J30" s="8">
        <f t="shared" si="1"/>
        <v>0</v>
      </c>
      <c r="K30" s="8">
        <f t="shared" si="1"/>
        <v>0</v>
      </c>
      <c r="L30" s="7"/>
    </row>
    <row r="31" spans="1:12" x14ac:dyDescent="0.25">
      <c r="A31" s="5">
        <f t="shared" si="0"/>
        <v>2.0028000000000059</v>
      </c>
      <c r="B31" s="63"/>
      <c r="C31" s="64"/>
      <c r="D31" s="54"/>
      <c r="E31" s="7"/>
      <c r="F31" s="8"/>
      <c r="G31" s="8"/>
      <c r="H31" s="8"/>
      <c r="I31" s="8"/>
      <c r="J31" s="8"/>
      <c r="K31" s="8"/>
      <c r="L31" s="7"/>
    </row>
    <row r="32" spans="1:12" x14ac:dyDescent="0.25">
      <c r="A32" s="5">
        <f t="shared" si="0"/>
        <v>2.0029000000000061</v>
      </c>
      <c r="B32" s="6" t="s">
        <v>177</v>
      </c>
      <c r="C32" s="23" t="s">
        <v>178</v>
      </c>
      <c r="D32" s="54"/>
      <c r="E32" s="7"/>
      <c r="F32" s="8" t="s">
        <v>5</v>
      </c>
      <c r="G32" s="8">
        <f t="shared" ref="G32:K39" si="2">IF($F32=G$1,1,0)</f>
        <v>1</v>
      </c>
      <c r="H32" s="8">
        <f t="shared" si="2"/>
        <v>0</v>
      </c>
      <c r="I32" s="8">
        <f t="shared" si="2"/>
        <v>0</v>
      </c>
      <c r="J32" s="8">
        <f t="shared" si="2"/>
        <v>0</v>
      </c>
      <c r="K32" s="8">
        <f t="shared" si="2"/>
        <v>0</v>
      </c>
      <c r="L32" s="7"/>
    </row>
    <row r="33" spans="1:12" x14ac:dyDescent="0.25">
      <c r="A33" s="5">
        <f t="shared" si="0"/>
        <v>2.0030000000000063</v>
      </c>
      <c r="B33" s="6" t="s">
        <v>194</v>
      </c>
      <c r="C33" s="23" t="s">
        <v>195</v>
      </c>
      <c r="D33" s="54"/>
      <c r="E33" s="7"/>
      <c r="F33" s="8" t="s">
        <v>5</v>
      </c>
      <c r="G33" s="8">
        <f t="shared" si="2"/>
        <v>1</v>
      </c>
      <c r="H33" s="8">
        <f t="shared" si="2"/>
        <v>0</v>
      </c>
      <c r="I33" s="8">
        <f t="shared" si="2"/>
        <v>0</v>
      </c>
      <c r="J33" s="8">
        <f t="shared" si="2"/>
        <v>0</v>
      </c>
      <c r="K33" s="8">
        <f t="shared" si="2"/>
        <v>0</v>
      </c>
      <c r="L33" s="7"/>
    </row>
    <row r="34" spans="1:12" x14ac:dyDescent="0.25">
      <c r="A34" s="5">
        <f t="shared" si="0"/>
        <v>2.0031000000000065</v>
      </c>
      <c r="B34" s="6" t="s">
        <v>179</v>
      </c>
      <c r="C34" s="23" t="s">
        <v>193</v>
      </c>
      <c r="D34" s="54"/>
      <c r="E34" s="7"/>
      <c r="F34" s="8" t="s">
        <v>5</v>
      </c>
      <c r="G34" s="8">
        <f t="shared" si="2"/>
        <v>1</v>
      </c>
      <c r="H34" s="8">
        <f t="shared" si="2"/>
        <v>0</v>
      </c>
      <c r="I34" s="8">
        <f t="shared" si="2"/>
        <v>0</v>
      </c>
      <c r="J34" s="8">
        <f t="shared" si="2"/>
        <v>0</v>
      </c>
      <c r="K34" s="8">
        <f t="shared" si="2"/>
        <v>0</v>
      </c>
      <c r="L34" s="7"/>
    </row>
    <row r="35" spans="1:12" x14ac:dyDescent="0.25">
      <c r="A35" s="5">
        <f t="shared" si="0"/>
        <v>2.0032000000000068</v>
      </c>
      <c r="B35" s="6" t="s">
        <v>17</v>
      </c>
      <c r="C35" s="22" t="s">
        <v>18</v>
      </c>
      <c r="D35" s="54"/>
      <c r="E35" s="7"/>
      <c r="F35" s="8" t="s">
        <v>5</v>
      </c>
      <c r="G35" s="8">
        <f t="shared" si="2"/>
        <v>1</v>
      </c>
      <c r="H35" s="8">
        <f t="shared" si="2"/>
        <v>0</v>
      </c>
      <c r="I35" s="8">
        <f t="shared" si="2"/>
        <v>0</v>
      </c>
      <c r="J35" s="8">
        <f t="shared" si="2"/>
        <v>0</v>
      </c>
      <c r="K35" s="8">
        <f t="shared" si="2"/>
        <v>0</v>
      </c>
      <c r="L35" s="7"/>
    </row>
    <row r="36" spans="1:12" x14ac:dyDescent="0.25">
      <c r="A36" s="5">
        <f t="shared" si="0"/>
        <v>2.003300000000007</v>
      </c>
      <c r="B36" s="6" t="s">
        <v>19</v>
      </c>
      <c r="C36" s="23" t="s">
        <v>196</v>
      </c>
      <c r="D36" s="54"/>
      <c r="E36" s="7"/>
      <c r="F36" s="8" t="s">
        <v>5</v>
      </c>
      <c r="G36" s="8">
        <f t="shared" si="2"/>
        <v>1</v>
      </c>
      <c r="H36" s="8">
        <f t="shared" si="2"/>
        <v>0</v>
      </c>
      <c r="I36" s="8">
        <f t="shared" si="2"/>
        <v>0</v>
      </c>
      <c r="J36" s="8">
        <f t="shared" si="2"/>
        <v>0</v>
      </c>
      <c r="K36" s="8">
        <f t="shared" si="2"/>
        <v>0</v>
      </c>
      <c r="L36" s="7"/>
    </row>
    <row r="37" spans="1:12" x14ac:dyDescent="0.25">
      <c r="A37" s="5">
        <f t="shared" si="0"/>
        <v>2.0034000000000072</v>
      </c>
      <c r="B37" s="6" t="s">
        <v>23</v>
      </c>
      <c r="C37" s="22" t="s">
        <v>20</v>
      </c>
      <c r="D37" s="54"/>
      <c r="E37" s="7"/>
      <c r="F37" s="8" t="s">
        <v>5</v>
      </c>
      <c r="G37" s="8">
        <f t="shared" si="2"/>
        <v>1</v>
      </c>
      <c r="H37" s="8">
        <f t="shared" si="2"/>
        <v>0</v>
      </c>
      <c r="I37" s="8">
        <f t="shared" si="2"/>
        <v>0</v>
      </c>
      <c r="J37" s="8">
        <f t="shared" si="2"/>
        <v>0</v>
      </c>
      <c r="K37" s="8">
        <f t="shared" si="2"/>
        <v>0</v>
      </c>
      <c r="L37" s="7"/>
    </row>
    <row r="38" spans="1:12" x14ac:dyDescent="0.25">
      <c r="A38" s="5">
        <f t="shared" si="0"/>
        <v>2.0035000000000074</v>
      </c>
      <c r="B38" s="6"/>
      <c r="C38" s="22" t="s">
        <v>21</v>
      </c>
      <c r="D38" s="54"/>
      <c r="E38" s="7"/>
      <c r="F38" s="8" t="s">
        <v>5</v>
      </c>
      <c r="G38" s="8">
        <f t="shared" si="2"/>
        <v>1</v>
      </c>
      <c r="H38" s="8">
        <f t="shared" si="2"/>
        <v>0</v>
      </c>
      <c r="I38" s="8">
        <f t="shared" si="2"/>
        <v>0</v>
      </c>
      <c r="J38" s="8">
        <f t="shared" si="2"/>
        <v>0</v>
      </c>
      <c r="K38" s="8">
        <f t="shared" si="2"/>
        <v>0</v>
      </c>
      <c r="L38" s="7"/>
    </row>
    <row r="39" spans="1:12" ht="25.5" x14ac:dyDescent="0.25">
      <c r="A39" s="5">
        <f t="shared" si="0"/>
        <v>2.0036000000000076</v>
      </c>
      <c r="B39" s="6" t="s">
        <v>15</v>
      </c>
      <c r="C39" s="30" t="s">
        <v>197</v>
      </c>
      <c r="D39" s="54"/>
      <c r="E39" s="7"/>
      <c r="F39" s="8" t="s">
        <v>5</v>
      </c>
      <c r="G39" s="8">
        <f t="shared" si="2"/>
        <v>1</v>
      </c>
      <c r="H39" s="8">
        <f t="shared" si="2"/>
        <v>0</v>
      </c>
      <c r="I39" s="8">
        <f t="shared" si="2"/>
        <v>0</v>
      </c>
      <c r="J39" s="8">
        <f t="shared" si="2"/>
        <v>0</v>
      </c>
      <c r="K39" s="8">
        <f t="shared" si="2"/>
        <v>0</v>
      </c>
      <c r="L39" s="7"/>
    </row>
    <row r="40" spans="1:12" x14ac:dyDescent="0.25">
      <c r="A40" s="5">
        <f t="shared" si="0"/>
        <v>2.0037000000000078</v>
      </c>
      <c r="B40" s="28"/>
      <c r="C40" s="22"/>
      <c r="D40" s="54"/>
      <c r="E40" s="7"/>
      <c r="F40" s="8"/>
      <c r="G40" s="8"/>
      <c r="H40" s="8"/>
      <c r="I40" s="8"/>
      <c r="J40" s="8"/>
      <c r="K40" s="8"/>
      <c r="L40" s="7"/>
    </row>
    <row r="41" spans="1:12" x14ac:dyDescent="0.25">
      <c r="A41" s="5">
        <f t="shared" si="0"/>
        <v>2.003800000000008</v>
      </c>
      <c r="B41" s="66" t="s">
        <v>212</v>
      </c>
      <c r="C41" s="67" t="s">
        <v>214</v>
      </c>
      <c r="D41" s="67"/>
      <c r="E41" s="7"/>
      <c r="F41" s="8" t="s">
        <v>5</v>
      </c>
      <c r="G41" s="8">
        <f t="shared" ref="G41:K42" si="3">IF($F41=G$1,1,0)</f>
        <v>1</v>
      </c>
      <c r="H41" s="8">
        <f t="shared" si="3"/>
        <v>0</v>
      </c>
      <c r="I41" s="8">
        <f t="shared" si="3"/>
        <v>0</v>
      </c>
      <c r="J41" s="8">
        <f t="shared" si="3"/>
        <v>0</v>
      </c>
      <c r="K41" s="8">
        <f t="shared" si="3"/>
        <v>0</v>
      </c>
      <c r="L41" s="7"/>
    </row>
    <row r="42" spans="1:12" x14ac:dyDescent="0.25">
      <c r="A42" s="5">
        <f t="shared" si="0"/>
        <v>2.0039000000000082</v>
      </c>
      <c r="B42" s="66" t="s">
        <v>213</v>
      </c>
      <c r="C42" s="67" t="s">
        <v>215</v>
      </c>
      <c r="D42" s="67"/>
      <c r="E42" s="7"/>
      <c r="F42" s="8" t="s">
        <v>5</v>
      </c>
      <c r="G42" s="8">
        <f t="shared" si="3"/>
        <v>1</v>
      </c>
      <c r="H42" s="8">
        <f t="shared" si="3"/>
        <v>0</v>
      </c>
      <c r="I42" s="8">
        <f t="shared" si="3"/>
        <v>0</v>
      </c>
      <c r="J42" s="8">
        <f t="shared" si="3"/>
        <v>0</v>
      </c>
      <c r="K42" s="8">
        <f t="shared" si="3"/>
        <v>0</v>
      </c>
      <c r="L42" s="7"/>
    </row>
    <row r="43" spans="1:12" x14ac:dyDescent="0.25">
      <c r="A43" s="5">
        <f t="shared" si="0"/>
        <v>2.0040000000000084</v>
      </c>
      <c r="B43" s="6"/>
      <c r="C43" s="30"/>
      <c r="D43" s="54"/>
      <c r="E43" s="7"/>
      <c r="F43" s="8"/>
      <c r="G43" s="8"/>
      <c r="H43" s="8"/>
      <c r="I43" s="8"/>
      <c r="J43" s="8"/>
      <c r="K43" s="8"/>
      <c r="L43" s="34"/>
    </row>
    <row r="44" spans="1:12" x14ac:dyDescent="0.25">
      <c r="A44" s="5">
        <f t="shared" si="0"/>
        <v>2.0041000000000087</v>
      </c>
      <c r="B44" s="17" t="s">
        <v>185</v>
      </c>
      <c r="C44" s="18"/>
      <c r="D44" s="17"/>
      <c r="E44" s="7"/>
      <c r="F44" s="8"/>
      <c r="G44" s="8"/>
      <c r="H44" s="8"/>
      <c r="I44" s="8"/>
      <c r="J44" s="8"/>
      <c r="K44" s="8"/>
      <c r="L44" s="34"/>
    </row>
    <row r="45" spans="1:12" x14ac:dyDescent="0.25">
      <c r="A45" s="5">
        <f t="shared" si="0"/>
        <v>2.0042000000000089</v>
      </c>
      <c r="B45" s="6" t="s">
        <v>163</v>
      </c>
      <c r="C45" s="6" t="s">
        <v>103</v>
      </c>
      <c r="D45" s="7" t="s">
        <v>164</v>
      </c>
      <c r="E45" s="8"/>
      <c r="F45" s="8" t="s">
        <v>5</v>
      </c>
      <c r="G45" s="8">
        <f t="shared" ref="G45:K50" si="4">IF($F45=G$1,1,0)</f>
        <v>1</v>
      </c>
      <c r="H45" s="8">
        <f t="shared" si="4"/>
        <v>0</v>
      </c>
      <c r="I45" s="8">
        <f t="shared" si="4"/>
        <v>0</v>
      </c>
      <c r="J45" s="8">
        <f t="shared" si="4"/>
        <v>0</v>
      </c>
      <c r="K45" s="8">
        <f t="shared" si="4"/>
        <v>0</v>
      </c>
    </row>
    <row r="46" spans="1:12" x14ac:dyDescent="0.25">
      <c r="A46" s="5">
        <f t="shared" si="0"/>
        <v>2.0043000000000091</v>
      </c>
      <c r="B46" s="6" t="s">
        <v>104</v>
      </c>
      <c r="C46" s="6" t="s">
        <v>165</v>
      </c>
      <c r="D46" s="7" t="s">
        <v>187</v>
      </c>
      <c r="E46" s="8"/>
      <c r="F46" s="8" t="s">
        <v>5</v>
      </c>
      <c r="G46" s="8">
        <f t="shared" si="4"/>
        <v>1</v>
      </c>
      <c r="H46" s="8">
        <f t="shared" si="4"/>
        <v>0</v>
      </c>
      <c r="I46" s="8">
        <f t="shared" si="4"/>
        <v>0</v>
      </c>
      <c r="J46" s="8">
        <f t="shared" si="4"/>
        <v>0</v>
      </c>
      <c r="K46" s="8">
        <f t="shared" si="4"/>
        <v>0</v>
      </c>
    </row>
    <row r="47" spans="1:12" x14ac:dyDescent="0.25">
      <c r="A47" s="5">
        <f t="shared" si="0"/>
        <v>2.0044000000000093</v>
      </c>
      <c r="B47" s="6" t="s">
        <v>15</v>
      </c>
      <c r="C47" s="6" t="s">
        <v>105</v>
      </c>
      <c r="D47" s="7"/>
      <c r="E47" s="8"/>
      <c r="F47" s="8" t="s">
        <v>5</v>
      </c>
      <c r="G47" s="8">
        <f t="shared" si="4"/>
        <v>1</v>
      </c>
      <c r="H47" s="8">
        <f t="shared" si="4"/>
        <v>0</v>
      </c>
      <c r="I47" s="8">
        <f t="shared" si="4"/>
        <v>0</v>
      </c>
      <c r="J47" s="8">
        <f t="shared" si="4"/>
        <v>0</v>
      </c>
      <c r="K47" s="8">
        <f t="shared" si="4"/>
        <v>0</v>
      </c>
    </row>
    <row r="48" spans="1:12" x14ac:dyDescent="0.25">
      <c r="A48" s="5">
        <f t="shared" si="0"/>
        <v>2.0045000000000095</v>
      </c>
      <c r="B48" s="6" t="s">
        <v>186</v>
      </c>
      <c r="C48" s="6" t="s">
        <v>103</v>
      </c>
      <c r="D48" s="7"/>
      <c r="E48" s="8"/>
      <c r="F48" s="8" t="s">
        <v>5</v>
      </c>
      <c r="G48" s="8">
        <f t="shared" si="4"/>
        <v>1</v>
      </c>
      <c r="H48" s="8">
        <f t="shared" si="4"/>
        <v>0</v>
      </c>
      <c r="I48" s="8">
        <f t="shared" si="4"/>
        <v>0</v>
      </c>
      <c r="J48" s="8">
        <f t="shared" si="4"/>
        <v>0</v>
      </c>
      <c r="K48" s="8">
        <f t="shared" si="4"/>
        <v>0</v>
      </c>
    </row>
    <row r="49" spans="1:11" x14ac:dyDescent="0.25">
      <c r="A49" s="5">
        <f t="shared" si="0"/>
        <v>2.0046000000000097</v>
      </c>
      <c r="B49" s="6" t="s">
        <v>104</v>
      </c>
      <c r="C49" s="6" t="s">
        <v>166</v>
      </c>
      <c r="D49" s="7"/>
      <c r="E49" s="8"/>
      <c r="F49" s="8" t="s">
        <v>5</v>
      </c>
      <c r="G49" s="8">
        <f t="shared" si="4"/>
        <v>1</v>
      </c>
      <c r="H49" s="8">
        <f t="shared" si="4"/>
        <v>0</v>
      </c>
      <c r="I49" s="8">
        <f t="shared" si="4"/>
        <v>0</v>
      </c>
      <c r="J49" s="8">
        <f t="shared" si="4"/>
        <v>0</v>
      </c>
      <c r="K49" s="8">
        <f t="shared" si="4"/>
        <v>0</v>
      </c>
    </row>
    <row r="50" spans="1:11" x14ac:dyDescent="0.25">
      <c r="A50" s="5">
        <f t="shared" si="0"/>
        <v>2.0047000000000099</v>
      </c>
      <c r="B50" s="6" t="s">
        <v>15</v>
      </c>
      <c r="C50" s="6" t="s">
        <v>105</v>
      </c>
      <c r="D50" s="7"/>
      <c r="E50" s="8"/>
      <c r="F50" s="8" t="s">
        <v>5</v>
      </c>
      <c r="G50" s="8">
        <f t="shared" si="4"/>
        <v>1</v>
      </c>
      <c r="H50" s="8">
        <f t="shared" si="4"/>
        <v>0</v>
      </c>
      <c r="I50" s="8">
        <f t="shared" si="4"/>
        <v>0</v>
      </c>
      <c r="J50" s="8">
        <f t="shared" si="4"/>
        <v>0</v>
      </c>
      <c r="K50" s="8">
        <f t="shared" si="4"/>
        <v>0</v>
      </c>
    </row>
    <row r="51" spans="1:11" x14ac:dyDescent="0.25">
      <c r="A51" s="5">
        <f t="shared" si="0"/>
        <v>2.0048000000000101</v>
      </c>
      <c r="B51" s="7"/>
      <c r="C51" s="23"/>
      <c r="D51" s="56"/>
      <c r="E51" s="8"/>
      <c r="F51" s="8"/>
      <c r="G51" s="8"/>
      <c r="H51" s="8"/>
      <c r="I51" s="8"/>
      <c r="J51" s="8"/>
      <c r="K51" s="8"/>
    </row>
    <row r="52" spans="1:11" x14ac:dyDescent="0.25">
      <c r="A52" s="5">
        <f t="shared" si="0"/>
        <v>2.0049000000000103</v>
      </c>
      <c r="B52" s="17" t="s">
        <v>48</v>
      </c>
      <c r="C52" s="17"/>
      <c r="D52" s="18"/>
      <c r="E52" s="8"/>
      <c r="F52" s="8"/>
      <c r="G52" s="8"/>
      <c r="H52" s="8"/>
      <c r="I52" s="8"/>
      <c r="J52" s="8"/>
      <c r="K52" s="8"/>
    </row>
    <row r="53" spans="1:11" x14ac:dyDescent="0.25">
      <c r="A53" s="5">
        <f t="shared" si="0"/>
        <v>2.0050000000000106</v>
      </c>
      <c r="B53" s="32" t="s">
        <v>24</v>
      </c>
      <c r="C53" s="6" t="s">
        <v>25</v>
      </c>
      <c r="D53" s="56"/>
      <c r="E53" s="8"/>
      <c r="F53" s="8" t="s">
        <v>5</v>
      </c>
      <c r="G53" s="8">
        <f t="shared" ref="G53:K62" si="5">IF($F53=G$1,1,0)</f>
        <v>1</v>
      </c>
      <c r="H53" s="8">
        <f t="shared" si="5"/>
        <v>0</v>
      </c>
      <c r="I53" s="8">
        <f t="shared" si="5"/>
        <v>0</v>
      </c>
      <c r="J53" s="8">
        <f t="shared" si="5"/>
        <v>0</v>
      </c>
      <c r="K53" s="8">
        <f t="shared" si="5"/>
        <v>0</v>
      </c>
    </row>
    <row r="54" spans="1:11" x14ac:dyDescent="0.25">
      <c r="A54" s="5">
        <f t="shared" si="0"/>
        <v>2.0051000000000108</v>
      </c>
      <c r="B54" s="7"/>
      <c r="C54" s="6" t="s">
        <v>26</v>
      </c>
      <c r="D54" s="56"/>
      <c r="E54" s="8"/>
      <c r="F54" s="8" t="s">
        <v>5</v>
      </c>
      <c r="G54" s="8">
        <f t="shared" si="5"/>
        <v>1</v>
      </c>
      <c r="H54" s="8">
        <f t="shared" si="5"/>
        <v>0</v>
      </c>
      <c r="I54" s="8">
        <f t="shared" si="5"/>
        <v>0</v>
      </c>
      <c r="J54" s="8">
        <f t="shared" si="5"/>
        <v>0</v>
      </c>
      <c r="K54" s="8">
        <f t="shared" si="5"/>
        <v>0</v>
      </c>
    </row>
    <row r="55" spans="1:11" x14ac:dyDescent="0.25">
      <c r="A55" s="5">
        <f t="shared" si="0"/>
        <v>2.005200000000011</v>
      </c>
      <c r="B55" s="7"/>
      <c r="C55" s="6" t="s">
        <v>43</v>
      </c>
      <c r="D55" s="56"/>
      <c r="E55" s="8"/>
      <c r="F55" s="8" t="s">
        <v>5</v>
      </c>
      <c r="G55" s="8">
        <f t="shared" si="5"/>
        <v>1</v>
      </c>
      <c r="H55" s="8">
        <f t="shared" si="5"/>
        <v>0</v>
      </c>
      <c r="I55" s="8">
        <f t="shared" si="5"/>
        <v>0</v>
      </c>
      <c r="J55" s="8">
        <f t="shared" si="5"/>
        <v>0</v>
      </c>
      <c r="K55" s="8">
        <f t="shared" si="5"/>
        <v>0</v>
      </c>
    </row>
    <row r="56" spans="1:11" x14ac:dyDescent="0.25">
      <c r="A56" s="5">
        <f t="shared" si="0"/>
        <v>2.0053000000000112</v>
      </c>
      <c r="B56" s="7"/>
      <c r="C56" s="6" t="s">
        <v>44</v>
      </c>
      <c r="D56" s="56"/>
      <c r="E56" s="8"/>
      <c r="F56" s="8" t="s">
        <v>5</v>
      </c>
      <c r="G56" s="8">
        <f t="shared" si="5"/>
        <v>1</v>
      </c>
      <c r="H56" s="8">
        <f t="shared" si="5"/>
        <v>0</v>
      </c>
      <c r="I56" s="8">
        <f t="shared" si="5"/>
        <v>0</v>
      </c>
      <c r="J56" s="8">
        <f t="shared" si="5"/>
        <v>0</v>
      </c>
      <c r="K56" s="8">
        <f t="shared" si="5"/>
        <v>0</v>
      </c>
    </row>
    <row r="57" spans="1:11" x14ac:dyDescent="0.25">
      <c r="A57" s="5">
        <f t="shared" si="0"/>
        <v>2.0054000000000114</v>
      </c>
      <c r="B57" s="7"/>
      <c r="C57" s="60" t="s">
        <v>32</v>
      </c>
      <c r="D57" s="56"/>
      <c r="E57" s="8"/>
      <c r="F57" s="8" t="s">
        <v>5</v>
      </c>
      <c r="G57" s="8">
        <f t="shared" si="5"/>
        <v>1</v>
      </c>
      <c r="H57" s="8">
        <f t="shared" si="5"/>
        <v>0</v>
      </c>
      <c r="I57" s="8">
        <f t="shared" si="5"/>
        <v>0</v>
      </c>
      <c r="J57" s="8">
        <f t="shared" si="5"/>
        <v>0</v>
      </c>
      <c r="K57" s="8">
        <f t="shared" si="5"/>
        <v>0</v>
      </c>
    </row>
    <row r="58" spans="1:11" x14ac:dyDescent="0.25">
      <c r="A58" s="5">
        <f t="shared" si="0"/>
        <v>2.0055000000000116</v>
      </c>
      <c r="B58" s="7"/>
      <c r="C58" s="60" t="s">
        <v>227</v>
      </c>
      <c r="D58" s="56"/>
      <c r="E58" s="8"/>
      <c r="F58" s="8" t="s">
        <v>5</v>
      </c>
      <c r="G58" s="8">
        <f t="shared" si="5"/>
        <v>1</v>
      </c>
      <c r="H58" s="8">
        <f t="shared" si="5"/>
        <v>0</v>
      </c>
      <c r="I58" s="8">
        <f t="shared" si="5"/>
        <v>0</v>
      </c>
      <c r="J58" s="8">
        <f t="shared" si="5"/>
        <v>0</v>
      </c>
      <c r="K58" s="8">
        <f t="shared" si="5"/>
        <v>0</v>
      </c>
    </row>
    <row r="59" spans="1:11" x14ac:dyDescent="0.25">
      <c r="A59" s="5">
        <f t="shared" si="0"/>
        <v>2.0056000000000118</v>
      </c>
      <c r="B59" s="7"/>
      <c r="C59" s="60" t="s">
        <v>232</v>
      </c>
      <c r="D59" s="56"/>
      <c r="E59" s="8"/>
      <c r="F59" s="8" t="s">
        <v>5</v>
      </c>
      <c r="G59" s="8">
        <f t="shared" si="5"/>
        <v>1</v>
      </c>
      <c r="H59" s="8">
        <f t="shared" si="5"/>
        <v>0</v>
      </c>
      <c r="I59" s="8">
        <f t="shared" si="5"/>
        <v>0</v>
      </c>
      <c r="J59" s="8">
        <f t="shared" si="5"/>
        <v>0</v>
      </c>
      <c r="K59" s="8">
        <f t="shared" si="5"/>
        <v>0</v>
      </c>
    </row>
    <row r="60" spans="1:11" x14ac:dyDescent="0.25">
      <c r="A60" s="5">
        <f t="shared" si="0"/>
        <v>2.005700000000012</v>
      </c>
      <c r="B60" s="7"/>
      <c r="C60" s="6" t="s">
        <v>45</v>
      </c>
      <c r="D60" s="56"/>
      <c r="E60" s="8"/>
      <c r="F60" s="8" t="s">
        <v>5</v>
      </c>
      <c r="G60" s="8">
        <f t="shared" si="5"/>
        <v>1</v>
      </c>
      <c r="H60" s="8">
        <f t="shared" si="5"/>
        <v>0</v>
      </c>
      <c r="I60" s="8">
        <f t="shared" si="5"/>
        <v>0</v>
      </c>
      <c r="J60" s="8">
        <f t="shared" si="5"/>
        <v>0</v>
      </c>
      <c r="K60" s="8">
        <f t="shared" si="5"/>
        <v>0</v>
      </c>
    </row>
    <row r="61" spans="1:11" x14ac:dyDescent="0.25">
      <c r="A61" s="5">
        <f t="shared" si="0"/>
        <v>2.0058000000000122</v>
      </c>
      <c r="B61" s="7"/>
      <c r="C61" s="6" t="s">
        <v>46</v>
      </c>
      <c r="D61" s="56"/>
      <c r="E61" s="8"/>
      <c r="F61" s="8" t="s">
        <v>5</v>
      </c>
      <c r="G61" s="8">
        <f t="shared" si="5"/>
        <v>1</v>
      </c>
      <c r="H61" s="8">
        <f t="shared" si="5"/>
        <v>0</v>
      </c>
      <c r="I61" s="8">
        <f t="shared" si="5"/>
        <v>0</v>
      </c>
      <c r="J61" s="8">
        <f t="shared" si="5"/>
        <v>0</v>
      </c>
      <c r="K61" s="8">
        <f t="shared" si="5"/>
        <v>0</v>
      </c>
    </row>
    <row r="62" spans="1:11" x14ac:dyDescent="0.25">
      <c r="A62" s="5">
        <f t="shared" si="0"/>
        <v>2.0059000000000125</v>
      </c>
      <c r="B62" s="7"/>
      <c r="C62" s="6" t="s">
        <v>47</v>
      </c>
      <c r="D62" s="56"/>
      <c r="E62" s="8"/>
      <c r="F62" s="8" t="s">
        <v>5</v>
      </c>
      <c r="G62" s="8">
        <f t="shared" si="5"/>
        <v>1</v>
      </c>
      <c r="H62" s="8">
        <f t="shared" si="5"/>
        <v>0</v>
      </c>
      <c r="I62" s="8">
        <f t="shared" si="5"/>
        <v>0</v>
      </c>
      <c r="J62" s="8">
        <f t="shared" si="5"/>
        <v>0</v>
      </c>
      <c r="K62" s="8">
        <f t="shared" si="5"/>
        <v>0</v>
      </c>
    </row>
    <row r="63" spans="1:11" x14ac:dyDescent="0.25">
      <c r="A63" s="5">
        <f t="shared" si="0"/>
        <v>2.0060000000000127</v>
      </c>
      <c r="B63" s="7"/>
      <c r="C63" s="6"/>
      <c r="D63" s="56"/>
      <c r="E63" s="8"/>
      <c r="F63" s="8"/>
      <c r="G63" s="8"/>
      <c r="H63" s="8"/>
      <c r="I63" s="8"/>
      <c r="J63" s="8"/>
      <c r="K63" s="8"/>
    </row>
    <row r="64" spans="1:11" x14ac:dyDescent="0.25">
      <c r="A64" s="5">
        <f t="shared" si="0"/>
        <v>2.0061000000000129</v>
      </c>
      <c r="B64" s="32" t="s">
        <v>29</v>
      </c>
      <c r="C64" s="27" t="s">
        <v>203</v>
      </c>
      <c r="D64" s="56"/>
      <c r="E64" s="8"/>
      <c r="F64" s="8" t="s">
        <v>5</v>
      </c>
      <c r="G64" s="8">
        <f t="shared" ref="G64:K67" si="6">IF($F64=G$1,1,0)</f>
        <v>1</v>
      </c>
      <c r="H64" s="8">
        <f t="shared" si="6"/>
        <v>0</v>
      </c>
      <c r="I64" s="8">
        <f t="shared" si="6"/>
        <v>0</v>
      </c>
      <c r="J64" s="8">
        <f t="shared" si="6"/>
        <v>0</v>
      </c>
      <c r="K64" s="8">
        <f t="shared" si="6"/>
        <v>0</v>
      </c>
    </row>
    <row r="65" spans="1:11" x14ac:dyDescent="0.25">
      <c r="A65" s="5">
        <f t="shared" si="0"/>
        <v>2.0062000000000131</v>
      </c>
      <c r="B65" s="7"/>
      <c r="C65" s="6" t="s">
        <v>49</v>
      </c>
      <c r="D65" s="56"/>
      <c r="E65" s="8"/>
      <c r="F65" s="8" t="s">
        <v>5</v>
      </c>
      <c r="G65" s="8">
        <f t="shared" si="6"/>
        <v>1</v>
      </c>
      <c r="H65" s="8">
        <f t="shared" si="6"/>
        <v>0</v>
      </c>
      <c r="I65" s="8">
        <f t="shared" si="6"/>
        <v>0</v>
      </c>
      <c r="J65" s="8">
        <f t="shared" si="6"/>
        <v>0</v>
      </c>
      <c r="K65" s="8">
        <f t="shared" si="6"/>
        <v>0</v>
      </c>
    </row>
    <row r="66" spans="1:11" x14ac:dyDescent="0.25">
      <c r="A66" s="5">
        <f t="shared" si="0"/>
        <v>2.0063000000000133</v>
      </c>
      <c r="B66" s="7"/>
      <c r="C66" s="6" t="s">
        <v>50</v>
      </c>
      <c r="D66" s="56"/>
      <c r="E66" s="8"/>
      <c r="F66" s="8" t="s">
        <v>5</v>
      </c>
      <c r="G66" s="8">
        <f t="shared" si="6"/>
        <v>1</v>
      </c>
      <c r="H66" s="8">
        <f t="shared" si="6"/>
        <v>0</v>
      </c>
      <c r="I66" s="8">
        <f t="shared" si="6"/>
        <v>0</v>
      </c>
      <c r="J66" s="8">
        <f t="shared" si="6"/>
        <v>0</v>
      </c>
      <c r="K66" s="8">
        <f t="shared" si="6"/>
        <v>0</v>
      </c>
    </row>
    <row r="67" spans="1:11" x14ac:dyDescent="0.25">
      <c r="A67" s="5">
        <f t="shared" si="0"/>
        <v>2.0064000000000135</v>
      </c>
      <c r="B67" s="7"/>
      <c r="C67" s="6" t="s">
        <v>31</v>
      </c>
      <c r="D67" s="56"/>
      <c r="E67" s="8"/>
      <c r="F67" s="8" t="s">
        <v>5</v>
      </c>
      <c r="G67" s="8">
        <f t="shared" si="6"/>
        <v>1</v>
      </c>
      <c r="H67" s="8">
        <f t="shared" si="6"/>
        <v>0</v>
      </c>
      <c r="I67" s="8">
        <f t="shared" si="6"/>
        <v>0</v>
      </c>
      <c r="J67" s="8">
        <f t="shared" si="6"/>
        <v>0</v>
      </c>
      <c r="K67" s="8">
        <f t="shared" si="6"/>
        <v>0</v>
      </c>
    </row>
    <row r="68" spans="1:11" x14ac:dyDescent="0.25">
      <c r="A68" s="5">
        <f t="shared" ref="A68:A122" si="7">A67+0.0001</f>
        <v>2.0065000000000137</v>
      </c>
      <c r="B68" s="7"/>
      <c r="C68" s="6"/>
      <c r="D68" s="56"/>
      <c r="E68" s="8"/>
      <c r="F68" s="8"/>
      <c r="G68" s="8"/>
      <c r="H68" s="8"/>
      <c r="I68" s="8"/>
      <c r="J68" s="8"/>
      <c r="K68" s="8"/>
    </row>
    <row r="69" spans="1:11" x14ac:dyDescent="0.25">
      <c r="A69" s="5">
        <f t="shared" si="7"/>
        <v>2.0066000000000139</v>
      </c>
      <c r="B69" s="7"/>
      <c r="C69" s="6" t="s">
        <v>56</v>
      </c>
      <c r="D69" s="56"/>
      <c r="E69" s="8"/>
      <c r="F69" s="8"/>
      <c r="G69" s="8"/>
      <c r="H69" s="8"/>
      <c r="I69" s="8"/>
      <c r="J69" s="8"/>
      <c r="K69" s="8"/>
    </row>
    <row r="70" spans="1:11" x14ac:dyDescent="0.25">
      <c r="A70" s="5">
        <f t="shared" si="7"/>
        <v>2.0067000000000141</v>
      </c>
      <c r="B70" s="7"/>
      <c r="C70" s="6" t="s">
        <v>55</v>
      </c>
      <c r="D70" s="56"/>
      <c r="E70" s="8"/>
      <c r="F70" s="8" t="s">
        <v>5</v>
      </c>
      <c r="G70" s="8">
        <f t="shared" ref="G70:K74" si="8">IF($F70=G$1,1,0)</f>
        <v>1</v>
      </c>
      <c r="H70" s="8">
        <f t="shared" si="8"/>
        <v>0</v>
      </c>
      <c r="I70" s="8">
        <f t="shared" si="8"/>
        <v>0</v>
      </c>
      <c r="J70" s="8">
        <f t="shared" si="8"/>
        <v>0</v>
      </c>
      <c r="K70" s="8">
        <f t="shared" si="8"/>
        <v>0</v>
      </c>
    </row>
    <row r="71" spans="1:11" x14ac:dyDescent="0.25">
      <c r="A71" s="5">
        <f t="shared" si="7"/>
        <v>2.0068000000000144</v>
      </c>
      <c r="B71" s="7"/>
      <c r="C71" s="6" t="s">
        <v>54</v>
      </c>
      <c r="D71" s="56"/>
      <c r="E71" s="8"/>
      <c r="F71" s="8" t="s">
        <v>5</v>
      </c>
      <c r="G71" s="8">
        <f t="shared" si="8"/>
        <v>1</v>
      </c>
      <c r="H71" s="8">
        <f t="shared" si="8"/>
        <v>0</v>
      </c>
      <c r="I71" s="8">
        <f t="shared" si="8"/>
        <v>0</v>
      </c>
      <c r="J71" s="8">
        <f t="shared" si="8"/>
        <v>0</v>
      </c>
      <c r="K71" s="8">
        <f t="shared" si="8"/>
        <v>0</v>
      </c>
    </row>
    <row r="72" spans="1:11" x14ac:dyDescent="0.25">
      <c r="A72" s="5">
        <f t="shared" si="7"/>
        <v>2.0069000000000146</v>
      </c>
      <c r="B72" s="7"/>
      <c r="C72" s="6" t="s">
        <v>53</v>
      </c>
      <c r="D72" s="56"/>
      <c r="E72" s="8"/>
      <c r="F72" s="8" t="s">
        <v>5</v>
      </c>
      <c r="G72" s="8">
        <f t="shared" si="8"/>
        <v>1</v>
      </c>
      <c r="H72" s="8">
        <f t="shared" si="8"/>
        <v>0</v>
      </c>
      <c r="I72" s="8">
        <f t="shared" si="8"/>
        <v>0</v>
      </c>
      <c r="J72" s="8">
        <f t="shared" si="8"/>
        <v>0</v>
      </c>
      <c r="K72" s="8">
        <f t="shared" si="8"/>
        <v>0</v>
      </c>
    </row>
    <row r="73" spans="1:11" x14ac:dyDescent="0.25">
      <c r="A73" s="5">
        <f t="shared" si="7"/>
        <v>2.0070000000000148</v>
      </c>
      <c r="B73" s="7"/>
      <c r="C73" s="6" t="s">
        <v>52</v>
      </c>
      <c r="D73" s="56"/>
      <c r="E73" s="8"/>
      <c r="F73" s="8" t="s">
        <v>5</v>
      </c>
      <c r="G73" s="8">
        <f t="shared" si="8"/>
        <v>1</v>
      </c>
      <c r="H73" s="8">
        <f t="shared" si="8"/>
        <v>0</v>
      </c>
      <c r="I73" s="8">
        <f t="shared" si="8"/>
        <v>0</v>
      </c>
      <c r="J73" s="8">
        <f t="shared" si="8"/>
        <v>0</v>
      </c>
      <c r="K73" s="8">
        <f t="shared" si="8"/>
        <v>0</v>
      </c>
    </row>
    <row r="74" spans="1:11" x14ac:dyDescent="0.25">
      <c r="A74" s="5">
        <f t="shared" si="7"/>
        <v>2.007100000000015</v>
      </c>
      <c r="B74" s="6"/>
      <c r="C74" s="6" t="s">
        <v>51</v>
      </c>
      <c r="D74" s="56"/>
      <c r="E74" s="8"/>
      <c r="F74" s="8" t="s">
        <v>5</v>
      </c>
      <c r="G74" s="8">
        <f t="shared" si="8"/>
        <v>1</v>
      </c>
      <c r="H74" s="8">
        <f t="shared" si="8"/>
        <v>0</v>
      </c>
      <c r="I74" s="8">
        <f t="shared" si="8"/>
        <v>0</v>
      </c>
      <c r="J74" s="8">
        <f t="shared" si="8"/>
        <v>0</v>
      </c>
      <c r="K74" s="8">
        <f t="shared" si="8"/>
        <v>0</v>
      </c>
    </row>
    <row r="75" spans="1:11" x14ac:dyDescent="0.25">
      <c r="A75" s="5">
        <f t="shared" si="7"/>
        <v>2.0072000000000152</v>
      </c>
      <c r="B75" s="6"/>
      <c r="C75" s="22"/>
      <c r="D75" s="56"/>
      <c r="E75" s="8"/>
      <c r="F75" s="8"/>
      <c r="G75" s="8"/>
      <c r="H75" s="8"/>
      <c r="I75" s="8"/>
      <c r="J75" s="8"/>
      <c r="K75" s="8"/>
    </row>
    <row r="76" spans="1:11" x14ac:dyDescent="0.25">
      <c r="A76" s="5">
        <f t="shared" si="7"/>
        <v>2.0073000000000154</v>
      </c>
      <c r="B76" s="17" t="s">
        <v>36</v>
      </c>
      <c r="C76" s="17"/>
      <c r="D76" s="18"/>
      <c r="E76" s="8"/>
      <c r="F76" s="8"/>
      <c r="G76" s="8"/>
      <c r="H76" s="8"/>
      <c r="I76" s="8"/>
      <c r="J76" s="8"/>
      <c r="K76" s="8"/>
    </row>
    <row r="77" spans="1:11" x14ac:dyDescent="0.25">
      <c r="A77" s="5">
        <f t="shared" si="7"/>
        <v>2.0074000000000156</v>
      </c>
      <c r="B77" s="7" t="s">
        <v>41</v>
      </c>
      <c r="C77" s="6" t="s">
        <v>38</v>
      </c>
      <c r="D77" s="56"/>
      <c r="E77" s="8"/>
      <c r="F77" s="8" t="s">
        <v>5</v>
      </c>
      <c r="G77" s="8">
        <f t="shared" ref="G77:K80" si="9">IF($F77=G$1,1,0)</f>
        <v>1</v>
      </c>
      <c r="H77" s="8">
        <f t="shared" si="9"/>
        <v>0</v>
      </c>
      <c r="I77" s="8">
        <f t="shared" si="9"/>
        <v>0</v>
      </c>
      <c r="J77" s="8">
        <f t="shared" si="9"/>
        <v>0</v>
      </c>
      <c r="K77" s="8">
        <f t="shared" si="9"/>
        <v>0</v>
      </c>
    </row>
    <row r="78" spans="1:11" x14ac:dyDescent="0.25">
      <c r="A78" s="5">
        <f t="shared" si="7"/>
        <v>2.0075000000000158</v>
      </c>
      <c r="B78" s="7"/>
      <c r="C78" s="6" t="s">
        <v>39</v>
      </c>
      <c r="D78" s="56"/>
      <c r="E78" s="8"/>
      <c r="F78" s="8" t="s">
        <v>5</v>
      </c>
      <c r="G78" s="8">
        <f t="shared" si="9"/>
        <v>1</v>
      </c>
      <c r="H78" s="8">
        <f t="shared" si="9"/>
        <v>0</v>
      </c>
      <c r="I78" s="8">
        <f t="shared" si="9"/>
        <v>0</v>
      </c>
      <c r="J78" s="8">
        <f t="shared" si="9"/>
        <v>0</v>
      </c>
      <c r="K78" s="8">
        <f t="shared" si="9"/>
        <v>0</v>
      </c>
    </row>
    <row r="79" spans="1:11" x14ac:dyDescent="0.25">
      <c r="A79" s="5">
        <f t="shared" si="7"/>
        <v>2.007600000000016</v>
      </c>
      <c r="B79" s="7"/>
      <c r="C79" s="6" t="s">
        <v>40</v>
      </c>
      <c r="D79" s="56"/>
      <c r="E79" s="8"/>
      <c r="F79" s="8" t="s">
        <v>5</v>
      </c>
      <c r="G79" s="8">
        <f t="shared" si="9"/>
        <v>1</v>
      </c>
      <c r="H79" s="8">
        <f t="shared" si="9"/>
        <v>0</v>
      </c>
      <c r="I79" s="8">
        <f t="shared" si="9"/>
        <v>0</v>
      </c>
      <c r="J79" s="8">
        <f t="shared" si="9"/>
        <v>0</v>
      </c>
      <c r="K79" s="8">
        <f t="shared" si="9"/>
        <v>0</v>
      </c>
    </row>
    <row r="80" spans="1:11" ht="25.5" x14ac:dyDescent="0.25">
      <c r="A80" s="5">
        <f t="shared" si="7"/>
        <v>2.0077000000000162</v>
      </c>
      <c r="B80" s="7"/>
      <c r="C80" s="6" t="s">
        <v>42</v>
      </c>
      <c r="D80" s="56"/>
      <c r="E80" s="8"/>
      <c r="F80" s="8" t="s">
        <v>5</v>
      </c>
      <c r="G80" s="8">
        <f t="shared" si="9"/>
        <v>1</v>
      </c>
      <c r="H80" s="8">
        <f t="shared" si="9"/>
        <v>0</v>
      </c>
      <c r="I80" s="8">
        <f t="shared" si="9"/>
        <v>0</v>
      </c>
      <c r="J80" s="8">
        <f t="shared" si="9"/>
        <v>0</v>
      </c>
      <c r="K80" s="8">
        <f t="shared" si="9"/>
        <v>0</v>
      </c>
    </row>
    <row r="81" spans="1:11" x14ac:dyDescent="0.25">
      <c r="A81" s="5">
        <f t="shared" si="7"/>
        <v>2.0078000000000165</v>
      </c>
      <c r="B81" s="7"/>
      <c r="C81" s="6"/>
      <c r="D81" s="56"/>
      <c r="E81" s="8"/>
      <c r="F81" s="8"/>
      <c r="G81" s="8"/>
      <c r="H81" s="8"/>
      <c r="I81" s="8"/>
      <c r="J81" s="8"/>
      <c r="K81" s="8"/>
    </row>
    <row r="82" spans="1:11" x14ac:dyDescent="0.25">
      <c r="A82" s="5">
        <f t="shared" si="7"/>
        <v>2.0079000000000167</v>
      </c>
      <c r="B82" s="17" t="s">
        <v>204</v>
      </c>
      <c r="C82" s="17"/>
      <c r="D82" s="17"/>
      <c r="E82" s="8"/>
      <c r="F82" s="8"/>
      <c r="G82" s="8"/>
      <c r="H82" s="8"/>
      <c r="I82" s="8"/>
      <c r="J82" s="8"/>
      <c r="K82" s="8"/>
    </row>
    <row r="83" spans="1:11" x14ac:dyDescent="0.25">
      <c r="A83" s="5">
        <f t="shared" si="7"/>
        <v>2.0080000000000169</v>
      </c>
      <c r="B83" s="7" t="s">
        <v>205</v>
      </c>
      <c r="C83" s="6" t="s">
        <v>206</v>
      </c>
      <c r="D83" s="71"/>
      <c r="E83" s="8"/>
      <c r="F83" s="8" t="s">
        <v>5</v>
      </c>
      <c r="G83" s="8">
        <f t="shared" ref="G83:K89" si="10">IF($F83=G$1,1,0)</f>
        <v>1</v>
      </c>
      <c r="H83" s="8">
        <f t="shared" si="10"/>
        <v>0</v>
      </c>
      <c r="I83" s="8">
        <f t="shared" si="10"/>
        <v>0</v>
      </c>
      <c r="J83" s="8">
        <f t="shared" si="10"/>
        <v>0</v>
      </c>
      <c r="K83" s="8">
        <f t="shared" si="10"/>
        <v>0</v>
      </c>
    </row>
    <row r="84" spans="1:11" x14ac:dyDescent="0.25">
      <c r="A84" s="5">
        <f t="shared" si="7"/>
        <v>2.0081000000000171</v>
      </c>
      <c r="B84" s="7" t="s">
        <v>110</v>
      </c>
      <c r="C84" s="6" t="s">
        <v>111</v>
      </c>
      <c r="D84" s="71"/>
      <c r="E84" s="8"/>
      <c r="F84" s="8" t="s">
        <v>5</v>
      </c>
      <c r="G84" s="8">
        <f t="shared" si="10"/>
        <v>1</v>
      </c>
      <c r="H84" s="8">
        <f t="shared" si="10"/>
        <v>0</v>
      </c>
      <c r="I84" s="8">
        <f t="shared" si="10"/>
        <v>0</v>
      </c>
      <c r="J84" s="8">
        <f t="shared" si="10"/>
        <v>0</v>
      </c>
      <c r="K84" s="8">
        <f t="shared" si="10"/>
        <v>0</v>
      </c>
    </row>
    <row r="85" spans="1:11" x14ac:dyDescent="0.25">
      <c r="A85" s="5">
        <f t="shared" si="7"/>
        <v>2.0082000000000173</v>
      </c>
      <c r="B85" s="7" t="s">
        <v>112</v>
      </c>
      <c r="C85" s="27" t="s">
        <v>113</v>
      </c>
      <c r="D85" s="71"/>
      <c r="E85" s="8"/>
      <c r="F85" s="8" t="s">
        <v>5</v>
      </c>
      <c r="G85" s="8">
        <f t="shared" si="10"/>
        <v>1</v>
      </c>
      <c r="H85" s="8">
        <f t="shared" si="10"/>
        <v>0</v>
      </c>
      <c r="I85" s="8">
        <f t="shared" si="10"/>
        <v>0</v>
      </c>
      <c r="J85" s="8">
        <f t="shared" si="10"/>
        <v>0</v>
      </c>
      <c r="K85" s="8">
        <f t="shared" si="10"/>
        <v>0</v>
      </c>
    </row>
    <row r="86" spans="1:11" x14ac:dyDescent="0.25">
      <c r="A86" s="5">
        <f t="shared" si="7"/>
        <v>2.0083000000000175</v>
      </c>
      <c r="B86" s="7"/>
      <c r="C86" s="27" t="s">
        <v>114</v>
      </c>
      <c r="D86" s="71"/>
      <c r="E86" s="8"/>
      <c r="F86" s="8" t="s">
        <v>5</v>
      </c>
      <c r="G86" s="8">
        <f t="shared" si="10"/>
        <v>1</v>
      </c>
      <c r="H86" s="8">
        <f t="shared" si="10"/>
        <v>0</v>
      </c>
      <c r="I86" s="8">
        <f t="shared" si="10"/>
        <v>0</v>
      </c>
      <c r="J86" s="8">
        <f t="shared" si="10"/>
        <v>0</v>
      </c>
      <c r="K86" s="8">
        <f t="shared" si="10"/>
        <v>0</v>
      </c>
    </row>
    <row r="87" spans="1:11" x14ac:dyDescent="0.25">
      <c r="A87" s="5">
        <f t="shared" si="7"/>
        <v>2.0084000000000177</v>
      </c>
      <c r="B87" s="7"/>
      <c r="C87" s="6" t="s">
        <v>115</v>
      </c>
      <c r="D87" s="71"/>
      <c r="E87" s="8"/>
      <c r="F87" s="8" t="s">
        <v>5</v>
      </c>
      <c r="G87" s="8">
        <f t="shared" si="10"/>
        <v>1</v>
      </c>
      <c r="H87" s="8">
        <f t="shared" si="10"/>
        <v>0</v>
      </c>
      <c r="I87" s="8">
        <f t="shared" si="10"/>
        <v>0</v>
      </c>
      <c r="J87" s="8">
        <f t="shared" si="10"/>
        <v>0</v>
      </c>
      <c r="K87" s="8">
        <f t="shared" si="10"/>
        <v>0</v>
      </c>
    </row>
    <row r="88" spans="1:11" x14ac:dyDescent="0.25">
      <c r="A88" s="5">
        <f t="shared" si="7"/>
        <v>2.0085000000000179</v>
      </c>
      <c r="B88" s="7"/>
      <c r="C88" s="27" t="s">
        <v>116</v>
      </c>
      <c r="D88" s="71"/>
      <c r="E88" s="8"/>
      <c r="F88" s="8" t="s">
        <v>5</v>
      </c>
      <c r="G88" s="8">
        <f t="shared" si="10"/>
        <v>1</v>
      </c>
      <c r="H88" s="8">
        <f t="shared" si="10"/>
        <v>0</v>
      </c>
      <c r="I88" s="8">
        <f t="shared" si="10"/>
        <v>0</v>
      </c>
      <c r="J88" s="8">
        <f t="shared" si="10"/>
        <v>0</v>
      </c>
      <c r="K88" s="8">
        <f t="shared" si="10"/>
        <v>0</v>
      </c>
    </row>
    <row r="89" spans="1:11" x14ac:dyDescent="0.25">
      <c r="A89" s="5">
        <f t="shared" si="7"/>
        <v>2.0086000000000181</v>
      </c>
      <c r="B89" s="62" t="s">
        <v>250</v>
      </c>
      <c r="C89" s="62" t="s">
        <v>247</v>
      </c>
      <c r="D89" s="71"/>
      <c r="E89" s="8"/>
      <c r="F89" s="8" t="s">
        <v>5</v>
      </c>
      <c r="G89" s="8">
        <f t="shared" si="10"/>
        <v>1</v>
      </c>
      <c r="H89" s="8">
        <f t="shared" si="10"/>
        <v>0</v>
      </c>
      <c r="I89" s="8">
        <f t="shared" si="10"/>
        <v>0</v>
      </c>
      <c r="J89" s="8">
        <f t="shared" si="10"/>
        <v>0</v>
      </c>
      <c r="K89" s="8">
        <f t="shared" si="10"/>
        <v>0</v>
      </c>
    </row>
    <row r="90" spans="1:11" x14ac:dyDescent="0.25">
      <c r="A90" s="5">
        <f t="shared" si="7"/>
        <v>2.0087000000000184</v>
      </c>
      <c r="B90" s="6"/>
      <c r="C90" s="69"/>
      <c r="D90" s="71"/>
      <c r="E90" s="8"/>
      <c r="F90" s="8"/>
      <c r="G90" s="8"/>
      <c r="H90" s="8"/>
      <c r="I90" s="8"/>
      <c r="J90" s="8"/>
      <c r="K90" s="8"/>
    </row>
    <row r="91" spans="1:11" x14ac:dyDescent="0.25">
      <c r="A91" s="5">
        <f t="shared" si="7"/>
        <v>2.0088000000000186</v>
      </c>
      <c r="B91" s="62" t="s">
        <v>251</v>
      </c>
      <c r="C91" s="62" t="s">
        <v>247</v>
      </c>
      <c r="D91" s="71"/>
      <c r="E91" s="8"/>
      <c r="F91" s="8" t="s">
        <v>5</v>
      </c>
      <c r="G91" s="8">
        <f t="shared" ref="G91:K93" si="11">IF($F91=G$1,1,0)</f>
        <v>1</v>
      </c>
      <c r="H91" s="8">
        <f t="shared" si="11"/>
        <v>0</v>
      </c>
      <c r="I91" s="8">
        <f t="shared" si="11"/>
        <v>0</v>
      </c>
      <c r="J91" s="8">
        <f t="shared" si="11"/>
        <v>0</v>
      </c>
      <c r="K91" s="8">
        <f t="shared" si="11"/>
        <v>0</v>
      </c>
    </row>
    <row r="92" spans="1:11" x14ac:dyDescent="0.25">
      <c r="A92" s="5">
        <f t="shared" si="7"/>
        <v>2.0089000000000188</v>
      </c>
      <c r="B92" s="6"/>
      <c r="C92" s="60" t="s">
        <v>248</v>
      </c>
      <c r="D92" s="71"/>
      <c r="E92" s="8"/>
      <c r="F92" s="8" t="s">
        <v>5</v>
      </c>
      <c r="G92" s="8">
        <f t="shared" si="11"/>
        <v>1</v>
      </c>
      <c r="H92" s="8">
        <f t="shared" si="11"/>
        <v>0</v>
      </c>
      <c r="I92" s="8">
        <f t="shared" si="11"/>
        <v>0</v>
      </c>
      <c r="J92" s="8">
        <f t="shared" si="11"/>
        <v>0</v>
      </c>
      <c r="K92" s="8">
        <f t="shared" si="11"/>
        <v>0</v>
      </c>
    </row>
    <row r="93" spans="1:11" x14ac:dyDescent="0.25">
      <c r="A93" s="5">
        <f t="shared" si="7"/>
        <v>2.009000000000019</v>
      </c>
      <c r="B93" s="6"/>
      <c r="C93" s="60" t="s">
        <v>249</v>
      </c>
      <c r="D93" s="71"/>
      <c r="E93" s="8"/>
      <c r="F93" s="8" t="s">
        <v>5</v>
      </c>
      <c r="G93" s="8">
        <f t="shared" si="11"/>
        <v>1</v>
      </c>
      <c r="H93" s="8">
        <f t="shared" si="11"/>
        <v>0</v>
      </c>
      <c r="I93" s="8">
        <f t="shared" si="11"/>
        <v>0</v>
      </c>
      <c r="J93" s="8">
        <f t="shared" si="11"/>
        <v>0</v>
      </c>
      <c r="K93" s="8">
        <f t="shared" si="11"/>
        <v>0</v>
      </c>
    </row>
    <row r="94" spans="1:11" x14ac:dyDescent="0.25">
      <c r="A94" s="5">
        <f t="shared" si="7"/>
        <v>2.0091000000000192</v>
      </c>
      <c r="B94" s="6"/>
      <c r="C94" s="69"/>
      <c r="D94" s="71"/>
      <c r="E94" s="8"/>
      <c r="F94" s="8"/>
      <c r="G94" s="8"/>
      <c r="H94" s="8"/>
      <c r="I94" s="8"/>
      <c r="J94" s="8"/>
      <c r="K94" s="8"/>
    </row>
    <row r="95" spans="1:11" x14ac:dyDescent="0.25">
      <c r="A95" s="5">
        <f t="shared" si="7"/>
        <v>2.0092000000000194</v>
      </c>
      <c r="B95" s="6"/>
      <c r="C95" s="6" t="s">
        <v>117</v>
      </c>
      <c r="D95" s="71"/>
      <c r="E95" s="8"/>
      <c r="F95" s="8" t="s">
        <v>5</v>
      </c>
      <c r="G95" s="8">
        <f t="shared" ref="G95:K97" si="12">IF($F95=G$1,1,0)</f>
        <v>1</v>
      </c>
      <c r="H95" s="8">
        <f t="shared" si="12"/>
        <v>0</v>
      </c>
      <c r="I95" s="8">
        <f t="shared" si="12"/>
        <v>0</v>
      </c>
      <c r="J95" s="8">
        <f t="shared" si="12"/>
        <v>0</v>
      </c>
      <c r="K95" s="8">
        <f t="shared" si="12"/>
        <v>0</v>
      </c>
    </row>
    <row r="96" spans="1:11" x14ac:dyDescent="0.25">
      <c r="A96" s="5">
        <f t="shared" si="7"/>
        <v>2.0093000000000196</v>
      </c>
      <c r="B96" s="6"/>
      <c r="C96" s="6" t="s">
        <v>118</v>
      </c>
      <c r="D96" s="71"/>
      <c r="E96" s="8"/>
      <c r="F96" s="8" t="s">
        <v>5</v>
      </c>
      <c r="G96" s="8">
        <f t="shared" si="12"/>
        <v>1</v>
      </c>
      <c r="H96" s="8">
        <f t="shared" si="12"/>
        <v>0</v>
      </c>
      <c r="I96" s="8">
        <f t="shared" si="12"/>
        <v>0</v>
      </c>
      <c r="J96" s="8">
        <f t="shared" si="12"/>
        <v>0</v>
      </c>
      <c r="K96" s="8">
        <f t="shared" si="12"/>
        <v>0</v>
      </c>
    </row>
    <row r="97" spans="1:11" x14ac:dyDescent="0.25">
      <c r="A97" s="5">
        <f t="shared" si="7"/>
        <v>2.0094000000000198</v>
      </c>
      <c r="B97" s="6"/>
      <c r="C97" s="6" t="s">
        <v>119</v>
      </c>
      <c r="D97" s="71"/>
      <c r="E97" s="8"/>
      <c r="F97" s="8" t="s">
        <v>5</v>
      </c>
      <c r="G97" s="8">
        <f t="shared" si="12"/>
        <v>1</v>
      </c>
      <c r="H97" s="8">
        <f t="shared" si="12"/>
        <v>0</v>
      </c>
      <c r="I97" s="8">
        <f t="shared" si="12"/>
        <v>0</v>
      </c>
      <c r="J97" s="8">
        <f t="shared" si="12"/>
        <v>0</v>
      </c>
      <c r="K97" s="8">
        <f t="shared" si="12"/>
        <v>0</v>
      </c>
    </row>
    <row r="98" spans="1:11" x14ac:dyDescent="0.25">
      <c r="A98" s="5">
        <f t="shared" si="7"/>
        <v>2.00950000000002</v>
      </c>
      <c r="B98" s="6"/>
      <c r="C98" s="6"/>
      <c r="D98" s="71"/>
      <c r="E98" s="8"/>
      <c r="F98" s="8"/>
      <c r="G98" s="8"/>
      <c r="H98" s="8"/>
      <c r="I98" s="8"/>
      <c r="J98" s="8"/>
      <c r="K98" s="8"/>
    </row>
    <row r="99" spans="1:11" x14ac:dyDescent="0.25">
      <c r="A99" s="5">
        <f t="shared" si="7"/>
        <v>2.0096000000000203</v>
      </c>
      <c r="B99" s="6" t="s">
        <v>120</v>
      </c>
      <c r="C99" s="6" t="s">
        <v>209</v>
      </c>
      <c r="D99" s="71"/>
      <c r="E99" s="8"/>
      <c r="F99" s="8" t="s">
        <v>5</v>
      </c>
      <c r="G99" s="8">
        <f t="shared" ref="G99:K102" si="13">IF($F99=G$1,1,0)</f>
        <v>1</v>
      </c>
      <c r="H99" s="8">
        <f t="shared" si="13"/>
        <v>0</v>
      </c>
      <c r="I99" s="8">
        <f t="shared" si="13"/>
        <v>0</v>
      </c>
      <c r="J99" s="8">
        <f t="shared" si="13"/>
        <v>0</v>
      </c>
      <c r="K99" s="8">
        <f t="shared" si="13"/>
        <v>0</v>
      </c>
    </row>
    <row r="100" spans="1:11" x14ac:dyDescent="0.25">
      <c r="A100" s="5">
        <f t="shared" si="7"/>
        <v>2.0097000000000205</v>
      </c>
      <c r="B100" s="6" t="s">
        <v>207</v>
      </c>
      <c r="C100" s="27" t="s">
        <v>208</v>
      </c>
      <c r="D100" s="71"/>
      <c r="E100" s="8"/>
      <c r="F100" s="8" t="s">
        <v>5</v>
      </c>
      <c r="G100" s="8">
        <f t="shared" si="13"/>
        <v>1</v>
      </c>
      <c r="H100" s="8">
        <f t="shared" si="13"/>
        <v>0</v>
      </c>
      <c r="I100" s="8">
        <f t="shared" si="13"/>
        <v>0</v>
      </c>
      <c r="J100" s="8">
        <f t="shared" si="13"/>
        <v>0</v>
      </c>
      <c r="K100" s="8">
        <f t="shared" si="13"/>
        <v>0</v>
      </c>
    </row>
    <row r="101" spans="1:11" x14ac:dyDescent="0.25">
      <c r="A101" s="5">
        <f t="shared" si="7"/>
        <v>2.0098000000000207</v>
      </c>
      <c r="B101" s="6"/>
      <c r="C101" s="6" t="s">
        <v>121</v>
      </c>
      <c r="D101" s="71" t="s">
        <v>418</v>
      </c>
      <c r="E101" s="8"/>
      <c r="F101" s="8" t="s">
        <v>5</v>
      </c>
      <c r="G101" s="8">
        <f t="shared" si="13"/>
        <v>1</v>
      </c>
      <c r="H101" s="8">
        <f t="shared" si="13"/>
        <v>0</v>
      </c>
      <c r="I101" s="8">
        <f t="shared" si="13"/>
        <v>0</v>
      </c>
      <c r="J101" s="8">
        <f t="shared" si="13"/>
        <v>0</v>
      </c>
      <c r="K101" s="8">
        <f t="shared" si="13"/>
        <v>0</v>
      </c>
    </row>
    <row r="102" spans="1:11" x14ac:dyDescent="0.25">
      <c r="A102" s="5">
        <f t="shared" si="7"/>
        <v>2.0099000000000209</v>
      </c>
      <c r="B102" s="6"/>
      <c r="C102" s="6" t="s">
        <v>122</v>
      </c>
      <c r="D102" s="71"/>
      <c r="E102" s="8"/>
      <c r="F102" s="8" t="s">
        <v>5</v>
      </c>
      <c r="G102" s="8">
        <f t="shared" si="13"/>
        <v>1</v>
      </c>
      <c r="H102" s="8">
        <f t="shared" si="13"/>
        <v>0</v>
      </c>
      <c r="I102" s="8">
        <f t="shared" si="13"/>
        <v>0</v>
      </c>
      <c r="J102" s="8">
        <f t="shared" si="13"/>
        <v>0</v>
      </c>
      <c r="K102" s="8">
        <f t="shared" si="13"/>
        <v>0</v>
      </c>
    </row>
    <row r="103" spans="1:11" x14ac:dyDescent="0.25">
      <c r="A103" s="5">
        <f t="shared" si="7"/>
        <v>2.0100000000000211</v>
      </c>
      <c r="B103" s="6"/>
      <c r="C103" s="27"/>
      <c r="D103" s="71"/>
      <c r="E103" s="8"/>
      <c r="F103" s="8"/>
      <c r="G103" s="8"/>
      <c r="H103" s="8"/>
      <c r="I103" s="8"/>
      <c r="J103" s="8"/>
      <c r="K103" s="8"/>
    </row>
    <row r="104" spans="1:11" x14ac:dyDescent="0.25">
      <c r="A104" s="5">
        <f t="shared" si="7"/>
        <v>2.0101000000000213</v>
      </c>
      <c r="B104" s="6" t="s">
        <v>16</v>
      </c>
      <c r="C104" s="27" t="s">
        <v>210</v>
      </c>
      <c r="D104" s="71"/>
      <c r="E104" s="8"/>
      <c r="F104" s="8" t="s">
        <v>5</v>
      </c>
      <c r="G104" s="8">
        <f t="shared" ref="G104:K104" si="14">IF($F104=G$1,1,0)</f>
        <v>1</v>
      </c>
      <c r="H104" s="8">
        <f t="shared" si="14"/>
        <v>0</v>
      </c>
      <c r="I104" s="8">
        <f t="shared" si="14"/>
        <v>0</v>
      </c>
      <c r="J104" s="8">
        <f t="shared" si="14"/>
        <v>0</v>
      </c>
      <c r="K104" s="8">
        <f t="shared" si="14"/>
        <v>0</v>
      </c>
    </row>
    <row r="105" spans="1:11" x14ac:dyDescent="0.25">
      <c r="A105" s="5">
        <f t="shared" si="7"/>
        <v>2.0102000000000215</v>
      </c>
      <c r="B105" s="6"/>
      <c r="C105" s="6"/>
      <c r="D105" s="71"/>
      <c r="E105" s="8"/>
      <c r="F105" s="8"/>
      <c r="G105" s="8"/>
      <c r="H105" s="8"/>
      <c r="I105" s="8"/>
      <c r="J105" s="8"/>
      <c r="K105" s="8"/>
    </row>
    <row r="106" spans="1:11" x14ac:dyDescent="0.25">
      <c r="A106" s="5">
        <f t="shared" si="7"/>
        <v>2.0103000000000217</v>
      </c>
      <c r="B106" s="32" t="s">
        <v>24</v>
      </c>
      <c r="C106" s="27" t="s">
        <v>25</v>
      </c>
      <c r="D106" s="71"/>
      <c r="E106" s="8"/>
      <c r="F106" s="8"/>
      <c r="G106" s="8"/>
      <c r="H106" s="8"/>
      <c r="I106" s="8"/>
      <c r="J106" s="8"/>
      <c r="K106" s="8"/>
    </row>
    <row r="107" spans="1:11" x14ac:dyDescent="0.25">
      <c r="A107" s="5">
        <f t="shared" si="7"/>
        <v>2.0104000000000219</v>
      </c>
      <c r="B107" s="7"/>
      <c r="C107" s="6" t="s">
        <v>26</v>
      </c>
      <c r="D107" s="71"/>
      <c r="E107" s="8"/>
      <c r="F107" s="8" t="s">
        <v>5</v>
      </c>
      <c r="G107" s="8">
        <f t="shared" ref="G107:K117" si="15">IF($F107=G$1,1,0)</f>
        <v>1</v>
      </c>
      <c r="H107" s="8">
        <f t="shared" si="15"/>
        <v>0</v>
      </c>
      <c r="I107" s="8">
        <f t="shared" si="15"/>
        <v>0</v>
      </c>
      <c r="J107" s="8">
        <f t="shared" si="15"/>
        <v>0</v>
      </c>
      <c r="K107" s="8">
        <f t="shared" si="15"/>
        <v>0</v>
      </c>
    </row>
    <row r="108" spans="1:11" x14ac:dyDescent="0.25">
      <c r="A108" s="5">
        <f t="shared" si="7"/>
        <v>2.0105000000000222</v>
      </c>
      <c r="B108" s="7"/>
      <c r="C108" s="6" t="s">
        <v>252</v>
      </c>
      <c r="D108" s="71"/>
      <c r="E108" s="8"/>
      <c r="F108" s="8" t="s">
        <v>5</v>
      </c>
      <c r="G108" s="8">
        <f t="shared" si="15"/>
        <v>1</v>
      </c>
      <c r="H108" s="8">
        <f t="shared" si="15"/>
        <v>0</v>
      </c>
      <c r="I108" s="8">
        <f t="shared" si="15"/>
        <v>0</v>
      </c>
      <c r="J108" s="8">
        <f t="shared" si="15"/>
        <v>0</v>
      </c>
      <c r="K108" s="8">
        <f t="shared" si="15"/>
        <v>0</v>
      </c>
    </row>
    <row r="109" spans="1:11" x14ac:dyDescent="0.25">
      <c r="A109" s="5">
        <f t="shared" si="7"/>
        <v>2.0106000000000224</v>
      </c>
      <c r="B109" s="7" t="s">
        <v>419</v>
      </c>
      <c r="C109" s="6" t="s">
        <v>124</v>
      </c>
      <c r="D109" s="71"/>
      <c r="E109" s="8"/>
      <c r="F109" s="8" t="s">
        <v>5</v>
      </c>
      <c r="G109" s="8">
        <f t="shared" si="15"/>
        <v>1</v>
      </c>
      <c r="H109" s="8">
        <f t="shared" si="15"/>
        <v>0</v>
      </c>
      <c r="I109" s="8">
        <f t="shared" si="15"/>
        <v>0</v>
      </c>
      <c r="J109" s="8">
        <f t="shared" si="15"/>
        <v>0</v>
      </c>
      <c r="K109" s="8">
        <f t="shared" si="15"/>
        <v>0</v>
      </c>
    </row>
    <row r="110" spans="1:11" x14ac:dyDescent="0.25">
      <c r="A110" s="5">
        <f t="shared" si="7"/>
        <v>2.0107000000000226</v>
      </c>
      <c r="B110" s="7"/>
      <c r="C110" s="62" t="s">
        <v>237</v>
      </c>
      <c r="D110" s="71" t="s">
        <v>418</v>
      </c>
      <c r="E110" s="8"/>
      <c r="F110" s="8" t="s">
        <v>5</v>
      </c>
      <c r="G110" s="8">
        <f t="shared" si="15"/>
        <v>1</v>
      </c>
      <c r="H110" s="8">
        <f t="shared" si="15"/>
        <v>0</v>
      </c>
      <c r="I110" s="8">
        <f t="shared" si="15"/>
        <v>0</v>
      </c>
      <c r="J110" s="8">
        <f t="shared" si="15"/>
        <v>0</v>
      </c>
      <c r="K110" s="8">
        <f t="shared" si="15"/>
        <v>0</v>
      </c>
    </row>
    <row r="111" spans="1:11" x14ac:dyDescent="0.25">
      <c r="A111" s="5">
        <f t="shared" si="7"/>
        <v>2.0108000000000228</v>
      </c>
      <c r="B111" s="7"/>
      <c r="C111" s="62" t="s">
        <v>233</v>
      </c>
      <c r="D111" s="71" t="s">
        <v>418</v>
      </c>
      <c r="E111" s="8"/>
      <c r="F111" s="8" t="s">
        <v>5</v>
      </c>
      <c r="G111" s="8">
        <f t="shared" si="15"/>
        <v>1</v>
      </c>
      <c r="H111" s="8">
        <f t="shared" si="15"/>
        <v>0</v>
      </c>
      <c r="I111" s="8">
        <f t="shared" si="15"/>
        <v>0</v>
      </c>
      <c r="J111" s="8">
        <f t="shared" si="15"/>
        <v>0</v>
      </c>
      <c r="K111" s="8">
        <f t="shared" si="15"/>
        <v>0</v>
      </c>
    </row>
    <row r="112" spans="1:11" x14ac:dyDescent="0.25">
      <c r="A112" s="5">
        <f t="shared" si="7"/>
        <v>2.010900000000023</v>
      </c>
      <c r="B112" s="7"/>
      <c r="C112" s="62" t="s">
        <v>234</v>
      </c>
      <c r="D112" s="71" t="s">
        <v>418</v>
      </c>
      <c r="E112" s="8"/>
      <c r="F112" s="8" t="s">
        <v>5</v>
      </c>
      <c r="G112" s="8">
        <f t="shared" si="15"/>
        <v>1</v>
      </c>
      <c r="H112" s="8">
        <f t="shared" si="15"/>
        <v>0</v>
      </c>
      <c r="I112" s="8">
        <f t="shared" si="15"/>
        <v>0</v>
      </c>
      <c r="J112" s="8">
        <f t="shared" si="15"/>
        <v>0</v>
      </c>
      <c r="K112" s="8">
        <f t="shared" si="15"/>
        <v>0</v>
      </c>
    </row>
    <row r="113" spans="1:11" x14ac:dyDescent="0.25">
      <c r="A113" s="5">
        <f t="shared" si="7"/>
        <v>2.0110000000000232</v>
      </c>
      <c r="B113" s="7"/>
      <c r="C113" s="62" t="s">
        <v>235</v>
      </c>
      <c r="D113" s="71" t="s">
        <v>418</v>
      </c>
      <c r="E113" s="8"/>
      <c r="F113" s="8" t="s">
        <v>5</v>
      </c>
      <c r="G113" s="8">
        <f t="shared" si="15"/>
        <v>1</v>
      </c>
      <c r="H113" s="8">
        <f t="shared" si="15"/>
        <v>0</v>
      </c>
      <c r="I113" s="8">
        <f t="shared" si="15"/>
        <v>0</v>
      </c>
      <c r="J113" s="8">
        <f t="shared" si="15"/>
        <v>0</v>
      </c>
      <c r="K113" s="8">
        <f t="shared" si="15"/>
        <v>0</v>
      </c>
    </row>
    <row r="114" spans="1:11" x14ac:dyDescent="0.25">
      <c r="A114" s="5">
        <f t="shared" si="7"/>
        <v>2.0111000000000234</v>
      </c>
      <c r="B114" s="7"/>
      <c r="C114" s="62" t="s">
        <v>227</v>
      </c>
      <c r="D114" s="71" t="s">
        <v>418</v>
      </c>
      <c r="E114" s="8"/>
      <c r="F114" s="8" t="s">
        <v>5</v>
      </c>
      <c r="G114" s="8">
        <f t="shared" si="15"/>
        <v>1</v>
      </c>
      <c r="H114" s="8">
        <f t="shared" si="15"/>
        <v>0</v>
      </c>
      <c r="I114" s="8">
        <f t="shared" si="15"/>
        <v>0</v>
      </c>
      <c r="J114" s="8">
        <f t="shared" si="15"/>
        <v>0</v>
      </c>
      <c r="K114" s="8">
        <f t="shared" si="15"/>
        <v>0</v>
      </c>
    </row>
    <row r="115" spans="1:11" x14ac:dyDescent="0.25">
      <c r="A115" s="5">
        <f t="shared" si="7"/>
        <v>2.0112000000000236</v>
      </c>
      <c r="B115" s="7"/>
      <c r="C115" s="62" t="s">
        <v>236</v>
      </c>
      <c r="D115" s="71" t="s">
        <v>418</v>
      </c>
      <c r="E115" s="8"/>
      <c r="F115" s="8" t="s">
        <v>5</v>
      </c>
      <c r="G115" s="8">
        <f t="shared" si="15"/>
        <v>1</v>
      </c>
      <c r="H115" s="8">
        <f t="shared" si="15"/>
        <v>0</v>
      </c>
      <c r="I115" s="8">
        <f t="shared" si="15"/>
        <v>0</v>
      </c>
      <c r="J115" s="8">
        <f t="shared" si="15"/>
        <v>0</v>
      </c>
      <c r="K115" s="8">
        <f t="shared" si="15"/>
        <v>0</v>
      </c>
    </row>
    <row r="116" spans="1:11" ht="15.75" customHeight="1" x14ac:dyDescent="0.25">
      <c r="A116" s="5">
        <f t="shared" si="7"/>
        <v>2.0113000000000238</v>
      </c>
      <c r="B116" s="69"/>
      <c r="C116" s="62" t="s">
        <v>227</v>
      </c>
      <c r="D116" s="71" t="s">
        <v>418</v>
      </c>
      <c r="E116" s="8"/>
      <c r="F116" s="8" t="s">
        <v>5</v>
      </c>
      <c r="G116" s="8">
        <f t="shared" si="15"/>
        <v>1</v>
      </c>
      <c r="H116" s="8">
        <f t="shared" si="15"/>
        <v>0</v>
      </c>
      <c r="I116" s="8">
        <f t="shared" si="15"/>
        <v>0</v>
      </c>
      <c r="J116" s="8">
        <f t="shared" si="15"/>
        <v>0</v>
      </c>
      <c r="K116" s="8">
        <f t="shared" si="15"/>
        <v>0</v>
      </c>
    </row>
    <row r="117" spans="1:11" ht="15.75" customHeight="1" x14ac:dyDescent="0.25">
      <c r="A117" s="5"/>
      <c r="B117" s="69" t="s">
        <v>420</v>
      </c>
      <c r="C117" s="69" t="s">
        <v>421</v>
      </c>
      <c r="D117" s="71"/>
      <c r="E117" s="8"/>
      <c r="F117" s="8" t="s">
        <v>5</v>
      </c>
      <c r="G117" s="8">
        <f t="shared" si="15"/>
        <v>1</v>
      </c>
      <c r="H117" s="8">
        <f t="shared" si="15"/>
        <v>0</v>
      </c>
      <c r="I117" s="8">
        <f t="shared" si="15"/>
        <v>0</v>
      </c>
      <c r="J117" s="8">
        <f t="shared" si="15"/>
        <v>0</v>
      </c>
      <c r="K117" s="8">
        <f t="shared" si="15"/>
        <v>0</v>
      </c>
    </row>
    <row r="118" spans="1:11" ht="15.75" customHeight="1" x14ac:dyDescent="0.25">
      <c r="A118" s="5"/>
      <c r="B118" s="69"/>
      <c r="C118" s="69"/>
      <c r="D118" s="71"/>
      <c r="E118" s="8"/>
      <c r="F118" s="8"/>
      <c r="G118" s="8"/>
      <c r="H118" s="8"/>
      <c r="I118" s="8"/>
      <c r="J118" s="8"/>
      <c r="K118" s="8"/>
    </row>
    <row r="119" spans="1:11" x14ac:dyDescent="0.25">
      <c r="A119" s="5" t="e">
        <f>#REF!+0.0001</f>
        <v>#REF!</v>
      </c>
      <c r="B119" s="17" t="s">
        <v>138</v>
      </c>
      <c r="C119" s="18" t="s">
        <v>139</v>
      </c>
      <c r="D119" s="18"/>
      <c r="E119" s="8"/>
      <c r="F119" s="8"/>
      <c r="G119" s="8"/>
      <c r="H119" s="8"/>
      <c r="I119" s="8"/>
      <c r="J119" s="8"/>
      <c r="K119" s="8"/>
    </row>
    <row r="120" spans="1:11" ht="38.25" x14ac:dyDescent="0.25">
      <c r="A120" s="5" t="e">
        <f t="shared" si="7"/>
        <v>#REF!</v>
      </c>
      <c r="B120" s="42" t="s">
        <v>337</v>
      </c>
      <c r="C120" s="43" t="s">
        <v>338</v>
      </c>
      <c r="D120" s="54" t="s">
        <v>140</v>
      </c>
      <c r="E120" s="8"/>
      <c r="F120" s="8" t="s">
        <v>8</v>
      </c>
      <c r="G120" s="8">
        <f>IF($F120=G$1,1,0)</f>
        <v>0</v>
      </c>
      <c r="H120" s="8">
        <f>IF($F120=H$1,1,0)</f>
        <v>0</v>
      </c>
      <c r="I120" s="8">
        <f>IF($F120=I$1,1,0)</f>
        <v>0</v>
      </c>
      <c r="J120" s="8">
        <f>IF($F120=J$1,1,0)</f>
        <v>0</v>
      </c>
      <c r="K120" s="8">
        <f>IF($F120=K$1,1,0)</f>
        <v>1</v>
      </c>
    </row>
    <row r="121" spans="1:11" x14ac:dyDescent="0.25">
      <c r="A121" s="5" t="e">
        <f t="shared" si="7"/>
        <v>#REF!</v>
      </c>
      <c r="B121" s="7"/>
      <c r="C121" s="6"/>
      <c r="D121" s="56"/>
      <c r="E121" s="8"/>
      <c r="F121" s="8"/>
      <c r="G121" s="8"/>
      <c r="H121" s="8"/>
      <c r="I121" s="8"/>
      <c r="J121" s="8"/>
      <c r="K121" s="8"/>
    </row>
    <row r="122" spans="1:11" x14ac:dyDescent="0.25">
      <c r="A122" s="5" t="e">
        <f t="shared" si="7"/>
        <v>#REF!</v>
      </c>
      <c r="B122" s="7"/>
      <c r="C122" s="6"/>
      <c r="D122" s="56"/>
      <c r="E122" s="8"/>
      <c r="F122" s="8"/>
      <c r="G122" s="8"/>
      <c r="H122" s="8"/>
      <c r="I122" s="8"/>
      <c r="J122" s="8"/>
      <c r="K122" s="8"/>
    </row>
    <row r="123" spans="1:11" ht="15.75" thickBot="1" x14ac:dyDescent="0.3">
      <c r="G123" s="31">
        <f>SUM(G4:G122)</f>
        <v>86</v>
      </c>
      <c r="H123" s="31">
        <f t="shared" ref="H123:K123" si="16">SUM(H4:H122)</f>
        <v>0</v>
      </c>
      <c r="I123" s="31">
        <f t="shared" si="16"/>
        <v>0</v>
      </c>
      <c r="J123" s="31">
        <f t="shared" si="16"/>
        <v>0</v>
      </c>
      <c r="K123" s="31">
        <f t="shared" si="16"/>
        <v>1</v>
      </c>
    </row>
    <row r="124" spans="1:11" ht="15.75" thickTop="1" x14ac:dyDescent="0.25"/>
  </sheetData>
  <mergeCells count="1">
    <mergeCell ref="B2:C2"/>
  </mergeCells>
  <conditionalFormatting sqref="B121:C122 G4:K9 F10:K10 B9:C9 B43:D43 B53:C63 E31:F31 L10:L44 D27:D40 B30:C31 F119:K122 A4:A122 F12:K12 G11:K11 F14:K14 G13:K13 F16:K16 G15:K15 F18:K18 G17:K17 F25:K25 G19:K24 E29:E30 E40:F40 E32:E39 E43:F44 E41:E42 F51:K52 G27:K50 F58:K59 G53:K57 F63:K63 G60:K62 F68:K69 G64:K67 F75:K76 G70:K74 F81:K81 G77:K80">
    <cfRule type="expression" dxfId="255" priority="138">
      <formula>$F4="Fail"</formula>
    </cfRule>
  </conditionalFormatting>
  <conditionalFormatting sqref="A3:K3 D8:E9 D4:E5">
    <cfRule type="expression" dxfId="254" priority="137">
      <formula>$F3="Fail"</formula>
    </cfRule>
  </conditionalFormatting>
  <conditionalFormatting sqref="E26:K26 E27 E10:E25">
    <cfRule type="expression" dxfId="253" priority="136">
      <formula>$F10="Fail"</formula>
    </cfRule>
  </conditionalFormatting>
  <conditionalFormatting sqref="E28:F28">
    <cfRule type="expression" dxfId="252" priority="135">
      <formula>$F28="Fail"</formula>
    </cfRule>
  </conditionalFormatting>
  <conditionalFormatting sqref="D7:E7">
    <cfRule type="expression" dxfId="251" priority="134">
      <formula>$F7="Fail"</formula>
    </cfRule>
  </conditionalFormatting>
  <conditionalFormatting sqref="D6:E6">
    <cfRule type="expression" dxfId="250" priority="133">
      <formula>$F6="Fail"</formula>
    </cfRule>
  </conditionalFormatting>
  <conditionalFormatting sqref="B52">
    <cfRule type="expression" dxfId="249" priority="115">
      <formula>$F52="Fail"</formula>
    </cfRule>
  </conditionalFormatting>
  <conditionalFormatting sqref="L8:L9 L3:L5">
    <cfRule type="expression" dxfId="248" priority="131">
      <formula>$F3="Fail"</formula>
    </cfRule>
  </conditionalFormatting>
  <conditionalFormatting sqref="L7">
    <cfRule type="expression" dxfId="247" priority="130">
      <formula>$F7="Fail"</formula>
    </cfRule>
  </conditionalFormatting>
  <conditionalFormatting sqref="L6">
    <cfRule type="expression" dxfId="246" priority="129">
      <formula>$F6="Fail"</formula>
    </cfRule>
  </conditionalFormatting>
  <conditionalFormatting sqref="B8:C8 B75:C75">
    <cfRule type="expression" dxfId="245" priority="128">
      <formula>$F8="Fail"</formula>
    </cfRule>
  </conditionalFormatting>
  <conditionalFormatting sqref="B8:C8">
    <cfRule type="expression" dxfId="244" priority="127">
      <formula>$F8="Fail"</formula>
    </cfRule>
  </conditionalFormatting>
  <conditionalFormatting sqref="G123:K123">
    <cfRule type="expression" dxfId="243" priority="126">
      <formula>$F123="Fail"</formula>
    </cfRule>
  </conditionalFormatting>
  <conditionalFormatting sqref="C51">
    <cfRule type="expression" dxfId="242" priority="123">
      <formula>$F51="Fail"</formula>
    </cfRule>
  </conditionalFormatting>
  <conditionalFormatting sqref="C51">
    <cfRule type="expression" dxfId="241" priority="122">
      <formula>$F51="Fail"</formula>
    </cfRule>
  </conditionalFormatting>
  <conditionalFormatting sqref="C51">
    <cfRule type="expression" dxfId="240" priority="124">
      <formula>$F51="Fail"</formula>
    </cfRule>
  </conditionalFormatting>
  <conditionalFormatting sqref="B51:C51">
    <cfRule type="expression" dxfId="239" priority="125">
      <formula>$F51="Fail"</formula>
    </cfRule>
  </conditionalFormatting>
  <conditionalFormatting sqref="B65:C74 B64">
    <cfRule type="expression" dxfId="238" priority="119">
      <formula>$F64="Fail"</formula>
    </cfRule>
  </conditionalFormatting>
  <conditionalFormatting sqref="B74:C74">
    <cfRule type="expression" dxfId="237" priority="118">
      <formula>$F74="Fail"</formula>
    </cfRule>
  </conditionalFormatting>
  <conditionalFormatting sqref="C65:C73">
    <cfRule type="expression" dxfId="236" priority="117">
      <formula>$F65="Fail"</formula>
    </cfRule>
  </conditionalFormatting>
  <conditionalFormatting sqref="C62">
    <cfRule type="expression" dxfId="235" priority="116">
      <formula>$F62="Fail"</formula>
    </cfRule>
  </conditionalFormatting>
  <conditionalFormatting sqref="C52">
    <cfRule type="expression" dxfId="234" priority="114">
      <formula>$F52="Fail"</formula>
    </cfRule>
  </conditionalFormatting>
  <conditionalFormatting sqref="C122">
    <cfRule type="expression" dxfId="233" priority="110">
      <formula>$F122="Fail"</formula>
    </cfRule>
  </conditionalFormatting>
  <conditionalFormatting sqref="B119:D119">
    <cfRule type="expression" dxfId="232" priority="108">
      <formula>$F119="Fail"</formula>
    </cfRule>
  </conditionalFormatting>
  <conditionalFormatting sqref="D10">
    <cfRule type="expression" dxfId="231" priority="93">
      <formula>$F10="Fail"</formula>
    </cfRule>
  </conditionalFormatting>
  <conditionalFormatting sqref="D52">
    <cfRule type="expression" dxfId="230" priority="106">
      <formula>$F52="Fail"</formula>
    </cfRule>
  </conditionalFormatting>
  <conditionalFormatting sqref="B23:C23">
    <cfRule type="expression" dxfId="229" priority="94">
      <formula>$F23="Fail"</formula>
    </cfRule>
  </conditionalFormatting>
  <conditionalFormatting sqref="D26">
    <cfRule type="expression" dxfId="228" priority="103">
      <formula>$F26="Fail"</formula>
    </cfRule>
  </conditionalFormatting>
  <conditionalFormatting sqref="D11">
    <cfRule type="expression" dxfId="227" priority="100">
      <formula>$F11="Fail"</formula>
    </cfRule>
  </conditionalFormatting>
  <conditionalFormatting sqref="B10:C10 B12:C20 B21">
    <cfRule type="expression" dxfId="226" priority="98">
      <formula>$F10="Fail"</formula>
    </cfRule>
  </conditionalFormatting>
  <conditionalFormatting sqref="C21">
    <cfRule type="expression" dxfId="225" priority="95">
      <formula>$F21="Fail"</formula>
    </cfRule>
  </conditionalFormatting>
  <conditionalFormatting sqref="C22">
    <cfRule type="expression" dxfId="224" priority="91">
      <formula>$F22="Fail"</formula>
    </cfRule>
  </conditionalFormatting>
  <conditionalFormatting sqref="D19:D24 B24:C24">
    <cfRule type="expression" dxfId="223" priority="102">
      <formula>$F19="Fail"</formula>
    </cfRule>
  </conditionalFormatting>
  <conditionalFormatting sqref="D18">
    <cfRule type="expression" dxfId="222" priority="101">
      <formula>$F18="Fail"</formula>
    </cfRule>
  </conditionalFormatting>
  <conditionalFormatting sqref="D12:D17">
    <cfRule type="expression" dxfId="221" priority="99">
      <formula>$F12="Fail"</formula>
    </cfRule>
  </conditionalFormatting>
  <conditionalFormatting sqref="B11">
    <cfRule type="expression" dxfId="220" priority="97">
      <formula>$F11="Fail"</formula>
    </cfRule>
  </conditionalFormatting>
  <conditionalFormatting sqref="C11">
    <cfRule type="expression" dxfId="219" priority="96">
      <formula>$F11="Fail"</formula>
    </cfRule>
  </conditionalFormatting>
  <conditionalFormatting sqref="B22">
    <cfRule type="expression" dxfId="218" priority="92">
      <formula>$F22="Fail"</formula>
    </cfRule>
  </conditionalFormatting>
  <conditionalFormatting sqref="B23">
    <cfRule type="expression" dxfId="217" priority="90">
      <formula>$F23="Fail"</formula>
    </cfRule>
  </conditionalFormatting>
  <conditionalFormatting sqref="C23">
    <cfRule type="expression" dxfId="216" priority="89">
      <formula>$F23="Fail"</formula>
    </cfRule>
  </conditionalFormatting>
  <conditionalFormatting sqref="C4 B5:C7">
    <cfRule type="expression" dxfId="215" priority="88">
      <formula>$F4="Fail"</formula>
    </cfRule>
  </conditionalFormatting>
  <conditionalFormatting sqref="B4">
    <cfRule type="expression" dxfId="214" priority="87">
      <formula>$F4="Fail"</formula>
    </cfRule>
  </conditionalFormatting>
  <conditionalFormatting sqref="C64">
    <cfRule type="expression" dxfId="213" priority="77">
      <formula>$F64="Fail"</formula>
    </cfRule>
  </conditionalFormatting>
  <conditionalFormatting sqref="C64">
    <cfRule type="expression" dxfId="212" priority="75">
      <formula>$F64="Fail"</formula>
    </cfRule>
  </conditionalFormatting>
  <conditionalFormatting sqref="B40:C40">
    <cfRule type="expression" dxfId="211" priority="86">
      <formula>$F40="Fail"</formula>
    </cfRule>
  </conditionalFormatting>
  <conditionalFormatting sqref="C77:C81">
    <cfRule type="expression" dxfId="210" priority="83">
      <formula>$F77="Fail"</formula>
    </cfRule>
  </conditionalFormatting>
  <conditionalFormatting sqref="B76">
    <cfRule type="expression" dxfId="209" priority="82">
      <formula>$F76="Fail"</formula>
    </cfRule>
  </conditionalFormatting>
  <conditionalFormatting sqref="C76">
    <cfRule type="expression" dxfId="208" priority="81">
      <formula>$F76="Fail"</formula>
    </cfRule>
  </conditionalFormatting>
  <conditionalFormatting sqref="C80:C81">
    <cfRule type="expression" dxfId="207" priority="80">
      <formula>$F80="Fail"</formula>
    </cfRule>
  </conditionalFormatting>
  <conditionalFormatting sqref="C77:C81">
    <cfRule type="expression" dxfId="206" priority="84">
      <formula>$F77="Fail"</formula>
    </cfRule>
  </conditionalFormatting>
  <conditionalFormatting sqref="B77:C81">
    <cfRule type="expression" dxfId="205" priority="85">
      <formula>$F77="Fail"</formula>
    </cfRule>
  </conditionalFormatting>
  <conditionalFormatting sqref="D76">
    <cfRule type="expression" dxfId="204" priority="79">
      <formula>$F76="Fail"</formula>
    </cfRule>
  </conditionalFormatting>
  <conditionalFormatting sqref="C64">
    <cfRule type="expression" dxfId="203" priority="76">
      <formula>$F64="Fail"</formula>
    </cfRule>
  </conditionalFormatting>
  <conditionalFormatting sqref="B26">
    <cfRule type="expression" dxfId="202" priority="69">
      <formula>$F26="Fail"</formula>
    </cfRule>
  </conditionalFormatting>
  <conditionalFormatting sqref="B28:C28 B32:C34 B36:C38 B39">
    <cfRule type="expression" dxfId="201" priority="68">
      <formula>$F28="Fail"</formula>
    </cfRule>
  </conditionalFormatting>
  <conditionalFormatting sqref="C26">
    <cfRule type="expression" dxfId="200" priority="70">
      <formula>$F26="Fail"</formula>
    </cfRule>
  </conditionalFormatting>
  <conditionalFormatting sqref="B27:C27">
    <cfRule type="expression" dxfId="199" priority="67">
      <formula>$F27="Fail"</formula>
    </cfRule>
  </conditionalFormatting>
  <conditionalFormatting sqref="C29">
    <cfRule type="expression" dxfId="198" priority="66">
      <formula>$F29="Fail"</formula>
    </cfRule>
  </conditionalFormatting>
  <conditionalFormatting sqref="B35:C35">
    <cfRule type="expression" dxfId="197" priority="65">
      <formula>$F35="Fail"</formula>
    </cfRule>
  </conditionalFormatting>
  <conditionalFormatting sqref="C39">
    <cfRule type="expression" dxfId="196" priority="64">
      <formula>$F39="Fail"</formula>
    </cfRule>
  </conditionalFormatting>
  <conditionalFormatting sqref="B29">
    <cfRule type="expression" dxfId="195" priority="63">
      <formula>$F29="Fail"</formula>
    </cfRule>
  </conditionalFormatting>
  <conditionalFormatting sqref="B41:C42">
    <cfRule type="expression" dxfId="194" priority="62">
      <formula>$F41="Fail"</formula>
    </cfRule>
  </conditionalFormatting>
  <conditionalFormatting sqref="B41:C42">
    <cfRule type="expression" dxfId="193" priority="61">
      <formula>$F41="Fail"</formula>
    </cfRule>
  </conditionalFormatting>
  <conditionalFormatting sqref="D41:D42">
    <cfRule type="expression" dxfId="192" priority="60">
      <formula>$F41="Fail"</formula>
    </cfRule>
  </conditionalFormatting>
  <conditionalFormatting sqref="D41:D42">
    <cfRule type="expression" dxfId="191" priority="59">
      <formula>$F41="Fail"</formula>
    </cfRule>
  </conditionalFormatting>
  <conditionalFormatting sqref="C25">
    <cfRule type="expression" dxfId="190" priority="58">
      <formula>$F25="Fail"</formula>
    </cfRule>
  </conditionalFormatting>
  <conditionalFormatting sqref="C25">
    <cfRule type="expression" dxfId="189" priority="57">
      <formula>$F25="Fail"</formula>
    </cfRule>
  </conditionalFormatting>
  <conditionalFormatting sqref="B25">
    <cfRule type="expression" dxfId="188" priority="56">
      <formula>$F25="Fail"</formula>
    </cfRule>
  </conditionalFormatting>
  <conditionalFormatting sqref="B25">
    <cfRule type="expression" dxfId="187" priority="55">
      <formula>$F25="Fail"</formula>
    </cfRule>
  </conditionalFormatting>
  <conditionalFormatting sqref="F82:K118">
    <cfRule type="expression" dxfId="186" priority="54">
      <formula>$F82="Fail"</formula>
    </cfRule>
  </conditionalFormatting>
  <conditionalFormatting sqref="B83:C95">
    <cfRule type="expression" dxfId="185" priority="53">
      <formula>$F83="Fail"</formula>
    </cfRule>
  </conditionalFormatting>
  <conditionalFormatting sqref="B116:B118">
    <cfRule type="expression" dxfId="184" priority="52">
      <formula>$F116="Fail"</formula>
    </cfRule>
  </conditionalFormatting>
  <conditionalFormatting sqref="B116:B118">
    <cfRule type="expression" dxfId="183" priority="51">
      <formula>$F116="Fail"</formula>
    </cfRule>
  </conditionalFormatting>
  <conditionalFormatting sqref="C96 B97:C100 B105:C105 B101:B103">
    <cfRule type="expression" dxfId="182" priority="50">
      <formula>$F96="Fail"</formula>
    </cfRule>
  </conditionalFormatting>
  <conditionalFormatting sqref="C96 B97:C100 B105:C105 B101:B103">
    <cfRule type="expression" dxfId="181" priority="49">
      <formula>$F96="Fail"</formula>
    </cfRule>
  </conditionalFormatting>
  <conditionalFormatting sqref="B82">
    <cfRule type="expression" dxfId="180" priority="48">
      <formula>$F82="Fail"</formula>
    </cfRule>
  </conditionalFormatting>
  <conditionalFormatting sqref="B96">
    <cfRule type="expression" dxfId="179" priority="47">
      <formula>$F96="Fail"</formula>
    </cfRule>
  </conditionalFormatting>
  <conditionalFormatting sqref="B96">
    <cfRule type="expression" dxfId="178" priority="46">
      <formula>$F96="Fail"</formula>
    </cfRule>
  </conditionalFormatting>
  <conditionalFormatting sqref="C102:C103">
    <cfRule type="expression" dxfId="177" priority="45">
      <formula>$F102="Fail"</formula>
    </cfRule>
  </conditionalFormatting>
  <conditionalFormatting sqref="C102:C103">
    <cfRule type="expression" dxfId="176" priority="44">
      <formula>$F102="Fail"</formula>
    </cfRule>
  </conditionalFormatting>
  <conditionalFormatting sqref="C101">
    <cfRule type="expression" dxfId="175" priority="43">
      <formula>$F101="Fail"</formula>
    </cfRule>
  </conditionalFormatting>
  <conditionalFormatting sqref="C101">
    <cfRule type="expression" dxfId="174" priority="42">
      <formula>$F101="Fail"</formula>
    </cfRule>
  </conditionalFormatting>
  <conditionalFormatting sqref="C82">
    <cfRule type="expression" dxfId="173" priority="41">
      <formula>$F82="Fail"</formula>
    </cfRule>
  </conditionalFormatting>
  <conditionalFormatting sqref="B104">
    <cfRule type="expression" dxfId="172" priority="40">
      <formula>$F104="Fail"</formula>
    </cfRule>
  </conditionalFormatting>
  <conditionalFormatting sqref="B104">
    <cfRule type="expression" dxfId="171" priority="39">
      <formula>$F104="Fail"</formula>
    </cfRule>
  </conditionalFormatting>
  <conditionalFormatting sqref="C104">
    <cfRule type="expression" dxfId="170" priority="38">
      <formula>$F104="Fail"</formula>
    </cfRule>
  </conditionalFormatting>
  <conditionalFormatting sqref="C104">
    <cfRule type="expression" dxfId="169" priority="37">
      <formula>$F104="Fail"</formula>
    </cfRule>
  </conditionalFormatting>
  <conditionalFormatting sqref="D82">
    <cfRule type="expression" dxfId="168" priority="36">
      <formula>$F82="Fail"</formula>
    </cfRule>
  </conditionalFormatting>
  <conditionalFormatting sqref="B106:C109 B110:B115">
    <cfRule type="expression" dxfId="167" priority="35">
      <formula>$F106="Fail"</formula>
    </cfRule>
  </conditionalFormatting>
  <conditionalFormatting sqref="C110:C118">
    <cfRule type="expression" dxfId="166" priority="33">
      <formula>$F110="Fail"</formula>
    </cfRule>
  </conditionalFormatting>
  <conditionalFormatting sqref="C110:C118">
    <cfRule type="expression" dxfId="165" priority="34">
      <formula>$F110="Fail"</formula>
    </cfRule>
  </conditionalFormatting>
  <conditionalFormatting sqref="B120:C120">
    <cfRule type="expression" dxfId="164" priority="32">
      <formula>$F120="Fail"</formula>
    </cfRule>
  </conditionalFormatting>
  <conditionalFormatting sqref="D120">
    <cfRule type="expression" dxfId="163" priority="31">
      <formula>$F120="Fail"</formula>
    </cfRule>
  </conditionalFormatting>
  <conditionalFormatting sqref="F8">
    <cfRule type="expression" dxfId="162" priority="30">
      <formula>$F8="Fail"</formula>
    </cfRule>
  </conditionalFormatting>
  <conditionalFormatting sqref="F13">
    <cfRule type="expression" dxfId="161" priority="14">
      <formula>$F13="Fail"</formula>
    </cfRule>
  </conditionalFormatting>
  <conditionalFormatting sqref="F15">
    <cfRule type="expression" dxfId="160" priority="13">
      <formula>$F15="Fail"</formula>
    </cfRule>
  </conditionalFormatting>
  <conditionalFormatting sqref="F17">
    <cfRule type="expression" dxfId="159" priority="12">
      <formula>$F17="Fail"</formula>
    </cfRule>
  </conditionalFormatting>
  <conditionalFormatting sqref="F4:F7">
    <cfRule type="expression" dxfId="158" priority="17">
      <formula>$F4="Fail"</formula>
    </cfRule>
  </conditionalFormatting>
  <conditionalFormatting sqref="F9">
    <cfRule type="expression" dxfId="157" priority="16">
      <formula>$F9="Fail"</formula>
    </cfRule>
  </conditionalFormatting>
  <conditionalFormatting sqref="F11">
    <cfRule type="expression" dxfId="156" priority="15">
      <formula>$F11="Fail"</formula>
    </cfRule>
  </conditionalFormatting>
  <conditionalFormatting sqref="F19:F24">
    <cfRule type="expression" dxfId="155" priority="11">
      <formula>$F19="Fail"</formula>
    </cfRule>
  </conditionalFormatting>
  <conditionalFormatting sqref="F77:F80">
    <cfRule type="expression" dxfId="154" priority="1">
      <formula>$F77="Fail"</formula>
    </cfRule>
  </conditionalFormatting>
  <conditionalFormatting sqref="F27">
    <cfRule type="expression" dxfId="153" priority="10">
      <formula>$F27="Fail"</formula>
    </cfRule>
  </conditionalFormatting>
  <conditionalFormatting sqref="F29:F30">
    <cfRule type="expression" dxfId="152" priority="9">
      <formula>$F29="Fail"</formula>
    </cfRule>
  </conditionalFormatting>
  <conditionalFormatting sqref="F32:F39">
    <cfRule type="expression" dxfId="151" priority="8">
      <formula>$F32="Fail"</formula>
    </cfRule>
  </conditionalFormatting>
  <conditionalFormatting sqref="F41:F42">
    <cfRule type="expression" dxfId="150" priority="7">
      <formula>$F41="Fail"</formula>
    </cfRule>
  </conditionalFormatting>
  <conditionalFormatting sqref="F45:F50">
    <cfRule type="expression" dxfId="149" priority="6">
      <formula>$F45="Fail"</formula>
    </cfRule>
  </conditionalFormatting>
  <conditionalFormatting sqref="F53:F57">
    <cfRule type="expression" dxfId="148" priority="5">
      <formula>$F53="Fail"</formula>
    </cfRule>
  </conditionalFormatting>
  <conditionalFormatting sqref="F60:F62">
    <cfRule type="expression" dxfId="147" priority="4">
      <formula>$F60="Fail"</formula>
    </cfRule>
  </conditionalFormatting>
  <conditionalFormatting sqref="F64:F67">
    <cfRule type="expression" dxfId="146" priority="3">
      <formula>$F64="Fail"</formula>
    </cfRule>
  </conditionalFormatting>
  <conditionalFormatting sqref="F70:F74">
    <cfRule type="expression" dxfId="145" priority="2">
      <formula>$F70="Fail"</formula>
    </cfRule>
  </conditionalFormatting>
  <dataValidations count="1">
    <dataValidation type="list" allowBlank="1" showInputMessage="1" showErrorMessage="1" sqref="F3:F122">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8" id="{90B9035E-B5EA-45CC-AAE1-F1278BE4801B}">
            <xm:f>'C:\Users\E939818\Documents\_Project Documents\SVN TEST  team\_Sutuwa\Testing\Release 1\Stats\[SEB_InvestAdmin_Investment.xlsm]External'!#REF!="Fail"</xm:f>
            <x14:dxf>
              <font>
                <color rgb="FFFF0000"/>
              </font>
              <fill>
                <patternFill>
                  <bgColor theme="9" tint="0.59996337778862885"/>
                </patternFill>
              </fill>
            </x14:dxf>
          </x14:cfRule>
          <xm:sqref>B44:D50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151"/>
  <sheetViews>
    <sheetView topLeftCell="C1" zoomScaleNormal="100" workbookViewId="0">
      <pane ySplit="1" topLeftCell="A17" activePane="bottomLeft" state="frozen"/>
      <selection activeCell="C11" sqref="C11"/>
      <selection pane="bottomLeft" activeCell="F1" sqref="F1:F1048576"/>
    </sheetView>
  </sheetViews>
  <sheetFormatPr defaultRowHeight="15" x14ac:dyDescent="0.25"/>
  <cols>
    <col min="1" max="1" width="11.28515625" style="4" bestFit="1" customWidth="1"/>
    <col min="2" max="2" width="67" style="1" customWidth="1"/>
    <col min="3" max="3" width="72.42578125" style="1" bestFit="1" customWidth="1"/>
    <col min="4" max="4" width="12.5703125" style="1" customWidth="1"/>
    <col min="5" max="5" width="6.5703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c r="E1" s="12" t="s">
        <v>3</v>
      </c>
      <c r="F1" s="11" t="s">
        <v>0</v>
      </c>
      <c r="G1" s="12" t="s">
        <v>5</v>
      </c>
      <c r="H1" s="12" t="s">
        <v>6</v>
      </c>
      <c r="I1" s="12"/>
      <c r="J1" s="12" t="s">
        <v>7</v>
      </c>
      <c r="K1" s="12" t="s">
        <v>8</v>
      </c>
      <c r="L1" s="12" t="s">
        <v>12</v>
      </c>
    </row>
    <row r="2" spans="1:12" s="39" customFormat="1" x14ac:dyDescent="0.25">
      <c r="A2" s="103" t="s">
        <v>267</v>
      </c>
      <c r="B2" s="106"/>
      <c r="C2" s="104"/>
      <c r="D2" s="41"/>
      <c r="E2" s="41"/>
      <c r="F2" s="41"/>
      <c r="G2" s="41"/>
      <c r="H2" s="41"/>
      <c r="I2" s="41"/>
      <c r="J2" s="41"/>
      <c r="K2" s="41"/>
      <c r="L2" s="41"/>
    </row>
    <row r="3" spans="1:12" s="20" customFormat="1" x14ac:dyDescent="0.25">
      <c r="A3" s="16">
        <v>1</v>
      </c>
      <c r="B3" s="17" t="s">
        <v>287</v>
      </c>
      <c r="C3" s="18"/>
      <c r="D3" s="17"/>
      <c r="E3" s="17"/>
      <c r="F3" s="19"/>
      <c r="G3" s="19"/>
      <c r="H3" s="19"/>
      <c r="I3" s="19"/>
      <c r="J3" s="19"/>
      <c r="K3" s="19"/>
      <c r="L3" s="17"/>
    </row>
    <row r="4" spans="1:12" x14ac:dyDescent="0.25">
      <c r="A4" s="5">
        <f t="shared" ref="A4:A67" si="0">A3+0.0001</f>
        <v>1.0001</v>
      </c>
      <c r="B4" s="6" t="s">
        <v>57</v>
      </c>
      <c r="C4" s="9"/>
      <c r="D4" s="7"/>
      <c r="E4" s="6"/>
      <c r="F4" s="8" t="s">
        <v>7</v>
      </c>
      <c r="G4" s="8">
        <f t="shared" ref="G4:K8" si="1">IF($F4=G$1,1,0)</f>
        <v>0</v>
      </c>
      <c r="H4" s="8">
        <f t="shared" si="1"/>
        <v>0</v>
      </c>
      <c r="I4" s="8">
        <f t="shared" si="1"/>
        <v>0</v>
      </c>
      <c r="J4" s="8">
        <f t="shared" si="1"/>
        <v>1</v>
      </c>
      <c r="K4" s="8">
        <f t="shared" si="1"/>
        <v>0</v>
      </c>
      <c r="L4" s="8">
        <f t="shared" ref="L4" si="2">IF($F4=L$1,1,0)</f>
        <v>0</v>
      </c>
    </row>
    <row r="5" spans="1:12" x14ac:dyDescent="0.25">
      <c r="A5" s="5">
        <f t="shared" si="0"/>
        <v>1.0002</v>
      </c>
      <c r="B5" s="27" t="s">
        <v>58</v>
      </c>
      <c r="C5" s="9" t="s">
        <v>59</v>
      </c>
      <c r="D5" s="7"/>
      <c r="E5" s="6"/>
      <c r="F5" s="8" t="s">
        <v>7</v>
      </c>
      <c r="G5" s="8">
        <f t="shared" si="1"/>
        <v>0</v>
      </c>
      <c r="H5" s="8">
        <f t="shared" si="1"/>
        <v>0</v>
      </c>
      <c r="I5" s="8">
        <f t="shared" si="1"/>
        <v>0</v>
      </c>
      <c r="J5" s="8">
        <f t="shared" si="1"/>
        <v>1</v>
      </c>
      <c r="K5" s="8">
        <f t="shared" si="1"/>
        <v>0</v>
      </c>
      <c r="L5" s="7"/>
    </row>
    <row r="6" spans="1:12" x14ac:dyDescent="0.25">
      <c r="A6" s="5">
        <f t="shared" si="0"/>
        <v>1.0003</v>
      </c>
      <c r="B6" s="27" t="s">
        <v>60</v>
      </c>
      <c r="C6" s="9" t="s">
        <v>61</v>
      </c>
      <c r="D6" s="7"/>
      <c r="E6" s="6"/>
      <c r="F6" s="8" t="s">
        <v>7</v>
      </c>
      <c r="G6" s="8">
        <f t="shared" si="1"/>
        <v>0</v>
      </c>
      <c r="H6" s="8">
        <f t="shared" si="1"/>
        <v>0</v>
      </c>
      <c r="I6" s="8">
        <f t="shared" si="1"/>
        <v>0</v>
      </c>
      <c r="J6" s="8">
        <f t="shared" si="1"/>
        <v>1</v>
      </c>
      <c r="K6" s="8">
        <f t="shared" si="1"/>
        <v>0</v>
      </c>
      <c r="L6" s="7"/>
    </row>
    <row r="7" spans="1:12" x14ac:dyDescent="0.25">
      <c r="A7" s="5">
        <f t="shared" si="0"/>
        <v>1.0004</v>
      </c>
      <c r="B7" s="6"/>
      <c r="C7" s="9" t="s">
        <v>62</v>
      </c>
      <c r="D7" s="7"/>
      <c r="E7" s="6"/>
      <c r="F7" s="8" t="s">
        <v>7</v>
      </c>
      <c r="G7" s="8">
        <f t="shared" si="1"/>
        <v>0</v>
      </c>
      <c r="H7" s="8">
        <f t="shared" si="1"/>
        <v>0</v>
      </c>
      <c r="I7" s="8">
        <f t="shared" si="1"/>
        <v>0</v>
      </c>
      <c r="J7" s="8">
        <f t="shared" si="1"/>
        <v>1</v>
      </c>
      <c r="K7" s="8">
        <f t="shared" si="1"/>
        <v>0</v>
      </c>
      <c r="L7" s="7"/>
    </row>
    <row r="8" spans="1:12" x14ac:dyDescent="0.25">
      <c r="A8" s="5">
        <f t="shared" si="0"/>
        <v>1.0004999999999999</v>
      </c>
      <c r="B8" s="6"/>
      <c r="C8" s="9" t="s">
        <v>268</v>
      </c>
      <c r="D8" s="7"/>
      <c r="E8" s="6"/>
      <c r="F8" s="8" t="s">
        <v>7</v>
      </c>
      <c r="G8" s="8">
        <f t="shared" si="1"/>
        <v>0</v>
      </c>
      <c r="H8" s="8">
        <f t="shared" si="1"/>
        <v>0</v>
      </c>
      <c r="I8" s="8">
        <f t="shared" si="1"/>
        <v>0</v>
      </c>
      <c r="J8" s="8">
        <f t="shared" si="1"/>
        <v>1</v>
      </c>
      <c r="K8" s="8">
        <f t="shared" si="1"/>
        <v>0</v>
      </c>
      <c r="L8" s="7"/>
    </row>
    <row r="9" spans="1:12" s="20" customFormat="1" x14ac:dyDescent="0.25">
      <c r="A9" s="5">
        <f t="shared" si="0"/>
        <v>1.0005999999999999</v>
      </c>
      <c r="B9" s="17" t="s">
        <v>293</v>
      </c>
      <c r="C9" s="18" t="s">
        <v>301</v>
      </c>
      <c r="D9" s="17"/>
      <c r="E9" s="17"/>
      <c r="F9" s="19"/>
      <c r="G9" s="19"/>
      <c r="H9" s="19"/>
      <c r="I9" s="19"/>
      <c r="J9" s="19"/>
      <c r="K9" s="19"/>
      <c r="L9" s="17"/>
    </row>
    <row r="10" spans="1:12" x14ac:dyDescent="0.25">
      <c r="A10" s="5">
        <f t="shared" si="0"/>
        <v>1.0006999999999999</v>
      </c>
      <c r="B10" s="27" t="s">
        <v>286</v>
      </c>
      <c r="C10" s="9" t="s">
        <v>271</v>
      </c>
      <c r="D10" s="7"/>
      <c r="E10" s="7"/>
      <c r="F10" s="8" t="s">
        <v>7</v>
      </c>
      <c r="G10" s="8">
        <f t="shared" ref="G10:K30" si="3">IF($F10=G$1,1,0)</f>
        <v>0</v>
      </c>
      <c r="H10" s="8">
        <f t="shared" si="3"/>
        <v>0</v>
      </c>
      <c r="I10" s="8">
        <f t="shared" si="3"/>
        <v>0</v>
      </c>
      <c r="J10" s="8">
        <f t="shared" si="3"/>
        <v>1</v>
      </c>
      <c r="K10" s="8">
        <f t="shared" si="3"/>
        <v>0</v>
      </c>
      <c r="L10" s="7"/>
    </row>
    <row r="11" spans="1:12" x14ac:dyDescent="0.25">
      <c r="A11" s="5">
        <f t="shared" si="0"/>
        <v>1.0007999999999999</v>
      </c>
      <c r="B11" s="27" t="s">
        <v>63</v>
      </c>
      <c r="C11" s="9" t="s">
        <v>64</v>
      </c>
      <c r="D11" s="7"/>
      <c r="E11" s="7"/>
      <c r="F11" s="8" t="s">
        <v>7</v>
      </c>
      <c r="G11" s="8">
        <f t="shared" si="3"/>
        <v>0</v>
      </c>
      <c r="H11" s="8">
        <f t="shared" si="3"/>
        <v>0</v>
      </c>
      <c r="I11" s="8">
        <f t="shared" si="3"/>
        <v>0</v>
      </c>
      <c r="J11" s="8">
        <f t="shared" si="3"/>
        <v>1</v>
      </c>
      <c r="K11" s="8">
        <f t="shared" si="3"/>
        <v>0</v>
      </c>
      <c r="L11" s="7"/>
    </row>
    <row r="12" spans="1:12" x14ac:dyDescent="0.25">
      <c r="A12" s="5">
        <f t="shared" si="0"/>
        <v>1.0008999999999999</v>
      </c>
      <c r="B12" s="6" t="s">
        <v>65</v>
      </c>
      <c r="C12" s="9" t="s">
        <v>66</v>
      </c>
      <c r="D12" s="7"/>
      <c r="E12" s="7"/>
      <c r="F12" s="8" t="s">
        <v>7</v>
      </c>
      <c r="G12" s="8">
        <f t="shared" si="3"/>
        <v>0</v>
      </c>
      <c r="H12" s="8">
        <f t="shared" si="3"/>
        <v>0</v>
      </c>
      <c r="I12" s="8">
        <f t="shared" si="3"/>
        <v>0</v>
      </c>
      <c r="J12" s="8">
        <f t="shared" si="3"/>
        <v>1</v>
      </c>
      <c r="K12" s="8">
        <f t="shared" si="3"/>
        <v>0</v>
      </c>
      <c r="L12" s="7"/>
    </row>
    <row r="13" spans="1:12" x14ac:dyDescent="0.25">
      <c r="A13" s="5">
        <f t="shared" si="0"/>
        <v>1.0009999999999999</v>
      </c>
      <c r="B13" s="6" t="s">
        <v>67</v>
      </c>
      <c r="C13" s="9" t="s">
        <v>272</v>
      </c>
      <c r="D13" s="7"/>
      <c r="E13" s="7"/>
      <c r="F13" s="8" t="s">
        <v>7</v>
      </c>
      <c r="G13" s="8">
        <f t="shared" si="3"/>
        <v>0</v>
      </c>
      <c r="H13" s="8">
        <f t="shared" si="3"/>
        <v>0</v>
      </c>
      <c r="I13" s="8">
        <f t="shared" si="3"/>
        <v>0</v>
      </c>
      <c r="J13" s="8">
        <f t="shared" si="3"/>
        <v>1</v>
      </c>
      <c r="K13" s="8">
        <f t="shared" si="3"/>
        <v>0</v>
      </c>
      <c r="L13" s="7"/>
    </row>
    <row r="14" spans="1:12" x14ac:dyDescent="0.25">
      <c r="A14" s="5">
        <f t="shared" si="0"/>
        <v>1.0010999999999999</v>
      </c>
      <c r="B14" s="6" t="s">
        <v>68</v>
      </c>
      <c r="C14" s="9" t="s">
        <v>273</v>
      </c>
      <c r="D14" s="7"/>
      <c r="E14" s="7"/>
      <c r="F14" s="8" t="s">
        <v>7</v>
      </c>
      <c r="G14" s="8">
        <f t="shared" si="3"/>
        <v>0</v>
      </c>
      <c r="H14" s="8">
        <f t="shared" si="3"/>
        <v>0</v>
      </c>
      <c r="I14" s="8">
        <f t="shared" si="3"/>
        <v>0</v>
      </c>
      <c r="J14" s="8">
        <f t="shared" si="3"/>
        <v>1</v>
      </c>
      <c r="K14" s="8">
        <f t="shared" si="3"/>
        <v>0</v>
      </c>
      <c r="L14" s="7"/>
    </row>
    <row r="15" spans="1:12" x14ac:dyDescent="0.25">
      <c r="A15" s="5">
        <f t="shared" si="0"/>
        <v>1.0011999999999999</v>
      </c>
      <c r="B15" s="6" t="s">
        <v>69</v>
      </c>
      <c r="C15" s="9" t="s">
        <v>70</v>
      </c>
      <c r="D15" s="7"/>
      <c r="E15" s="7"/>
      <c r="F15" s="8" t="s">
        <v>7</v>
      </c>
      <c r="G15" s="8">
        <f t="shared" si="3"/>
        <v>0</v>
      </c>
      <c r="H15" s="8">
        <f t="shared" si="3"/>
        <v>0</v>
      </c>
      <c r="I15" s="8">
        <f t="shared" si="3"/>
        <v>0</v>
      </c>
      <c r="J15" s="8">
        <f t="shared" si="3"/>
        <v>1</v>
      </c>
      <c r="K15" s="8">
        <f t="shared" si="3"/>
        <v>0</v>
      </c>
      <c r="L15" s="7"/>
    </row>
    <row r="16" spans="1:12" x14ac:dyDescent="0.25">
      <c r="A16" s="5">
        <f t="shared" si="0"/>
        <v>1.0012999999999999</v>
      </c>
      <c r="B16" s="6" t="s">
        <v>71</v>
      </c>
      <c r="C16" s="9">
        <v>100</v>
      </c>
      <c r="D16" s="7"/>
      <c r="E16" s="7"/>
      <c r="F16" s="8" t="s">
        <v>7</v>
      </c>
      <c r="G16" s="8">
        <f t="shared" si="3"/>
        <v>0</v>
      </c>
      <c r="H16" s="8">
        <f t="shared" si="3"/>
        <v>0</v>
      </c>
      <c r="I16" s="8">
        <f t="shared" si="3"/>
        <v>0</v>
      </c>
      <c r="J16" s="8">
        <f t="shared" si="3"/>
        <v>1</v>
      </c>
      <c r="K16" s="8">
        <f t="shared" si="3"/>
        <v>0</v>
      </c>
      <c r="L16" s="7"/>
    </row>
    <row r="17" spans="1:12" x14ac:dyDescent="0.25">
      <c r="A17" s="5">
        <f t="shared" si="0"/>
        <v>1.0013999999999998</v>
      </c>
      <c r="B17" s="7" t="s">
        <v>72</v>
      </c>
      <c r="C17" s="6" t="s">
        <v>73</v>
      </c>
      <c r="D17" s="21"/>
      <c r="E17" s="7"/>
      <c r="F17" s="8" t="s">
        <v>7</v>
      </c>
      <c r="G17" s="8">
        <f t="shared" si="3"/>
        <v>0</v>
      </c>
      <c r="H17" s="8">
        <f t="shared" si="3"/>
        <v>0</v>
      </c>
      <c r="I17" s="8">
        <f t="shared" si="3"/>
        <v>0</v>
      </c>
      <c r="J17" s="8">
        <f t="shared" si="3"/>
        <v>1</v>
      </c>
      <c r="K17" s="8">
        <f t="shared" si="3"/>
        <v>0</v>
      </c>
      <c r="L17" s="7"/>
    </row>
    <row r="18" spans="1:12" x14ac:dyDescent="0.25">
      <c r="A18" s="5">
        <f t="shared" si="0"/>
        <v>1.0014999999999998</v>
      </c>
      <c r="B18" s="7" t="s">
        <v>74</v>
      </c>
      <c r="C18" s="6" t="s">
        <v>75</v>
      </c>
      <c r="D18" s="7"/>
      <c r="E18" s="7"/>
      <c r="F18" s="8" t="s">
        <v>7</v>
      </c>
      <c r="G18" s="8">
        <f t="shared" si="3"/>
        <v>0</v>
      </c>
      <c r="H18" s="8">
        <f t="shared" si="3"/>
        <v>0</v>
      </c>
      <c r="I18" s="8">
        <f t="shared" si="3"/>
        <v>0</v>
      </c>
      <c r="J18" s="8">
        <f t="shared" si="3"/>
        <v>1</v>
      </c>
      <c r="K18" s="8">
        <f t="shared" si="3"/>
        <v>0</v>
      </c>
      <c r="L18" s="7"/>
    </row>
    <row r="19" spans="1:12" x14ac:dyDescent="0.25">
      <c r="A19" s="5">
        <f t="shared" si="0"/>
        <v>1.0015999999999998</v>
      </c>
      <c r="B19" s="7" t="s">
        <v>76</v>
      </c>
      <c r="C19" s="6" t="s">
        <v>75</v>
      </c>
      <c r="D19" s="7"/>
      <c r="E19" s="7"/>
      <c r="F19" s="8" t="s">
        <v>7</v>
      </c>
      <c r="G19" s="8">
        <f t="shared" si="3"/>
        <v>0</v>
      </c>
      <c r="H19" s="8">
        <f t="shared" si="3"/>
        <v>0</v>
      </c>
      <c r="I19" s="8">
        <f t="shared" si="3"/>
        <v>0</v>
      </c>
      <c r="J19" s="8">
        <f t="shared" si="3"/>
        <v>1</v>
      </c>
      <c r="K19" s="8">
        <f t="shared" si="3"/>
        <v>0</v>
      </c>
      <c r="L19" s="7"/>
    </row>
    <row r="20" spans="1:12" x14ac:dyDescent="0.25">
      <c r="A20" s="5">
        <f t="shared" si="0"/>
        <v>1.0016999999999998</v>
      </c>
      <c r="B20" s="60" t="s">
        <v>77</v>
      </c>
      <c r="C20" s="75" t="s">
        <v>422</v>
      </c>
      <c r="D20" s="60"/>
      <c r="E20" s="60"/>
      <c r="F20" s="8" t="s">
        <v>7</v>
      </c>
      <c r="G20" s="8">
        <f t="shared" si="3"/>
        <v>0</v>
      </c>
      <c r="H20" s="8">
        <f t="shared" si="3"/>
        <v>0</v>
      </c>
      <c r="I20" s="8">
        <f t="shared" si="3"/>
        <v>0</v>
      </c>
      <c r="J20" s="8">
        <f t="shared" si="3"/>
        <v>1</v>
      </c>
      <c r="K20" s="8">
        <f t="shared" si="3"/>
        <v>0</v>
      </c>
      <c r="L20" s="7"/>
    </row>
    <row r="21" spans="1:12" x14ac:dyDescent="0.25">
      <c r="A21" s="5">
        <f t="shared" si="0"/>
        <v>1.0017999999999998</v>
      </c>
      <c r="B21" s="6" t="s">
        <v>78</v>
      </c>
      <c r="C21" s="60" t="s">
        <v>423</v>
      </c>
      <c r="D21" s="60"/>
      <c r="E21" s="60"/>
      <c r="F21" s="8" t="s">
        <v>7</v>
      </c>
      <c r="G21" s="8">
        <f t="shared" si="3"/>
        <v>0</v>
      </c>
      <c r="H21" s="8">
        <f t="shared" si="3"/>
        <v>0</v>
      </c>
      <c r="I21" s="8">
        <f t="shared" si="3"/>
        <v>0</v>
      </c>
      <c r="J21" s="8">
        <f t="shared" si="3"/>
        <v>1</v>
      </c>
      <c r="K21" s="8">
        <f t="shared" si="3"/>
        <v>0</v>
      </c>
      <c r="L21" s="7"/>
    </row>
    <row r="22" spans="1:12" x14ac:dyDescent="0.25">
      <c r="A22" s="5">
        <f t="shared" si="0"/>
        <v>1.0018999999999998</v>
      </c>
      <c r="B22" s="6"/>
      <c r="C22" s="6" t="s">
        <v>79</v>
      </c>
      <c r="D22" s="7"/>
      <c r="E22" s="7"/>
      <c r="F22" s="8" t="s">
        <v>7</v>
      </c>
      <c r="G22" s="8">
        <f t="shared" si="3"/>
        <v>0</v>
      </c>
      <c r="H22" s="8">
        <f t="shared" si="3"/>
        <v>0</v>
      </c>
      <c r="I22" s="8">
        <f t="shared" si="3"/>
        <v>0</v>
      </c>
      <c r="J22" s="8">
        <f t="shared" si="3"/>
        <v>1</v>
      </c>
      <c r="K22" s="8">
        <f t="shared" si="3"/>
        <v>0</v>
      </c>
      <c r="L22" s="7"/>
    </row>
    <row r="23" spans="1:12" x14ac:dyDescent="0.25">
      <c r="A23" s="5">
        <f t="shared" si="0"/>
        <v>1.0019999999999998</v>
      </c>
      <c r="B23" s="27" t="s">
        <v>80</v>
      </c>
      <c r="C23" s="6" t="s">
        <v>81</v>
      </c>
      <c r="D23" s="7"/>
      <c r="E23" s="7"/>
      <c r="F23" s="8" t="s">
        <v>7</v>
      </c>
      <c r="G23" s="8">
        <f t="shared" si="3"/>
        <v>0</v>
      </c>
      <c r="H23" s="8">
        <f t="shared" si="3"/>
        <v>0</v>
      </c>
      <c r="I23" s="8">
        <f t="shared" si="3"/>
        <v>0</v>
      </c>
      <c r="J23" s="8">
        <f t="shared" si="3"/>
        <v>1</v>
      </c>
      <c r="K23" s="8">
        <f t="shared" si="3"/>
        <v>0</v>
      </c>
      <c r="L23" s="7"/>
    </row>
    <row r="24" spans="1:12" x14ac:dyDescent="0.25">
      <c r="A24" s="5">
        <f t="shared" si="0"/>
        <v>1.0020999999999998</v>
      </c>
      <c r="B24" s="27"/>
      <c r="C24" s="6" t="s">
        <v>82</v>
      </c>
      <c r="D24" s="7"/>
      <c r="E24" s="7"/>
      <c r="F24" s="8" t="s">
        <v>7</v>
      </c>
      <c r="G24" s="8">
        <f t="shared" si="3"/>
        <v>0</v>
      </c>
      <c r="H24" s="8">
        <f t="shared" si="3"/>
        <v>0</v>
      </c>
      <c r="I24" s="8">
        <f t="shared" si="3"/>
        <v>0</v>
      </c>
      <c r="J24" s="8">
        <f t="shared" si="3"/>
        <v>1</v>
      </c>
      <c r="K24" s="8">
        <f t="shared" si="3"/>
        <v>0</v>
      </c>
      <c r="L24" s="7"/>
    </row>
    <row r="25" spans="1:12" x14ac:dyDescent="0.25">
      <c r="A25" s="5">
        <f t="shared" si="0"/>
        <v>1.0021999999999998</v>
      </c>
      <c r="B25" s="6"/>
      <c r="C25" s="6" t="s">
        <v>83</v>
      </c>
      <c r="D25" s="7"/>
      <c r="E25" s="7"/>
      <c r="F25" s="8" t="s">
        <v>7</v>
      </c>
      <c r="G25" s="8">
        <f t="shared" si="3"/>
        <v>0</v>
      </c>
      <c r="H25" s="8">
        <f t="shared" si="3"/>
        <v>0</v>
      </c>
      <c r="I25" s="8">
        <f t="shared" si="3"/>
        <v>0</v>
      </c>
      <c r="J25" s="8">
        <f t="shared" si="3"/>
        <v>1</v>
      </c>
      <c r="K25" s="8">
        <f t="shared" si="3"/>
        <v>0</v>
      </c>
      <c r="L25" s="7"/>
    </row>
    <row r="26" spans="1:12" x14ac:dyDescent="0.25">
      <c r="A26" s="5">
        <f t="shared" si="0"/>
        <v>1.0022999999999997</v>
      </c>
      <c r="B26" s="6"/>
      <c r="C26" s="6" t="s">
        <v>84</v>
      </c>
      <c r="D26" s="7"/>
      <c r="E26" s="7"/>
      <c r="F26" s="8" t="s">
        <v>7</v>
      </c>
      <c r="G26" s="8">
        <f t="shared" si="3"/>
        <v>0</v>
      </c>
      <c r="H26" s="8">
        <f t="shared" si="3"/>
        <v>0</v>
      </c>
      <c r="I26" s="8">
        <f t="shared" si="3"/>
        <v>0</v>
      </c>
      <c r="J26" s="8">
        <f t="shared" si="3"/>
        <v>1</v>
      </c>
      <c r="K26" s="8">
        <f t="shared" si="3"/>
        <v>0</v>
      </c>
      <c r="L26" s="7"/>
    </row>
    <row r="27" spans="1:12" x14ac:dyDescent="0.25">
      <c r="A27" s="5">
        <f t="shared" si="0"/>
        <v>1.0023999999999997</v>
      </c>
      <c r="B27" s="6"/>
      <c r="C27" s="6" t="s">
        <v>85</v>
      </c>
      <c r="D27" s="7"/>
      <c r="E27" s="7"/>
      <c r="F27" s="8" t="s">
        <v>7</v>
      </c>
      <c r="G27" s="8">
        <f t="shared" si="3"/>
        <v>0</v>
      </c>
      <c r="H27" s="8">
        <f t="shared" si="3"/>
        <v>0</v>
      </c>
      <c r="I27" s="8">
        <f t="shared" si="3"/>
        <v>0</v>
      </c>
      <c r="J27" s="8">
        <f t="shared" si="3"/>
        <v>1</v>
      </c>
      <c r="K27" s="8">
        <f t="shared" si="3"/>
        <v>0</v>
      </c>
      <c r="L27" s="7"/>
    </row>
    <row r="28" spans="1:12" x14ac:dyDescent="0.25">
      <c r="A28" s="5">
        <f t="shared" si="0"/>
        <v>1.0024999999999997</v>
      </c>
      <c r="B28" s="6"/>
      <c r="C28" s="6" t="s">
        <v>86</v>
      </c>
      <c r="D28" s="7"/>
      <c r="E28" s="7"/>
      <c r="F28" s="8" t="s">
        <v>7</v>
      </c>
      <c r="G28" s="8">
        <f t="shared" si="3"/>
        <v>0</v>
      </c>
      <c r="H28" s="8">
        <f t="shared" si="3"/>
        <v>0</v>
      </c>
      <c r="I28" s="8">
        <f t="shared" si="3"/>
        <v>0</v>
      </c>
      <c r="J28" s="8">
        <f t="shared" si="3"/>
        <v>1</v>
      </c>
      <c r="K28" s="8">
        <f t="shared" si="3"/>
        <v>0</v>
      </c>
      <c r="L28" s="7"/>
    </row>
    <row r="29" spans="1:12" x14ac:dyDescent="0.25">
      <c r="A29" s="5">
        <f t="shared" si="0"/>
        <v>1.0025999999999997</v>
      </c>
      <c r="B29" s="6"/>
      <c r="C29" s="6" t="s">
        <v>87</v>
      </c>
      <c r="D29" s="7"/>
      <c r="E29" s="7"/>
      <c r="F29" s="8" t="s">
        <v>7</v>
      </c>
      <c r="G29" s="8">
        <f t="shared" si="3"/>
        <v>0</v>
      </c>
      <c r="H29" s="8">
        <f t="shared" si="3"/>
        <v>0</v>
      </c>
      <c r="I29" s="8">
        <f t="shared" si="3"/>
        <v>0</v>
      </c>
      <c r="J29" s="8">
        <f t="shared" si="3"/>
        <v>1</v>
      </c>
      <c r="K29" s="8">
        <f t="shared" si="3"/>
        <v>0</v>
      </c>
      <c r="L29" s="7"/>
    </row>
    <row r="30" spans="1:12" x14ac:dyDescent="0.25">
      <c r="A30" s="5">
        <f t="shared" si="0"/>
        <v>1.0026999999999997</v>
      </c>
      <c r="B30" s="27" t="s">
        <v>88</v>
      </c>
      <c r="C30" s="6" t="s">
        <v>89</v>
      </c>
      <c r="D30" s="7"/>
      <c r="E30" s="7"/>
      <c r="F30" s="8" t="s">
        <v>7</v>
      </c>
      <c r="G30" s="8">
        <f t="shared" si="3"/>
        <v>0</v>
      </c>
      <c r="H30" s="8">
        <f t="shared" si="3"/>
        <v>0</v>
      </c>
      <c r="I30" s="8">
        <f t="shared" si="3"/>
        <v>0</v>
      </c>
      <c r="J30" s="8">
        <f t="shared" si="3"/>
        <v>1</v>
      </c>
      <c r="K30" s="8">
        <f t="shared" si="3"/>
        <v>0</v>
      </c>
      <c r="L30" s="7"/>
    </row>
    <row r="31" spans="1:12" s="20" customFormat="1" x14ac:dyDescent="0.25">
      <c r="A31" s="5">
        <f t="shared" si="0"/>
        <v>1.0027999999999997</v>
      </c>
      <c r="B31" s="17" t="s">
        <v>185</v>
      </c>
      <c r="C31" s="18"/>
      <c r="D31" s="17"/>
      <c r="E31" s="17"/>
      <c r="F31" s="19"/>
      <c r="G31" s="19"/>
      <c r="H31" s="19"/>
      <c r="I31" s="19"/>
      <c r="J31" s="19"/>
      <c r="K31" s="19"/>
      <c r="L31" s="17"/>
    </row>
    <row r="32" spans="1:12" x14ac:dyDescent="0.25">
      <c r="A32" s="5">
        <f t="shared" si="0"/>
        <v>1.0028999999999997</v>
      </c>
      <c r="B32" s="6" t="s">
        <v>163</v>
      </c>
      <c r="C32" s="6" t="s">
        <v>103</v>
      </c>
      <c r="D32" s="7"/>
      <c r="E32" s="7"/>
      <c r="F32" s="8" t="s">
        <v>7</v>
      </c>
      <c r="G32" s="8">
        <f t="shared" ref="G32:K37" si="4">IF($F32=G$1,1,0)</f>
        <v>0</v>
      </c>
      <c r="H32" s="8">
        <f t="shared" si="4"/>
        <v>0</v>
      </c>
      <c r="I32" s="8">
        <f t="shared" si="4"/>
        <v>0</v>
      </c>
      <c r="J32" s="8">
        <f t="shared" si="4"/>
        <v>1</v>
      </c>
      <c r="K32" s="8">
        <f t="shared" si="4"/>
        <v>0</v>
      </c>
      <c r="L32" s="7"/>
    </row>
    <row r="33" spans="1:12" x14ac:dyDescent="0.25">
      <c r="A33" s="5">
        <f t="shared" si="0"/>
        <v>1.0029999999999997</v>
      </c>
      <c r="B33" s="6" t="s">
        <v>104</v>
      </c>
      <c r="C33" s="6" t="s">
        <v>165</v>
      </c>
      <c r="D33" s="7"/>
      <c r="E33" s="7"/>
      <c r="F33" s="8" t="s">
        <v>7</v>
      </c>
      <c r="G33" s="8">
        <f t="shared" si="4"/>
        <v>0</v>
      </c>
      <c r="H33" s="8">
        <f t="shared" si="4"/>
        <v>0</v>
      </c>
      <c r="I33" s="8">
        <f t="shared" si="4"/>
        <v>0</v>
      </c>
      <c r="J33" s="8">
        <f t="shared" si="4"/>
        <v>1</v>
      </c>
      <c r="K33" s="8">
        <f t="shared" si="4"/>
        <v>0</v>
      </c>
      <c r="L33" s="7"/>
    </row>
    <row r="34" spans="1:12" x14ac:dyDescent="0.25">
      <c r="A34" s="5">
        <f t="shared" si="0"/>
        <v>1.0030999999999997</v>
      </c>
      <c r="B34" s="6" t="s">
        <v>15</v>
      </c>
      <c r="C34" s="6" t="s">
        <v>105</v>
      </c>
      <c r="D34" s="7"/>
      <c r="E34" s="7"/>
      <c r="F34" s="8" t="s">
        <v>7</v>
      </c>
      <c r="G34" s="8">
        <f t="shared" si="4"/>
        <v>0</v>
      </c>
      <c r="H34" s="8">
        <f t="shared" si="4"/>
        <v>0</v>
      </c>
      <c r="I34" s="8">
        <f t="shared" si="4"/>
        <v>0</v>
      </c>
      <c r="J34" s="8">
        <f t="shared" si="4"/>
        <v>1</v>
      </c>
      <c r="K34" s="8">
        <f t="shared" si="4"/>
        <v>0</v>
      </c>
      <c r="L34" s="7"/>
    </row>
    <row r="35" spans="1:12" x14ac:dyDescent="0.25">
      <c r="A35" s="5">
        <f t="shared" si="0"/>
        <v>1.0031999999999996</v>
      </c>
      <c r="B35" s="6" t="s">
        <v>186</v>
      </c>
      <c r="C35" s="6" t="s">
        <v>103</v>
      </c>
      <c r="D35" s="7"/>
      <c r="E35" s="7"/>
      <c r="F35" s="8" t="s">
        <v>7</v>
      </c>
      <c r="G35" s="8">
        <f t="shared" si="4"/>
        <v>0</v>
      </c>
      <c r="H35" s="8">
        <f t="shared" si="4"/>
        <v>0</v>
      </c>
      <c r="I35" s="8">
        <f t="shared" si="4"/>
        <v>0</v>
      </c>
      <c r="J35" s="8">
        <f t="shared" si="4"/>
        <v>1</v>
      </c>
      <c r="K35" s="8">
        <f t="shared" si="4"/>
        <v>0</v>
      </c>
      <c r="L35" s="7"/>
    </row>
    <row r="36" spans="1:12" s="74" customFormat="1" x14ac:dyDescent="0.25">
      <c r="A36" s="5">
        <f t="shared" si="0"/>
        <v>1.0032999999999996</v>
      </c>
      <c r="B36" s="51" t="s">
        <v>104</v>
      </c>
      <c r="C36" s="51" t="s">
        <v>166</v>
      </c>
      <c r="D36" s="50"/>
      <c r="E36" s="50"/>
      <c r="F36" s="8" t="s">
        <v>7</v>
      </c>
      <c r="G36" s="8">
        <f t="shared" si="4"/>
        <v>0</v>
      </c>
      <c r="H36" s="8">
        <f t="shared" si="4"/>
        <v>0</v>
      </c>
      <c r="I36" s="8">
        <f t="shared" si="4"/>
        <v>0</v>
      </c>
      <c r="J36" s="8">
        <f t="shared" si="4"/>
        <v>1</v>
      </c>
      <c r="K36" s="8">
        <f t="shared" si="4"/>
        <v>0</v>
      </c>
      <c r="L36" s="50"/>
    </row>
    <row r="37" spans="1:12" s="74" customFormat="1" x14ac:dyDescent="0.25">
      <c r="A37" s="5">
        <f t="shared" si="0"/>
        <v>1.0033999999999996</v>
      </c>
      <c r="B37" s="6" t="s">
        <v>15</v>
      </c>
      <c r="C37" s="6" t="s">
        <v>105</v>
      </c>
      <c r="D37" s="50"/>
      <c r="E37" s="50"/>
      <c r="F37" s="8" t="s">
        <v>7</v>
      </c>
      <c r="G37" s="8">
        <f t="shared" si="4"/>
        <v>0</v>
      </c>
      <c r="H37" s="8">
        <f t="shared" si="4"/>
        <v>0</v>
      </c>
      <c r="I37" s="8">
        <f t="shared" si="4"/>
        <v>0</v>
      </c>
      <c r="J37" s="8">
        <f t="shared" si="4"/>
        <v>1</v>
      </c>
      <c r="K37" s="59">
        <f t="shared" si="4"/>
        <v>0</v>
      </c>
      <c r="L37" s="50"/>
    </row>
    <row r="38" spans="1:12" s="74" customFormat="1" x14ac:dyDescent="0.25">
      <c r="A38" s="5">
        <f t="shared" si="0"/>
        <v>1.0034999999999996</v>
      </c>
      <c r="B38" s="6"/>
      <c r="C38" s="6"/>
      <c r="D38" s="50"/>
      <c r="E38" s="50"/>
      <c r="F38" s="8"/>
      <c r="G38" s="8"/>
      <c r="H38" s="8"/>
      <c r="I38" s="8"/>
      <c r="J38" s="8"/>
      <c r="K38" s="59"/>
      <c r="L38" s="50"/>
    </row>
    <row r="39" spans="1:12" s="74" customFormat="1" x14ac:dyDescent="0.25">
      <c r="A39" s="5">
        <f t="shared" si="0"/>
        <v>1.0035999999999996</v>
      </c>
      <c r="B39" s="17" t="s">
        <v>48</v>
      </c>
      <c r="C39" s="17"/>
      <c r="D39" s="17"/>
      <c r="E39" s="17"/>
      <c r="F39" s="19"/>
      <c r="G39" s="19"/>
      <c r="H39" s="19"/>
      <c r="I39" s="8"/>
      <c r="J39" s="8"/>
      <c r="K39" s="59"/>
      <c r="L39" s="50"/>
    </row>
    <row r="40" spans="1:12" s="74" customFormat="1" x14ac:dyDescent="0.25">
      <c r="A40" s="5">
        <f t="shared" si="0"/>
        <v>1.0036999999999996</v>
      </c>
      <c r="B40" s="32" t="s">
        <v>24</v>
      </c>
      <c r="C40" s="27" t="s">
        <v>25</v>
      </c>
      <c r="D40" s="50"/>
      <c r="E40" s="50"/>
      <c r="F40" s="8" t="s">
        <v>7</v>
      </c>
      <c r="G40" s="8">
        <f t="shared" ref="G40:K61" si="5">IF($F40=G$1,1,0)</f>
        <v>0</v>
      </c>
      <c r="H40" s="8">
        <f t="shared" si="5"/>
        <v>0</v>
      </c>
      <c r="I40" s="8">
        <f t="shared" si="5"/>
        <v>0</v>
      </c>
      <c r="J40" s="8">
        <f t="shared" si="5"/>
        <v>1</v>
      </c>
      <c r="K40" s="8">
        <f t="shared" si="5"/>
        <v>0</v>
      </c>
      <c r="L40" s="50"/>
    </row>
    <row r="41" spans="1:12" s="74" customFormat="1" x14ac:dyDescent="0.25">
      <c r="A41" s="5">
        <f t="shared" si="0"/>
        <v>1.0037999999999996</v>
      </c>
      <c r="B41" s="7"/>
      <c r="C41" s="6" t="s">
        <v>26</v>
      </c>
      <c r="D41" s="50"/>
      <c r="E41" s="50"/>
      <c r="F41" s="8" t="s">
        <v>7</v>
      </c>
      <c r="G41" s="8">
        <f t="shared" si="5"/>
        <v>0</v>
      </c>
      <c r="H41" s="8">
        <f t="shared" si="5"/>
        <v>0</v>
      </c>
      <c r="I41" s="8">
        <f t="shared" si="5"/>
        <v>0</v>
      </c>
      <c r="J41" s="8">
        <f t="shared" si="5"/>
        <v>1</v>
      </c>
      <c r="K41" s="8">
        <f t="shared" si="5"/>
        <v>0</v>
      </c>
      <c r="L41" s="50"/>
    </row>
    <row r="42" spans="1:12" s="74" customFormat="1" x14ac:dyDescent="0.25">
      <c r="A42" s="5">
        <f t="shared" si="0"/>
        <v>1.0038999999999996</v>
      </c>
      <c r="B42" s="7"/>
      <c r="C42" s="6" t="s">
        <v>27</v>
      </c>
      <c r="D42" s="50"/>
      <c r="E42" s="50"/>
      <c r="F42" s="8" t="s">
        <v>7</v>
      </c>
      <c r="G42" s="8">
        <f t="shared" si="5"/>
        <v>0</v>
      </c>
      <c r="H42" s="8">
        <f t="shared" si="5"/>
        <v>0</v>
      </c>
      <c r="I42" s="8">
        <f t="shared" si="5"/>
        <v>0</v>
      </c>
      <c r="J42" s="8">
        <f t="shared" si="5"/>
        <v>1</v>
      </c>
      <c r="K42" s="8">
        <f t="shared" si="5"/>
        <v>0</v>
      </c>
      <c r="L42" s="50"/>
    </row>
    <row r="43" spans="1:12" s="74" customFormat="1" x14ac:dyDescent="0.25">
      <c r="A43" s="5">
        <f t="shared" si="0"/>
        <v>1.0039999999999996</v>
      </c>
      <c r="B43" s="7"/>
      <c r="C43" s="6" t="s">
        <v>28</v>
      </c>
      <c r="D43" s="50"/>
      <c r="E43" s="50"/>
      <c r="F43" s="8" t="s">
        <v>7</v>
      </c>
      <c r="G43" s="8">
        <f t="shared" si="5"/>
        <v>0</v>
      </c>
      <c r="H43" s="8">
        <f t="shared" si="5"/>
        <v>0</v>
      </c>
      <c r="I43" s="8">
        <f t="shared" si="5"/>
        <v>0</v>
      </c>
      <c r="J43" s="8">
        <f t="shared" si="5"/>
        <v>1</v>
      </c>
      <c r="K43" s="8">
        <f t="shared" si="5"/>
        <v>0</v>
      </c>
      <c r="L43" s="50"/>
    </row>
    <row r="44" spans="1:12" s="74" customFormat="1" x14ac:dyDescent="0.25">
      <c r="A44" s="5">
        <f t="shared" si="0"/>
        <v>1.0040999999999995</v>
      </c>
      <c r="B44" s="7"/>
      <c r="C44" s="6" t="s">
        <v>90</v>
      </c>
      <c r="D44" s="50"/>
      <c r="E44" s="50"/>
      <c r="F44" s="8" t="s">
        <v>7</v>
      </c>
      <c r="G44" s="8">
        <f t="shared" si="5"/>
        <v>0</v>
      </c>
      <c r="H44" s="8">
        <f t="shared" si="5"/>
        <v>0</v>
      </c>
      <c r="I44" s="8">
        <f t="shared" si="5"/>
        <v>0</v>
      </c>
      <c r="J44" s="8">
        <f t="shared" si="5"/>
        <v>1</v>
      </c>
      <c r="K44" s="8">
        <f t="shared" si="5"/>
        <v>0</v>
      </c>
      <c r="L44" s="50"/>
    </row>
    <row r="45" spans="1:12" s="74" customFormat="1" x14ac:dyDescent="0.25">
      <c r="A45" s="5">
        <f t="shared" si="0"/>
        <v>1.0041999999999995</v>
      </c>
      <c r="B45" s="7"/>
      <c r="C45" s="60" t="s">
        <v>299</v>
      </c>
      <c r="D45" s="60"/>
      <c r="E45" s="60"/>
      <c r="F45" s="8" t="s">
        <v>7</v>
      </c>
      <c r="G45" s="8">
        <f t="shared" si="5"/>
        <v>0</v>
      </c>
      <c r="H45" s="8">
        <f t="shared" si="5"/>
        <v>0</v>
      </c>
      <c r="I45" s="8">
        <f t="shared" si="5"/>
        <v>0</v>
      </c>
      <c r="J45" s="8">
        <f t="shared" si="5"/>
        <v>1</v>
      </c>
      <c r="K45" s="8">
        <f t="shared" si="5"/>
        <v>0</v>
      </c>
      <c r="L45" s="50"/>
    </row>
    <row r="46" spans="1:12" s="74" customFormat="1" x14ac:dyDescent="0.25">
      <c r="A46" s="5">
        <f t="shared" si="0"/>
        <v>1.0042999999999995</v>
      </c>
      <c r="B46" s="7"/>
      <c r="C46" s="60" t="s">
        <v>424</v>
      </c>
      <c r="D46" s="60"/>
      <c r="E46" s="60"/>
      <c r="F46" s="8" t="s">
        <v>7</v>
      </c>
      <c r="G46" s="8">
        <f t="shared" si="5"/>
        <v>0</v>
      </c>
      <c r="H46" s="8">
        <f t="shared" si="5"/>
        <v>0</v>
      </c>
      <c r="I46" s="8">
        <f t="shared" si="5"/>
        <v>0</v>
      </c>
      <c r="J46" s="8">
        <f t="shared" si="5"/>
        <v>1</v>
      </c>
      <c r="K46" s="8">
        <f t="shared" si="5"/>
        <v>0</v>
      </c>
      <c r="L46" s="50"/>
    </row>
    <row r="47" spans="1:12" s="74" customFormat="1" x14ac:dyDescent="0.25">
      <c r="A47" s="5">
        <f t="shared" si="0"/>
        <v>1.0043999999999995</v>
      </c>
      <c r="B47" s="7"/>
      <c r="C47" s="6" t="s">
        <v>91</v>
      </c>
      <c r="D47" s="50"/>
      <c r="E47" s="50"/>
      <c r="F47" s="8" t="s">
        <v>7</v>
      </c>
      <c r="G47" s="8">
        <f t="shared" si="5"/>
        <v>0</v>
      </c>
      <c r="H47" s="8">
        <f t="shared" si="5"/>
        <v>0</v>
      </c>
      <c r="I47" s="8">
        <f t="shared" si="5"/>
        <v>0</v>
      </c>
      <c r="J47" s="8">
        <f t="shared" si="5"/>
        <v>1</v>
      </c>
      <c r="K47" s="8">
        <f t="shared" si="5"/>
        <v>0</v>
      </c>
      <c r="L47" s="50"/>
    </row>
    <row r="48" spans="1:12" s="74" customFormat="1" x14ac:dyDescent="0.25">
      <c r="A48" s="5">
        <f t="shared" si="0"/>
        <v>1.0044999999999995</v>
      </c>
      <c r="B48" s="7"/>
      <c r="C48" s="6" t="s">
        <v>92</v>
      </c>
      <c r="D48" s="50"/>
      <c r="E48" s="50"/>
      <c r="F48" s="8" t="s">
        <v>7</v>
      </c>
      <c r="G48" s="8">
        <f t="shared" si="5"/>
        <v>0</v>
      </c>
      <c r="H48" s="8">
        <f t="shared" si="5"/>
        <v>0</v>
      </c>
      <c r="I48" s="8">
        <f t="shared" si="5"/>
        <v>0</v>
      </c>
      <c r="J48" s="8">
        <f t="shared" si="5"/>
        <v>1</v>
      </c>
      <c r="K48" s="8">
        <f t="shared" si="5"/>
        <v>0</v>
      </c>
      <c r="L48" s="50"/>
    </row>
    <row r="49" spans="1:12" s="74" customFormat="1" x14ac:dyDescent="0.25">
      <c r="A49" s="5">
        <f t="shared" si="0"/>
        <v>1.0045999999999995</v>
      </c>
      <c r="B49" s="7"/>
      <c r="C49" s="6" t="s">
        <v>93</v>
      </c>
      <c r="D49" s="50"/>
      <c r="E49" s="50"/>
      <c r="F49" s="8" t="s">
        <v>7</v>
      </c>
      <c r="G49" s="8">
        <f t="shared" si="5"/>
        <v>0</v>
      </c>
      <c r="H49" s="8">
        <f t="shared" si="5"/>
        <v>0</v>
      </c>
      <c r="I49" s="8">
        <f t="shared" si="5"/>
        <v>0</v>
      </c>
      <c r="J49" s="8">
        <f t="shared" si="5"/>
        <v>1</v>
      </c>
      <c r="K49" s="8">
        <f t="shared" si="5"/>
        <v>0</v>
      </c>
      <c r="L49" s="50"/>
    </row>
    <row r="50" spans="1:12" s="74" customFormat="1" x14ac:dyDescent="0.25">
      <c r="A50" s="5">
        <f t="shared" si="0"/>
        <v>1.0046999999999995</v>
      </c>
      <c r="B50" s="32" t="s">
        <v>29</v>
      </c>
      <c r="C50" s="27" t="s">
        <v>30</v>
      </c>
      <c r="D50" s="50"/>
      <c r="E50" s="50"/>
      <c r="F50" s="8" t="s">
        <v>7</v>
      </c>
      <c r="G50" s="8">
        <f t="shared" si="5"/>
        <v>0</v>
      </c>
      <c r="H50" s="8">
        <f t="shared" si="5"/>
        <v>0</v>
      </c>
      <c r="I50" s="8">
        <f t="shared" si="5"/>
        <v>0</v>
      </c>
      <c r="J50" s="8">
        <f t="shared" si="5"/>
        <v>1</v>
      </c>
      <c r="K50" s="8">
        <f t="shared" si="5"/>
        <v>0</v>
      </c>
      <c r="L50" s="50"/>
    </row>
    <row r="51" spans="1:12" s="74" customFormat="1" x14ac:dyDescent="0.25">
      <c r="A51" s="5">
        <f t="shared" si="0"/>
        <v>1.0047999999999995</v>
      </c>
      <c r="B51" s="7"/>
      <c r="C51" s="6" t="s">
        <v>94</v>
      </c>
      <c r="D51" s="50"/>
      <c r="E51" s="50"/>
      <c r="F51" s="8" t="s">
        <v>7</v>
      </c>
      <c r="G51" s="8">
        <f t="shared" si="5"/>
        <v>0</v>
      </c>
      <c r="H51" s="8">
        <f t="shared" si="5"/>
        <v>0</v>
      </c>
      <c r="I51" s="8">
        <f t="shared" si="5"/>
        <v>0</v>
      </c>
      <c r="J51" s="8">
        <f t="shared" si="5"/>
        <v>1</v>
      </c>
      <c r="K51" s="8">
        <f t="shared" si="5"/>
        <v>0</v>
      </c>
      <c r="L51" s="50"/>
    </row>
    <row r="52" spans="1:12" s="74" customFormat="1" x14ac:dyDescent="0.25">
      <c r="A52" s="5">
        <f t="shared" si="0"/>
        <v>1.0048999999999995</v>
      </c>
      <c r="B52" s="7"/>
      <c r="C52" s="6" t="s">
        <v>31</v>
      </c>
      <c r="D52" s="50"/>
      <c r="E52" s="50"/>
      <c r="F52" s="8" t="s">
        <v>7</v>
      </c>
      <c r="G52" s="8">
        <f t="shared" si="5"/>
        <v>0</v>
      </c>
      <c r="H52" s="8">
        <f t="shared" si="5"/>
        <v>0</v>
      </c>
      <c r="I52" s="8">
        <f t="shared" si="5"/>
        <v>0</v>
      </c>
      <c r="J52" s="8">
        <f t="shared" si="5"/>
        <v>1</v>
      </c>
      <c r="K52" s="8">
        <f t="shared" si="5"/>
        <v>0</v>
      </c>
      <c r="L52" s="50"/>
    </row>
    <row r="53" spans="1:12" s="74" customFormat="1" x14ac:dyDescent="0.25">
      <c r="A53" s="5">
        <f t="shared" si="0"/>
        <v>1.0049999999999994</v>
      </c>
      <c r="B53" s="6"/>
      <c r="C53" s="6" t="s">
        <v>289</v>
      </c>
      <c r="D53" s="50"/>
      <c r="E53" s="50"/>
      <c r="F53" s="8" t="s">
        <v>7</v>
      </c>
      <c r="G53" s="8">
        <f t="shared" si="5"/>
        <v>0</v>
      </c>
      <c r="H53" s="8">
        <f t="shared" si="5"/>
        <v>0</v>
      </c>
      <c r="I53" s="8">
        <f t="shared" si="5"/>
        <v>0</v>
      </c>
      <c r="J53" s="8">
        <f t="shared" si="5"/>
        <v>1</v>
      </c>
      <c r="K53" s="8">
        <f t="shared" si="5"/>
        <v>0</v>
      </c>
      <c r="L53" s="50"/>
    </row>
    <row r="54" spans="1:12" s="74" customFormat="1" x14ac:dyDescent="0.25">
      <c r="A54" s="5">
        <f t="shared" si="0"/>
        <v>1.0050999999999994</v>
      </c>
      <c r="B54" s="7"/>
      <c r="C54" s="6" t="s">
        <v>95</v>
      </c>
      <c r="D54" s="50"/>
      <c r="E54" s="50"/>
      <c r="F54" s="8" t="s">
        <v>7</v>
      </c>
      <c r="G54" s="8">
        <f t="shared" si="5"/>
        <v>0</v>
      </c>
      <c r="H54" s="8">
        <f t="shared" si="5"/>
        <v>0</v>
      </c>
      <c r="I54" s="8">
        <f t="shared" si="5"/>
        <v>0</v>
      </c>
      <c r="J54" s="8">
        <f t="shared" si="5"/>
        <v>1</v>
      </c>
      <c r="K54" s="8">
        <f t="shared" si="5"/>
        <v>0</v>
      </c>
      <c r="L54" s="50"/>
    </row>
    <row r="55" spans="1:12" s="74" customFormat="1" x14ac:dyDescent="0.25">
      <c r="A55" s="5">
        <f t="shared" si="0"/>
        <v>1.0051999999999994</v>
      </c>
      <c r="B55" s="7"/>
      <c r="C55" s="6" t="s">
        <v>96</v>
      </c>
      <c r="D55" s="50"/>
      <c r="E55" s="50"/>
      <c r="F55" s="8" t="s">
        <v>7</v>
      </c>
      <c r="G55" s="8">
        <f t="shared" si="5"/>
        <v>0</v>
      </c>
      <c r="H55" s="8">
        <f t="shared" si="5"/>
        <v>0</v>
      </c>
      <c r="I55" s="8">
        <f t="shared" si="5"/>
        <v>0</v>
      </c>
      <c r="J55" s="8">
        <f t="shared" si="5"/>
        <v>1</v>
      </c>
      <c r="K55" s="8">
        <f t="shared" si="5"/>
        <v>0</v>
      </c>
      <c r="L55" s="50"/>
    </row>
    <row r="56" spans="1:12" s="74" customFormat="1" x14ac:dyDescent="0.25">
      <c r="A56" s="5">
        <f t="shared" si="0"/>
        <v>1.0052999999999994</v>
      </c>
      <c r="B56" s="7"/>
      <c r="C56" s="6" t="s">
        <v>97</v>
      </c>
      <c r="D56" s="50"/>
      <c r="E56" s="50"/>
      <c r="F56" s="8" t="s">
        <v>7</v>
      </c>
      <c r="G56" s="8">
        <f t="shared" si="5"/>
        <v>0</v>
      </c>
      <c r="H56" s="8">
        <f t="shared" si="5"/>
        <v>0</v>
      </c>
      <c r="I56" s="8">
        <f t="shared" si="5"/>
        <v>0</v>
      </c>
      <c r="J56" s="8">
        <f t="shared" si="5"/>
        <v>1</v>
      </c>
      <c r="K56" s="8">
        <f t="shared" si="5"/>
        <v>0</v>
      </c>
      <c r="L56" s="50"/>
    </row>
    <row r="57" spans="1:12" s="74" customFormat="1" x14ac:dyDescent="0.25">
      <c r="A57" s="5">
        <f t="shared" si="0"/>
        <v>1.0053999999999994</v>
      </c>
      <c r="B57" s="7"/>
      <c r="C57" s="6" t="s">
        <v>98</v>
      </c>
      <c r="D57" s="50"/>
      <c r="E57" s="50"/>
      <c r="F57" s="8" t="s">
        <v>7</v>
      </c>
      <c r="G57" s="8">
        <f t="shared" si="5"/>
        <v>0</v>
      </c>
      <c r="H57" s="8">
        <f t="shared" si="5"/>
        <v>0</v>
      </c>
      <c r="I57" s="8">
        <f t="shared" si="5"/>
        <v>0</v>
      </c>
      <c r="J57" s="8">
        <f t="shared" si="5"/>
        <v>1</v>
      </c>
      <c r="K57" s="8">
        <f t="shared" si="5"/>
        <v>0</v>
      </c>
      <c r="L57" s="50"/>
    </row>
    <row r="58" spans="1:12" s="74" customFormat="1" x14ac:dyDescent="0.25">
      <c r="A58" s="5">
        <f t="shared" si="0"/>
        <v>1.0054999999999994</v>
      </c>
      <c r="B58" s="7"/>
      <c r="C58" s="6" t="s">
        <v>99</v>
      </c>
      <c r="D58" s="50"/>
      <c r="E58" s="50"/>
      <c r="F58" s="8" t="s">
        <v>7</v>
      </c>
      <c r="G58" s="8">
        <f t="shared" si="5"/>
        <v>0</v>
      </c>
      <c r="H58" s="8">
        <f t="shared" si="5"/>
        <v>0</v>
      </c>
      <c r="I58" s="8">
        <f t="shared" si="5"/>
        <v>0</v>
      </c>
      <c r="J58" s="8">
        <f t="shared" si="5"/>
        <v>1</v>
      </c>
      <c r="K58" s="8">
        <f t="shared" si="5"/>
        <v>0</v>
      </c>
      <c r="L58" s="50"/>
    </row>
    <row r="59" spans="1:12" s="74" customFormat="1" x14ac:dyDescent="0.25">
      <c r="A59" s="5">
        <f t="shared" si="0"/>
        <v>1.0055999999999994</v>
      </c>
      <c r="B59" s="7"/>
      <c r="C59" s="6" t="s">
        <v>100</v>
      </c>
      <c r="D59" s="50"/>
      <c r="E59" s="50"/>
      <c r="F59" s="8" t="s">
        <v>7</v>
      </c>
      <c r="G59" s="8">
        <f t="shared" si="5"/>
        <v>0</v>
      </c>
      <c r="H59" s="8">
        <f t="shared" si="5"/>
        <v>0</v>
      </c>
      <c r="I59" s="8">
        <f t="shared" si="5"/>
        <v>0</v>
      </c>
      <c r="J59" s="8">
        <f t="shared" si="5"/>
        <v>1</v>
      </c>
      <c r="K59" s="8">
        <f t="shared" si="5"/>
        <v>0</v>
      </c>
      <c r="L59" s="50"/>
    </row>
    <row r="60" spans="1:12" s="74" customFormat="1" x14ac:dyDescent="0.25">
      <c r="A60" s="5">
        <f t="shared" si="0"/>
        <v>1.0056999999999994</v>
      </c>
      <c r="B60" s="7"/>
      <c r="C60" s="6" t="s">
        <v>101</v>
      </c>
      <c r="D60" s="50"/>
      <c r="E60" s="50"/>
      <c r="F60" s="8" t="s">
        <v>7</v>
      </c>
      <c r="G60" s="8">
        <f t="shared" si="5"/>
        <v>0</v>
      </c>
      <c r="H60" s="8">
        <f t="shared" si="5"/>
        <v>0</v>
      </c>
      <c r="I60" s="8">
        <f t="shared" si="5"/>
        <v>0</v>
      </c>
      <c r="J60" s="8">
        <f t="shared" si="5"/>
        <v>1</v>
      </c>
      <c r="K60" s="8">
        <f t="shared" si="5"/>
        <v>0</v>
      </c>
      <c r="L60" s="50"/>
    </row>
    <row r="61" spans="1:12" s="74" customFormat="1" x14ac:dyDescent="0.25">
      <c r="A61" s="5">
        <f t="shared" si="0"/>
        <v>1.0057999999999994</v>
      </c>
      <c r="B61" s="6"/>
      <c r="C61" s="6" t="s">
        <v>102</v>
      </c>
      <c r="D61" s="50"/>
      <c r="E61" s="50"/>
      <c r="F61" s="8" t="s">
        <v>7</v>
      </c>
      <c r="G61" s="8">
        <f t="shared" si="5"/>
        <v>0</v>
      </c>
      <c r="H61" s="8">
        <f t="shared" si="5"/>
        <v>0</v>
      </c>
      <c r="I61" s="8">
        <f t="shared" si="5"/>
        <v>0</v>
      </c>
      <c r="J61" s="8">
        <f t="shared" si="5"/>
        <v>1</v>
      </c>
      <c r="K61" s="8">
        <f t="shared" si="5"/>
        <v>0</v>
      </c>
      <c r="L61" s="50"/>
    </row>
    <row r="62" spans="1:12" x14ac:dyDescent="0.25">
      <c r="A62" s="5">
        <f t="shared" si="0"/>
        <v>1.0058999999999994</v>
      </c>
      <c r="B62" s="6"/>
      <c r="C62" s="6"/>
      <c r="D62" s="7"/>
      <c r="E62" s="7"/>
      <c r="F62" s="8"/>
      <c r="G62" s="8"/>
      <c r="H62" s="8"/>
      <c r="I62" s="8"/>
      <c r="J62" s="8"/>
      <c r="K62" s="8"/>
      <c r="L62" s="7"/>
    </row>
    <row r="63" spans="1:12" s="20" customFormat="1" x14ac:dyDescent="0.25">
      <c r="A63" s="5">
        <f t="shared" si="0"/>
        <v>1.0059999999999993</v>
      </c>
      <c r="B63" s="17" t="s">
        <v>36</v>
      </c>
      <c r="C63" s="18"/>
      <c r="D63" s="17"/>
      <c r="E63" s="17"/>
      <c r="F63" s="19"/>
      <c r="G63" s="19"/>
      <c r="H63" s="19"/>
      <c r="I63" s="19"/>
      <c r="J63" s="19"/>
      <c r="K63" s="19"/>
      <c r="L63" s="17"/>
    </row>
    <row r="64" spans="1:12" ht="25.5" x14ac:dyDescent="0.25">
      <c r="A64" s="5">
        <f t="shared" si="0"/>
        <v>1.0060999999999993</v>
      </c>
      <c r="B64" s="7" t="s">
        <v>106</v>
      </c>
      <c r="C64" s="6" t="s">
        <v>107</v>
      </c>
      <c r="D64" s="7"/>
      <c r="E64" s="7"/>
      <c r="F64" s="8" t="s">
        <v>7</v>
      </c>
      <c r="G64" s="8">
        <f t="shared" ref="G64:K67" si="6">IF($F64=G$1,1,0)</f>
        <v>0</v>
      </c>
      <c r="H64" s="8">
        <f t="shared" si="6"/>
        <v>0</v>
      </c>
      <c r="I64" s="8">
        <f t="shared" si="6"/>
        <v>0</v>
      </c>
      <c r="J64" s="8">
        <f t="shared" si="6"/>
        <v>1</v>
      </c>
      <c r="K64" s="8">
        <f t="shared" si="6"/>
        <v>0</v>
      </c>
      <c r="L64" s="7"/>
    </row>
    <row r="65" spans="1:12" x14ac:dyDescent="0.25">
      <c r="A65" s="5">
        <f t="shared" si="0"/>
        <v>1.0061999999999993</v>
      </c>
      <c r="B65" s="7"/>
      <c r="C65" s="6" t="s">
        <v>108</v>
      </c>
      <c r="D65" s="7"/>
      <c r="E65" s="7"/>
      <c r="F65" s="8" t="s">
        <v>7</v>
      </c>
      <c r="G65" s="8">
        <f t="shared" si="6"/>
        <v>0</v>
      </c>
      <c r="H65" s="8">
        <f t="shared" si="6"/>
        <v>0</v>
      </c>
      <c r="I65" s="8">
        <f t="shared" si="6"/>
        <v>0</v>
      </c>
      <c r="J65" s="8">
        <f t="shared" si="6"/>
        <v>1</v>
      </c>
      <c r="K65" s="8">
        <f t="shared" si="6"/>
        <v>0</v>
      </c>
      <c r="L65" s="7"/>
    </row>
    <row r="66" spans="1:12" x14ac:dyDescent="0.25">
      <c r="A66" s="5">
        <f t="shared" si="0"/>
        <v>1.0062999999999993</v>
      </c>
      <c r="B66" s="7"/>
      <c r="C66" s="6" t="s">
        <v>109</v>
      </c>
      <c r="D66" s="7"/>
      <c r="E66" s="7"/>
      <c r="F66" s="8" t="s">
        <v>7</v>
      </c>
      <c r="G66" s="8">
        <f t="shared" si="6"/>
        <v>0</v>
      </c>
      <c r="H66" s="8">
        <f t="shared" si="6"/>
        <v>0</v>
      </c>
      <c r="I66" s="8">
        <f t="shared" si="6"/>
        <v>0</v>
      </c>
      <c r="J66" s="8">
        <f t="shared" si="6"/>
        <v>1</v>
      </c>
      <c r="K66" s="8">
        <f t="shared" si="6"/>
        <v>0</v>
      </c>
      <c r="L66" s="7"/>
    </row>
    <row r="67" spans="1:12" x14ac:dyDescent="0.25">
      <c r="A67" s="5">
        <f t="shared" si="0"/>
        <v>1.0063999999999993</v>
      </c>
      <c r="B67" s="7"/>
      <c r="C67" s="6" t="s">
        <v>37</v>
      </c>
      <c r="D67" s="7"/>
      <c r="E67" s="7"/>
      <c r="F67" s="8" t="s">
        <v>7</v>
      </c>
      <c r="G67" s="8">
        <f t="shared" si="6"/>
        <v>0</v>
      </c>
      <c r="H67" s="8">
        <f t="shared" si="6"/>
        <v>0</v>
      </c>
      <c r="I67" s="8">
        <f t="shared" si="6"/>
        <v>0</v>
      </c>
      <c r="J67" s="8">
        <f t="shared" si="6"/>
        <v>1</v>
      </c>
      <c r="K67" s="8">
        <f t="shared" si="6"/>
        <v>0</v>
      </c>
      <c r="L67" s="7"/>
    </row>
    <row r="68" spans="1:12" s="20" customFormat="1" x14ac:dyDescent="0.25">
      <c r="A68" s="5">
        <f t="shared" ref="A68:A134" si="7">A67+0.0001</f>
        <v>1.0064999999999993</v>
      </c>
      <c r="B68" s="17" t="s">
        <v>315</v>
      </c>
      <c r="C68" s="18" t="s">
        <v>312</v>
      </c>
      <c r="D68" s="17"/>
      <c r="E68" s="17"/>
      <c r="F68" s="19"/>
      <c r="G68" s="19"/>
      <c r="H68" s="19"/>
      <c r="I68" s="19"/>
      <c r="J68" s="19"/>
      <c r="K68" s="19"/>
      <c r="L68" s="17"/>
    </row>
    <row r="69" spans="1:12" x14ac:dyDescent="0.25">
      <c r="A69" s="5">
        <f t="shared" si="7"/>
        <v>1.0065999999999993</v>
      </c>
      <c r="B69" s="7" t="s">
        <v>288</v>
      </c>
      <c r="C69" s="6" t="s">
        <v>274</v>
      </c>
      <c r="D69" s="7"/>
      <c r="E69" s="7"/>
      <c r="F69" s="8" t="s">
        <v>7</v>
      </c>
      <c r="G69" s="8">
        <f t="shared" ref="G69:K86" si="8">IF($F69=G$1,1,0)</f>
        <v>0</v>
      </c>
      <c r="H69" s="8">
        <f t="shared" si="8"/>
        <v>0</v>
      </c>
      <c r="I69" s="8">
        <f t="shared" si="8"/>
        <v>0</v>
      </c>
      <c r="J69" s="8">
        <f t="shared" si="8"/>
        <v>1</v>
      </c>
      <c r="K69" s="8">
        <f t="shared" si="8"/>
        <v>0</v>
      </c>
      <c r="L69" s="7"/>
    </row>
    <row r="70" spans="1:12" x14ac:dyDescent="0.25">
      <c r="A70" s="5">
        <f t="shared" si="7"/>
        <v>1.0066999999999993</v>
      </c>
      <c r="B70" s="7" t="s">
        <v>275</v>
      </c>
      <c r="C70" s="6" t="s">
        <v>111</v>
      </c>
      <c r="D70" s="7"/>
      <c r="E70" s="7"/>
      <c r="F70" s="8" t="s">
        <v>7</v>
      </c>
      <c r="G70" s="8">
        <f t="shared" si="8"/>
        <v>0</v>
      </c>
      <c r="H70" s="8">
        <f t="shared" si="8"/>
        <v>0</v>
      </c>
      <c r="I70" s="8">
        <f t="shared" si="8"/>
        <v>0</v>
      </c>
      <c r="J70" s="8">
        <f t="shared" si="8"/>
        <v>1</v>
      </c>
      <c r="K70" s="8">
        <f t="shared" si="8"/>
        <v>0</v>
      </c>
      <c r="L70" s="7"/>
    </row>
    <row r="71" spans="1:12" x14ac:dyDescent="0.25">
      <c r="A71" s="5">
        <f t="shared" si="7"/>
        <v>1.0067999999999993</v>
      </c>
      <c r="B71" s="7" t="s">
        <v>112</v>
      </c>
      <c r="C71" s="27" t="s">
        <v>113</v>
      </c>
      <c r="D71" s="7"/>
      <c r="E71" s="7"/>
      <c r="F71" s="8" t="s">
        <v>7</v>
      </c>
      <c r="G71" s="8">
        <f t="shared" si="8"/>
        <v>0</v>
      </c>
      <c r="H71" s="8">
        <f t="shared" si="8"/>
        <v>0</v>
      </c>
      <c r="I71" s="8">
        <f t="shared" si="8"/>
        <v>0</v>
      </c>
      <c r="J71" s="8">
        <f t="shared" si="8"/>
        <v>1</v>
      </c>
      <c r="K71" s="8">
        <f t="shared" si="8"/>
        <v>0</v>
      </c>
      <c r="L71" s="7"/>
    </row>
    <row r="72" spans="1:12" x14ac:dyDescent="0.25">
      <c r="A72" s="5">
        <f t="shared" si="7"/>
        <v>1.0068999999999992</v>
      </c>
      <c r="B72" s="7"/>
      <c r="C72" s="27" t="s">
        <v>114</v>
      </c>
      <c r="D72" s="7"/>
      <c r="E72" s="7"/>
      <c r="F72" s="8" t="s">
        <v>7</v>
      </c>
      <c r="G72" s="8">
        <f t="shared" si="8"/>
        <v>0</v>
      </c>
      <c r="H72" s="8">
        <f t="shared" si="8"/>
        <v>0</v>
      </c>
      <c r="I72" s="8">
        <f t="shared" si="8"/>
        <v>0</v>
      </c>
      <c r="J72" s="8">
        <f t="shared" si="8"/>
        <v>1</v>
      </c>
      <c r="K72" s="8">
        <f t="shared" si="8"/>
        <v>0</v>
      </c>
      <c r="L72" s="7"/>
    </row>
    <row r="73" spans="1:12" x14ac:dyDescent="0.25">
      <c r="A73" s="5">
        <f t="shared" si="7"/>
        <v>1.0069999999999992</v>
      </c>
      <c r="B73" s="7"/>
      <c r="C73" s="6" t="s">
        <v>115</v>
      </c>
      <c r="D73" s="7"/>
      <c r="E73" s="7"/>
      <c r="F73" s="8" t="s">
        <v>7</v>
      </c>
      <c r="G73" s="8">
        <f t="shared" si="8"/>
        <v>0</v>
      </c>
      <c r="H73" s="8">
        <f t="shared" si="8"/>
        <v>0</v>
      </c>
      <c r="I73" s="8">
        <f t="shared" si="8"/>
        <v>0</v>
      </c>
      <c r="J73" s="8">
        <f t="shared" si="8"/>
        <v>1</v>
      </c>
      <c r="K73" s="8">
        <f t="shared" si="8"/>
        <v>0</v>
      </c>
      <c r="L73" s="7"/>
    </row>
    <row r="74" spans="1:12" x14ac:dyDescent="0.25">
      <c r="A74" s="5">
        <f t="shared" si="7"/>
        <v>1.0070999999999992</v>
      </c>
      <c r="B74" s="7"/>
      <c r="C74" s="27" t="s">
        <v>116</v>
      </c>
      <c r="D74" s="7"/>
      <c r="E74" s="7"/>
      <c r="F74" s="8" t="s">
        <v>7</v>
      </c>
      <c r="G74" s="8">
        <f t="shared" si="8"/>
        <v>0</v>
      </c>
      <c r="H74" s="8">
        <f t="shared" si="8"/>
        <v>0</v>
      </c>
      <c r="I74" s="8">
        <f t="shared" si="8"/>
        <v>0</v>
      </c>
      <c r="J74" s="8">
        <f t="shared" si="8"/>
        <v>1</v>
      </c>
      <c r="K74" s="8">
        <f t="shared" si="8"/>
        <v>0</v>
      </c>
      <c r="L74" s="7"/>
    </row>
    <row r="75" spans="1:12" x14ac:dyDescent="0.25">
      <c r="A75" s="5">
        <f t="shared" si="7"/>
        <v>1.0071999999999992</v>
      </c>
      <c r="B75" s="60" t="s">
        <v>429</v>
      </c>
      <c r="C75" s="62" t="s">
        <v>425</v>
      </c>
      <c r="D75" s="60"/>
      <c r="E75" s="60"/>
      <c r="F75" s="8" t="s">
        <v>7</v>
      </c>
      <c r="G75" s="8">
        <f t="shared" si="8"/>
        <v>0</v>
      </c>
      <c r="H75" s="8">
        <f t="shared" si="8"/>
        <v>0</v>
      </c>
      <c r="I75" s="8">
        <f t="shared" si="8"/>
        <v>0</v>
      </c>
      <c r="J75" s="8">
        <f t="shared" si="8"/>
        <v>1</v>
      </c>
      <c r="K75" s="8">
        <f t="shared" si="8"/>
        <v>0</v>
      </c>
      <c r="L75" s="7"/>
    </row>
    <row r="76" spans="1:12" x14ac:dyDescent="0.25">
      <c r="A76" s="5"/>
      <c r="B76" s="60" t="s">
        <v>428</v>
      </c>
      <c r="C76" s="62" t="s">
        <v>427</v>
      </c>
      <c r="D76" s="60"/>
      <c r="E76" s="60"/>
      <c r="F76" s="8"/>
      <c r="G76" s="8"/>
      <c r="H76" s="8"/>
      <c r="I76" s="8"/>
      <c r="J76" s="8"/>
      <c r="K76" s="8"/>
      <c r="L76" s="7"/>
    </row>
    <row r="77" spans="1:12" x14ac:dyDescent="0.25">
      <c r="A77" s="5">
        <f>A75+0.0001</f>
        <v>1.0072999999999992</v>
      </c>
      <c r="B77" s="6"/>
      <c r="C77" s="6" t="s">
        <v>117</v>
      </c>
      <c r="D77" s="7"/>
      <c r="E77" s="7"/>
      <c r="F77" s="8" t="s">
        <v>7</v>
      </c>
      <c r="G77" s="8">
        <f t="shared" si="8"/>
        <v>0</v>
      </c>
      <c r="H77" s="8">
        <f t="shared" si="8"/>
        <v>0</v>
      </c>
      <c r="I77" s="8">
        <f t="shared" si="8"/>
        <v>0</v>
      </c>
      <c r="J77" s="8">
        <f t="shared" si="8"/>
        <v>1</v>
      </c>
      <c r="K77" s="8">
        <f t="shared" si="8"/>
        <v>0</v>
      </c>
      <c r="L77" s="7"/>
    </row>
    <row r="78" spans="1:12" x14ac:dyDescent="0.25">
      <c r="A78" s="5">
        <f t="shared" si="7"/>
        <v>1.0073999999999992</v>
      </c>
      <c r="B78" s="6"/>
      <c r="C78" s="6" t="s">
        <v>118</v>
      </c>
      <c r="D78" s="7"/>
      <c r="E78" s="7"/>
      <c r="F78" s="8" t="s">
        <v>7</v>
      </c>
      <c r="G78" s="8">
        <f t="shared" si="8"/>
        <v>0</v>
      </c>
      <c r="H78" s="8">
        <f t="shared" si="8"/>
        <v>0</v>
      </c>
      <c r="I78" s="8">
        <f t="shared" si="8"/>
        <v>0</v>
      </c>
      <c r="J78" s="8">
        <f t="shared" si="8"/>
        <v>1</v>
      </c>
      <c r="K78" s="8">
        <f t="shared" si="8"/>
        <v>0</v>
      </c>
      <c r="L78" s="7"/>
    </row>
    <row r="79" spans="1:12" x14ac:dyDescent="0.25">
      <c r="A79" s="5">
        <f t="shared" si="7"/>
        <v>1.0074999999999992</v>
      </c>
      <c r="B79" s="6"/>
      <c r="C79" s="6" t="s">
        <v>119</v>
      </c>
      <c r="D79" s="7"/>
      <c r="E79" s="7"/>
      <c r="F79" s="8" t="s">
        <v>7</v>
      </c>
      <c r="G79" s="8">
        <f t="shared" si="8"/>
        <v>0</v>
      </c>
      <c r="H79" s="8">
        <f t="shared" si="8"/>
        <v>0</v>
      </c>
      <c r="I79" s="8">
        <f t="shared" si="8"/>
        <v>0</v>
      </c>
      <c r="J79" s="8">
        <f t="shared" si="8"/>
        <v>1</v>
      </c>
      <c r="K79" s="8">
        <f t="shared" si="8"/>
        <v>0</v>
      </c>
      <c r="L79" s="7"/>
    </row>
    <row r="80" spans="1:12" x14ac:dyDescent="0.25">
      <c r="A80" s="5">
        <f t="shared" si="7"/>
        <v>1.0075999999999992</v>
      </c>
      <c r="B80" s="6" t="s">
        <v>120</v>
      </c>
      <c r="C80" s="6" t="s">
        <v>276</v>
      </c>
      <c r="D80" s="7"/>
      <c r="E80" s="7"/>
      <c r="F80" s="8" t="s">
        <v>7</v>
      </c>
      <c r="G80" s="8">
        <f t="shared" si="8"/>
        <v>0</v>
      </c>
      <c r="H80" s="8">
        <f t="shared" si="8"/>
        <v>0</v>
      </c>
      <c r="I80" s="8">
        <f t="shared" si="8"/>
        <v>0</v>
      </c>
      <c r="J80" s="8">
        <f t="shared" si="8"/>
        <v>1</v>
      </c>
      <c r="K80" s="8">
        <f t="shared" si="8"/>
        <v>0</v>
      </c>
      <c r="L80" s="7"/>
    </row>
    <row r="81" spans="1:12" x14ac:dyDescent="0.25">
      <c r="A81" s="5">
        <f t="shared" si="7"/>
        <v>1.0076999999999992</v>
      </c>
      <c r="B81" s="6" t="s">
        <v>277</v>
      </c>
      <c r="C81" s="27" t="s">
        <v>278</v>
      </c>
      <c r="D81" s="7"/>
      <c r="E81" s="7"/>
      <c r="F81" s="8" t="s">
        <v>7</v>
      </c>
      <c r="G81" s="8">
        <f t="shared" si="8"/>
        <v>0</v>
      </c>
      <c r="H81" s="8">
        <f t="shared" si="8"/>
        <v>0</v>
      </c>
      <c r="I81" s="8">
        <f t="shared" si="8"/>
        <v>0</v>
      </c>
      <c r="J81" s="8">
        <f t="shared" si="8"/>
        <v>1</v>
      </c>
      <c r="K81" s="8">
        <f t="shared" si="8"/>
        <v>0</v>
      </c>
      <c r="L81" s="7"/>
    </row>
    <row r="82" spans="1:12" x14ac:dyDescent="0.25">
      <c r="A82" s="5">
        <f t="shared" si="7"/>
        <v>1.0077999999999991</v>
      </c>
      <c r="B82" s="6"/>
      <c r="C82" s="6" t="s">
        <v>290</v>
      </c>
      <c r="D82" s="7"/>
      <c r="E82" s="7"/>
      <c r="F82" s="8" t="s">
        <v>7</v>
      </c>
      <c r="G82" s="8">
        <f t="shared" si="8"/>
        <v>0</v>
      </c>
      <c r="H82" s="8">
        <f t="shared" si="8"/>
        <v>0</v>
      </c>
      <c r="I82" s="8">
        <f t="shared" si="8"/>
        <v>0</v>
      </c>
      <c r="J82" s="8">
        <f t="shared" si="8"/>
        <v>1</v>
      </c>
      <c r="K82" s="8">
        <f t="shared" si="8"/>
        <v>0</v>
      </c>
      <c r="L82" s="7"/>
    </row>
    <row r="83" spans="1:12" x14ac:dyDescent="0.25">
      <c r="A83" s="5">
        <f t="shared" si="7"/>
        <v>1.0078999999999991</v>
      </c>
      <c r="B83" s="6"/>
      <c r="C83" s="6" t="s">
        <v>122</v>
      </c>
      <c r="D83" s="7"/>
      <c r="E83" s="7"/>
      <c r="F83" s="8" t="s">
        <v>7</v>
      </c>
      <c r="G83" s="8">
        <f t="shared" si="8"/>
        <v>0</v>
      </c>
      <c r="H83" s="8">
        <f t="shared" si="8"/>
        <v>0</v>
      </c>
      <c r="I83" s="8">
        <f t="shared" si="8"/>
        <v>0</v>
      </c>
      <c r="J83" s="8">
        <f t="shared" si="8"/>
        <v>1</v>
      </c>
      <c r="K83" s="8">
        <f t="shared" si="8"/>
        <v>0</v>
      </c>
      <c r="L83" s="7"/>
    </row>
    <row r="84" spans="1:12" x14ac:dyDescent="0.25">
      <c r="A84" s="5">
        <f t="shared" si="7"/>
        <v>1.0079999999999991</v>
      </c>
      <c r="B84" s="6"/>
      <c r="C84" s="27" t="s">
        <v>279</v>
      </c>
      <c r="D84" s="7"/>
      <c r="E84" s="7"/>
      <c r="F84" s="8" t="s">
        <v>7</v>
      </c>
      <c r="G84" s="8">
        <f t="shared" si="8"/>
        <v>0</v>
      </c>
      <c r="H84" s="8">
        <f t="shared" si="8"/>
        <v>0</v>
      </c>
      <c r="I84" s="8">
        <f t="shared" si="8"/>
        <v>0</v>
      </c>
      <c r="J84" s="8">
        <f t="shared" si="8"/>
        <v>1</v>
      </c>
      <c r="K84" s="8">
        <f t="shared" si="8"/>
        <v>0</v>
      </c>
      <c r="L84" s="7"/>
    </row>
    <row r="85" spans="1:12" x14ac:dyDescent="0.25">
      <c r="A85" s="5">
        <f t="shared" si="7"/>
        <v>1.0080999999999991</v>
      </c>
      <c r="B85" s="6"/>
      <c r="C85" s="6" t="s">
        <v>280</v>
      </c>
      <c r="D85" s="7"/>
      <c r="E85" s="7"/>
      <c r="F85" s="8" t="s">
        <v>7</v>
      </c>
      <c r="G85" s="8">
        <f t="shared" si="8"/>
        <v>0</v>
      </c>
      <c r="H85" s="8">
        <f t="shared" si="8"/>
        <v>0</v>
      </c>
      <c r="I85" s="8">
        <f t="shared" si="8"/>
        <v>0</v>
      </c>
      <c r="J85" s="8">
        <f t="shared" si="8"/>
        <v>1</v>
      </c>
      <c r="K85" s="8">
        <f t="shared" si="8"/>
        <v>0</v>
      </c>
      <c r="L85" s="7"/>
    </row>
    <row r="86" spans="1:12" x14ac:dyDescent="0.25">
      <c r="A86" s="5">
        <f t="shared" si="7"/>
        <v>1.0081999999999991</v>
      </c>
      <c r="B86" s="6" t="s">
        <v>291</v>
      </c>
      <c r="C86" s="6" t="s">
        <v>292</v>
      </c>
      <c r="D86" s="7"/>
      <c r="E86" s="7"/>
      <c r="F86" s="8" t="s">
        <v>7</v>
      </c>
      <c r="G86" s="8">
        <f t="shared" si="8"/>
        <v>0</v>
      </c>
      <c r="H86" s="8">
        <f t="shared" si="8"/>
        <v>0</v>
      </c>
      <c r="I86" s="8">
        <f t="shared" si="8"/>
        <v>0</v>
      </c>
      <c r="J86" s="8">
        <f t="shared" si="8"/>
        <v>1</v>
      </c>
      <c r="K86" s="8">
        <f t="shared" si="8"/>
        <v>0</v>
      </c>
      <c r="L86" s="7"/>
    </row>
    <row r="87" spans="1:12" x14ac:dyDescent="0.25">
      <c r="A87" s="5">
        <f t="shared" si="7"/>
        <v>1.0082999999999991</v>
      </c>
      <c r="B87" s="6"/>
      <c r="C87" s="6"/>
      <c r="D87" s="7"/>
      <c r="E87" s="7"/>
      <c r="F87" s="8"/>
      <c r="G87" s="8"/>
      <c r="H87" s="8"/>
      <c r="I87" s="8"/>
      <c r="J87" s="8"/>
      <c r="K87" s="8"/>
      <c r="L87" s="7"/>
    </row>
    <row r="88" spans="1:12" x14ac:dyDescent="0.25">
      <c r="A88" s="5">
        <f>A87+0.0001</f>
        <v>1.0083999999999991</v>
      </c>
      <c r="B88" s="17" t="s">
        <v>48</v>
      </c>
      <c r="C88" s="17"/>
      <c r="D88" s="17"/>
      <c r="E88" s="17"/>
      <c r="F88" s="19"/>
      <c r="G88" s="19"/>
      <c r="H88" s="19"/>
      <c r="I88" s="19"/>
      <c r="J88" s="19"/>
      <c r="K88" s="19"/>
      <c r="L88" s="17"/>
    </row>
    <row r="89" spans="1:12" x14ac:dyDescent="0.25">
      <c r="A89" s="5">
        <f t="shared" si="7"/>
        <v>1.0084999999999991</v>
      </c>
      <c r="B89" s="32" t="s">
        <v>24</v>
      </c>
      <c r="C89" s="27" t="s">
        <v>25</v>
      </c>
      <c r="D89" s="7"/>
      <c r="E89" s="7"/>
      <c r="F89" s="8" t="s">
        <v>7</v>
      </c>
      <c r="G89" s="8">
        <f t="shared" ref="G89:K106" si="9">IF($F89=G$1,1,0)</f>
        <v>0</v>
      </c>
      <c r="H89" s="8">
        <f t="shared" si="9"/>
        <v>0</v>
      </c>
      <c r="I89" s="8">
        <f t="shared" si="9"/>
        <v>0</v>
      </c>
      <c r="J89" s="8">
        <f t="shared" si="9"/>
        <v>1</v>
      </c>
      <c r="K89" s="8">
        <f t="shared" si="9"/>
        <v>0</v>
      </c>
      <c r="L89" s="7"/>
    </row>
    <row r="90" spans="1:12" x14ac:dyDescent="0.25">
      <c r="A90" s="5">
        <f t="shared" si="7"/>
        <v>1.0085999999999991</v>
      </c>
      <c r="B90" s="7"/>
      <c r="C90" s="6" t="s">
        <v>26</v>
      </c>
      <c r="D90" s="7"/>
      <c r="E90" s="7"/>
      <c r="F90" s="8" t="s">
        <v>7</v>
      </c>
      <c r="G90" s="8">
        <f t="shared" si="9"/>
        <v>0</v>
      </c>
      <c r="H90" s="8">
        <f t="shared" si="9"/>
        <v>0</v>
      </c>
      <c r="I90" s="8">
        <f t="shared" si="9"/>
        <v>0</v>
      </c>
      <c r="J90" s="8">
        <f t="shared" si="9"/>
        <v>1</v>
      </c>
      <c r="K90" s="8">
        <f t="shared" si="9"/>
        <v>0</v>
      </c>
      <c r="L90" s="7"/>
    </row>
    <row r="91" spans="1:12" x14ac:dyDescent="0.25">
      <c r="A91" s="5">
        <f t="shared" si="7"/>
        <v>1.008699999999999</v>
      </c>
      <c r="B91" s="7"/>
      <c r="C91" s="6" t="s">
        <v>123</v>
      </c>
      <c r="D91" s="7"/>
      <c r="E91" s="7"/>
      <c r="F91" s="8" t="s">
        <v>7</v>
      </c>
      <c r="G91" s="8">
        <f t="shared" si="9"/>
        <v>0</v>
      </c>
      <c r="H91" s="8">
        <f t="shared" si="9"/>
        <v>0</v>
      </c>
      <c r="I91" s="8">
        <f t="shared" si="9"/>
        <v>0</v>
      </c>
      <c r="J91" s="8">
        <f t="shared" si="9"/>
        <v>1</v>
      </c>
      <c r="K91" s="8">
        <f t="shared" si="9"/>
        <v>0</v>
      </c>
      <c r="L91" s="7"/>
    </row>
    <row r="92" spans="1:12" x14ac:dyDescent="0.25">
      <c r="A92" s="5">
        <f t="shared" si="7"/>
        <v>1.008799999999999</v>
      </c>
      <c r="B92" s="7"/>
      <c r="C92" s="6" t="s">
        <v>124</v>
      </c>
      <c r="D92" s="7"/>
      <c r="E92" s="7"/>
      <c r="F92" s="8" t="s">
        <v>7</v>
      </c>
      <c r="G92" s="8">
        <f t="shared" si="9"/>
        <v>0</v>
      </c>
      <c r="H92" s="8">
        <f t="shared" si="9"/>
        <v>0</v>
      </c>
      <c r="I92" s="8">
        <f t="shared" si="9"/>
        <v>0</v>
      </c>
      <c r="J92" s="8">
        <f t="shared" si="9"/>
        <v>1</v>
      </c>
      <c r="K92" s="8">
        <f t="shared" si="9"/>
        <v>0</v>
      </c>
      <c r="L92" s="7"/>
    </row>
    <row r="93" spans="1:12" x14ac:dyDescent="0.25">
      <c r="A93" s="5">
        <f t="shared" si="7"/>
        <v>1.008899999999999</v>
      </c>
      <c r="B93" s="7"/>
      <c r="C93" s="6" t="s">
        <v>125</v>
      </c>
      <c r="D93" s="7"/>
      <c r="E93" s="7"/>
      <c r="F93" s="8" t="s">
        <v>7</v>
      </c>
      <c r="G93" s="8">
        <f t="shared" si="9"/>
        <v>0</v>
      </c>
      <c r="H93" s="8">
        <f t="shared" si="9"/>
        <v>0</v>
      </c>
      <c r="I93" s="8">
        <f t="shared" si="9"/>
        <v>0</v>
      </c>
      <c r="J93" s="8">
        <f t="shared" si="9"/>
        <v>1</v>
      </c>
      <c r="K93" s="8">
        <f t="shared" si="9"/>
        <v>0</v>
      </c>
      <c r="L93" s="7"/>
    </row>
    <row r="94" spans="1:12" x14ac:dyDescent="0.25">
      <c r="A94" s="5">
        <f t="shared" si="7"/>
        <v>1.008999999999999</v>
      </c>
      <c r="B94" s="7"/>
      <c r="C94" s="60" t="s">
        <v>126</v>
      </c>
      <c r="D94" s="60"/>
      <c r="E94" s="60"/>
      <c r="F94" s="8" t="s">
        <v>7</v>
      </c>
      <c r="G94" s="8">
        <f t="shared" si="9"/>
        <v>0</v>
      </c>
      <c r="H94" s="8">
        <f t="shared" si="9"/>
        <v>0</v>
      </c>
      <c r="I94" s="8">
        <f t="shared" si="9"/>
        <v>0</v>
      </c>
      <c r="J94" s="8">
        <f t="shared" si="9"/>
        <v>1</v>
      </c>
      <c r="K94" s="8">
        <f t="shared" si="9"/>
        <v>0</v>
      </c>
      <c r="L94" s="7"/>
    </row>
    <row r="95" spans="1:12" x14ac:dyDescent="0.25">
      <c r="A95" s="5">
        <f t="shared" si="7"/>
        <v>1.009099999999999</v>
      </c>
      <c r="B95" s="7"/>
      <c r="C95" s="60" t="s">
        <v>426</v>
      </c>
      <c r="D95" s="60"/>
      <c r="E95" s="60"/>
      <c r="F95" s="8" t="s">
        <v>7</v>
      </c>
      <c r="G95" s="8">
        <f t="shared" si="9"/>
        <v>0</v>
      </c>
      <c r="H95" s="8">
        <f t="shared" si="9"/>
        <v>0</v>
      </c>
      <c r="I95" s="8">
        <f t="shared" si="9"/>
        <v>0</v>
      </c>
      <c r="J95" s="8">
        <f t="shared" si="9"/>
        <v>1</v>
      </c>
      <c r="K95" s="8">
        <f t="shared" si="9"/>
        <v>0</v>
      </c>
      <c r="L95" s="7"/>
    </row>
    <row r="96" spans="1:12" x14ac:dyDescent="0.25">
      <c r="A96" s="5"/>
      <c r="B96" s="7"/>
      <c r="C96" s="60" t="s">
        <v>430</v>
      </c>
      <c r="D96" s="60"/>
      <c r="E96" s="60"/>
      <c r="F96" s="8"/>
      <c r="G96" s="8">
        <f t="shared" si="9"/>
        <v>0</v>
      </c>
      <c r="H96" s="8">
        <f t="shared" si="9"/>
        <v>0</v>
      </c>
      <c r="I96" s="8">
        <f t="shared" si="9"/>
        <v>1</v>
      </c>
      <c r="J96" s="8">
        <f t="shared" si="9"/>
        <v>0</v>
      </c>
      <c r="K96" s="8">
        <f t="shared" si="9"/>
        <v>0</v>
      </c>
      <c r="L96" s="7"/>
    </row>
    <row r="97" spans="1:12" x14ac:dyDescent="0.25">
      <c r="A97" s="5"/>
      <c r="B97" s="7"/>
      <c r="C97" s="60" t="s">
        <v>431</v>
      </c>
      <c r="D97" s="60"/>
      <c r="E97" s="60"/>
      <c r="F97" s="8"/>
      <c r="G97" s="8">
        <f t="shared" si="9"/>
        <v>0</v>
      </c>
      <c r="H97" s="8">
        <f t="shared" si="9"/>
        <v>0</v>
      </c>
      <c r="I97" s="8">
        <f t="shared" si="9"/>
        <v>1</v>
      </c>
      <c r="J97" s="8">
        <f t="shared" si="9"/>
        <v>0</v>
      </c>
      <c r="K97" s="8">
        <f t="shared" si="9"/>
        <v>0</v>
      </c>
      <c r="L97" s="7"/>
    </row>
    <row r="98" spans="1:12" x14ac:dyDescent="0.25">
      <c r="A98" s="5">
        <f>A95+0.0001</f>
        <v>1.009199999999999</v>
      </c>
      <c r="B98" s="7"/>
      <c r="C98" s="6" t="s">
        <v>127</v>
      </c>
      <c r="D98" s="7"/>
      <c r="E98" s="7"/>
      <c r="F98" s="8" t="s">
        <v>7</v>
      </c>
      <c r="G98" s="8">
        <f t="shared" si="9"/>
        <v>0</v>
      </c>
      <c r="H98" s="8">
        <f t="shared" si="9"/>
        <v>0</v>
      </c>
      <c r="I98" s="8">
        <f t="shared" si="9"/>
        <v>0</v>
      </c>
      <c r="J98" s="8">
        <f t="shared" si="9"/>
        <v>1</v>
      </c>
      <c r="K98" s="8">
        <f t="shared" si="9"/>
        <v>0</v>
      </c>
      <c r="L98" s="7"/>
    </row>
    <row r="99" spans="1:12" ht="16.5" customHeight="1" x14ac:dyDescent="0.25">
      <c r="A99" s="5">
        <f t="shared" si="7"/>
        <v>1.009299999999999</v>
      </c>
      <c r="B99" s="7"/>
      <c r="C99" s="6" t="s">
        <v>128</v>
      </c>
      <c r="D99" s="7"/>
      <c r="E99" s="7"/>
      <c r="F99" s="8" t="s">
        <v>7</v>
      </c>
      <c r="G99" s="8">
        <f t="shared" si="9"/>
        <v>0</v>
      </c>
      <c r="H99" s="8">
        <f t="shared" si="9"/>
        <v>0</v>
      </c>
      <c r="I99" s="8">
        <f t="shared" si="9"/>
        <v>0</v>
      </c>
      <c r="J99" s="8">
        <f t="shared" si="9"/>
        <v>1</v>
      </c>
      <c r="K99" s="8">
        <f t="shared" si="9"/>
        <v>0</v>
      </c>
      <c r="L99" s="7"/>
    </row>
    <row r="100" spans="1:12" ht="25.5" x14ac:dyDescent="0.25">
      <c r="A100" s="5">
        <f t="shared" si="7"/>
        <v>1.009399999999999</v>
      </c>
      <c r="B100" s="7"/>
      <c r="C100" s="6" t="s">
        <v>281</v>
      </c>
      <c r="D100" s="7"/>
      <c r="E100" s="7"/>
      <c r="F100" s="8" t="s">
        <v>7</v>
      </c>
      <c r="G100" s="8">
        <f t="shared" si="9"/>
        <v>0</v>
      </c>
      <c r="H100" s="8">
        <f t="shared" si="9"/>
        <v>0</v>
      </c>
      <c r="I100" s="8">
        <f t="shared" si="9"/>
        <v>0</v>
      </c>
      <c r="J100" s="8">
        <f t="shared" si="9"/>
        <v>1</v>
      </c>
      <c r="K100" s="8">
        <f t="shared" si="9"/>
        <v>0</v>
      </c>
      <c r="L100" s="7"/>
    </row>
    <row r="101" spans="1:12" x14ac:dyDescent="0.25">
      <c r="A101" s="5">
        <f t="shared" si="7"/>
        <v>1.009499999999999</v>
      </c>
      <c r="B101" s="32" t="s">
        <v>129</v>
      </c>
      <c r="C101" s="27" t="s">
        <v>130</v>
      </c>
      <c r="D101" s="7"/>
      <c r="E101" s="7"/>
      <c r="F101" s="8" t="s">
        <v>7</v>
      </c>
      <c r="G101" s="8">
        <f t="shared" si="9"/>
        <v>0</v>
      </c>
      <c r="H101" s="8">
        <f t="shared" si="9"/>
        <v>0</v>
      </c>
      <c r="I101" s="8">
        <f t="shared" si="9"/>
        <v>0</v>
      </c>
      <c r="J101" s="8">
        <f t="shared" si="9"/>
        <v>1</v>
      </c>
      <c r="K101" s="8">
        <f t="shared" si="9"/>
        <v>0</v>
      </c>
      <c r="L101" s="7"/>
    </row>
    <row r="102" spans="1:12" x14ac:dyDescent="0.25">
      <c r="A102" s="5">
        <f t="shared" si="7"/>
        <v>1.0095999999999989</v>
      </c>
      <c r="B102" s="7"/>
      <c r="C102" s="6" t="s">
        <v>282</v>
      </c>
      <c r="D102" s="7"/>
      <c r="E102" s="7"/>
      <c r="F102" s="8" t="s">
        <v>7</v>
      </c>
      <c r="G102" s="8">
        <f t="shared" si="9"/>
        <v>0</v>
      </c>
      <c r="H102" s="8">
        <f t="shared" si="9"/>
        <v>0</v>
      </c>
      <c r="I102" s="8">
        <f t="shared" si="9"/>
        <v>0</v>
      </c>
      <c r="J102" s="8">
        <f t="shared" si="9"/>
        <v>1</v>
      </c>
      <c r="K102" s="8">
        <f t="shared" si="9"/>
        <v>0</v>
      </c>
      <c r="L102" s="7"/>
    </row>
    <row r="103" spans="1:12" x14ac:dyDescent="0.25">
      <c r="A103" s="5">
        <f t="shared" si="7"/>
        <v>1.0096999999999989</v>
      </c>
      <c r="B103" s="7"/>
      <c r="C103" s="6" t="s">
        <v>95</v>
      </c>
      <c r="D103" s="7"/>
      <c r="E103" s="7"/>
      <c r="F103" s="8" t="s">
        <v>7</v>
      </c>
      <c r="G103" s="8">
        <f t="shared" si="9"/>
        <v>0</v>
      </c>
      <c r="H103" s="8">
        <f t="shared" si="9"/>
        <v>0</v>
      </c>
      <c r="I103" s="8">
        <f t="shared" si="9"/>
        <v>0</v>
      </c>
      <c r="J103" s="8">
        <f t="shared" si="9"/>
        <v>1</v>
      </c>
      <c r="K103" s="8">
        <f t="shared" si="9"/>
        <v>0</v>
      </c>
      <c r="L103" s="7"/>
    </row>
    <row r="104" spans="1:12" x14ac:dyDescent="0.25">
      <c r="A104" s="5">
        <f t="shared" si="7"/>
        <v>1.0097999999999989</v>
      </c>
      <c r="B104" s="7"/>
      <c r="C104" s="6" t="s">
        <v>31</v>
      </c>
      <c r="D104" s="7"/>
      <c r="E104" s="7"/>
      <c r="F104" s="8" t="s">
        <v>7</v>
      </c>
      <c r="G104" s="8">
        <f t="shared" si="9"/>
        <v>0</v>
      </c>
      <c r="H104" s="8">
        <f t="shared" si="9"/>
        <v>0</v>
      </c>
      <c r="I104" s="8">
        <f t="shared" si="9"/>
        <v>0</v>
      </c>
      <c r="J104" s="8">
        <f t="shared" si="9"/>
        <v>1</v>
      </c>
      <c r="K104" s="8">
        <f t="shared" si="9"/>
        <v>0</v>
      </c>
      <c r="L104" s="7"/>
    </row>
    <row r="105" spans="1:12" x14ac:dyDescent="0.25">
      <c r="A105" s="5">
        <f t="shared" si="7"/>
        <v>1.0098999999999989</v>
      </c>
      <c r="B105" s="7"/>
      <c r="C105" s="6" t="s">
        <v>131</v>
      </c>
      <c r="D105" s="7"/>
      <c r="E105" s="7"/>
      <c r="F105" s="8" t="s">
        <v>7</v>
      </c>
      <c r="G105" s="8">
        <f t="shared" si="9"/>
        <v>0</v>
      </c>
      <c r="H105" s="8">
        <f t="shared" si="9"/>
        <v>0</v>
      </c>
      <c r="I105" s="8">
        <f t="shared" si="9"/>
        <v>0</v>
      </c>
      <c r="J105" s="8">
        <f t="shared" si="9"/>
        <v>1</v>
      </c>
      <c r="K105" s="8">
        <f t="shared" si="9"/>
        <v>0</v>
      </c>
      <c r="L105" s="7"/>
    </row>
    <row r="106" spans="1:12" x14ac:dyDescent="0.25">
      <c r="A106" s="5">
        <f t="shared" si="7"/>
        <v>1.0099999999999989</v>
      </c>
      <c r="B106" s="7"/>
      <c r="C106" s="6" t="s">
        <v>283</v>
      </c>
      <c r="D106" s="7"/>
      <c r="E106" s="7"/>
      <c r="F106" s="8" t="s">
        <v>7</v>
      </c>
      <c r="G106" s="8">
        <f t="shared" si="9"/>
        <v>0</v>
      </c>
      <c r="H106" s="8">
        <f t="shared" si="9"/>
        <v>0</v>
      </c>
      <c r="I106" s="8">
        <f t="shared" si="9"/>
        <v>0</v>
      </c>
      <c r="J106" s="8">
        <f t="shared" si="9"/>
        <v>1</v>
      </c>
      <c r="K106" s="8">
        <f t="shared" si="9"/>
        <v>0</v>
      </c>
      <c r="L106" s="7"/>
    </row>
    <row r="107" spans="1:12" x14ac:dyDescent="0.25">
      <c r="A107" s="5">
        <f t="shared" si="7"/>
        <v>1.0100999999999989</v>
      </c>
      <c r="B107" s="7"/>
      <c r="C107" s="6" t="s">
        <v>98</v>
      </c>
      <c r="D107" s="7"/>
      <c r="E107" s="7"/>
      <c r="F107" s="8" t="s">
        <v>7</v>
      </c>
      <c r="G107" s="8">
        <f t="shared" ref="G107:K112" si="10">IF($F107=G$1,1,0)</f>
        <v>0</v>
      </c>
      <c r="H107" s="8">
        <f t="shared" si="10"/>
        <v>0</v>
      </c>
      <c r="I107" s="8">
        <f t="shared" si="10"/>
        <v>0</v>
      </c>
      <c r="J107" s="8">
        <f t="shared" si="10"/>
        <v>1</v>
      </c>
      <c r="K107" s="8">
        <f t="shared" si="10"/>
        <v>0</v>
      </c>
      <c r="L107" s="7"/>
    </row>
    <row r="108" spans="1:12" x14ac:dyDescent="0.25">
      <c r="A108" s="5">
        <f t="shared" si="7"/>
        <v>1.0101999999999989</v>
      </c>
      <c r="B108" s="7"/>
      <c r="C108" s="6" t="s">
        <v>132</v>
      </c>
      <c r="D108" s="7"/>
      <c r="E108" s="7"/>
      <c r="F108" s="8" t="s">
        <v>7</v>
      </c>
      <c r="G108" s="8">
        <f t="shared" si="10"/>
        <v>0</v>
      </c>
      <c r="H108" s="8">
        <f t="shared" si="10"/>
        <v>0</v>
      </c>
      <c r="I108" s="8">
        <f t="shared" si="10"/>
        <v>0</v>
      </c>
      <c r="J108" s="8">
        <f t="shared" si="10"/>
        <v>1</v>
      </c>
      <c r="K108" s="8">
        <f t="shared" si="10"/>
        <v>0</v>
      </c>
      <c r="L108" s="7"/>
    </row>
    <row r="109" spans="1:12" x14ac:dyDescent="0.25">
      <c r="A109" s="5">
        <f t="shared" si="7"/>
        <v>1.0102999999999989</v>
      </c>
      <c r="B109" s="7"/>
      <c r="C109" s="6" t="s">
        <v>133</v>
      </c>
      <c r="D109" s="7"/>
      <c r="E109" s="7"/>
      <c r="F109" s="8" t="s">
        <v>7</v>
      </c>
      <c r="G109" s="8">
        <f t="shared" si="10"/>
        <v>0</v>
      </c>
      <c r="H109" s="8">
        <f t="shared" si="10"/>
        <v>0</v>
      </c>
      <c r="I109" s="8">
        <f t="shared" si="10"/>
        <v>0</v>
      </c>
      <c r="J109" s="8">
        <f t="shared" si="10"/>
        <v>1</v>
      </c>
      <c r="K109" s="8">
        <f t="shared" si="10"/>
        <v>0</v>
      </c>
      <c r="L109" s="7"/>
    </row>
    <row r="110" spans="1:12" x14ac:dyDescent="0.25">
      <c r="A110" s="5">
        <f t="shared" si="7"/>
        <v>1.0103999999999989</v>
      </c>
      <c r="B110" s="6"/>
      <c r="C110" s="6" t="s">
        <v>134</v>
      </c>
      <c r="D110" s="7"/>
      <c r="E110" s="7"/>
      <c r="F110" s="8" t="s">
        <v>7</v>
      </c>
      <c r="G110" s="8">
        <f t="shared" si="10"/>
        <v>0</v>
      </c>
      <c r="H110" s="8">
        <f t="shared" si="10"/>
        <v>0</v>
      </c>
      <c r="I110" s="8">
        <f t="shared" si="10"/>
        <v>0</v>
      </c>
      <c r="J110" s="8">
        <f t="shared" si="10"/>
        <v>1</v>
      </c>
      <c r="K110" s="8">
        <f t="shared" si="10"/>
        <v>0</v>
      </c>
      <c r="L110" s="7"/>
    </row>
    <row r="111" spans="1:12" x14ac:dyDescent="0.25">
      <c r="A111" s="5">
        <f t="shared" si="7"/>
        <v>1.0104999999999988</v>
      </c>
      <c r="B111" s="7"/>
      <c r="C111" s="6" t="s">
        <v>135</v>
      </c>
      <c r="D111" s="7"/>
      <c r="E111" s="7"/>
      <c r="F111" s="8" t="s">
        <v>7</v>
      </c>
      <c r="G111" s="8">
        <f t="shared" si="10"/>
        <v>0</v>
      </c>
      <c r="H111" s="8">
        <f t="shared" si="10"/>
        <v>0</v>
      </c>
      <c r="I111" s="8">
        <f t="shared" si="10"/>
        <v>0</v>
      </c>
      <c r="J111" s="8">
        <f t="shared" si="10"/>
        <v>1</v>
      </c>
      <c r="K111" s="8">
        <f t="shared" si="10"/>
        <v>0</v>
      </c>
      <c r="L111" s="7"/>
    </row>
    <row r="112" spans="1:12" x14ac:dyDescent="0.25">
      <c r="A112" s="5">
        <f t="shared" si="7"/>
        <v>1.0105999999999988</v>
      </c>
      <c r="B112" s="7"/>
      <c r="C112" s="6" t="s">
        <v>136</v>
      </c>
      <c r="D112" s="7"/>
      <c r="E112" s="7"/>
      <c r="F112" s="8" t="s">
        <v>7</v>
      </c>
      <c r="G112" s="8">
        <f t="shared" si="10"/>
        <v>0</v>
      </c>
      <c r="H112" s="8">
        <f t="shared" si="10"/>
        <v>0</v>
      </c>
      <c r="I112" s="8">
        <f t="shared" si="10"/>
        <v>0</v>
      </c>
      <c r="J112" s="8">
        <f t="shared" si="10"/>
        <v>1</v>
      </c>
      <c r="K112" s="8">
        <f t="shared" si="10"/>
        <v>0</v>
      </c>
      <c r="L112" s="7"/>
    </row>
    <row r="113" spans="1:12" x14ac:dyDescent="0.25">
      <c r="A113" s="5">
        <f t="shared" si="7"/>
        <v>1.0106999999999988</v>
      </c>
      <c r="B113" s="7"/>
      <c r="C113" s="6"/>
      <c r="D113" s="7"/>
      <c r="E113" s="7"/>
      <c r="F113" s="8"/>
      <c r="G113" s="8"/>
      <c r="H113" s="8"/>
      <c r="I113" s="8"/>
      <c r="J113" s="8"/>
      <c r="K113" s="8"/>
      <c r="L113" s="7"/>
    </row>
    <row r="114" spans="1:12" x14ac:dyDescent="0.25">
      <c r="A114" s="5">
        <f t="shared" si="7"/>
        <v>1.0107999999999988</v>
      </c>
      <c r="B114" s="17" t="s">
        <v>300</v>
      </c>
      <c r="C114" s="18" t="s">
        <v>302</v>
      </c>
      <c r="D114" s="17"/>
      <c r="E114" s="17"/>
      <c r="F114" s="19"/>
      <c r="G114" s="19"/>
      <c r="H114" s="19"/>
      <c r="I114" s="19"/>
      <c r="J114" s="19"/>
      <c r="K114" s="19"/>
      <c r="L114" s="17"/>
    </row>
    <row r="115" spans="1:12" x14ac:dyDescent="0.25">
      <c r="A115" s="5">
        <f t="shared" si="7"/>
        <v>1.0108999999999988</v>
      </c>
      <c r="B115" s="27" t="s">
        <v>286</v>
      </c>
      <c r="C115" s="9" t="s">
        <v>294</v>
      </c>
      <c r="D115" s="7"/>
      <c r="E115" s="7"/>
      <c r="F115" s="8" t="s">
        <v>7</v>
      </c>
      <c r="G115" s="8">
        <f t="shared" ref="G115:K137" si="11">IF($F115=G$1,1,0)</f>
        <v>0</v>
      </c>
      <c r="H115" s="8">
        <f t="shared" si="11"/>
        <v>0</v>
      </c>
      <c r="I115" s="8">
        <f t="shared" si="11"/>
        <v>0</v>
      </c>
      <c r="J115" s="8">
        <f t="shared" si="11"/>
        <v>1</v>
      </c>
      <c r="K115" s="8">
        <f t="shared" si="11"/>
        <v>0</v>
      </c>
      <c r="L115" s="7"/>
    </row>
    <row r="116" spans="1:12" x14ac:dyDescent="0.25">
      <c r="A116" s="5">
        <f t="shared" si="7"/>
        <v>1.0109999999999988</v>
      </c>
      <c r="B116" s="27" t="s">
        <v>63</v>
      </c>
      <c r="C116" s="9" t="s">
        <v>64</v>
      </c>
      <c r="D116" s="7"/>
      <c r="E116" s="7"/>
      <c r="F116" s="8" t="s">
        <v>7</v>
      </c>
      <c r="G116" s="8">
        <f t="shared" si="11"/>
        <v>0</v>
      </c>
      <c r="H116" s="8">
        <f t="shared" si="11"/>
        <v>0</v>
      </c>
      <c r="I116" s="8">
        <f t="shared" si="11"/>
        <v>0</v>
      </c>
      <c r="J116" s="8">
        <f t="shared" si="11"/>
        <v>1</v>
      </c>
      <c r="K116" s="8">
        <f t="shared" si="11"/>
        <v>0</v>
      </c>
      <c r="L116" s="7"/>
    </row>
    <row r="117" spans="1:12" x14ac:dyDescent="0.25">
      <c r="A117" s="5">
        <f t="shared" si="7"/>
        <v>1.0110999999999988</v>
      </c>
      <c r="B117" s="6" t="s">
        <v>65</v>
      </c>
      <c r="C117" s="9" t="s">
        <v>66</v>
      </c>
      <c r="D117" s="7"/>
      <c r="E117" s="7"/>
      <c r="F117" s="8" t="s">
        <v>7</v>
      </c>
      <c r="G117" s="8">
        <f t="shared" si="11"/>
        <v>0</v>
      </c>
      <c r="H117" s="8">
        <f t="shared" si="11"/>
        <v>0</v>
      </c>
      <c r="I117" s="8">
        <f t="shared" si="11"/>
        <v>0</v>
      </c>
      <c r="J117" s="8">
        <f t="shared" si="11"/>
        <v>1</v>
      </c>
      <c r="K117" s="8">
        <f t="shared" si="11"/>
        <v>0</v>
      </c>
      <c r="L117" s="7"/>
    </row>
    <row r="118" spans="1:12" x14ac:dyDescent="0.25">
      <c r="A118" s="5">
        <f t="shared" si="7"/>
        <v>1.0111999999999988</v>
      </c>
      <c r="B118" s="6" t="s">
        <v>67</v>
      </c>
      <c r="C118" s="9" t="s">
        <v>295</v>
      </c>
      <c r="D118" s="7"/>
      <c r="E118" s="7"/>
      <c r="F118" s="8" t="s">
        <v>7</v>
      </c>
      <c r="G118" s="8">
        <f t="shared" si="11"/>
        <v>0</v>
      </c>
      <c r="H118" s="8">
        <f t="shared" si="11"/>
        <v>0</v>
      </c>
      <c r="I118" s="8">
        <f t="shared" si="11"/>
        <v>0</v>
      </c>
      <c r="J118" s="8">
        <f t="shared" si="11"/>
        <v>1</v>
      </c>
      <c r="K118" s="8">
        <f t="shared" si="11"/>
        <v>0</v>
      </c>
      <c r="L118" s="7"/>
    </row>
    <row r="119" spans="1:12" x14ac:dyDescent="0.25">
      <c r="A119" s="5">
        <f t="shared" si="7"/>
        <v>1.0112999999999988</v>
      </c>
      <c r="B119" s="6" t="s">
        <v>68</v>
      </c>
      <c r="C119" s="9" t="s">
        <v>296</v>
      </c>
      <c r="D119" s="7"/>
      <c r="E119" s="7"/>
      <c r="F119" s="8" t="s">
        <v>7</v>
      </c>
      <c r="G119" s="8">
        <f t="shared" si="11"/>
        <v>0</v>
      </c>
      <c r="H119" s="8">
        <f t="shared" si="11"/>
        <v>0</v>
      </c>
      <c r="I119" s="8">
        <f t="shared" si="11"/>
        <v>0</v>
      </c>
      <c r="J119" s="8">
        <f t="shared" si="11"/>
        <v>1</v>
      </c>
      <c r="K119" s="8">
        <f t="shared" si="11"/>
        <v>0</v>
      </c>
      <c r="L119" s="7"/>
    </row>
    <row r="120" spans="1:12" x14ac:dyDescent="0.25">
      <c r="A120" s="5">
        <f t="shared" si="7"/>
        <v>1.0113999999999987</v>
      </c>
      <c r="B120" s="6" t="s">
        <v>69</v>
      </c>
      <c r="C120" s="9" t="s">
        <v>70</v>
      </c>
      <c r="D120" s="7"/>
      <c r="E120" s="7"/>
      <c r="F120" s="8" t="s">
        <v>7</v>
      </c>
      <c r="G120" s="8">
        <f t="shared" si="11"/>
        <v>0</v>
      </c>
      <c r="H120" s="8">
        <f t="shared" si="11"/>
        <v>0</v>
      </c>
      <c r="I120" s="8">
        <f t="shared" si="11"/>
        <v>0</v>
      </c>
      <c r="J120" s="8">
        <f t="shared" si="11"/>
        <v>1</v>
      </c>
      <c r="K120" s="8">
        <f t="shared" si="11"/>
        <v>0</v>
      </c>
      <c r="L120" s="7"/>
    </row>
    <row r="121" spans="1:12" x14ac:dyDescent="0.25">
      <c r="A121" s="5">
        <f t="shared" si="7"/>
        <v>1.0114999999999987</v>
      </c>
      <c r="B121" s="6" t="s">
        <v>71</v>
      </c>
      <c r="C121" s="9">
        <v>100</v>
      </c>
      <c r="D121" s="7"/>
      <c r="E121" s="7"/>
      <c r="F121" s="8" t="s">
        <v>7</v>
      </c>
      <c r="G121" s="8">
        <f t="shared" si="11"/>
        <v>0</v>
      </c>
      <c r="H121" s="8">
        <f t="shared" si="11"/>
        <v>0</v>
      </c>
      <c r="I121" s="8">
        <f t="shared" si="11"/>
        <v>0</v>
      </c>
      <c r="J121" s="8">
        <f t="shared" si="11"/>
        <v>1</v>
      </c>
      <c r="K121" s="8">
        <f t="shared" si="11"/>
        <v>0</v>
      </c>
      <c r="L121" s="7"/>
    </row>
    <row r="122" spans="1:12" x14ac:dyDescent="0.25">
      <c r="A122" s="5">
        <f t="shared" si="7"/>
        <v>1.0115999999999987</v>
      </c>
      <c r="B122" s="7" t="s">
        <v>72</v>
      </c>
      <c r="C122" s="6" t="s">
        <v>73</v>
      </c>
      <c r="D122" s="7"/>
      <c r="E122" s="7"/>
      <c r="F122" s="8" t="s">
        <v>7</v>
      </c>
      <c r="G122" s="8">
        <f t="shared" si="11"/>
        <v>0</v>
      </c>
      <c r="H122" s="8">
        <f t="shared" si="11"/>
        <v>0</v>
      </c>
      <c r="I122" s="8">
        <f t="shared" si="11"/>
        <v>0</v>
      </c>
      <c r="J122" s="8">
        <f t="shared" si="11"/>
        <v>1</v>
      </c>
      <c r="K122" s="8">
        <f t="shared" si="11"/>
        <v>0</v>
      </c>
      <c r="L122" s="7"/>
    </row>
    <row r="123" spans="1:12" x14ac:dyDescent="0.25">
      <c r="A123" s="5">
        <f t="shared" si="7"/>
        <v>1.0116999999999987</v>
      </c>
      <c r="B123" s="7" t="s">
        <v>74</v>
      </c>
      <c r="C123" s="6" t="s">
        <v>75</v>
      </c>
      <c r="D123" s="7"/>
      <c r="E123" s="7"/>
      <c r="F123" s="8" t="s">
        <v>7</v>
      </c>
      <c r="G123" s="8">
        <f t="shared" si="11"/>
        <v>0</v>
      </c>
      <c r="H123" s="8">
        <f t="shared" si="11"/>
        <v>0</v>
      </c>
      <c r="I123" s="8">
        <f t="shared" si="11"/>
        <v>0</v>
      </c>
      <c r="J123" s="8">
        <f t="shared" si="11"/>
        <v>1</v>
      </c>
      <c r="K123" s="8">
        <f t="shared" si="11"/>
        <v>0</v>
      </c>
      <c r="L123" s="7"/>
    </row>
    <row r="124" spans="1:12" x14ac:dyDescent="0.25">
      <c r="A124" s="5">
        <f t="shared" si="7"/>
        <v>1.0117999999999987</v>
      </c>
      <c r="B124" s="7" t="s">
        <v>76</v>
      </c>
      <c r="C124" s="6" t="s">
        <v>75</v>
      </c>
      <c r="D124" s="7"/>
      <c r="E124" s="7"/>
      <c r="F124" s="8" t="s">
        <v>7</v>
      </c>
      <c r="G124" s="8">
        <f t="shared" si="11"/>
        <v>0</v>
      </c>
      <c r="H124" s="8">
        <f t="shared" si="11"/>
        <v>0</v>
      </c>
      <c r="I124" s="8">
        <f t="shared" si="11"/>
        <v>0</v>
      </c>
      <c r="J124" s="8">
        <f t="shared" si="11"/>
        <v>1</v>
      </c>
      <c r="K124" s="8">
        <f t="shared" si="11"/>
        <v>0</v>
      </c>
      <c r="L124" s="7"/>
    </row>
    <row r="125" spans="1:12" x14ac:dyDescent="0.25">
      <c r="A125" s="5">
        <f t="shared" si="7"/>
        <v>1.0118999999999987</v>
      </c>
      <c r="B125" s="60" t="s">
        <v>77</v>
      </c>
      <c r="C125" s="75" t="s">
        <v>298</v>
      </c>
      <c r="D125" s="60"/>
      <c r="E125" s="60"/>
      <c r="F125" s="8"/>
      <c r="G125" s="8">
        <f t="shared" si="11"/>
        <v>0</v>
      </c>
      <c r="H125" s="8">
        <f t="shared" si="11"/>
        <v>0</v>
      </c>
      <c r="I125" s="8">
        <f t="shared" si="11"/>
        <v>1</v>
      </c>
      <c r="J125" s="8">
        <f t="shared" si="11"/>
        <v>0</v>
      </c>
      <c r="K125" s="8">
        <f t="shared" si="11"/>
        <v>0</v>
      </c>
      <c r="L125" s="7"/>
    </row>
    <row r="126" spans="1:12" x14ac:dyDescent="0.25">
      <c r="A126" s="5">
        <f t="shared" si="7"/>
        <v>1.0119999999999987</v>
      </c>
      <c r="B126" s="6" t="s">
        <v>78</v>
      </c>
      <c r="C126" s="60" t="s">
        <v>297</v>
      </c>
      <c r="D126" s="60"/>
      <c r="E126" s="60"/>
      <c r="F126" s="8"/>
      <c r="G126" s="8">
        <f t="shared" si="11"/>
        <v>0</v>
      </c>
      <c r="H126" s="8">
        <f t="shared" si="11"/>
        <v>0</v>
      </c>
      <c r="I126" s="8">
        <f t="shared" si="11"/>
        <v>1</v>
      </c>
      <c r="J126" s="8">
        <f t="shared" si="11"/>
        <v>0</v>
      </c>
      <c r="K126" s="8">
        <f t="shared" si="11"/>
        <v>0</v>
      </c>
      <c r="L126" s="7"/>
    </row>
    <row r="127" spans="1:12" x14ac:dyDescent="0.25">
      <c r="A127" s="5">
        <f t="shared" si="7"/>
        <v>1.0120999999999987</v>
      </c>
      <c r="B127" s="6"/>
      <c r="C127" s="6" t="s">
        <v>79</v>
      </c>
      <c r="D127" s="7"/>
      <c r="E127" s="7"/>
      <c r="F127" s="8" t="s">
        <v>7</v>
      </c>
      <c r="G127" s="8">
        <f t="shared" si="11"/>
        <v>0</v>
      </c>
      <c r="H127" s="8">
        <f t="shared" si="11"/>
        <v>0</v>
      </c>
      <c r="I127" s="8">
        <f t="shared" si="11"/>
        <v>0</v>
      </c>
      <c r="J127" s="8">
        <f t="shared" si="11"/>
        <v>1</v>
      </c>
      <c r="K127" s="8">
        <f t="shared" si="11"/>
        <v>0</v>
      </c>
      <c r="L127" s="7"/>
    </row>
    <row r="128" spans="1:12" x14ac:dyDescent="0.25">
      <c r="A128" s="5">
        <f t="shared" si="7"/>
        <v>1.0121999999999987</v>
      </c>
      <c r="B128" s="27" t="s">
        <v>80</v>
      </c>
      <c r="C128" s="6" t="s">
        <v>81</v>
      </c>
      <c r="D128" s="7"/>
      <c r="E128" s="7"/>
      <c r="F128" s="8" t="s">
        <v>7</v>
      </c>
      <c r="G128" s="8">
        <f t="shared" si="11"/>
        <v>0</v>
      </c>
      <c r="H128" s="8">
        <f t="shared" si="11"/>
        <v>0</v>
      </c>
      <c r="I128" s="8">
        <f t="shared" si="11"/>
        <v>0</v>
      </c>
      <c r="J128" s="8">
        <f t="shared" si="11"/>
        <v>1</v>
      </c>
      <c r="K128" s="8">
        <f t="shared" si="11"/>
        <v>0</v>
      </c>
      <c r="L128" s="7"/>
    </row>
    <row r="129" spans="1:12" x14ac:dyDescent="0.25">
      <c r="A129" s="5">
        <f t="shared" si="7"/>
        <v>1.0122999999999986</v>
      </c>
      <c r="B129" s="27"/>
      <c r="C129" s="6" t="s">
        <v>82</v>
      </c>
      <c r="D129" s="7"/>
      <c r="E129" s="7"/>
      <c r="F129" s="8" t="s">
        <v>7</v>
      </c>
      <c r="G129" s="8">
        <f t="shared" si="11"/>
        <v>0</v>
      </c>
      <c r="H129" s="8">
        <f t="shared" si="11"/>
        <v>0</v>
      </c>
      <c r="I129" s="8">
        <f t="shared" si="11"/>
        <v>0</v>
      </c>
      <c r="J129" s="8">
        <f t="shared" si="11"/>
        <v>1</v>
      </c>
      <c r="K129" s="8">
        <f t="shared" si="11"/>
        <v>0</v>
      </c>
      <c r="L129" s="7"/>
    </row>
    <row r="130" spans="1:12" x14ac:dyDescent="0.25">
      <c r="A130" s="5">
        <f t="shared" si="7"/>
        <v>1.0123999999999986</v>
      </c>
      <c r="B130" s="6"/>
      <c r="C130" s="6" t="s">
        <v>83</v>
      </c>
      <c r="D130" s="7"/>
      <c r="E130" s="7"/>
      <c r="F130" s="8" t="s">
        <v>7</v>
      </c>
      <c r="G130" s="8">
        <f t="shared" si="11"/>
        <v>0</v>
      </c>
      <c r="H130" s="8">
        <f t="shared" si="11"/>
        <v>0</v>
      </c>
      <c r="I130" s="8">
        <f t="shared" si="11"/>
        <v>0</v>
      </c>
      <c r="J130" s="8">
        <f t="shared" si="11"/>
        <v>1</v>
      </c>
      <c r="K130" s="8">
        <f t="shared" si="11"/>
        <v>0</v>
      </c>
      <c r="L130" s="7"/>
    </row>
    <row r="131" spans="1:12" x14ac:dyDescent="0.25">
      <c r="A131" s="5">
        <f t="shared" si="7"/>
        <v>1.0124999999999986</v>
      </c>
      <c r="B131" s="6"/>
      <c r="C131" s="6" t="s">
        <v>84</v>
      </c>
      <c r="D131" s="7"/>
      <c r="E131" s="7"/>
      <c r="F131" s="8" t="s">
        <v>7</v>
      </c>
      <c r="G131" s="8">
        <f t="shared" si="11"/>
        <v>0</v>
      </c>
      <c r="H131" s="8">
        <f t="shared" si="11"/>
        <v>0</v>
      </c>
      <c r="I131" s="8">
        <f t="shared" si="11"/>
        <v>0</v>
      </c>
      <c r="J131" s="8">
        <f t="shared" si="11"/>
        <v>1</v>
      </c>
      <c r="K131" s="8">
        <f t="shared" si="11"/>
        <v>0</v>
      </c>
      <c r="L131" s="7"/>
    </row>
    <row r="132" spans="1:12" x14ac:dyDescent="0.25">
      <c r="A132" s="5">
        <f t="shared" si="7"/>
        <v>1.0125999999999986</v>
      </c>
      <c r="B132" s="6"/>
      <c r="C132" s="6" t="s">
        <v>85</v>
      </c>
      <c r="D132" s="7"/>
      <c r="E132" s="7"/>
      <c r="F132" s="8" t="s">
        <v>7</v>
      </c>
      <c r="G132" s="8">
        <f t="shared" si="11"/>
        <v>0</v>
      </c>
      <c r="H132" s="8">
        <f t="shared" si="11"/>
        <v>0</v>
      </c>
      <c r="I132" s="8">
        <f t="shared" si="11"/>
        <v>0</v>
      </c>
      <c r="J132" s="8">
        <f t="shared" si="11"/>
        <v>1</v>
      </c>
      <c r="K132" s="8">
        <f t="shared" si="11"/>
        <v>0</v>
      </c>
      <c r="L132" s="7"/>
    </row>
    <row r="133" spans="1:12" x14ac:dyDescent="0.25">
      <c r="A133" s="5">
        <f t="shared" si="7"/>
        <v>1.0126999999999986</v>
      </c>
      <c r="B133" s="6"/>
      <c r="C133" s="6" t="s">
        <v>86</v>
      </c>
      <c r="D133" s="7"/>
      <c r="E133" s="7"/>
      <c r="F133" s="8" t="s">
        <v>7</v>
      </c>
      <c r="G133" s="8">
        <f t="shared" si="11"/>
        <v>0</v>
      </c>
      <c r="H133" s="8">
        <f t="shared" si="11"/>
        <v>0</v>
      </c>
      <c r="I133" s="8">
        <f t="shared" si="11"/>
        <v>0</v>
      </c>
      <c r="J133" s="8">
        <f t="shared" si="11"/>
        <v>1</v>
      </c>
      <c r="K133" s="8">
        <f t="shared" si="11"/>
        <v>0</v>
      </c>
      <c r="L133" s="7"/>
    </row>
    <row r="134" spans="1:12" x14ac:dyDescent="0.25">
      <c r="A134" s="5">
        <f t="shared" si="7"/>
        <v>1.0127999999999986</v>
      </c>
      <c r="B134" s="6"/>
      <c r="C134" s="6" t="s">
        <v>87</v>
      </c>
      <c r="D134" s="7"/>
      <c r="E134" s="7"/>
      <c r="F134" s="8" t="s">
        <v>7</v>
      </c>
      <c r="G134" s="8">
        <f t="shared" si="11"/>
        <v>0</v>
      </c>
      <c r="H134" s="8">
        <f t="shared" si="11"/>
        <v>0</v>
      </c>
      <c r="I134" s="8">
        <f t="shared" si="11"/>
        <v>0</v>
      </c>
      <c r="J134" s="8">
        <f t="shared" si="11"/>
        <v>1</v>
      </c>
      <c r="K134" s="8">
        <f t="shared" si="11"/>
        <v>0</v>
      </c>
      <c r="L134" s="7"/>
    </row>
    <row r="135" spans="1:12" x14ac:dyDescent="0.25">
      <c r="A135" s="5">
        <f t="shared" ref="A135:A148" si="12">A134+0.0001</f>
        <v>1.0128999999999986</v>
      </c>
      <c r="B135" s="27" t="s">
        <v>88</v>
      </c>
      <c r="C135" s="6" t="s">
        <v>89</v>
      </c>
      <c r="D135" s="7"/>
      <c r="E135" s="7"/>
      <c r="F135" s="8" t="s">
        <v>7</v>
      </c>
      <c r="G135" s="8">
        <f t="shared" si="11"/>
        <v>0</v>
      </c>
      <c r="H135" s="8">
        <f t="shared" si="11"/>
        <v>0</v>
      </c>
      <c r="I135" s="8">
        <f t="shared" si="11"/>
        <v>0</v>
      </c>
      <c r="J135" s="8">
        <f t="shared" si="11"/>
        <v>1</v>
      </c>
      <c r="K135" s="8">
        <f t="shared" si="11"/>
        <v>0</v>
      </c>
      <c r="L135" s="7"/>
    </row>
    <row r="136" spans="1:12" x14ac:dyDescent="0.25">
      <c r="A136" s="5">
        <f t="shared" si="12"/>
        <v>1.0129999999999986</v>
      </c>
      <c r="B136" s="60" t="s">
        <v>305</v>
      </c>
      <c r="C136" s="60"/>
      <c r="D136" s="60"/>
      <c r="E136" s="60"/>
      <c r="F136" s="8"/>
      <c r="G136" s="8"/>
      <c r="H136" s="8"/>
      <c r="I136" s="8"/>
      <c r="J136" s="8"/>
      <c r="K136" s="8"/>
      <c r="L136" s="7"/>
    </row>
    <row r="137" spans="1:12" x14ac:dyDescent="0.25">
      <c r="A137" s="5">
        <f t="shared" si="12"/>
        <v>1.0130999999999986</v>
      </c>
      <c r="B137" s="66" t="s">
        <v>212</v>
      </c>
      <c r="C137" s="67" t="s">
        <v>214</v>
      </c>
      <c r="D137" s="68"/>
      <c r="E137" s="68"/>
      <c r="F137" s="8" t="s">
        <v>7</v>
      </c>
      <c r="G137" s="8">
        <f t="shared" si="11"/>
        <v>0</v>
      </c>
      <c r="H137" s="8">
        <f t="shared" si="11"/>
        <v>0</v>
      </c>
      <c r="I137" s="8">
        <f t="shared" si="11"/>
        <v>0</v>
      </c>
      <c r="J137" s="8">
        <f t="shared" si="11"/>
        <v>1</v>
      </c>
      <c r="K137" s="8">
        <f t="shared" si="11"/>
        <v>0</v>
      </c>
      <c r="L137" s="7"/>
    </row>
    <row r="138" spans="1:12" x14ac:dyDescent="0.25">
      <c r="A138" s="5">
        <f t="shared" si="12"/>
        <v>1.0131999999999985</v>
      </c>
      <c r="B138" s="66" t="s">
        <v>213</v>
      </c>
      <c r="C138" s="67" t="s">
        <v>215</v>
      </c>
      <c r="D138" s="68"/>
      <c r="E138" s="68"/>
      <c r="F138" s="8" t="s">
        <v>7</v>
      </c>
      <c r="G138" s="8">
        <f t="shared" ref="G138:K140" si="13">IF($F138=G$1,1,0)</f>
        <v>0</v>
      </c>
      <c r="H138" s="8">
        <f t="shared" si="13"/>
        <v>0</v>
      </c>
      <c r="I138" s="8">
        <f t="shared" si="13"/>
        <v>0</v>
      </c>
      <c r="J138" s="8">
        <f t="shared" si="13"/>
        <v>1</v>
      </c>
      <c r="K138" s="8">
        <f t="shared" si="13"/>
        <v>0</v>
      </c>
      <c r="L138" s="7"/>
    </row>
    <row r="139" spans="1:12" x14ac:dyDescent="0.25">
      <c r="A139" s="5">
        <f t="shared" si="12"/>
        <v>1.0132999999999985</v>
      </c>
      <c r="B139" s="66" t="s">
        <v>303</v>
      </c>
      <c r="C139" s="67" t="s">
        <v>304</v>
      </c>
      <c r="D139" s="68"/>
      <c r="E139" s="68"/>
      <c r="F139" s="8" t="s">
        <v>7</v>
      </c>
      <c r="G139" s="8">
        <f t="shared" si="13"/>
        <v>0</v>
      </c>
      <c r="H139" s="8">
        <f t="shared" si="13"/>
        <v>0</v>
      </c>
      <c r="I139" s="8">
        <f t="shared" si="13"/>
        <v>0</v>
      </c>
      <c r="J139" s="8">
        <f t="shared" si="13"/>
        <v>1</v>
      </c>
      <c r="K139" s="8">
        <f t="shared" si="13"/>
        <v>0</v>
      </c>
      <c r="L139" s="7"/>
    </row>
    <row r="140" spans="1:12" x14ac:dyDescent="0.25">
      <c r="A140" s="5">
        <f t="shared" si="12"/>
        <v>1.0133999999999985</v>
      </c>
      <c r="B140" s="66" t="s">
        <v>313</v>
      </c>
      <c r="C140" s="67" t="s">
        <v>314</v>
      </c>
      <c r="D140" s="68"/>
      <c r="E140" s="68"/>
      <c r="F140" s="8" t="s">
        <v>7</v>
      </c>
      <c r="G140" s="8">
        <f t="shared" si="13"/>
        <v>0</v>
      </c>
      <c r="H140" s="8">
        <f t="shared" si="13"/>
        <v>0</v>
      </c>
      <c r="I140" s="8">
        <f t="shared" si="13"/>
        <v>0</v>
      </c>
      <c r="J140" s="8">
        <f t="shared" si="13"/>
        <v>1</v>
      </c>
      <c r="K140" s="8">
        <f t="shared" si="13"/>
        <v>0</v>
      </c>
      <c r="L140" s="7"/>
    </row>
    <row r="141" spans="1:12" x14ac:dyDescent="0.25">
      <c r="A141" s="5">
        <f t="shared" si="12"/>
        <v>1.0134999999999985</v>
      </c>
      <c r="B141" s="7"/>
      <c r="C141" s="6"/>
      <c r="D141" s="7"/>
      <c r="E141" s="7"/>
      <c r="F141" s="8"/>
      <c r="G141" s="8"/>
      <c r="H141" s="8"/>
      <c r="I141" s="8"/>
      <c r="J141" s="8"/>
      <c r="K141" s="8"/>
      <c r="L141" s="7"/>
    </row>
    <row r="142" spans="1:12" s="20" customFormat="1" x14ac:dyDescent="0.25">
      <c r="A142" s="5">
        <f t="shared" si="12"/>
        <v>1.0135999999999985</v>
      </c>
      <c r="B142" s="17" t="s">
        <v>36</v>
      </c>
      <c r="C142" s="18"/>
      <c r="D142" s="17"/>
      <c r="E142" s="17"/>
      <c r="F142" s="19"/>
      <c r="G142" s="19"/>
      <c r="H142" s="19"/>
      <c r="I142" s="19"/>
      <c r="J142" s="19"/>
      <c r="K142" s="19"/>
      <c r="L142" s="17"/>
    </row>
    <row r="143" spans="1:12" ht="25.5" x14ac:dyDescent="0.25">
      <c r="A143" s="5">
        <f t="shared" si="12"/>
        <v>1.0136999999999985</v>
      </c>
      <c r="B143" s="7" t="s">
        <v>106</v>
      </c>
      <c r="C143" s="6" t="s">
        <v>107</v>
      </c>
      <c r="D143" s="7"/>
      <c r="E143" s="7"/>
      <c r="F143" s="8" t="s">
        <v>7</v>
      </c>
      <c r="G143" s="8">
        <f t="shared" ref="G143:K146" si="14">IF($F143=G$1,1,0)</f>
        <v>0</v>
      </c>
      <c r="H143" s="8">
        <f t="shared" si="14"/>
        <v>0</v>
      </c>
      <c r="I143" s="8">
        <f t="shared" si="14"/>
        <v>0</v>
      </c>
      <c r="J143" s="8">
        <f t="shared" si="14"/>
        <v>1</v>
      </c>
      <c r="K143" s="8">
        <f t="shared" si="14"/>
        <v>0</v>
      </c>
      <c r="L143" s="7"/>
    </row>
    <row r="144" spans="1:12" x14ac:dyDescent="0.25">
      <c r="A144" s="5">
        <f t="shared" si="12"/>
        <v>1.0137999999999985</v>
      </c>
      <c r="B144" s="7"/>
      <c r="C144" s="6" t="s">
        <v>108</v>
      </c>
      <c r="D144" s="7"/>
      <c r="E144" s="7"/>
      <c r="F144" s="8" t="s">
        <v>7</v>
      </c>
      <c r="G144" s="8">
        <f t="shared" si="14"/>
        <v>0</v>
      </c>
      <c r="H144" s="8">
        <f t="shared" si="14"/>
        <v>0</v>
      </c>
      <c r="I144" s="8">
        <f t="shared" si="14"/>
        <v>0</v>
      </c>
      <c r="J144" s="8">
        <f t="shared" si="14"/>
        <v>1</v>
      </c>
      <c r="K144" s="8">
        <f t="shared" si="14"/>
        <v>0</v>
      </c>
      <c r="L144" s="7"/>
    </row>
    <row r="145" spans="1:12" x14ac:dyDescent="0.25">
      <c r="A145" s="5">
        <f t="shared" si="12"/>
        <v>1.0138999999999985</v>
      </c>
      <c r="B145" s="7"/>
      <c r="C145" s="6" t="s">
        <v>109</v>
      </c>
      <c r="D145" s="7"/>
      <c r="E145" s="7"/>
      <c r="F145" s="8" t="s">
        <v>7</v>
      </c>
      <c r="G145" s="8">
        <f t="shared" si="14"/>
        <v>0</v>
      </c>
      <c r="H145" s="8">
        <f t="shared" si="14"/>
        <v>0</v>
      </c>
      <c r="I145" s="8">
        <f t="shared" si="14"/>
        <v>0</v>
      </c>
      <c r="J145" s="8">
        <f t="shared" si="14"/>
        <v>1</v>
      </c>
      <c r="K145" s="8">
        <f t="shared" si="14"/>
        <v>0</v>
      </c>
      <c r="L145" s="7"/>
    </row>
    <row r="146" spans="1:12" x14ac:dyDescent="0.25">
      <c r="A146" s="5">
        <f t="shared" si="12"/>
        <v>1.0139999999999985</v>
      </c>
      <c r="B146" s="7"/>
      <c r="C146" s="6" t="s">
        <v>137</v>
      </c>
      <c r="D146" s="7"/>
      <c r="E146" s="7"/>
      <c r="F146" s="8" t="s">
        <v>7</v>
      </c>
      <c r="G146" s="8">
        <f t="shared" si="14"/>
        <v>0</v>
      </c>
      <c r="H146" s="8">
        <f t="shared" si="14"/>
        <v>0</v>
      </c>
      <c r="I146" s="8">
        <f t="shared" si="14"/>
        <v>0</v>
      </c>
      <c r="J146" s="8">
        <f t="shared" si="14"/>
        <v>1</v>
      </c>
      <c r="K146" s="8">
        <f t="shared" si="14"/>
        <v>0</v>
      </c>
      <c r="L146" s="7"/>
    </row>
    <row r="147" spans="1:12" s="20" customFormat="1" x14ac:dyDescent="0.25">
      <c r="A147" s="5">
        <f t="shared" si="12"/>
        <v>1.0140999999999984</v>
      </c>
      <c r="B147" s="17" t="s">
        <v>284</v>
      </c>
      <c r="C147" s="18" t="s">
        <v>285</v>
      </c>
      <c r="D147" s="17"/>
      <c r="E147" s="17"/>
      <c r="F147" s="19"/>
      <c r="G147" s="19"/>
      <c r="H147" s="19"/>
      <c r="I147" s="19"/>
      <c r="J147" s="19"/>
      <c r="K147" s="19"/>
      <c r="L147" s="17"/>
    </row>
    <row r="148" spans="1:12" ht="38.25" x14ac:dyDescent="0.25">
      <c r="A148" s="5">
        <f t="shared" si="12"/>
        <v>1.0141999999999984</v>
      </c>
      <c r="B148" s="42" t="s">
        <v>269</v>
      </c>
      <c r="C148" s="43" t="s">
        <v>270</v>
      </c>
      <c r="D148" s="7"/>
      <c r="E148" s="7"/>
      <c r="F148" s="8" t="s">
        <v>8</v>
      </c>
      <c r="G148" s="8">
        <f t="shared" ref="G148:J148" si="15">IF($F148=G$1,1,0)</f>
        <v>0</v>
      </c>
      <c r="H148" s="8">
        <f t="shared" si="15"/>
        <v>0</v>
      </c>
      <c r="I148" s="8">
        <f t="shared" si="15"/>
        <v>0</v>
      </c>
      <c r="J148" s="8">
        <f t="shared" si="15"/>
        <v>0</v>
      </c>
      <c r="K148" s="8"/>
      <c r="L148" s="7"/>
    </row>
    <row r="149" spans="1:12" x14ac:dyDescent="0.25">
      <c r="A149" s="33"/>
      <c r="B149" s="34"/>
      <c r="C149" s="26"/>
      <c r="D149" s="34"/>
      <c r="E149" s="34"/>
      <c r="F149" s="35"/>
      <c r="G149" s="36"/>
      <c r="H149" s="36"/>
      <c r="I149" s="36"/>
      <c r="J149" s="36"/>
      <c r="K149" s="36"/>
      <c r="L149" s="34"/>
    </row>
    <row r="150" spans="1:12" ht="15.75" thickBot="1" x14ac:dyDescent="0.3">
      <c r="G150" s="2">
        <f>SUM(G3:G148)</f>
        <v>0</v>
      </c>
      <c r="H150" s="2">
        <f>SUM(H3:H148)</f>
        <v>0</v>
      </c>
      <c r="I150" s="2">
        <f>SUM(I3:I148)</f>
        <v>4</v>
      </c>
      <c r="J150" s="2">
        <f>SUM(J3:J148)</f>
        <v>124</v>
      </c>
      <c r="K150" s="2">
        <f>SUM(K3:K148)</f>
        <v>0</v>
      </c>
    </row>
    <row r="151" spans="1:12" ht="15.75" thickTop="1" x14ac:dyDescent="0.25"/>
  </sheetData>
  <mergeCells count="1">
    <mergeCell ref="A2:C2"/>
  </mergeCells>
  <conditionalFormatting sqref="E148 B85:D87 D69:E74 B79:D81 L64:L67 B64:E67 L143:L146 B143:E146 A3:L3 D26:D30 E12:E19 L10:L30 B25:C30 A149:L169 D62:L62 B113:L113 K37:L39 D37:J38 C4:F4 L5:L8 D32:E36 L32:L36 L40:L61 L69:L86 B89:E93 L109:L112 L89:L100 L102:L107 L115:L135 B141:L141 B136:E136 B98:E112 E87:L87 E22:E30 A4:A148 L137:L140 B5:F8 D40:E61 E77:E86 D115:F124 B69:C77 B94:C97 D125:E135 G136:L136">
    <cfRule type="expression" dxfId="143" priority="175">
      <formula>$F3="Fail"</formula>
    </cfRule>
  </conditionalFormatting>
  <conditionalFormatting sqref="B13:B15 C78 B82:B84">
    <cfRule type="expression" dxfId="142" priority="163">
      <formula>$F13="Fail"</formula>
    </cfRule>
  </conditionalFormatting>
  <conditionalFormatting sqref="B16:B20 B10:B12 D10 D17:D19">
    <cfRule type="expression" dxfId="141" priority="162">
      <formula>$F10="Fail"</formula>
    </cfRule>
  </conditionalFormatting>
  <conditionalFormatting sqref="B77:D77 C78:D78 B82:B84 D82:D84 B75:C76">
    <cfRule type="expression" dxfId="140" priority="161">
      <formula>$F75="Fail"</formula>
    </cfRule>
  </conditionalFormatting>
  <conditionalFormatting sqref="B26:C26 B22:D25 B18:B21">
    <cfRule type="expression" dxfId="139" priority="160">
      <formula>$F18="Fail"</formula>
    </cfRule>
  </conditionalFormatting>
  <conditionalFormatting sqref="B4">
    <cfRule type="expression" dxfId="138" priority="167">
      <formula>$F4="Fail"</formula>
    </cfRule>
  </conditionalFormatting>
  <conditionalFormatting sqref="E10:E11">
    <cfRule type="expression" dxfId="137" priority="166">
      <formula>$F10="Fail"</formula>
    </cfRule>
  </conditionalFormatting>
  <conditionalFormatting sqref="B16">
    <cfRule type="expression" dxfId="136" priority="159">
      <formula>$F16="Fail"</formula>
    </cfRule>
  </conditionalFormatting>
  <conditionalFormatting sqref="B20">
    <cfRule type="expression" dxfId="135" priority="158">
      <formula>$F20="Fail"</formula>
    </cfRule>
  </conditionalFormatting>
  <conditionalFormatting sqref="B78">
    <cfRule type="expression" dxfId="134" priority="149">
      <formula>$F78="Fail"</formula>
    </cfRule>
  </conditionalFormatting>
  <conditionalFormatting sqref="C83:C84">
    <cfRule type="expression" dxfId="133" priority="147">
      <formula>$F83="Fail"</formula>
    </cfRule>
  </conditionalFormatting>
  <conditionalFormatting sqref="C82">
    <cfRule type="expression" dxfId="132" priority="145">
      <formula>$F82="Fail"</formula>
    </cfRule>
  </conditionalFormatting>
  <conditionalFormatting sqref="C82">
    <cfRule type="expression" dxfId="131" priority="144">
      <formula>$F82="Fail"</formula>
    </cfRule>
  </conditionalFormatting>
  <conditionalFormatting sqref="C83:C84">
    <cfRule type="expression" dxfId="130" priority="146">
      <formula>$F83="Fail"</formula>
    </cfRule>
  </conditionalFormatting>
  <conditionalFormatting sqref="B78">
    <cfRule type="expression" dxfId="129" priority="148">
      <formula>$F78="Fail"</formula>
    </cfRule>
  </conditionalFormatting>
  <conditionalFormatting sqref="B110:C110">
    <cfRule type="expression" dxfId="128" priority="130">
      <formula>$F110="Fail"</formula>
    </cfRule>
  </conditionalFormatting>
  <conditionalFormatting sqref="B148:C148">
    <cfRule type="expression" dxfId="127" priority="120">
      <formula>$F148="Fail"</formula>
    </cfRule>
  </conditionalFormatting>
  <conditionalFormatting sqref="L108">
    <cfRule type="expression" dxfId="126" priority="114">
      <formula>$F108="Fail"</formula>
    </cfRule>
  </conditionalFormatting>
  <conditionalFormatting sqref="B9:K9">
    <cfRule type="expression" dxfId="125" priority="106">
      <formula>$F9="Fail"</formula>
    </cfRule>
  </conditionalFormatting>
  <conditionalFormatting sqref="D148">
    <cfRule type="expression" dxfId="124" priority="115">
      <formula>$F148="Fail"</formula>
    </cfRule>
  </conditionalFormatting>
  <conditionalFormatting sqref="L9">
    <cfRule type="expression" dxfId="123" priority="105">
      <formula>$F9="Fail"</formula>
    </cfRule>
  </conditionalFormatting>
  <conditionalFormatting sqref="B63:K63">
    <cfRule type="expression" dxfId="122" priority="100">
      <formula>$F63="Fail"</formula>
    </cfRule>
  </conditionalFormatting>
  <conditionalFormatting sqref="L101">
    <cfRule type="expression" dxfId="121" priority="113">
      <formula>$F101="Fail"</formula>
    </cfRule>
  </conditionalFormatting>
  <conditionalFormatting sqref="D31:K31">
    <cfRule type="expression" dxfId="120" priority="104">
      <formula>$F31="Fail"</formula>
    </cfRule>
  </conditionalFormatting>
  <conditionalFormatting sqref="B142:K142">
    <cfRule type="expression" dxfId="119" priority="94">
      <formula>$F142="Fail"</formula>
    </cfRule>
  </conditionalFormatting>
  <conditionalFormatting sqref="L63">
    <cfRule type="expression" dxfId="118" priority="99">
      <formula>$F63="Fail"</formula>
    </cfRule>
  </conditionalFormatting>
  <conditionalFormatting sqref="L142">
    <cfRule type="expression" dxfId="117" priority="93">
      <formula>$F142="Fail"</formula>
    </cfRule>
  </conditionalFormatting>
  <conditionalFormatting sqref="B147:K147">
    <cfRule type="expression" dxfId="116" priority="92">
      <formula>$F147="Fail"</formula>
    </cfRule>
  </conditionalFormatting>
  <conditionalFormatting sqref="B68:K68">
    <cfRule type="expression" dxfId="115" priority="96">
      <formula>$F68="Fail"</formula>
    </cfRule>
  </conditionalFormatting>
  <conditionalFormatting sqref="L31">
    <cfRule type="expression" dxfId="114" priority="103">
      <formula>$F31="Fail"</formula>
    </cfRule>
  </conditionalFormatting>
  <conditionalFormatting sqref="L147">
    <cfRule type="expression" dxfId="113" priority="91">
      <formula>$F147="Fail"</formula>
    </cfRule>
  </conditionalFormatting>
  <conditionalFormatting sqref="C14:C15">
    <cfRule type="expression" dxfId="112" priority="84">
      <formula>$F14="Fail"</formula>
    </cfRule>
  </conditionalFormatting>
  <conditionalFormatting sqref="L68">
    <cfRule type="expression" dxfId="111" priority="95">
      <formula>$F68="Fail"</formula>
    </cfRule>
  </conditionalFormatting>
  <conditionalFormatting sqref="F148:L148">
    <cfRule type="expression" dxfId="110" priority="89">
      <formula>$F148="Fail"</formula>
    </cfRule>
  </conditionalFormatting>
  <conditionalFormatting sqref="D11:D16">
    <cfRule type="expression" dxfId="109" priority="85">
      <formula>$F11="Fail"</formula>
    </cfRule>
  </conditionalFormatting>
  <conditionalFormatting sqref="C16:C20 C10:C12">
    <cfRule type="expression" dxfId="108" priority="83">
      <formula>$F10="Fail"</formula>
    </cfRule>
  </conditionalFormatting>
  <conditionalFormatting sqref="C18:C21">
    <cfRule type="expression" dxfId="107" priority="82">
      <formula>$F18="Fail"</formula>
    </cfRule>
  </conditionalFormatting>
  <conditionalFormatting sqref="C13">
    <cfRule type="expression" dxfId="106" priority="79">
      <formula>$F13="Fail"</formula>
    </cfRule>
  </conditionalFormatting>
  <conditionalFormatting sqref="C16">
    <cfRule type="expression" dxfId="105" priority="81">
      <formula>$F16="Fail"</formula>
    </cfRule>
  </conditionalFormatting>
  <conditionalFormatting sqref="C20">
    <cfRule type="expression" dxfId="104" priority="80">
      <formula>$F20="Fail"</formula>
    </cfRule>
  </conditionalFormatting>
  <conditionalFormatting sqref="I39:J39">
    <cfRule type="expression" dxfId="103" priority="77">
      <formula>$F39="Fail"</formula>
    </cfRule>
  </conditionalFormatting>
  <conditionalFormatting sqref="L88">
    <cfRule type="expression" dxfId="102" priority="54">
      <formula>$F88="Fail"</formula>
    </cfRule>
  </conditionalFormatting>
  <conditionalFormatting sqref="B40:C61">
    <cfRule type="expression" dxfId="101" priority="65">
      <formula>$F40="Fail"</formula>
    </cfRule>
  </conditionalFormatting>
  <conditionalFormatting sqref="B125">
    <cfRule type="expression" dxfId="100" priority="48">
      <formula>$F125="Fail"</formula>
    </cfRule>
  </conditionalFormatting>
  <conditionalFormatting sqref="B61:C61">
    <cfRule type="expression" dxfId="99" priority="64">
      <formula>$F61="Fail"</formula>
    </cfRule>
  </conditionalFormatting>
  <conditionalFormatting sqref="B39">
    <cfRule type="expression" dxfId="98" priority="63">
      <formula>$F39="Fail"</formula>
    </cfRule>
  </conditionalFormatting>
  <conditionalFormatting sqref="C39">
    <cfRule type="expression" dxfId="97" priority="62">
      <formula>$F39="Fail"</formula>
    </cfRule>
  </conditionalFormatting>
  <conditionalFormatting sqref="D39:H39">
    <cfRule type="expression" dxfId="96" priority="60">
      <formula>$F39="Fail"</formula>
    </cfRule>
  </conditionalFormatting>
  <conditionalFormatting sqref="B88">
    <cfRule type="expression" dxfId="95" priority="59">
      <formula>$F88="Fail"</formula>
    </cfRule>
  </conditionalFormatting>
  <conditionalFormatting sqref="C88">
    <cfRule type="expression" dxfId="94" priority="58">
      <formula>$F88="Fail"</formula>
    </cfRule>
  </conditionalFormatting>
  <conditionalFormatting sqref="C123:C126">
    <cfRule type="expression" dxfId="93" priority="44">
      <formula>$F123="Fail"</formula>
    </cfRule>
  </conditionalFormatting>
  <conditionalFormatting sqref="D88">
    <cfRule type="expression" dxfId="92" priority="56">
      <formula>$F88="Fail"</formula>
    </cfRule>
  </conditionalFormatting>
  <conditionalFormatting sqref="E88:K88">
    <cfRule type="expression" dxfId="91" priority="55">
      <formula>$F88="Fail"</formula>
    </cfRule>
  </conditionalFormatting>
  <conditionalFormatting sqref="B130:C135">
    <cfRule type="expression" dxfId="90" priority="53">
      <formula>$F130="Fail"</formula>
    </cfRule>
  </conditionalFormatting>
  <conditionalFormatting sqref="B118:B120">
    <cfRule type="expression" dxfId="89" priority="52">
      <formula>$F118="Fail"</formula>
    </cfRule>
  </conditionalFormatting>
  <conditionalFormatting sqref="B121:B125 B115:B117">
    <cfRule type="expression" dxfId="88" priority="51">
      <formula>$F115="Fail"</formula>
    </cfRule>
  </conditionalFormatting>
  <conditionalFormatting sqref="B127:C131 B123:B126">
    <cfRule type="expression" dxfId="87" priority="50">
      <formula>$F123="Fail"</formula>
    </cfRule>
  </conditionalFormatting>
  <conditionalFormatting sqref="B121">
    <cfRule type="expression" dxfId="86" priority="49">
      <formula>$F121="Fail"</formula>
    </cfRule>
  </conditionalFormatting>
  <conditionalFormatting sqref="B114:C114">
    <cfRule type="expression" dxfId="85" priority="47">
      <formula>$F114="Fail"</formula>
    </cfRule>
  </conditionalFormatting>
  <conditionalFormatting sqref="C119:C120">
    <cfRule type="expression" dxfId="84" priority="46">
      <formula>$F119="Fail"</formula>
    </cfRule>
  </conditionalFormatting>
  <conditionalFormatting sqref="C121:C125 C115:C117">
    <cfRule type="expression" dxfId="83" priority="45">
      <formula>$F115="Fail"</formula>
    </cfRule>
  </conditionalFormatting>
  <conditionalFormatting sqref="C118">
    <cfRule type="expression" dxfId="82" priority="41">
      <formula>$F118="Fail"</formula>
    </cfRule>
  </conditionalFormatting>
  <conditionalFormatting sqref="C121">
    <cfRule type="expression" dxfId="81" priority="43">
      <formula>$F121="Fail"</formula>
    </cfRule>
  </conditionalFormatting>
  <conditionalFormatting sqref="C125">
    <cfRule type="expression" dxfId="80" priority="42">
      <formula>$F125="Fail"</formula>
    </cfRule>
  </conditionalFormatting>
  <conditionalFormatting sqref="L114">
    <cfRule type="expression" dxfId="79" priority="38">
      <formula>$F114="Fail"</formula>
    </cfRule>
  </conditionalFormatting>
  <conditionalFormatting sqref="D114">
    <cfRule type="expression" dxfId="78" priority="40">
      <formula>$F114="Fail"</formula>
    </cfRule>
  </conditionalFormatting>
  <conditionalFormatting sqref="E114:K114">
    <cfRule type="expression" dxfId="77" priority="39">
      <formula>$F114="Fail"</formula>
    </cfRule>
  </conditionalFormatting>
  <conditionalFormatting sqref="B137:C138">
    <cfRule type="expression" dxfId="76" priority="37">
      <formula>$F137="Fail"</formula>
    </cfRule>
  </conditionalFormatting>
  <conditionalFormatting sqref="B137:C138">
    <cfRule type="expression" dxfId="75" priority="36">
      <formula>$F137="Fail"</formula>
    </cfRule>
  </conditionalFormatting>
  <conditionalFormatting sqref="B139:C139">
    <cfRule type="expression" dxfId="74" priority="35">
      <formula>$F139="Fail"</formula>
    </cfRule>
  </conditionalFormatting>
  <conditionalFormatting sqref="B139:C139">
    <cfRule type="expression" dxfId="73" priority="34">
      <formula>$F139="Fail"</formula>
    </cfRule>
  </conditionalFormatting>
  <conditionalFormatting sqref="L4">
    <cfRule type="expression" dxfId="72" priority="33">
      <formula>$F4="Fail"</formula>
    </cfRule>
  </conditionalFormatting>
  <conditionalFormatting sqref="G4:K4">
    <cfRule type="expression" dxfId="71" priority="32">
      <formula>$F4="Fail"</formula>
    </cfRule>
  </conditionalFormatting>
  <conditionalFormatting sqref="G5:K8">
    <cfRule type="expression" dxfId="70" priority="31">
      <formula>$F5="Fail"</formula>
    </cfRule>
  </conditionalFormatting>
  <conditionalFormatting sqref="G10:K30">
    <cfRule type="expression" dxfId="69" priority="30">
      <formula>$F10="Fail"</formula>
    </cfRule>
  </conditionalFormatting>
  <conditionalFormatting sqref="G32:K36">
    <cfRule type="expression" dxfId="68" priority="29">
      <formula>$F32="Fail"</formula>
    </cfRule>
  </conditionalFormatting>
  <conditionalFormatting sqref="G40:K61">
    <cfRule type="expression" dxfId="67" priority="28">
      <formula>$F40="Fail"</formula>
    </cfRule>
  </conditionalFormatting>
  <conditionalFormatting sqref="G64:K67">
    <cfRule type="expression" dxfId="66" priority="27">
      <formula>$F64="Fail"</formula>
    </cfRule>
  </conditionalFormatting>
  <conditionalFormatting sqref="G69:K85">
    <cfRule type="expression" dxfId="65" priority="26">
      <formula>$F69="Fail"</formula>
    </cfRule>
  </conditionalFormatting>
  <conditionalFormatting sqref="G86:K86">
    <cfRule type="expression" dxfId="64" priority="25">
      <formula>$F86="Fail"</formula>
    </cfRule>
  </conditionalFormatting>
  <conditionalFormatting sqref="G89:K99">
    <cfRule type="expression" dxfId="63" priority="24">
      <formula>$F89="Fail"</formula>
    </cfRule>
  </conditionalFormatting>
  <conditionalFormatting sqref="G100:K112">
    <cfRule type="expression" dxfId="62" priority="23">
      <formula>$F100="Fail"</formula>
    </cfRule>
  </conditionalFormatting>
  <conditionalFormatting sqref="G115:K135">
    <cfRule type="expression" dxfId="61" priority="22">
      <formula>$F115="Fail"</formula>
    </cfRule>
  </conditionalFormatting>
  <conditionalFormatting sqref="G137:K139">
    <cfRule type="expression" dxfId="60" priority="21">
      <formula>$F137="Fail"</formula>
    </cfRule>
  </conditionalFormatting>
  <conditionalFormatting sqref="G143:K146">
    <cfRule type="expression" dxfId="59" priority="20">
      <formula>$F143="Fail"</formula>
    </cfRule>
  </conditionalFormatting>
  <conditionalFormatting sqref="D94:E97">
    <cfRule type="expression" dxfId="58" priority="19">
      <formula>$F94="Fail"</formula>
    </cfRule>
  </conditionalFormatting>
  <conditionalFormatting sqref="D75:E76">
    <cfRule type="expression" dxfId="57" priority="18">
      <formula>$F75="Fail"</formula>
    </cfRule>
  </conditionalFormatting>
  <conditionalFormatting sqref="D20:E21">
    <cfRule type="expression" dxfId="56" priority="17">
      <formula>$F20="Fail"</formula>
    </cfRule>
  </conditionalFormatting>
  <conditionalFormatting sqref="B140:C140">
    <cfRule type="expression" dxfId="55" priority="16">
      <formula>$F140="Fail"</formula>
    </cfRule>
  </conditionalFormatting>
  <conditionalFormatting sqref="B140:C140">
    <cfRule type="expression" dxfId="54" priority="15">
      <formula>$F140="Fail"</formula>
    </cfRule>
  </conditionalFormatting>
  <conditionalFormatting sqref="G140:K140">
    <cfRule type="expression" dxfId="53" priority="14">
      <formula>$F140="Fail"</formula>
    </cfRule>
  </conditionalFormatting>
  <conditionalFormatting sqref="F10:F21">
    <cfRule type="expression" dxfId="52" priority="13">
      <formula>$F10="Fail"</formula>
    </cfRule>
  </conditionalFormatting>
  <conditionalFormatting sqref="F22:F30">
    <cfRule type="expression" dxfId="51" priority="12">
      <formula>$F22="Fail"</formula>
    </cfRule>
  </conditionalFormatting>
  <conditionalFormatting sqref="F32:F36">
    <cfRule type="expression" dxfId="50" priority="11">
      <formula>$F32="Fail"</formula>
    </cfRule>
  </conditionalFormatting>
  <conditionalFormatting sqref="F40:F48">
    <cfRule type="expression" dxfId="49" priority="10">
      <formula>$F40="Fail"</formula>
    </cfRule>
  </conditionalFormatting>
  <conditionalFormatting sqref="F50:F61">
    <cfRule type="expression" dxfId="48" priority="9">
      <formula>$F50="Fail"</formula>
    </cfRule>
  </conditionalFormatting>
  <conditionalFormatting sqref="F49">
    <cfRule type="expression" dxfId="47" priority="8">
      <formula>$F49="Fail"</formula>
    </cfRule>
  </conditionalFormatting>
  <conditionalFormatting sqref="F64:F67">
    <cfRule type="expression" dxfId="46" priority="7">
      <formula>$F64="Fail"</formula>
    </cfRule>
  </conditionalFormatting>
  <conditionalFormatting sqref="F69:F81">
    <cfRule type="expression" dxfId="45" priority="6">
      <formula>$F69="Fail"</formula>
    </cfRule>
  </conditionalFormatting>
  <conditionalFormatting sqref="F82:F86">
    <cfRule type="expression" dxfId="44" priority="5">
      <formula>$F82="Fail"</formula>
    </cfRule>
  </conditionalFormatting>
  <conditionalFormatting sqref="F89:F100">
    <cfRule type="expression" dxfId="43" priority="4">
      <formula>$F89="Fail"</formula>
    </cfRule>
  </conditionalFormatting>
  <conditionalFormatting sqref="F101:F112">
    <cfRule type="expression" dxfId="42" priority="3">
      <formula>$F101="Fail"</formula>
    </cfRule>
  </conditionalFormatting>
  <conditionalFormatting sqref="F125:F140">
    <cfRule type="expression" dxfId="41" priority="2">
      <formula>$F125="Fail"</formula>
    </cfRule>
  </conditionalFormatting>
  <conditionalFormatting sqref="F143:F146">
    <cfRule type="expression" dxfId="40" priority="1">
      <formula>$F143="Fail"</formula>
    </cfRule>
  </conditionalFormatting>
  <dataValidations count="1">
    <dataValidation type="list" allowBlank="1" showInputMessage="1" showErrorMessage="1" sqref="F3:F8 F40:F62 F115:F141 F89:F113 F64:F67 F32:F38 F69:F87 F10:F30 F143:F149">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2]!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8" id="{AAFA591D-E015-415C-9116-FFB8BBCFFE11}">
            <xm:f>'C:\Users\E939818\Documents\_Project Documents\SVN TEST  team\_Sutuwa\Testing\Release 1\Stats\[SEB_InvestAdmin_Investment.xlsm]External'!#REF!="Fail"</xm:f>
            <x14:dxf>
              <font>
                <color rgb="FFFF0000"/>
              </font>
              <fill>
                <patternFill>
                  <bgColor theme="9" tint="0.59996337778862885"/>
                </patternFill>
              </fill>
            </x14:dxf>
          </x14:cfRule>
          <xm:sqref>B62:C62 B31:C38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106"/>
  <sheetViews>
    <sheetView topLeftCell="C1" zoomScaleNormal="100" workbookViewId="0">
      <pane ySplit="1" topLeftCell="A86" activePane="bottomLeft" state="frozen"/>
      <selection pane="bottomLeft" activeCell="I59" sqref="I59"/>
    </sheetView>
  </sheetViews>
  <sheetFormatPr defaultColWidth="9.140625" defaultRowHeight="15" x14ac:dyDescent="0.25"/>
  <cols>
    <col min="1" max="1" width="11.28515625" style="4" bestFit="1" customWidth="1"/>
    <col min="2" max="2" width="59.140625" style="4" customWidth="1"/>
    <col min="3" max="3" width="43.28515625" style="1" bestFit="1" customWidth="1"/>
    <col min="4" max="4" width="32.140625" style="1" customWidth="1"/>
    <col min="5" max="5" width="17.7109375" style="1" customWidth="1"/>
    <col min="6" max="6" width="14.7109375" style="1" customWidth="1"/>
    <col min="7" max="8" width="9.140625" style="1"/>
    <col min="9" max="9" width="9.140625" style="123"/>
    <col min="10"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1" t="s">
        <v>4</v>
      </c>
      <c r="E1" s="12" t="s">
        <v>3</v>
      </c>
      <c r="F1" s="11" t="s">
        <v>0</v>
      </c>
      <c r="G1" s="12" t="s">
        <v>5</v>
      </c>
      <c r="H1" s="12" t="s">
        <v>6</v>
      </c>
      <c r="I1" s="116"/>
      <c r="J1" s="12" t="s">
        <v>7</v>
      </c>
      <c r="K1" s="12" t="s">
        <v>8</v>
      </c>
      <c r="L1" s="12" t="s">
        <v>12</v>
      </c>
    </row>
    <row r="2" spans="1:12" s="88" customFormat="1" ht="30" customHeight="1" x14ac:dyDescent="0.25">
      <c r="A2" s="40"/>
      <c r="B2" s="110"/>
      <c r="C2" s="111"/>
      <c r="D2" s="112"/>
      <c r="E2" s="41"/>
      <c r="F2" s="87"/>
      <c r="G2" s="41"/>
      <c r="H2" s="41"/>
      <c r="I2" s="117"/>
      <c r="J2" s="41"/>
      <c r="K2" s="41"/>
      <c r="L2" s="41"/>
    </row>
    <row r="3" spans="1:12" ht="30" customHeight="1" x14ac:dyDescent="0.25">
      <c r="A3" s="107" t="s">
        <v>344</v>
      </c>
      <c r="B3" s="108"/>
      <c r="C3" s="109"/>
      <c r="D3" s="11"/>
      <c r="E3" s="12"/>
      <c r="F3" s="11"/>
      <c r="G3" s="12"/>
      <c r="H3" s="12"/>
      <c r="I3" s="116"/>
      <c r="J3" s="12"/>
      <c r="K3" s="12"/>
      <c r="L3" s="12"/>
    </row>
    <row r="4" spans="1:12" s="20" customFormat="1" x14ac:dyDescent="0.25">
      <c r="A4" s="77">
        <v>1</v>
      </c>
      <c r="B4" s="78" t="s">
        <v>322</v>
      </c>
      <c r="C4" s="17"/>
      <c r="D4" s="18"/>
      <c r="E4" s="17"/>
      <c r="F4" s="19"/>
      <c r="G4" s="19"/>
      <c r="H4" s="19"/>
      <c r="I4" s="118"/>
      <c r="J4" s="19"/>
      <c r="K4" s="19"/>
      <c r="L4" s="17"/>
    </row>
    <row r="5" spans="1:12" s="74" customFormat="1" x14ac:dyDescent="0.25">
      <c r="A5" s="5">
        <f t="shared" ref="A5:A68" si="0">A4+0.0001</f>
        <v>1.0001</v>
      </c>
      <c r="B5" s="91"/>
      <c r="C5" s="50"/>
      <c r="D5" s="47"/>
      <c r="E5" s="50"/>
      <c r="F5" s="59"/>
      <c r="G5" s="59"/>
      <c r="H5" s="59"/>
      <c r="I5" s="119"/>
      <c r="J5" s="59"/>
      <c r="K5" s="59"/>
      <c r="L5" s="50"/>
    </row>
    <row r="6" spans="1:12" s="74" customFormat="1" ht="25.5" x14ac:dyDescent="0.25">
      <c r="A6" s="5">
        <f t="shared" si="0"/>
        <v>1.0002</v>
      </c>
      <c r="B6" s="6" t="s">
        <v>341</v>
      </c>
      <c r="C6" s="9"/>
      <c r="D6" s="47"/>
      <c r="E6" s="50"/>
      <c r="F6" s="8" t="s">
        <v>5</v>
      </c>
      <c r="G6" s="8">
        <f t="shared" ref="G6:K12" si="1">IF($F6=G$1,1,0)</f>
        <v>1</v>
      </c>
      <c r="H6" s="8">
        <f t="shared" si="1"/>
        <v>0</v>
      </c>
      <c r="I6" s="120">
        <f t="shared" si="1"/>
        <v>0</v>
      </c>
      <c r="J6" s="8">
        <f t="shared" si="1"/>
        <v>0</v>
      </c>
      <c r="K6" s="8">
        <f t="shared" si="1"/>
        <v>0</v>
      </c>
      <c r="L6" s="50"/>
    </row>
    <row r="7" spans="1:12" s="74" customFormat="1" ht="25.5" x14ac:dyDescent="0.25">
      <c r="A7" s="5">
        <f t="shared" si="0"/>
        <v>1.0003</v>
      </c>
      <c r="B7" s="27" t="s">
        <v>58</v>
      </c>
      <c r="C7" s="9" t="s">
        <v>59</v>
      </c>
      <c r="D7" s="47"/>
      <c r="E7" s="50"/>
      <c r="F7" s="8" t="s">
        <v>5</v>
      </c>
      <c r="G7" s="8">
        <f t="shared" si="1"/>
        <v>1</v>
      </c>
      <c r="H7" s="8">
        <f t="shared" si="1"/>
        <v>0</v>
      </c>
      <c r="I7" s="120">
        <f t="shared" si="1"/>
        <v>0</v>
      </c>
      <c r="J7" s="8">
        <f t="shared" si="1"/>
        <v>0</v>
      </c>
      <c r="K7" s="8">
        <f t="shared" si="1"/>
        <v>0</v>
      </c>
      <c r="L7" s="50"/>
    </row>
    <row r="8" spans="1:12" s="74" customFormat="1" ht="25.5" x14ac:dyDescent="0.25">
      <c r="A8" s="5">
        <f t="shared" si="0"/>
        <v>1.0004</v>
      </c>
      <c r="B8" s="27" t="s">
        <v>60</v>
      </c>
      <c r="C8" s="9" t="s">
        <v>61</v>
      </c>
      <c r="D8" s="47"/>
      <c r="E8" s="50"/>
      <c r="F8" s="8" t="s">
        <v>5</v>
      </c>
      <c r="G8" s="8">
        <f t="shared" si="1"/>
        <v>1</v>
      </c>
      <c r="H8" s="8">
        <f t="shared" si="1"/>
        <v>0</v>
      </c>
      <c r="I8" s="120">
        <f t="shared" si="1"/>
        <v>0</v>
      </c>
      <c r="J8" s="8">
        <f t="shared" si="1"/>
        <v>0</v>
      </c>
      <c r="K8" s="8">
        <f t="shared" si="1"/>
        <v>0</v>
      </c>
      <c r="L8" s="50"/>
    </row>
    <row r="9" spans="1:12" s="74" customFormat="1" x14ac:dyDescent="0.25">
      <c r="A9" s="5">
        <f t="shared" si="0"/>
        <v>1.0004999999999999</v>
      </c>
      <c r="B9" s="6"/>
      <c r="C9" s="9" t="s">
        <v>342</v>
      </c>
      <c r="D9" s="47"/>
      <c r="E9" s="50"/>
      <c r="F9" s="8" t="s">
        <v>5</v>
      </c>
      <c r="G9" s="8">
        <f t="shared" si="1"/>
        <v>1</v>
      </c>
      <c r="H9" s="8">
        <f t="shared" si="1"/>
        <v>0</v>
      </c>
      <c r="I9" s="120">
        <f t="shared" si="1"/>
        <v>0</v>
      </c>
      <c r="J9" s="8">
        <f t="shared" si="1"/>
        <v>0</v>
      </c>
      <c r="K9" s="8">
        <f t="shared" si="1"/>
        <v>0</v>
      </c>
      <c r="L9" s="50"/>
    </row>
    <row r="10" spans="1:12" s="74" customFormat="1" x14ac:dyDescent="0.25">
      <c r="A10" s="5">
        <f t="shared" si="0"/>
        <v>1.0005999999999999</v>
      </c>
      <c r="B10" s="25"/>
      <c r="C10" s="23"/>
      <c r="D10" s="47"/>
      <c r="E10" s="50"/>
      <c r="F10" s="8" t="s">
        <v>5</v>
      </c>
      <c r="G10" s="8">
        <f t="shared" si="1"/>
        <v>1</v>
      </c>
      <c r="H10" s="8">
        <f t="shared" si="1"/>
        <v>0</v>
      </c>
      <c r="I10" s="120">
        <f t="shared" si="1"/>
        <v>0</v>
      </c>
      <c r="J10" s="8">
        <f t="shared" si="1"/>
        <v>0</v>
      </c>
      <c r="K10" s="8">
        <f t="shared" si="1"/>
        <v>0</v>
      </c>
      <c r="L10" s="50"/>
    </row>
    <row r="11" spans="1:12" s="74" customFormat="1" x14ac:dyDescent="0.25">
      <c r="A11" s="5">
        <f t="shared" si="0"/>
        <v>1.0006999999999999</v>
      </c>
      <c r="B11" s="29" t="s">
        <v>343</v>
      </c>
      <c r="C11" s="30" t="s">
        <v>167</v>
      </c>
      <c r="D11" s="47"/>
      <c r="E11" s="50"/>
      <c r="F11" s="8" t="s">
        <v>5</v>
      </c>
      <c r="G11" s="8">
        <f t="shared" si="1"/>
        <v>1</v>
      </c>
      <c r="H11" s="8">
        <f t="shared" si="1"/>
        <v>0</v>
      </c>
      <c r="I11" s="120">
        <f t="shared" si="1"/>
        <v>0</v>
      </c>
      <c r="J11" s="8">
        <f t="shared" si="1"/>
        <v>0</v>
      </c>
      <c r="K11" s="8">
        <f t="shared" si="1"/>
        <v>0</v>
      </c>
      <c r="L11" s="50"/>
    </row>
    <row r="12" spans="1:12" s="96" customFormat="1" ht="15.75" customHeight="1" x14ac:dyDescent="0.25">
      <c r="A12" s="5">
        <f t="shared" si="0"/>
        <v>1.0007999999999999</v>
      </c>
      <c r="B12" s="93" t="s">
        <v>361</v>
      </c>
      <c r="C12" s="94" t="s">
        <v>362</v>
      </c>
      <c r="D12" s="95" t="s">
        <v>363</v>
      </c>
      <c r="E12" s="94"/>
      <c r="F12" s="8" t="s">
        <v>5</v>
      </c>
      <c r="G12" s="8">
        <f t="shared" si="1"/>
        <v>1</v>
      </c>
      <c r="H12" s="8">
        <f t="shared" si="1"/>
        <v>0</v>
      </c>
      <c r="I12" s="120">
        <f t="shared" si="1"/>
        <v>0</v>
      </c>
      <c r="J12" s="8">
        <f t="shared" si="1"/>
        <v>0</v>
      </c>
      <c r="K12" s="8">
        <f t="shared" si="1"/>
        <v>0</v>
      </c>
      <c r="L12" s="94"/>
    </row>
    <row r="13" spans="1:12" s="74" customFormat="1" x14ac:dyDescent="0.25">
      <c r="A13" s="5">
        <f t="shared" si="0"/>
        <v>1.0008999999999999</v>
      </c>
      <c r="B13" s="91"/>
      <c r="C13" s="50"/>
      <c r="D13" s="47"/>
      <c r="E13" s="50"/>
      <c r="F13" s="8"/>
      <c r="G13" s="59"/>
      <c r="H13" s="59"/>
      <c r="I13" s="119"/>
      <c r="J13" s="59"/>
      <c r="K13" s="59"/>
      <c r="L13" s="50"/>
    </row>
    <row r="14" spans="1:12" x14ac:dyDescent="0.25">
      <c r="A14" s="5">
        <f t="shared" si="0"/>
        <v>1.0009999999999999</v>
      </c>
      <c r="B14" s="5" t="s">
        <v>323</v>
      </c>
      <c r="C14" s="79" t="s">
        <v>316</v>
      </c>
      <c r="D14" s="9"/>
      <c r="E14" s="7"/>
      <c r="F14" s="8" t="s">
        <v>5</v>
      </c>
      <c r="G14" s="8">
        <f>IF($F14=G$1,1,0)</f>
        <v>1</v>
      </c>
      <c r="H14" s="8">
        <f t="shared" ref="H14:K22" si="2">IF($F14=H$1,1,0)</f>
        <v>0</v>
      </c>
      <c r="I14" s="120">
        <f t="shared" si="2"/>
        <v>0</v>
      </c>
      <c r="J14" s="8">
        <f t="shared" si="2"/>
        <v>0</v>
      </c>
      <c r="K14" s="8">
        <f t="shared" si="2"/>
        <v>0</v>
      </c>
      <c r="L14" s="7"/>
    </row>
    <row r="15" spans="1:12" ht="22.5" x14ac:dyDescent="0.25">
      <c r="A15" s="5">
        <f t="shared" si="0"/>
        <v>1.0010999999999999</v>
      </c>
      <c r="B15" s="5"/>
      <c r="C15" s="80" t="s">
        <v>339</v>
      </c>
      <c r="D15" s="6"/>
      <c r="E15" s="7"/>
      <c r="F15" s="8" t="s">
        <v>5</v>
      </c>
      <c r="G15" s="8">
        <f t="shared" ref="G15:K30" si="3">IF($F15=G$1,1,0)</f>
        <v>1</v>
      </c>
      <c r="H15" s="8">
        <f t="shared" si="2"/>
        <v>0</v>
      </c>
      <c r="I15" s="120">
        <f t="shared" si="2"/>
        <v>0</v>
      </c>
      <c r="J15" s="8">
        <f t="shared" si="2"/>
        <v>0</v>
      </c>
      <c r="K15" s="8">
        <f t="shared" si="2"/>
        <v>0</v>
      </c>
      <c r="L15" s="7"/>
    </row>
    <row r="16" spans="1:12" ht="22.5" x14ac:dyDescent="0.25">
      <c r="A16" s="5">
        <f t="shared" si="0"/>
        <v>1.0011999999999999</v>
      </c>
      <c r="B16" s="5"/>
      <c r="C16" s="80" t="s">
        <v>317</v>
      </c>
      <c r="D16" s="6"/>
      <c r="E16" s="7"/>
      <c r="F16" s="8" t="s">
        <v>5</v>
      </c>
      <c r="G16" s="8">
        <f t="shared" si="3"/>
        <v>1</v>
      </c>
      <c r="H16" s="8">
        <f t="shared" si="2"/>
        <v>0</v>
      </c>
      <c r="I16" s="120">
        <f t="shared" si="2"/>
        <v>0</v>
      </c>
      <c r="J16" s="8">
        <f t="shared" si="2"/>
        <v>0</v>
      </c>
      <c r="K16" s="8">
        <f t="shared" si="2"/>
        <v>0</v>
      </c>
      <c r="L16" s="7"/>
    </row>
    <row r="17" spans="1:12" ht="22.5" x14ac:dyDescent="0.25">
      <c r="A17" s="5">
        <f t="shared" si="0"/>
        <v>1.0012999999999999</v>
      </c>
      <c r="B17" s="5"/>
      <c r="C17" s="80" t="s">
        <v>324</v>
      </c>
      <c r="D17" s="6"/>
      <c r="E17" s="7"/>
      <c r="F17" s="8" t="s">
        <v>5</v>
      </c>
      <c r="G17" s="8">
        <f t="shared" si="3"/>
        <v>1</v>
      </c>
      <c r="H17" s="8">
        <f t="shared" si="2"/>
        <v>0</v>
      </c>
      <c r="I17" s="120">
        <f t="shared" si="2"/>
        <v>0</v>
      </c>
      <c r="J17" s="8">
        <f t="shared" si="2"/>
        <v>0</v>
      </c>
      <c r="K17" s="8">
        <f t="shared" si="2"/>
        <v>0</v>
      </c>
      <c r="L17" s="7"/>
    </row>
    <row r="18" spans="1:12" x14ac:dyDescent="0.25">
      <c r="A18" s="5">
        <f t="shared" si="0"/>
        <v>1.0013999999999998</v>
      </c>
      <c r="B18" s="92" t="s">
        <v>346</v>
      </c>
      <c r="C18" s="81" t="s">
        <v>318</v>
      </c>
      <c r="D18" s="6"/>
      <c r="E18" s="7"/>
      <c r="F18" s="8" t="s">
        <v>5</v>
      </c>
      <c r="G18" s="8">
        <f t="shared" si="3"/>
        <v>1</v>
      </c>
      <c r="H18" s="8">
        <f t="shared" si="2"/>
        <v>0</v>
      </c>
      <c r="I18" s="120">
        <f t="shared" si="2"/>
        <v>0</v>
      </c>
      <c r="J18" s="8">
        <f t="shared" si="2"/>
        <v>0</v>
      </c>
      <c r="K18" s="8">
        <f t="shared" si="2"/>
        <v>0</v>
      </c>
      <c r="L18" s="7"/>
    </row>
    <row r="19" spans="1:12" x14ac:dyDescent="0.25">
      <c r="A19" s="5">
        <f t="shared" si="0"/>
        <v>1.0014999999999998</v>
      </c>
      <c r="B19" s="5"/>
      <c r="C19" s="80" t="s">
        <v>319</v>
      </c>
      <c r="D19" s="6"/>
      <c r="E19" s="7"/>
      <c r="F19" s="8" t="s">
        <v>5</v>
      </c>
      <c r="G19" s="8">
        <f t="shared" si="3"/>
        <v>1</v>
      </c>
      <c r="H19" s="8">
        <f t="shared" si="2"/>
        <v>0</v>
      </c>
      <c r="I19" s="120">
        <f t="shared" si="2"/>
        <v>0</v>
      </c>
      <c r="J19" s="8">
        <f t="shared" si="2"/>
        <v>0</v>
      </c>
      <c r="K19" s="8">
        <f t="shared" si="2"/>
        <v>0</v>
      </c>
      <c r="L19" s="7"/>
    </row>
    <row r="20" spans="1:12" x14ac:dyDescent="0.25">
      <c r="A20" s="5">
        <f t="shared" si="0"/>
        <v>1.0015999999999998</v>
      </c>
      <c r="B20" s="5"/>
      <c r="C20" s="80" t="s">
        <v>345</v>
      </c>
      <c r="D20" s="6"/>
      <c r="E20" s="7"/>
      <c r="F20" s="8" t="s">
        <v>5</v>
      </c>
      <c r="G20" s="8">
        <f t="shared" si="3"/>
        <v>1</v>
      </c>
      <c r="H20" s="8">
        <f t="shared" si="2"/>
        <v>0</v>
      </c>
      <c r="I20" s="120">
        <f t="shared" si="2"/>
        <v>0</v>
      </c>
      <c r="J20" s="8">
        <f t="shared" si="2"/>
        <v>0</v>
      </c>
      <c r="K20" s="8">
        <f t="shared" si="2"/>
        <v>0</v>
      </c>
      <c r="L20" s="7"/>
    </row>
    <row r="21" spans="1:12" x14ac:dyDescent="0.25">
      <c r="A21" s="5">
        <f t="shared" si="0"/>
        <v>1.0016999999999998</v>
      </c>
      <c r="B21" s="5"/>
      <c r="C21" s="80" t="s">
        <v>320</v>
      </c>
      <c r="D21" s="6"/>
      <c r="E21" s="7"/>
      <c r="F21" s="8" t="s">
        <v>5</v>
      </c>
      <c r="G21" s="8">
        <f t="shared" si="3"/>
        <v>1</v>
      </c>
      <c r="H21" s="8">
        <f t="shared" si="2"/>
        <v>0</v>
      </c>
      <c r="I21" s="120">
        <f t="shared" si="2"/>
        <v>0</v>
      </c>
      <c r="J21" s="8">
        <f t="shared" si="2"/>
        <v>0</v>
      </c>
      <c r="K21" s="8">
        <f t="shared" si="2"/>
        <v>0</v>
      </c>
      <c r="L21" s="7"/>
    </row>
    <row r="22" spans="1:12" x14ac:dyDescent="0.25">
      <c r="A22" s="5">
        <f t="shared" si="0"/>
        <v>1.0017999999999998</v>
      </c>
      <c r="B22" s="92" t="s">
        <v>347</v>
      </c>
      <c r="C22" s="81" t="s">
        <v>321</v>
      </c>
      <c r="D22" s="6"/>
      <c r="E22" s="7"/>
      <c r="F22" s="8" t="s">
        <v>5</v>
      </c>
      <c r="G22" s="8">
        <f t="shared" si="3"/>
        <v>1</v>
      </c>
      <c r="H22" s="8">
        <f t="shared" si="2"/>
        <v>0</v>
      </c>
      <c r="I22" s="120">
        <f t="shared" si="2"/>
        <v>0</v>
      </c>
      <c r="J22" s="8">
        <f t="shared" si="2"/>
        <v>0</v>
      </c>
      <c r="K22" s="8">
        <f t="shared" si="2"/>
        <v>0</v>
      </c>
      <c r="L22" s="7"/>
    </row>
    <row r="23" spans="1:12" x14ac:dyDescent="0.25">
      <c r="A23" s="5">
        <f t="shared" si="0"/>
        <v>1.0018999999999998</v>
      </c>
      <c r="B23" s="5"/>
      <c r="C23" s="80" t="s">
        <v>348</v>
      </c>
      <c r="D23" s="6"/>
      <c r="E23" s="7"/>
      <c r="F23" s="8" t="s">
        <v>5</v>
      </c>
      <c r="G23" s="8">
        <f t="shared" si="3"/>
        <v>1</v>
      </c>
      <c r="H23" s="8">
        <f t="shared" si="3"/>
        <v>0</v>
      </c>
      <c r="I23" s="120">
        <f t="shared" si="3"/>
        <v>0</v>
      </c>
      <c r="J23" s="8">
        <f t="shared" si="3"/>
        <v>0</v>
      </c>
      <c r="K23" s="8">
        <f t="shared" si="3"/>
        <v>0</v>
      </c>
      <c r="L23" s="7"/>
    </row>
    <row r="24" spans="1:12" x14ac:dyDescent="0.25">
      <c r="A24" s="5">
        <f t="shared" si="0"/>
        <v>1.0019999999999998</v>
      </c>
      <c r="B24" s="97" t="s">
        <v>349</v>
      </c>
      <c r="C24" s="98" t="s">
        <v>377</v>
      </c>
      <c r="D24" s="18"/>
      <c r="E24" s="7"/>
      <c r="F24" s="8" t="s">
        <v>5</v>
      </c>
      <c r="G24" s="8">
        <f t="shared" si="3"/>
        <v>1</v>
      </c>
      <c r="H24" s="8">
        <f t="shared" si="3"/>
        <v>0</v>
      </c>
      <c r="I24" s="120">
        <f t="shared" si="3"/>
        <v>0</v>
      </c>
      <c r="J24" s="8">
        <f t="shared" si="3"/>
        <v>0</v>
      </c>
      <c r="K24" s="8">
        <f t="shared" si="3"/>
        <v>0</v>
      </c>
      <c r="L24" s="7"/>
    </row>
    <row r="25" spans="1:12" ht="16.5" customHeight="1" x14ac:dyDescent="0.25">
      <c r="A25" s="5">
        <f t="shared" si="0"/>
        <v>1.0020999999999998</v>
      </c>
      <c r="B25" s="5"/>
      <c r="C25" s="80" t="s">
        <v>350</v>
      </c>
      <c r="D25" s="6" t="s">
        <v>378</v>
      </c>
      <c r="E25" s="7"/>
      <c r="F25" s="8" t="s">
        <v>5</v>
      </c>
      <c r="G25" s="8">
        <f t="shared" si="3"/>
        <v>1</v>
      </c>
      <c r="H25" s="8">
        <f t="shared" si="3"/>
        <v>0</v>
      </c>
      <c r="I25" s="120">
        <f t="shared" si="3"/>
        <v>0</v>
      </c>
      <c r="J25" s="8">
        <f t="shared" si="3"/>
        <v>0</v>
      </c>
      <c r="K25" s="8">
        <f t="shared" si="3"/>
        <v>0</v>
      </c>
      <c r="L25" s="7"/>
    </row>
    <row r="26" spans="1:12" x14ac:dyDescent="0.25">
      <c r="A26" s="5">
        <f t="shared" si="0"/>
        <v>1.0021999999999998</v>
      </c>
      <c r="B26" s="5"/>
      <c r="C26" s="81" t="s">
        <v>351</v>
      </c>
      <c r="D26" s="6"/>
      <c r="E26" s="7"/>
      <c r="F26" s="8" t="s">
        <v>5</v>
      </c>
      <c r="G26" s="8">
        <f t="shared" si="3"/>
        <v>1</v>
      </c>
      <c r="H26" s="8">
        <f t="shared" si="3"/>
        <v>0</v>
      </c>
      <c r="I26" s="120">
        <f t="shared" si="3"/>
        <v>0</v>
      </c>
      <c r="J26" s="8">
        <f t="shared" si="3"/>
        <v>0</v>
      </c>
      <c r="K26" s="8">
        <f t="shared" si="3"/>
        <v>0</v>
      </c>
      <c r="L26" s="7"/>
    </row>
    <row r="27" spans="1:12" x14ac:dyDescent="0.25">
      <c r="A27" s="5">
        <f t="shared" si="0"/>
        <v>1.0022999999999997</v>
      </c>
      <c r="B27" s="5"/>
      <c r="C27" s="81" t="s">
        <v>352</v>
      </c>
      <c r="D27" s="6"/>
      <c r="E27" s="7"/>
      <c r="F27" s="8" t="s">
        <v>5</v>
      </c>
      <c r="G27" s="8">
        <f t="shared" si="3"/>
        <v>1</v>
      </c>
      <c r="H27" s="8">
        <f t="shared" si="3"/>
        <v>0</v>
      </c>
      <c r="I27" s="120">
        <f t="shared" si="3"/>
        <v>0</v>
      </c>
      <c r="J27" s="8">
        <f t="shared" si="3"/>
        <v>0</v>
      </c>
      <c r="K27" s="8">
        <f t="shared" si="3"/>
        <v>0</v>
      </c>
      <c r="L27" s="7"/>
    </row>
    <row r="28" spans="1:12" x14ac:dyDescent="0.25">
      <c r="A28" s="5">
        <f t="shared" si="0"/>
        <v>1.0023999999999997</v>
      </c>
      <c r="B28" s="5"/>
      <c r="C28" s="81"/>
      <c r="D28" s="6"/>
      <c r="E28" s="7"/>
      <c r="F28" s="8" t="s">
        <v>5</v>
      </c>
      <c r="G28" s="8">
        <f t="shared" si="3"/>
        <v>1</v>
      </c>
      <c r="H28" s="8">
        <f t="shared" si="3"/>
        <v>0</v>
      </c>
      <c r="I28" s="120">
        <f t="shared" si="3"/>
        <v>0</v>
      </c>
      <c r="J28" s="8">
        <f t="shared" si="3"/>
        <v>0</v>
      </c>
      <c r="K28" s="8">
        <f t="shared" si="3"/>
        <v>0</v>
      </c>
      <c r="L28" s="7"/>
    </row>
    <row r="29" spans="1:12" x14ac:dyDescent="0.25">
      <c r="A29" s="5">
        <f t="shared" si="0"/>
        <v>1.0024999999999997</v>
      </c>
      <c r="B29" s="5" t="s">
        <v>15</v>
      </c>
      <c r="C29" s="80" t="s">
        <v>353</v>
      </c>
      <c r="D29" s="6"/>
      <c r="E29" s="7"/>
      <c r="F29" s="8" t="s">
        <v>5</v>
      </c>
      <c r="G29" s="8">
        <f t="shared" si="3"/>
        <v>1</v>
      </c>
      <c r="H29" s="8">
        <f t="shared" si="3"/>
        <v>0</v>
      </c>
      <c r="I29" s="120">
        <f t="shared" si="3"/>
        <v>0</v>
      </c>
      <c r="J29" s="8">
        <f t="shared" si="3"/>
        <v>0</v>
      </c>
      <c r="K29" s="8">
        <f t="shared" si="3"/>
        <v>0</v>
      </c>
      <c r="L29" s="7"/>
    </row>
    <row r="30" spans="1:12" x14ac:dyDescent="0.25">
      <c r="A30" s="5">
        <f t="shared" si="0"/>
        <v>1.0025999999999997</v>
      </c>
      <c r="B30" s="5" t="s">
        <v>19</v>
      </c>
      <c r="C30" s="80" t="s">
        <v>354</v>
      </c>
      <c r="D30" s="6"/>
      <c r="E30" s="7"/>
      <c r="F30" s="8" t="s">
        <v>5</v>
      </c>
      <c r="G30" s="8">
        <f t="shared" si="3"/>
        <v>1</v>
      </c>
      <c r="H30" s="8">
        <f t="shared" si="3"/>
        <v>0</v>
      </c>
      <c r="I30" s="120">
        <f t="shared" si="3"/>
        <v>0</v>
      </c>
      <c r="J30" s="8">
        <f t="shared" si="3"/>
        <v>0</v>
      </c>
      <c r="K30" s="8">
        <f t="shared" si="3"/>
        <v>0</v>
      </c>
      <c r="L30" s="7"/>
    </row>
    <row r="31" spans="1:12" x14ac:dyDescent="0.25">
      <c r="A31" s="5">
        <f t="shared" si="0"/>
        <v>1.0026999999999997</v>
      </c>
      <c r="B31" s="5"/>
      <c r="C31" s="80"/>
      <c r="D31" s="6"/>
      <c r="E31" s="7"/>
      <c r="F31" s="8"/>
      <c r="G31" s="8"/>
      <c r="H31" s="8"/>
      <c r="I31" s="120"/>
      <c r="J31" s="8"/>
      <c r="K31" s="8"/>
      <c r="L31" s="7"/>
    </row>
    <row r="32" spans="1:12" s="20" customFormat="1" x14ac:dyDescent="0.25">
      <c r="A32" s="5">
        <f t="shared" si="0"/>
        <v>1.0027999999999997</v>
      </c>
      <c r="B32" s="16" t="s">
        <v>325</v>
      </c>
      <c r="C32" s="17"/>
      <c r="D32" s="18"/>
      <c r="E32" s="50"/>
      <c r="F32" s="59"/>
      <c r="G32" s="59"/>
      <c r="H32" s="59"/>
      <c r="I32" s="119"/>
      <c r="J32" s="59"/>
      <c r="K32" s="59"/>
      <c r="L32" s="17"/>
    </row>
    <row r="33" spans="1:12" ht="22.5" x14ac:dyDescent="0.25">
      <c r="A33" s="5">
        <f t="shared" si="0"/>
        <v>1.0028999999999997</v>
      </c>
      <c r="B33" s="5" t="s">
        <v>326</v>
      </c>
      <c r="C33" s="80" t="s">
        <v>327</v>
      </c>
      <c r="D33" s="9" t="s">
        <v>328</v>
      </c>
      <c r="E33" s="51"/>
      <c r="F33" s="8" t="s">
        <v>5</v>
      </c>
      <c r="G33" s="83">
        <f t="shared" ref="G33:K35" si="4">IF($F33=G$1,1,0)</f>
        <v>1</v>
      </c>
      <c r="H33" s="83">
        <f t="shared" si="4"/>
        <v>0</v>
      </c>
      <c r="I33" s="121">
        <f t="shared" si="4"/>
        <v>0</v>
      </c>
      <c r="J33" s="83">
        <f t="shared" si="4"/>
        <v>0</v>
      </c>
      <c r="K33" s="83">
        <f t="shared" si="4"/>
        <v>0</v>
      </c>
      <c r="L33" s="7"/>
    </row>
    <row r="34" spans="1:12" ht="38.25" x14ac:dyDescent="0.25">
      <c r="A34" s="5">
        <f t="shared" si="0"/>
        <v>1.0029999999999997</v>
      </c>
      <c r="B34" s="5"/>
      <c r="C34" s="6" t="s">
        <v>329</v>
      </c>
      <c r="D34" s="9"/>
      <c r="E34" s="51"/>
      <c r="F34" s="8" t="s">
        <v>5</v>
      </c>
      <c r="G34" s="83">
        <f t="shared" si="4"/>
        <v>1</v>
      </c>
      <c r="H34" s="83">
        <f t="shared" si="4"/>
        <v>0</v>
      </c>
      <c r="I34" s="121">
        <f t="shared" si="4"/>
        <v>0</v>
      </c>
      <c r="J34" s="83">
        <f t="shared" si="4"/>
        <v>0</v>
      </c>
      <c r="K34" s="83">
        <f t="shared" si="4"/>
        <v>0</v>
      </c>
      <c r="L34" s="7"/>
    </row>
    <row r="35" spans="1:12" x14ac:dyDescent="0.25">
      <c r="A35" s="5">
        <f t="shared" si="0"/>
        <v>1.0030999999999997</v>
      </c>
      <c r="B35" s="5"/>
      <c r="C35" s="6" t="s">
        <v>330</v>
      </c>
      <c r="D35" s="9"/>
      <c r="E35" s="51"/>
      <c r="F35" s="8" t="s">
        <v>5</v>
      </c>
      <c r="G35" s="83">
        <f t="shared" si="4"/>
        <v>1</v>
      </c>
      <c r="H35" s="83">
        <f t="shared" si="4"/>
        <v>0</v>
      </c>
      <c r="I35" s="121">
        <f t="shared" si="4"/>
        <v>0</v>
      </c>
      <c r="J35" s="83">
        <f t="shared" si="4"/>
        <v>0</v>
      </c>
      <c r="K35" s="83">
        <f t="shared" si="4"/>
        <v>0</v>
      </c>
      <c r="L35" s="7"/>
    </row>
    <row r="36" spans="1:12" s="74" customFormat="1" x14ac:dyDescent="0.25">
      <c r="A36" s="5">
        <f t="shared" si="0"/>
        <v>1.0031999999999996</v>
      </c>
      <c r="B36" s="82"/>
      <c r="C36" s="51"/>
      <c r="D36" s="90"/>
      <c r="E36" s="51"/>
      <c r="F36" s="89"/>
      <c r="G36" s="59">
        <f>SUM(G33:G35)</f>
        <v>3</v>
      </c>
      <c r="H36" s="59">
        <f t="shared" ref="H36:K36" si="5">SUM(H33:H35)</f>
        <v>0</v>
      </c>
      <c r="I36" s="119"/>
      <c r="J36" s="59">
        <f t="shared" si="5"/>
        <v>0</v>
      </c>
      <c r="K36" s="59">
        <f t="shared" si="5"/>
        <v>0</v>
      </c>
      <c r="L36" s="50"/>
    </row>
    <row r="37" spans="1:12" s="20" customFormat="1" x14ac:dyDescent="0.25">
      <c r="A37" s="5">
        <f t="shared" si="0"/>
        <v>1.0032999999999996</v>
      </c>
      <c r="B37" s="16" t="s">
        <v>331</v>
      </c>
      <c r="C37" s="17"/>
      <c r="D37" s="18"/>
      <c r="E37" s="50"/>
      <c r="F37" s="59"/>
      <c r="G37" s="59"/>
      <c r="H37" s="59"/>
      <c r="I37" s="119"/>
      <c r="J37" s="59"/>
      <c r="K37" s="59"/>
      <c r="L37" s="17"/>
    </row>
    <row r="38" spans="1:12" ht="25.5" x14ac:dyDescent="0.25">
      <c r="A38" s="5">
        <f t="shared" si="0"/>
        <v>1.0033999999999996</v>
      </c>
      <c r="B38" s="5" t="s">
        <v>340</v>
      </c>
      <c r="C38" s="7" t="s">
        <v>332</v>
      </c>
      <c r="D38" s="6" t="s">
        <v>333</v>
      </c>
      <c r="E38" s="51"/>
      <c r="F38" s="8" t="s">
        <v>5</v>
      </c>
      <c r="G38" s="8">
        <f>IF($F38=G$1,1,0)</f>
        <v>1</v>
      </c>
      <c r="H38" s="8">
        <f t="shared" ref="H38:K38" si="6">IF($F38=H$1,1,0)</f>
        <v>0</v>
      </c>
      <c r="I38" s="120">
        <f t="shared" si="6"/>
        <v>0</v>
      </c>
      <c r="J38" s="8">
        <f t="shared" si="6"/>
        <v>0</v>
      </c>
      <c r="K38" s="8">
        <f t="shared" si="6"/>
        <v>0</v>
      </c>
      <c r="L38" s="7"/>
    </row>
    <row r="39" spans="1:12" s="39" customFormat="1" x14ac:dyDescent="0.25">
      <c r="A39" s="5">
        <f t="shared" si="0"/>
        <v>1.0034999999999996</v>
      </c>
      <c r="B39" s="82"/>
      <c r="C39" s="51"/>
      <c r="D39" s="51"/>
      <c r="E39" s="51"/>
      <c r="F39" s="83"/>
      <c r="G39" s="59">
        <f>SUM(G38)</f>
        <v>1</v>
      </c>
      <c r="H39" s="59">
        <f t="shared" ref="H39:K39" si="7">SUM(H38)</f>
        <v>0</v>
      </c>
      <c r="I39" s="119"/>
      <c r="J39" s="59">
        <f t="shared" si="7"/>
        <v>0</v>
      </c>
      <c r="K39" s="59">
        <f t="shared" si="7"/>
        <v>0</v>
      </c>
      <c r="L39" s="51"/>
    </row>
    <row r="40" spans="1:12" s="39" customFormat="1" x14ac:dyDescent="0.25">
      <c r="A40" s="5">
        <f t="shared" si="0"/>
        <v>1.0035999999999996</v>
      </c>
      <c r="B40" s="17" t="s">
        <v>358</v>
      </c>
      <c r="C40" s="17" t="s">
        <v>359</v>
      </c>
      <c r="D40" s="18"/>
      <c r="E40" s="51"/>
      <c r="F40" s="83"/>
      <c r="G40" s="59"/>
      <c r="H40" s="59"/>
      <c r="I40" s="119"/>
      <c r="J40" s="59"/>
      <c r="K40" s="59"/>
      <c r="L40" s="51"/>
    </row>
    <row r="41" spans="1:12" s="39" customFormat="1" x14ac:dyDescent="0.25">
      <c r="A41" s="5">
        <f t="shared" si="0"/>
        <v>1.0036999999999996</v>
      </c>
      <c r="B41" s="32" t="s">
        <v>24</v>
      </c>
      <c r="C41" s="6" t="s">
        <v>25</v>
      </c>
      <c r="D41" s="56"/>
      <c r="E41" s="51"/>
      <c r="F41" s="8" t="s">
        <v>5</v>
      </c>
      <c r="G41" s="8">
        <f t="shared" ref="G41:K48" si="8">IF($F41=G$1,1,0)</f>
        <v>1</v>
      </c>
      <c r="H41" s="8">
        <f t="shared" si="8"/>
        <v>0</v>
      </c>
      <c r="I41" s="120">
        <f t="shared" si="8"/>
        <v>0</v>
      </c>
      <c r="J41" s="8">
        <f t="shared" si="8"/>
        <v>0</v>
      </c>
      <c r="K41" s="8">
        <f t="shared" si="8"/>
        <v>0</v>
      </c>
      <c r="L41" s="51"/>
    </row>
    <row r="42" spans="1:12" s="39" customFormat="1" x14ac:dyDescent="0.25">
      <c r="A42" s="5">
        <f t="shared" si="0"/>
        <v>1.0037999999999996</v>
      </c>
      <c r="B42" s="7"/>
      <c r="C42" s="6" t="s">
        <v>26</v>
      </c>
      <c r="D42" s="56"/>
      <c r="E42" s="51"/>
      <c r="F42" s="8" t="s">
        <v>5</v>
      </c>
      <c r="G42" s="8">
        <f t="shared" si="8"/>
        <v>1</v>
      </c>
      <c r="H42" s="8">
        <f t="shared" si="8"/>
        <v>0</v>
      </c>
      <c r="I42" s="120">
        <f t="shared" si="8"/>
        <v>0</v>
      </c>
      <c r="J42" s="8">
        <f t="shared" si="8"/>
        <v>0</v>
      </c>
      <c r="K42" s="8">
        <f t="shared" si="8"/>
        <v>0</v>
      </c>
      <c r="L42" s="51"/>
    </row>
    <row r="43" spans="1:12" s="39" customFormat="1" x14ac:dyDescent="0.25">
      <c r="A43" s="5">
        <f t="shared" si="0"/>
        <v>1.0038999999999996</v>
      </c>
      <c r="B43" s="7"/>
      <c r="C43" s="6" t="s">
        <v>43</v>
      </c>
      <c r="D43" s="56"/>
      <c r="E43" s="51"/>
      <c r="F43" s="8" t="s">
        <v>5</v>
      </c>
      <c r="G43" s="8">
        <f t="shared" si="8"/>
        <v>1</v>
      </c>
      <c r="H43" s="8">
        <f t="shared" si="8"/>
        <v>0</v>
      </c>
      <c r="I43" s="120">
        <f t="shared" si="8"/>
        <v>0</v>
      </c>
      <c r="J43" s="8">
        <f t="shared" si="8"/>
        <v>0</v>
      </c>
      <c r="K43" s="8">
        <f t="shared" si="8"/>
        <v>0</v>
      </c>
      <c r="L43" s="51"/>
    </row>
    <row r="44" spans="1:12" s="39" customFormat="1" x14ac:dyDescent="0.25">
      <c r="A44" s="5">
        <f t="shared" si="0"/>
        <v>1.0039999999999996</v>
      </c>
      <c r="B44" s="7"/>
      <c r="C44" s="6" t="s">
        <v>44</v>
      </c>
      <c r="D44" s="56"/>
      <c r="E44" s="51"/>
      <c r="F44" s="8" t="s">
        <v>5</v>
      </c>
      <c r="G44" s="8">
        <f t="shared" si="8"/>
        <v>1</v>
      </c>
      <c r="H44" s="8">
        <f t="shared" si="8"/>
        <v>0</v>
      </c>
      <c r="I44" s="120">
        <f t="shared" si="8"/>
        <v>0</v>
      </c>
      <c r="J44" s="8">
        <f t="shared" si="8"/>
        <v>0</v>
      </c>
      <c r="K44" s="8">
        <f t="shared" si="8"/>
        <v>0</v>
      </c>
      <c r="L44" s="51"/>
    </row>
    <row r="45" spans="1:12" s="39" customFormat="1" ht="14.25" customHeight="1" x14ac:dyDescent="0.25">
      <c r="A45" s="5">
        <f t="shared" si="0"/>
        <v>1.0040999999999995</v>
      </c>
      <c r="B45" s="32" t="s">
        <v>355</v>
      </c>
      <c r="C45" s="60" t="s">
        <v>364</v>
      </c>
      <c r="D45" s="56"/>
      <c r="E45" s="51"/>
      <c r="F45" s="8" t="s">
        <v>5</v>
      </c>
      <c r="G45" s="8">
        <f t="shared" si="8"/>
        <v>1</v>
      </c>
      <c r="H45" s="8">
        <f t="shared" si="8"/>
        <v>0</v>
      </c>
      <c r="I45" s="120">
        <f t="shared" si="8"/>
        <v>0</v>
      </c>
      <c r="J45" s="8">
        <f t="shared" si="8"/>
        <v>0</v>
      </c>
      <c r="K45" s="8">
        <f t="shared" si="8"/>
        <v>0</v>
      </c>
      <c r="L45" s="51"/>
    </row>
    <row r="46" spans="1:12" s="39" customFormat="1" x14ac:dyDescent="0.25">
      <c r="A46" s="5">
        <f t="shared" si="0"/>
        <v>1.0041999999999995</v>
      </c>
      <c r="B46" s="7"/>
      <c r="C46" s="6" t="s">
        <v>356</v>
      </c>
      <c r="D46" s="56"/>
      <c r="E46" s="51"/>
      <c r="F46" s="8" t="s">
        <v>5</v>
      </c>
      <c r="G46" s="8">
        <f t="shared" si="8"/>
        <v>1</v>
      </c>
      <c r="H46" s="8">
        <f t="shared" si="8"/>
        <v>0</v>
      </c>
      <c r="I46" s="120">
        <f t="shared" si="8"/>
        <v>0</v>
      </c>
      <c r="J46" s="8">
        <f t="shared" si="8"/>
        <v>0</v>
      </c>
      <c r="K46" s="8">
        <f t="shared" si="8"/>
        <v>0</v>
      </c>
      <c r="L46" s="51"/>
    </row>
    <row r="47" spans="1:12" s="39" customFormat="1" x14ac:dyDescent="0.25">
      <c r="A47" s="5">
        <f t="shared" si="0"/>
        <v>1.0042999999999995</v>
      </c>
      <c r="B47" s="7"/>
      <c r="C47" s="6" t="s">
        <v>357</v>
      </c>
      <c r="D47" s="56"/>
      <c r="E47" s="51"/>
      <c r="F47" s="8" t="s">
        <v>5</v>
      </c>
      <c r="G47" s="8">
        <f t="shared" si="8"/>
        <v>1</v>
      </c>
      <c r="H47" s="8">
        <f t="shared" si="8"/>
        <v>0</v>
      </c>
      <c r="I47" s="120">
        <f t="shared" si="8"/>
        <v>0</v>
      </c>
      <c r="J47" s="8">
        <f t="shared" si="8"/>
        <v>0</v>
      </c>
      <c r="K47" s="8">
        <f t="shared" si="8"/>
        <v>0</v>
      </c>
      <c r="L47" s="51"/>
    </row>
    <row r="48" spans="1:12" s="39" customFormat="1" x14ac:dyDescent="0.25">
      <c r="A48" s="5">
        <f t="shared" si="0"/>
        <v>1.0043999999999995</v>
      </c>
      <c r="B48" s="7"/>
      <c r="C48" s="6" t="s">
        <v>47</v>
      </c>
      <c r="D48" s="56"/>
      <c r="E48" s="51"/>
      <c r="F48" s="8" t="s">
        <v>5</v>
      </c>
      <c r="G48" s="8">
        <f t="shared" si="8"/>
        <v>1</v>
      </c>
      <c r="H48" s="8">
        <f t="shared" si="8"/>
        <v>0</v>
      </c>
      <c r="I48" s="120">
        <f t="shared" si="8"/>
        <v>0</v>
      </c>
      <c r="J48" s="8">
        <f t="shared" si="8"/>
        <v>0</v>
      </c>
      <c r="K48" s="8">
        <f t="shared" si="8"/>
        <v>0</v>
      </c>
      <c r="L48" s="51"/>
    </row>
    <row r="49" spans="1:12" s="39" customFormat="1" x14ac:dyDescent="0.25">
      <c r="A49" s="5">
        <f t="shared" si="0"/>
        <v>1.0044999999999995</v>
      </c>
      <c r="B49" s="6"/>
      <c r="C49" s="6"/>
      <c r="D49" s="56"/>
      <c r="E49" s="51"/>
      <c r="F49" s="83"/>
      <c r="G49" s="59"/>
      <c r="H49" s="59"/>
      <c r="I49" s="119"/>
      <c r="J49" s="59"/>
      <c r="K49" s="59"/>
      <c r="L49" s="51"/>
    </row>
    <row r="50" spans="1:12" s="39" customFormat="1" x14ac:dyDescent="0.25">
      <c r="A50" s="5">
        <f t="shared" si="0"/>
        <v>1.0045999999999995</v>
      </c>
      <c r="B50" s="17" t="s">
        <v>358</v>
      </c>
      <c r="C50" s="17" t="s">
        <v>360</v>
      </c>
      <c r="D50" s="18"/>
      <c r="E50" s="51"/>
      <c r="F50" s="83"/>
      <c r="G50" s="59"/>
      <c r="H50" s="59"/>
      <c r="I50" s="119"/>
      <c r="J50" s="59"/>
      <c r="K50" s="59"/>
      <c r="L50" s="51"/>
    </row>
    <row r="51" spans="1:12" s="39" customFormat="1" x14ac:dyDescent="0.25">
      <c r="A51" s="5">
        <f t="shared" si="0"/>
        <v>1.0046999999999995</v>
      </c>
      <c r="B51" s="32" t="s">
        <v>24</v>
      </c>
      <c r="C51" s="6" t="s">
        <v>25</v>
      </c>
      <c r="D51" s="113" t="s">
        <v>433</v>
      </c>
      <c r="E51" s="51"/>
      <c r="F51" s="8" t="s">
        <v>5</v>
      </c>
      <c r="G51" s="8">
        <f t="shared" ref="G51:K59" si="9">IF($F51=G$1,1,0)</f>
        <v>1</v>
      </c>
      <c r="H51" s="8">
        <f t="shared" si="9"/>
        <v>0</v>
      </c>
      <c r="I51" s="120">
        <f t="shared" si="9"/>
        <v>0</v>
      </c>
      <c r="J51" s="8">
        <f t="shared" si="9"/>
        <v>0</v>
      </c>
      <c r="K51" s="8">
        <f t="shared" si="9"/>
        <v>0</v>
      </c>
      <c r="L51" s="51"/>
    </row>
    <row r="52" spans="1:12" s="39" customFormat="1" x14ac:dyDescent="0.25">
      <c r="A52" s="5">
        <f t="shared" si="0"/>
        <v>1.0047999999999995</v>
      </c>
      <c r="B52" s="7"/>
      <c r="C52" s="6" t="s">
        <v>26</v>
      </c>
      <c r="D52" s="114"/>
      <c r="E52" s="51"/>
      <c r="F52" s="8" t="s">
        <v>5</v>
      </c>
      <c r="G52" s="8">
        <f t="shared" si="9"/>
        <v>1</v>
      </c>
      <c r="H52" s="8">
        <f t="shared" si="9"/>
        <v>0</v>
      </c>
      <c r="I52" s="120">
        <f t="shared" si="9"/>
        <v>0</v>
      </c>
      <c r="J52" s="8">
        <f t="shared" si="9"/>
        <v>0</v>
      </c>
      <c r="K52" s="8">
        <f t="shared" si="9"/>
        <v>0</v>
      </c>
      <c r="L52" s="51"/>
    </row>
    <row r="53" spans="1:12" s="39" customFormat="1" x14ac:dyDescent="0.25">
      <c r="A53" s="5">
        <f t="shared" si="0"/>
        <v>1.0048999999999995</v>
      </c>
      <c r="B53" s="7"/>
      <c r="C53" s="6" t="s">
        <v>43</v>
      </c>
      <c r="D53" s="114"/>
      <c r="E53" s="51"/>
      <c r="F53" s="8" t="s">
        <v>5</v>
      </c>
      <c r="G53" s="8">
        <f t="shared" si="9"/>
        <v>1</v>
      </c>
      <c r="H53" s="8">
        <f t="shared" si="9"/>
        <v>0</v>
      </c>
      <c r="I53" s="120">
        <f t="shared" si="9"/>
        <v>0</v>
      </c>
      <c r="J53" s="8">
        <f t="shared" si="9"/>
        <v>0</v>
      </c>
      <c r="K53" s="8">
        <f t="shared" si="9"/>
        <v>0</v>
      </c>
      <c r="L53" s="51"/>
    </row>
    <row r="54" spans="1:12" s="39" customFormat="1" x14ac:dyDescent="0.25">
      <c r="A54" s="5">
        <f t="shared" si="0"/>
        <v>1.0049999999999994</v>
      </c>
      <c r="B54" s="7"/>
      <c r="C54" s="6" t="s">
        <v>44</v>
      </c>
      <c r="D54" s="114"/>
      <c r="E54" s="51"/>
      <c r="F54" s="8" t="s">
        <v>5</v>
      </c>
      <c r="G54" s="8">
        <f t="shared" si="9"/>
        <v>1</v>
      </c>
      <c r="H54" s="8">
        <f t="shared" si="9"/>
        <v>0</v>
      </c>
      <c r="I54" s="120">
        <f t="shared" si="9"/>
        <v>0</v>
      </c>
      <c r="J54" s="8">
        <f t="shared" si="9"/>
        <v>0</v>
      </c>
      <c r="K54" s="8">
        <f t="shared" si="9"/>
        <v>0</v>
      </c>
      <c r="L54" s="51"/>
    </row>
    <row r="55" spans="1:12" s="39" customFormat="1" ht="11.25" customHeight="1" x14ac:dyDescent="0.25">
      <c r="A55" s="5">
        <f t="shared" si="0"/>
        <v>1.0050999999999994</v>
      </c>
      <c r="B55" s="32" t="s">
        <v>355</v>
      </c>
      <c r="C55" s="60" t="s">
        <v>365</v>
      </c>
      <c r="D55" s="114"/>
      <c r="E55" s="51"/>
      <c r="F55" s="8" t="s">
        <v>5</v>
      </c>
      <c r="G55" s="8">
        <f t="shared" si="9"/>
        <v>1</v>
      </c>
      <c r="H55" s="8">
        <f t="shared" si="9"/>
        <v>0</v>
      </c>
      <c r="I55" s="120">
        <f t="shared" si="9"/>
        <v>0</v>
      </c>
      <c r="J55" s="8">
        <f t="shared" si="9"/>
        <v>0</v>
      </c>
      <c r="K55" s="8">
        <f t="shared" si="9"/>
        <v>0</v>
      </c>
      <c r="L55" s="51"/>
    </row>
    <row r="56" spans="1:12" s="39" customFormat="1" x14ac:dyDescent="0.25">
      <c r="A56" s="5">
        <f t="shared" si="0"/>
        <v>1.0051999999999994</v>
      </c>
      <c r="B56" s="7"/>
      <c r="C56" s="6" t="s">
        <v>356</v>
      </c>
      <c r="D56" s="114"/>
      <c r="E56" s="51"/>
      <c r="F56" s="8" t="s">
        <v>5</v>
      </c>
      <c r="G56" s="8">
        <f t="shared" si="9"/>
        <v>1</v>
      </c>
      <c r="H56" s="8">
        <f t="shared" si="9"/>
        <v>0</v>
      </c>
      <c r="I56" s="120">
        <f t="shared" si="9"/>
        <v>0</v>
      </c>
      <c r="J56" s="8">
        <f t="shared" si="9"/>
        <v>0</v>
      </c>
      <c r="K56" s="8">
        <f t="shared" si="9"/>
        <v>0</v>
      </c>
      <c r="L56" s="51"/>
    </row>
    <row r="57" spans="1:12" s="39" customFormat="1" x14ac:dyDescent="0.25">
      <c r="A57" s="5">
        <f t="shared" si="0"/>
        <v>1.0052999999999994</v>
      </c>
      <c r="B57" s="7"/>
      <c r="C57" s="6" t="s">
        <v>357</v>
      </c>
      <c r="D57" s="114"/>
      <c r="E57" s="51"/>
      <c r="F57" s="8" t="s">
        <v>5</v>
      </c>
      <c r="G57" s="8">
        <f t="shared" si="9"/>
        <v>1</v>
      </c>
      <c r="H57" s="8">
        <f t="shared" si="9"/>
        <v>0</v>
      </c>
      <c r="I57" s="120">
        <f t="shared" si="9"/>
        <v>0</v>
      </c>
      <c r="J57" s="8">
        <f t="shared" si="9"/>
        <v>0</v>
      </c>
      <c r="K57" s="8">
        <f t="shared" si="9"/>
        <v>0</v>
      </c>
      <c r="L57" s="51"/>
    </row>
    <row r="58" spans="1:12" s="39" customFormat="1" x14ac:dyDescent="0.25">
      <c r="A58" s="5">
        <f t="shared" si="0"/>
        <v>1.0053999999999994</v>
      </c>
      <c r="B58" s="7"/>
      <c r="C58" s="6" t="s">
        <v>47</v>
      </c>
      <c r="D58" s="114"/>
      <c r="E58" s="51"/>
      <c r="F58" s="8" t="s">
        <v>5</v>
      </c>
      <c r="G58" s="8">
        <f t="shared" si="9"/>
        <v>1</v>
      </c>
      <c r="H58" s="8">
        <f t="shared" si="9"/>
        <v>0</v>
      </c>
      <c r="I58" s="120">
        <f t="shared" si="9"/>
        <v>0</v>
      </c>
      <c r="J58" s="8">
        <f t="shared" si="9"/>
        <v>0</v>
      </c>
      <c r="K58" s="8">
        <f t="shared" si="9"/>
        <v>0</v>
      </c>
      <c r="L58" s="51"/>
    </row>
    <row r="59" spans="1:12" s="39" customFormat="1" x14ac:dyDescent="0.25">
      <c r="A59" s="5">
        <f t="shared" si="0"/>
        <v>1.0054999999999994</v>
      </c>
      <c r="B59" s="6"/>
      <c r="C59" s="22"/>
      <c r="D59" s="115"/>
      <c r="E59" s="51"/>
      <c r="F59" s="83"/>
      <c r="G59" s="59">
        <f t="shared" si="9"/>
        <v>0</v>
      </c>
      <c r="H59" s="59">
        <f t="shared" si="9"/>
        <v>0</v>
      </c>
      <c r="I59" s="119"/>
      <c r="J59" s="59">
        <f t="shared" si="9"/>
        <v>0</v>
      </c>
      <c r="K59" s="59">
        <f t="shared" si="9"/>
        <v>0</v>
      </c>
      <c r="L59" s="51"/>
    </row>
    <row r="60" spans="1:12" s="39" customFormat="1" x14ac:dyDescent="0.25">
      <c r="A60" s="5">
        <f t="shared" si="0"/>
        <v>1.0055999999999994</v>
      </c>
      <c r="B60" s="16" t="s">
        <v>366</v>
      </c>
      <c r="C60" s="17"/>
      <c r="D60" s="18"/>
      <c r="E60" s="51"/>
      <c r="F60" s="83"/>
      <c r="G60" s="59"/>
      <c r="H60" s="59"/>
      <c r="I60" s="119"/>
      <c r="J60" s="59"/>
      <c r="K60" s="59"/>
      <c r="L60" s="51"/>
    </row>
    <row r="61" spans="1:12" s="39" customFormat="1" ht="22.5" x14ac:dyDescent="0.25">
      <c r="A61" s="5">
        <f t="shared" si="0"/>
        <v>1.0056999999999994</v>
      </c>
      <c r="B61" s="80" t="s">
        <v>367</v>
      </c>
      <c r="C61" s="51" t="s">
        <v>368</v>
      </c>
      <c r="D61" s="51"/>
      <c r="E61" s="51"/>
      <c r="F61" s="8" t="s">
        <v>5</v>
      </c>
      <c r="G61" s="8">
        <f t="shared" ref="G61:K67" si="10">IF($F61=G$1,1,0)</f>
        <v>1</v>
      </c>
      <c r="H61" s="8">
        <f t="shared" si="10"/>
        <v>0</v>
      </c>
      <c r="I61" s="120">
        <f t="shared" si="10"/>
        <v>0</v>
      </c>
      <c r="J61" s="8">
        <f t="shared" si="10"/>
        <v>0</v>
      </c>
      <c r="K61" s="8">
        <f t="shared" si="10"/>
        <v>0</v>
      </c>
      <c r="L61" s="51"/>
    </row>
    <row r="62" spans="1:12" s="39" customFormat="1" x14ac:dyDescent="0.25">
      <c r="A62" s="5">
        <f t="shared" si="0"/>
        <v>1.0057999999999994</v>
      </c>
      <c r="B62" s="82"/>
      <c r="C62" s="51"/>
      <c r="D62" s="51"/>
      <c r="E62" s="51"/>
      <c r="F62" s="8" t="s">
        <v>5</v>
      </c>
      <c r="G62" s="8">
        <f t="shared" si="10"/>
        <v>1</v>
      </c>
      <c r="H62" s="8">
        <f t="shared" si="10"/>
        <v>0</v>
      </c>
      <c r="I62" s="120">
        <f t="shared" si="10"/>
        <v>0</v>
      </c>
      <c r="J62" s="8">
        <f t="shared" si="10"/>
        <v>0</v>
      </c>
      <c r="K62" s="8">
        <f t="shared" si="10"/>
        <v>0</v>
      </c>
      <c r="L62" s="51"/>
    </row>
    <row r="63" spans="1:12" s="39" customFormat="1" x14ac:dyDescent="0.25">
      <c r="A63" s="5">
        <f t="shared" si="0"/>
        <v>1.0058999999999994</v>
      </c>
      <c r="B63" s="82" t="s">
        <v>369</v>
      </c>
      <c r="C63" s="51" t="s">
        <v>370</v>
      </c>
      <c r="D63" s="51"/>
      <c r="E63" s="51"/>
      <c r="F63" s="8" t="s">
        <v>5</v>
      </c>
      <c r="G63" s="8">
        <f t="shared" si="10"/>
        <v>1</v>
      </c>
      <c r="H63" s="8">
        <f t="shared" si="10"/>
        <v>0</v>
      </c>
      <c r="I63" s="120">
        <f t="shared" si="10"/>
        <v>0</v>
      </c>
      <c r="J63" s="8">
        <f t="shared" si="10"/>
        <v>0</v>
      </c>
      <c r="K63" s="8">
        <f t="shared" si="10"/>
        <v>0</v>
      </c>
      <c r="L63" s="51"/>
    </row>
    <row r="64" spans="1:12" s="39" customFormat="1" ht="38.25" x14ac:dyDescent="0.25">
      <c r="A64" s="5">
        <f t="shared" si="0"/>
        <v>1.0059999999999993</v>
      </c>
      <c r="B64" s="82" t="s">
        <v>371</v>
      </c>
      <c r="C64" s="51" t="s">
        <v>372</v>
      </c>
      <c r="D64" s="60" t="s">
        <v>379</v>
      </c>
      <c r="E64" s="51"/>
      <c r="F64" s="8" t="s">
        <v>5</v>
      </c>
      <c r="G64" s="8">
        <f t="shared" si="10"/>
        <v>1</v>
      </c>
      <c r="H64" s="8">
        <f t="shared" si="10"/>
        <v>0</v>
      </c>
      <c r="I64" s="120">
        <f t="shared" si="10"/>
        <v>0</v>
      </c>
      <c r="J64" s="8">
        <f t="shared" si="10"/>
        <v>0</v>
      </c>
      <c r="K64" s="8">
        <f t="shared" si="10"/>
        <v>0</v>
      </c>
      <c r="L64" s="51"/>
    </row>
    <row r="65" spans="1:12" s="39" customFormat="1" x14ac:dyDescent="0.25">
      <c r="A65" s="5">
        <f t="shared" si="0"/>
        <v>1.0060999999999993</v>
      </c>
      <c r="B65" s="82" t="s">
        <v>373</v>
      </c>
      <c r="C65" s="51" t="s">
        <v>374</v>
      </c>
      <c r="D65" s="51"/>
      <c r="E65" s="51"/>
      <c r="F65" s="8" t="s">
        <v>5</v>
      </c>
      <c r="G65" s="8">
        <f t="shared" si="10"/>
        <v>1</v>
      </c>
      <c r="H65" s="8">
        <f t="shared" si="10"/>
        <v>0</v>
      </c>
      <c r="I65" s="120">
        <f t="shared" si="10"/>
        <v>0</v>
      </c>
      <c r="J65" s="8">
        <f t="shared" si="10"/>
        <v>0</v>
      </c>
      <c r="K65" s="8">
        <f t="shared" si="10"/>
        <v>0</v>
      </c>
      <c r="L65" s="51"/>
    </row>
    <row r="66" spans="1:12" s="39" customFormat="1" x14ac:dyDescent="0.25">
      <c r="A66" s="5">
        <f t="shared" si="0"/>
        <v>1.0061999999999993</v>
      </c>
      <c r="B66" s="82"/>
      <c r="C66" s="51" t="s">
        <v>375</v>
      </c>
      <c r="D66" s="51"/>
      <c r="E66" s="51"/>
      <c r="F66" s="8" t="s">
        <v>5</v>
      </c>
      <c r="G66" s="8">
        <f t="shared" si="10"/>
        <v>1</v>
      </c>
      <c r="H66" s="8">
        <f t="shared" si="10"/>
        <v>0</v>
      </c>
      <c r="I66" s="120">
        <f t="shared" si="10"/>
        <v>0</v>
      </c>
      <c r="J66" s="8">
        <f t="shared" si="10"/>
        <v>0</v>
      </c>
      <c r="K66" s="8">
        <f t="shared" si="10"/>
        <v>0</v>
      </c>
      <c r="L66" s="51"/>
    </row>
    <row r="67" spans="1:12" s="39" customFormat="1" x14ac:dyDescent="0.25">
      <c r="A67" s="5">
        <f t="shared" si="0"/>
        <v>1.0062999999999993</v>
      </c>
      <c r="B67" s="82" t="s">
        <v>15</v>
      </c>
      <c r="C67" s="51" t="s">
        <v>376</v>
      </c>
      <c r="D67" s="51"/>
      <c r="E67" s="51"/>
      <c r="F67" s="8" t="s">
        <v>5</v>
      </c>
      <c r="G67" s="8">
        <f t="shared" si="10"/>
        <v>1</v>
      </c>
      <c r="H67" s="8">
        <f t="shared" si="10"/>
        <v>0</v>
      </c>
      <c r="I67" s="120">
        <f t="shared" si="10"/>
        <v>0</v>
      </c>
      <c r="J67" s="8">
        <f t="shared" si="10"/>
        <v>0</v>
      </c>
      <c r="K67" s="8">
        <f t="shared" si="10"/>
        <v>0</v>
      </c>
      <c r="L67" s="51"/>
    </row>
    <row r="68" spans="1:12" s="39" customFormat="1" x14ac:dyDescent="0.25">
      <c r="A68" s="5">
        <f t="shared" si="0"/>
        <v>1.0063999999999993</v>
      </c>
      <c r="B68" s="82"/>
      <c r="C68" s="51"/>
      <c r="D68" s="51"/>
      <c r="E68" s="51"/>
      <c r="F68" s="83"/>
      <c r="G68" s="59"/>
      <c r="H68" s="59"/>
      <c r="I68" s="119"/>
      <c r="J68" s="59"/>
      <c r="K68" s="59"/>
      <c r="L68" s="51"/>
    </row>
    <row r="69" spans="1:12" s="39" customFormat="1" x14ac:dyDescent="0.25">
      <c r="A69" s="5">
        <f t="shared" ref="A69:A97" si="11">A68+0.0001</f>
        <v>1.0064999999999993</v>
      </c>
      <c r="B69" s="17" t="s">
        <v>358</v>
      </c>
      <c r="C69" s="17" t="s">
        <v>359</v>
      </c>
      <c r="D69" s="18"/>
      <c r="E69" s="51"/>
      <c r="F69" s="83"/>
      <c r="G69" s="59"/>
      <c r="H69" s="59"/>
      <c r="I69" s="119"/>
      <c r="J69" s="59"/>
      <c r="K69" s="59"/>
      <c r="L69" s="51"/>
    </row>
    <row r="70" spans="1:12" s="39" customFormat="1" x14ac:dyDescent="0.25">
      <c r="A70" s="5">
        <f t="shared" si="11"/>
        <v>1.0065999999999993</v>
      </c>
      <c r="B70" s="32" t="s">
        <v>24</v>
      </c>
      <c r="C70" s="6" t="s">
        <v>25</v>
      </c>
      <c r="D70" s="56"/>
      <c r="E70" s="51"/>
      <c r="F70" s="8" t="s">
        <v>5</v>
      </c>
      <c r="G70" s="8">
        <f t="shared" ref="G70:K77" si="12">IF($F70=G$1,1,0)</f>
        <v>1</v>
      </c>
      <c r="H70" s="8">
        <f t="shared" si="12"/>
        <v>0</v>
      </c>
      <c r="I70" s="120">
        <f t="shared" si="12"/>
        <v>0</v>
      </c>
      <c r="J70" s="8">
        <f t="shared" si="12"/>
        <v>0</v>
      </c>
      <c r="K70" s="8">
        <f t="shared" si="12"/>
        <v>0</v>
      </c>
      <c r="L70" s="51"/>
    </row>
    <row r="71" spans="1:12" s="39" customFormat="1" x14ac:dyDescent="0.25">
      <c r="A71" s="5">
        <f t="shared" si="11"/>
        <v>1.0066999999999993</v>
      </c>
      <c r="B71" s="7"/>
      <c r="C71" s="6" t="s">
        <v>26</v>
      </c>
      <c r="D71" s="56"/>
      <c r="E71" s="51"/>
      <c r="F71" s="8" t="s">
        <v>5</v>
      </c>
      <c r="G71" s="8">
        <f t="shared" si="12"/>
        <v>1</v>
      </c>
      <c r="H71" s="8">
        <f t="shared" si="12"/>
        <v>0</v>
      </c>
      <c r="I71" s="120">
        <f t="shared" si="12"/>
        <v>0</v>
      </c>
      <c r="J71" s="8">
        <f t="shared" si="12"/>
        <v>0</v>
      </c>
      <c r="K71" s="8">
        <f t="shared" si="12"/>
        <v>0</v>
      </c>
      <c r="L71" s="51"/>
    </row>
    <row r="72" spans="1:12" s="39" customFormat="1" x14ac:dyDescent="0.25">
      <c r="A72" s="5">
        <f t="shared" si="11"/>
        <v>1.0067999999999993</v>
      </c>
      <c r="B72" s="7"/>
      <c r="C72" s="6" t="s">
        <v>43</v>
      </c>
      <c r="D72" s="56"/>
      <c r="E72" s="51"/>
      <c r="F72" s="8" t="s">
        <v>5</v>
      </c>
      <c r="G72" s="8">
        <f t="shared" si="12"/>
        <v>1</v>
      </c>
      <c r="H72" s="8">
        <f t="shared" si="12"/>
        <v>0</v>
      </c>
      <c r="I72" s="120">
        <f t="shared" si="12"/>
        <v>0</v>
      </c>
      <c r="J72" s="8">
        <f t="shared" si="12"/>
        <v>0</v>
      </c>
      <c r="K72" s="8">
        <f t="shared" si="12"/>
        <v>0</v>
      </c>
      <c r="L72" s="51"/>
    </row>
    <row r="73" spans="1:12" s="39" customFormat="1" x14ac:dyDescent="0.25">
      <c r="A73" s="5">
        <f t="shared" si="11"/>
        <v>1.0068999999999992</v>
      </c>
      <c r="B73" s="7"/>
      <c r="C73" s="6" t="s">
        <v>44</v>
      </c>
      <c r="D73" s="56"/>
      <c r="E73" s="51"/>
      <c r="F73" s="8" t="s">
        <v>5</v>
      </c>
      <c r="G73" s="8">
        <f t="shared" si="12"/>
        <v>1</v>
      </c>
      <c r="H73" s="8">
        <f t="shared" si="12"/>
        <v>0</v>
      </c>
      <c r="I73" s="120">
        <f t="shared" si="12"/>
        <v>0</v>
      </c>
      <c r="J73" s="8">
        <f t="shared" si="12"/>
        <v>0</v>
      </c>
      <c r="K73" s="8">
        <f t="shared" si="12"/>
        <v>0</v>
      </c>
      <c r="L73" s="51"/>
    </row>
    <row r="74" spans="1:12" s="39" customFormat="1" x14ac:dyDescent="0.25">
      <c r="A74" s="5">
        <f t="shared" si="11"/>
        <v>1.0069999999999992</v>
      </c>
      <c r="B74" s="32" t="s">
        <v>380</v>
      </c>
      <c r="C74" s="62" t="s">
        <v>381</v>
      </c>
      <c r="D74" s="56"/>
      <c r="E74" s="51"/>
      <c r="F74" s="8" t="s">
        <v>5</v>
      </c>
      <c r="G74" s="8">
        <f t="shared" si="12"/>
        <v>1</v>
      </c>
      <c r="H74" s="8">
        <f t="shared" si="12"/>
        <v>0</v>
      </c>
      <c r="I74" s="120">
        <f t="shared" si="12"/>
        <v>0</v>
      </c>
      <c r="J74" s="8">
        <f t="shared" si="12"/>
        <v>0</v>
      </c>
      <c r="K74" s="8">
        <f t="shared" si="12"/>
        <v>0</v>
      </c>
      <c r="L74" s="51"/>
    </row>
    <row r="75" spans="1:12" s="39" customFormat="1" x14ac:dyDescent="0.25">
      <c r="A75" s="5">
        <f t="shared" si="11"/>
        <v>1.0070999999999992</v>
      </c>
      <c r="B75" s="7"/>
      <c r="C75" s="6" t="s">
        <v>356</v>
      </c>
      <c r="D75" s="56"/>
      <c r="E75" s="51"/>
      <c r="F75" s="8" t="s">
        <v>5</v>
      </c>
      <c r="G75" s="8">
        <f t="shared" si="12"/>
        <v>1</v>
      </c>
      <c r="H75" s="8">
        <f t="shared" si="12"/>
        <v>0</v>
      </c>
      <c r="I75" s="120">
        <f t="shared" si="12"/>
        <v>0</v>
      </c>
      <c r="J75" s="8">
        <f t="shared" si="12"/>
        <v>0</v>
      </c>
      <c r="K75" s="8">
        <f t="shared" si="12"/>
        <v>0</v>
      </c>
      <c r="L75" s="51"/>
    </row>
    <row r="76" spans="1:12" s="39" customFormat="1" x14ac:dyDescent="0.25">
      <c r="A76" s="5">
        <f t="shared" si="11"/>
        <v>1.0071999999999992</v>
      </c>
      <c r="B76" s="7"/>
      <c r="C76" s="6" t="s">
        <v>357</v>
      </c>
      <c r="D76" s="56"/>
      <c r="E76" s="51"/>
      <c r="F76" s="8" t="s">
        <v>5</v>
      </c>
      <c r="G76" s="8">
        <f t="shared" si="12"/>
        <v>1</v>
      </c>
      <c r="H76" s="8">
        <f t="shared" si="12"/>
        <v>0</v>
      </c>
      <c r="I76" s="120">
        <f t="shared" si="12"/>
        <v>0</v>
      </c>
      <c r="J76" s="8">
        <f t="shared" si="12"/>
        <v>0</v>
      </c>
      <c r="K76" s="8">
        <f t="shared" si="12"/>
        <v>0</v>
      </c>
      <c r="L76" s="51"/>
    </row>
    <row r="77" spans="1:12" s="39" customFormat="1" x14ac:dyDescent="0.25">
      <c r="A77" s="5">
        <f t="shared" si="11"/>
        <v>1.0072999999999992</v>
      </c>
      <c r="B77" s="7"/>
      <c r="C77" s="6" t="s">
        <v>47</v>
      </c>
      <c r="D77" s="56"/>
      <c r="E77" s="51"/>
      <c r="F77" s="8" t="s">
        <v>5</v>
      </c>
      <c r="G77" s="8">
        <f t="shared" si="12"/>
        <v>1</v>
      </c>
      <c r="H77" s="8">
        <f t="shared" si="12"/>
        <v>0</v>
      </c>
      <c r="I77" s="120">
        <f t="shared" si="12"/>
        <v>0</v>
      </c>
      <c r="J77" s="8">
        <f t="shared" si="12"/>
        <v>0</v>
      </c>
      <c r="K77" s="8">
        <f t="shared" si="12"/>
        <v>0</v>
      </c>
      <c r="L77" s="51"/>
    </row>
    <row r="78" spans="1:12" s="39" customFormat="1" x14ac:dyDescent="0.25">
      <c r="A78" s="5">
        <f t="shared" si="11"/>
        <v>1.0073999999999992</v>
      </c>
      <c r="B78" s="6"/>
      <c r="C78" s="6"/>
      <c r="D78" s="56"/>
      <c r="E78" s="51"/>
      <c r="F78" s="83"/>
      <c r="G78" s="59"/>
      <c r="H78" s="59"/>
      <c r="I78" s="119"/>
      <c r="J78" s="59"/>
      <c r="K78" s="59"/>
      <c r="L78" s="51"/>
    </row>
    <row r="79" spans="1:12" s="39" customFormat="1" x14ac:dyDescent="0.25">
      <c r="A79" s="5">
        <f t="shared" si="11"/>
        <v>1.0074999999999992</v>
      </c>
      <c r="B79" s="17" t="s">
        <v>358</v>
      </c>
      <c r="C79" s="17" t="s">
        <v>360</v>
      </c>
      <c r="D79" s="18"/>
      <c r="E79" s="51"/>
      <c r="F79" s="83"/>
      <c r="G79" s="59"/>
      <c r="H79" s="59"/>
      <c r="I79" s="119"/>
      <c r="J79" s="59"/>
      <c r="K79" s="59"/>
      <c r="L79" s="51"/>
    </row>
    <row r="80" spans="1:12" s="39" customFormat="1" x14ac:dyDescent="0.25">
      <c r="A80" s="5">
        <f t="shared" si="11"/>
        <v>1.0075999999999992</v>
      </c>
      <c r="B80" s="32" t="s">
        <v>24</v>
      </c>
      <c r="C80" s="6" t="s">
        <v>25</v>
      </c>
      <c r="D80" s="56"/>
      <c r="E80" s="51"/>
      <c r="F80" s="8" t="s">
        <v>5</v>
      </c>
      <c r="G80" s="8">
        <f t="shared" ref="G80:K87" si="13">IF($F80=G$1,1,0)</f>
        <v>1</v>
      </c>
      <c r="H80" s="8">
        <f t="shared" si="13"/>
        <v>0</v>
      </c>
      <c r="I80" s="120">
        <f t="shared" si="13"/>
        <v>0</v>
      </c>
      <c r="J80" s="8">
        <f t="shared" si="13"/>
        <v>0</v>
      </c>
      <c r="K80" s="8">
        <f t="shared" si="13"/>
        <v>0</v>
      </c>
      <c r="L80" s="51"/>
    </row>
    <row r="81" spans="1:12" s="39" customFormat="1" x14ac:dyDescent="0.25">
      <c r="A81" s="5">
        <f t="shared" si="11"/>
        <v>1.0076999999999992</v>
      </c>
      <c r="B81" s="7"/>
      <c r="C81" s="6" t="s">
        <v>26</v>
      </c>
      <c r="D81" s="56"/>
      <c r="E81" s="51"/>
      <c r="F81" s="8" t="s">
        <v>5</v>
      </c>
      <c r="G81" s="8">
        <f t="shared" si="13"/>
        <v>1</v>
      </c>
      <c r="H81" s="8">
        <f t="shared" si="13"/>
        <v>0</v>
      </c>
      <c r="I81" s="120">
        <f t="shared" si="13"/>
        <v>0</v>
      </c>
      <c r="J81" s="8">
        <f t="shared" si="13"/>
        <v>0</v>
      </c>
      <c r="K81" s="8">
        <f t="shared" si="13"/>
        <v>0</v>
      </c>
      <c r="L81" s="51"/>
    </row>
    <row r="82" spans="1:12" s="39" customFormat="1" x14ac:dyDescent="0.25">
      <c r="A82" s="5">
        <f t="shared" si="11"/>
        <v>1.0077999999999991</v>
      </c>
      <c r="B82" s="7"/>
      <c r="C82" s="6" t="s">
        <v>43</v>
      </c>
      <c r="D82" s="56"/>
      <c r="E82" s="51"/>
      <c r="F82" s="8" t="s">
        <v>5</v>
      </c>
      <c r="G82" s="8">
        <f t="shared" si="13"/>
        <v>1</v>
      </c>
      <c r="H82" s="8">
        <f t="shared" si="13"/>
        <v>0</v>
      </c>
      <c r="I82" s="120">
        <f t="shared" si="13"/>
        <v>0</v>
      </c>
      <c r="J82" s="8">
        <f t="shared" si="13"/>
        <v>0</v>
      </c>
      <c r="K82" s="8">
        <f t="shared" si="13"/>
        <v>0</v>
      </c>
      <c r="L82" s="51"/>
    </row>
    <row r="83" spans="1:12" s="39" customFormat="1" x14ac:dyDescent="0.25">
      <c r="A83" s="5">
        <f t="shared" si="11"/>
        <v>1.0078999999999991</v>
      </c>
      <c r="B83" s="7"/>
      <c r="C83" s="6" t="s">
        <v>44</v>
      </c>
      <c r="D83" s="56"/>
      <c r="E83" s="51"/>
      <c r="F83" s="8" t="s">
        <v>5</v>
      </c>
      <c r="G83" s="8">
        <f t="shared" si="13"/>
        <v>1</v>
      </c>
      <c r="H83" s="8">
        <f t="shared" si="13"/>
        <v>0</v>
      </c>
      <c r="I83" s="120">
        <f t="shared" si="13"/>
        <v>0</v>
      </c>
      <c r="J83" s="8">
        <f t="shared" si="13"/>
        <v>0</v>
      </c>
      <c r="K83" s="8">
        <f t="shared" si="13"/>
        <v>0</v>
      </c>
      <c r="L83" s="51"/>
    </row>
    <row r="84" spans="1:12" s="39" customFormat="1" ht="14.25" customHeight="1" x14ac:dyDescent="0.25">
      <c r="A84" s="5">
        <f t="shared" si="11"/>
        <v>1.0079999999999991</v>
      </c>
      <c r="B84" s="32" t="s">
        <v>355</v>
      </c>
      <c r="C84" s="62" t="s">
        <v>382</v>
      </c>
      <c r="D84" s="56"/>
      <c r="E84" s="51"/>
      <c r="F84" s="8" t="s">
        <v>5</v>
      </c>
      <c r="G84" s="8">
        <f t="shared" si="13"/>
        <v>1</v>
      </c>
      <c r="H84" s="8">
        <f t="shared" si="13"/>
        <v>0</v>
      </c>
      <c r="I84" s="120">
        <f t="shared" si="13"/>
        <v>0</v>
      </c>
      <c r="J84" s="8">
        <f t="shared" si="13"/>
        <v>0</v>
      </c>
      <c r="K84" s="8">
        <f t="shared" si="13"/>
        <v>0</v>
      </c>
      <c r="L84" s="51"/>
    </row>
    <row r="85" spans="1:12" s="39" customFormat="1" x14ac:dyDescent="0.25">
      <c r="A85" s="5">
        <f t="shared" si="11"/>
        <v>1.0080999999999991</v>
      </c>
      <c r="B85" s="7"/>
      <c r="C85" s="6" t="s">
        <v>356</v>
      </c>
      <c r="D85" s="56"/>
      <c r="E85" s="51"/>
      <c r="F85" s="8" t="s">
        <v>5</v>
      </c>
      <c r="G85" s="8">
        <f t="shared" si="13"/>
        <v>1</v>
      </c>
      <c r="H85" s="8">
        <f t="shared" si="13"/>
        <v>0</v>
      </c>
      <c r="I85" s="120">
        <f t="shared" si="13"/>
        <v>0</v>
      </c>
      <c r="J85" s="8">
        <f t="shared" si="13"/>
        <v>0</v>
      </c>
      <c r="K85" s="8">
        <f t="shared" si="13"/>
        <v>0</v>
      </c>
      <c r="L85" s="51"/>
    </row>
    <row r="86" spans="1:12" s="39" customFormat="1" x14ac:dyDescent="0.25">
      <c r="A86" s="5">
        <f t="shared" si="11"/>
        <v>1.0081999999999991</v>
      </c>
      <c r="B86" s="7"/>
      <c r="C86" s="6" t="s">
        <v>357</v>
      </c>
      <c r="D86" s="56"/>
      <c r="E86" s="51"/>
      <c r="F86" s="8" t="s">
        <v>5</v>
      </c>
      <c r="G86" s="8">
        <f t="shared" si="13"/>
        <v>1</v>
      </c>
      <c r="H86" s="8">
        <f t="shared" si="13"/>
        <v>0</v>
      </c>
      <c r="I86" s="120">
        <f t="shared" si="13"/>
        <v>0</v>
      </c>
      <c r="J86" s="8">
        <f t="shared" si="13"/>
        <v>0</v>
      </c>
      <c r="K86" s="8">
        <f t="shared" si="13"/>
        <v>0</v>
      </c>
      <c r="L86" s="51"/>
    </row>
    <row r="87" spans="1:12" s="39" customFormat="1" x14ac:dyDescent="0.25">
      <c r="A87" s="5">
        <f t="shared" si="11"/>
        <v>1.0082999999999991</v>
      </c>
      <c r="B87" s="7"/>
      <c r="C87" s="6" t="s">
        <v>47</v>
      </c>
      <c r="D87" s="56"/>
      <c r="E87" s="51"/>
      <c r="F87" s="8" t="s">
        <v>5</v>
      </c>
      <c r="G87" s="8">
        <f t="shared" si="13"/>
        <v>1</v>
      </c>
      <c r="H87" s="8">
        <f t="shared" si="13"/>
        <v>0</v>
      </c>
      <c r="I87" s="120">
        <f t="shared" si="13"/>
        <v>0</v>
      </c>
      <c r="J87" s="8">
        <f t="shared" si="13"/>
        <v>0</v>
      </c>
      <c r="K87" s="8">
        <f t="shared" si="13"/>
        <v>0</v>
      </c>
      <c r="L87" s="51"/>
    </row>
    <row r="88" spans="1:12" s="39" customFormat="1" x14ac:dyDescent="0.25">
      <c r="A88" s="5">
        <f t="shared" si="11"/>
        <v>1.0083999999999991</v>
      </c>
      <c r="B88" s="7"/>
      <c r="C88" s="6"/>
      <c r="D88" s="56"/>
      <c r="E88" s="51"/>
      <c r="F88" s="83"/>
      <c r="G88" s="59"/>
      <c r="H88" s="59"/>
      <c r="I88" s="119"/>
      <c r="J88" s="59"/>
      <c r="K88" s="59"/>
      <c r="L88" s="51"/>
    </row>
    <row r="89" spans="1:12" s="39" customFormat="1" x14ac:dyDescent="0.25">
      <c r="A89" s="5">
        <f t="shared" si="11"/>
        <v>1.0084999999999991</v>
      </c>
      <c r="B89" s="17" t="s">
        <v>284</v>
      </c>
      <c r="C89" s="18" t="s">
        <v>285</v>
      </c>
      <c r="D89" s="18"/>
      <c r="E89" s="51"/>
      <c r="F89" s="83"/>
      <c r="G89" s="59"/>
      <c r="H89" s="59"/>
      <c r="I89" s="119"/>
      <c r="J89" s="59"/>
      <c r="K89" s="59"/>
      <c r="L89" s="51"/>
    </row>
    <row r="90" spans="1:12" s="39" customFormat="1" ht="45" x14ac:dyDescent="0.25">
      <c r="A90" s="5">
        <f t="shared" si="11"/>
        <v>1.0085999999999991</v>
      </c>
      <c r="B90" s="42" t="s">
        <v>383</v>
      </c>
      <c r="C90" s="6" t="s">
        <v>384</v>
      </c>
      <c r="D90" s="56" t="s">
        <v>385</v>
      </c>
      <c r="E90" s="51"/>
      <c r="F90" s="83" t="s">
        <v>8</v>
      </c>
      <c r="G90" s="8">
        <f t="shared" ref="G90:K90" si="14">IF($F90=G$1,1,0)</f>
        <v>0</v>
      </c>
      <c r="H90" s="8">
        <f t="shared" si="14"/>
        <v>0</v>
      </c>
      <c r="I90" s="120">
        <f t="shared" si="14"/>
        <v>0</v>
      </c>
      <c r="J90" s="8">
        <f t="shared" si="14"/>
        <v>0</v>
      </c>
      <c r="K90" s="8">
        <f t="shared" si="14"/>
        <v>1</v>
      </c>
      <c r="L90" s="51"/>
    </row>
    <row r="91" spans="1:12" s="39" customFormat="1" x14ac:dyDescent="0.25">
      <c r="A91" s="5">
        <f t="shared" si="11"/>
        <v>1.008699999999999</v>
      </c>
      <c r="B91" s="7"/>
      <c r="C91" s="6"/>
      <c r="D91" s="56"/>
      <c r="E91" s="51"/>
      <c r="F91" s="83"/>
      <c r="G91" s="59"/>
      <c r="H91" s="59"/>
      <c r="I91" s="119"/>
      <c r="J91" s="59"/>
      <c r="K91" s="59"/>
      <c r="L91" s="51"/>
    </row>
    <row r="92" spans="1:12" s="39" customFormat="1" ht="45" x14ac:dyDescent="0.25">
      <c r="A92" s="5">
        <f t="shared" si="11"/>
        <v>1.008799999999999</v>
      </c>
      <c r="B92" s="42" t="s">
        <v>386</v>
      </c>
      <c r="C92" s="6" t="s">
        <v>387</v>
      </c>
      <c r="D92" s="56" t="s">
        <v>385</v>
      </c>
      <c r="E92" s="51"/>
      <c r="F92" s="83" t="s">
        <v>8</v>
      </c>
      <c r="G92" s="8">
        <f t="shared" ref="G92:K92" si="15">IF($F92=G$1,1,0)</f>
        <v>0</v>
      </c>
      <c r="H92" s="8">
        <f t="shared" si="15"/>
        <v>0</v>
      </c>
      <c r="I92" s="120">
        <f t="shared" si="15"/>
        <v>0</v>
      </c>
      <c r="J92" s="8">
        <f t="shared" si="15"/>
        <v>0</v>
      </c>
      <c r="K92" s="8">
        <f t="shared" si="15"/>
        <v>1</v>
      </c>
      <c r="L92" s="51"/>
    </row>
    <row r="93" spans="1:12" s="39" customFormat="1" x14ac:dyDescent="0.25">
      <c r="A93" s="5">
        <f t="shared" si="11"/>
        <v>1.008899999999999</v>
      </c>
      <c r="B93" s="82"/>
      <c r="C93" s="51"/>
      <c r="D93" s="51"/>
      <c r="E93" s="51"/>
      <c r="F93" s="83"/>
      <c r="G93" s="59"/>
      <c r="H93" s="59"/>
      <c r="I93" s="119"/>
      <c r="J93" s="59"/>
      <c r="K93" s="59"/>
      <c r="L93" s="51"/>
    </row>
    <row r="94" spans="1:12" s="39" customFormat="1" x14ac:dyDescent="0.25">
      <c r="A94" s="5">
        <f t="shared" si="11"/>
        <v>1.008999999999999</v>
      </c>
      <c r="B94" s="82"/>
      <c r="C94" s="51"/>
      <c r="D94" s="51"/>
      <c r="E94" s="51"/>
      <c r="F94" s="83"/>
      <c r="G94" s="59"/>
      <c r="H94" s="59"/>
      <c r="I94" s="119"/>
      <c r="J94" s="59"/>
      <c r="K94" s="59"/>
      <c r="L94" s="51"/>
    </row>
    <row r="95" spans="1:12" s="39" customFormat="1" x14ac:dyDescent="0.25">
      <c r="A95" s="5">
        <f t="shared" si="11"/>
        <v>1.009099999999999</v>
      </c>
      <c r="B95" s="82"/>
      <c r="C95" s="51"/>
      <c r="D95" s="51"/>
      <c r="E95" s="51"/>
      <c r="F95" s="83"/>
      <c r="G95" s="59"/>
      <c r="H95" s="59"/>
      <c r="I95" s="119"/>
      <c r="J95" s="59"/>
      <c r="K95" s="59"/>
      <c r="L95" s="51"/>
    </row>
    <row r="96" spans="1:12" s="39" customFormat="1" x14ac:dyDescent="0.25">
      <c r="A96" s="5">
        <f t="shared" si="11"/>
        <v>1.009199999999999</v>
      </c>
      <c r="B96" s="82"/>
      <c r="C96" s="51"/>
      <c r="D96" s="51"/>
      <c r="E96" s="51"/>
      <c r="F96" s="83"/>
      <c r="G96" s="59"/>
      <c r="H96" s="59"/>
      <c r="I96" s="119"/>
      <c r="J96" s="59"/>
      <c r="K96" s="59"/>
      <c r="L96" s="51"/>
    </row>
    <row r="97" spans="1:12" x14ac:dyDescent="0.25">
      <c r="A97" s="5">
        <f t="shared" si="11"/>
        <v>1.009299999999999</v>
      </c>
      <c r="B97" s="5"/>
      <c r="C97" s="7"/>
      <c r="D97" s="6"/>
      <c r="E97" s="7"/>
      <c r="F97" s="8"/>
      <c r="G97" s="8"/>
      <c r="H97" s="8"/>
      <c r="I97" s="120"/>
      <c r="J97" s="8"/>
      <c r="K97" s="8"/>
      <c r="L97" s="7"/>
    </row>
    <row r="98" spans="1:12" ht="16.5" thickBot="1" x14ac:dyDescent="0.3">
      <c r="G98" s="84">
        <f>SUM(G6:G97)</f>
        <v>71</v>
      </c>
      <c r="H98" s="84">
        <f t="shared" ref="H98:K98" si="16">SUM(H6:H97)</f>
        <v>0</v>
      </c>
      <c r="I98" s="122">
        <f t="shared" si="16"/>
        <v>0</v>
      </c>
      <c r="J98" s="84">
        <f t="shared" si="16"/>
        <v>0</v>
      </c>
      <c r="K98" s="84">
        <f t="shared" si="16"/>
        <v>2</v>
      </c>
    </row>
    <row r="99" spans="1:12" ht="15.75" thickTop="1" x14ac:dyDescent="0.25"/>
    <row r="100" spans="1:12" x14ac:dyDescent="0.25">
      <c r="E100" s="20" t="s">
        <v>334</v>
      </c>
      <c r="F100" s="20">
        <f>G98</f>
        <v>71</v>
      </c>
      <c r="G100" s="85">
        <f>F100/F105</f>
        <v>0.9726027397260274</v>
      </c>
    </row>
    <row r="101" spans="1:12" x14ac:dyDescent="0.25">
      <c r="E101" s="20" t="s">
        <v>335</v>
      </c>
      <c r="F101" s="20">
        <f>H98</f>
        <v>0</v>
      </c>
      <c r="G101" s="85">
        <f>F101/F105</f>
        <v>0</v>
      </c>
    </row>
    <row r="102" spans="1:12" x14ac:dyDescent="0.25">
      <c r="E102" s="20" t="s">
        <v>336</v>
      </c>
      <c r="F102" s="20">
        <f>I98</f>
        <v>0</v>
      </c>
      <c r="G102" s="85">
        <f>F102/F105</f>
        <v>0</v>
      </c>
    </row>
    <row r="103" spans="1:12" x14ac:dyDescent="0.25">
      <c r="E103" s="20" t="s">
        <v>7</v>
      </c>
      <c r="F103" s="20">
        <f>J98</f>
        <v>0</v>
      </c>
      <c r="G103" s="85">
        <f>F103/F105</f>
        <v>0</v>
      </c>
    </row>
    <row r="104" spans="1:12" x14ac:dyDescent="0.25">
      <c r="E104" s="20" t="s">
        <v>8</v>
      </c>
      <c r="F104" s="20">
        <f>K98</f>
        <v>2</v>
      </c>
      <c r="G104" s="85">
        <f>F104/F105</f>
        <v>2.7397260273972601E-2</v>
      </c>
    </row>
    <row r="105" spans="1:12" ht="15.75" thickBot="1" x14ac:dyDescent="0.3">
      <c r="F105" s="2">
        <f>SUM(F100:F104)</f>
        <v>73</v>
      </c>
      <c r="G105" s="86">
        <f>SUM(G100:G104)</f>
        <v>1</v>
      </c>
    </row>
    <row r="106" spans="1:12" ht="15.75" thickTop="1" x14ac:dyDescent="0.25"/>
  </sheetData>
  <mergeCells count="3">
    <mergeCell ref="A3:C3"/>
    <mergeCell ref="B2:D2"/>
    <mergeCell ref="D51:D59"/>
  </mergeCells>
  <conditionalFormatting sqref="B41:C44 C45 B46:C49 B7:C9 C55 B56:C58 B85:C88 B91:C91 C74 B75:C78 C90:C91">
    <cfRule type="expression" dxfId="38" priority="56">
      <formula>$E7="Fail"</formula>
    </cfRule>
  </conditionalFormatting>
  <conditionalFormatting sqref="B59:C59">
    <cfRule type="expression" dxfId="37" priority="55">
      <formula>$E59="Fail"</formula>
    </cfRule>
  </conditionalFormatting>
  <conditionalFormatting sqref="C48">
    <cfRule type="expression" dxfId="36" priority="51">
      <formula>$E48="Fail"</formula>
    </cfRule>
  </conditionalFormatting>
  <conditionalFormatting sqref="B40">
    <cfRule type="expression" dxfId="35" priority="50">
      <formula>$E40="Fail"</formula>
    </cfRule>
  </conditionalFormatting>
  <conditionalFormatting sqref="C40">
    <cfRule type="expression" dxfId="34" priority="49">
      <formula>$E40="Fail"</formula>
    </cfRule>
  </conditionalFormatting>
  <conditionalFormatting sqref="B11:C11">
    <cfRule type="expression" dxfId="33" priority="33">
      <formula>$E11="Fail"</formula>
    </cfRule>
  </conditionalFormatting>
  <conditionalFormatting sqref="B10:C10">
    <cfRule type="expression" dxfId="32" priority="32">
      <formula>$E10="Fail"</formula>
    </cfRule>
  </conditionalFormatting>
  <conditionalFormatting sqref="D40">
    <cfRule type="expression" dxfId="31" priority="44">
      <formula>$E40="Fail"</formula>
    </cfRule>
  </conditionalFormatting>
  <conditionalFormatting sqref="C6">
    <cfRule type="expression" dxfId="30" priority="30">
      <formula>$E6="Fail"</formula>
    </cfRule>
  </conditionalFormatting>
  <conditionalFormatting sqref="B45">
    <cfRule type="expression" dxfId="29" priority="28">
      <formula>$E45="Fail"</formula>
    </cfRule>
  </conditionalFormatting>
  <conditionalFormatting sqref="B51:C54">
    <cfRule type="expression" dxfId="28" priority="27">
      <formula>$E51="Fail"</formula>
    </cfRule>
  </conditionalFormatting>
  <conditionalFormatting sqref="C58">
    <cfRule type="expression" dxfId="27" priority="26">
      <formula>$E58="Fail"</formula>
    </cfRule>
  </conditionalFormatting>
  <conditionalFormatting sqref="B50">
    <cfRule type="expression" dxfId="26" priority="25">
      <formula>$E50="Fail"</formula>
    </cfRule>
  </conditionalFormatting>
  <conditionalFormatting sqref="B6">
    <cfRule type="expression" dxfId="25" priority="29">
      <formula>$E6="Fail"</formula>
    </cfRule>
  </conditionalFormatting>
  <conditionalFormatting sqref="C50">
    <cfRule type="expression" dxfId="24" priority="24">
      <formula>$E50="Fail"</formula>
    </cfRule>
  </conditionalFormatting>
  <conditionalFormatting sqref="B10:C10">
    <cfRule type="expression" dxfId="23" priority="31">
      <formula>$E10="Fail"</formula>
    </cfRule>
  </conditionalFormatting>
  <conditionalFormatting sqref="D69">
    <cfRule type="expression" dxfId="22" priority="17">
      <formula>$E69="Fail"</formula>
    </cfRule>
  </conditionalFormatting>
  <conditionalFormatting sqref="B74">
    <cfRule type="expression" dxfId="21" priority="16">
      <formula>$E74="Fail"</formula>
    </cfRule>
  </conditionalFormatting>
  <conditionalFormatting sqref="B80:C83">
    <cfRule type="expression" dxfId="20" priority="15">
      <formula>$E80="Fail"</formula>
    </cfRule>
  </conditionalFormatting>
  <conditionalFormatting sqref="D50">
    <cfRule type="expression" dxfId="19" priority="23">
      <formula>$E50="Fail"</formula>
    </cfRule>
  </conditionalFormatting>
  <conditionalFormatting sqref="B55">
    <cfRule type="expression" dxfId="18" priority="22">
      <formula>$E55="Fail"</formula>
    </cfRule>
  </conditionalFormatting>
  <conditionalFormatting sqref="B70:C73">
    <cfRule type="expression" dxfId="17" priority="21">
      <formula>$E70="Fail"</formula>
    </cfRule>
  </conditionalFormatting>
  <conditionalFormatting sqref="C77">
    <cfRule type="expression" dxfId="16" priority="20">
      <formula>$E77="Fail"</formula>
    </cfRule>
  </conditionalFormatting>
  <conditionalFormatting sqref="B69">
    <cfRule type="expression" dxfId="15" priority="19">
      <formula>$E69="Fail"</formula>
    </cfRule>
  </conditionalFormatting>
  <conditionalFormatting sqref="C69">
    <cfRule type="expression" dxfId="14" priority="18">
      <formula>$E69="Fail"</formula>
    </cfRule>
  </conditionalFormatting>
  <conditionalFormatting sqref="C87:C88">
    <cfRule type="expression" dxfId="13" priority="14">
      <formula>$E87="Fail"</formula>
    </cfRule>
  </conditionalFormatting>
  <conditionalFormatting sqref="B79">
    <cfRule type="expression" dxfId="12" priority="13">
      <formula>$E79="Fail"</formula>
    </cfRule>
  </conditionalFormatting>
  <conditionalFormatting sqref="C79">
    <cfRule type="expression" dxfId="11" priority="12">
      <formula>$E79="Fail"</formula>
    </cfRule>
  </conditionalFormatting>
  <conditionalFormatting sqref="D79">
    <cfRule type="expression" dxfId="10" priority="11">
      <formula>$E79="Fail"</formula>
    </cfRule>
  </conditionalFormatting>
  <conditionalFormatting sqref="B84">
    <cfRule type="expression" dxfId="9" priority="10">
      <formula>$E84="Fail"</formula>
    </cfRule>
  </conditionalFormatting>
  <conditionalFormatting sqref="C84">
    <cfRule type="expression" dxfId="8" priority="9">
      <formula>$E84="Fail"</formula>
    </cfRule>
  </conditionalFormatting>
  <conditionalFormatting sqref="B89:C89">
    <cfRule type="expression" dxfId="7" priority="8">
      <formula>$E89="Fail"</formula>
    </cfRule>
  </conditionalFormatting>
  <conditionalFormatting sqref="D89">
    <cfRule type="expression" dxfId="6" priority="7">
      <formula>$E89="Fail"</formula>
    </cfRule>
  </conditionalFormatting>
  <conditionalFormatting sqref="B90">
    <cfRule type="expression" dxfId="5" priority="6">
      <formula>$E90="Fail"</formula>
    </cfRule>
  </conditionalFormatting>
  <conditionalFormatting sqref="C92">
    <cfRule type="expression" dxfId="4" priority="5">
      <formula>$E92="Fail"</formula>
    </cfRule>
  </conditionalFormatting>
  <conditionalFormatting sqref="C92">
    <cfRule type="expression" dxfId="3" priority="4">
      <formula>$E92="Fail"</formula>
    </cfRule>
  </conditionalFormatting>
  <conditionalFormatting sqref="B92">
    <cfRule type="expression" dxfId="2" priority="3">
      <formula>$E92="Fail"</formula>
    </cfRule>
  </conditionalFormatting>
  <conditionalFormatting sqref="A5">
    <cfRule type="expression" dxfId="1" priority="2">
      <formula>$F5="Fail"</formula>
    </cfRule>
  </conditionalFormatting>
  <conditionalFormatting sqref="A6:A97">
    <cfRule type="expression" dxfId="0" priority="1">
      <formula>$F6="Fail"</formula>
    </cfRule>
  </conditionalFormatting>
  <dataValidations count="1">
    <dataValidation type="list" allowBlank="1" showInputMessage="1" showErrorMessage="1" sqref="F4:F97">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3]!Button5_Click">
                <anchor moveWithCells="1">
                  <from>
                    <xdr:col>0</xdr:col>
                    <xdr:colOff>57150</xdr:colOff>
                    <xdr:row>0</xdr:row>
                    <xdr:rowOff>28575</xdr:rowOff>
                  </from>
                  <to>
                    <xdr:col>0</xdr:col>
                    <xdr:colOff>685800</xdr:colOff>
                    <xdr:row>0</xdr:row>
                    <xdr:rowOff>180975</xdr:rowOff>
                  </to>
                </anchor>
              </controlPr>
            </control>
          </mc:Choice>
        </mc:AlternateContent>
        <mc:AlternateContent xmlns:mc="http://schemas.openxmlformats.org/markup-compatibility/2006">
          <mc:Choice Requires="x14">
            <control shapeId="34818" r:id="rId5" name="Button 2">
              <controlPr defaultSize="0" print="0" autoFill="0" autoPict="0" macro="[4]!Button5_Click">
                <anchor moveWithCells="1">
                  <from>
                    <xdr:col>0</xdr:col>
                    <xdr:colOff>57150</xdr:colOff>
                    <xdr:row>0</xdr:row>
                    <xdr:rowOff>28575</xdr:rowOff>
                  </from>
                  <to>
                    <xdr:col>0</xdr:col>
                    <xdr:colOff>685800</xdr:colOff>
                    <xdr:row>0</xdr:row>
                    <xdr:rowOff>180975</xdr:rowOff>
                  </to>
                </anchor>
              </controlPr>
            </control>
          </mc:Choice>
        </mc:AlternateContent>
        <mc:AlternateContent xmlns:mc="http://schemas.openxmlformats.org/markup-compatibility/2006">
          <mc:Choice Requires="x14">
            <control shapeId="34819" r:id="rId6" name="Button 3">
              <controlPr defaultSize="0" print="0" autoFill="0" autoPict="0" macro="[4]!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Summary</vt:lpstr>
      <vt:lpstr>Internal - Repurchase Reversal</vt:lpstr>
      <vt:lpstr>External - Repurchase Reversal</vt:lpstr>
      <vt:lpstr>Internal Repurchase - Normal</vt:lpstr>
      <vt:lpstr>Repurchase Reversal - SCHE 5</vt:lpstr>
      <vt:lpstr>Repurchase Reversal - SCHE 6</vt:lpstr>
      <vt:lpstr>Investment Reversal</vt:lpstr>
      <vt:lpstr>Switch Reversal - Multiple</vt:lpstr>
    </vt:vector>
  </TitlesOfParts>
  <Company>Sanlam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Jannie Basson (SEB)</dc:creator>
  <cp:lastModifiedBy>Tracy Lee Anderson</cp:lastModifiedBy>
  <cp:lastPrinted>2014-10-24T14:49:38Z</cp:lastPrinted>
  <dcterms:created xsi:type="dcterms:W3CDTF">2014-07-31T09:50:05Z</dcterms:created>
  <dcterms:modified xsi:type="dcterms:W3CDTF">2014-12-08T13:27:03Z</dcterms:modified>
</cp:coreProperties>
</file>