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45" windowWidth="20370" windowHeight="8685" activeTab="2"/>
  </bookViews>
  <sheets>
    <sheet name="Summary" sheetId="3" r:id="rId1"/>
    <sheet name="Test Case" sheetId="2" r:id="rId2"/>
    <sheet name="Internal Clients" sheetId="4" r:id="rId3"/>
    <sheet name="RFA Clients" sheetId="5" r:id="rId4"/>
  </sheets>
  <calcPr calcId="145621"/>
</workbook>
</file>

<file path=xl/calcChain.xml><?xml version="1.0" encoding="utf-8"?>
<calcChain xmlns="http://schemas.openxmlformats.org/spreadsheetml/2006/main">
  <c r="K7" i="5" l="1"/>
  <c r="J7" i="5"/>
  <c r="I7" i="5"/>
  <c r="H7" i="5"/>
  <c r="G7" i="5"/>
  <c r="K6" i="5"/>
  <c r="J6" i="5"/>
  <c r="I6" i="5"/>
  <c r="H6" i="5"/>
  <c r="G6" i="5"/>
  <c r="K5" i="5"/>
  <c r="J5" i="5"/>
  <c r="I5" i="5"/>
  <c r="H5" i="5"/>
  <c r="G5" i="5"/>
  <c r="K4" i="5"/>
  <c r="J4" i="5"/>
  <c r="I4" i="5"/>
  <c r="H4" i="5"/>
  <c r="G4" i="5"/>
  <c r="K3" i="5"/>
  <c r="J3" i="5"/>
  <c r="I3" i="5"/>
  <c r="H3" i="5"/>
  <c r="G3" i="5"/>
  <c r="G3" i="4"/>
  <c r="H3" i="4"/>
  <c r="I3" i="4"/>
  <c r="J3" i="4"/>
  <c r="K7" i="4"/>
  <c r="J7" i="4"/>
  <c r="I7" i="4"/>
  <c r="H7" i="4"/>
  <c r="G7" i="4"/>
  <c r="K6" i="4"/>
  <c r="J6" i="4"/>
  <c r="I6" i="4"/>
  <c r="H6" i="4"/>
  <c r="G6" i="4"/>
  <c r="K5" i="4"/>
  <c r="J5" i="4"/>
  <c r="I5" i="4"/>
  <c r="H5" i="4"/>
  <c r="G5" i="4"/>
  <c r="K4" i="4"/>
  <c r="J4" i="4"/>
  <c r="I4" i="4"/>
  <c r="H4" i="4"/>
  <c r="G4" i="4"/>
  <c r="G4" i="2" l="1"/>
  <c r="H4" i="2"/>
  <c r="I4" i="2"/>
  <c r="J4" i="2"/>
  <c r="K4" i="2"/>
  <c r="G5" i="2"/>
  <c r="H5" i="2"/>
  <c r="I5" i="2"/>
  <c r="J5" i="2"/>
  <c r="K5" i="2"/>
  <c r="G6" i="2"/>
  <c r="H6" i="2"/>
  <c r="I6" i="2"/>
  <c r="J6" i="2"/>
  <c r="K6" i="2"/>
  <c r="G7" i="2"/>
  <c r="H7" i="2"/>
  <c r="I7" i="2"/>
  <c r="J7" i="2"/>
  <c r="K7" i="2"/>
  <c r="K3" i="2"/>
  <c r="J3" i="2"/>
  <c r="I3" i="2"/>
  <c r="H3" i="2"/>
  <c r="G3" i="2"/>
  <c r="K8" i="5" l="1"/>
  <c r="G5" i="3" s="1"/>
  <c r="J8" i="5"/>
  <c r="F5" i="3" s="1"/>
  <c r="I8" i="5"/>
  <c r="E5" i="3" s="1"/>
  <c r="H8" i="5"/>
  <c r="D5" i="3" s="1"/>
  <c r="G8" i="5"/>
  <c r="C5" i="3" s="1"/>
  <c r="A4" i="5"/>
  <c r="A5" i="5" s="1"/>
  <c r="A6" i="5" s="1"/>
  <c r="A7" i="5" s="1"/>
  <c r="A4" i="4"/>
  <c r="A5" i="4" s="1"/>
  <c r="A6" i="4" s="1"/>
  <c r="A7" i="4" s="1"/>
  <c r="H5" i="3" l="1"/>
  <c r="A4" i="2"/>
  <c r="A5" i="2" s="1"/>
  <c r="A6" i="2" s="1"/>
  <c r="A7" i="2" s="1"/>
  <c r="G8" i="2" l="1"/>
  <c r="C3" i="3" s="1"/>
  <c r="H8" i="2" l="1"/>
  <c r="D3" i="3" s="1"/>
  <c r="I8" i="2" l="1"/>
  <c r="E3" i="3" s="1"/>
  <c r="H3" i="3" s="1"/>
  <c r="J8" i="2" l="1"/>
  <c r="F3" i="3" s="1"/>
  <c r="K8" i="2" l="1"/>
  <c r="G3" i="3" s="1"/>
  <c r="K3" i="4" l="1"/>
  <c r="K8" i="4" s="1"/>
  <c r="G4" i="3" s="1"/>
  <c r="G8" i="4"/>
  <c r="C4" i="3" s="1"/>
  <c r="H8" i="4"/>
  <c r="D4" i="3" s="1"/>
  <c r="J8" i="4"/>
  <c r="F4" i="3" s="1"/>
  <c r="I8" i="4"/>
  <c r="E4" i="3" s="1"/>
  <c r="H4" i="3" l="1"/>
</calcChain>
</file>

<file path=xl/sharedStrings.xml><?xml version="1.0" encoding="utf-8"?>
<sst xmlns="http://schemas.openxmlformats.org/spreadsheetml/2006/main" count="81" uniqueCount="24">
  <si>
    <t>Correct Y / N</t>
  </si>
  <si>
    <t>Test Case</t>
  </si>
  <si>
    <t>Expected Results</t>
  </si>
  <si>
    <t>Bug  ID</t>
  </si>
  <si>
    <t>Notes</t>
  </si>
  <si>
    <t>Pass</t>
  </si>
  <si>
    <t>Fail</t>
  </si>
  <si>
    <t>N/A</t>
  </si>
  <si>
    <t>Not Now</t>
  </si>
  <si>
    <t>To be Tested</t>
  </si>
  <si>
    <t>TOTAL</t>
  </si>
  <si>
    <t>Input data / Action / Field Name</t>
  </si>
  <si>
    <t>Data Dictionary</t>
  </si>
  <si>
    <t xml:space="preserve">External Clients  </t>
  </si>
  <si>
    <t>Internal Clients</t>
  </si>
  <si>
    <t>RFA Clients</t>
  </si>
  <si>
    <t>Select a client</t>
  </si>
  <si>
    <t>Client record will display</t>
  </si>
  <si>
    <t>Check that termination instruction has correct info</t>
  </si>
  <si>
    <t>Portfolio(s) and values are correct</t>
  </si>
  <si>
    <t>Process termination (repurchase) transaction</t>
  </si>
  <si>
    <t>Check that balance in portfolio(s) = 0</t>
  </si>
  <si>
    <t>Reports must be correct (Inv Report and Audit Certificate)</t>
  </si>
  <si>
    <t>In the case of a partial termination, the balances in portfolio(s) will not =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</si>
</sst>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E0E0E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wrapText="1"/>
    </xf>
    <xf numFmtId="0" fontId="3" fillId="0" borderId="1" xfId="0" applyFont="1" applyBorder="1" applyAlignment="1">
      <alignment wrapText="1"/>
    </xf>
    <xf numFmtId="0" fontId="0" fillId="3" borderId="0" xfId="0" applyFill="1"/>
    <xf numFmtId="164" fontId="0" fillId="0" borderId="0" xfId="0" applyNumberFormat="1" applyAlignment="1">
      <alignment wrapText="1"/>
    </xf>
    <xf numFmtId="164" fontId="1" fillId="3" borderId="2" xfId="0" applyNumberFormat="1" applyFont="1" applyFill="1" applyBorder="1" applyAlignment="1">
      <alignment vertical="center" wrapText="1"/>
    </xf>
    <xf numFmtId="0" fontId="1" fillId="3" borderId="2" xfId="0" applyFont="1" applyFill="1" applyBorder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0" fillId="0" borderId="2" xfId="0" applyBorder="1" applyAlignment="1">
      <alignment wrapText="1"/>
    </xf>
    <xf numFmtId="0" fontId="1" fillId="3" borderId="2" xfId="0" applyFont="1" applyFill="1" applyBorder="1" applyAlignment="1">
      <alignment horizontal="left" vertical="center" wrapText="1"/>
    </xf>
    <xf numFmtId="164" fontId="2" fillId="2" borderId="2" xfId="0" applyNumberFormat="1" applyFont="1" applyFill="1" applyBorder="1" applyAlignment="1">
      <alignment wrapText="1"/>
    </xf>
    <xf numFmtId="0" fontId="2" fillId="2" borderId="2" xfId="0" applyFont="1" applyFill="1" applyBorder="1" applyAlignment="1">
      <alignment wrapText="1"/>
    </xf>
    <xf numFmtId="0" fontId="2" fillId="2" borderId="2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164" fontId="6" fillId="5" borderId="2" xfId="0" applyNumberFormat="1" applyFont="1" applyFill="1" applyBorder="1" applyAlignment="1">
      <alignment vertical="center" wrapText="1"/>
    </xf>
    <xf numFmtId="0" fontId="6" fillId="5" borderId="2" xfId="0" applyFont="1" applyFill="1" applyBorder="1" applyAlignment="1">
      <alignment vertical="center" wrapText="1"/>
    </xf>
    <xf numFmtId="0" fontId="6" fillId="5" borderId="2" xfId="0" applyFont="1" applyFill="1" applyBorder="1" applyAlignment="1">
      <alignment horizontal="left" vertical="center" wrapText="1"/>
    </xf>
    <xf numFmtId="0" fontId="5" fillId="5" borderId="2" xfId="0" applyFont="1" applyFill="1" applyBorder="1" applyAlignment="1">
      <alignment wrapText="1"/>
    </xf>
    <xf numFmtId="0" fontId="3" fillId="0" borderId="0" xfId="0" applyFont="1" applyAlignment="1">
      <alignment wrapText="1"/>
    </xf>
    <xf numFmtId="0" fontId="2" fillId="2" borderId="2" xfId="0" applyFont="1" applyFill="1" applyBorder="1" applyAlignment="1">
      <alignment horizontal="left" vertical="center"/>
    </xf>
  </cellXfs>
  <cellStyles count="1">
    <cellStyle name="Normal" xfId="0" builtinId="0"/>
  </cellStyles>
  <dxfs count="5"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7</xdr:row>
          <xdr:rowOff>57150</xdr:rowOff>
        </xdr:from>
        <xdr:to>
          <xdr:col>0</xdr:col>
          <xdr:colOff>581025</xdr:colOff>
          <xdr:row>8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9525</xdr:rowOff>
        </xdr:from>
        <xdr:to>
          <xdr:col>0</xdr:col>
          <xdr:colOff>581025</xdr:colOff>
          <xdr:row>2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</xdr:row>
          <xdr:rowOff>9525</xdr:rowOff>
        </xdr:from>
        <xdr:to>
          <xdr:col>0</xdr:col>
          <xdr:colOff>581025</xdr:colOff>
          <xdr:row>3</xdr:row>
          <xdr:rowOff>171450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4</xdr:row>
          <xdr:rowOff>9525</xdr:rowOff>
        </xdr:from>
        <xdr:to>
          <xdr:col>0</xdr:col>
          <xdr:colOff>581025</xdr:colOff>
          <xdr:row>4</xdr:row>
          <xdr:rowOff>171450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28575</xdr:rowOff>
        </xdr:from>
        <xdr:to>
          <xdr:col>0</xdr:col>
          <xdr:colOff>685800</xdr:colOff>
          <xdr:row>0</xdr:row>
          <xdr:rowOff>180975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28575</xdr:rowOff>
        </xdr:from>
        <xdr:to>
          <xdr:col>0</xdr:col>
          <xdr:colOff>685800</xdr:colOff>
          <xdr:row>0</xdr:row>
          <xdr:rowOff>180975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28575</xdr:rowOff>
        </xdr:from>
        <xdr:to>
          <xdr:col>0</xdr:col>
          <xdr:colOff>685800</xdr:colOff>
          <xdr:row>0</xdr:row>
          <xdr:rowOff>180975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H7"/>
  <sheetViews>
    <sheetView zoomScaleNormal="100" workbookViewId="0">
      <selection activeCell="H6" sqref="H6"/>
    </sheetView>
  </sheetViews>
  <sheetFormatPr defaultRowHeight="15" x14ac:dyDescent="0.25"/>
  <cols>
    <col min="1" max="1" width="9.140625" style="3"/>
    <col min="2" max="2" width="18.140625" style="3" customWidth="1"/>
    <col min="3" max="8" width="15" style="3" customWidth="1"/>
    <col min="9" max="16384" width="9.140625" style="3"/>
  </cols>
  <sheetData>
    <row r="2" spans="2:8" x14ac:dyDescent="0.25">
      <c r="B2" s="13"/>
      <c r="C2" s="13" t="s">
        <v>5</v>
      </c>
      <c r="D2" s="13" t="s">
        <v>6</v>
      </c>
      <c r="E2" s="13" t="s">
        <v>9</v>
      </c>
      <c r="F2" s="13" t="s">
        <v>7</v>
      </c>
      <c r="G2" s="13" t="s">
        <v>8</v>
      </c>
      <c r="H2" s="13" t="s">
        <v>10</v>
      </c>
    </row>
    <row r="3" spans="2:8" x14ac:dyDescent="0.25">
      <c r="B3" s="21" t="s">
        <v>13</v>
      </c>
      <c r="C3" s="14">
        <f>'Test Case'!G8</f>
        <v>5</v>
      </c>
      <c r="D3" s="14">
        <f>'Test Case'!H8</f>
        <v>0</v>
      </c>
      <c r="E3" s="14">
        <f>'Test Case'!I8</f>
        <v>0</v>
      </c>
      <c r="F3" s="15">
        <f>'Test Case'!J8</f>
        <v>0</v>
      </c>
      <c r="G3" s="15">
        <f>'Test Case'!K8</f>
        <v>0</v>
      </c>
      <c r="H3" s="14">
        <f>SUM(C3:E3)</f>
        <v>5</v>
      </c>
    </row>
    <row r="4" spans="2:8" x14ac:dyDescent="0.25">
      <c r="B4" s="21" t="s">
        <v>14</v>
      </c>
      <c r="C4" s="14">
        <f>'Internal Clients'!G8</f>
        <v>5</v>
      </c>
      <c r="D4" s="14">
        <f>'Internal Clients'!H8</f>
        <v>0</v>
      </c>
      <c r="E4" s="14">
        <f>'Internal Clients'!I8</f>
        <v>0</v>
      </c>
      <c r="F4" s="15">
        <f>'Internal Clients'!J8</f>
        <v>0</v>
      </c>
      <c r="G4" s="15">
        <f>'Internal Clients'!K8</f>
        <v>0</v>
      </c>
      <c r="H4" s="14">
        <f t="shared" ref="H4:H5" si="0">SUM(C4:E4)</f>
        <v>5</v>
      </c>
    </row>
    <row r="5" spans="2:8" x14ac:dyDescent="0.25">
      <c r="B5" s="21" t="s">
        <v>15</v>
      </c>
      <c r="C5" s="14">
        <f>'RFA Clients'!G8</f>
        <v>5</v>
      </c>
      <c r="D5" s="14">
        <f>'RFA Clients'!H8</f>
        <v>0</v>
      </c>
      <c r="E5" s="14">
        <f>'RFA Clients'!I8</f>
        <v>0</v>
      </c>
      <c r="F5" s="15">
        <f>'RFA Clients'!J8</f>
        <v>0</v>
      </c>
      <c r="G5" s="15">
        <f>'RFA Clients'!K8</f>
        <v>0</v>
      </c>
      <c r="H5" s="14">
        <f t="shared" si="0"/>
        <v>5</v>
      </c>
    </row>
    <row r="6" spans="2:8" x14ac:dyDescent="0.25">
      <c r="B6" s="13"/>
      <c r="C6" s="14"/>
      <c r="D6" s="14"/>
      <c r="E6" s="14"/>
      <c r="F6" s="15"/>
      <c r="G6" s="15"/>
      <c r="H6" s="14"/>
    </row>
    <row r="7" spans="2:8" x14ac:dyDescent="0.25">
      <c r="B7" s="13"/>
      <c r="C7" s="14"/>
      <c r="D7" s="14"/>
      <c r="E7" s="14"/>
      <c r="F7" s="15"/>
      <c r="G7" s="15"/>
      <c r="H7" s="1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_xludf.CLEAR">
                <anchor moveWithCells="1">
                  <from>
                    <xdr:col>0</xdr:col>
                    <xdr:colOff>38100</xdr:colOff>
                    <xdr:row>7</xdr:row>
                    <xdr:rowOff>57150</xdr:rowOff>
                  </from>
                  <to>
                    <xdr:col>0</xdr:col>
                    <xdr:colOff>581025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utton2_Click">
                <anchor moveWithCells="1">
                  <from>
                    <xdr:col>0</xdr:col>
                    <xdr:colOff>38100</xdr:colOff>
                    <xdr:row>2</xdr:row>
                    <xdr:rowOff>9525</xdr:rowOff>
                  </from>
                  <to>
                    <xdr:col>0</xdr:col>
                    <xdr:colOff>581025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Button1_Click">
                <anchor moveWithCells="1">
                  <from>
                    <xdr:col>0</xdr:col>
                    <xdr:colOff>38100</xdr:colOff>
                    <xdr:row>3</xdr:row>
                    <xdr:rowOff>9525</xdr:rowOff>
                  </from>
                  <to>
                    <xdr:col>0</xdr:col>
                    <xdr:colOff>581025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Button3_Click">
                <anchor moveWithCells="1">
                  <from>
                    <xdr:col>0</xdr:col>
                    <xdr:colOff>38100</xdr:colOff>
                    <xdr:row>4</xdr:row>
                    <xdr:rowOff>9525</xdr:rowOff>
                  </from>
                  <to>
                    <xdr:col>0</xdr:col>
                    <xdr:colOff>581025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9"/>
  <sheetViews>
    <sheetView zoomScaleNormal="100" workbookViewId="0">
      <pane ySplit="1" topLeftCell="A2" activePane="bottomLeft" state="frozen"/>
      <selection pane="bottomLeft" activeCell="B13" sqref="B13"/>
    </sheetView>
  </sheetViews>
  <sheetFormatPr defaultRowHeight="15" x14ac:dyDescent="0.25"/>
  <cols>
    <col min="1" max="1" width="11.28515625" style="4" bestFit="1" customWidth="1"/>
    <col min="2" max="2" width="48.5703125" style="1" customWidth="1"/>
    <col min="3" max="3" width="50.7109375" style="1" customWidth="1"/>
    <col min="4" max="4" width="39" style="1" customWidth="1"/>
    <col min="5" max="5" width="20.42578125" style="1" customWidth="1"/>
    <col min="6" max="6" width="14.7109375" style="1" customWidth="1"/>
    <col min="7" max="10" width="9.140625" style="1"/>
    <col min="11" max="11" width="16.5703125" style="1" customWidth="1"/>
    <col min="12" max="12" width="39" style="1" customWidth="1"/>
    <col min="13" max="16384" width="9.140625" style="1"/>
  </cols>
  <sheetData>
    <row r="1" spans="1:12" ht="30" customHeight="1" x14ac:dyDescent="0.25">
      <c r="A1" s="10" t="s">
        <v>1</v>
      </c>
      <c r="B1" s="11" t="s">
        <v>11</v>
      </c>
      <c r="C1" s="11" t="s">
        <v>2</v>
      </c>
      <c r="D1" s="12" t="s">
        <v>4</v>
      </c>
      <c r="E1" s="12" t="s">
        <v>3</v>
      </c>
      <c r="F1" s="11" t="s">
        <v>0</v>
      </c>
      <c r="G1" s="12" t="s">
        <v>5</v>
      </c>
      <c r="H1" s="12" t="s">
        <v>6</v>
      </c>
      <c r="I1" s="12"/>
      <c r="J1" s="12" t="s">
        <v>7</v>
      </c>
      <c r="K1" s="12" t="s">
        <v>8</v>
      </c>
      <c r="L1" s="12" t="s">
        <v>12</v>
      </c>
    </row>
    <row r="2" spans="1:12" s="20" customFormat="1" x14ac:dyDescent="0.25">
      <c r="A2" s="16">
        <v>1</v>
      </c>
      <c r="B2" s="17"/>
      <c r="C2" s="18"/>
      <c r="D2" s="17"/>
      <c r="E2" s="17"/>
      <c r="F2" s="19"/>
      <c r="G2" s="19"/>
      <c r="H2" s="19"/>
      <c r="I2" s="19"/>
      <c r="J2" s="19"/>
      <c r="K2" s="19"/>
      <c r="L2" s="17"/>
    </row>
    <row r="3" spans="1:12" x14ac:dyDescent="0.25">
      <c r="A3" s="5">
        <v>1</v>
      </c>
      <c r="B3" s="6" t="s">
        <v>16</v>
      </c>
      <c r="C3" s="9" t="s">
        <v>17</v>
      </c>
      <c r="D3" s="7"/>
      <c r="E3" s="6"/>
      <c r="F3" s="8" t="s">
        <v>5</v>
      </c>
      <c r="G3" s="8">
        <f t="shared" ref="G3:K7" si="0">IF($F3=G$1,1,0)</f>
        <v>1</v>
      </c>
      <c r="H3" s="8">
        <f t="shared" si="0"/>
        <v>0</v>
      </c>
      <c r="I3" s="8">
        <f t="shared" si="0"/>
        <v>0</v>
      </c>
      <c r="J3" s="8">
        <f t="shared" si="0"/>
        <v>0</v>
      </c>
      <c r="K3" s="8">
        <f t="shared" si="0"/>
        <v>0</v>
      </c>
      <c r="L3" s="7"/>
    </row>
    <row r="4" spans="1:12" x14ac:dyDescent="0.25">
      <c r="A4" s="5">
        <f t="shared" ref="A4:A7" si="1">A3+0.0001</f>
        <v>1.0001</v>
      </c>
      <c r="B4" s="6" t="s">
        <v>18</v>
      </c>
      <c r="C4" s="9" t="s">
        <v>19</v>
      </c>
      <c r="D4" s="7"/>
      <c r="E4" s="6"/>
      <c r="F4" s="8" t="s">
        <v>5</v>
      </c>
      <c r="G4" s="8">
        <f t="shared" si="0"/>
        <v>1</v>
      </c>
      <c r="H4" s="8">
        <f t="shared" si="0"/>
        <v>0</v>
      </c>
      <c r="I4" s="8">
        <f t="shared" si="0"/>
        <v>0</v>
      </c>
      <c r="J4" s="8">
        <f t="shared" si="0"/>
        <v>0</v>
      </c>
      <c r="K4" s="8">
        <f t="shared" si="0"/>
        <v>0</v>
      </c>
      <c r="L4" s="7"/>
    </row>
    <row r="5" spans="1:12" x14ac:dyDescent="0.25">
      <c r="A5" s="5">
        <f t="shared" si="1"/>
        <v>1.0002</v>
      </c>
      <c r="B5" s="6" t="s">
        <v>20</v>
      </c>
      <c r="C5" s="9" t="s">
        <v>21</v>
      </c>
      <c r="D5" s="7"/>
      <c r="E5" s="6"/>
      <c r="F5" s="8" t="s">
        <v>5</v>
      </c>
      <c r="G5" s="8">
        <f t="shared" si="0"/>
        <v>1</v>
      </c>
      <c r="H5" s="8">
        <f t="shared" si="0"/>
        <v>0</v>
      </c>
      <c r="I5" s="8">
        <f t="shared" si="0"/>
        <v>0</v>
      </c>
      <c r="J5" s="8">
        <f t="shared" si="0"/>
        <v>0</v>
      </c>
      <c r="K5" s="8">
        <f t="shared" si="0"/>
        <v>0</v>
      </c>
      <c r="L5" s="7"/>
    </row>
    <row r="6" spans="1:12" x14ac:dyDescent="0.25">
      <c r="A6" s="5">
        <f t="shared" si="1"/>
        <v>1.0003</v>
      </c>
      <c r="B6" s="7"/>
      <c r="C6" s="6" t="s">
        <v>22</v>
      </c>
      <c r="D6" s="7"/>
      <c r="E6" s="7"/>
      <c r="F6" s="8" t="s">
        <v>5</v>
      </c>
      <c r="G6" s="8">
        <f t="shared" si="0"/>
        <v>1</v>
      </c>
      <c r="H6" s="8">
        <f t="shared" si="0"/>
        <v>0</v>
      </c>
      <c r="I6" s="8">
        <f t="shared" si="0"/>
        <v>0</v>
      </c>
      <c r="J6" s="8">
        <f t="shared" si="0"/>
        <v>0</v>
      </c>
      <c r="K6" s="8">
        <f t="shared" si="0"/>
        <v>0</v>
      </c>
      <c r="L6" s="7"/>
    </row>
    <row r="7" spans="1:12" ht="25.5" x14ac:dyDescent="0.25">
      <c r="A7" s="5">
        <f t="shared" si="1"/>
        <v>1.0004</v>
      </c>
      <c r="B7" s="6"/>
      <c r="C7" s="6" t="s">
        <v>23</v>
      </c>
      <c r="D7" s="7"/>
      <c r="E7" s="7"/>
      <c r="F7" s="8" t="s">
        <v>5</v>
      </c>
      <c r="G7" s="8">
        <f t="shared" si="0"/>
        <v>1</v>
      </c>
      <c r="H7" s="8">
        <f t="shared" si="0"/>
        <v>0</v>
      </c>
      <c r="I7" s="8">
        <f t="shared" si="0"/>
        <v>0</v>
      </c>
      <c r="J7" s="8">
        <f t="shared" si="0"/>
        <v>0</v>
      </c>
      <c r="K7" s="8">
        <f t="shared" si="0"/>
        <v>0</v>
      </c>
      <c r="L7" s="7"/>
    </row>
    <row r="8" spans="1:12" ht="15.75" thickBot="1" x14ac:dyDescent="0.3">
      <c r="G8" s="2">
        <f>SUM(G2:G7)</f>
        <v>5</v>
      </c>
      <c r="H8" s="2">
        <f>SUM(H2:H7)</f>
        <v>0</v>
      </c>
      <c r="I8" s="2">
        <f>SUM(I2:I7)</f>
        <v>0</v>
      </c>
      <c r="J8" s="2">
        <f>SUM(J2:J7)</f>
        <v>0</v>
      </c>
      <c r="K8" s="2">
        <f>SUM(K2:K7)</f>
        <v>0</v>
      </c>
    </row>
    <row r="9" spans="1:12" ht="15.75" thickTop="1" x14ac:dyDescent="0.25"/>
  </sheetData>
  <conditionalFormatting sqref="A2:L26">
    <cfRule type="expression" dxfId="4" priority="323">
      <formula>$F2="Fail"</formula>
    </cfRule>
  </conditionalFormatting>
  <dataValidations count="1">
    <dataValidation type="list" allowBlank="1" showInputMessage="1" showErrorMessage="1" sqref="F2:F7">
      <formula1>$G$1:$K$1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4" name="Button 5">
              <controlPr defaultSize="0" print="0" autoFill="0" autoPict="0" macro="[0]!Button5_Click">
                <anchor moveWithCells="1">
                  <from>
                    <xdr:col>0</xdr:col>
                    <xdr:colOff>57150</xdr:colOff>
                    <xdr:row>0</xdr:row>
                    <xdr:rowOff>28575</xdr:rowOff>
                  </from>
                  <to>
                    <xdr:col>0</xdr:col>
                    <xdr:colOff>685800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9"/>
  <sheetViews>
    <sheetView tabSelected="1" topLeftCell="D1" zoomScaleNormal="100" workbookViewId="0">
      <pane ySplit="1" topLeftCell="A2" activePane="bottomLeft" state="frozen"/>
      <selection pane="bottomLeft" activeCell="F8" sqref="F8"/>
    </sheetView>
  </sheetViews>
  <sheetFormatPr defaultRowHeight="15" x14ac:dyDescent="0.25"/>
  <cols>
    <col min="1" max="1" width="11.28515625" style="4" bestFit="1" customWidth="1"/>
    <col min="2" max="2" width="48.5703125" style="1" customWidth="1"/>
    <col min="3" max="3" width="50.7109375" style="1" customWidth="1"/>
    <col min="4" max="4" width="39" style="1" customWidth="1"/>
    <col min="5" max="5" width="20.42578125" style="1" customWidth="1"/>
    <col min="6" max="6" width="14.7109375" style="1" customWidth="1"/>
    <col min="7" max="10" width="9.140625" style="1"/>
    <col min="11" max="11" width="16.5703125" style="1" customWidth="1"/>
    <col min="12" max="12" width="39" style="1" customWidth="1"/>
    <col min="13" max="16384" width="9.140625" style="1"/>
  </cols>
  <sheetData>
    <row r="1" spans="1:12" ht="30" customHeight="1" x14ac:dyDescent="0.25">
      <c r="A1" s="10" t="s">
        <v>1</v>
      </c>
      <c r="B1" s="11" t="s">
        <v>11</v>
      </c>
      <c r="C1" s="11" t="s">
        <v>2</v>
      </c>
      <c r="D1" s="12" t="s">
        <v>4</v>
      </c>
      <c r="E1" s="12" t="s">
        <v>3</v>
      </c>
      <c r="F1" s="11" t="s">
        <v>0</v>
      </c>
      <c r="G1" s="12" t="s">
        <v>5</v>
      </c>
      <c r="H1" s="12" t="s">
        <v>6</v>
      </c>
      <c r="I1" s="12"/>
      <c r="J1" s="12" t="s">
        <v>7</v>
      </c>
      <c r="K1" s="12" t="s">
        <v>8</v>
      </c>
      <c r="L1" s="12" t="s">
        <v>12</v>
      </c>
    </row>
    <row r="2" spans="1:12" s="20" customFormat="1" x14ac:dyDescent="0.25">
      <c r="A2" s="16">
        <v>1</v>
      </c>
      <c r="B2" s="17"/>
      <c r="C2" s="18"/>
      <c r="D2" s="17"/>
      <c r="E2" s="17"/>
      <c r="F2" s="19"/>
      <c r="G2" s="19"/>
      <c r="H2" s="19"/>
      <c r="I2" s="19"/>
      <c r="J2" s="19"/>
      <c r="K2" s="19"/>
      <c r="L2" s="17"/>
    </row>
    <row r="3" spans="1:12" x14ac:dyDescent="0.25">
      <c r="A3" s="5">
        <v>1</v>
      </c>
      <c r="B3" s="6" t="s">
        <v>16</v>
      </c>
      <c r="C3" s="9" t="s">
        <v>17</v>
      </c>
      <c r="D3" s="7"/>
      <c r="E3" s="6"/>
      <c r="F3" s="8" t="s">
        <v>5</v>
      </c>
      <c r="G3" s="8">
        <f t="shared" ref="G3:K7" si="0">IF($F3=G$1,1,0)</f>
        <v>1</v>
      </c>
      <c r="H3" s="8">
        <f t="shared" si="0"/>
        <v>0</v>
      </c>
      <c r="I3" s="8">
        <f t="shared" si="0"/>
        <v>0</v>
      </c>
      <c r="J3" s="8">
        <f t="shared" si="0"/>
        <v>0</v>
      </c>
      <c r="K3" s="8">
        <f t="shared" si="0"/>
        <v>0</v>
      </c>
      <c r="L3" s="7"/>
    </row>
    <row r="4" spans="1:12" x14ac:dyDescent="0.25">
      <c r="A4" s="5">
        <f t="shared" ref="A4:A7" si="1">A3+0.0001</f>
        <v>1.0001</v>
      </c>
      <c r="B4" s="6" t="s">
        <v>18</v>
      </c>
      <c r="C4" s="9" t="s">
        <v>19</v>
      </c>
      <c r="D4" s="7"/>
      <c r="E4" s="6"/>
      <c r="F4" s="8" t="s">
        <v>5</v>
      </c>
      <c r="G4" s="8">
        <f t="shared" si="0"/>
        <v>1</v>
      </c>
      <c r="H4" s="8">
        <f t="shared" si="0"/>
        <v>0</v>
      </c>
      <c r="I4" s="8">
        <f t="shared" si="0"/>
        <v>0</v>
      </c>
      <c r="J4" s="8">
        <f t="shared" si="0"/>
        <v>0</v>
      </c>
      <c r="K4" s="8">
        <f t="shared" si="0"/>
        <v>0</v>
      </c>
      <c r="L4" s="7"/>
    </row>
    <row r="5" spans="1:12" x14ac:dyDescent="0.25">
      <c r="A5" s="5">
        <f t="shared" si="1"/>
        <v>1.0002</v>
      </c>
      <c r="B5" s="6" t="s">
        <v>20</v>
      </c>
      <c r="C5" s="9" t="s">
        <v>21</v>
      </c>
      <c r="D5" s="7"/>
      <c r="E5" s="6"/>
      <c r="F5" s="8" t="s">
        <v>5</v>
      </c>
      <c r="G5" s="8">
        <f t="shared" si="0"/>
        <v>1</v>
      </c>
      <c r="H5" s="8">
        <f t="shared" si="0"/>
        <v>0</v>
      </c>
      <c r="I5" s="8">
        <f t="shared" si="0"/>
        <v>0</v>
      </c>
      <c r="J5" s="8">
        <f t="shared" si="0"/>
        <v>0</v>
      </c>
      <c r="K5" s="8">
        <f t="shared" si="0"/>
        <v>0</v>
      </c>
      <c r="L5" s="7"/>
    </row>
    <row r="6" spans="1:12" x14ac:dyDescent="0.25">
      <c r="A6" s="5">
        <f t="shared" si="1"/>
        <v>1.0003</v>
      </c>
      <c r="B6" s="7"/>
      <c r="C6" s="6" t="s">
        <v>22</v>
      </c>
      <c r="D6" s="7"/>
      <c r="E6" s="7"/>
      <c r="F6" s="8" t="s">
        <v>5</v>
      </c>
      <c r="G6" s="8">
        <f t="shared" si="0"/>
        <v>1</v>
      </c>
      <c r="H6" s="8">
        <f t="shared" si="0"/>
        <v>0</v>
      </c>
      <c r="I6" s="8">
        <f t="shared" si="0"/>
        <v>0</v>
      </c>
      <c r="J6" s="8">
        <f t="shared" si="0"/>
        <v>0</v>
      </c>
      <c r="K6" s="8">
        <f t="shared" si="0"/>
        <v>0</v>
      </c>
      <c r="L6" s="7"/>
    </row>
    <row r="7" spans="1:12" ht="25.5" x14ac:dyDescent="0.25">
      <c r="A7" s="5">
        <f t="shared" si="1"/>
        <v>1.0004</v>
      </c>
      <c r="B7" s="6"/>
      <c r="C7" s="6" t="s">
        <v>23</v>
      </c>
      <c r="D7" s="7"/>
      <c r="E7" s="7"/>
      <c r="F7" s="8" t="s">
        <v>5</v>
      </c>
      <c r="G7" s="8">
        <f t="shared" si="0"/>
        <v>1</v>
      </c>
      <c r="H7" s="8">
        <f t="shared" si="0"/>
        <v>0</v>
      </c>
      <c r="I7" s="8">
        <f t="shared" si="0"/>
        <v>0</v>
      </c>
      <c r="J7" s="8">
        <f t="shared" si="0"/>
        <v>0</v>
      </c>
      <c r="K7" s="8">
        <f t="shared" si="0"/>
        <v>0</v>
      </c>
      <c r="L7" s="7"/>
    </row>
    <row r="8" spans="1:12" ht="15.75" thickBot="1" x14ac:dyDescent="0.3">
      <c r="G8" s="2">
        <f>SUM(G2:G7)</f>
        <v>5</v>
      </c>
      <c r="H8" s="2">
        <f>SUM(H2:H7)</f>
        <v>0</v>
      </c>
      <c r="I8" s="2">
        <f>SUM(I2:I7)</f>
        <v>0</v>
      </c>
      <c r="J8" s="2">
        <f>SUM(J2:J7)</f>
        <v>0</v>
      </c>
      <c r="K8" s="2">
        <f>SUM(K2:K7)</f>
        <v>0</v>
      </c>
    </row>
    <row r="9" spans="1:12" ht="15.75" thickTop="1" x14ac:dyDescent="0.25"/>
  </sheetData>
  <conditionalFormatting sqref="A2:K2 A3:A7 D3:K7 A8:K26 L2:L26">
    <cfRule type="expression" dxfId="3" priority="20">
      <formula>$F2="Fail"</formula>
    </cfRule>
  </conditionalFormatting>
  <conditionalFormatting sqref="B3:C7">
    <cfRule type="expression" dxfId="2" priority="1">
      <formula>$F3="Fail"</formula>
    </cfRule>
  </conditionalFormatting>
  <dataValidations count="1">
    <dataValidation type="list" allowBlank="1" showInputMessage="1" showErrorMessage="1" sqref="F2:F7">
      <formula1>$G$1:$K$1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utton5_Click">
                <anchor moveWithCells="1">
                  <from>
                    <xdr:col>0</xdr:col>
                    <xdr:colOff>57150</xdr:colOff>
                    <xdr:row>0</xdr:row>
                    <xdr:rowOff>28575</xdr:rowOff>
                  </from>
                  <to>
                    <xdr:col>0</xdr:col>
                    <xdr:colOff>685800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L9"/>
  <sheetViews>
    <sheetView topLeftCell="D1" zoomScaleNormal="100" workbookViewId="0">
      <pane ySplit="1" topLeftCell="A2" activePane="bottomLeft" state="frozen"/>
      <selection pane="bottomLeft" activeCell="K14" sqref="K14"/>
    </sheetView>
  </sheetViews>
  <sheetFormatPr defaultRowHeight="15" x14ac:dyDescent="0.25"/>
  <cols>
    <col min="1" max="1" width="11.28515625" style="4" bestFit="1" customWidth="1"/>
    <col min="2" max="2" width="48.5703125" style="1" customWidth="1"/>
    <col min="3" max="3" width="50.7109375" style="1" customWidth="1"/>
    <col min="4" max="4" width="39" style="1" customWidth="1"/>
    <col min="5" max="5" width="20.42578125" style="1" customWidth="1"/>
    <col min="6" max="6" width="14.7109375" style="1" customWidth="1"/>
    <col min="7" max="10" width="9.140625" style="1"/>
    <col min="11" max="11" width="16.5703125" style="1" customWidth="1"/>
    <col min="12" max="12" width="39" style="1" customWidth="1"/>
    <col min="13" max="16384" width="9.140625" style="1"/>
  </cols>
  <sheetData>
    <row r="1" spans="1:12" ht="30" customHeight="1" x14ac:dyDescent="0.25">
      <c r="A1" s="10" t="s">
        <v>1</v>
      </c>
      <c r="B1" s="11" t="s">
        <v>11</v>
      </c>
      <c r="C1" s="11" t="s">
        <v>2</v>
      </c>
      <c r="D1" s="12" t="s">
        <v>4</v>
      </c>
      <c r="E1" s="12" t="s">
        <v>3</v>
      </c>
      <c r="F1" s="11" t="s">
        <v>0</v>
      </c>
      <c r="G1" s="12" t="s">
        <v>5</v>
      </c>
      <c r="H1" s="12" t="s">
        <v>6</v>
      </c>
      <c r="I1" s="12"/>
      <c r="J1" s="12" t="s">
        <v>7</v>
      </c>
      <c r="K1" s="12" t="s">
        <v>8</v>
      </c>
      <c r="L1" s="12" t="s">
        <v>12</v>
      </c>
    </row>
    <row r="2" spans="1:12" s="20" customFormat="1" x14ac:dyDescent="0.25">
      <c r="A2" s="16">
        <v>1</v>
      </c>
      <c r="B2" s="17"/>
      <c r="C2" s="18"/>
      <c r="D2" s="17"/>
      <c r="E2" s="17"/>
      <c r="F2" s="19"/>
      <c r="G2" s="19"/>
      <c r="H2" s="19"/>
      <c r="I2" s="19"/>
      <c r="J2" s="19"/>
      <c r="K2" s="19"/>
      <c r="L2" s="17"/>
    </row>
    <row r="3" spans="1:12" x14ac:dyDescent="0.25">
      <c r="A3" s="5">
        <v>1</v>
      </c>
      <c r="B3" s="6" t="s">
        <v>16</v>
      </c>
      <c r="C3" s="9" t="s">
        <v>17</v>
      </c>
      <c r="D3" s="7"/>
      <c r="E3" s="6"/>
      <c r="F3" s="8" t="s">
        <v>5</v>
      </c>
      <c r="G3" s="8">
        <f t="shared" ref="G3:K7" si="0">IF($F3=G$1,1,0)</f>
        <v>1</v>
      </c>
      <c r="H3" s="8">
        <f t="shared" si="0"/>
        <v>0</v>
      </c>
      <c r="I3" s="8">
        <f t="shared" si="0"/>
        <v>0</v>
      </c>
      <c r="J3" s="8">
        <f t="shared" si="0"/>
        <v>0</v>
      </c>
      <c r="K3" s="8">
        <f t="shared" si="0"/>
        <v>0</v>
      </c>
      <c r="L3" s="7"/>
    </row>
    <row r="4" spans="1:12" x14ac:dyDescent="0.25">
      <c r="A4" s="5">
        <f t="shared" ref="A4:A7" si="1">A3+0.0001</f>
        <v>1.0001</v>
      </c>
      <c r="B4" s="6" t="s">
        <v>18</v>
      </c>
      <c r="C4" s="9" t="s">
        <v>19</v>
      </c>
      <c r="D4" s="7"/>
      <c r="E4" s="6"/>
      <c r="F4" s="8" t="s">
        <v>5</v>
      </c>
      <c r="G4" s="8">
        <f t="shared" si="0"/>
        <v>1</v>
      </c>
      <c r="H4" s="8">
        <f t="shared" si="0"/>
        <v>0</v>
      </c>
      <c r="I4" s="8">
        <f t="shared" si="0"/>
        <v>0</v>
      </c>
      <c r="J4" s="8">
        <f t="shared" si="0"/>
        <v>0</v>
      </c>
      <c r="K4" s="8">
        <f t="shared" si="0"/>
        <v>0</v>
      </c>
      <c r="L4" s="7"/>
    </row>
    <row r="5" spans="1:12" x14ac:dyDescent="0.25">
      <c r="A5" s="5">
        <f t="shared" si="1"/>
        <v>1.0002</v>
      </c>
      <c r="B5" s="6" t="s">
        <v>20</v>
      </c>
      <c r="C5" s="9" t="s">
        <v>21</v>
      </c>
      <c r="D5" s="7"/>
      <c r="E5" s="6"/>
      <c r="F5" s="8" t="s">
        <v>5</v>
      </c>
      <c r="G5" s="8">
        <f t="shared" si="0"/>
        <v>1</v>
      </c>
      <c r="H5" s="8">
        <f t="shared" si="0"/>
        <v>0</v>
      </c>
      <c r="I5" s="8">
        <f t="shared" si="0"/>
        <v>0</v>
      </c>
      <c r="J5" s="8">
        <f t="shared" si="0"/>
        <v>0</v>
      </c>
      <c r="K5" s="8">
        <f t="shared" si="0"/>
        <v>0</v>
      </c>
      <c r="L5" s="7"/>
    </row>
    <row r="6" spans="1:12" x14ac:dyDescent="0.25">
      <c r="A6" s="5">
        <f t="shared" si="1"/>
        <v>1.0003</v>
      </c>
      <c r="B6" s="7"/>
      <c r="C6" s="6" t="s">
        <v>22</v>
      </c>
      <c r="D6" s="7"/>
      <c r="E6" s="7"/>
      <c r="F6" s="8" t="s">
        <v>5</v>
      </c>
      <c r="G6" s="8">
        <f t="shared" si="0"/>
        <v>1</v>
      </c>
      <c r="H6" s="8">
        <f t="shared" si="0"/>
        <v>0</v>
      </c>
      <c r="I6" s="8">
        <f t="shared" si="0"/>
        <v>0</v>
      </c>
      <c r="J6" s="8">
        <f t="shared" si="0"/>
        <v>0</v>
      </c>
      <c r="K6" s="8">
        <f t="shared" si="0"/>
        <v>0</v>
      </c>
      <c r="L6" s="7"/>
    </row>
    <row r="7" spans="1:12" ht="25.5" x14ac:dyDescent="0.25">
      <c r="A7" s="5">
        <f t="shared" si="1"/>
        <v>1.0004</v>
      </c>
      <c r="B7" s="6"/>
      <c r="C7" s="6" t="s">
        <v>23</v>
      </c>
      <c r="D7" s="7"/>
      <c r="E7" s="7"/>
      <c r="F7" s="8" t="s">
        <v>5</v>
      </c>
      <c r="G7" s="8">
        <f t="shared" si="0"/>
        <v>1</v>
      </c>
      <c r="H7" s="8">
        <f t="shared" si="0"/>
        <v>0</v>
      </c>
      <c r="I7" s="8">
        <f t="shared" si="0"/>
        <v>0</v>
      </c>
      <c r="J7" s="8">
        <f t="shared" si="0"/>
        <v>0</v>
      </c>
      <c r="K7" s="8">
        <f t="shared" si="0"/>
        <v>0</v>
      </c>
      <c r="L7" s="7"/>
    </row>
    <row r="8" spans="1:12" ht="15.75" thickBot="1" x14ac:dyDescent="0.3">
      <c r="G8" s="2">
        <f>SUM(G2:G7)</f>
        <v>5</v>
      </c>
      <c r="H8" s="2">
        <f>SUM(H2:H7)</f>
        <v>0</v>
      </c>
      <c r="I8" s="2">
        <f>SUM(I2:I7)</f>
        <v>0</v>
      </c>
      <c r="J8" s="2">
        <f>SUM(J2:J7)</f>
        <v>0</v>
      </c>
      <c r="K8" s="2">
        <f>SUM(K2:K7)</f>
        <v>0</v>
      </c>
    </row>
    <row r="9" spans="1:12" ht="15.75" thickTop="1" x14ac:dyDescent="0.25"/>
  </sheetData>
  <conditionalFormatting sqref="A2:K2 A3:A7 D3:K7 A8:K26 L2:L26">
    <cfRule type="expression" dxfId="1" priority="20">
      <formula>$F2="Fail"</formula>
    </cfRule>
  </conditionalFormatting>
  <conditionalFormatting sqref="B3:C7">
    <cfRule type="expression" dxfId="0" priority="1">
      <formula>$F3="Fail"</formula>
    </cfRule>
  </conditionalFormatting>
  <dataValidations count="1">
    <dataValidation type="list" allowBlank="1" showInputMessage="1" showErrorMessage="1" sqref="F2:F7">
      <formula1>$G$1:$K$1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Button5_Click">
                <anchor moveWithCells="1">
                  <from>
                    <xdr:col>0</xdr:col>
                    <xdr:colOff>57150</xdr:colOff>
                    <xdr:row>0</xdr:row>
                    <xdr:rowOff>28575</xdr:rowOff>
                  </from>
                  <to>
                    <xdr:col>0</xdr:col>
                    <xdr:colOff>685800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</vt:lpstr>
      <vt:lpstr>Test Case</vt:lpstr>
      <vt:lpstr>Internal Clients</vt:lpstr>
      <vt:lpstr>RFA Clients</vt:lpstr>
    </vt:vector>
  </TitlesOfParts>
  <Company>Sanlam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Jannie Basson (SEB)</dc:creator>
  <cp:lastModifiedBy>Lisa Myburgh (SEB)</cp:lastModifiedBy>
  <dcterms:created xsi:type="dcterms:W3CDTF">2014-07-31T09:50:05Z</dcterms:created>
  <dcterms:modified xsi:type="dcterms:W3CDTF">2014-09-17T09:09:18Z</dcterms:modified>
</cp:coreProperties>
</file>