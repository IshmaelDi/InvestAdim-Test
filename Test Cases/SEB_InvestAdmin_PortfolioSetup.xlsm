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105" windowWidth="20370" windowHeight="8625" activeTab="1"/>
  </bookViews>
  <sheets>
    <sheet name="Summary" sheetId="3" r:id="rId1"/>
    <sheet name="Create a Portfolio1" sheetId="8" r:id="rId2"/>
    <sheet name="Delete a portfolio" sheetId="6" r:id="rId3"/>
    <sheet name="Smooth Bonus Portfolio" sheetId="14" r:id="rId4"/>
  </sheets>
  <calcPr calcId="162913"/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G55" i="8"/>
  <c r="H55" i="8"/>
  <c r="I55" i="8"/>
  <c r="J55" i="8"/>
  <c r="K55" i="8"/>
  <c r="G56" i="8"/>
  <c r="H56" i="8"/>
  <c r="I56" i="8"/>
  <c r="J56" i="8"/>
  <c r="K56" i="8"/>
  <c r="G57" i="8"/>
  <c r="H57" i="8"/>
  <c r="I57" i="8"/>
  <c r="J57" i="8"/>
  <c r="K57" i="8"/>
  <c r="G58" i="8"/>
  <c r="H58" i="8"/>
  <c r="I58" i="8"/>
  <c r="J58" i="8"/>
  <c r="K58" i="8"/>
  <c r="G59" i="8"/>
  <c r="H59" i="8"/>
  <c r="I59" i="8"/>
  <c r="J59" i="8"/>
  <c r="K59" i="8"/>
  <c r="G60" i="8"/>
  <c r="H60" i="8"/>
  <c r="I60" i="8"/>
  <c r="J60" i="8"/>
  <c r="K60" i="8"/>
  <c r="G61" i="8"/>
  <c r="H61" i="8"/>
  <c r="I61" i="8"/>
  <c r="J61" i="8"/>
  <c r="K61" i="8"/>
  <c r="G62" i="8"/>
  <c r="H62" i="8"/>
  <c r="I62" i="8"/>
  <c r="J62" i="8"/>
  <c r="K62" i="8"/>
  <c r="G63" i="8"/>
  <c r="H63" i="8"/>
  <c r="I63" i="8"/>
  <c r="J63" i="8"/>
  <c r="K63" i="8"/>
  <c r="G64" i="8"/>
  <c r="H64" i="8"/>
  <c r="I64" i="8"/>
  <c r="J64" i="8"/>
  <c r="K64" i="8"/>
  <c r="G65" i="8"/>
  <c r="H65" i="8"/>
  <c r="I65" i="8"/>
  <c r="J65" i="8"/>
  <c r="K65" i="8"/>
  <c r="G23" i="14"/>
  <c r="H23" i="14"/>
  <c r="I23" i="14"/>
  <c r="J23" i="14"/>
  <c r="K23" i="14"/>
  <c r="A3" i="14"/>
  <c r="G26" i="8"/>
  <c r="H26" i="8"/>
  <c r="I26" i="8"/>
  <c r="J26" i="8"/>
  <c r="K26" i="8"/>
  <c r="G25" i="8"/>
  <c r="H25" i="8"/>
  <c r="I25" i="8"/>
  <c r="J25" i="8"/>
  <c r="K25" i="8"/>
  <c r="G24" i="8"/>
  <c r="H24" i="8"/>
  <c r="I24" i="8"/>
  <c r="J24" i="8"/>
  <c r="K24" i="8"/>
  <c r="G18" i="8"/>
  <c r="H18" i="8"/>
  <c r="I18" i="8"/>
  <c r="J18" i="8"/>
  <c r="K18" i="8"/>
  <c r="G16" i="8"/>
  <c r="H16" i="8"/>
  <c r="I16" i="8"/>
  <c r="J16" i="8"/>
  <c r="K16" i="8"/>
  <c r="G11" i="8"/>
  <c r="H11" i="8"/>
  <c r="I11" i="8"/>
  <c r="J11" i="8"/>
  <c r="K11" i="8"/>
  <c r="G44" i="8" l="1"/>
  <c r="H44" i="8"/>
  <c r="I44" i="8"/>
  <c r="J44" i="8"/>
  <c r="K44" i="8"/>
  <c r="G45" i="8"/>
  <c r="H45" i="8"/>
  <c r="I45" i="8"/>
  <c r="J45" i="8"/>
  <c r="K45" i="8"/>
  <c r="G46" i="8"/>
  <c r="H46" i="8"/>
  <c r="I46" i="8"/>
  <c r="J46" i="8"/>
  <c r="K46" i="8"/>
  <c r="G47" i="8"/>
  <c r="H47" i="8"/>
  <c r="I47" i="8"/>
  <c r="J47" i="8"/>
  <c r="K47" i="8"/>
  <c r="G48" i="8"/>
  <c r="H48" i="8"/>
  <c r="I48" i="8"/>
  <c r="J48" i="8"/>
  <c r="K48" i="8"/>
  <c r="G49" i="8"/>
  <c r="H49" i="8"/>
  <c r="I49" i="8"/>
  <c r="J49" i="8"/>
  <c r="K49" i="8"/>
  <c r="G50" i="8"/>
  <c r="H50" i="8"/>
  <c r="I50" i="8"/>
  <c r="J50" i="8"/>
  <c r="K50" i="8"/>
  <c r="G51" i="8"/>
  <c r="H51" i="8"/>
  <c r="I51" i="8"/>
  <c r="J51" i="8"/>
  <c r="K51" i="8"/>
  <c r="G52" i="8"/>
  <c r="H52" i="8"/>
  <c r="I52" i="8"/>
  <c r="J52" i="8"/>
  <c r="K52" i="8"/>
  <c r="G53" i="8"/>
  <c r="H53" i="8"/>
  <c r="I53" i="8"/>
  <c r="J53" i="8"/>
  <c r="K53" i="8"/>
  <c r="G54" i="8"/>
  <c r="H54" i="8"/>
  <c r="I54" i="8"/>
  <c r="J54" i="8"/>
  <c r="K54" i="8"/>
  <c r="K35" i="14" l="1"/>
  <c r="J35" i="14"/>
  <c r="I35" i="14"/>
  <c r="H35" i="14"/>
  <c r="G35" i="14"/>
  <c r="K34" i="14"/>
  <c r="J34" i="14"/>
  <c r="I34" i="14"/>
  <c r="H34" i="14"/>
  <c r="G34" i="14"/>
  <c r="K33" i="14"/>
  <c r="J33" i="14"/>
  <c r="I33" i="14"/>
  <c r="H33" i="14"/>
  <c r="G33" i="14"/>
  <c r="K32" i="14"/>
  <c r="J32" i="14"/>
  <c r="I32" i="14"/>
  <c r="H32" i="14"/>
  <c r="G32" i="14"/>
  <c r="K31" i="14"/>
  <c r="J31" i="14"/>
  <c r="I31" i="14"/>
  <c r="H31" i="14"/>
  <c r="G31" i="14"/>
  <c r="K30" i="14"/>
  <c r="J30" i="14"/>
  <c r="I30" i="14"/>
  <c r="H30" i="14"/>
  <c r="G30" i="14"/>
  <c r="K29" i="14"/>
  <c r="J29" i="14"/>
  <c r="I29" i="14"/>
  <c r="H29" i="14"/>
  <c r="G29" i="14"/>
  <c r="K28" i="14"/>
  <c r="J28" i="14"/>
  <c r="I28" i="14"/>
  <c r="H28" i="14"/>
  <c r="G28" i="14"/>
  <c r="K27" i="14"/>
  <c r="J27" i="14"/>
  <c r="I27" i="14"/>
  <c r="H27" i="14"/>
  <c r="G27" i="14"/>
  <c r="K26" i="14"/>
  <c r="J26" i="14"/>
  <c r="I26" i="14"/>
  <c r="H26" i="14"/>
  <c r="G26" i="14"/>
  <c r="K25" i="14"/>
  <c r="J25" i="14"/>
  <c r="I25" i="14"/>
  <c r="H25" i="14"/>
  <c r="G25" i="14"/>
  <c r="K24" i="14"/>
  <c r="J24" i="14"/>
  <c r="I24" i="14"/>
  <c r="H24" i="14"/>
  <c r="G24" i="14"/>
  <c r="K22" i="14"/>
  <c r="J22" i="14"/>
  <c r="I22" i="14"/>
  <c r="H22" i="14"/>
  <c r="G22" i="14"/>
  <c r="K20" i="14"/>
  <c r="J20" i="14"/>
  <c r="I20" i="14"/>
  <c r="H20" i="14"/>
  <c r="G20" i="14"/>
  <c r="K19" i="14"/>
  <c r="J19" i="14"/>
  <c r="I19" i="14"/>
  <c r="H19" i="14"/>
  <c r="G19" i="14"/>
  <c r="K18" i="14"/>
  <c r="J18" i="14"/>
  <c r="I18" i="14"/>
  <c r="H18" i="14"/>
  <c r="G18" i="14"/>
  <c r="K17" i="14"/>
  <c r="J17" i="14"/>
  <c r="I17" i="14"/>
  <c r="H17" i="14"/>
  <c r="G17" i="14"/>
  <c r="K16" i="14"/>
  <c r="J16" i="14"/>
  <c r="I16" i="14"/>
  <c r="H16" i="14"/>
  <c r="G16" i="14"/>
  <c r="K15" i="14"/>
  <c r="J15" i="14"/>
  <c r="I15" i="14"/>
  <c r="H15" i="14"/>
  <c r="G15" i="14"/>
  <c r="K14" i="14"/>
  <c r="J14" i="14"/>
  <c r="I14" i="14"/>
  <c r="H14" i="14"/>
  <c r="G14" i="14"/>
  <c r="K13" i="14"/>
  <c r="J13" i="14"/>
  <c r="I13" i="14"/>
  <c r="H13" i="14"/>
  <c r="G13" i="14"/>
  <c r="K12" i="14"/>
  <c r="J12" i="14"/>
  <c r="I12" i="14"/>
  <c r="H12" i="14"/>
  <c r="G12" i="14"/>
  <c r="K11" i="14"/>
  <c r="J11" i="14"/>
  <c r="I11" i="14"/>
  <c r="H11" i="14"/>
  <c r="G11" i="14"/>
  <c r="K10" i="14"/>
  <c r="J10" i="14"/>
  <c r="I10" i="14"/>
  <c r="H10" i="14"/>
  <c r="G10" i="14"/>
  <c r="K9" i="14"/>
  <c r="J9" i="14"/>
  <c r="I9" i="14"/>
  <c r="H9" i="14"/>
  <c r="G9" i="14"/>
  <c r="K8" i="14"/>
  <c r="J8" i="14"/>
  <c r="I8" i="14"/>
  <c r="H8" i="14"/>
  <c r="G8" i="14"/>
  <c r="K7" i="14"/>
  <c r="J7" i="14"/>
  <c r="I7" i="14"/>
  <c r="H7" i="14"/>
  <c r="G7" i="14"/>
  <c r="K6" i="14"/>
  <c r="J6" i="14"/>
  <c r="I6" i="14"/>
  <c r="H6" i="14"/>
  <c r="G6" i="14"/>
  <c r="K5" i="14"/>
  <c r="J5" i="14"/>
  <c r="I5" i="14"/>
  <c r="H5" i="14"/>
  <c r="G5" i="14"/>
  <c r="K4" i="14"/>
  <c r="J4" i="14"/>
  <c r="I4" i="14"/>
  <c r="H4" i="14"/>
  <c r="G4" i="14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K3" i="14"/>
  <c r="J3" i="14"/>
  <c r="I3" i="14"/>
  <c r="H3" i="14"/>
  <c r="G3" i="14"/>
  <c r="H21" i="14" l="1"/>
  <c r="I36" i="14"/>
  <c r="G36" i="14"/>
  <c r="G21" i="14"/>
  <c r="K21" i="14"/>
  <c r="H36" i="14"/>
  <c r="H37" i="14" s="1"/>
  <c r="D5" i="3" s="1"/>
  <c r="I21" i="14"/>
  <c r="I37" i="14" s="1"/>
  <c r="E5" i="3" s="1"/>
  <c r="J36" i="14"/>
  <c r="J37" i="14" s="1"/>
  <c r="F5" i="3" s="1"/>
  <c r="J21" i="14"/>
  <c r="K36" i="14"/>
  <c r="K43" i="8"/>
  <c r="J43" i="8"/>
  <c r="I43" i="8"/>
  <c r="H43" i="8"/>
  <c r="G43" i="8"/>
  <c r="K42" i="8"/>
  <c r="J42" i="8"/>
  <c r="I42" i="8"/>
  <c r="H42" i="8"/>
  <c r="G42" i="8"/>
  <c r="K41" i="8"/>
  <c r="J41" i="8"/>
  <c r="I41" i="8"/>
  <c r="H41" i="8"/>
  <c r="G41" i="8"/>
  <c r="K40" i="8"/>
  <c r="J40" i="8"/>
  <c r="I40" i="8"/>
  <c r="H40" i="8"/>
  <c r="G40" i="8"/>
  <c r="K39" i="8"/>
  <c r="J39" i="8"/>
  <c r="I39" i="8"/>
  <c r="H39" i="8"/>
  <c r="G39" i="8"/>
  <c r="K38" i="8"/>
  <c r="J38" i="8"/>
  <c r="I38" i="8"/>
  <c r="H38" i="8"/>
  <c r="G38" i="8"/>
  <c r="K37" i="8"/>
  <c r="J37" i="8"/>
  <c r="I37" i="8"/>
  <c r="H37" i="8"/>
  <c r="G37" i="8"/>
  <c r="K36" i="8"/>
  <c r="J36" i="8"/>
  <c r="I36" i="8"/>
  <c r="H36" i="8"/>
  <c r="G36" i="8"/>
  <c r="K35" i="8"/>
  <c r="J35" i="8"/>
  <c r="I35" i="8"/>
  <c r="H35" i="8"/>
  <c r="G35" i="8"/>
  <c r="K34" i="8"/>
  <c r="J34" i="8"/>
  <c r="I34" i="8"/>
  <c r="H34" i="8"/>
  <c r="G34" i="8"/>
  <c r="K33" i="8"/>
  <c r="J33" i="8"/>
  <c r="I33" i="8"/>
  <c r="H33" i="8"/>
  <c r="G33" i="8"/>
  <c r="K32" i="8"/>
  <c r="J32" i="8"/>
  <c r="I32" i="8"/>
  <c r="H32" i="8"/>
  <c r="G32" i="8"/>
  <c r="K31" i="8"/>
  <c r="J31" i="8"/>
  <c r="I31" i="8"/>
  <c r="H31" i="8"/>
  <c r="G31" i="8"/>
  <c r="K30" i="8"/>
  <c r="J30" i="8"/>
  <c r="I30" i="8"/>
  <c r="H30" i="8"/>
  <c r="G30" i="8"/>
  <c r="K29" i="8"/>
  <c r="J29" i="8"/>
  <c r="I29" i="8"/>
  <c r="H29" i="8"/>
  <c r="G29" i="8"/>
  <c r="K28" i="8"/>
  <c r="J28" i="8"/>
  <c r="I28" i="8"/>
  <c r="H28" i="8"/>
  <c r="G28" i="8"/>
  <c r="K27" i="8"/>
  <c r="J27" i="8"/>
  <c r="I27" i="8"/>
  <c r="H27" i="8"/>
  <c r="G27" i="8"/>
  <c r="K23" i="8"/>
  <c r="J23" i="8"/>
  <c r="I23" i="8"/>
  <c r="H23" i="8"/>
  <c r="G23" i="8"/>
  <c r="K22" i="8"/>
  <c r="J22" i="8"/>
  <c r="I22" i="8"/>
  <c r="H22" i="8"/>
  <c r="G22" i="8"/>
  <c r="K21" i="8"/>
  <c r="J21" i="8"/>
  <c r="I21" i="8"/>
  <c r="H21" i="8"/>
  <c r="G21" i="8"/>
  <c r="K20" i="8"/>
  <c r="J20" i="8"/>
  <c r="I20" i="8"/>
  <c r="H20" i="8"/>
  <c r="G20" i="8"/>
  <c r="K19" i="8"/>
  <c r="J19" i="8"/>
  <c r="I19" i="8"/>
  <c r="H19" i="8"/>
  <c r="G19" i="8"/>
  <c r="K17" i="8"/>
  <c r="J17" i="8"/>
  <c r="I17" i="8"/>
  <c r="H17" i="8"/>
  <c r="G17" i="8"/>
  <c r="K15" i="8"/>
  <c r="J15" i="8"/>
  <c r="I15" i="8"/>
  <c r="H15" i="8"/>
  <c r="G15" i="8"/>
  <c r="K14" i="8"/>
  <c r="J14" i="8"/>
  <c r="I14" i="8"/>
  <c r="H14" i="8"/>
  <c r="G14" i="8"/>
  <c r="K13" i="8"/>
  <c r="J13" i="8"/>
  <c r="I13" i="8"/>
  <c r="H13" i="8"/>
  <c r="G13" i="8"/>
  <c r="K12" i="8"/>
  <c r="J12" i="8"/>
  <c r="I12" i="8"/>
  <c r="H12" i="8"/>
  <c r="G12" i="8"/>
  <c r="K10" i="8"/>
  <c r="J10" i="8"/>
  <c r="I10" i="8"/>
  <c r="H10" i="8"/>
  <c r="G10" i="8"/>
  <c r="K9" i="8"/>
  <c r="J9" i="8"/>
  <c r="I9" i="8"/>
  <c r="H9" i="8"/>
  <c r="G9" i="8"/>
  <c r="K8" i="8"/>
  <c r="J8" i="8"/>
  <c r="I8" i="8"/>
  <c r="H8" i="8"/>
  <c r="G8" i="8"/>
  <c r="K7" i="8"/>
  <c r="J7" i="8"/>
  <c r="I7" i="8"/>
  <c r="H7" i="8"/>
  <c r="G7" i="8"/>
  <c r="K6" i="8"/>
  <c r="J6" i="8"/>
  <c r="I6" i="8"/>
  <c r="H6" i="8"/>
  <c r="G6" i="8"/>
  <c r="K5" i="8"/>
  <c r="J5" i="8"/>
  <c r="I5" i="8"/>
  <c r="H5" i="8"/>
  <c r="G5" i="8"/>
  <c r="K4" i="8"/>
  <c r="J4" i="8"/>
  <c r="I4" i="8"/>
  <c r="H4" i="8"/>
  <c r="G4" i="8"/>
  <c r="K3" i="8"/>
  <c r="J3" i="8"/>
  <c r="I3" i="8"/>
  <c r="H3" i="8"/>
  <c r="G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I66" i="8" l="1"/>
  <c r="J66" i="8"/>
  <c r="F4" i="3" s="1"/>
  <c r="G66" i="8"/>
  <c r="C4" i="3" s="1"/>
  <c r="K66" i="8"/>
  <c r="H66" i="8"/>
  <c r="D4" i="3" s="1"/>
  <c r="K37" i="14"/>
  <c r="G5" i="3" s="1"/>
  <c r="G37" i="14"/>
  <c r="C5" i="3" s="1"/>
  <c r="G4" i="3"/>
  <c r="E4" i="3"/>
  <c r="H4" i="3" l="1"/>
  <c r="K20" i="6" l="1"/>
  <c r="J20" i="6"/>
  <c r="I20" i="6"/>
  <c r="H20" i="6"/>
  <c r="G20" i="6"/>
  <c r="K19" i="6"/>
  <c r="J19" i="6"/>
  <c r="I19" i="6"/>
  <c r="H19" i="6"/>
  <c r="G19" i="6"/>
  <c r="K18" i="6"/>
  <c r="J18" i="6"/>
  <c r="I18" i="6"/>
  <c r="H18" i="6"/>
  <c r="G18" i="6"/>
  <c r="K17" i="6"/>
  <c r="J17" i="6"/>
  <c r="I17" i="6"/>
  <c r="H17" i="6"/>
  <c r="G17" i="6"/>
  <c r="K16" i="6"/>
  <c r="J16" i="6"/>
  <c r="I16" i="6"/>
  <c r="H16" i="6"/>
  <c r="G16" i="6"/>
  <c r="K15" i="6"/>
  <c r="J15" i="6"/>
  <c r="I15" i="6"/>
  <c r="H15" i="6"/>
  <c r="G15" i="6"/>
  <c r="K14" i="6"/>
  <c r="J14" i="6"/>
  <c r="I14" i="6"/>
  <c r="H14" i="6"/>
  <c r="G14" i="6"/>
  <c r="K13" i="6"/>
  <c r="J13" i="6"/>
  <c r="I13" i="6"/>
  <c r="H13" i="6"/>
  <c r="G13" i="6"/>
  <c r="K12" i="6"/>
  <c r="J12" i="6"/>
  <c r="I12" i="6"/>
  <c r="H12" i="6"/>
  <c r="G12" i="6"/>
  <c r="K11" i="6"/>
  <c r="J11" i="6"/>
  <c r="I11" i="6"/>
  <c r="H11" i="6"/>
  <c r="G11" i="6"/>
  <c r="K10" i="6"/>
  <c r="J10" i="6"/>
  <c r="I10" i="6"/>
  <c r="H10" i="6"/>
  <c r="G10" i="6"/>
  <c r="K9" i="6"/>
  <c r="J9" i="6"/>
  <c r="I9" i="6"/>
  <c r="H9" i="6"/>
  <c r="G9" i="6"/>
  <c r="K8" i="6"/>
  <c r="J8" i="6"/>
  <c r="I8" i="6"/>
  <c r="H8" i="6"/>
  <c r="G8" i="6"/>
  <c r="K7" i="6"/>
  <c r="J7" i="6"/>
  <c r="I7" i="6"/>
  <c r="H7" i="6"/>
  <c r="G7" i="6"/>
  <c r="K6" i="6"/>
  <c r="J6" i="6"/>
  <c r="I6" i="6"/>
  <c r="H6" i="6"/>
  <c r="G6" i="6"/>
  <c r="K5" i="6"/>
  <c r="J5" i="6"/>
  <c r="I5" i="6"/>
  <c r="H5" i="6"/>
  <c r="G5" i="6"/>
  <c r="K4" i="6"/>
  <c r="J4" i="6"/>
  <c r="I4" i="6"/>
  <c r="H4" i="6"/>
  <c r="G4" i="6"/>
  <c r="K2" i="6"/>
  <c r="J2" i="6"/>
  <c r="I2" i="6"/>
  <c r="I21" i="6" s="1"/>
  <c r="H2" i="6"/>
  <c r="G2" i="6"/>
  <c r="K21" i="6" l="1"/>
  <c r="J21" i="6"/>
  <c r="G21" i="6"/>
  <c r="C3" i="3" s="1"/>
  <c r="H21" i="6"/>
  <c r="D3" i="3" s="1"/>
  <c r="E3" i="3"/>
  <c r="G3" i="3"/>
  <c r="F3" i="3"/>
  <c r="H3" i="3" l="1"/>
  <c r="H5" i="3"/>
</calcChain>
</file>

<file path=xl/sharedStrings.xml><?xml version="1.0" encoding="utf-8"?>
<sst xmlns="http://schemas.openxmlformats.org/spreadsheetml/2006/main" count="298" uniqueCount="172">
  <si>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</si>
  <si>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</si>
  <si>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</si>
  <si>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</si>
  <si>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</si>
  <si>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</si>
  <si>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</si>
  <si>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</si>
  <si>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</si>
  <si>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</si>
  <si>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</si>
  <si>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</si>
  <si>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Agent code</t>
  </si>
  <si>
    <t>Click Create</t>
  </si>
  <si>
    <t>Enter investor code or PSNID of client</t>
  </si>
  <si>
    <t>Selected client record should appear</t>
  </si>
  <si>
    <t>Client maintenance / alter / alter fund record</t>
  </si>
  <si>
    <t>Original Inception Date</t>
  </si>
  <si>
    <t>Start date</t>
  </si>
  <si>
    <t>Units</t>
  </si>
  <si>
    <t>Certified Units</t>
  </si>
  <si>
    <t>Value</t>
  </si>
  <si>
    <t>Uncertified units</t>
  </si>
  <si>
    <t>Frozen</t>
  </si>
  <si>
    <t>Pledge</t>
  </si>
  <si>
    <t>Client indicator</t>
  </si>
  <si>
    <t>Income correspondence</t>
  </si>
  <si>
    <t>Income instruction</t>
  </si>
  <si>
    <t>Max Commission %</t>
  </si>
  <si>
    <t>Submit button</t>
  </si>
  <si>
    <t>Delete Fund Record button</t>
  </si>
  <si>
    <t>Click Delete Fund Record button</t>
  </si>
  <si>
    <t>Deleted fund should no longer display under client info</t>
  </si>
  <si>
    <t>This button must not be available when there is a value for this fund on the client info</t>
  </si>
  <si>
    <t>Create a New Portfolio</t>
  </si>
  <si>
    <t xml:space="preserve">Menu Navigation - Adminsitration &gt; Asset Maintenance &gt; Maintain Asset </t>
  </si>
  <si>
    <t>Adminstration of Existing and New Funds</t>
  </si>
  <si>
    <t>Asset Detail Screen is loaded</t>
  </si>
  <si>
    <t>Fund Code</t>
  </si>
  <si>
    <t xml:space="preserve">Fund Start Date </t>
  </si>
  <si>
    <t>Fund End Date</t>
  </si>
  <si>
    <t>Company Code 600</t>
  </si>
  <si>
    <t>Asset Type</t>
  </si>
  <si>
    <t xml:space="preserve">Walker Company Code </t>
  </si>
  <si>
    <t>JSE Code</t>
  </si>
  <si>
    <t>HIPORT Code</t>
  </si>
  <si>
    <t>Pen Reference Code</t>
  </si>
  <si>
    <t>Allocate Number</t>
  </si>
  <si>
    <t xml:space="preserve">Country </t>
  </si>
  <si>
    <t>RF Product Code</t>
  </si>
  <si>
    <t xml:space="preserve">Create/Cancel Back-dated Days  </t>
  </si>
  <si>
    <t xml:space="preserve">English Name (Long U/C)  </t>
  </si>
  <si>
    <t xml:space="preserve">English Name (Long L/C)  </t>
  </si>
  <si>
    <t xml:space="preserve">English Name (Short L/C) </t>
  </si>
  <si>
    <t xml:space="preserve">Fund Family Name    *   </t>
  </si>
  <si>
    <t>Pricing Time</t>
  </si>
  <si>
    <t xml:space="preserve">Pricing Date  </t>
  </si>
  <si>
    <t xml:space="preserve">Calculation Manager  </t>
  </si>
  <si>
    <t xml:space="preserve">For Attention Detail  </t>
  </si>
  <si>
    <t xml:space="preserve">Fax Number  </t>
  </si>
  <si>
    <t xml:space="preserve">Pricing Manager  </t>
  </si>
  <si>
    <t xml:space="preserve">Trustee For Attention Detail  </t>
  </si>
  <si>
    <t xml:space="preserve">Trustee Fax Number  </t>
  </si>
  <si>
    <t xml:space="preserve">Bank Account   </t>
  </si>
  <si>
    <t xml:space="preserve">Bank 6 Digit Code   </t>
  </si>
  <si>
    <t>Portfolio Name (Eng)</t>
  </si>
  <si>
    <t xml:space="preserve">Portfolio Name (Afr)  </t>
  </si>
  <si>
    <t xml:space="preserve">Fund Manager   </t>
  </si>
  <si>
    <t>Cluster Name</t>
  </si>
  <si>
    <t>Click Submit Button</t>
  </si>
  <si>
    <r>
      <t xml:space="preserve">Message - </t>
    </r>
    <r>
      <rPr>
        <i/>
        <sz val="10"/>
        <color theme="1"/>
        <rFont val="Arial"/>
        <family val="2"/>
      </rPr>
      <t>The record was created successfully. Trust code &lt;###&gt; allocated</t>
    </r>
  </si>
  <si>
    <t>Navigate to Cost tab</t>
  </si>
  <si>
    <t>Cost tab displayed</t>
  </si>
  <si>
    <t xml:space="preserve">Sliding Scale Category Other </t>
  </si>
  <si>
    <t xml:space="preserve">Currency R </t>
  </si>
  <si>
    <t xml:space="preserve">% VAT On Charges 14.00% </t>
  </si>
  <si>
    <t xml:space="preserve">Calculate Service Fee No   </t>
  </si>
  <si>
    <t xml:space="preserve">Performance Fees No   </t>
  </si>
  <si>
    <t xml:space="preserve">NET Charges 0.00 </t>
  </si>
  <si>
    <t xml:space="preserve">Minimum Repurchase Balance 0.00 </t>
  </si>
  <si>
    <t xml:space="preserve">Minimum Switch Balance 0.00 </t>
  </si>
  <si>
    <t>Minimum Lump Sum Amount 0.00</t>
  </si>
  <si>
    <t>Menu Navigation - Adminsitration &gt; Smooth Bonus &gt; Create SB Product Detail</t>
  </si>
  <si>
    <t>Smooth  Bonus Product Maintenance</t>
  </si>
  <si>
    <t>Existing Bonus Product &gt; Select Portfolio that was created in the Previous Test Case from the drop down</t>
  </si>
  <si>
    <t>Selection Made &gt; Portfolio Selected</t>
  </si>
  <si>
    <t>Smooth Bonus Product Maintenance screen is displayed</t>
  </si>
  <si>
    <t>Restart Button</t>
  </si>
  <si>
    <t>Next  Button</t>
  </si>
  <si>
    <t>Next &gt;  Click Button</t>
  </si>
  <si>
    <t>Capital Bonus account (CBA Bonus)</t>
  </si>
  <si>
    <t>Calculate Market Value</t>
  </si>
  <si>
    <t>Funding level%</t>
  </si>
  <si>
    <t>Special BVG Option Available</t>
  </si>
  <si>
    <t>Seb Investment Admin Fee Start</t>
  </si>
  <si>
    <t>Default SB Investment Fee Annual%</t>
  </si>
  <si>
    <t>SB Gauranetee fee start date</t>
  </si>
  <si>
    <t>SB Gauranetee fee annual rate</t>
  </si>
  <si>
    <t>Special BVG option premium start date</t>
  </si>
  <si>
    <t xml:space="preserve"> Default  Special BVG option premium annual</t>
  </si>
  <si>
    <t xml:space="preserve">Fully Vested book value income bonus: </t>
  </si>
  <si>
    <t xml:space="preserve">Yes </t>
  </si>
  <si>
    <t>Enter Start Date</t>
  </si>
  <si>
    <t>Capture the Different Percentage Level</t>
  </si>
  <si>
    <t>Default Value 999.9999</t>
  </si>
  <si>
    <t>Submit &gt; Click</t>
  </si>
  <si>
    <t>Smooth Bonus Product Created</t>
  </si>
  <si>
    <t>Create a Smooth Bonus Product</t>
  </si>
  <si>
    <t>Verify Smooth Bonus Product Created</t>
  </si>
  <si>
    <t>Menu Navigation - Adminsitration &gt; Smooth Bonus &gt; Smooth Bonus Enquiry</t>
  </si>
  <si>
    <t>Smooth  Bonus Product Enquiry Screen Loaded</t>
  </si>
  <si>
    <t>All previous values captured is displayed</t>
  </si>
  <si>
    <t>Special BVG Option Available:</t>
  </si>
  <si>
    <t>Default SB Investment Fee Annual%:</t>
  </si>
  <si>
    <r>
      <t xml:space="preserve">Fully Vested book value income bonus: </t>
    </r>
    <r>
      <rPr>
        <sz val="10"/>
        <color theme="1"/>
        <rFont val="Arial"/>
        <family val="2"/>
      </rPr>
      <t>Yes</t>
    </r>
  </si>
  <si>
    <r>
      <t>Capital Bonus account (CBA Bonus):</t>
    </r>
    <r>
      <rPr>
        <sz val="10"/>
        <color theme="1"/>
        <rFont val="Arial"/>
        <family val="2"/>
      </rPr>
      <t>No</t>
    </r>
  </si>
  <si>
    <r>
      <t>Calculate Market Value:</t>
    </r>
    <r>
      <rPr>
        <sz val="10"/>
        <color theme="1"/>
        <rFont val="Arial"/>
        <family val="2"/>
      </rPr>
      <t>Yes</t>
    </r>
  </si>
  <si>
    <r>
      <t>Funding level%:</t>
    </r>
    <r>
      <rPr>
        <sz val="10"/>
        <color theme="1"/>
        <rFont val="Arial"/>
        <family val="2"/>
      </rPr>
      <t>Yes</t>
    </r>
  </si>
  <si>
    <r>
      <t>Seb Investment Admin Fee Start:</t>
    </r>
    <r>
      <rPr>
        <sz val="10"/>
        <color theme="1"/>
        <rFont val="Arial"/>
        <family val="2"/>
      </rPr>
      <t>Enter Start Date</t>
    </r>
  </si>
  <si>
    <r>
      <t>Special BVG option premium start date:</t>
    </r>
    <r>
      <rPr>
        <sz val="10"/>
        <color theme="1"/>
        <rFont val="Arial"/>
        <family val="2"/>
      </rPr>
      <t>Date</t>
    </r>
  </si>
  <si>
    <r>
      <t xml:space="preserve"> Default  Special BVG option premium annual:</t>
    </r>
    <r>
      <rPr>
        <sz val="10"/>
        <color theme="1"/>
        <rFont val="Arial"/>
        <family val="2"/>
      </rPr>
      <t>0.75</t>
    </r>
  </si>
  <si>
    <t>Enter data as supplied</t>
  </si>
  <si>
    <t>Auto generated after submit</t>
  </si>
  <si>
    <t>Mandatory</t>
  </si>
  <si>
    <t xml:space="preserve">Auto generated </t>
  </si>
  <si>
    <t>Enter data as supplied - mandatory</t>
  </si>
  <si>
    <t>Select from dropdown - mandatory</t>
  </si>
  <si>
    <t>Change button and select - mandatory</t>
  </si>
  <si>
    <t>Trial Balance Type</t>
  </si>
  <si>
    <t>Trust Numeric code</t>
  </si>
  <si>
    <t>MIS Fund Group</t>
  </si>
  <si>
    <t xml:space="preserve">Afrikaans Name (Long U/C)  </t>
  </si>
  <si>
    <t xml:space="preserve">Afrikaans Name (Long L/C)  </t>
  </si>
  <si>
    <t xml:space="preserve">Afrikaans Name (Short L/C) </t>
  </si>
  <si>
    <t>Trading Acc Investor Code</t>
  </si>
  <si>
    <t>Auto generated</t>
  </si>
  <si>
    <t>Create / Cancel Screen</t>
  </si>
  <si>
    <t xml:space="preserve">Select from dropdown </t>
  </si>
  <si>
    <t>Delete a portfolio</t>
  </si>
  <si>
    <t>Create a portfolio</t>
  </si>
  <si>
    <t>Smooth Bonus Portfolio</t>
  </si>
  <si>
    <t>n/a</t>
  </si>
  <si>
    <t>Restart and next button</t>
  </si>
  <si>
    <t>click next</t>
  </si>
  <si>
    <r>
      <t>SB Gaurantee fee start date:</t>
    </r>
    <r>
      <rPr>
        <sz val="10"/>
        <color theme="1"/>
        <rFont val="Arial"/>
        <family val="2"/>
      </rPr>
      <t>Date that was captured</t>
    </r>
  </si>
  <si>
    <r>
      <t>SB Gaurantee fee annual rate:</t>
    </r>
    <r>
      <rPr>
        <sz val="10"/>
        <color theme="1"/>
        <rFont val="Arial"/>
        <family val="2"/>
      </rPr>
      <t>Default Value 999.9999</t>
    </r>
  </si>
  <si>
    <t>Navigate to indicators tab</t>
  </si>
  <si>
    <t>Indicator tab displayed</t>
  </si>
  <si>
    <t>The following fields must be displayed and user must be able to select yes/no between the radio buttons</t>
  </si>
  <si>
    <t>Prices on secure services</t>
  </si>
  <si>
    <t>Known price</t>
  </si>
  <si>
    <t>Exclusive fees</t>
  </si>
  <si>
    <t>Job in profit</t>
  </si>
  <si>
    <t>Trade open</t>
  </si>
  <si>
    <t>Smoothed bonus product</t>
  </si>
  <si>
    <t>Corporate Four Fund tax status</t>
  </si>
  <si>
    <t>Accept Lump flag</t>
  </si>
  <si>
    <t>Ring fence fund</t>
  </si>
  <si>
    <t>Click on exit button</t>
  </si>
  <si>
    <t>User redirected to Administration of Existing and New funds screen</t>
  </si>
  <si>
    <t>Select fund to delete</t>
  </si>
  <si>
    <t>Selected fund is highlighted</t>
  </si>
  <si>
    <t>Details of fund to be terminated will be displayed</t>
  </si>
  <si>
    <t>24/10/2014</t>
  </si>
  <si>
    <t>01/01/0000</t>
  </si>
  <si>
    <t>unticked</t>
  </si>
  <si>
    <t>SEB(S)</t>
  </si>
  <si>
    <t>REINVEST IN OWN REGNR/TRUST</t>
  </si>
  <si>
    <t>80000S</t>
  </si>
  <si>
    <t>I am not sure which data that has been supplied(Where is the data)</t>
  </si>
  <si>
    <t>I am not sure which data that has been supplied(Where is the data coming from?)</t>
  </si>
  <si>
    <t>Notes/Added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</si>
</sst>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0.000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0" borderId="2" xfId="0" applyFont="1" applyBorder="1" applyAlignment="1">
      <alignment horizontal="left" vertical="center" wrapText="1" indent="1"/>
    </xf>
    <xf numFmtId="0" fontId="1" fillId="3" borderId="2" xfId="0" applyFont="1" applyFill="1" applyBorder="1" applyAlignment="1">
      <alignment horizontal="left" vertical="center" wrapText="1" indent="1"/>
    </xf>
    <xf numFmtId="0" fontId="2" fillId="3" borderId="2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164" fontId="3" fillId="2" borderId="2" xfId="0" applyNumberFormat="1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wrapText="1"/>
    </xf>
    <xf numFmtId="0" fontId="2" fillId="0" borderId="2" xfId="0" applyFont="1" applyFill="1" applyBorder="1" applyAlignment="1">
      <alignment horizontal="center" wrapText="1"/>
    </xf>
    <xf numFmtId="0" fontId="6" fillId="5" borderId="2" xfId="0" applyFont="1" applyFill="1" applyBorder="1" applyAlignment="1">
      <alignment horizontal="left" vertical="center" wrapText="1"/>
    </xf>
    <xf numFmtId="0" fontId="1" fillId="5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 indent="1"/>
    </xf>
    <xf numFmtId="0" fontId="8" fillId="5" borderId="2" xfId="0" applyFont="1" applyFill="1" applyBorder="1" applyAlignment="1">
      <alignment vertical="center" wrapText="1"/>
    </xf>
    <xf numFmtId="0" fontId="8" fillId="5" borderId="2" xfId="0" applyFont="1" applyFill="1" applyBorder="1" applyAlignment="1">
      <alignment horizontal="left" vertical="center" wrapText="1"/>
    </xf>
    <xf numFmtId="164" fontId="1" fillId="5" borderId="2" xfId="0" applyNumberFormat="1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0" fillId="5" borderId="2" xfId="0" applyFill="1" applyBorder="1" applyAlignment="1">
      <alignment wrapText="1"/>
    </xf>
    <xf numFmtId="0" fontId="3" fillId="2" borderId="2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2" fillId="5" borderId="2" xfId="0" applyNumberFormat="1" applyFont="1" applyFill="1" applyBorder="1" applyAlignment="1">
      <alignment vertical="center" wrapText="1"/>
    </xf>
    <xf numFmtId="0" fontId="2" fillId="5" borderId="2" xfId="0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vertical="center" wrapText="1"/>
    </xf>
    <xf numFmtId="0" fontId="4" fillId="5" borderId="2" xfId="0" applyFont="1" applyFill="1" applyBorder="1" applyAlignment="1">
      <alignment wrapText="1"/>
    </xf>
    <xf numFmtId="0" fontId="4" fillId="0" borderId="0" xfId="0" applyFont="1" applyAlignment="1">
      <alignment wrapText="1"/>
    </xf>
    <xf numFmtId="0" fontId="0" fillId="5" borderId="0" xfId="0" applyFill="1" applyAlignment="1">
      <alignment wrapText="1"/>
    </xf>
    <xf numFmtId="0" fontId="4" fillId="0" borderId="2" xfId="0" applyFont="1" applyBorder="1" applyAlignment="1">
      <alignment wrapText="1"/>
    </xf>
    <xf numFmtId="14" fontId="1" fillId="3" borderId="2" xfId="0" quotePrefix="1" applyNumberFormat="1" applyFont="1" applyFill="1" applyBorder="1" applyAlignment="1">
      <alignment vertical="center" wrapText="1"/>
    </xf>
    <xf numFmtId="43" fontId="1" fillId="0" borderId="2" xfId="1" applyFont="1" applyBorder="1" applyAlignment="1">
      <alignment vertical="center" wrapText="1"/>
    </xf>
    <xf numFmtId="2" fontId="1" fillId="0" borderId="2" xfId="0" applyNumberFormat="1" applyFont="1" applyBorder="1" applyAlignment="1">
      <alignment vertical="center" wrapText="1"/>
    </xf>
    <xf numFmtId="0" fontId="11" fillId="2" borderId="2" xfId="0" applyFont="1" applyFill="1" applyBorder="1" applyAlignment="1">
      <alignment horizontal="center" wrapText="1"/>
    </xf>
    <xf numFmtId="0" fontId="12" fillId="5" borderId="2" xfId="0" applyFont="1" applyFill="1" applyBorder="1" applyAlignment="1">
      <alignment vertical="center" wrapText="1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wrapText="1"/>
    </xf>
  </cellXfs>
  <cellStyles count="2">
    <cellStyle name="Comma" xfId="1" builtinId="3"/>
    <cellStyle name="Normal" xfId="0" builtinId="0"/>
  </cellStyles>
  <dxfs count="52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57150</xdr:rowOff>
        </xdr:from>
        <xdr:to>
          <xdr:col>0</xdr:col>
          <xdr:colOff>581025</xdr:colOff>
          <xdr:row>7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0</xdr:col>
          <xdr:colOff>581025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0</xdr:rowOff>
        </xdr:from>
        <xdr:to>
          <xdr:col>0</xdr:col>
          <xdr:colOff>590550</xdr:colOff>
          <xdr:row>2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0</xdr:rowOff>
        </xdr:from>
        <xdr:to>
          <xdr:col>0</xdr:col>
          <xdr:colOff>590550</xdr:colOff>
          <xdr:row>2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9525</xdr:rowOff>
        </xdr:from>
        <xdr:to>
          <xdr:col>0</xdr:col>
          <xdr:colOff>590550</xdr:colOff>
          <xdr:row>2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85725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209550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152400</xdr:colOff>
          <xdr:row>0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6"/>
  <sheetViews>
    <sheetView zoomScaleNormal="100" workbookViewId="0">
      <selection activeCell="F22" sqref="F22"/>
    </sheetView>
  </sheetViews>
  <sheetFormatPr defaultRowHeight="15" x14ac:dyDescent="0.25"/>
  <cols>
    <col min="1" max="1" width="9.140625" style="3"/>
    <col min="2" max="2" width="25.42578125" style="3" customWidth="1"/>
    <col min="3" max="8" width="15" style="3" customWidth="1"/>
    <col min="9" max="16384" width="9.140625" style="3"/>
  </cols>
  <sheetData>
    <row r="2" spans="2:8" x14ac:dyDescent="0.25">
      <c r="B2" s="20"/>
      <c r="C2" s="17" t="s">
        <v>5</v>
      </c>
      <c r="D2" s="17" t="s">
        <v>6</v>
      </c>
      <c r="E2" s="17" t="s">
        <v>9</v>
      </c>
      <c r="F2" s="17" t="s">
        <v>7</v>
      </c>
      <c r="G2" s="17" t="s">
        <v>8</v>
      </c>
      <c r="H2" s="17" t="s">
        <v>10</v>
      </c>
    </row>
    <row r="3" spans="2:8" x14ac:dyDescent="0.25">
      <c r="B3" s="21" t="s">
        <v>138</v>
      </c>
      <c r="C3" s="18">
        <f>'Delete a portfolio'!G21</f>
        <v>18</v>
      </c>
      <c r="D3" s="18">
        <f>'Delete a portfolio'!H21</f>
        <v>0</v>
      </c>
      <c r="E3" s="18">
        <f>'Delete a portfolio'!I21</f>
        <v>0</v>
      </c>
      <c r="F3" s="19">
        <f>'Delete a portfolio'!J21</f>
        <v>0</v>
      </c>
      <c r="G3" s="19">
        <f>'Delete a portfolio'!K21</f>
        <v>0</v>
      </c>
      <c r="H3" s="18">
        <f t="shared" ref="H3:H5" si="0">SUM(C3:E3)</f>
        <v>18</v>
      </c>
    </row>
    <row r="4" spans="2:8" x14ac:dyDescent="0.25">
      <c r="B4" s="21" t="s">
        <v>139</v>
      </c>
      <c r="C4" s="18">
        <f>'Create a Portfolio1'!G66</f>
        <v>7</v>
      </c>
      <c r="D4" s="18">
        <f>'Create a Portfolio1'!H66</f>
        <v>0</v>
      </c>
      <c r="E4" s="18">
        <f>'Create a Portfolio1'!I66</f>
        <v>56</v>
      </c>
      <c r="F4" s="19">
        <f>'Create a Portfolio1'!J66</f>
        <v>0</v>
      </c>
      <c r="G4" s="19">
        <f>'Create a Portfolio1'!K66</f>
        <v>0</v>
      </c>
      <c r="H4" s="18">
        <f t="shared" si="0"/>
        <v>63</v>
      </c>
    </row>
    <row r="5" spans="2:8" x14ac:dyDescent="0.25">
      <c r="B5" s="21" t="s">
        <v>140</v>
      </c>
      <c r="C5" s="18">
        <f>+'Smooth Bonus Portfolio'!G37</f>
        <v>0</v>
      </c>
      <c r="D5" s="18">
        <f>+'Smooth Bonus Portfolio'!H37</f>
        <v>0</v>
      </c>
      <c r="E5" s="18">
        <f>+'Smooth Bonus Portfolio'!I37</f>
        <v>32</v>
      </c>
      <c r="F5" s="19">
        <f>+'Smooth Bonus Portfolio'!J37</f>
        <v>0</v>
      </c>
      <c r="G5" s="19">
        <f>+'Smooth Bonus Portfolio'!K37</f>
        <v>0</v>
      </c>
      <c r="H5" s="18">
        <f t="shared" si="0"/>
        <v>32</v>
      </c>
    </row>
    <row r="6" spans="2:8" x14ac:dyDescent="0.25">
      <c r="B6" s="17"/>
      <c r="C6" s="18"/>
      <c r="D6" s="18"/>
      <c r="E6" s="18"/>
      <c r="F6" s="19"/>
      <c r="G6" s="19"/>
      <c r="H6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581025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0</xdr:col>
                    <xdr:colOff>581025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_Adding_Portfolios">
                <anchor moveWithCells="1">
                  <from>
                    <xdr:col>0</xdr:col>
                    <xdr:colOff>47625</xdr:colOff>
                    <xdr:row>2</xdr:row>
                    <xdr:rowOff>0</xdr:rowOff>
                  </from>
                  <to>
                    <xdr:col>0</xdr:col>
                    <xdr:colOff>590550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Button3_Click_Amending_Portfolios">
                <anchor moveWithCells="1">
                  <from>
                    <xdr:col>0</xdr:col>
                    <xdr:colOff>47625</xdr:colOff>
                    <xdr:row>2</xdr:row>
                    <xdr:rowOff>0</xdr:rowOff>
                  </from>
                  <to>
                    <xdr:col>0</xdr:col>
                    <xdr:colOff>590550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Button4_Click_Terminating_Portfolios">
                <anchor moveWithCells="1">
                  <from>
                    <xdr:col>0</xdr:col>
                    <xdr:colOff>47625</xdr:colOff>
                    <xdr:row>2</xdr:row>
                    <xdr:rowOff>9525</xdr:rowOff>
                  </from>
                  <to>
                    <xdr:col>0</xdr:col>
                    <xdr:colOff>590550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66"/>
  <sheetViews>
    <sheetView tabSelected="1" zoomScaleNormal="100" workbookViewId="0">
      <pane ySplit="1" topLeftCell="A38" activePane="bottomLeft" state="frozen"/>
      <selection pane="bottomLeft" activeCell="D1" sqref="D1:D1048576"/>
    </sheetView>
  </sheetViews>
  <sheetFormatPr defaultRowHeight="15" x14ac:dyDescent="0.25"/>
  <cols>
    <col min="1" max="1" width="9" style="4" customWidth="1"/>
    <col min="2" max="2" width="37.140625" style="1" customWidth="1"/>
    <col min="3" max="3" width="38.85546875" style="1" customWidth="1"/>
    <col min="4" max="4" width="49" style="48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6384" width="9.140625" style="1"/>
  </cols>
  <sheetData>
    <row r="1" spans="1:11" ht="30" customHeight="1" x14ac:dyDescent="0.25">
      <c r="A1" s="14" t="s">
        <v>1</v>
      </c>
      <c r="B1" s="15" t="s">
        <v>11</v>
      </c>
      <c r="C1" s="15" t="s">
        <v>2</v>
      </c>
      <c r="D1" s="45" t="s">
        <v>171</v>
      </c>
      <c r="E1" s="16" t="s">
        <v>3</v>
      </c>
      <c r="F1" s="15" t="s">
        <v>0</v>
      </c>
      <c r="G1" s="16" t="s">
        <v>5</v>
      </c>
      <c r="H1" s="16" t="s">
        <v>6</v>
      </c>
      <c r="I1" s="16"/>
      <c r="J1" s="16" t="s">
        <v>7</v>
      </c>
      <c r="K1" s="16" t="s">
        <v>8</v>
      </c>
    </row>
    <row r="2" spans="1:11" x14ac:dyDescent="0.25">
      <c r="A2" s="30">
        <v>1</v>
      </c>
      <c r="B2" s="28" t="s">
        <v>34</v>
      </c>
      <c r="C2" s="29"/>
      <c r="D2" s="46"/>
      <c r="E2" s="31"/>
      <c r="F2" s="32"/>
      <c r="G2" s="32"/>
      <c r="H2" s="32"/>
      <c r="I2" s="32"/>
      <c r="J2" s="32"/>
      <c r="K2" s="32"/>
    </row>
    <row r="3" spans="1:11" ht="25.5" x14ac:dyDescent="0.25">
      <c r="A3" s="5">
        <f>A2+0.0001</f>
        <v>1.0001</v>
      </c>
      <c r="B3" s="6" t="s">
        <v>35</v>
      </c>
      <c r="C3" s="12" t="s">
        <v>36</v>
      </c>
      <c r="D3" s="47"/>
      <c r="E3" s="6"/>
      <c r="F3" s="8" t="s">
        <v>5</v>
      </c>
      <c r="G3" s="8">
        <f t="shared" ref="G3:K14" si="0">IF($F3=G$1,1,0)</f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</row>
    <row r="4" spans="1:11" x14ac:dyDescent="0.25">
      <c r="A4" s="5">
        <f>A3+0.0001</f>
        <v>1.0002</v>
      </c>
      <c r="B4" s="6" t="s">
        <v>13</v>
      </c>
      <c r="C4" s="12" t="s">
        <v>37</v>
      </c>
      <c r="D4" s="4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</row>
    <row r="5" spans="1:11" x14ac:dyDescent="0.25">
      <c r="A5" s="5">
        <f t="shared" ref="A5:A65" si="1">A4+0.0001</f>
        <v>1.0003</v>
      </c>
      <c r="B5" s="7" t="s">
        <v>38</v>
      </c>
      <c r="C5" s="6" t="s">
        <v>122</v>
      </c>
      <c r="D5" s="4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</row>
    <row r="6" spans="1:11" x14ac:dyDescent="0.25">
      <c r="A6" s="5">
        <f t="shared" si="1"/>
        <v>1.0004</v>
      </c>
      <c r="B6" s="7" t="s">
        <v>39</v>
      </c>
      <c r="C6" s="6" t="s">
        <v>123</v>
      </c>
      <c r="D6" s="47"/>
      <c r="E6" s="6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</row>
    <row r="7" spans="1:11" x14ac:dyDescent="0.25">
      <c r="A7" s="5">
        <f t="shared" si="1"/>
        <v>1.0004999999999999</v>
      </c>
      <c r="B7" s="7" t="s">
        <v>40</v>
      </c>
      <c r="C7" s="6"/>
      <c r="D7" s="47"/>
      <c r="E7" s="6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</row>
    <row r="8" spans="1:11" x14ac:dyDescent="0.25">
      <c r="A8" s="5">
        <f t="shared" si="1"/>
        <v>1.0005999999999999</v>
      </c>
      <c r="B8" s="7" t="s">
        <v>41</v>
      </c>
      <c r="C8" s="6" t="s">
        <v>124</v>
      </c>
      <c r="D8" s="47"/>
      <c r="E8" s="6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</row>
    <row r="9" spans="1:11" x14ac:dyDescent="0.25">
      <c r="A9" s="5">
        <f t="shared" si="1"/>
        <v>1.0006999999999999</v>
      </c>
      <c r="B9" s="6" t="s">
        <v>42</v>
      </c>
      <c r="C9" s="6" t="s">
        <v>126</v>
      </c>
      <c r="D9" s="47"/>
      <c r="E9" s="6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</row>
    <row r="10" spans="1:11" ht="19.5" customHeight="1" x14ac:dyDescent="0.25">
      <c r="A10" s="5">
        <f t="shared" si="1"/>
        <v>1.0007999999999999</v>
      </c>
      <c r="B10" s="6" t="s">
        <v>43</v>
      </c>
      <c r="C10" s="6" t="s">
        <v>121</v>
      </c>
      <c r="D10" s="47" t="s">
        <v>169</v>
      </c>
      <c r="E10" s="6"/>
      <c r="F10" s="8"/>
      <c r="G10" s="8">
        <f t="shared" si="0"/>
        <v>0</v>
      </c>
      <c r="H10" s="8">
        <f t="shared" si="0"/>
        <v>0</v>
      </c>
      <c r="I10" s="8">
        <f t="shared" si="0"/>
        <v>1</v>
      </c>
      <c r="J10" s="8">
        <f t="shared" si="0"/>
        <v>0</v>
      </c>
      <c r="K10" s="8">
        <f t="shared" si="0"/>
        <v>0</v>
      </c>
    </row>
    <row r="11" spans="1:11" x14ac:dyDescent="0.25">
      <c r="A11" s="5">
        <f t="shared" si="1"/>
        <v>1.0008999999999999</v>
      </c>
      <c r="B11" s="6" t="s">
        <v>128</v>
      </c>
      <c r="C11" s="6" t="s">
        <v>126</v>
      </c>
      <c r="D11" s="47"/>
      <c r="E11" s="6"/>
      <c r="F11" s="8"/>
      <c r="G11" s="8">
        <f t="shared" si="0"/>
        <v>0</v>
      </c>
      <c r="H11" s="8">
        <f t="shared" si="0"/>
        <v>0</v>
      </c>
      <c r="I11" s="8">
        <f t="shared" si="0"/>
        <v>1</v>
      </c>
      <c r="J11" s="8">
        <f t="shared" si="0"/>
        <v>0</v>
      </c>
      <c r="K11" s="8">
        <f t="shared" si="0"/>
        <v>0</v>
      </c>
    </row>
    <row r="12" spans="1:11" ht="25.5" x14ac:dyDescent="0.25">
      <c r="A12" s="5">
        <f t="shared" si="1"/>
        <v>1.0009999999999999</v>
      </c>
      <c r="B12" s="6" t="s">
        <v>44</v>
      </c>
      <c r="C12" s="6" t="s">
        <v>121</v>
      </c>
      <c r="D12" s="47" t="s">
        <v>169</v>
      </c>
      <c r="E12" s="6"/>
      <c r="F12" s="8"/>
      <c r="G12" s="8">
        <f t="shared" si="0"/>
        <v>0</v>
      </c>
      <c r="H12" s="8">
        <f t="shared" si="0"/>
        <v>0</v>
      </c>
      <c r="I12" s="8">
        <f t="shared" si="0"/>
        <v>1</v>
      </c>
      <c r="J12" s="8">
        <f t="shared" si="0"/>
        <v>0</v>
      </c>
      <c r="K12" s="8">
        <f t="shared" si="0"/>
        <v>0</v>
      </c>
    </row>
    <row r="13" spans="1:11" x14ac:dyDescent="0.25">
      <c r="A13" s="5">
        <f t="shared" si="1"/>
        <v>1.0010999999999999</v>
      </c>
      <c r="B13" s="6" t="s">
        <v>45</v>
      </c>
      <c r="C13" s="6" t="s">
        <v>125</v>
      </c>
      <c r="D13" s="47"/>
      <c r="E13" s="6"/>
      <c r="F13" s="8"/>
      <c r="G13" s="8">
        <f t="shared" si="0"/>
        <v>0</v>
      </c>
      <c r="H13" s="8">
        <f t="shared" si="0"/>
        <v>0</v>
      </c>
      <c r="I13" s="8">
        <f t="shared" si="0"/>
        <v>1</v>
      </c>
      <c r="J13" s="8">
        <f t="shared" si="0"/>
        <v>0</v>
      </c>
      <c r="K13" s="8">
        <f t="shared" si="0"/>
        <v>0</v>
      </c>
    </row>
    <row r="14" spans="1:11" ht="25.5" x14ac:dyDescent="0.25">
      <c r="A14" s="5">
        <f t="shared" si="1"/>
        <v>1.0011999999999999</v>
      </c>
      <c r="B14" s="6" t="s">
        <v>46</v>
      </c>
      <c r="C14" s="6" t="s">
        <v>121</v>
      </c>
      <c r="D14" s="47" t="s">
        <v>169</v>
      </c>
      <c r="E14" s="6"/>
      <c r="F14" s="8"/>
      <c r="G14" s="8">
        <f t="shared" si="0"/>
        <v>0</v>
      </c>
      <c r="H14" s="8">
        <f t="shared" si="0"/>
        <v>0</v>
      </c>
      <c r="I14" s="8">
        <f t="shared" si="0"/>
        <v>1</v>
      </c>
      <c r="J14" s="8">
        <f t="shared" si="0"/>
        <v>0</v>
      </c>
      <c r="K14" s="8">
        <f t="shared" si="0"/>
        <v>0</v>
      </c>
    </row>
    <row r="15" spans="1:11" x14ac:dyDescent="0.25">
      <c r="A15" s="5">
        <f t="shared" si="1"/>
        <v>1.0012999999999999</v>
      </c>
      <c r="B15" s="6" t="s">
        <v>47</v>
      </c>
      <c r="C15" s="6" t="s">
        <v>121</v>
      </c>
      <c r="E15" s="6"/>
      <c r="F15" s="8"/>
      <c r="G15" s="8">
        <f t="shared" ref="G15:K55" si="2">IF($F15=G$1,1,0)</f>
        <v>0</v>
      </c>
      <c r="H15" s="8">
        <f t="shared" si="2"/>
        <v>0</v>
      </c>
      <c r="I15" s="8">
        <f t="shared" si="2"/>
        <v>1</v>
      </c>
      <c r="J15" s="8">
        <f t="shared" si="2"/>
        <v>0</v>
      </c>
      <c r="K15" s="8">
        <f t="shared" si="2"/>
        <v>0</v>
      </c>
    </row>
    <row r="16" spans="1:11" x14ac:dyDescent="0.25">
      <c r="A16" s="5">
        <f t="shared" si="1"/>
        <v>1.0013999999999998</v>
      </c>
      <c r="B16" s="6" t="s">
        <v>129</v>
      </c>
      <c r="C16" s="6" t="s">
        <v>135</v>
      </c>
      <c r="D16" s="47"/>
      <c r="E16" s="6"/>
      <c r="F16" s="8"/>
      <c r="G16" s="8">
        <f t="shared" si="2"/>
        <v>0</v>
      </c>
      <c r="H16" s="8">
        <f t="shared" si="2"/>
        <v>0</v>
      </c>
      <c r="I16" s="8">
        <f t="shared" si="2"/>
        <v>1</v>
      </c>
      <c r="J16" s="8">
        <f t="shared" si="2"/>
        <v>0</v>
      </c>
      <c r="K16" s="8">
        <f t="shared" si="2"/>
        <v>0</v>
      </c>
    </row>
    <row r="17" spans="1:11" x14ac:dyDescent="0.25">
      <c r="A17" s="5">
        <f t="shared" si="1"/>
        <v>1.0014999999999998</v>
      </c>
      <c r="B17" s="7" t="s">
        <v>48</v>
      </c>
      <c r="C17" s="6" t="s">
        <v>126</v>
      </c>
      <c r="D17" s="47"/>
      <c r="E17" s="6"/>
      <c r="F17" s="8"/>
      <c r="G17" s="8">
        <f t="shared" si="2"/>
        <v>0</v>
      </c>
      <c r="H17" s="8">
        <f t="shared" si="2"/>
        <v>0</v>
      </c>
      <c r="I17" s="8">
        <f t="shared" si="2"/>
        <v>1</v>
      </c>
      <c r="J17" s="8">
        <f t="shared" si="2"/>
        <v>0</v>
      </c>
      <c r="K17" s="8">
        <f t="shared" si="2"/>
        <v>0</v>
      </c>
    </row>
    <row r="18" spans="1:11" x14ac:dyDescent="0.25">
      <c r="A18" s="5">
        <f t="shared" si="1"/>
        <v>1.0015999999999998</v>
      </c>
      <c r="B18" s="7" t="s">
        <v>130</v>
      </c>
      <c r="C18" s="6" t="s">
        <v>126</v>
      </c>
      <c r="D18" s="47"/>
      <c r="E18" s="6"/>
      <c r="F18" s="8"/>
      <c r="G18" s="8">
        <f t="shared" si="2"/>
        <v>0</v>
      </c>
      <c r="H18" s="8">
        <f t="shared" si="2"/>
        <v>0</v>
      </c>
      <c r="I18" s="8">
        <f t="shared" si="2"/>
        <v>1</v>
      </c>
      <c r="J18" s="8">
        <f t="shared" si="2"/>
        <v>0</v>
      </c>
      <c r="K18" s="8">
        <f t="shared" si="2"/>
        <v>0</v>
      </c>
    </row>
    <row r="19" spans="1:11" x14ac:dyDescent="0.25">
      <c r="A19" s="5">
        <f t="shared" si="1"/>
        <v>1.0016999999999998</v>
      </c>
      <c r="B19" s="7" t="s">
        <v>49</v>
      </c>
      <c r="C19" s="6" t="s">
        <v>126</v>
      </c>
      <c r="D19" s="47"/>
      <c r="E19" s="6"/>
      <c r="F19" s="8"/>
      <c r="G19" s="8">
        <f t="shared" si="2"/>
        <v>0</v>
      </c>
      <c r="H19" s="8">
        <f t="shared" si="2"/>
        <v>0</v>
      </c>
      <c r="I19" s="8">
        <f t="shared" si="2"/>
        <v>1</v>
      </c>
      <c r="J19" s="8">
        <f t="shared" si="2"/>
        <v>0</v>
      </c>
      <c r="K19" s="8">
        <f t="shared" si="2"/>
        <v>0</v>
      </c>
    </row>
    <row r="20" spans="1:11" ht="25.5" x14ac:dyDescent="0.25">
      <c r="A20" s="5">
        <f t="shared" si="1"/>
        <v>1.0017999999999998</v>
      </c>
      <c r="B20" s="7" t="s">
        <v>50</v>
      </c>
      <c r="C20" s="6" t="s">
        <v>121</v>
      </c>
      <c r="D20" s="47" t="s">
        <v>169</v>
      </c>
      <c r="E20" s="6"/>
      <c r="F20" s="8"/>
      <c r="G20" s="8">
        <f t="shared" si="2"/>
        <v>0</v>
      </c>
      <c r="H20" s="8">
        <f t="shared" si="2"/>
        <v>0</v>
      </c>
      <c r="I20" s="8">
        <f t="shared" si="2"/>
        <v>1</v>
      </c>
      <c r="J20" s="8">
        <f t="shared" si="2"/>
        <v>0</v>
      </c>
      <c r="K20" s="8">
        <f t="shared" si="2"/>
        <v>0</v>
      </c>
    </row>
    <row r="21" spans="1:11" x14ac:dyDescent="0.25">
      <c r="A21" s="5">
        <f t="shared" si="1"/>
        <v>1.0018999999999998</v>
      </c>
      <c r="B21" s="7" t="s">
        <v>51</v>
      </c>
      <c r="C21" s="6" t="s">
        <v>125</v>
      </c>
      <c r="D21" s="47"/>
      <c r="E21" s="6"/>
      <c r="F21" s="8"/>
      <c r="G21" s="8">
        <f t="shared" si="2"/>
        <v>0</v>
      </c>
      <c r="H21" s="8">
        <f t="shared" si="2"/>
        <v>0</v>
      </c>
      <c r="I21" s="8">
        <f t="shared" si="2"/>
        <v>1</v>
      </c>
      <c r="J21" s="8">
        <f t="shared" si="2"/>
        <v>0</v>
      </c>
      <c r="K21" s="8">
        <f t="shared" si="2"/>
        <v>0</v>
      </c>
    </row>
    <row r="22" spans="1:11" x14ac:dyDescent="0.25">
      <c r="A22" s="5">
        <f t="shared" si="1"/>
        <v>1.0019999999999998</v>
      </c>
      <c r="B22" s="7" t="s">
        <v>52</v>
      </c>
      <c r="C22" s="6" t="s">
        <v>125</v>
      </c>
      <c r="D22" s="47"/>
      <c r="E22" s="6"/>
      <c r="F22" s="8"/>
      <c r="G22" s="8">
        <f t="shared" si="2"/>
        <v>0</v>
      </c>
      <c r="H22" s="8">
        <f t="shared" si="2"/>
        <v>0</v>
      </c>
      <c r="I22" s="8">
        <f t="shared" si="2"/>
        <v>1</v>
      </c>
      <c r="J22" s="8">
        <f t="shared" si="2"/>
        <v>0</v>
      </c>
      <c r="K22" s="8">
        <f t="shared" si="2"/>
        <v>0</v>
      </c>
    </row>
    <row r="23" spans="1:11" x14ac:dyDescent="0.25">
      <c r="A23" s="5">
        <f t="shared" si="1"/>
        <v>1.0020999999999998</v>
      </c>
      <c r="B23" s="6" t="s">
        <v>53</v>
      </c>
      <c r="C23" s="6" t="s">
        <v>125</v>
      </c>
      <c r="D23" s="47"/>
      <c r="E23" s="6"/>
      <c r="F23" s="8"/>
      <c r="G23" s="8">
        <f t="shared" si="2"/>
        <v>0</v>
      </c>
      <c r="H23" s="8">
        <f t="shared" si="2"/>
        <v>0</v>
      </c>
      <c r="I23" s="8">
        <f t="shared" si="2"/>
        <v>1</v>
      </c>
      <c r="J23" s="8">
        <f t="shared" si="2"/>
        <v>0</v>
      </c>
      <c r="K23" s="8">
        <f t="shared" si="2"/>
        <v>0</v>
      </c>
    </row>
    <row r="24" spans="1:11" ht="25.5" x14ac:dyDescent="0.25">
      <c r="A24" s="5">
        <f t="shared" si="1"/>
        <v>1.0021999999999998</v>
      </c>
      <c r="B24" s="7" t="s">
        <v>131</v>
      </c>
      <c r="C24" s="6" t="s">
        <v>121</v>
      </c>
      <c r="D24" s="47" t="s">
        <v>169</v>
      </c>
      <c r="E24" s="6"/>
      <c r="F24" s="8"/>
      <c r="G24" s="8">
        <f t="shared" si="2"/>
        <v>0</v>
      </c>
      <c r="H24" s="8">
        <f t="shared" si="2"/>
        <v>0</v>
      </c>
      <c r="I24" s="8">
        <f t="shared" si="2"/>
        <v>1</v>
      </c>
      <c r="J24" s="8">
        <f t="shared" si="2"/>
        <v>0</v>
      </c>
      <c r="K24" s="8">
        <f t="shared" si="2"/>
        <v>0</v>
      </c>
    </row>
    <row r="25" spans="1:11" ht="25.5" x14ac:dyDescent="0.25">
      <c r="A25" s="5">
        <f t="shared" si="1"/>
        <v>1.0022999999999997</v>
      </c>
      <c r="B25" s="7" t="s">
        <v>132</v>
      </c>
      <c r="C25" s="6" t="s">
        <v>121</v>
      </c>
      <c r="D25" s="47" t="s">
        <v>169</v>
      </c>
      <c r="E25" s="6"/>
      <c r="F25" s="8"/>
      <c r="G25" s="8">
        <f t="shared" si="2"/>
        <v>0</v>
      </c>
      <c r="H25" s="8">
        <f t="shared" si="2"/>
        <v>0</v>
      </c>
      <c r="I25" s="8">
        <f t="shared" si="2"/>
        <v>1</v>
      </c>
      <c r="J25" s="8">
        <f t="shared" si="2"/>
        <v>0</v>
      </c>
      <c r="K25" s="8">
        <f t="shared" si="2"/>
        <v>0</v>
      </c>
    </row>
    <row r="26" spans="1:11" ht="25.5" x14ac:dyDescent="0.25">
      <c r="A26" s="5">
        <f t="shared" si="1"/>
        <v>1.0023999999999997</v>
      </c>
      <c r="B26" s="6" t="s">
        <v>133</v>
      </c>
      <c r="C26" s="6" t="s">
        <v>121</v>
      </c>
      <c r="D26" s="47" t="s">
        <v>169</v>
      </c>
      <c r="E26" s="6"/>
      <c r="F26" s="8"/>
      <c r="G26" s="8">
        <f t="shared" si="2"/>
        <v>0</v>
      </c>
      <c r="H26" s="8">
        <f t="shared" si="2"/>
        <v>0</v>
      </c>
      <c r="I26" s="8">
        <f t="shared" si="2"/>
        <v>1</v>
      </c>
      <c r="J26" s="8">
        <f t="shared" si="2"/>
        <v>0</v>
      </c>
      <c r="K26" s="8">
        <f t="shared" si="2"/>
        <v>0</v>
      </c>
    </row>
    <row r="27" spans="1:11" x14ac:dyDescent="0.25">
      <c r="A27" s="5">
        <f t="shared" si="1"/>
        <v>1.0024999999999997</v>
      </c>
      <c r="B27" s="6" t="s">
        <v>54</v>
      </c>
      <c r="C27" s="6" t="s">
        <v>127</v>
      </c>
      <c r="D27" s="47"/>
      <c r="E27" s="6"/>
      <c r="F27" s="8"/>
      <c r="G27" s="8">
        <f t="shared" si="2"/>
        <v>0</v>
      </c>
      <c r="H27" s="8">
        <f t="shared" si="2"/>
        <v>0</v>
      </c>
      <c r="I27" s="8">
        <f t="shared" si="2"/>
        <v>1</v>
      </c>
      <c r="J27" s="8">
        <f t="shared" si="2"/>
        <v>0</v>
      </c>
      <c r="K27" s="8">
        <f t="shared" si="2"/>
        <v>0</v>
      </c>
    </row>
    <row r="28" spans="1:11" x14ac:dyDescent="0.25">
      <c r="A28" s="5">
        <f t="shared" si="1"/>
        <v>1.0025999999999997</v>
      </c>
      <c r="B28" s="6" t="s">
        <v>134</v>
      </c>
      <c r="C28" s="6" t="s">
        <v>135</v>
      </c>
      <c r="D28" s="47"/>
      <c r="E28" s="6"/>
      <c r="F28" s="8"/>
      <c r="G28" s="8">
        <f t="shared" si="2"/>
        <v>0</v>
      </c>
      <c r="H28" s="8">
        <f t="shared" si="2"/>
        <v>0</v>
      </c>
      <c r="I28" s="8">
        <f t="shared" si="2"/>
        <v>1</v>
      </c>
      <c r="J28" s="8">
        <f t="shared" si="2"/>
        <v>0</v>
      </c>
      <c r="K28" s="8">
        <f t="shared" si="2"/>
        <v>0</v>
      </c>
    </row>
    <row r="29" spans="1:11" x14ac:dyDescent="0.25">
      <c r="A29" s="5">
        <f t="shared" si="1"/>
        <v>1.0026999999999997</v>
      </c>
      <c r="B29" s="6" t="s">
        <v>136</v>
      </c>
      <c r="C29" s="6" t="s">
        <v>137</v>
      </c>
      <c r="D29" s="47"/>
      <c r="E29" s="6"/>
      <c r="F29" s="8"/>
      <c r="G29" s="8">
        <f t="shared" si="2"/>
        <v>0</v>
      </c>
      <c r="H29" s="8">
        <f t="shared" si="2"/>
        <v>0</v>
      </c>
      <c r="I29" s="8">
        <f t="shared" si="2"/>
        <v>1</v>
      </c>
      <c r="J29" s="8">
        <f t="shared" si="2"/>
        <v>0</v>
      </c>
      <c r="K29" s="8">
        <f t="shared" si="2"/>
        <v>0</v>
      </c>
    </row>
    <row r="30" spans="1:11" x14ac:dyDescent="0.25">
      <c r="A30" s="5">
        <f t="shared" si="1"/>
        <v>1.0027999999999997</v>
      </c>
      <c r="B30" s="6" t="s">
        <v>55</v>
      </c>
      <c r="C30" s="6" t="s">
        <v>126</v>
      </c>
      <c r="D30" s="47"/>
      <c r="E30" s="6"/>
      <c r="F30" s="8"/>
      <c r="G30" s="8">
        <f t="shared" si="2"/>
        <v>0</v>
      </c>
      <c r="H30" s="8">
        <f t="shared" si="2"/>
        <v>0</v>
      </c>
      <c r="I30" s="8">
        <f t="shared" si="2"/>
        <v>1</v>
      </c>
      <c r="J30" s="8">
        <f t="shared" si="2"/>
        <v>0</v>
      </c>
      <c r="K30" s="8">
        <f t="shared" si="2"/>
        <v>0</v>
      </c>
    </row>
    <row r="31" spans="1:11" ht="25.5" x14ac:dyDescent="0.25">
      <c r="A31" s="5">
        <f t="shared" si="1"/>
        <v>1.0028999999999997</v>
      </c>
      <c r="B31" s="6" t="s">
        <v>56</v>
      </c>
      <c r="C31" s="6" t="s">
        <v>121</v>
      </c>
      <c r="D31" s="47" t="s">
        <v>169</v>
      </c>
      <c r="E31" s="6"/>
      <c r="F31" s="8"/>
      <c r="G31" s="8">
        <f t="shared" si="2"/>
        <v>0</v>
      </c>
      <c r="H31" s="8">
        <f t="shared" si="2"/>
        <v>0</v>
      </c>
      <c r="I31" s="8">
        <f t="shared" si="2"/>
        <v>1</v>
      </c>
      <c r="J31" s="8">
        <f t="shared" si="2"/>
        <v>0</v>
      </c>
      <c r="K31" s="8">
        <f t="shared" si="2"/>
        <v>0</v>
      </c>
    </row>
    <row r="32" spans="1:11" ht="25.5" x14ac:dyDescent="0.25">
      <c r="A32" s="5">
        <f t="shared" si="1"/>
        <v>1.0029999999999997</v>
      </c>
      <c r="B32" s="6" t="s">
        <v>57</v>
      </c>
      <c r="C32" s="6" t="s">
        <v>121</v>
      </c>
      <c r="D32" s="47" t="s">
        <v>169</v>
      </c>
      <c r="E32" s="6"/>
      <c r="F32" s="8"/>
      <c r="G32" s="8">
        <f t="shared" si="2"/>
        <v>0</v>
      </c>
      <c r="H32" s="8">
        <f t="shared" si="2"/>
        <v>0</v>
      </c>
      <c r="I32" s="8">
        <f t="shared" si="2"/>
        <v>1</v>
      </c>
      <c r="J32" s="8">
        <f t="shared" si="2"/>
        <v>0</v>
      </c>
      <c r="K32" s="8">
        <f t="shared" si="2"/>
        <v>0</v>
      </c>
    </row>
    <row r="33" spans="1:11" ht="25.5" x14ac:dyDescent="0.25">
      <c r="A33" s="5">
        <f t="shared" si="1"/>
        <v>1.0030999999999997</v>
      </c>
      <c r="B33" s="6" t="s">
        <v>58</v>
      </c>
      <c r="C33" s="6" t="s">
        <v>121</v>
      </c>
      <c r="D33" s="47" t="s">
        <v>169</v>
      </c>
      <c r="E33" s="6"/>
      <c r="F33" s="8"/>
      <c r="G33" s="8">
        <f t="shared" si="2"/>
        <v>0</v>
      </c>
      <c r="H33" s="8">
        <f t="shared" si="2"/>
        <v>0</v>
      </c>
      <c r="I33" s="8">
        <f t="shared" si="2"/>
        <v>1</v>
      </c>
      <c r="J33" s="8">
        <f t="shared" si="2"/>
        <v>0</v>
      </c>
      <c r="K33" s="8">
        <f t="shared" si="2"/>
        <v>0</v>
      </c>
    </row>
    <row r="34" spans="1:11" ht="25.5" x14ac:dyDescent="0.25">
      <c r="A34" s="5">
        <f t="shared" si="1"/>
        <v>1.0031999999999996</v>
      </c>
      <c r="B34" s="6" t="s">
        <v>59</v>
      </c>
      <c r="C34" s="6" t="s">
        <v>121</v>
      </c>
      <c r="D34" s="47" t="s">
        <v>169</v>
      </c>
      <c r="E34" s="6"/>
      <c r="F34" s="8"/>
      <c r="G34" s="8">
        <f t="shared" si="2"/>
        <v>0</v>
      </c>
      <c r="H34" s="8">
        <f t="shared" si="2"/>
        <v>0</v>
      </c>
      <c r="I34" s="8">
        <f t="shared" si="2"/>
        <v>1</v>
      </c>
      <c r="J34" s="8">
        <f t="shared" si="2"/>
        <v>0</v>
      </c>
      <c r="K34" s="8">
        <f t="shared" si="2"/>
        <v>0</v>
      </c>
    </row>
    <row r="35" spans="1:11" ht="25.5" x14ac:dyDescent="0.25">
      <c r="A35" s="5">
        <f t="shared" si="1"/>
        <v>1.0032999999999996</v>
      </c>
      <c r="B35" s="6" t="s">
        <v>60</v>
      </c>
      <c r="C35" s="6" t="s">
        <v>121</v>
      </c>
      <c r="D35" s="47" t="s">
        <v>169</v>
      </c>
      <c r="E35" s="6"/>
      <c r="F35" s="8"/>
      <c r="G35" s="8">
        <f t="shared" si="2"/>
        <v>0</v>
      </c>
      <c r="H35" s="8">
        <f t="shared" si="2"/>
        <v>0</v>
      </c>
      <c r="I35" s="8">
        <f t="shared" si="2"/>
        <v>1</v>
      </c>
      <c r="J35" s="8">
        <f t="shared" si="2"/>
        <v>0</v>
      </c>
      <c r="K35" s="8">
        <f t="shared" si="2"/>
        <v>0</v>
      </c>
    </row>
    <row r="36" spans="1:11" ht="25.5" x14ac:dyDescent="0.25">
      <c r="A36" s="5">
        <f t="shared" si="1"/>
        <v>1.0033999999999996</v>
      </c>
      <c r="B36" s="6" t="s">
        <v>61</v>
      </c>
      <c r="C36" s="6" t="s">
        <v>121</v>
      </c>
      <c r="D36" s="47" t="s">
        <v>169</v>
      </c>
      <c r="E36" s="6"/>
      <c r="F36" s="8"/>
      <c r="G36" s="8">
        <f t="shared" si="2"/>
        <v>0</v>
      </c>
      <c r="H36" s="8">
        <f t="shared" si="2"/>
        <v>0</v>
      </c>
      <c r="I36" s="8">
        <f t="shared" si="2"/>
        <v>1</v>
      </c>
      <c r="J36" s="8">
        <f t="shared" si="2"/>
        <v>0</v>
      </c>
      <c r="K36" s="8">
        <f t="shared" si="2"/>
        <v>0</v>
      </c>
    </row>
    <row r="37" spans="1:11" ht="25.5" x14ac:dyDescent="0.25">
      <c r="A37" s="5">
        <f t="shared" si="1"/>
        <v>1.0034999999999996</v>
      </c>
      <c r="B37" s="6" t="s">
        <v>62</v>
      </c>
      <c r="C37" s="6" t="s">
        <v>121</v>
      </c>
      <c r="D37" s="47" t="s">
        <v>169</v>
      </c>
      <c r="E37" s="6"/>
      <c r="F37" s="8"/>
      <c r="G37" s="8">
        <f t="shared" si="2"/>
        <v>0</v>
      </c>
      <c r="H37" s="8">
        <f t="shared" si="2"/>
        <v>0</v>
      </c>
      <c r="I37" s="8">
        <f t="shared" si="2"/>
        <v>1</v>
      </c>
      <c r="J37" s="8">
        <f t="shared" si="2"/>
        <v>0</v>
      </c>
      <c r="K37" s="8">
        <f t="shared" si="2"/>
        <v>0</v>
      </c>
    </row>
    <row r="38" spans="1:11" ht="25.5" x14ac:dyDescent="0.25">
      <c r="A38" s="5">
        <f t="shared" si="1"/>
        <v>1.0035999999999996</v>
      </c>
      <c r="B38" s="6" t="s">
        <v>63</v>
      </c>
      <c r="C38" s="6" t="s">
        <v>121</v>
      </c>
      <c r="D38" s="47" t="s">
        <v>169</v>
      </c>
      <c r="E38" s="6"/>
      <c r="F38" s="8"/>
      <c r="G38" s="8">
        <f t="shared" si="2"/>
        <v>0</v>
      </c>
      <c r="H38" s="8">
        <f t="shared" si="2"/>
        <v>0</v>
      </c>
      <c r="I38" s="8">
        <f t="shared" si="2"/>
        <v>1</v>
      </c>
      <c r="J38" s="8">
        <f t="shared" si="2"/>
        <v>0</v>
      </c>
      <c r="K38" s="8">
        <f t="shared" si="2"/>
        <v>0</v>
      </c>
    </row>
    <row r="39" spans="1:11" ht="25.5" x14ac:dyDescent="0.25">
      <c r="A39" s="5">
        <f t="shared" si="1"/>
        <v>1.0036999999999996</v>
      </c>
      <c r="B39" s="6" t="s">
        <v>64</v>
      </c>
      <c r="C39" s="6" t="s">
        <v>121</v>
      </c>
      <c r="D39" s="47" t="s">
        <v>169</v>
      </c>
      <c r="E39" s="6"/>
      <c r="F39" s="8"/>
      <c r="G39" s="8">
        <f t="shared" si="2"/>
        <v>0</v>
      </c>
      <c r="H39" s="8">
        <f t="shared" si="2"/>
        <v>0</v>
      </c>
      <c r="I39" s="8">
        <f t="shared" si="2"/>
        <v>1</v>
      </c>
      <c r="J39" s="8">
        <f t="shared" si="2"/>
        <v>0</v>
      </c>
      <c r="K39" s="8">
        <f t="shared" si="2"/>
        <v>0</v>
      </c>
    </row>
    <row r="40" spans="1:11" ht="25.5" x14ac:dyDescent="0.25">
      <c r="A40" s="5">
        <f t="shared" si="1"/>
        <v>1.0037999999999996</v>
      </c>
      <c r="B40" s="6" t="s">
        <v>65</v>
      </c>
      <c r="C40" s="6" t="s">
        <v>121</v>
      </c>
      <c r="D40" s="47" t="s">
        <v>169</v>
      </c>
      <c r="E40" s="6"/>
      <c r="F40" s="8"/>
      <c r="G40" s="8">
        <f t="shared" si="2"/>
        <v>0</v>
      </c>
      <c r="H40" s="8">
        <f t="shared" si="2"/>
        <v>0</v>
      </c>
      <c r="I40" s="8">
        <f t="shared" si="2"/>
        <v>1</v>
      </c>
      <c r="J40" s="8">
        <f t="shared" si="2"/>
        <v>0</v>
      </c>
      <c r="K40" s="8">
        <f t="shared" si="2"/>
        <v>0</v>
      </c>
    </row>
    <row r="41" spans="1:11" ht="25.5" x14ac:dyDescent="0.25">
      <c r="A41" s="5">
        <f t="shared" si="1"/>
        <v>1.0038999999999996</v>
      </c>
      <c r="B41" s="7" t="s">
        <v>66</v>
      </c>
      <c r="C41" s="6" t="s">
        <v>121</v>
      </c>
      <c r="D41" s="47" t="s">
        <v>169</v>
      </c>
      <c r="E41" s="6"/>
      <c r="F41" s="8"/>
      <c r="G41" s="8">
        <f t="shared" si="2"/>
        <v>0</v>
      </c>
      <c r="H41" s="8">
        <f t="shared" si="2"/>
        <v>0</v>
      </c>
      <c r="I41" s="8">
        <f t="shared" si="2"/>
        <v>1</v>
      </c>
      <c r="J41" s="8">
        <f t="shared" si="2"/>
        <v>0</v>
      </c>
      <c r="K41" s="8">
        <f t="shared" si="2"/>
        <v>0</v>
      </c>
    </row>
    <row r="42" spans="1:11" ht="25.5" x14ac:dyDescent="0.25">
      <c r="A42" s="5">
        <f t="shared" si="1"/>
        <v>1.0039999999999996</v>
      </c>
      <c r="B42" s="7" t="s">
        <v>67</v>
      </c>
      <c r="C42" s="6" t="s">
        <v>121</v>
      </c>
      <c r="D42" s="47" t="s">
        <v>169</v>
      </c>
      <c r="E42" s="6"/>
      <c r="F42" s="8"/>
      <c r="G42" s="8">
        <f t="shared" si="2"/>
        <v>0</v>
      </c>
      <c r="H42" s="8">
        <f t="shared" si="2"/>
        <v>0</v>
      </c>
      <c r="I42" s="8">
        <f t="shared" si="2"/>
        <v>1</v>
      </c>
      <c r="J42" s="8">
        <f t="shared" si="2"/>
        <v>0</v>
      </c>
      <c r="K42" s="8">
        <f t="shared" si="2"/>
        <v>0</v>
      </c>
    </row>
    <row r="43" spans="1:11" ht="25.5" x14ac:dyDescent="0.25">
      <c r="A43" s="5">
        <f t="shared" si="1"/>
        <v>1.0040999999999995</v>
      </c>
      <c r="B43" s="7" t="s">
        <v>68</v>
      </c>
      <c r="C43" s="6" t="s">
        <v>121</v>
      </c>
      <c r="D43" s="47" t="s">
        <v>170</v>
      </c>
      <c r="E43" s="6"/>
      <c r="F43" s="8"/>
      <c r="G43" s="8">
        <f t="shared" si="2"/>
        <v>0</v>
      </c>
      <c r="H43" s="8">
        <f t="shared" si="2"/>
        <v>0</v>
      </c>
      <c r="I43" s="8">
        <f t="shared" si="2"/>
        <v>1</v>
      </c>
      <c r="J43" s="8">
        <f t="shared" si="2"/>
        <v>0</v>
      </c>
      <c r="K43" s="8">
        <f t="shared" si="2"/>
        <v>0</v>
      </c>
    </row>
    <row r="44" spans="1:11" ht="25.5" x14ac:dyDescent="0.25">
      <c r="A44" s="5">
        <f t="shared" si="1"/>
        <v>1.0041999999999995</v>
      </c>
      <c r="B44" s="7" t="s">
        <v>69</v>
      </c>
      <c r="C44" s="6" t="s">
        <v>70</v>
      </c>
      <c r="D44" s="47"/>
      <c r="E44" s="6"/>
      <c r="F44" s="8"/>
      <c r="G44" s="8">
        <f t="shared" si="2"/>
        <v>0</v>
      </c>
      <c r="H44" s="8">
        <f t="shared" si="2"/>
        <v>0</v>
      </c>
      <c r="I44" s="8">
        <f t="shared" si="2"/>
        <v>1</v>
      </c>
      <c r="J44" s="8">
        <f t="shared" si="2"/>
        <v>0</v>
      </c>
      <c r="K44" s="8">
        <f t="shared" si="2"/>
        <v>0</v>
      </c>
    </row>
    <row r="45" spans="1:11" x14ac:dyDescent="0.25">
      <c r="A45" s="5">
        <f t="shared" si="1"/>
        <v>1.0042999999999995</v>
      </c>
      <c r="B45" s="7" t="s">
        <v>71</v>
      </c>
      <c r="C45" s="6" t="s">
        <v>72</v>
      </c>
      <c r="D45" s="47"/>
      <c r="E45" s="6"/>
      <c r="F45" s="8"/>
      <c r="G45" s="8">
        <f t="shared" si="2"/>
        <v>0</v>
      </c>
      <c r="H45" s="8">
        <f t="shared" si="2"/>
        <v>0</v>
      </c>
      <c r="I45" s="8">
        <f t="shared" si="2"/>
        <v>1</v>
      </c>
      <c r="J45" s="8">
        <f t="shared" si="2"/>
        <v>0</v>
      </c>
      <c r="K45" s="8">
        <f t="shared" si="2"/>
        <v>0</v>
      </c>
    </row>
    <row r="46" spans="1:11" ht="25.5" x14ac:dyDescent="0.25">
      <c r="A46" s="5">
        <f t="shared" si="1"/>
        <v>1.0043999999999995</v>
      </c>
      <c r="B46" s="7" t="s">
        <v>73</v>
      </c>
      <c r="C46" s="6" t="s">
        <v>121</v>
      </c>
      <c r="D46" s="47" t="s">
        <v>170</v>
      </c>
      <c r="E46" s="6"/>
      <c r="F46" s="8"/>
      <c r="G46" s="8">
        <f t="shared" si="2"/>
        <v>0</v>
      </c>
      <c r="H46" s="8">
        <f t="shared" si="2"/>
        <v>0</v>
      </c>
      <c r="I46" s="8">
        <f t="shared" si="2"/>
        <v>1</v>
      </c>
      <c r="J46" s="8">
        <f t="shared" si="2"/>
        <v>0</v>
      </c>
      <c r="K46" s="8">
        <f t="shared" si="2"/>
        <v>0</v>
      </c>
    </row>
    <row r="47" spans="1:11" ht="25.5" x14ac:dyDescent="0.25">
      <c r="A47" s="5">
        <f t="shared" si="1"/>
        <v>1.0044999999999995</v>
      </c>
      <c r="B47" s="7" t="s">
        <v>74</v>
      </c>
      <c r="C47" s="6" t="s">
        <v>121</v>
      </c>
      <c r="D47" s="47" t="s">
        <v>170</v>
      </c>
      <c r="E47" s="6"/>
      <c r="F47" s="8"/>
      <c r="G47" s="8">
        <f t="shared" si="2"/>
        <v>0</v>
      </c>
      <c r="H47" s="8">
        <f t="shared" si="2"/>
        <v>0</v>
      </c>
      <c r="I47" s="8">
        <f t="shared" si="2"/>
        <v>1</v>
      </c>
      <c r="J47" s="8">
        <f t="shared" si="2"/>
        <v>0</v>
      </c>
      <c r="K47" s="8">
        <f t="shared" si="2"/>
        <v>0</v>
      </c>
    </row>
    <row r="48" spans="1:11" ht="25.5" x14ac:dyDescent="0.25">
      <c r="A48" s="5">
        <f t="shared" si="1"/>
        <v>1.0045999999999995</v>
      </c>
      <c r="B48" s="7" t="s">
        <v>75</v>
      </c>
      <c r="C48" s="6" t="s">
        <v>121</v>
      </c>
      <c r="D48" s="47" t="s">
        <v>170</v>
      </c>
      <c r="E48" s="6"/>
      <c r="F48" s="8"/>
      <c r="G48" s="8">
        <f t="shared" si="2"/>
        <v>0</v>
      </c>
      <c r="H48" s="8">
        <f t="shared" si="2"/>
        <v>0</v>
      </c>
      <c r="I48" s="8">
        <f t="shared" si="2"/>
        <v>1</v>
      </c>
      <c r="J48" s="8">
        <f t="shared" si="2"/>
        <v>0</v>
      </c>
      <c r="K48" s="8">
        <f t="shared" si="2"/>
        <v>0</v>
      </c>
    </row>
    <row r="49" spans="1:11" ht="25.5" x14ac:dyDescent="0.25">
      <c r="A49" s="5">
        <f t="shared" si="1"/>
        <v>1.0046999999999995</v>
      </c>
      <c r="B49" s="7" t="s">
        <v>76</v>
      </c>
      <c r="C49" s="6" t="s">
        <v>121</v>
      </c>
      <c r="D49" s="47" t="s">
        <v>170</v>
      </c>
      <c r="E49" s="6"/>
      <c r="F49" s="8"/>
      <c r="G49" s="8">
        <f t="shared" si="2"/>
        <v>0</v>
      </c>
      <c r="H49" s="8">
        <f t="shared" si="2"/>
        <v>0</v>
      </c>
      <c r="I49" s="8">
        <f t="shared" si="2"/>
        <v>1</v>
      </c>
      <c r="J49" s="8">
        <f t="shared" si="2"/>
        <v>0</v>
      </c>
      <c r="K49" s="8">
        <f t="shared" si="2"/>
        <v>0</v>
      </c>
    </row>
    <row r="50" spans="1:11" ht="25.5" x14ac:dyDescent="0.25">
      <c r="A50" s="5">
        <f t="shared" si="1"/>
        <v>1.0047999999999995</v>
      </c>
      <c r="B50" s="7" t="s">
        <v>77</v>
      </c>
      <c r="C50" s="6" t="s">
        <v>121</v>
      </c>
      <c r="D50" s="47" t="s">
        <v>170</v>
      </c>
      <c r="E50" s="6"/>
      <c r="F50" s="8"/>
      <c r="G50" s="8">
        <f t="shared" si="2"/>
        <v>0</v>
      </c>
      <c r="H50" s="8">
        <f t="shared" si="2"/>
        <v>0</v>
      </c>
      <c r="I50" s="8">
        <f t="shared" si="2"/>
        <v>1</v>
      </c>
      <c r="J50" s="8">
        <f t="shared" si="2"/>
        <v>0</v>
      </c>
      <c r="K50" s="8">
        <f t="shared" si="2"/>
        <v>0</v>
      </c>
    </row>
    <row r="51" spans="1:11" ht="25.5" x14ac:dyDescent="0.25">
      <c r="A51" s="5">
        <f t="shared" si="1"/>
        <v>1.0048999999999995</v>
      </c>
      <c r="B51" s="7" t="s">
        <v>78</v>
      </c>
      <c r="C51" s="6" t="s">
        <v>121</v>
      </c>
      <c r="D51" s="47" t="s">
        <v>170</v>
      </c>
      <c r="E51" s="6"/>
      <c r="F51" s="8"/>
      <c r="G51" s="8">
        <f t="shared" si="2"/>
        <v>0</v>
      </c>
      <c r="H51" s="8">
        <f t="shared" si="2"/>
        <v>0</v>
      </c>
      <c r="I51" s="8">
        <f t="shared" si="2"/>
        <v>1</v>
      </c>
      <c r="J51" s="8">
        <f t="shared" si="2"/>
        <v>0</v>
      </c>
      <c r="K51" s="8">
        <f t="shared" si="2"/>
        <v>0</v>
      </c>
    </row>
    <row r="52" spans="1:11" ht="25.5" x14ac:dyDescent="0.25">
      <c r="A52" s="5">
        <f t="shared" si="1"/>
        <v>1.0049999999999994</v>
      </c>
      <c r="B52" s="7" t="s">
        <v>79</v>
      </c>
      <c r="C52" s="6" t="s">
        <v>121</v>
      </c>
      <c r="D52" s="47" t="s">
        <v>170</v>
      </c>
      <c r="E52" s="6"/>
      <c r="F52" s="8"/>
      <c r="G52" s="8">
        <f t="shared" si="2"/>
        <v>0</v>
      </c>
      <c r="H52" s="8">
        <f t="shared" si="2"/>
        <v>0</v>
      </c>
      <c r="I52" s="8">
        <f t="shared" si="2"/>
        <v>1</v>
      </c>
      <c r="J52" s="8">
        <f t="shared" si="2"/>
        <v>0</v>
      </c>
      <c r="K52" s="8">
        <f t="shared" si="2"/>
        <v>0</v>
      </c>
    </row>
    <row r="53" spans="1:11" ht="25.5" x14ac:dyDescent="0.25">
      <c r="A53" s="5">
        <f t="shared" si="1"/>
        <v>1.0050999999999994</v>
      </c>
      <c r="B53" s="7" t="s">
        <v>80</v>
      </c>
      <c r="C53" s="6" t="s">
        <v>121</v>
      </c>
      <c r="D53" s="47" t="s">
        <v>170</v>
      </c>
      <c r="E53" s="6"/>
      <c r="F53" s="8"/>
      <c r="G53" s="8">
        <f t="shared" si="2"/>
        <v>0</v>
      </c>
      <c r="H53" s="8">
        <f t="shared" si="2"/>
        <v>0</v>
      </c>
      <c r="I53" s="8">
        <f t="shared" si="2"/>
        <v>1</v>
      </c>
      <c r="J53" s="8">
        <f t="shared" si="2"/>
        <v>0</v>
      </c>
      <c r="K53" s="8">
        <f t="shared" si="2"/>
        <v>0</v>
      </c>
    </row>
    <row r="54" spans="1:11" ht="25.5" x14ac:dyDescent="0.25">
      <c r="A54" s="5">
        <f t="shared" si="1"/>
        <v>1.0051999999999994</v>
      </c>
      <c r="B54" s="7" t="s">
        <v>81</v>
      </c>
      <c r="C54" s="6" t="s">
        <v>121</v>
      </c>
      <c r="D54" s="47" t="s">
        <v>170</v>
      </c>
      <c r="E54" s="6"/>
      <c r="F54" s="8"/>
      <c r="G54" s="8">
        <f t="shared" si="2"/>
        <v>0</v>
      </c>
      <c r="H54" s="8">
        <f t="shared" si="2"/>
        <v>0</v>
      </c>
      <c r="I54" s="8">
        <f t="shared" si="2"/>
        <v>1</v>
      </c>
      <c r="J54" s="8">
        <f t="shared" si="2"/>
        <v>0</v>
      </c>
      <c r="K54" s="8">
        <f t="shared" si="2"/>
        <v>0</v>
      </c>
    </row>
    <row r="55" spans="1:11" x14ac:dyDescent="0.25">
      <c r="A55" s="5">
        <f t="shared" si="1"/>
        <v>1.0052999999999994</v>
      </c>
      <c r="B55" s="7" t="s">
        <v>146</v>
      </c>
      <c r="C55" s="6" t="s">
        <v>147</v>
      </c>
      <c r="D55" s="47"/>
      <c r="E55" s="6"/>
      <c r="F55" s="8"/>
      <c r="G55" s="8">
        <f t="shared" si="2"/>
        <v>0</v>
      </c>
      <c r="H55" s="8">
        <f t="shared" si="2"/>
        <v>0</v>
      </c>
      <c r="I55" s="8">
        <f t="shared" si="2"/>
        <v>1</v>
      </c>
      <c r="J55" s="8">
        <f t="shared" si="2"/>
        <v>0</v>
      </c>
      <c r="K55" s="8">
        <f t="shared" si="2"/>
        <v>0</v>
      </c>
    </row>
    <row r="56" spans="1:11" ht="38.25" x14ac:dyDescent="0.25">
      <c r="A56" s="5">
        <f t="shared" si="1"/>
        <v>1.0053999999999994</v>
      </c>
      <c r="B56" s="7" t="s">
        <v>148</v>
      </c>
      <c r="C56" s="6" t="s">
        <v>149</v>
      </c>
      <c r="D56" s="47"/>
      <c r="E56" s="6"/>
      <c r="F56" s="8"/>
      <c r="G56" s="8">
        <f t="shared" ref="G56:K65" si="3">IF($F56=G$1,1,0)</f>
        <v>0</v>
      </c>
      <c r="H56" s="8">
        <f t="shared" si="3"/>
        <v>0</v>
      </c>
      <c r="I56" s="8">
        <f t="shared" si="3"/>
        <v>1</v>
      </c>
      <c r="J56" s="8">
        <f t="shared" si="3"/>
        <v>0</v>
      </c>
      <c r="K56" s="8">
        <f t="shared" si="3"/>
        <v>0</v>
      </c>
    </row>
    <row r="57" spans="1:11" x14ac:dyDescent="0.25">
      <c r="A57" s="5">
        <f t="shared" si="1"/>
        <v>1.0054999999999994</v>
      </c>
      <c r="B57" s="7"/>
      <c r="C57" s="6" t="s">
        <v>150</v>
      </c>
      <c r="D57" s="47"/>
      <c r="E57" s="6"/>
      <c r="F57" s="8"/>
      <c r="G57" s="8">
        <f t="shared" si="3"/>
        <v>0</v>
      </c>
      <c r="H57" s="8">
        <f t="shared" si="3"/>
        <v>0</v>
      </c>
      <c r="I57" s="8">
        <f t="shared" si="3"/>
        <v>1</v>
      </c>
      <c r="J57" s="8">
        <f t="shared" si="3"/>
        <v>0</v>
      </c>
      <c r="K57" s="8">
        <f t="shared" si="3"/>
        <v>0</v>
      </c>
    </row>
    <row r="58" spans="1:11" x14ac:dyDescent="0.25">
      <c r="A58" s="5">
        <f t="shared" si="1"/>
        <v>1.0055999999999994</v>
      </c>
      <c r="B58" s="7"/>
      <c r="C58" s="6" t="s">
        <v>151</v>
      </c>
      <c r="D58" s="47"/>
      <c r="E58" s="6"/>
      <c r="F58" s="8"/>
      <c r="G58" s="8">
        <f t="shared" si="3"/>
        <v>0</v>
      </c>
      <c r="H58" s="8">
        <f t="shared" si="3"/>
        <v>0</v>
      </c>
      <c r="I58" s="8">
        <f t="shared" si="3"/>
        <v>1</v>
      </c>
      <c r="J58" s="8">
        <f t="shared" si="3"/>
        <v>0</v>
      </c>
      <c r="K58" s="8">
        <f t="shared" si="3"/>
        <v>0</v>
      </c>
    </row>
    <row r="59" spans="1:11" x14ac:dyDescent="0.25">
      <c r="A59" s="5">
        <f t="shared" si="1"/>
        <v>1.0056999999999994</v>
      </c>
      <c r="B59" s="7"/>
      <c r="C59" s="6" t="s">
        <v>152</v>
      </c>
      <c r="D59" s="47"/>
      <c r="E59" s="6"/>
      <c r="F59" s="8"/>
      <c r="G59" s="8">
        <f t="shared" si="3"/>
        <v>0</v>
      </c>
      <c r="H59" s="8">
        <f t="shared" si="3"/>
        <v>0</v>
      </c>
      <c r="I59" s="8">
        <f t="shared" si="3"/>
        <v>1</v>
      </c>
      <c r="J59" s="8">
        <f t="shared" si="3"/>
        <v>0</v>
      </c>
      <c r="K59" s="8">
        <f t="shared" si="3"/>
        <v>0</v>
      </c>
    </row>
    <row r="60" spans="1:11" x14ac:dyDescent="0.25">
      <c r="A60" s="5">
        <f t="shared" si="1"/>
        <v>1.0057999999999994</v>
      </c>
      <c r="B60" s="7"/>
      <c r="C60" s="6" t="s">
        <v>153</v>
      </c>
      <c r="D60" s="47"/>
      <c r="E60" s="6"/>
      <c r="F60" s="8"/>
      <c r="G60" s="8">
        <f t="shared" si="3"/>
        <v>0</v>
      </c>
      <c r="H60" s="8">
        <f t="shared" si="3"/>
        <v>0</v>
      </c>
      <c r="I60" s="8">
        <f t="shared" si="3"/>
        <v>1</v>
      </c>
      <c r="J60" s="8">
        <f t="shared" si="3"/>
        <v>0</v>
      </c>
      <c r="K60" s="8">
        <f t="shared" si="3"/>
        <v>0</v>
      </c>
    </row>
    <row r="61" spans="1:11" x14ac:dyDescent="0.25">
      <c r="A61" s="5">
        <f t="shared" si="1"/>
        <v>1.0058999999999994</v>
      </c>
      <c r="B61" s="7"/>
      <c r="C61" s="6" t="s">
        <v>154</v>
      </c>
      <c r="D61" s="47"/>
      <c r="E61" s="6"/>
      <c r="F61" s="8"/>
      <c r="G61" s="8">
        <f t="shared" si="3"/>
        <v>0</v>
      </c>
      <c r="H61" s="8">
        <f t="shared" si="3"/>
        <v>0</v>
      </c>
      <c r="I61" s="8">
        <f t="shared" si="3"/>
        <v>1</v>
      </c>
      <c r="J61" s="8">
        <f t="shared" si="3"/>
        <v>0</v>
      </c>
      <c r="K61" s="8">
        <f t="shared" si="3"/>
        <v>0</v>
      </c>
    </row>
    <row r="62" spans="1:11" x14ac:dyDescent="0.25">
      <c r="A62" s="5">
        <f t="shared" si="1"/>
        <v>1.0059999999999993</v>
      </c>
      <c r="B62" s="7"/>
      <c r="C62" s="6" t="s">
        <v>155</v>
      </c>
      <c r="D62" s="47"/>
      <c r="E62" s="6"/>
      <c r="F62" s="8"/>
      <c r="G62" s="8">
        <f t="shared" si="3"/>
        <v>0</v>
      </c>
      <c r="H62" s="8">
        <f t="shared" si="3"/>
        <v>0</v>
      </c>
      <c r="I62" s="8">
        <f t="shared" si="3"/>
        <v>1</v>
      </c>
      <c r="J62" s="8">
        <f t="shared" si="3"/>
        <v>0</v>
      </c>
      <c r="K62" s="8">
        <f t="shared" si="3"/>
        <v>0</v>
      </c>
    </row>
    <row r="63" spans="1:11" x14ac:dyDescent="0.25">
      <c r="A63" s="5">
        <f t="shared" si="1"/>
        <v>1.0060999999999993</v>
      </c>
      <c r="B63" s="7"/>
      <c r="C63" s="6" t="s">
        <v>156</v>
      </c>
      <c r="D63" s="47"/>
      <c r="E63" s="6"/>
      <c r="F63" s="8"/>
      <c r="G63" s="8">
        <f t="shared" si="3"/>
        <v>0</v>
      </c>
      <c r="H63" s="8">
        <f t="shared" si="3"/>
        <v>0</v>
      </c>
      <c r="I63" s="8">
        <f t="shared" si="3"/>
        <v>1</v>
      </c>
      <c r="J63" s="8">
        <f t="shared" si="3"/>
        <v>0</v>
      </c>
      <c r="K63" s="8">
        <f t="shared" si="3"/>
        <v>0</v>
      </c>
    </row>
    <row r="64" spans="1:11" x14ac:dyDescent="0.25">
      <c r="A64" s="5">
        <f t="shared" si="1"/>
        <v>1.0061999999999993</v>
      </c>
      <c r="B64" s="7"/>
      <c r="C64" s="6" t="s">
        <v>157</v>
      </c>
      <c r="D64" s="47"/>
      <c r="E64" s="6"/>
      <c r="F64" s="8"/>
      <c r="G64" s="8">
        <f t="shared" si="3"/>
        <v>0</v>
      </c>
      <c r="H64" s="8">
        <f t="shared" si="3"/>
        <v>0</v>
      </c>
      <c r="I64" s="8">
        <f t="shared" si="3"/>
        <v>1</v>
      </c>
      <c r="J64" s="8">
        <f t="shared" si="3"/>
        <v>0</v>
      </c>
      <c r="K64" s="8">
        <f t="shared" si="3"/>
        <v>0</v>
      </c>
    </row>
    <row r="65" spans="1:11" ht="25.5" x14ac:dyDescent="0.25">
      <c r="A65" s="5">
        <f t="shared" si="1"/>
        <v>1.0062999999999993</v>
      </c>
      <c r="B65" s="7" t="s">
        <v>158</v>
      </c>
      <c r="C65" s="6" t="s">
        <v>159</v>
      </c>
      <c r="D65" s="47"/>
      <c r="E65" s="6"/>
      <c r="F65" s="8"/>
      <c r="G65" s="8">
        <f t="shared" si="3"/>
        <v>0</v>
      </c>
      <c r="H65" s="8">
        <f t="shared" si="3"/>
        <v>0</v>
      </c>
      <c r="I65" s="8">
        <f t="shared" si="3"/>
        <v>1</v>
      </c>
      <c r="J65" s="8">
        <f t="shared" si="3"/>
        <v>0</v>
      </c>
      <c r="K65" s="8">
        <f t="shared" si="3"/>
        <v>0</v>
      </c>
    </row>
    <row r="66" spans="1:11" x14ac:dyDescent="0.25">
      <c r="G66" s="41">
        <f>SUM(G2:G65)</f>
        <v>7</v>
      </c>
      <c r="H66" s="41">
        <f t="shared" ref="H66:K66" si="4">SUM(H2:H65)</f>
        <v>0</v>
      </c>
      <c r="I66" s="41">
        <f t="shared" si="4"/>
        <v>56</v>
      </c>
      <c r="J66" s="41">
        <f t="shared" si="4"/>
        <v>0</v>
      </c>
      <c r="K66" s="41">
        <f t="shared" si="4"/>
        <v>0</v>
      </c>
    </row>
  </sheetData>
  <conditionalFormatting sqref="A3:C3 A66:C85 A2:K2 B27:B65 B4:C11 A4:A65 D21:K23 E20:K20 D3:K14 D16:K19 E15:K15 D27:K30 E24:K26 C44:K45 E31:K43 D55:K85 E46:K54">
    <cfRule type="expression" dxfId="51" priority="267">
      <formula>$F2="Fail"</formula>
    </cfRule>
  </conditionalFormatting>
  <conditionalFormatting sqref="B12:B26">
    <cfRule type="expression" dxfId="50" priority="11">
      <formula>$F12="Fail"</formula>
    </cfRule>
  </conditionalFormatting>
  <conditionalFormatting sqref="C12:C16 C31:C43 C20:C29">
    <cfRule type="expression" dxfId="49" priority="8">
      <formula>$F12="Fail"</formula>
    </cfRule>
  </conditionalFormatting>
  <conditionalFormatting sqref="C46:C65">
    <cfRule type="expression" dxfId="48" priority="7">
      <formula>$F46="Fail"</formula>
    </cfRule>
  </conditionalFormatting>
  <conditionalFormatting sqref="C17:C18">
    <cfRule type="expression" dxfId="47" priority="6">
      <formula>$F17="Fail"</formula>
    </cfRule>
  </conditionalFormatting>
  <conditionalFormatting sqref="C19">
    <cfRule type="expression" dxfId="46" priority="5">
      <formula>$F19="Fail"</formula>
    </cfRule>
  </conditionalFormatting>
  <conditionalFormatting sqref="C30">
    <cfRule type="expression" dxfId="45" priority="4">
      <formula>$F30="Fail"</formula>
    </cfRule>
  </conditionalFormatting>
  <conditionalFormatting sqref="D20">
    <cfRule type="expression" dxfId="44" priority="314">
      <formula>$F15="Fail"</formula>
    </cfRule>
  </conditionalFormatting>
  <conditionalFormatting sqref="D24:D26">
    <cfRule type="expression" dxfId="43" priority="3">
      <formula>$F19="Fail"</formula>
    </cfRule>
  </conditionalFormatting>
  <conditionalFormatting sqref="D31:D43">
    <cfRule type="expression" dxfId="42" priority="2">
      <formula>$F26="Fail"</formula>
    </cfRule>
  </conditionalFormatting>
  <conditionalFormatting sqref="D46:D54">
    <cfRule type="expression" dxfId="41" priority="1">
      <formula>$F41="Fail"</formula>
    </cfRule>
  </conditionalFormatting>
  <dataValidations count="1">
    <dataValidation type="list" allowBlank="1" showInputMessage="1" showErrorMessage="1" sqref="F3:F65">
      <formula1>$G$1:$K$1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2"/>
  <sheetViews>
    <sheetView zoomScaleNormal="100" workbookViewId="0">
      <pane ySplit="1" topLeftCell="A2" activePane="bottomLeft" state="frozen"/>
      <selection pane="bottomLeft" activeCell="E25" sqref="E25"/>
    </sheetView>
  </sheetViews>
  <sheetFormatPr defaultRowHeight="15" x14ac:dyDescent="0.25"/>
  <cols>
    <col min="1" max="1" width="7.140625" style="4" customWidth="1"/>
    <col min="2" max="2" width="37.42578125" style="1" customWidth="1"/>
    <col min="3" max="3" width="42.570312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6384" width="9.140625" style="1"/>
  </cols>
  <sheetData>
    <row r="1" spans="1:11" ht="30" customHeight="1" x14ac:dyDescent="0.25">
      <c r="A1" s="14" t="s">
        <v>1</v>
      </c>
      <c r="B1" s="15" t="s">
        <v>11</v>
      </c>
      <c r="C1" s="15" t="s">
        <v>2</v>
      </c>
      <c r="D1" s="16" t="s">
        <v>4</v>
      </c>
      <c r="E1" s="16" t="s">
        <v>3</v>
      </c>
      <c r="F1" s="15" t="s">
        <v>0</v>
      </c>
      <c r="G1" s="16" t="s">
        <v>5</v>
      </c>
      <c r="H1" s="16" t="s">
        <v>6</v>
      </c>
      <c r="I1" s="16"/>
      <c r="J1" s="16" t="s">
        <v>7</v>
      </c>
      <c r="K1" s="16" t="s">
        <v>8</v>
      </c>
    </row>
    <row r="2" spans="1:11" x14ac:dyDescent="0.25">
      <c r="A2" s="5">
        <v>1.0001</v>
      </c>
      <c r="B2" s="22" t="s">
        <v>14</v>
      </c>
      <c r="C2" s="22" t="s">
        <v>15</v>
      </c>
      <c r="D2" s="23">
        <v>10017150</v>
      </c>
      <c r="E2" s="23"/>
      <c r="F2" s="8" t="s">
        <v>5</v>
      </c>
      <c r="G2" s="8">
        <f t="shared" ref="G2:K20" si="0">IF($F2=G$1,1,0)</f>
        <v>1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</row>
    <row r="3" spans="1:11" x14ac:dyDescent="0.25">
      <c r="A3" s="5">
        <f>A2+0.0001</f>
        <v>1.0002</v>
      </c>
      <c r="B3" s="22" t="s">
        <v>160</v>
      </c>
      <c r="C3" s="22" t="s">
        <v>161</v>
      </c>
      <c r="D3" s="23"/>
      <c r="E3" s="23"/>
      <c r="F3" s="8" t="s">
        <v>5</v>
      </c>
      <c r="G3" s="8"/>
      <c r="H3" s="8"/>
      <c r="I3" s="8"/>
      <c r="J3" s="8"/>
      <c r="K3" s="8"/>
    </row>
    <row r="4" spans="1:11" ht="26.25" x14ac:dyDescent="0.25">
      <c r="A4" s="5">
        <f>A3+0.0001</f>
        <v>1.0003</v>
      </c>
      <c r="B4" s="22" t="s">
        <v>16</v>
      </c>
      <c r="C4" s="22" t="s">
        <v>162</v>
      </c>
      <c r="D4" s="23"/>
      <c r="E4" s="23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</row>
    <row r="5" spans="1:11" x14ac:dyDescent="0.25">
      <c r="A5" s="5">
        <f>A4+0.0001</f>
        <v>1.0004</v>
      </c>
      <c r="B5" s="7" t="s">
        <v>17</v>
      </c>
      <c r="C5" s="42" t="s">
        <v>164</v>
      </c>
      <c r="D5" s="42" t="s">
        <v>163</v>
      </c>
      <c r="E5" s="7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</row>
    <row r="6" spans="1:11" x14ac:dyDescent="0.25">
      <c r="A6" s="5">
        <f t="shared" ref="A6:A7" si="1">A5+0.0001</f>
        <v>1.0004999999999999</v>
      </c>
      <c r="B6" s="9" t="s">
        <v>18</v>
      </c>
      <c r="C6" s="42" t="s">
        <v>164</v>
      </c>
      <c r="D6" s="42" t="s">
        <v>163</v>
      </c>
      <c r="E6" s="7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</row>
    <row r="7" spans="1:11" x14ac:dyDescent="0.25">
      <c r="A7" s="5">
        <f t="shared" si="1"/>
        <v>1.0005999999999999</v>
      </c>
      <c r="B7" s="9" t="s">
        <v>19</v>
      </c>
      <c r="C7" s="12" t="s">
        <v>19</v>
      </c>
      <c r="D7" s="44">
        <v>3000</v>
      </c>
      <c r="E7" s="7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</row>
    <row r="8" spans="1:11" x14ac:dyDescent="0.25">
      <c r="A8" s="5">
        <f>A7+0.0001</f>
        <v>1.0006999999999999</v>
      </c>
      <c r="B8" s="9" t="s">
        <v>21</v>
      </c>
      <c r="C8" s="12" t="s">
        <v>21</v>
      </c>
      <c r="D8" s="43">
        <v>2332831.7999999998</v>
      </c>
      <c r="E8" s="7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</row>
    <row r="9" spans="1:11" x14ac:dyDescent="0.25">
      <c r="A9" s="5">
        <f t="shared" ref="A9:A10" si="2">A8+0.0001</f>
        <v>1.0007999999999999</v>
      </c>
      <c r="B9" s="9" t="s">
        <v>20</v>
      </c>
      <c r="C9" s="9" t="s">
        <v>20</v>
      </c>
      <c r="D9" s="44">
        <v>0</v>
      </c>
      <c r="E9" s="7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</row>
    <row r="10" spans="1:11" x14ac:dyDescent="0.25">
      <c r="A10" s="5">
        <f t="shared" si="2"/>
        <v>1.0008999999999999</v>
      </c>
      <c r="B10" s="7" t="s">
        <v>22</v>
      </c>
      <c r="C10" s="7" t="s">
        <v>22</v>
      </c>
      <c r="D10" s="44">
        <v>3000</v>
      </c>
      <c r="E10" s="7"/>
      <c r="F10" s="8" t="s">
        <v>5</v>
      </c>
      <c r="G10" s="8">
        <f t="shared" si="0"/>
        <v>1</v>
      </c>
      <c r="H10" s="8">
        <f t="shared" si="0"/>
        <v>0</v>
      </c>
      <c r="I10" s="8">
        <f t="shared" si="0"/>
        <v>0</v>
      </c>
      <c r="J10" s="8">
        <f t="shared" si="0"/>
        <v>0</v>
      </c>
      <c r="K10" s="8">
        <f t="shared" si="0"/>
        <v>0</v>
      </c>
    </row>
    <row r="11" spans="1:11" x14ac:dyDescent="0.25">
      <c r="A11" s="5">
        <f>A10+0.0001</f>
        <v>1.0009999999999999</v>
      </c>
      <c r="B11" s="6" t="s">
        <v>23</v>
      </c>
      <c r="C11" s="6"/>
      <c r="D11" s="7" t="s">
        <v>165</v>
      </c>
      <c r="E11" s="7"/>
      <c r="F11" s="8" t="s">
        <v>5</v>
      </c>
      <c r="G11" s="8">
        <f t="shared" si="0"/>
        <v>1</v>
      </c>
      <c r="H11" s="8">
        <f t="shared" si="0"/>
        <v>0</v>
      </c>
      <c r="I11" s="8">
        <f t="shared" si="0"/>
        <v>0</v>
      </c>
      <c r="J11" s="8">
        <f t="shared" si="0"/>
        <v>0</v>
      </c>
      <c r="K11" s="8">
        <f t="shared" si="0"/>
        <v>0</v>
      </c>
    </row>
    <row r="12" spans="1:11" x14ac:dyDescent="0.25">
      <c r="A12" s="5">
        <f t="shared" ref="A12:A13" si="3">A11+0.0001</f>
        <v>1.0010999999999999</v>
      </c>
      <c r="B12" s="10" t="s">
        <v>24</v>
      </c>
      <c r="C12" s="6"/>
      <c r="D12" s="7" t="s">
        <v>165</v>
      </c>
      <c r="E12" s="7"/>
      <c r="F12" s="8" t="s">
        <v>5</v>
      </c>
      <c r="G12" s="8">
        <f t="shared" si="0"/>
        <v>1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8">
        <f t="shared" si="0"/>
        <v>0</v>
      </c>
    </row>
    <row r="13" spans="1:11" x14ac:dyDescent="0.25">
      <c r="A13" s="5">
        <f t="shared" si="3"/>
        <v>1.0011999999999999</v>
      </c>
      <c r="B13" s="6" t="s">
        <v>25</v>
      </c>
      <c r="C13" s="10"/>
      <c r="D13" s="7" t="s">
        <v>166</v>
      </c>
      <c r="E13" s="7"/>
      <c r="F13" s="8" t="s">
        <v>5</v>
      </c>
      <c r="G13" s="8">
        <f t="shared" si="0"/>
        <v>1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</row>
    <row r="14" spans="1:11" x14ac:dyDescent="0.25">
      <c r="A14" s="5">
        <f>A13+0.0001</f>
        <v>1.0012999999999999</v>
      </c>
      <c r="B14" s="6" t="s">
        <v>26</v>
      </c>
      <c r="C14" s="10"/>
      <c r="D14" s="7" t="s">
        <v>165</v>
      </c>
      <c r="E14" s="7"/>
      <c r="F14" s="8" t="s">
        <v>5</v>
      </c>
      <c r="G14" s="8">
        <f t="shared" si="0"/>
        <v>1</v>
      </c>
      <c r="H14" s="8">
        <f t="shared" si="0"/>
        <v>0</v>
      </c>
      <c r="I14" s="8">
        <f t="shared" si="0"/>
        <v>0</v>
      </c>
      <c r="J14" s="8">
        <f t="shared" si="0"/>
        <v>0</v>
      </c>
      <c r="K14" s="8">
        <f t="shared" si="0"/>
        <v>0</v>
      </c>
    </row>
    <row r="15" spans="1:11" x14ac:dyDescent="0.25">
      <c r="A15" s="5">
        <f t="shared" ref="A15:A16" si="4">A14+0.0001</f>
        <v>1.0013999999999998</v>
      </c>
      <c r="B15" s="6" t="s">
        <v>27</v>
      </c>
      <c r="C15" s="10"/>
      <c r="D15" s="7" t="s">
        <v>167</v>
      </c>
      <c r="E15" s="7"/>
      <c r="F15" s="8" t="s">
        <v>5</v>
      </c>
      <c r="G15" s="8">
        <f t="shared" si="0"/>
        <v>1</v>
      </c>
      <c r="H15" s="8">
        <f t="shared" si="0"/>
        <v>0</v>
      </c>
      <c r="I15" s="8">
        <f t="shared" si="0"/>
        <v>0</v>
      </c>
      <c r="J15" s="8">
        <f t="shared" si="0"/>
        <v>0</v>
      </c>
      <c r="K15" s="8">
        <f t="shared" si="0"/>
        <v>0</v>
      </c>
    </row>
    <row r="16" spans="1:11" x14ac:dyDescent="0.25">
      <c r="A16" s="5">
        <f t="shared" si="4"/>
        <v>1.0014999999999998</v>
      </c>
      <c r="B16" s="6" t="s">
        <v>28</v>
      </c>
      <c r="C16" s="6"/>
      <c r="D16" s="44">
        <v>0</v>
      </c>
      <c r="E16" s="7"/>
      <c r="F16" s="8" t="s">
        <v>5</v>
      </c>
      <c r="G16" s="8">
        <f t="shared" si="0"/>
        <v>1</v>
      </c>
      <c r="H16" s="8">
        <f t="shared" si="0"/>
        <v>0</v>
      </c>
      <c r="I16" s="8">
        <f t="shared" si="0"/>
        <v>0</v>
      </c>
      <c r="J16" s="8">
        <f t="shared" si="0"/>
        <v>0</v>
      </c>
      <c r="K16" s="8">
        <f t="shared" si="0"/>
        <v>0</v>
      </c>
    </row>
    <row r="17" spans="1:11" x14ac:dyDescent="0.25">
      <c r="A17" s="5">
        <f>A16+0.0001</f>
        <v>1.0015999999999998</v>
      </c>
      <c r="B17" s="6" t="s">
        <v>12</v>
      </c>
      <c r="C17" s="6"/>
      <c r="D17" s="7" t="s">
        <v>168</v>
      </c>
      <c r="E17" s="7"/>
      <c r="F17" s="8" t="s">
        <v>5</v>
      </c>
      <c r="G17" s="8">
        <f t="shared" si="0"/>
        <v>1</v>
      </c>
      <c r="H17" s="8">
        <f t="shared" si="0"/>
        <v>0</v>
      </c>
      <c r="I17" s="8">
        <f t="shared" si="0"/>
        <v>0</v>
      </c>
      <c r="J17" s="8">
        <f t="shared" si="0"/>
        <v>0</v>
      </c>
      <c r="K17" s="8">
        <f t="shared" si="0"/>
        <v>0</v>
      </c>
    </row>
    <row r="18" spans="1:11" x14ac:dyDescent="0.25">
      <c r="A18" s="5">
        <f t="shared" ref="A18:A19" si="5">A17+0.0001</f>
        <v>1.0016999999999998</v>
      </c>
      <c r="B18" s="6" t="s">
        <v>29</v>
      </c>
      <c r="C18" s="6"/>
      <c r="D18" s="7"/>
      <c r="E18" s="7"/>
      <c r="F18" s="8" t="s">
        <v>5</v>
      </c>
      <c r="G18" s="8">
        <f t="shared" si="0"/>
        <v>1</v>
      </c>
      <c r="H18" s="8">
        <f t="shared" si="0"/>
        <v>0</v>
      </c>
      <c r="I18" s="8">
        <f t="shared" si="0"/>
        <v>0</v>
      </c>
      <c r="J18" s="8">
        <f t="shared" si="0"/>
        <v>0</v>
      </c>
      <c r="K18" s="8">
        <f t="shared" si="0"/>
        <v>0</v>
      </c>
    </row>
    <row r="19" spans="1:11" ht="25.5" x14ac:dyDescent="0.25">
      <c r="A19" s="5">
        <f t="shared" si="5"/>
        <v>1.0017999999999998</v>
      </c>
      <c r="B19" s="6" t="s">
        <v>30</v>
      </c>
      <c r="C19" s="6" t="s">
        <v>33</v>
      </c>
      <c r="D19" s="7"/>
      <c r="E19" s="7"/>
      <c r="F19" s="8" t="s">
        <v>5</v>
      </c>
      <c r="G19" s="8">
        <f t="shared" si="0"/>
        <v>1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</row>
    <row r="20" spans="1:11" ht="25.5" x14ac:dyDescent="0.25">
      <c r="A20" s="5">
        <f>A19+0.0001</f>
        <v>1.0018999999999998</v>
      </c>
      <c r="B20" s="6" t="s">
        <v>31</v>
      </c>
      <c r="C20" s="6" t="s">
        <v>32</v>
      </c>
      <c r="D20" s="7"/>
      <c r="E20" s="7"/>
      <c r="F20" s="8" t="s">
        <v>5</v>
      </c>
      <c r="G20" s="8">
        <f t="shared" si="0"/>
        <v>1</v>
      </c>
      <c r="H20" s="8">
        <f t="shared" si="0"/>
        <v>0</v>
      </c>
      <c r="I20" s="8">
        <f t="shared" si="0"/>
        <v>0</v>
      </c>
      <c r="J20" s="8">
        <f t="shared" si="0"/>
        <v>0</v>
      </c>
      <c r="K20" s="8">
        <f t="shared" si="0"/>
        <v>0</v>
      </c>
    </row>
    <row r="21" spans="1:11" ht="15.75" thickBot="1" x14ac:dyDescent="0.3">
      <c r="G21" s="2">
        <f>SUM(G2:G20)</f>
        <v>18</v>
      </c>
      <c r="H21" s="2">
        <f t="shared" ref="H21:K21" si="6">SUM(H2:H20)</f>
        <v>0</v>
      </c>
      <c r="I21" s="2">
        <f t="shared" si="6"/>
        <v>0</v>
      </c>
      <c r="J21" s="2">
        <f t="shared" si="6"/>
        <v>0</v>
      </c>
      <c r="K21" s="2">
        <f t="shared" si="6"/>
        <v>0</v>
      </c>
    </row>
    <row r="22" spans="1:11" ht="15.75" thickTop="1" x14ac:dyDescent="0.25"/>
  </sheetData>
  <conditionalFormatting sqref="A2:A20 G5:K20 A5:E20">
    <cfRule type="expression" dxfId="40" priority="6">
      <formula>$F2="Fail"</formula>
    </cfRule>
  </conditionalFormatting>
  <conditionalFormatting sqref="F2:F3">
    <cfRule type="expression" dxfId="39" priority="4">
      <formula>$F2="Fail"</formula>
    </cfRule>
  </conditionalFormatting>
  <conditionalFormatting sqref="G2:K4">
    <cfRule type="expression" dxfId="38" priority="3">
      <formula>$F2="Fail"</formula>
    </cfRule>
  </conditionalFormatting>
  <conditionalFormatting sqref="G21:K21">
    <cfRule type="expression" dxfId="37" priority="2">
      <formula>$F21="Fail"</formula>
    </cfRule>
  </conditionalFormatting>
  <conditionalFormatting sqref="F4:F20">
    <cfRule type="expression" dxfId="36" priority="1">
      <formula>$F4="Fail"</formula>
    </cfRule>
  </conditionalFormatting>
  <dataValidations count="1">
    <dataValidation type="list" allowBlank="1" showInputMessage="1" showErrorMessage="1" sqref="F2:F20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209550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38"/>
  <sheetViews>
    <sheetView zoomScaleNormal="100" workbookViewId="0">
      <pane ySplit="1" topLeftCell="A53" activePane="bottomLeft" state="frozen"/>
      <selection pane="bottomLeft" activeCell="H47" sqref="H47"/>
    </sheetView>
  </sheetViews>
  <sheetFormatPr defaultRowHeight="15" x14ac:dyDescent="0.25"/>
  <cols>
    <col min="1" max="1" width="8" style="4" customWidth="1"/>
    <col min="2" max="2" width="41.140625" style="34" customWidth="1"/>
    <col min="3" max="3" width="44.14062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6384" width="9.140625" style="1"/>
  </cols>
  <sheetData>
    <row r="1" spans="1:11" ht="30" customHeight="1" x14ac:dyDescent="0.25">
      <c r="A1" s="14" t="s">
        <v>1</v>
      </c>
      <c r="B1" s="33" t="s">
        <v>11</v>
      </c>
      <c r="C1" s="15" t="s">
        <v>2</v>
      </c>
      <c r="D1" s="16"/>
      <c r="E1" s="16" t="s">
        <v>3</v>
      </c>
      <c r="F1" s="15" t="s">
        <v>0</v>
      </c>
      <c r="G1" s="16" t="s">
        <v>5</v>
      </c>
      <c r="H1" s="16" t="s">
        <v>6</v>
      </c>
      <c r="I1" s="16"/>
      <c r="J1" s="16" t="s">
        <v>7</v>
      </c>
      <c r="K1" s="16" t="s">
        <v>8</v>
      </c>
    </row>
    <row r="2" spans="1:11" x14ac:dyDescent="0.25">
      <c r="A2" s="30">
        <v>1</v>
      </c>
      <c r="B2" s="24" t="s">
        <v>107</v>
      </c>
      <c r="C2" s="25"/>
      <c r="D2" s="31"/>
      <c r="E2" s="31"/>
      <c r="F2" s="32"/>
      <c r="G2" s="32"/>
      <c r="H2" s="32"/>
      <c r="I2" s="32"/>
      <c r="J2" s="32"/>
      <c r="K2" s="32"/>
    </row>
    <row r="3" spans="1:11" ht="25.5" x14ac:dyDescent="0.25">
      <c r="A3" s="5">
        <f>A2+0.0001</f>
        <v>1.0001</v>
      </c>
      <c r="B3" s="12" t="s">
        <v>82</v>
      </c>
      <c r="C3" s="12" t="s">
        <v>83</v>
      </c>
      <c r="D3" s="7"/>
      <c r="E3" s="6"/>
      <c r="F3" s="8"/>
      <c r="G3" s="8">
        <f t="shared" ref="G3:K15" si="0">IF($F3=G$1,1,0)</f>
        <v>0</v>
      </c>
      <c r="H3" s="8">
        <f t="shared" si="0"/>
        <v>0</v>
      </c>
      <c r="I3" s="8">
        <f t="shared" si="0"/>
        <v>1</v>
      </c>
      <c r="J3" s="8">
        <f t="shared" si="0"/>
        <v>0</v>
      </c>
      <c r="K3" s="8">
        <f t="shared" si="0"/>
        <v>0</v>
      </c>
    </row>
    <row r="4" spans="1:11" ht="38.25" x14ac:dyDescent="0.25">
      <c r="A4" s="5">
        <f t="shared" ref="A4:A35" si="1">A3+0.0001</f>
        <v>1.0002</v>
      </c>
      <c r="B4" s="9" t="s">
        <v>84</v>
      </c>
      <c r="C4" s="22" t="s">
        <v>85</v>
      </c>
      <c r="D4" s="7"/>
      <c r="E4" s="6"/>
      <c r="F4" s="8"/>
      <c r="G4" s="8">
        <f t="shared" si="0"/>
        <v>0</v>
      </c>
      <c r="H4" s="8">
        <f t="shared" si="0"/>
        <v>0</v>
      </c>
      <c r="I4" s="8">
        <f t="shared" si="0"/>
        <v>1</v>
      </c>
      <c r="J4" s="8">
        <f t="shared" si="0"/>
        <v>0</v>
      </c>
      <c r="K4" s="8">
        <f t="shared" si="0"/>
        <v>0</v>
      </c>
    </row>
    <row r="5" spans="1:11" x14ac:dyDescent="0.25">
      <c r="A5" s="5">
        <f t="shared" si="1"/>
        <v>1.0003</v>
      </c>
      <c r="B5" s="9"/>
      <c r="C5" s="9" t="s">
        <v>87</v>
      </c>
      <c r="D5" s="7"/>
      <c r="E5" s="7"/>
      <c r="F5" s="8"/>
      <c r="G5" s="8">
        <f t="shared" si="0"/>
        <v>0</v>
      </c>
      <c r="H5" s="8">
        <f t="shared" si="0"/>
        <v>0</v>
      </c>
      <c r="I5" s="8">
        <f t="shared" si="0"/>
        <v>1</v>
      </c>
      <c r="J5" s="8">
        <f t="shared" si="0"/>
        <v>0</v>
      </c>
      <c r="K5" s="8">
        <f t="shared" si="0"/>
        <v>0</v>
      </c>
    </row>
    <row r="6" spans="1:11" x14ac:dyDescent="0.25">
      <c r="A6" s="5">
        <f t="shared" si="1"/>
        <v>1.0004</v>
      </c>
      <c r="B6" s="9"/>
      <c r="C6" s="9" t="s">
        <v>88</v>
      </c>
      <c r="D6" s="7"/>
      <c r="E6" s="7"/>
      <c r="F6" s="8"/>
      <c r="G6" s="8">
        <f t="shared" si="0"/>
        <v>0</v>
      </c>
      <c r="H6" s="8">
        <f t="shared" si="0"/>
        <v>0</v>
      </c>
      <c r="I6" s="8">
        <f t="shared" si="0"/>
        <v>1</v>
      </c>
      <c r="J6" s="8">
        <f t="shared" si="0"/>
        <v>0</v>
      </c>
      <c r="K6" s="8">
        <f t="shared" si="0"/>
        <v>0</v>
      </c>
    </row>
    <row r="7" spans="1:11" ht="25.5" x14ac:dyDescent="0.25">
      <c r="A7" s="5">
        <f t="shared" si="1"/>
        <v>1.0004999999999999</v>
      </c>
      <c r="B7" s="9" t="s">
        <v>89</v>
      </c>
      <c r="C7" s="26" t="s">
        <v>86</v>
      </c>
      <c r="D7" s="7"/>
      <c r="E7" s="7"/>
      <c r="F7" s="8"/>
      <c r="G7" s="8">
        <f t="shared" si="0"/>
        <v>0</v>
      </c>
      <c r="H7" s="8">
        <f t="shared" si="0"/>
        <v>0</v>
      </c>
      <c r="I7" s="8">
        <f t="shared" si="0"/>
        <v>1</v>
      </c>
      <c r="J7" s="8">
        <f t="shared" si="0"/>
        <v>0</v>
      </c>
      <c r="K7" s="8">
        <f t="shared" si="0"/>
        <v>0</v>
      </c>
    </row>
    <row r="8" spans="1:11" x14ac:dyDescent="0.25">
      <c r="A8" s="5">
        <f t="shared" si="1"/>
        <v>1.0005999999999999</v>
      </c>
      <c r="C8" s="27"/>
      <c r="D8" s="7"/>
      <c r="E8" s="7"/>
      <c r="F8" s="8"/>
      <c r="G8" s="8">
        <f t="shared" si="0"/>
        <v>0</v>
      </c>
      <c r="H8" s="8">
        <f t="shared" si="0"/>
        <v>0</v>
      </c>
      <c r="I8" s="8">
        <f t="shared" si="0"/>
        <v>1</v>
      </c>
      <c r="J8" s="8">
        <f t="shared" si="0"/>
        <v>0</v>
      </c>
      <c r="K8" s="8">
        <f t="shared" si="0"/>
        <v>0</v>
      </c>
    </row>
    <row r="9" spans="1:11" x14ac:dyDescent="0.25">
      <c r="A9" s="5">
        <f t="shared" si="1"/>
        <v>1.0006999999999999</v>
      </c>
      <c r="B9" s="27" t="s">
        <v>100</v>
      </c>
      <c r="C9" s="11" t="s">
        <v>101</v>
      </c>
      <c r="D9" s="7"/>
      <c r="E9" s="7"/>
      <c r="F9" s="8"/>
      <c r="G9" s="8">
        <f t="shared" si="0"/>
        <v>0</v>
      </c>
      <c r="H9" s="8">
        <f t="shared" si="0"/>
        <v>0</v>
      </c>
      <c r="I9" s="8">
        <f t="shared" si="0"/>
        <v>1</v>
      </c>
      <c r="J9" s="8">
        <f t="shared" si="0"/>
        <v>0</v>
      </c>
      <c r="K9" s="8">
        <f t="shared" si="0"/>
        <v>0</v>
      </c>
    </row>
    <row r="10" spans="1:11" x14ac:dyDescent="0.25">
      <c r="A10" s="5">
        <f t="shared" si="1"/>
        <v>1.0007999999999999</v>
      </c>
      <c r="B10" s="26" t="s">
        <v>90</v>
      </c>
      <c r="C10" s="11" t="s">
        <v>101</v>
      </c>
      <c r="D10" s="7"/>
      <c r="E10" s="7"/>
      <c r="F10" s="8"/>
      <c r="G10" s="8">
        <f t="shared" si="0"/>
        <v>0</v>
      </c>
      <c r="H10" s="8">
        <f t="shared" si="0"/>
        <v>0</v>
      </c>
      <c r="I10" s="8">
        <f t="shared" si="0"/>
        <v>1</v>
      </c>
      <c r="J10" s="8">
        <f t="shared" si="0"/>
        <v>0</v>
      </c>
      <c r="K10" s="8">
        <f t="shared" si="0"/>
        <v>0</v>
      </c>
    </row>
    <row r="11" spans="1:11" x14ac:dyDescent="0.25">
      <c r="A11" s="5">
        <f t="shared" si="1"/>
        <v>1.0008999999999999</v>
      </c>
      <c r="B11" s="26" t="s">
        <v>91</v>
      </c>
      <c r="C11" s="11" t="s">
        <v>101</v>
      </c>
      <c r="D11" s="7"/>
      <c r="E11" s="7"/>
      <c r="F11" s="8"/>
      <c r="G11" s="8">
        <f t="shared" si="0"/>
        <v>0</v>
      </c>
      <c r="H11" s="8">
        <f t="shared" si="0"/>
        <v>0</v>
      </c>
      <c r="I11" s="8">
        <f t="shared" si="0"/>
        <v>1</v>
      </c>
      <c r="J11" s="8">
        <f t="shared" si="0"/>
        <v>0</v>
      </c>
      <c r="K11" s="8">
        <f t="shared" si="0"/>
        <v>0</v>
      </c>
    </row>
    <row r="12" spans="1:11" x14ac:dyDescent="0.25">
      <c r="A12" s="5">
        <f t="shared" si="1"/>
        <v>1.0009999999999999</v>
      </c>
      <c r="B12" s="26" t="s">
        <v>92</v>
      </c>
      <c r="C12" s="11" t="s">
        <v>141</v>
      </c>
      <c r="D12" s="7"/>
      <c r="E12" s="7"/>
      <c r="F12" s="8"/>
      <c r="G12" s="8">
        <f t="shared" si="0"/>
        <v>0</v>
      </c>
      <c r="H12" s="8">
        <f t="shared" si="0"/>
        <v>0</v>
      </c>
      <c r="I12" s="8">
        <f t="shared" si="0"/>
        <v>1</v>
      </c>
      <c r="J12" s="8">
        <f t="shared" si="0"/>
        <v>0</v>
      </c>
      <c r="K12" s="8">
        <f t="shared" si="0"/>
        <v>0</v>
      </c>
    </row>
    <row r="13" spans="1:11" x14ac:dyDescent="0.25">
      <c r="A13" s="5">
        <f t="shared" si="1"/>
        <v>1.0010999999999999</v>
      </c>
      <c r="B13" s="26" t="s">
        <v>93</v>
      </c>
      <c r="C13" s="11" t="s">
        <v>101</v>
      </c>
      <c r="D13" s="7"/>
      <c r="E13" s="7"/>
      <c r="F13" s="8"/>
      <c r="G13" s="8">
        <f t="shared" si="0"/>
        <v>0</v>
      </c>
      <c r="H13" s="8">
        <f t="shared" si="0"/>
        <v>0</v>
      </c>
      <c r="I13" s="8">
        <f t="shared" si="0"/>
        <v>1</v>
      </c>
      <c r="J13" s="8">
        <f t="shared" si="0"/>
        <v>0</v>
      </c>
      <c r="K13" s="8">
        <f t="shared" si="0"/>
        <v>0</v>
      </c>
    </row>
    <row r="14" spans="1:11" x14ac:dyDescent="0.25">
      <c r="A14" s="5">
        <f t="shared" si="1"/>
        <v>1.0011999999999999</v>
      </c>
      <c r="B14" s="26" t="s">
        <v>94</v>
      </c>
      <c r="C14" s="6" t="s">
        <v>102</v>
      </c>
      <c r="D14" s="7"/>
      <c r="E14" s="7"/>
      <c r="F14" s="8"/>
      <c r="G14" s="8">
        <f t="shared" si="0"/>
        <v>0</v>
      </c>
      <c r="H14" s="8">
        <f t="shared" si="0"/>
        <v>0</v>
      </c>
      <c r="I14" s="8">
        <f t="shared" si="0"/>
        <v>1</v>
      </c>
      <c r="J14" s="8">
        <f t="shared" si="0"/>
        <v>0</v>
      </c>
      <c r="K14" s="8">
        <f t="shared" si="0"/>
        <v>0</v>
      </c>
    </row>
    <row r="15" spans="1:11" x14ac:dyDescent="0.25">
      <c r="A15" s="5">
        <f t="shared" si="1"/>
        <v>1.0012999999999999</v>
      </c>
      <c r="B15" s="26" t="s">
        <v>95</v>
      </c>
      <c r="C15" s="6" t="s">
        <v>103</v>
      </c>
      <c r="D15" s="7"/>
      <c r="E15" s="7"/>
      <c r="F15" s="8"/>
      <c r="G15" s="8">
        <f t="shared" si="0"/>
        <v>0</v>
      </c>
      <c r="H15" s="8">
        <f t="shared" si="0"/>
        <v>0</v>
      </c>
      <c r="I15" s="8">
        <f t="shared" si="0"/>
        <v>1</v>
      </c>
      <c r="J15" s="8">
        <f t="shared" si="0"/>
        <v>0</v>
      </c>
      <c r="K15" s="8">
        <f t="shared" si="0"/>
        <v>0</v>
      </c>
    </row>
    <row r="16" spans="1:11" x14ac:dyDescent="0.25">
      <c r="A16" s="5">
        <f t="shared" si="1"/>
        <v>1.0013999999999998</v>
      </c>
      <c r="B16" s="26" t="s">
        <v>96</v>
      </c>
      <c r="C16" s="6" t="s">
        <v>102</v>
      </c>
      <c r="D16" s="7"/>
      <c r="E16" s="7"/>
      <c r="F16" s="8"/>
      <c r="G16" s="8">
        <f t="shared" ref="G16:K35" si="2">IF($F16=G$1,1,0)</f>
        <v>0</v>
      </c>
      <c r="H16" s="8">
        <f t="shared" si="2"/>
        <v>0</v>
      </c>
      <c r="I16" s="8">
        <f t="shared" si="2"/>
        <v>1</v>
      </c>
      <c r="J16" s="8">
        <f t="shared" si="2"/>
        <v>0</v>
      </c>
      <c r="K16" s="8">
        <f t="shared" si="2"/>
        <v>0</v>
      </c>
    </row>
    <row r="17" spans="1:11" x14ac:dyDescent="0.25">
      <c r="A17" s="5">
        <f t="shared" si="1"/>
        <v>1.0014999999999998</v>
      </c>
      <c r="B17" s="26" t="s">
        <v>97</v>
      </c>
      <c r="C17" s="12" t="s">
        <v>104</v>
      </c>
      <c r="D17" s="7"/>
      <c r="E17" s="7"/>
      <c r="F17" s="8"/>
      <c r="G17" s="8">
        <f t="shared" si="2"/>
        <v>0</v>
      </c>
      <c r="H17" s="8">
        <f t="shared" si="2"/>
        <v>0</v>
      </c>
      <c r="I17" s="8">
        <f t="shared" si="2"/>
        <v>1</v>
      </c>
      <c r="J17" s="8">
        <f t="shared" si="2"/>
        <v>0</v>
      </c>
      <c r="K17" s="8">
        <f t="shared" si="2"/>
        <v>0</v>
      </c>
    </row>
    <row r="18" spans="1:11" x14ac:dyDescent="0.25">
      <c r="A18" s="5">
        <f t="shared" si="1"/>
        <v>1.0015999999999998</v>
      </c>
      <c r="B18" s="26" t="s">
        <v>98</v>
      </c>
      <c r="C18" s="6" t="s">
        <v>102</v>
      </c>
      <c r="D18" s="7"/>
      <c r="E18" s="7"/>
      <c r="F18" s="8"/>
      <c r="G18" s="8">
        <f t="shared" si="2"/>
        <v>0</v>
      </c>
      <c r="H18" s="8">
        <f t="shared" si="2"/>
        <v>0</v>
      </c>
      <c r="I18" s="8">
        <f t="shared" si="2"/>
        <v>1</v>
      </c>
      <c r="J18" s="8">
        <f t="shared" si="2"/>
        <v>0</v>
      </c>
      <c r="K18" s="8">
        <f t="shared" si="2"/>
        <v>0</v>
      </c>
    </row>
    <row r="19" spans="1:11" ht="25.5" x14ac:dyDescent="0.25">
      <c r="A19" s="5">
        <f t="shared" si="1"/>
        <v>1.0016999999999998</v>
      </c>
      <c r="B19" s="27" t="s">
        <v>99</v>
      </c>
      <c r="C19" s="9">
        <v>0.75</v>
      </c>
      <c r="D19" s="7"/>
      <c r="E19" s="7"/>
      <c r="F19" s="8"/>
      <c r="G19" s="8">
        <f t="shared" si="2"/>
        <v>0</v>
      </c>
      <c r="H19" s="8">
        <f t="shared" si="2"/>
        <v>0</v>
      </c>
      <c r="I19" s="8">
        <f t="shared" si="2"/>
        <v>1</v>
      </c>
      <c r="J19" s="8">
        <f t="shared" si="2"/>
        <v>0</v>
      </c>
      <c r="K19" s="8">
        <f t="shared" si="2"/>
        <v>0</v>
      </c>
    </row>
    <row r="20" spans="1:11" x14ac:dyDescent="0.25">
      <c r="A20" s="5">
        <f t="shared" si="1"/>
        <v>1.0017999999999998</v>
      </c>
      <c r="B20" s="13" t="s">
        <v>105</v>
      </c>
      <c r="C20" s="6" t="s">
        <v>106</v>
      </c>
      <c r="D20" s="7"/>
      <c r="E20" s="7"/>
      <c r="F20" s="8"/>
      <c r="G20" s="8">
        <f t="shared" si="2"/>
        <v>0</v>
      </c>
      <c r="H20" s="8">
        <f t="shared" si="2"/>
        <v>0</v>
      </c>
      <c r="I20" s="8">
        <f t="shared" si="2"/>
        <v>1</v>
      </c>
      <c r="J20" s="8">
        <f t="shared" si="2"/>
        <v>0</v>
      </c>
      <c r="K20" s="8">
        <f t="shared" si="2"/>
        <v>0</v>
      </c>
    </row>
    <row r="21" spans="1:11" s="39" customFormat="1" x14ac:dyDescent="0.25">
      <c r="A21" s="35">
        <v>2</v>
      </c>
      <c r="B21" s="24" t="s">
        <v>108</v>
      </c>
      <c r="C21" s="36"/>
      <c r="D21" s="37"/>
      <c r="E21" s="37"/>
      <c r="F21" s="38"/>
      <c r="G21" s="38">
        <f>SUM(G3:G20)</f>
        <v>0</v>
      </c>
      <c r="H21" s="38">
        <f t="shared" ref="H21:K21" si="3">SUM(H3:H20)</f>
        <v>0</v>
      </c>
      <c r="I21" s="38">
        <f t="shared" si="3"/>
        <v>18</v>
      </c>
      <c r="J21" s="38">
        <f t="shared" si="3"/>
        <v>0</v>
      </c>
      <c r="K21" s="38">
        <f t="shared" si="3"/>
        <v>0</v>
      </c>
    </row>
    <row r="22" spans="1:11" ht="25.5" x14ac:dyDescent="0.25">
      <c r="A22" s="5">
        <f t="shared" si="1"/>
        <v>2.0001000000000002</v>
      </c>
      <c r="B22" s="12" t="s">
        <v>109</v>
      </c>
      <c r="C22" s="12" t="s">
        <v>110</v>
      </c>
      <c r="D22" s="7"/>
      <c r="E22" s="7"/>
      <c r="F22" s="8"/>
      <c r="G22" s="8">
        <f t="shared" si="2"/>
        <v>0</v>
      </c>
      <c r="H22" s="8">
        <f t="shared" si="2"/>
        <v>0</v>
      </c>
      <c r="I22" s="8">
        <f t="shared" si="2"/>
        <v>1</v>
      </c>
      <c r="J22" s="8">
        <f t="shared" si="2"/>
        <v>0</v>
      </c>
      <c r="K22" s="8">
        <f t="shared" si="2"/>
        <v>0</v>
      </c>
    </row>
    <row r="23" spans="1:11" x14ac:dyDescent="0.25">
      <c r="A23" s="5">
        <f>A22+0.0001</f>
        <v>2.0002000000000004</v>
      </c>
      <c r="B23" s="12" t="s">
        <v>142</v>
      </c>
      <c r="C23" s="12" t="s">
        <v>143</v>
      </c>
      <c r="D23" s="7"/>
      <c r="E23" s="7"/>
      <c r="F23" s="8"/>
      <c r="G23" s="8">
        <f t="shared" si="2"/>
        <v>0</v>
      </c>
      <c r="H23" s="8">
        <f t="shared" si="2"/>
        <v>0</v>
      </c>
      <c r="I23" s="8">
        <f t="shared" si="2"/>
        <v>1</v>
      </c>
      <c r="J23" s="8">
        <f t="shared" si="2"/>
        <v>0</v>
      </c>
      <c r="K23" s="8">
        <f t="shared" si="2"/>
        <v>0</v>
      </c>
    </row>
    <row r="24" spans="1:11" x14ac:dyDescent="0.25">
      <c r="A24" s="5">
        <f t="shared" si="1"/>
        <v>2.0003000000000006</v>
      </c>
      <c r="B24" s="12"/>
      <c r="C24" s="6" t="s">
        <v>111</v>
      </c>
      <c r="D24" s="7"/>
      <c r="E24" s="7"/>
      <c r="F24" s="8"/>
      <c r="G24" s="8">
        <f t="shared" si="2"/>
        <v>0</v>
      </c>
      <c r="H24" s="8">
        <f t="shared" si="2"/>
        <v>0</v>
      </c>
      <c r="I24" s="8">
        <f t="shared" si="2"/>
        <v>1</v>
      </c>
      <c r="J24" s="8">
        <f t="shared" si="2"/>
        <v>0</v>
      </c>
      <c r="K24" s="8">
        <f t="shared" si="2"/>
        <v>0</v>
      </c>
    </row>
    <row r="25" spans="1:11" x14ac:dyDescent="0.25">
      <c r="A25" s="5">
        <f t="shared" si="1"/>
        <v>2.0004000000000008</v>
      </c>
      <c r="B25" s="9"/>
      <c r="C25" s="27" t="s">
        <v>114</v>
      </c>
      <c r="D25" s="7"/>
      <c r="E25" s="7"/>
      <c r="F25" s="8"/>
      <c r="G25" s="8">
        <f t="shared" si="2"/>
        <v>0</v>
      </c>
      <c r="H25" s="8">
        <f t="shared" si="2"/>
        <v>0</v>
      </c>
      <c r="I25" s="8">
        <f t="shared" si="2"/>
        <v>1</v>
      </c>
      <c r="J25" s="8">
        <f t="shared" si="2"/>
        <v>0</v>
      </c>
      <c r="K25" s="8">
        <f t="shared" si="2"/>
        <v>0</v>
      </c>
    </row>
    <row r="26" spans="1:11" x14ac:dyDescent="0.25">
      <c r="A26" s="5">
        <f t="shared" si="1"/>
        <v>2.0005000000000011</v>
      </c>
      <c r="B26" s="12"/>
      <c r="C26" s="11" t="s">
        <v>115</v>
      </c>
      <c r="D26" s="7"/>
      <c r="E26" s="7"/>
      <c r="F26" s="8"/>
      <c r="G26" s="8">
        <f t="shared" si="2"/>
        <v>0</v>
      </c>
      <c r="H26" s="8">
        <f t="shared" si="2"/>
        <v>0</v>
      </c>
      <c r="I26" s="8">
        <f t="shared" si="2"/>
        <v>1</v>
      </c>
      <c r="J26" s="8">
        <f t="shared" si="2"/>
        <v>0</v>
      </c>
      <c r="K26" s="8">
        <f t="shared" si="2"/>
        <v>0</v>
      </c>
    </row>
    <row r="27" spans="1:11" x14ac:dyDescent="0.25">
      <c r="A27" s="5">
        <f t="shared" si="1"/>
        <v>2.0006000000000013</v>
      </c>
      <c r="B27" s="9"/>
      <c r="C27" s="11" t="s">
        <v>116</v>
      </c>
      <c r="D27" s="7"/>
      <c r="E27" s="7"/>
      <c r="F27" s="8"/>
      <c r="G27" s="8">
        <f t="shared" si="2"/>
        <v>0</v>
      </c>
      <c r="H27" s="8">
        <f t="shared" si="2"/>
        <v>0</v>
      </c>
      <c r="I27" s="8">
        <f t="shared" si="2"/>
        <v>1</v>
      </c>
      <c r="J27" s="8">
        <f t="shared" si="2"/>
        <v>0</v>
      </c>
      <c r="K27" s="8">
        <f t="shared" si="2"/>
        <v>0</v>
      </c>
    </row>
    <row r="28" spans="1:11" x14ac:dyDescent="0.25">
      <c r="A28" s="5">
        <f t="shared" si="1"/>
        <v>2.0007000000000015</v>
      </c>
      <c r="B28" s="12"/>
      <c r="C28" s="11" t="s">
        <v>117</v>
      </c>
      <c r="D28" s="7"/>
      <c r="E28" s="7"/>
      <c r="F28" s="8"/>
      <c r="G28" s="8">
        <f t="shared" si="2"/>
        <v>0</v>
      </c>
      <c r="H28" s="8">
        <f t="shared" si="2"/>
        <v>0</v>
      </c>
      <c r="I28" s="8">
        <f t="shared" si="2"/>
        <v>1</v>
      </c>
      <c r="J28" s="8">
        <f t="shared" si="2"/>
        <v>0</v>
      </c>
      <c r="K28" s="8">
        <f t="shared" si="2"/>
        <v>0</v>
      </c>
    </row>
    <row r="29" spans="1:11" x14ac:dyDescent="0.25">
      <c r="A29" s="5">
        <f t="shared" si="1"/>
        <v>2.0008000000000017</v>
      </c>
      <c r="B29" s="12"/>
      <c r="C29" s="11" t="s">
        <v>112</v>
      </c>
      <c r="D29" s="7"/>
      <c r="E29" s="7"/>
      <c r="F29" s="8"/>
      <c r="G29" s="8">
        <f t="shared" si="2"/>
        <v>0</v>
      </c>
      <c r="H29" s="8">
        <f t="shared" si="2"/>
        <v>0</v>
      </c>
      <c r="I29" s="8">
        <f t="shared" si="2"/>
        <v>1</v>
      </c>
      <c r="J29" s="8">
        <f t="shared" si="2"/>
        <v>0</v>
      </c>
      <c r="K29" s="8">
        <f t="shared" si="2"/>
        <v>0</v>
      </c>
    </row>
    <row r="30" spans="1:11" ht="25.5" x14ac:dyDescent="0.25">
      <c r="A30" s="5">
        <f t="shared" si="1"/>
        <v>2.0009000000000019</v>
      </c>
      <c r="B30" s="12"/>
      <c r="C30" s="11" t="s">
        <v>118</v>
      </c>
      <c r="D30" s="7"/>
      <c r="E30" s="7"/>
      <c r="F30" s="8"/>
      <c r="G30" s="8">
        <f t="shared" si="2"/>
        <v>0</v>
      </c>
      <c r="H30" s="8">
        <f t="shared" si="2"/>
        <v>0</v>
      </c>
      <c r="I30" s="8">
        <f t="shared" si="2"/>
        <v>1</v>
      </c>
      <c r="J30" s="8">
        <f t="shared" si="2"/>
        <v>0</v>
      </c>
      <c r="K30" s="8">
        <f t="shared" si="2"/>
        <v>0</v>
      </c>
    </row>
    <row r="31" spans="1:11" x14ac:dyDescent="0.25">
      <c r="A31" s="5">
        <f t="shared" si="1"/>
        <v>2.0010000000000021</v>
      </c>
      <c r="B31" s="12"/>
      <c r="C31" s="11" t="s">
        <v>113</v>
      </c>
      <c r="D31" s="7"/>
      <c r="E31" s="7"/>
      <c r="F31" s="8"/>
      <c r="G31" s="8">
        <f t="shared" si="2"/>
        <v>0</v>
      </c>
      <c r="H31" s="8">
        <f t="shared" si="2"/>
        <v>0</v>
      </c>
      <c r="I31" s="8">
        <f t="shared" si="2"/>
        <v>1</v>
      </c>
      <c r="J31" s="8">
        <f t="shared" si="2"/>
        <v>0</v>
      </c>
      <c r="K31" s="8">
        <f t="shared" si="2"/>
        <v>0</v>
      </c>
    </row>
    <row r="32" spans="1:11" ht="25.5" x14ac:dyDescent="0.25">
      <c r="A32" s="5">
        <f t="shared" si="1"/>
        <v>2.0011000000000023</v>
      </c>
      <c r="B32" s="12"/>
      <c r="C32" s="26" t="s">
        <v>144</v>
      </c>
      <c r="D32" s="7"/>
      <c r="E32" s="7"/>
      <c r="F32" s="8"/>
      <c r="G32" s="8">
        <f t="shared" si="2"/>
        <v>0</v>
      </c>
      <c r="H32" s="8">
        <f t="shared" si="2"/>
        <v>0</v>
      </c>
      <c r="I32" s="8">
        <f t="shared" si="2"/>
        <v>1</v>
      </c>
      <c r="J32" s="8">
        <f t="shared" si="2"/>
        <v>0</v>
      </c>
      <c r="K32" s="8">
        <f t="shared" si="2"/>
        <v>0</v>
      </c>
    </row>
    <row r="33" spans="1:11" ht="24.95" customHeight="1" x14ac:dyDescent="0.25">
      <c r="A33" s="5">
        <f t="shared" si="1"/>
        <v>2.0012000000000025</v>
      </c>
      <c r="B33" s="13"/>
      <c r="C33" s="26" t="s">
        <v>145</v>
      </c>
      <c r="D33" s="7"/>
      <c r="E33" s="7"/>
      <c r="F33" s="8"/>
      <c r="G33" s="8">
        <f t="shared" si="2"/>
        <v>0</v>
      </c>
      <c r="H33" s="8">
        <f t="shared" si="2"/>
        <v>0</v>
      </c>
      <c r="I33" s="8">
        <f t="shared" si="2"/>
        <v>1</v>
      </c>
      <c r="J33" s="8">
        <f t="shared" si="2"/>
        <v>0</v>
      </c>
      <c r="K33" s="8">
        <f t="shared" si="2"/>
        <v>0</v>
      </c>
    </row>
    <row r="34" spans="1:11" x14ac:dyDescent="0.25">
      <c r="A34" s="5">
        <f t="shared" si="1"/>
        <v>2.0013000000000027</v>
      </c>
      <c r="B34" s="13"/>
      <c r="C34" s="26" t="s">
        <v>119</v>
      </c>
      <c r="D34" s="7"/>
      <c r="E34" s="7"/>
      <c r="F34" s="8"/>
      <c r="G34" s="8">
        <f t="shared" si="2"/>
        <v>0</v>
      </c>
      <c r="H34" s="8">
        <f t="shared" si="2"/>
        <v>0</v>
      </c>
      <c r="I34" s="8">
        <f t="shared" si="2"/>
        <v>1</v>
      </c>
      <c r="J34" s="8">
        <f t="shared" si="2"/>
        <v>0</v>
      </c>
      <c r="K34" s="8">
        <f t="shared" si="2"/>
        <v>0</v>
      </c>
    </row>
    <row r="35" spans="1:11" ht="25.5" x14ac:dyDescent="0.25">
      <c r="A35" s="5">
        <f t="shared" si="1"/>
        <v>2.001400000000003</v>
      </c>
      <c r="B35" s="13"/>
      <c r="C35" s="27" t="s">
        <v>120</v>
      </c>
      <c r="D35" s="7"/>
      <c r="E35" s="7"/>
      <c r="F35" s="8"/>
      <c r="G35" s="8">
        <f t="shared" si="2"/>
        <v>0</v>
      </c>
      <c r="H35" s="8">
        <f t="shared" si="2"/>
        <v>0</v>
      </c>
      <c r="I35" s="8">
        <f t="shared" si="2"/>
        <v>1</v>
      </c>
      <c r="J35" s="8">
        <f t="shared" si="2"/>
        <v>0</v>
      </c>
      <c r="K35" s="8">
        <f t="shared" si="2"/>
        <v>0</v>
      </c>
    </row>
    <row r="36" spans="1:11" s="40" customFormat="1" x14ac:dyDescent="0.25">
      <c r="A36" s="30"/>
      <c r="B36" s="25"/>
      <c r="C36" s="31"/>
      <c r="D36" s="31"/>
      <c r="E36" s="31"/>
      <c r="F36" s="32"/>
      <c r="G36" s="32">
        <f>SUM(G22:G35)</f>
        <v>0</v>
      </c>
      <c r="H36" s="32">
        <f t="shared" ref="H36:K36" si="4">SUM(H22:H35)</f>
        <v>0</v>
      </c>
      <c r="I36" s="32">
        <f t="shared" si="4"/>
        <v>14</v>
      </c>
      <c r="J36" s="32">
        <f t="shared" si="4"/>
        <v>0</v>
      </c>
      <c r="K36" s="32">
        <f t="shared" si="4"/>
        <v>0</v>
      </c>
    </row>
    <row r="37" spans="1:11" ht="15.75" thickBot="1" x14ac:dyDescent="0.3">
      <c r="G37" s="2">
        <f>+G36+G21</f>
        <v>0</v>
      </c>
      <c r="H37" s="2">
        <f t="shared" ref="H37:K37" si="5">+H36+H21</f>
        <v>0</v>
      </c>
      <c r="I37" s="2">
        <f t="shared" si="5"/>
        <v>32</v>
      </c>
      <c r="J37" s="2">
        <f t="shared" si="5"/>
        <v>0</v>
      </c>
      <c r="K37" s="2">
        <f t="shared" si="5"/>
        <v>0</v>
      </c>
    </row>
    <row r="38" spans="1:11" ht="15.75" thickTop="1" x14ac:dyDescent="0.25"/>
  </sheetData>
  <conditionalFormatting sqref="A37:C56 B26 B24 B28:B34 C30:C31 B14:B15 B3:C7 B20 C19:C20 A2:A36 D2:K56">
    <cfRule type="expression" dxfId="35" priority="309">
      <formula>$F2="Fail"</formula>
    </cfRule>
  </conditionalFormatting>
  <conditionalFormatting sqref="B35:B36">
    <cfRule type="expression" dxfId="34" priority="303">
      <formula>$F35="Fail"</formula>
    </cfRule>
  </conditionalFormatting>
  <conditionalFormatting sqref="B35:B36">
    <cfRule type="expression" dxfId="33" priority="304">
      <formula>$F35="Fail"</formula>
    </cfRule>
  </conditionalFormatting>
  <conditionalFormatting sqref="C10:C12">
    <cfRule type="expression" dxfId="32" priority="54">
      <formula>$F10="Fail"</formula>
    </cfRule>
  </conditionalFormatting>
  <conditionalFormatting sqref="C13:C15 C24 C36">
    <cfRule type="expression" dxfId="31" priority="53">
      <formula>$F13="Fail"</formula>
    </cfRule>
  </conditionalFormatting>
  <conditionalFormatting sqref="C8:C13">
    <cfRule type="expression" dxfId="30" priority="51">
      <formula>$F8="Fail"</formula>
    </cfRule>
  </conditionalFormatting>
  <conditionalFormatting sqref="C2">
    <cfRule type="expression" dxfId="29" priority="50">
      <formula>$F2="Fail"</formula>
    </cfRule>
  </conditionalFormatting>
  <conditionalFormatting sqref="B3">
    <cfRule type="expression" dxfId="28" priority="49">
      <formula>$F3="Fail"</formula>
    </cfRule>
  </conditionalFormatting>
  <conditionalFormatting sqref="C3">
    <cfRule type="expression" dxfId="27" priority="48">
      <formula>$F3="Fail"</formula>
    </cfRule>
  </conditionalFormatting>
  <conditionalFormatting sqref="B2">
    <cfRule type="expression" dxfId="26" priority="47">
      <formula>$F2="Fail"</formula>
    </cfRule>
  </conditionalFormatting>
  <conditionalFormatting sqref="B27">
    <cfRule type="expression" dxfId="25" priority="34">
      <formula>$F27="Fail"</formula>
    </cfRule>
  </conditionalFormatting>
  <conditionalFormatting sqref="C17">
    <cfRule type="expression" dxfId="24" priority="42">
      <formula>$F17="Fail"</formula>
    </cfRule>
  </conditionalFormatting>
  <conditionalFormatting sqref="C17">
    <cfRule type="expression" dxfId="23" priority="41">
      <formula>$F17="Fail"</formula>
    </cfRule>
  </conditionalFormatting>
  <conditionalFormatting sqref="B25">
    <cfRule type="expression" dxfId="22" priority="37">
      <formula>$F25="Fail"</formula>
    </cfRule>
  </conditionalFormatting>
  <conditionalFormatting sqref="B27">
    <cfRule type="expression" dxfId="21" priority="35">
      <formula>$F27="Fail"</formula>
    </cfRule>
  </conditionalFormatting>
  <conditionalFormatting sqref="B9:B10">
    <cfRule type="expression" dxfId="20" priority="21">
      <formula>$F9="Fail"</formula>
    </cfRule>
  </conditionalFormatting>
  <conditionalFormatting sqref="B11:B13">
    <cfRule type="expression" dxfId="19" priority="23">
      <formula>$F11="Fail"</formula>
    </cfRule>
  </conditionalFormatting>
  <conditionalFormatting sqref="B16">
    <cfRule type="expression" dxfId="18" priority="20">
      <formula>$F16="Fail"</formula>
    </cfRule>
  </conditionalFormatting>
  <conditionalFormatting sqref="B18:B19">
    <cfRule type="expression" dxfId="17" priority="19">
      <formula>$F18="Fail"</formula>
    </cfRule>
  </conditionalFormatting>
  <conditionalFormatting sqref="C22:C23">
    <cfRule type="expression" dxfId="16" priority="9">
      <formula>$F22="Fail"</formula>
    </cfRule>
  </conditionalFormatting>
  <conditionalFormatting sqref="B18">
    <cfRule type="expression" dxfId="15" priority="18">
      <formula>$F18="Fail"</formula>
    </cfRule>
  </conditionalFormatting>
  <conditionalFormatting sqref="B19">
    <cfRule type="expression" dxfId="14" priority="17">
      <formula>$F19="Fail"</formula>
    </cfRule>
  </conditionalFormatting>
  <conditionalFormatting sqref="B17">
    <cfRule type="expression" dxfId="13" priority="16">
      <formula>$F17="Fail"</formula>
    </cfRule>
  </conditionalFormatting>
  <conditionalFormatting sqref="C16">
    <cfRule type="expression" dxfId="12" priority="15">
      <formula>$F16="Fail"</formula>
    </cfRule>
  </conditionalFormatting>
  <conditionalFormatting sqref="C18">
    <cfRule type="expression" dxfId="11" priority="14">
      <formula>$F18="Fail"</formula>
    </cfRule>
  </conditionalFormatting>
  <conditionalFormatting sqref="C21">
    <cfRule type="expression" dxfId="10" priority="13">
      <formula>$F21="Fail"</formula>
    </cfRule>
  </conditionalFormatting>
  <conditionalFormatting sqref="B21">
    <cfRule type="expression" dxfId="9" priority="12">
      <formula>$F21="Fail"</formula>
    </cfRule>
  </conditionalFormatting>
  <conditionalFormatting sqref="B22:C23">
    <cfRule type="expression" dxfId="8" priority="11">
      <formula>$F22="Fail"</formula>
    </cfRule>
  </conditionalFormatting>
  <conditionalFormatting sqref="B22:B23">
    <cfRule type="expression" dxfId="7" priority="10">
      <formula>$F22="Fail"</formula>
    </cfRule>
  </conditionalFormatting>
  <conditionalFormatting sqref="C27:C29">
    <cfRule type="expression" dxfId="6" priority="8">
      <formula>$F27="Fail"</formula>
    </cfRule>
  </conditionalFormatting>
  <conditionalFormatting sqref="C25:C26">
    <cfRule type="expression" dxfId="5" priority="6">
      <formula>$F25="Fail"</formula>
    </cfRule>
  </conditionalFormatting>
  <conditionalFormatting sqref="C32">
    <cfRule type="expression" dxfId="4" priority="5">
      <formula>$F32="Fail"</formula>
    </cfRule>
  </conditionalFormatting>
  <conditionalFormatting sqref="C34:C35">
    <cfRule type="expression" dxfId="3" priority="4">
      <formula>$F34="Fail"</formula>
    </cfRule>
  </conditionalFormatting>
  <conditionalFormatting sqref="C34">
    <cfRule type="expression" dxfId="2" priority="3">
      <formula>$F34="Fail"</formula>
    </cfRule>
  </conditionalFormatting>
  <conditionalFormatting sqref="C35">
    <cfRule type="expression" dxfId="1" priority="2">
      <formula>$F35="Fail"</formula>
    </cfRule>
  </conditionalFormatting>
  <conditionalFormatting sqref="C33">
    <cfRule type="expression" dxfId="0" priority="1">
      <formula>$F33="Fail"</formula>
    </cfRule>
  </conditionalFormatting>
  <dataValidations count="1">
    <dataValidation type="list" allowBlank="1" showInputMessage="1" showErrorMessage="1" sqref="F22:F36 F3:F20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152400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Create a Portfolio1</vt:lpstr>
      <vt:lpstr>Delete a portfolio</vt:lpstr>
      <vt:lpstr>Smooth Bonus Portfolio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cp:lastPrinted>2014-09-16T08:31:59Z</cp:lastPrinted>
  <dcterms:created xsi:type="dcterms:W3CDTF">2014-07-31T09:50:05Z</dcterms:created>
  <dcterms:modified xsi:type="dcterms:W3CDTF">2020-07-06T16:18:02Z</dcterms:modified>
</cp:coreProperties>
</file>