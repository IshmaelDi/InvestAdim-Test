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408" windowWidth="20376" windowHeight="7740"/>
  </bookViews>
  <sheets>
    <sheet name="Summary" sheetId="3" r:id="rId1"/>
    <sheet name="Chart1" sheetId="4" r:id="rId2"/>
    <sheet name="Test Case" sheetId="2" r:id="rId3"/>
    <sheet name="Check Funding level" sheetId="5" r:id="rId4"/>
  </sheets>
  <externalReferences>
    <externalReference r:id="rId5"/>
  </externalReferences>
  <calcPr calcId="145621"/>
</workbook>
</file>

<file path=xl/calcChain.xml><?xml version="1.0" encoding="utf-8"?>
<calcChain xmlns="http://schemas.openxmlformats.org/spreadsheetml/2006/main">
  <c r="H36" i="2" l="1"/>
  <c r="L15" i="2"/>
  <c r="K15" i="2"/>
  <c r="J15" i="2"/>
  <c r="I15" i="2"/>
  <c r="H15" i="2"/>
  <c r="H16" i="2"/>
  <c r="I16" i="2"/>
  <c r="J16" i="2"/>
  <c r="K16" i="2"/>
  <c r="L16" i="2"/>
  <c r="L190" i="2" l="1"/>
  <c r="K190" i="2"/>
  <c r="J190" i="2"/>
  <c r="I190" i="2"/>
  <c r="H190" i="2"/>
  <c r="L189" i="2"/>
  <c r="K189" i="2"/>
  <c r="J189" i="2"/>
  <c r="I189" i="2"/>
  <c r="H189" i="2"/>
  <c r="L188" i="2"/>
  <c r="K188" i="2"/>
  <c r="J188" i="2"/>
  <c r="I188" i="2"/>
  <c r="H188" i="2"/>
  <c r="L187" i="2"/>
  <c r="K187" i="2"/>
  <c r="J187" i="2"/>
  <c r="I187" i="2"/>
  <c r="H187" i="2"/>
  <c r="L186" i="2"/>
  <c r="K186" i="2"/>
  <c r="J186" i="2"/>
  <c r="I186" i="2"/>
  <c r="H186" i="2"/>
  <c r="L185" i="2"/>
  <c r="K185" i="2"/>
  <c r="J185" i="2"/>
  <c r="I185" i="2"/>
  <c r="H185" i="2"/>
  <c r="L184" i="2"/>
  <c r="K184" i="2"/>
  <c r="J184" i="2"/>
  <c r="I184" i="2"/>
  <c r="H184" i="2"/>
  <c r="L183" i="2"/>
  <c r="K183" i="2"/>
  <c r="J183" i="2"/>
  <c r="I183" i="2"/>
  <c r="H183" i="2"/>
  <c r="L182" i="2"/>
  <c r="K182" i="2"/>
  <c r="J182" i="2"/>
  <c r="I182" i="2"/>
  <c r="H182" i="2"/>
  <c r="L181" i="2"/>
  <c r="K181" i="2"/>
  <c r="J181" i="2"/>
  <c r="I181" i="2"/>
  <c r="H181" i="2"/>
  <c r="L180" i="2"/>
  <c r="K180" i="2"/>
  <c r="J180" i="2"/>
  <c r="I180" i="2"/>
  <c r="H180" i="2"/>
  <c r="L179" i="2"/>
  <c r="K179" i="2"/>
  <c r="J179" i="2"/>
  <c r="I179" i="2"/>
  <c r="H179" i="2"/>
  <c r="L178" i="2"/>
  <c r="K178" i="2"/>
  <c r="J178" i="2"/>
  <c r="I178" i="2"/>
  <c r="H178" i="2"/>
  <c r="L177" i="2"/>
  <c r="K177" i="2"/>
  <c r="J177" i="2"/>
  <c r="I177" i="2"/>
  <c r="H177" i="2"/>
  <c r="L176" i="2"/>
  <c r="K176" i="2"/>
  <c r="J176" i="2"/>
  <c r="I176" i="2"/>
  <c r="H176" i="2"/>
  <c r="L175" i="2"/>
  <c r="K175" i="2"/>
  <c r="J175" i="2"/>
  <c r="I175" i="2"/>
  <c r="H175" i="2"/>
  <c r="L174" i="2"/>
  <c r="K174" i="2"/>
  <c r="J174" i="2"/>
  <c r="I174" i="2"/>
  <c r="H174" i="2"/>
  <c r="L173" i="2"/>
  <c r="K173" i="2"/>
  <c r="J173" i="2"/>
  <c r="I173" i="2"/>
  <c r="H173" i="2"/>
  <c r="L172" i="2"/>
  <c r="K172" i="2"/>
  <c r="J172" i="2"/>
  <c r="I172" i="2"/>
  <c r="H172" i="2"/>
  <c r="L147" i="2"/>
  <c r="K147" i="2"/>
  <c r="J147" i="2"/>
  <c r="I147" i="2"/>
  <c r="H147" i="2"/>
  <c r="L146" i="2"/>
  <c r="K146" i="2"/>
  <c r="J146" i="2"/>
  <c r="I146" i="2"/>
  <c r="H146" i="2"/>
  <c r="L145" i="2"/>
  <c r="K145" i="2"/>
  <c r="J145" i="2"/>
  <c r="I145" i="2"/>
  <c r="H145" i="2"/>
  <c r="L144" i="2"/>
  <c r="K144" i="2"/>
  <c r="J144" i="2"/>
  <c r="I144" i="2"/>
  <c r="H144" i="2"/>
  <c r="L143" i="2"/>
  <c r="K143" i="2"/>
  <c r="J143" i="2"/>
  <c r="I143" i="2"/>
  <c r="H143" i="2"/>
  <c r="L142" i="2"/>
  <c r="K142" i="2"/>
  <c r="J142" i="2"/>
  <c r="I142" i="2"/>
  <c r="H142" i="2"/>
  <c r="L141" i="2"/>
  <c r="K141" i="2"/>
  <c r="J141" i="2"/>
  <c r="I141" i="2"/>
  <c r="H141" i="2"/>
  <c r="L140" i="2"/>
  <c r="K140" i="2"/>
  <c r="J140" i="2"/>
  <c r="I140" i="2"/>
  <c r="H140" i="2"/>
  <c r="L139" i="2"/>
  <c r="K139" i="2"/>
  <c r="J139" i="2"/>
  <c r="I139" i="2"/>
  <c r="H139" i="2"/>
  <c r="L138" i="2"/>
  <c r="K138" i="2"/>
  <c r="J138" i="2"/>
  <c r="I138" i="2"/>
  <c r="H138" i="2"/>
  <c r="L137" i="2"/>
  <c r="K137" i="2"/>
  <c r="J137" i="2"/>
  <c r="I137" i="2"/>
  <c r="H137" i="2"/>
  <c r="L136" i="2"/>
  <c r="K136" i="2"/>
  <c r="J136" i="2"/>
  <c r="I136" i="2"/>
  <c r="H136" i="2"/>
  <c r="L135" i="2"/>
  <c r="K135" i="2"/>
  <c r="J135" i="2"/>
  <c r="I135" i="2"/>
  <c r="H135" i="2"/>
  <c r="L134" i="2"/>
  <c r="K134" i="2"/>
  <c r="J134" i="2"/>
  <c r="I134" i="2"/>
  <c r="H134" i="2"/>
  <c r="L133" i="2"/>
  <c r="K133" i="2"/>
  <c r="J133" i="2"/>
  <c r="I133" i="2"/>
  <c r="H133" i="2"/>
  <c r="L132" i="2"/>
  <c r="K132" i="2"/>
  <c r="J132" i="2"/>
  <c r="I132" i="2"/>
  <c r="H132" i="2"/>
  <c r="L131" i="2"/>
  <c r="K131" i="2"/>
  <c r="J131" i="2"/>
  <c r="I131" i="2"/>
  <c r="H131" i="2"/>
  <c r="L130" i="2"/>
  <c r="K130" i="2"/>
  <c r="J130" i="2"/>
  <c r="I130" i="2"/>
  <c r="H130" i="2"/>
  <c r="L129" i="2"/>
  <c r="K129" i="2"/>
  <c r="J129" i="2"/>
  <c r="I129" i="2"/>
  <c r="H129" i="2"/>
  <c r="L104" i="2"/>
  <c r="K104" i="2"/>
  <c r="J104" i="2"/>
  <c r="I104" i="2"/>
  <c r="H104" i="2"/>
  <c r="L103" i="2"/>
  <c r="K103" i="2"/>
  <c r="J103" i="2"/>
  <c r="I103" i="2"/>
  <c r="H103" i="2"/>
  <c r="L102" i="2"/>
  <c r="K102" i="2"/>
  <c r="J102" i="2"/>
  <c r="I102" i="2"/>
  <c r="H102" i="2"/>
  <c r="L101" i="2"/>
  <c r="K101" i="2"/>
  <c r="J101" i="2"/>
  <c r="I101" i="2"/>
  <c r="H101" i="2"/>
  <c r="L100" i="2"/>
  <c r="K100" i="2"/>
  <c r="J100" i="2"/>
  <c r="I100" i="2"/>
  <c r="H100" i="2"/>
  <c r="L99" i="2"/>
  <c r="K99" i="2"/>
  <c r="J99" i="2"/>
  <c r="I99" i="2"/>
  <c r="H99" i="2"/>
  <c r="L98" i="2"/>
  <c r="K98" i="2"/>
  <c r="J98" i="2"/>
  <c r="I98" i="2"/>
  <c r="H98" i="2"/>
  <c r="L97" i="2"/>
  <c r="K97" i="2"/>
  <c r="J97" i="2"/>
  <c r="I97" i="2"/>
  <c r="H97" i="2"/>
  <c r="L96" i="2"/>
  <c r="K96" i="2"/>
  <c r="J96" i="2"/>
  <c r="I96" i="2"/>
  <c r="H96" i="2"/>
  <c r="L95" i="2"/>
  <c r="K95" i="2"/>
  <c r="J95" i="2"/>
  <c r="I95" i="2"/>
  <c r="H95" i="2"/>
  <c r="L94" i="2"/>
  <c r="K94" i="2"/>
  <c r="J94" i="2"/>
  <c r="I94" i="2"/>
  <c r="H94" i="2"/>
  <c r="L93" i="2"/>
  <c r="K93" i="2"/>
  <c r="J93" i="2"/>
  <c r="I93" i="2"/>
  <c r="H93" i="2"/>
  <c r="L92" i="2"/>
  <c r="K92" i="2"/>
  <c r="J92" i="2"/>
  <c r="I92" i="2"/>
  <c r="H92" i="2"/>
  <c r="L91" i="2"/>
  <c r="K91" i="2"/>
  <c r="J91" i="2"/>
  <c r="I91" i="2"/>
  <c r="H91" i="2"/>
  <c r="L90" i="2"/>
  <c r="K90" i="2"/>
  <c r="J90" i="2"/>
  <c r="I90" i="2"/>
  <c r="H90" i="2"/>
  <c r="L89" i="2"/>
  <c r="K89" i="2"/>
  <c r="J89" i="2"/>
  <c r="I89" i="2"/>
  <c r="H89" i="2"/>
  <c r="L88" i="2"/>
  <c r="K88" i="2"/>
  <c r="J88" i="2"/>
  <c r="I88" i="2"/>
  <c r="H88" i="2"/>
  <c r="L87" i="2"/>
  <c r="K87" i="2"/>
  <c r="J87" i="2"/>
  <c r="I87" i="2"/>
  <c r="H87" i="2"/>
  <c r="L86" i="2"/>
  <c r="K86" i="2"/>
  <c r="J86" i="2"/>
  <c r="I86" i="2"/>
  <c r="H86" i="2"/>
  <c r="L70" i="2"/>
  <c r="K70" i="2"/>
  <c r="J70" i="2"/>
  <c r="I70" i="2"/>
  <c r="H70" i="2"/>
  <c r="L69" i="2"/>
  <c r="K69" i="2"/>
  <c r="J69" i="2"/>
  <c r="I69" i="2"/>
  <c r="H69" i="2"/>
  <c r="L68" i="2"/>
  <c r="K68" i="2"/>
  <c r="J68" i="2"/>
  <c r="I68" i="2"/>
  <c r="H68" i="2"/>
  <c r="L67" i="2"/>
  <c r="K67" i="2"/>
  <c r="J67" i="2"/>
  <c r="I67" i="2"/>
  <c r="H67" i="2"/>
  <c r="L66" i="2"/>
  <c r="K66" i="2"/>
  <c r="J66" i="2"/>
  <c r="I66" i="2"/>
  <c r="H66" i="2"/>
  <c r="L65" i="2"/>
  <c r="K65" i="2"/>
  <c r="J65" i="2"/>
  <c r="I65" i="2"/>
  <c r="H65" i="2"/>
  <c r="L64" i="2"/>
  <c r="K64" i="2"/>
  <c r="J64" i="2"/>
  <c r="I64" i="2"/>
  <c r="H64" i="2"/>
  <c r="L63" i="2"/>
  <c r="K63" i="2"/>
  <c r="J63" i="2"/>
  <c r="I63" i="2"/>
  <c r="H63" i="2"/>
  <c r="L62" i="2"/>
  <c r="K62" i="2"/>
  <c r="J62" i="2"/>
  <c r="I62" i="2"/>
  <c r="H62" i="2"/>
  <c r="L61" i="2"/>
  <c r="K61" i="2"/>
  <c r="J61" i="2"/>
  <c r="I61" i="2"/>
  <c r="H61" i="2"/>
  <c r="L60" i="2"/>
  <c r="K60" i="2"/>
  <c r="J60" i="2"/>
  <c r="I60" i="2"/>
  <c r="H60" i="2"/>
  <c r="L59" i="2"/>
  <c r="K59" i="2"/>
  <c r="J59" i="2"/>
  <c r="I59" i="2"/>
  <c r="H59" i="2"/>
  <c r="L58" i="2"/>
  <c r="K58" i="2"/>
  <c r="J58" i="2"/>
  <c r="I58" i="2"/>
  <c r="H58" i="2"/>
  <c r="L57" i="2"/>
  <c r="K57" i="2"/>
  <c r="J57" i="2"/>
  <c r="I57" i="2"/>
  <c r="H57" i="2"/>
  <c r="L56" i="2"/>
  <c r="K56" i="2"/>
  <c r="J56" i="2"/>
  <c r="I56" i="2"/>
  <c r="H56" i="2"/>
  <c r="L55" i="2"/>
  <c r="K55" i="2"/>
  <c r="J55" i="2"/>
  <c r="I55" i="2"/>
  <c r="H55" i="2"/>
  <c r="L54" i="2"/>
  <c r="K54" i="2"/>
  <c r="J54" i="2"/>
  <c r="I54" i="2"/>
  <c r="H54" i="2"/>
  <c r="L53" i="2"/>
  <c r="K53" i="2"/>
  <c r="J53" i="2"/>
  <c r="I53" i="2"/>
  <c r="H53" i="2"/>
  <c r="L52" i="2"/>
  <c r="K52" i="2"/>
  <c r="J52" i="2"/>
  <c r="I52" i="2"/>
  <c r="H52" i="2"/>
  <c r="L35" i="2"/>
  <c r="K35" i="2"/>
  <c r="J35" i="2"/>
  <c r="I35" i="2"/>
  <c r="H35" i="2"/>
  <c r="L34" i="2"/>
  <c r="K34" i="2"/>
  <c r="J34" i="2"/>
  <c r="I34" i="2"/>
  <c r="H34" i="2"/>
  <c r="L33" i="2"/>
  <c r="K33" i="2"/>
  <c r="J33" i="2"/>
  <c r="I33" i="2"/>
  <c r="H33" i="2"/>
  <c r="L32" i="2"/>
  <c r="K32" i="2"/>
  <c r="J32" i="2"/>
  <c r="I32" i="2"/>
  <c r="H32" i="2"/>
  <c r="L31" i="2"/>
  <c r="K31" i="2"/>
  <c r="J31" i="2"/>
  <c r="I31" i="2"/>
  <c r="H31" i="2"/>
  <c r="L30" i="2"/>
  <c r="K30" i="2"/>
  <c r="J30" i="2"/>
  <c r="I30" i="2"/>
  <c r="H30" i="2"/>
  <c r="L29" i="2"/>
  <c r="K29" i="2"/>
  <c r="J29" i="2"/>
  <c r="I29" i="2"/>
  <c r="H29" i="2"/>
  <c r="L28" i="2"/>
  <c r="K28" i="2"/>
  <c r="J28" i="2"/>
  <c r="I28" i="2"/>
  <c r="H28" i="2"/>
  <c r="L27" i="2"/>
  <c r="K27" i="2"/>
  <c r="J27" i="2"/>
  <c r="I27" i="2"/>
  <c r="H27" i="2"/>
  <c r="L26" i="2"/>
  <c r="K26" i="2"/>
  <c r="J26" i="2"/>
  <c r="I26" i="2"/>
  <c r="H26" i="2"/>
  <c r="L25" i="2"/>
  <c r="K25" i="2"/>
  <c r="J25" i="2"/>
  <c r="I25" i="2"/>
  <c r="H25" i="2"/>
  <c r="L24" i="2"/>
  <c r="K24" i="2"/>
  <c r="J24" i="2"/>
  <c r="I24" i="2"/>
  <c r="H24" i="2"/>
  <c r="L23" i="2"/>
  <c r="K23" i="2"/>
  <c r="J23" i="2"/>
  <c r="I23" i="2"/>
  <c r="H23" i="2"/>
  <c r="L22" i="2"/>
  <c r="K22" i="2"/>
  <c r="J22" i="2"/>
  <c r="I22" i="2"/>
  <c r="H22" i="2"/>
  <c r="L21" i="2"/>
  <c r="K21" i="2"/>
  <c r="J21" i="2"/>
  <c r="I21" i="2"/>
  <c r="H21" i="2"/>
  <c r="L20" i="2"/>
  <c r="K20" i="2"/>
  <c r="J20" i="2"/>
  <c r="I20" i="2"/>
  <c r="H20" i="2"/>
  <c r="L19" i="2"/>
  <c r="K19" i="2"/>
  <c r="J19" i="2"/>
  <c r="I19" i="2"/>
  <c r="H19" i="2"/>
  <c r="L18" i="2"/>
  <c r="K18" i="2"/>
  <c r="J18" i="2"/>
  <c r="I18" i="2"/>
  <c r="H18" i="2"/>
  <c r="L17" i="2"/>
  <c r="K17" i="2"/>
  <c r="J17" i="2"/>
  <c r="I17" i="2"/>
  <c r="H17" i="2"/>
  <c r="L161" i="2" l="1"/>
  <c r="K161" i="2"/>
  <c r="J161" i="2"/>
  <c r="I161" i="2"/>
  <c r="H161" i="2"/>
  <c r="A151" i="2"/>
  <c r="A152" i="2" s="1"/>
  <c r="A153" i="2" s="1"/>
  <c r="A154" i="2" s="1"/>
  <c r="A155" i="2" s="1"/>
  <c r="A156" i="2" s="1"/>
  <c r="A157" i="2" s="1"/>
  <c r="A158" i="2" s="1"/>
  <c r="A159" i="2" s="1"/>
  <c r="L118" i="2"/>
  <c r="K118" i="2"/>
  <c r="J118" i="2"/>
  <c r="I118" i="2"/>
  <c r="H118" i="2"/>
  <c r="L229" i="2" l="1"/>
  <c r="K229" i="2"/>
  <c r="J229" i="2"/>
  <c r="I229" i="2"/>
  <c r="H229" i="2"/>
  <c r="L227" i="2"/>
  <c r="K227" i="2"/>
  <c r="J227" i="2"/>
  <c r="I227" i="2"/>
  <c r="H227" i="2"/>
  <c r="L224" i="2"/>
  <c r="K224" i="2"/>
  <c r="J224" i="2"/>
  <c r="I224" i="2"/>
  <c r="H224" i="2"/>
  <c r="L222" i="2"/>
  <c r="K222" i="2"/>
  <c r="J222" i="2"/>
  <c r="I222" i="2"/>
  <c r="H222" i="2"/>
  <c r="L128" i="2" l="1"/>
  <c r="K128" i="2"/>
  <c r="J128" i="2"/>
  <c r="I128" i="2"/>
  <c r="H128" i="2"/>
  <c r="L127" i="2"/>
  <c r="K127" i="2"/>
  <c r="J127" i="2"/>
  <c r="I127" i="2"/>
  <c r="H127" i="2"/>
  <c r="L219" i="2" l="1"/>
  <c r="K219" i="2"/>
  <c r="J219" i="2"/>
  <c r="I219" i="2"/>
  <c r="H219" i="2"/>
  <c r="L216" i="2"/>
  <c r="K216" i="2"/>
  <c r="J216" i="2"/>
  <c r="I216" i="2"/>
  <c r="H216" i="2"/>
  <c r="L215" i="2"/>
  <c r="K215" i="2"/>
  <c r="J215" i="2"/>
  <c r="I215" i="2"/>
  <c r="H215" i="2"/>
  <c r="L214" i="2"/>
  <c r="K214" i="2"/>
  <c r="J214" i="2"/>
  <c r="I214" i="2"/>
  <c r="H214" i="2"/>
  <c r="L168" i="2"/>
  <c r="K168" i="2"/>
  <c r="J168" i="2"/>
  <c r="I168" i="2"/>
  <c r="H168" i="2"/>
  <c r="L167" i="2"/>
  <c r="K167" i="2"/>
  <c r="J167" i="2"/>
  <c r="I167" i="2"/>
  <c r="H167" i="2"/>
  <c r="L166" i="2"/>
  <c r="K166" i="2"/>
  <c r="J166" i="2"/>
  <c r="I166" i="2"/>
  <c r="H166" i="2"/>
  <c r="L165" i="2"/>
  <c r="K165" i="2"/>
  <c r="J165" i="2"/>
  <c r="I165" i="2"/>
  <c r="H165" i="2"/>
  <c r="L164" i="2"/>
  <c r="K164" i="2"/>
  <c r="J164" i="2"/>
  <c r="I164" i="2"/>
  <c r="H164" i="2"/>
  <c r="L163" i="2"/>
  <c r="K163" i="2"/>
  <c r="J163" i="2"/>
  <c r="I163" i="2"/>
  <c r="H163" i="2"/>
  <c r="L162" i="2"/>
  <c r="K162" i="2"/>
  <c r="J162" i="2"/>
  <c r="I162" i="2"/>
  <c r="H162" i="2"/>
  <c r="L160" i="2"/>
  <c r="K160" i="2"/>
  <c r="J160" i="2"/>
  <c r="I160" i="2"/>
  <c r="H160" i="2"/>
  <c r="L171" i="2"/>
  <c r="K171" i="2"/>
  <c r="J171" i="2"/>
  <c r="I171" i="2"/>
  <c r="H171" i="2"/>
  <c r="L170" i="2"/>
  <c r="K170" i="2"/>
  <c r="J170" i="2"/>
  <c r="I170" i="2"/>
  <c r="H170" i="2"/>
  <c r="L169" i="2"/>
  <c r="K169" i="2"/>
  <c r="J169" i="2"/>
  <c r="I169" i="2"/>
  <c r="H169" i="2"/>
  <c r="L159" i="2"/>
  <c r="K159" i="2"/>
  <c r="J159" i="2"/>
  <c r="I159" i="2"/>
  <c r="H159" i="2"/>
  <c r="L158" i="2"/>
  <c r="K158" i="2"/>
  <c r="J158" i="2"/>
  <c r="I158" i="2"/>
  <c r="H158" i="2"/>
  <c r="L157" i="2"/>
  <c r="K157" i="2"/>
  <c r="J157" i="2"/>
  <c r="I157" i="2"/>
  <c r="H157" i="2"/>
  <c r="L156" i="2"/>
  <c r="K156" i="2"/>
  <c r="J156" i="2"/>
  <c r="I156" i="2"/>
  <c r="H156" i="2"/>
  <c r="L155" i="2"/>
  <c r="K155" i="2"/>
  <c r="J155" i="2"/>
  <c r="I155" i="2"/>
  <c r="H155" i="2"/>
  <c r="L154" i="2"/>
  <c r="K154" i="2"/>
  <c r="J154" i="2"/>
  <c r="I154" i="2"/>
  <c r="H154" i="2"/>
  <c r="L153" i="2"/>
  <c r="K153" i="2"/>
  <c r="J153" i="2"/>
  <c r="I153" i="2"/>
  <c r="H153" i="2"/>
  <c r="L152" i="2"/>
  <c r="K152" i="2"/>
  <c r="J152" i="2"/>
  <c r="I152" i="2"/>
  <c r="H152" i="2"/>
  <c r="L151" i="2"/>
  <c r="K151" i="2"/>
  <c r="J151" i="2"/>
  <c r="I151" i="2"/>
  <c r="H151" i="2"/>
  <c r="L125" i="2"/>
  <c r="K125" i="2"/>
  <c r="J125" i="2"/>
  <c r="I125" i="2"/>
  <c r="H125" i="2"/>
  <c r="L124" i="2"/>
  <c r="K124" i="2"/>
  <c r="J124" i="2"/>
  <c r="I124" i="2"/>
  <c r="H124" i="2"/>
  <c r="L123" i="2"/>
  <c r="K123" i="2"/>
  <c r="J123" i="2"/>
  <c r="I123" i="2"/>
  <c r="H123" i="2"/>
  <c r="L122" i="2"/>
  <c r="K122" i="2"/>
  <c r="J122" i="2"/>
  <c r="I122" i="2"/>
  <c r="H122" i="2"/>
  <c r="L121" i="2"/>
  <c r="K121" i="2"/>
  <c r="J121" i="2"/>
  <c r="I121" i="2"/>
  <c r="H121" i="2"/>
  <c r="L120" i="2"/>
  <c r="K120" i="2"/>
  <c r="J120" i="2"/>
  <c r="I120" i="2"/>
  <c r="H120" i="2"/>
  <c r="L119" i="2"/>
  <c r="K119" i="2"/>
  <c r="J119" i="2"/>
  <c r="I119" i="2"/>
  <c r="H119" i="2"/>
  <c r="L117" i="2"/>
  <c r="K117" i="2"/>
  <c r="J117" i="2"/>
  <c r="I117" i="2"/>
  <c r="H117" i="2"/>
  <c r="L126" i="2"/>
  <c r="K126" i="2"/>
  <c r="J126" i="2"/>
  <c r="I126" i="2"/>
  <c r="H126" i="2"/>
  <c r="L116" i="2"/>
  <c r="K116" i="2"/>
  <c r="J116" i="2"/>
  <c r="I116" i="2"/>
  <c r="H116" i="2"/>
  <c r="L115" i="2"/>
  <c r="K115" i="2"/>
  <c r="J115" i="2"/>
  <c r="I115" i="2"/>
  <c r="H115" i="2"/>
  <c r="L114" i="2"/>
  <c r="K114" i="2"/>
  <c r="J114" i="2"/>
  <c r="I114" i="2"/>
  <c r="H114" i="2"/>
  <c r="L113" i="2"/>
  <c r="K113" i="2"/>
  <c r="J113" i="2"/>
  <c r="I113" i="2"/>
  <c r="H113" i="2"/>
  <c r="L112" i="2"/>
  <c r="K112" i="2"/>
  <c r="J112" i="2"/>
  <c r="I112" i="2"/>
  <c r="H112" i="2"/>
  <c r="L111" i="2"/>
  <c r="K111" i="2"/>
  <c r="J111" i="2"/>
  <c r="I111" i="2"/>
  <c r="H111" i="2"/>
  <c r="L110" i="2"/>
  <c r="K110" i="2"/>
  <c r="J110" i="2"/>
  <c r="I110" i="2"/>
  <c r="H110" i="2"/>
  <c r="L109" i="2"/>
  <c r="K109" i="2"/>
  <c r="J109" i="2"/>
  <c r="I109" i="2"/>
  <c r="H109" i="2"/>
  <c r="L108" i="2"/>
  <c r="K108" i="2"/>
  <c r="J108" i="2"/>
  <c r="I108" i="2"/>
  <c r="H108" i="2"/>
  <c r="L85" i="2"/>
  <c r="K85" i="2"/>
  <c r="J85" i="2"/>
  <c r="I85" i="2"/>
  <c r="H85" i="2"/>
  <c r="L84" i="2"/>
  <c r="K84" i="2"/>
  <c r="J84" i="2"/>
  <c r="I84" i="2"/>
  <c r="H84" i="2"/>
  <c r="L83" i="2"/>
  <c r="K83" i="2"/>
  <c r="J83" i="2"/>
  <c r="I83" i="2"/>
  <c r="H83" i="2"/>
  <c r="L82" i="2"/>
  <c r="K82" i="2"/>
  <c r="J82" i="2"/>
  <c r="I82" i="2"/>
  <c r="H82" i="2"/>
  <c r="L81" i="2"/>
  <c r="K81" i="2"/>
  <c r="J81" i="2"/>
  <c r="I81" i="2"/>
  <c r="H81" i="2"/>
  <c r="L80" i="2"/>
  <c r="K80" i="2"/>
  <c r="J80" i="2"/>
  <c r="I80" i="2"/>
  <c r="H80" i="2"/>
  <c r="L79" i="2"/>
  <c r="K79" i="2"/>
  <c r="J79" i="2"/>
  <c r="I79" i="2"/>
  <c r="H79" i="2"/>
  <c r="L78" i="2"/>
  <c r="K78" i="2"/>
  <c r="J78" i="2"/>
  <c r="I78" i="2"/>
  <c r="H78" i="2"/>
  <c r="L77" i="2"/>
  <c r="K77" i="2"/>
  <c r="J77" i="2"/>
  <c r="I77" i="2"/>
  <c r="H77" i="2"/>
  <c r="L76" i="2"/>
  <c r="K76" i="2"/>
  <c r="J76" i="2"/>
  <c r="I76" i="2"/>
  <c r="H76" i="2"/>
  <c r="L75" i="2"/>
  <c r="K75" i="2"/>
  <c r="J75" i="2"/>
  <c r="I75" i="2"/>
  <c r="H75" i="2"/>
  <c r="L74" i="2"/>
  <c r="K74" i="2"/>
  <c r="J74" i="2"/>
  <c r="I74" i="2"/>
  <c r="H74" i="2"/>
  <c r="L51" i="2"/>
  <c r="K51" i="2"/>
  <c r="J51" i="2"/>
  <c r="I51" i="2"/>
  <c r="H51" i="2"/>
  <c r="L50" i="2"/>
  <c r="K50" i="2"/>
  <c r="J50" i="2"/>
  <c r="I50" i="2"/>
  <c r="H50" i="2"/>
  <c r="L49" i="2"/>
  <c r="K49" i="2"/>
  <c r="J49" i="2"/>
  <c r="I49" i="2"/>
  <c r="H49" i="2"/>
  <c r="L48" i="2"/>
  <c r="K48" i="2"/>
  <c r="J48" i="2"/>
  <c r="I48" i="2"/>
  <c r="H48" i="2"/>
  <c r="L47" i="2"/>
  <c r="K47" i="2"/>
  <c r="J47" i="2"/>
  <c r="I47" i="2"/>
  <c r="H47" i="2"/>
  <c r="L46" i="2"/>
  <c r="K46" i="2"/>
  <c r="J46" i="2"/>
  <c r="I46" i="2"/>
  <c r="H46" i="2"/>
  <c r="L45" i="2"/>
  <c r="K45" i="2"/>
  <c r="J45" i="2"/>
  <c r="I45" i="2"/>
  <c r="H45" i="2"/>
  <c r="L44" i="2"/>
  <c r="K44" i="2"/>
  <c r="J44" i="2"/>
  <c r="I44" i="2"/>
  <c r="H44" i="2"/>
  <c r="L43" i="2"/>
  <c r="K43" i="2"/>
  <c r="J43" i="2"/>
  <c r="I43" i="2"/>
  <c r="H43" i="2"/>
  <c r="L42" i="2"/>
  <c r="K42" i="2"/>
  <c r="J42" i="2"/>
  <c r="I42" i="2"/>
  <c r="H42" i="2"/>
  <c r="L41" i="2"/>
  <c r="K41" i="2"/>
  <c r="J41" i="2"/>
  <c r="I41" i="2"/>
  <c r="H41" i="2"/>
  <c r="L40" i="2"/>
  <c r="K40" i="2"/>
  <c r="J40" i="2"/>
  <c r="I40" i="2"/>
  <c r="H40" i="2"/>
  <c r="L39" i="2"/>
  <c r="K39" i="2"/>
  <c r="J39" i="2"/>
  <c r="I39" i="2"/>
  <c r="H39" i="2"/>
  <c r="L38" i="2"/>
  <c r="K38" i="2"/>
  <c r="J38" i="2"/>
  <c r="I38" i="2"/>
  <c r="H38" i="2"/>
  <c r="L14" i="2"/>
  <c r="K14" i="2"/>
  <c r="J14" i="2"/>
  <c r="I14" i="2"/>
  <c r="H14" i="2"/>
  <c r="L13" i="2"/>
  <c r="K13" i="2"/>
  <c r="J13" i="2"/>
  <c r="I13" i="2"/>
  <c r="H13" i="2"/>
  <c r="L12" i="2"/>
  <c r="K12" i="2"/>
  <c r="J12" i="2"/>
  <c r="I12" i="2"/>
  <c r="H12" i="2"/>
  <c r="L11" i="2"/>
  <c r="K11" i="2"/>
  <c r="J11" i="2"/>
  <c r="I11" i="2"/>
  <c r="H11" i="2"/>
  <c r="L10" i="2"/>
  <c r="K10" i="2"/>
  <c r="J10" i="2"/>
  <c r="I10" i="2"/>
  <c r="H10" i="2"/>
  <c r="L9" i="2"/>
  <c r="K9" i="2"/>
  <c r="J9" i="2"/>
  <c r="I9" i="2"/>
  <c r="H9" i="2"/>
  <c r="L8" i="2"/>
  <c r="K8" i="2"/>
  <c r="J8" i="2"/>
  <c r="I8" i="2"/>
  <c r="H8" i="2"/>
  <c r="L7" i="2"/>
  <c r="K7" i="2"/>
  <c r="J7" i="2"/>
  <c r="I7" i="2"/>
  <c r="H7" i="2"/>
  <c r="L6" i="2"/>
  <c r="K6" i="2"/>
  <c r="J6" i="2"/>
  <c r="I6" i="2"/>
  <c r="H6" i="2"/>
  <c r="L5" i="2"/>
  <c r="K5" i="2"/>
  <c r="J5" i="2"/>
  <c r="I5" i="2"/>
  <c r="H5" i="2"/>
  <c r="L4" i="2"/>
  <c r="K4" i="2"/>
  <c r="J4" i="2"/>
  <c r="I4" i="2"/>
  <c r="H4" i="2"/>
  <c r="H193" i="2"/>
  <c r="I193" i="2"/>
  <c r="J193" i="2"/>
  <c r="K193" i="2"/>
  <c r="L193" i="2"/>
  <c r="H194" i="2"/>
  <c r="I194" i="2"/>
  <c r="J194" i="2"/>
  <c r="K194" i="2"/>
  <c r="L194" i="2"/>
  <c r="H195" i="2"/>
  <c r="I195" i="2"/>
  <c r="J195" i="2"/>
  <c r="K195" i="2"/>
  <c r="L195" i="2"/>
  <c r="H196" i="2"/>
  <c r="I196" i="2"/>
  <c r="J196" i="2"/>
  <c r="K196" i="2"/>
  <c r="L196" i="2"/>
  <c r="H197" i="2"/>
  <c r="I197" i="2"/>
  <c r="J197" i="2"/>
  <c r="K197" i="2"/>
  <c r="L197" i="2"/>
  <c r="H198" i="2"/>
  <c r="I198" i="2"/>
  <c r="J198" i="2"/>
  <c r="K198" i="2"/>
  <c r="L198" i="2"/>
  <c r="H199" i="2"/>
  <c r="I199" i="2"/>
  <c r="J199" i="2"/>
  <c r="K199" i="2"/>
  <c r="L199" i="2"/>
  <c r="H200" i="2"/>
  <c r="I200" i="2"/>
  <c r="J200" i="2"/>
  <c r="K200" i="2"/>
  <c r="L200" i="2"/>
  <c r="H201" i="2"/>
  <c r="I201" i="2"/>
  <c r="J201" i="2"/>
  <c r="K201" i="2"/>
  <c r="L201" i="2"/>
  <c r="H202" i="2"/>
  <c r="I202" i="2"/>
  <c r="J202" i="2"/>
  <c r="K202" i="2"/>
  <c r="L202" i="2"/>
  <c r="H203" i="2"/>
  <c r="I203" i="2"/>
  <c r="J203" i="2"/>
  <c r="K203" i="2"/>
  <c r="L203" i="2"/>
  <c r="H204" i="2"/>
  <c r="I204" i="2"/>
  <c r="J204" i="2"/>
  <c r="K204" i="2"/>
  <c r="L204" i="2"/>
  <c r="H205" i="2"/>
  <c r="I205" i="2"/>
  <c r="J205" i="2"/>
  <c r="K205" i="2"/>
  <c r="L205" i="2"/>
  <c r="H206" i="2"/>
  <c r="I206" i="2"/>
  <c r="J206" i="2"/>
  <c r="K206" i="2"/>
  <c r="L206" i="2"/>
  <c r="H207" i="2"/>
  <c r="I207" i="2"/>
  <c r="J207" i="2"/>
  <c r="K207" i="2"/>
  <c r="L207" i="2"/>
  <c r="H208" i="2"/>
  <c r="I208" i="2"/>
  <c r="J208" i="2"/>
  <c r="K208" i="2"/>
  <c r="L208" i="2"/>
  <c r="H209" i="2"/>
  <c r="I209" i="2"/>
  <c r="J209" i="2"/>
  <c r="K209" i="2"/>
  <c r="L209" i="2"/>
  <c r="H210" i="2"/>
  <c r="I210" i="2"/>
  <c r="J210" i="2"/>
  <c r="K210" i="2"/>
  <c r="L210" i="2"/>
  <c r="H211" i="2"/>
  <c r="I211" i="2"/>
  <c r="J211" i="2"/>
  <c r="K211" i="2"/>
  <c r="L211" i="2"/>
  <c r="H212" i="2"/>
  <c r="I212" i="2"/>
  <c r="J212" i="2"/>
  <c r="K212" i="2"/>
  <c r="L212" i="2"/>
  <c r="I192" i="2"/>
  <c r="J192" i="2"/>
  <c r="K192" i="2"/>
  <c r="L192" i="2"/>
  <c r="H192" i="2"/>
  <c r="J105" i="2" l="1"/>
  <c r="H71" i="2"/>
  <c r="L71" i="2"/>
  <c r="J71" i="2"/>
  <c r="H105" i="2"/>
  <c r="L105" i="2"/>
  <c r="I71" i="2"/>
  <c r="K105" i="2"/>
  <c r="K71" i="2"/>
  <c r="I105" i="2"/>
  <c r="L36" i="2"/>
  <c r="I36" i="2"/>
  <c r="J36" i="2"/>
  <c r="K36" i="2"/>
  <c r="H191" i="2"/>
  <c r="L191" i="2"/>
  <c r="I148" i="2"/>
  <c r="I191" i="2"/>
  <c r="J191" i="2"/>
  <c r="K191" i="2"/>
  <c r="K148" i="2"/>
  <c r="J148" i="2"/>
  <c r="H148" i="2"/>
  <c r="L148" i="2"/>
  <c r="L233" i="2"/>
  <c r="K233" i="2"/>
  <c r="L217" i="2" l="1"/>
  <c r="H217" i="2"/>
  <c r="J217" i="2"/>
  <c r="I217" i="2"/>
  <c r="H213" i="2"/>
  <c r="J233" i="2"/>
  <c r="H233" i="2"/>
  <c r="I233" i="2"/>
  <c r="J213" i="2" l="1"/>
  <c r="H235" i="2"/>
  <c r="G237" i="2" s="1"/>
  <c r="C3" i="3" s="1"/>
  <c r="K217" i="2"/>
  <c r="K213" i="2"/>
  <c r="I213" i="2"/>
  <c r="L213" i="2"/>
  <c r="J235" i="2" l="1"/>
  <c r="G239" i="2" s="1"/>
  <c r="E3" i="3" s="1"/>
  <c r="I235" i="2"/>
  <c r="G238" i="2" s="1"/>
  <c r="D3" i="3" s="1"/>
  <c r="L235" i="2"/>
  <c r="G241" i="2" s="1"/>
  <c r="G3" i="3" s="1"/>
  <c r="K235" i="2"/>
  <c r="G240" i="2" s="1"/>
  <c r="F3" i="3" s="1"/>
  <c r="H3" i="3" l="1"/>
  <c r="G242" i="2"/>
  <c r="H239" i="2" s="1"/>
  <c r="H238" i="2" l="1"/>
  <c r="H241" i="2"/>
  <c r="H240" i="2"/>
  <c r="H237" i="2"/>
  <c r="H242" i="2" l="1"/>
</calcChain>
</file>

<file path=xl/sharedStrings.xml><?xml version="1.0" encoding="utf-8"?>
<sst xmlns="http://schemas.openxmlformats.org/spreadsheetml/2006/main" count="553" uniqueCount="135">
  <si>
    <t>Test Case</t>
  </si>
  <si>
    <t>Expected Results</t>
  </si>
  <si>
    <t>Bug  ID</t>
  </si>
  <si>
    <t>Notes</t>
  </si>
  <si>
    <t>Pass</t>
  </si>
  <si>
    <t>Fail</t>
  </si>
  <si>
    <t>N/A</t>
  </si>
  <si>
    <t>Not Now</t>
  </si>
  <si>
    <t>To be Tested</t>
  </si>
  <si>
    <t>TOTAL</t>
  </si>
  <si>
    <t>Input data / Action / Field Name</t>
  </si>
  <si>
    <t>Data Dictionary</t>
  </si>
  <si>
    <t>Administrator Capture Switch (MV to MV) - Single Target</t>
  </si>
  <si>
    <t>Administrator capture: Normal Switch  –  Portfolio MV to MV</t>
  </si>
  <si>
    <t>Select  investor code  by code or Name click Proceed</t>
  </si>
  <si>
    <t>Investor details is displayed. User to select correct fund</t>
  </si>
  <si>
    <t>(switch from one MV  to one MV)</t>
  </si>
  <si>
    <t>Path:Unit Transactions_Switch_Once off Switch</t>
  </si>
  <si>
    <t>Personal Details Tab: Click No change/ Proceed</t>
  </si>
  <si>
    <t>Select Quantity type</t>
  </si>
  <si>
    <t>Enter Price date= Current date</t>
  </si>
  <si>
    <t>Select: Single Target, Click Next</t>
  </si>
  <si>
    <t>Select Fund(MV to which switch will be done)</t>
  </si>
  <si>
    <t>Click Submit</t>
  </si>
  <si>
    <t>Print Letter: Select No Click Submit</t>
  </si>
  <si>
    <t>Option will always be No</t>
  </si>
  <si>
    <t>Administrator Capture Switch- Multiple targets</t>
  </si>
  <si>
    <t>(switch from one MV  to multiple MV)</t>
  </si>
  <si>
    <t>Administrator Capture Switch- Single targets</t>
  </si>
  <si>
    <t>Administrator capture: Normal Switch  –  Portfolio MV to SB</t>
  </si>
  <si>
    <t>(switch from MV  to SB)</t>
  </si>
  <si>
    <t>Administrator capture: Normal Switch  –  Portfolio SB to SB</t>
  </si>
  <si>
    <t>(switch from one SB  to multiple SB)</t>
  </si>
  <si>
    <t>Administrator capture: Normal Switch  –  Portfolio SB to single MV</t>
  </si>
  <si>
    <t>(switch from SB to MV)</t>
  </si>
  <si>
    <t>Administrator Capture Switch-Multiple targets</t>
  </si>
  <si>
    <t>Administrator capture: Normal Switch  –  Portfolio SB to mutiple MV</t>
  </si>
  <si>
    <t>Authorise Switch</t>
  </si>
  <si>
    <t>Authorisor: authorise Switch captured</t>
  </si>
  <si>
    <t>all unauthorised switches will appear</t>
  </si>
  <si>
    <t>Items Passed</t>
  </si>
  <si>
    <t>Items Failed</t>
  </si>
  <si>
    <t>Not Tested</t>
  </si>
  <si>
    <t>Portfolio switch: Market Value to Market Value</t>
  </si>
  <si>
    <r>
      <t xml:space="preserve">Profile tab:Select </t>
    </r>
    <r>
      <rPr>
        <b/>
        <sz val="9"/>
        <rFont val="Verdana"/>
        <family val="2"/>
      </rPr>
      <t>NO</t>
    </r>
    <r>
      <rPr>
        <sz val="9"/>
        <rFont val="Verdana"/>
        <family val="2"/>
      </rPr>
      <t xml:space="preserve"> for Multiple targets. Click Next</t>
    </r>
  </si>
  <si>
    <t>Select from fund (as per switch request)</t>
  </si>
  <si>
    <t>User can select amount or Units from the dropdown( depends on switch request)</t>
  </si>
  <si>
    <t>Enter Quantity- Rand amount or units</t>
  </si>
  <si>
    <t>Select: Single Target</t>
  </si>
  <si>
    <t>Select the switch to fund from the Dropdown, submit</t>
  </si>
  <si>
    <t>Click next</t>
  </si>
  <si>
    <t xml:space="preserve">Single target tab will change to green </t>
  </si>
  <si>
    <r>
      <t xml:space="preserve">Profile tab:Select </t>
    </r>
    <r>
      <rPr>
        <b/>
        <sz val="9"/>
        <rFont val="Verdana"/>
        <family val="2"/>
      </rPr>
      <t>YES</t>
    </r>
    <r>
      <rPr>
        <sz val="9"/>
        <rFont val="Verdana"/>
        <family val="2"/>
      </rPr>
      <t xml:space="preserve"> for Multiple targets, Click Next</t>
    </r>
  </si>
  <si>
    <t>Select: Multiple Targets</t>
  </si>
  <si>
    <t>Switch Target details list will be displayed</t>
  </si>
  <si>
    <t>Select the switch to fund (1) from the Dropdown,enter rand amount/units to be transferred</t>
  </si>
  <si>
    <t>Select the switch to fund (2) from the Dropdown,enter rand amount/units to be transferred</t>
  </si>
  <si>
    <t>Click submit</t>
  </si>
  <si>
    <t>Portfolio switch: Market Value to Smooth Bonus</t>
  </si>
  <si>
    <t>Portfolio switch: Smooth Bonus to Smooth Bonus</t>
  </si>
  <si>
    <t>Select: Standard Switch</t>
  </si>
  <si>
    <t>Screen will display if the fund is underfunded</t>
  </si>
  <si>
    <r>
      <t xml:space="preserve">Do you want to continue at market value: Select </t>
    </r>
    <r>
      <rPr>
        <b/>
        <sz val="9"/>
        <rFont val="Verdana"/>
        <family val="2"/>
      </rPr>
      <t>NO</t>
    </r>
    <r>
      <rPr>
        <sz val="9"/>
        <rFont val="Verdana"/>
        <family val="2"/>
      </rPr>
      <t>, Next</t>
    </r>
  </si>
  <si>
    <t>Confirmation message will display: Smooth bonus Product will be excluded from settlement</t>
  </si>
  <si>
    <t>Click OK</t>
  </si>
  <si>
    <t>warning will display: You choose to exclude this product from settlement</t>
  </si>
  <si>
    <r>
      <t xml:space="preserve">Do you want to continue at market value: Select </t>
    </r>
    <r>
      <rPr>
        <b/>
        <sz val="9"/>
        <rFont val="Verdana"/>
        <family val="2"/>
      </rPr>
      <t>Yes</t>
    </r>
  </si>
  <si>
    <r>
      <t xml:space="preserve">Select settlement type: </t>
    </r>
    <r>
      <rPr>
        <b/>
        <sz val="9"/>
        <rFont val="Verdana"/>
        <family val="2"/>
      </rPr>
      <t xml:space="preserve">Fixed Amount </t>
    </r>
  </si>
  <si>
    <t>Override Funding level % agreed with actuary: No, Next</t>
  </si>
  <si>
    <t>The "yes" option is greyed out</t>
  </si>
  <si>
    <t>Click Next</t>
  </si>
  <si>
    <r>
      <t xml:space="preserve">Select settlement type: </t>
    </r>
    <r>
      <rPr>
        <b/>
        <sz val="9"/>
        <rFont val="Verdana"/>
        <family val="2"/>
      </rPr>
      <t>Calculated Market Value</t>
    </r>
  </si>
  <si>
    <t>Path:Administrator_Authorize transactions_Switches/ Transfers</t>
  </si>
  <si>
    <t>Check confirm Source Fund, Target Fund and value (Rand amount or units as per switch request)</t>
  </si>
  <si>
    <t>Click Authorise tick box , Submit</t>
  </si>
  <si>
    <t>View Captured switches</t>
  </si>
  <si>
    <t>Path: Unit Transactions_Switch_ Apply/Deleted unprocessed</t>
  </si>
  <si>
    <t>Check switch information captured is correct before sending for authorisation</t>
  </si>
  <si>
    <t>List of all unauthorised switches will appear</t>
  </si>
  <si>
    <t>Portfolio - Market Value and Smooth Bonus Switches</t>
  </si>
  <si>
    <t>Portfolio switch: Smooth Bonus to Market Value</t>
  </si>
  <si>
    <t>As per Bilquees, they did not do this in Production yet</t>
  </si>
  <si>
    <r>
      <t xml:space="preserve">Profile tab:Select </t>
    </r>
    <r>
      <rPr>
        <b/>
        <sz val="9"/>
        <rFont val="Verdana"/>
        <family val="2"/>
      </rPr>
      <t>YES</t>
    </r>
    <r>
      <rPr>
        <sz val="9"/>
        <rFont val="Verdana"/>
        <family val="2"/>
      </rPr>
      <t xml:space="preserve"> for Multiple targets. Click Next</t>
    </r>
  </si>
  <si>
    <t>Switch Process screen will display</t>
  </si>
  <si>
    <t>Investor code will be autopopulated</t>
  </si>
  <si>
    <t>INV-12/ 24</t>
  </si>
  <si>
    <t>Fund no:10012493</t>
  </si>
  <si>
    <t>error message should display if sum of the amounts do not equal the total to be switched. Multiple targets tab will change to green</t>
  </si>
  <si>
    <t xml:space="preserve">Inv 12/ 24 </t>
  </si>
  <si>
    <t>Select Fund to which switch will be done</t>
  </si>
  <si>
    <t>Option will always be No. Successfully switched will apear.</t>
  </si>
  <si>
    <t>User will abandon the transaction. I.e no further action required</t>
  </si>
  <si>
    <t>Message: successfully switched will appear.</t>
  </si>
  <si>
    <t>To Check Funding Level</t>
  </si>
  <si>
    <t>Path: Administrator&gt;Smoothed Bonus&gt; Smoothed Bonus Enquiry</t>
  </si>
  <si>
    <t>Existing Stable Bonus Products should be visible</t>
  </si>
  <si>
    <t>Dropdown list:List of all stable bonus products will appear</t>
  </si>
  <si>
    <t>Funding Level</t>
  </si>
  <si>
    <t>If fund is 100% funded, no Market Value adjustment  (MVA)would be applicable</t>
  </si>
  <si>
    <t>Accounting Files</t>
  </si>
  <si>
    <r>
      <t xml:space="preserve">The Accounting Must be verified - </t>
    </r>
    <r>
      <rPr>
        <b/>
        <sz val="10"/>
        <color theme="1"/>
        <rFont val="Arial"/>
        <family val="2"/>
      </rPr>
      <t>Dr EA518
Cr GF902,Dr GP003,Cr GP005,Dr JE003,Cr GH000</t>
    </r>
  </si>
  <si>
    <t>Must be verified agaisnt Walker Output</t>
  </si>
  <si>
    <r>
      <t xml:space="preserve">The Accounting Must be verified - </t>
    </r>
    <r>
      <rPr>
        <b/>
        <sz val="10"/>
        <color theme="1"/>
        <rFont val="Arial"/>
        <family val="2"/>
      </rPr>
      <t>Dr GF902Cr EA518,
Dr GP005,Cr GP003,Dr GH000,Cr JE002,</t>
    </r>
  </si>
  <si>
    <t>Refer to Accounting Smoothed Bonus Switches - Investment Switch Out</t>
  </si>
  <si>
    <t>Refer to Accounting Smoothed Bonus Switches -  Switch In</t>
  </si>
  <si>
    <t>Verification -  Accounting FOR Switch in and Out - Coris</t>
  </si>
  <si>
    <t>Verification -  Accounting FOR Switch in and Out - SUTUWA</t>
  </si>
  <si>
    <r>
      <t xml:space="preserve">The Accounting Must be verified - </t>
    </r>
    <r>
      <rPr>
        <b/>
        <sz val="10"/>
        <color theme="1"/>
        <rFont val="Arial"/>
        <family val="2"/>
      </rPr>
      <t>Dr GP003
Cr GP005,Dr JE003,Cr GH000,</t>
    </r>
  </si>
  <si>
    <r>
      <t xml:space="preserve">The Accounting Must be verified - </t>
    </r>
    <r>
      <rPr>
        <b/>
        <sz val="10"/>
        <color theme="1"/>
        <rFont val="Arial"/>
        <family val="2"/>
      </rPr>
      <t>Dr GP005,Cr GP003,
Dr GH000,Cr JE002,</t>
    </r>
  </si>
  <si>
    <t>Pass/Fail</t>
  </si>
  <si>
    <t>Message will appear which says successfully switched</t>
  </si>
  <si>
    <r>
      <t xml:space="preserve">Do you want to continue at market value: Select </t>
    </r>
    <r>
      <rPr>
        <b/>
        <sz val="9"/>
        <rFont val="Verdana"/>
        <family val="2"/>
      </rPr>
      <t>Yes/No</t>
    </r>
  </si>
  <si>
    <t>Fund:10012493</t>
  </si>
  <si>
    <r>
      <t xml:space="preserve">Do you want to continue at market value: Select </t>
    </r>
    <r>
      <rPr>
        <b/>
        <sz val="9"/>
        <rFont val="Verdana"/>
        <family val="2"/>
      </rPr>
      <t>Yes/ No</t>
    </r>
  </si>
  <si>
    <r>
      <t>Do you want to continue at market value: Select Yes/</t>
    </r>
    <r>
      <rPr>
        <b/>
        <sz val="9"/>
        <rFont val="Verdana"/>
        <family val="2"/>
      </rPr>
      <t>NO</t>
    </r>
  </si>
  <si>
    <t>Verify Transaction History &gt; Click Transaction History Button</t>
  </si>
  <si>
    <t>Transaction History displayed</t>
  </si>
  <si>
    <t>Series:</t>
  </si>
  <si>
    <t>Process date: Date Processed</t>
  </si>
  <si>
    <t>Price Date: Date transaction was captured</t>
  </si>
  <si>
    <t>Transaction: Switch (410)</t>
  </si>
  <si>
    <t>Click the item entry for the new Transaction</t>
  </si>
  <si>
    <t>Details for Disinvestment Investment Displayed</t>
  </si>
  <si>
    <t>Price: Displays the new Amount</t>
  </si>
  <si>
    <t>Clerk:  Name of clerk who captured the Switch</t>
  </si>
  <si>
    <t>Price Date: Same as System Date that was captured</t>
  </si>
  <si>
    <t>Target Investment: Switch to Portfolio</t>
  </si>
  <si>
    <t>Target Investment: Switch to Fund</t>
  </si>
  <si>
    <t>Net amount: Amount switched</t>
  </si>
  <si>
    <t>Authorised by: Name of authorisor</t>
  </si>
  <si>
    <t>Source Investment: Switch from Portfolio</t>
  </si>
  <si>
    <t>Source Client: Switch  from Fund</t>
  </si>
  <si>
    <t>Transaction: Switch (410/ 411)</t>
  </si>
  <si>
    <t>Select market value fund</t>
  </si>
  <si>
    <t>Select smooth bonus fund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</si>
</sst>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sz val="9"/>
      <name val="Verdana"/>
      <family val="2"/>
    </font>
    <font>
      <b/>
      <sz val="9"/>
      <name val="Verdana"/>
      <family val="2"/>
    </font>
    <font>
      <b/>
      <sz val="12"/>
      <color theme="1"/>
      <name val="Calibri"/>
      <family val="2"/>
      <scheme val="minor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E0E0E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0" borderId="0" xfId="0" applyAlignment="1">
      <alignment wrapText="1"/>
    </xf>
    <xf numFmtId="0" fontId="3" fillId="0" borderId="1" xfId="0" applyFont="1" applyBorder="1" applyAlignment="1">
      <alignment wrapText="1"/>
    </xf>
    <xf numFmtId="0" fontId="0" fillId="3" borderId="0" xfId="0" applyFill="1"/>
    <xf numFmtId="164" fontId="0" fillId="0" borderId="0" xfId="0" applyNumberFormat="1" applyAlignment="1">
      <alignment wrapText="1"/>
    </xf>
    <xf numFmtId="164" fontId="1" fillId="3" borderId="2" xfId="0" applyNumberFormat="1" applyFont="1" applyFill="1" applyBorder="1" applyAlignment="1">
      <alignment vertical="center" wrapText="1"/>
    </xf>
    <xf numFmtId="0" fontId="1" fillId="3" borderId="2" xfId="0" applyFont="1" applyFill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wrapText="1"/>
    </xf>
    <xf numFmtId="0" fontId="1" fillId="3" borderId="2" xfId="0" applyFont="1" applyFill="1" applyBorder="1" applyAlignment="1">
      <alignment horizontal="left" vertical="center" wrapText="1"/>
    </xf>
    <xf numFmtId="164" fontId="2" fillId="2" borderId="2" xfId="0" applyNumberFormat="1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  <xf numFmtId="0" fontId="2" fillId="2" borderId="2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vertical="center" wrapText="1"/>
    </xf>
    <xf numFmtId="0" fontId="6" fillId="5" borderId="2" xfId="0" applyFont="1" applyFill="1" applyBorder="1" applyAlignment="1">
      <alignment horizontal="left" vertical="center" wrapText="1"/>
    </xf>
    <xf numFmtId="0" fontId="5" fillId="5" borderId="2" xfId="0" applyFont="1" applyFill="1" applyBorder="1" applyAlignment="1">
      <alignment wrapText="1"/>
    </xf>
    <xf numFmtId="0" fontId="3" fillId="0" borderId="0" xfId="0" applyFont="1" applyAlignment="1">
      <alignment wrapText="1"/>
    </xf>
    <xf numFmtId="0" fontId="2" fillId="2" borderId="2" xfId="0" applyFont="1" applyFill="1" applyBorder="1" applyAlignment="1">
      <alignment horizontal="center" vertical="center"/>
    </xf>
    <xf numFmtId="165" fontId="6" fillId="5" borderId="2" xfId="0" applyNumberFormat="1" applyFont="1" applyFill="1" applyBorder="1" applyAlignment="1">
      <alignment vertical="center" wrapText="1"/>
    </xf>
    <xf numFmtId="164" fontId="7" fillId="5" borderId="2" xfId="0" applyNumberFormat="1" applyFont="1" applyFill="1" applyBorder="1" applyAlignment="1">
      <alignment vertical="center" wrapText="1"/>
    </xf>
    <xf numFmtId="165" fontId="1" fillId="3" borderId="2" xfId="0" applyNumberFormat="1" applyFont="1" applyFill="1" applyBorder="1" applyAlignment="1">
      <alignment vertical="center" wrapText="1"/>
    </xf>
    <xf numFmtId="0" fontId="8" fillId="0" borderId="0" xfId="0" applyFont="1"/>
    <xf numFmtId="0" fontId="9" fillId="0" borderId="2" xfId="0" applyFont="1" applyBorder="1" applyAlignment="1">
      <alignment horizontal="left" vertical="top" wrapText="1"/>
    </xf>
    <xf numFmtId="2" fontId="1" fillId="3" borderId="2" xfId="0" applyNumberFormat="1" applyFont="1" applyFill="1" applyBorder="1" applyAlignment="1">
      <alignment vertical="center" wrapText="1"/>
    </xf>
    <xf numFmtId="2" fontId="6" fillId="5" borderId="2" xfId="0" applyNumberFormat="1" applyFont="1" applyFill="1" applyBorder="1" applyAlignment="1">
      <alignment vertical="center" wrapText="1"/>
    </xf>
    <xf numFmtId="10" fontId="0" fillId="0" borderId="0" xfId="0" applyNumberFormat="1" applyAlignment="1">
      <alignment wrapText="1"/>
    </xf>
    <xf numFmtId="10" fontId="3" fillId="0" borderId="1" xfId="0" applyNumberFormat="1" applyFont="1" applyBorder="1" applyAlignment="1">
      <alignment wrapText="1"/>
    </xf>
    <xf numFmtId="0" fontId="9" fillId="0" borderId="2" xfId="0" applyFont="1" applyFill="1" applyBorder="1" applyAlignment="1">
      <alignment horizontal="left" vertical="top" wrapText="1"/>
    </xf>
    <xf numFmtId="0" fontId="6" fillId="5" borderId="0" xfId="0" applyFont="1" applyFill="1" applyBorder="1" applyAlignment="1">
      <alignment vertical="center" wrapText="1"/>
    </xf>
    <xf numFmtId="0" fontId="11" fillId="0" borderId="1" xfId="0" applyFont="1" applyBorder="1" applyAlignment="1">
      <alignment wrapText="1"/>
    </xf>
    <xf numFmtId="0" fontId="1" fillId="6" borderId="2" xfId="0" applyFont="1" applyFill="1" applyBorder="1" applyAlignment="1">
      <alignment vertical="center" wrapText="1"/>
    </xf>
    <xf numFmtId="164" fontId="1" fillId="0" borderId="2" xfId="0" applyNumberFormat="1" applyFont="1" applyFill="1" applyBorder="1" applyAlignment="1">
      <alignment vertical="center" wrapText="1"/>
    </xf>
    <xf numFmtId="0" fontId="1" fillId="0" borderId="2" xfId="0" applyFont="1" applyFill="1" applyBorder="1" applyAlignment="1">
      <alignment vertical="center" wrapText="1"/>
    </xf>
    <xf numFmtId="0" fontId="0" fillId="0" borderId="2" xfId="0" applyFill="1" applyBorder="1" applyAlignment="1">
      <alignment wrapText="1"/>
    </xf>
    <xf numFmtId="0" fontId="0" fillId="0" borderId="0" xfId="0" applyFill="1" applyAlignment="1">
      <alignment wrapText="1"/>
    </xf>
    <xf numFmtId="164" fontId="7" fillId="0" borderId="2" xfId="0" applyNumberFormat="1" applyFont="1" applyFill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3" fillId="0" borderId="2" xfId="0" applyFont="1" applyFill="1" applyBorder="1" applyAlignment="1">
      <alignment wrapText="1"/>
    </xf>
    <xf numFmtId="0" fontId="3" fillId="0" borderId="0" xfId="0" applyFont="1" applyFill="1" applyAlignment="1">
      <alignment wrapText="1"/>
    </xf>
    <xf numFmtId="0" fontId="3" fillId="0" borderId="0" xfId="0" applyFont="1"/>
    <xf numFmtId="0" fontId="5" fillId="0" borderId="2" xfId="0" applyFont="1" applyFill="1" applyBorder="1" applyAlignment="1">
      <alignment wrapText="1"/>
    </xf>
    <xf numFmtId="165" fontId="1" fillId="0" borderId="2" xfId="0" applyNumberFormat="1" applyFont="1" applyFill="1" applyBorder="1" applyAlignment="1">
      <alignment vertical="center" wrapText="1"/>
    </xf>
    <xf numFmtId="0" fontId="1" fillId="0" borderId="2" xfId="0" applyFont="1" applyFill="1" applyBorder="1" applyAlignment="1">
      <alignment horizontal="left" vertical="center" wrapText="1"/>
    </xf>
    <xf numFmtId="0" fontId="6" fillId="0" borderId="2" xfId="0" applyFont="1" applyFill="1" applyBorder="1" applyAlignment="1">
      <alignment vertical="center" wrapText="1"/>
    </xf>
    <xf numFmtId="0" fontId="12" fillId="0" borderId="2" xfId="0" applyFont="1" applyFill="1" applyBorder="1" applyAlignment="1">
      <alignment vertical="center" wrapText="1"/>
    </xf>
    <xf numFmtId="0" fontId="0" fillId="0" borderId="2" xfId="0" applyBorder="1" applyAlignment="1">
      <alignment horizontal="left" wrapText="1"/>
    </xf>
    <xf numFmtId="1" fontId="1" fillId="3" borderId="2" xfId="0" applyNumberFormat="1" applyFont="1" applyFill="1" applyBorder="1" applyAlignment="1">
      <alignment vertical="center" wrapText="1"/>
    </xf>
    <xf numFmtId="164" fontId="2" fillId="2" borderId="3" xfId="0" applyNumberFormat="1" applyFont="1" applyFill="1" applyBorder="1" applyAlignment="1"/>
    <xf numFmtId="0" fontId="0" fillId="0" borderId="5" xfId="0" applyBorder="1" applyAlignment="1"/>
    <xf numFmtId="0" fontId="0" fillId="0" borderId="4" xfId="0" applyBorder="1" applyAlignment="1"/>
    <xf numFmtId="0" fontId="2" fillId="2" borderId="3" xfId="0" applyFont="1" applyFill="1" applyBorder="1" applyAlignment="1">
      <alignment horizontal="center" wrapText="1"/>
    </xf>
    <xf numFmtId="0" fontId="0" fillId="0" borderId="4" xfId="0" applyBorder="1" applyAlignment="1">
      <alignment horizontal="center" wrapText="1"/>
    </xf>
  </cellXfs>
  <cellStyles count="1">
    <cellStyle name="Normal" xfId="0" builtinId="0"/>
  </cellStyles>
  <dxfs count="30"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 Case'!$A$1</c:f>
              <c:strCache>
                <c:ptCount val="1"/>
                <c:pt idx="0">
                  <c:v>Test Case</c:v>
                </c:pt>
              </c:strCache>
            </c:strRef>
          </c:tx>
          <c:invertIfNegative val="0"/>
          <c:val>
            <c:numRef>
              <c:f>'Test Case'!$A$2:$A$233</c:f>
              <c:numCache>
                <c:formatCode>0.0</c:formatCode>
                <c:ptCount val="232"/>
                <c:pt idx="0" formatCode="0.0000">
                  <c:v>0</c:v>
                </c:pt>
                <c:pt idx="1">
                  <c:v>1</c:v>
                </c:pt>
                <c:pt idx="2">
                  <c:v>1.1000000000000001</c:v>
                </c:pt>
                <c:pt idx="3">
                  <c:v>1.2</c:v>
                </c:pt>
                <c:pt idx="4">
                  <c:v>1.3</c:v>
                </c:pt>
                <c:pt idx="5">
                  <c:v>1.4</c:v>
                </c:pt>
                <c:pt idx="6">
                  <c:v>1.5</c:v>
                </c:pt>
                <c:pt idx="7">
                  <c:v>1.6</c:v>
                </c:pt>
                <c:pt idx="8">
                  <c:v>1.7</c:v>
                </c:pt>
                <c:pt idx="9">
                  <c:v>1.8</c:v>
                </c:pt>
                <c:pt idx="10">
                  <c:v>1.9</c:v>
                </c:pt>
                <c:pt idx="11" formatCode="0.00">
                  <c:v>1.1000000000000001</c:v>
                </c:pt>
                <c:pt idx="12" formatCode="0.00">
                  <c:v>1.1100000000000001</c:v>
                </c:pt>
                <c:pt idx="13" formatCode="0.00">
                  <c:v>1.1200000000000001</c:v>
                </c:pt>
                <c:pt idx="14" formatCode="0.00">
                  <c:v>1.1299999999999999</c:v>
                </c:pt>
                <c:pt idx="15" formatCode="0.00">
                  <c:v>1.1399999999999999</c:v>
                </c:pt>
                <c:pt idx="16" formatCode="0.00">
                  <c:v>1.1499999999999999</c:v>
                </c:pt>
                <c:pt idx="17" formatCode="0.00">
                  <c:v>1.1599999999999999</c:v>
                </c:pt>
                <c:pt idx="18" formatCode="0.00">
                  <c:v>1.17</c:v>
                </c:pt>
                <c:pt idx="19" formatCode="0.00">
                  <c:v>1.18</c:v>
                </c:pt>
                <c:pt idx="20" formatCode="0.00">
                  <c:v>1.19</c:v>
                </c:pt>
                <c:pt idx="21" formatCode="0.00">
                  <c:v>1.2</c:v>
                </c:pt>
                <c:pt idx="22" formatCode="0.00">
                  <c:v>1.21</c:v>
                </c:pt>
                <c:pt idx="23" formatCode="0.00">
                  <c:v>1.22</c:v>
                </c:pt>
                <c:pt idx="24" formatCode="0.00">
                  <c:v>1.23</c:v>
                </c:pt>
                <c:pt idx="25" formatCode="0.00">
                  <c:v>1.24</c:v>
                </c:pt>
                <c:pt idx="26" formatCode="0.00">
                  <c:v>1.25</c:v>
                </c:pt>
                <c:pt idx="27" formatCode="0.00">
                  <c:v>1.26</c:v>
                </c:pt>
                <c:pt idx="28" formatCode="0.00">
                  <c:v>1.27</c:v>
                </c:pt>
                <c:pt idx="29" formatCode="0.00">
                  <c:v>1.28</c:v>
                </c:pt>
                <c:pt idx="30" formatCode="0.00">
                  <c:v>1.29</c:v>
                </c:pt>
                <c:pt idx="31" formatCode="0.00">
                  <c:v>1.3</c:v>
                </c:pt>
                <c:pt idx="32" formatCode="0.00">
                  <c:v>1.31</c:v>
                </c:pt>
                <c:pt idx="33" formatCode="0.00">
                  <c:v>1.32</c:v>
                </c:pt>
                <c:pt idx="35">
                  <c:v>2</c:v>
                </c:pt>
                <c:pt idx="36">
                  <c:v>2.1</c:v>
                </c:pt>
                <c:pt idx="37">
                  <c:v>2.2000000000000002</c:v>
                </c:pt>
                <c:pt idx="38">
                  <c:v>2.2999999999999998</c:v>
                </c:pt>
                <c:pt idx="39">
                  <c:v>2.4</c:v>
                </c:pt>
                <c:pt idx="40">
                  <c:v>2.5</c:v>
                </c:pt>
                <c:pt idx="41">
                  <c:v>2.6</c:v>
                </c:pt>
                <c:pt idx="42">
                  <c:v>2.7</c:v>
                </c:pt>
                <c:pt idx="43">
                  <c:v>2.8</c:v>
                </c:pt>
                <c:pt idx="44">
                  <c:v>2.9</c:v>
                </c:pt>
                <c:pt idx="45" formatCode="0.00">
                  <c:v>2.1</c:v>
                </c:pt>
                <c:pt idx="46" formatCode="0.00">
                  <c:v>2.11</c:v>
                </c:pt>
                <c:pt idx="47" formatCode="0.00">
                  <c:v>2.12</c:v>
                </c:pt>
                <c:pt idx="48" formatCode="0.00">
                  <c:v>2.13</c:v>
                </c:pt>
                <c:pt idx="49" formatCode="0.00">
                  <c:v>2.14</c:v>
                </c:pt>
                <c:pt idx="50" formatCode="0.00">
                  <c:v>2.15</c:v>
                </c:pt>
                <c:pt idx="51" formatCode="0.00">
                  <c:v>2.16</c:v>
                </c:pt>
                <c:pt idx="52" formatCode="0.00">
                  <c:v>2.17</c:v>
                </c:pt>
                <c:pt idx="53" formatCode="0.00">
                  <c:v>2.1800000000000002</c:v>
                </c:pt>
                <c:pt idx="54" formatCode="0.00">
                  <c:v>2.19</c:v>
                </c:pt>
                <c:pt idx="55" formatCode="0.00">
                  <c:v>2.2000000000000002</c:v>
                </c:pt>
                <c:pt idx="56" formatCode="0.00">
                  <c:v>2.21</c:v>
                </c:pt>
                <c:pt idx="57" formatCode="0.00">
                  <c:v>2.2200000000000002</c:v>
                </c:pt>
                <c:pt idx="58" formatCode="0.00">
                  <c:v>2.23</c:v>
                </c:pt>
                <c:pt idx="59" formatCode="0.00">
                  <c:v>2.2400000000000002</c:v>
                </c:pt>
                <c:pt idx="60" formatCode="0.00">
                  <c:v>2.25</c:v>
                </c:pt>
                <c:pt idx="61" formatCode="0.00">
                  <c:v>2.2599999999999998</c:v>
                </c:pt>
                <c:pt idx="62" formatCode="0.00">
                  <c:v>2.27</c:v>
                </c:pt>
                <c:pt idx="63" formatCode="0.00">
                  <c:v>2.2799999999999998</c:v>
                </c:pt>
                <c:pt idx="64" formatCode="0.00">
                  <c:v>2.29</c:v>
                </c:pt>
                <c:pt idx="65" formatCode="0.00">
                  <c:v>2.2999999999999998</c:v>
                </c:pt>
                <c:pt idx="66" formatCode="0.00">
                  <c:v>2.31</c:v>
                </c:pt>
                <c:pt idx="67" formatCode="0.00">
                  <c:v>2.3199999999999998</c:v>
                </c:pt>
                <c:pt idx="68" formatCode="0.00">
                  <c:v>2.33</c:v>
                </c:pt>
                <c:pt idx="70" formatCode="0.0000">
                  <c:v>0</c:v>
                </c:pt>
                <c:pt idx="71">
                  <c:v>3</c:v>
                </c:pt>
                <c:pt idx="72">
                  <c:v>3.1</c:v>
                </c:pt>
                <c:pt idx="73">
                  <c:v>3.2</c:v>
                </c:pt>
                <c:pt idx="74">
                  <c:v>3.3</c:v>
                </c:pt>
                <c:pt idx="75">
                  <c:v>3.4</c:v>
                </c:pt>
                <c:pt idx="76">
                  <c:v>3.5</c:v>
                </c:pt>
                <c:pt idx="77">
                  <c:v>3.6</c:v>
                </c:pt>
                <c:pt idx="78">
                  <c:v>3.7</c:v>
                </c:pt>
                <c:pt idx="79">
                  <c:v>3.8</c:v>
                </c:pt>
                <c:pt idx="80">
                  <c:v>3.9</c:v>
                </c:pt>
                <c:pt idx="81" formatCode="0.00">
                  <c:v>3.1</c:v>
                </c:pt>
                <c:pt idx="82" formatCode="0.00">
                  <c:v>3.11</c:v>
                </c:pt>
                <c:pt idx="83" formatCode="0.00">
                  <c:v>3.12</c:v>
                </c:pt>
                <c:pt idx="84" formatCode="0.00">
                  <c:v>3.13</c:v>
                </c:pt>
                <c:pt idx="85" formatCode="0.00">
                  <c:v>3.14</c:v>
                </c:pt>
                <c:pt idx="86" formatCode="0.00">
                  <c:v>3.15</c:v>
                </c:pt>
                <c:pt idx="87" formatCode="0.00">
                  <c:v>3.16</c:v>
                </c:pt>
                <c:pt idx="88" formatCode="0.00">
                  <c:v>3.17</c:v>
                </c:pt>
                <c:pt idx="89" formatCode="0.00">
                  <c:v>3.18</c:v>
                </c:pt>
                <c:pt idx="90" formatCode="0.00">
                  <c:v>3.19</c:v>
                </c:pt>
                <c:pt idx="91" formatCode="0.00">
                  <c:v>3.2</c:v>
                </c:pt>
                <c:pt idx="92" formatCode="0.00">
                  <c:v>3.21</c:v>
                </c:pt>
                <c:pt idx="93" formatCode="0.00">
                  <c:v>3.22</c:v>
                </c:pt>
                <c:pt idx="94" formatCode="0.00">
                  <c:v>3.23</c:v>
                </c:pt>
                <c:pt idx="95" formatCode="0.00">
                  <c:v>3.24</c:v>
                </c:pt>
                <c:pt idx="96" formatCode="0.00">
                  <c:v>3.25</c:v>
                </c:pt>
                <c:pt idx="97" formatCode="0.00">
                  <c:v>3.26</c:v>
                </c:pt>
                <c:pt idx="98" formatCode="0.00">
                  <c:v>3.27</c:v>
                </c:pt>
                <c:pt idx="99" formatCode="0.00">
                  <c:v>3.28</c:v>
                </c:pt>
                <c:pt idx="100" formatCode="0.00">
                  <c:v>3.29</c:v>
                </c:pt>
                <c:pt idx="101" formatCode="0.00">
                  <c:v>3.3</c:v>
                </c:pt>
                <c:pt idx="102" formatCode="0.00">
                  <c:v>3.31</c:v>
                </c:pt>
                <c:pt idx="104" formatCode="0.0000">
                  <c:v>0</c:v>
                </c:pt>
                <c:pt idx="105">
                  <c:v>4</c:v>
                </c:pt>
                <c:pt idx="106">
                  <c:v>4.0999999999999996</c:v>
                </c:pt>
                <c:pt idx="107">
                  <c:v>4.2</c:v>
                </c:pt>
                <c:pt idx="108">
                  <c:v>4.3</c:v>
                </c:pt>
                <c:pt idx="109">
                  <c:v>4.4000000000000004</c:v>
                </c:pt>
                <c:pt idx="110">
                  <c:v>4.5</c:v>
                </c:pt>
                <c:pt idx="111">
                  <c:v>4.5999999999999996</c:v>
                </c:pt>
                <c:pt idx="112">
                  <c:v>4.7</c:v>
                </c:pt>
                <c:pt idx="113">
                  <c:v>4.8</c:v>
                </c:pt>
                <c:pt idx="114">
                  <c:v>4.9000000000000004</c:v>
                </c:pt>
                <c:pt idx="115" formatCode="0.00">
                  <c:v>4.0999999999999996</c:v>
                </c:pt>
                <c:pt idx="116" formatCode="0.00">
                  <c:v>4.1100000000000003</c:v>
                </c:pt>
                <c:pt idx="117" formatCode="0.00">
                  <c:v>4.12</c:v>
                </c:pt>
                <c:pt idx="118" formatCode="0.00">
                  <c:v>4.13</c:v>
                </c:pt>
                <c:pt idx="119" formatCode="0.00">
                  <c:v>4.1399999999999997</c:v>
                </c:pt>
                <c:pt idx="120" formatCode="0.00">
                  <c:v>4.1500000000000004</c:v>
                </c:pt>
                <c:pt idx="121" formatCode="0.00">
                  <c:v>4.16</c:v>
                </c:pt>
                <c:pt idx="122" formatCode="0.00">
                  <c:v>4.17</c:v>
                </c:pt>
                <c:pt idx="123" formatCode="0.00">
                  <c:v>4.1800000000000104</c:v>
                </c:pt>
                <c:pt idx="124" formatCode="0.00">
                  <c:v>4.1900000000000102</c:v>
                </c:pt>
                <c:pt idx="125" formatCode="0.00">
                  <c:v>4.2000000000000099</c:v>
                </c:pt>
                <c:pt idx="126" formatCode="0.00">
                  <c:v>4.2100000000000097</c:v>
                </c:pt>
                <c:pt idx="127" formatCode="0.00">
                  <c:v>4.2200000000000104</c:v>
                </c:pt>
                <c:pt idx="128" formatCode="0.00">
                  <c:v>4.2300000000000102</c:v>
                </c:pt>
                <c:pt idx="129" formatCode="0.00">
                  <c:v>4.24000000000001</c:v>
                </c:pt>
                <c:pt idx="130" formatCode="0.00">
                  <c:v>4.2500000000000098</c:v>
                </c:pt>
                <c:pt idx="131" formatCode="0.00">
                  <c:v>4.2600000000000096</c:v>
                </c:pt>
                <c:pt idx="132" formatCode="0.00">
                  <c:v>4.2700000000000102</c:v>
                </c:pt>
                <c:pt idx="133" formatCode="0.00">
                  <c:v>4.28000000000001</c:v>
                </c:pt>
                <c:pt idx="134" formatCode="0.00">
                  <c:v>4.2900000000000098</c:v>
                </c:pt>
                <c:pt idx="135" formatCode="0.00">
                  <c:v>4.3000000000000096</c:v>
                </c:pt>
                <c:pt idx="136" formatCode="0.00">
                  <c:v>4.3100000000000103</c:v>
                </c:pt>
                <c:pt idx="137" formatCode="0.00">
                  <c:v>4.3200000000000101</c:v>
                </c:pt>
                <c:pt idx="138" formatCode="0.00">
                  <c:v>4.3300000000000098</c:v>
                </c:pt>
                <c:pt idx="139" formatCode="0.00">
                  <c:v>4.3400000000000096</c:v>
                </c:pt>
                <c:pt idx="140" formatCode="0.00">
                  <c:v>4.3500000000000103</c:v>
                </c:pt>
                <c:pt idx="141" formatCode="0.00">
                  <c:v>4.3600000000000101</c:v>
                </c:pt>
                <c:pt idx="142" formatCode="0.00">
                  <c:v>4.3700000000000099</c:v>
                </c:pt>
                <c:pt idx="143" formatCode="0.00">
                  <c:v>4.3800000000000097</c:v>
                </c:pt>
                <c:pt idx="144" formatCode="0.00">
                  <c:v>4.3900000000000103</c:v>
                </c:pt>
                <c:pt idx="145" formatCode="0.00">
                  <c:v>4.4000000000000101</c:v>
                </c:pt>
                <c:pt idx="147" formatCode="0.0000">
                  <c:v>0</c:v>
                </c:pt>
                <c:pt idx="148">
                  <c:v>5</c:v>
                </c:pt>
                <c:pt idx="149">
                  <c:v>5.0999999999999996</c:v>
                </c:pt>
                <c:pt idx="150">
                  <c:v>5.1999999999999993</c:v>
                </c:pt>
                <c:pt idx="151">
                  <c:v>5.2999999999999989</c:v>
                </c:pt>
                <c:pt idx="152">
                  <c:v>5.3999999999999986</c:v>
                </c:pt>
                <c:pt idx="153">
                  <c:v>5.4999999999999982</c:v>
                </c:pt>
                <c:pt idx="154">
                  <c:v>5.5999999999999979</c:v>
                </c:pt>
                <c:pt idx="155">
                  <c:v>5.6999999999999975</c:v>
                </c:pt>
                <c:pt idx="156">
                  <c:v>5.7999999999999972</c:v>
                </c:pt>
                <c:pt idx="157">
                  <c:v>5.8999999999999968</c:v>
                </c:pt>
                <c:pt idx="158" formatCode="0.00">
                  <c:v>5.0999999999999996</c:v>
                </c:pt>
                <c:pt idx="159" formatCode="0.00">
                  <c:v>5.1100000000000003</c:v>
                </c:pt>
                <c:pt idx="160" formatCode="0.00">
                  <c:v>5.12</c:v>
                </c:pt>
                <c:pt idx="161" formatCode="0.00">
                  <c:v>5.13</c:v>
                </c:pt>
                <c:pt idx="162" formatCode="0.00">
                  <c:v>5.14</c:v>
                </c:pt>
                <c:pt idx="163" formatCode="0.00">
                  <c:v>5.15</c:v>
                </c:pt>
                <c:pt idx="164" formatCode="0.00">
                  <c:v>5.16</c:v>
                </c:pt>
                <c:pt idx="165" formatCode="0.00">
                  <c:v>5.17</c:v>
                </c:pt>
                <c:pt idx="166" formatCode="0.00">
                  <c:v>5.1800000000000104</c:v>
                </c:pt>
                <c:pt idx="167" formatCode="0.00">
                  <c:v>5.1900000000000102</c:v>
                </c:pt>
                <c:pt idx="168" formatCode="0.00">
                  <c:v>5.2000000000000099</c:v>
                </c:pt>
                <c:pt idx="169" formatCode="0.00">
                  <c:v>5.2100000000000097</c:v>
                </c:pt>
                <c:pt idx="170" formatCode="0.00">
                  <c:v>5.2200000000000104</c:v>
                </c:pt>
                <c:pt idx="171" formatCode="0.00">
                  <c:v>5.2300000000000102</c:v>
                </c:pt>
                <c:pt idx="172" formatCode="0.00">
                  <c:v>5.24000000000001</c:v>
                </c:pt>
                <c:pt idx="173" formatCode="0.00">
                  <c:v>5.2500000000000098</c:v>
                </c:pt>
                <c:pt idx="174" formatCode="0.00">
                  <c:v>5.2600000000000096</c:v>
                </c:pt>
                <c:pt idx="175" formatCode="0.00">
                  <c:v>5.2700000000000102</c:v>
                </c:pt>
                <c:pt idx="176" formatCode="0.00">
                  <c:v>5.28000000000001</c:v>
                </c:pt>
                <c:pt idx="177" formatCode="0.00">
                  <c:v>5.2900000000000098</c:v>
                </c:pt>
                <c:pt idx="178" formatCode="0.00">
                  <c:v>5.3000000000000096</c:v>
                </c:pt>
                <c:pt idx="179" formatCode="0.00">
                  <c:v>5.3100000000000103</c:v>
                </c:pt>
                <c:pt idx="180" formatCode="0.00">
                  <c:v>5.3200000000000101</c:v>
                </c:pt>
                <c:pt idx="181" formatCode="0.00">
                  <c:v>5.3300000000000098</c:v>
                </c:pt>
                <c:pt idx="182" formatCode="0.00">
                  <c:v>5.3400000000000096</c:v>
                </c:pt>
                <c:pt idx="183" formatCode="0.00">
                  <c:v>5.3500000000000103</c:v>
                </c:pt>
                <c:pt idx="184" formatCode="0.00">
                  <c:v>5.3600000000000101</c:v>
                </c:pt>
                <c:pt idx="185" formatCode="0.00">
                  <c:v>5.3700000000000099</c:v>
                </c:pt>
                <c:pt idx="186" formatCode="0.00">
                  <c:v>5.3800000000000097</c:v>
                </c:pt>
                <c:pt idx="187" formatCode="0.00">
                  <c:v>5.3900000000000103</c:v>
                </c:pt>
                <c:pt idx="188" formatCode="0.00">
                  <c:v>5.4000000000000101</c:v>
                </c:pt>
                <c:pt idx="189">
                  <c:v>6</c:v>
                </c:pt>
                <c:pt idx="190">
                  <c:v>6.1</c:v>
                </c:pt>
                <c:pt idx="191">
                  <c:v>6.2</c:v>
                </c:pt>
                <c:pt idx="192">
                  <c:v>6.3</c:v>
                </c:pt>
                <c:pt idx="193">
                  <c:v>6.4</c:v>
                </c:pt>
                <c:pt idx="194">
                  <c:v>6.5</c:v>
                </c:pt>
                <c:pt idx="195">
                  <c:v>6.6</c:v>
                </c:pt>
                <c:pt idx="196">
                  <c:v>6.7</c:v>
                </c:pt>
                <c:pt idx="197">
                  <c:v>6.8</c:v>
                </c:pt>
                <c:pt idx="198">
                  <c:v>6.9</c:v>
                </c:pt>
                <c:pt idx="199" formatCode="0.00">
                  <c:v>6.1</c:v>
                </c:pt>
                <c:pt idx="200" formatCode="0.00">
                  <c:v>6.12</c:v>
                </c:pt>
                <c:pt idx="201" formatCode="0.00">
                  <c:v>6.13</c:v>
                </c:pt>
                <c:pt idx="202" formatCode="0.00">
                  <c:v>6.14</c:v>
                </c:pt>
                <c:pt idx="203" formatCode="0.00">
                  <c:v>6.15</c:v>
                </c:pt>
                <c:pt idx="204" formatCode="0.00">
                  <c:v>6.16</c:v>
                </c:pt>
                <c:pt idx="205" formatCode="0.00">
                  <c:v>6.17</c:v>
                </c:pt>
                <c:pt idx="206" formatCode="0.00">
                  <c:v>6.1800000000000104</c:v>
                </c:pt>
                <c:pt idx="207" formatCode="0.00">
                  <c:v>6.1900000000000102</c:v>
                </c:pt>
                <c:pt idx="208" formatCode="0.00">
                  <c:v>6.2000000000000099</c:v>
                </c:pt>
                <c:pt idx="209" formatCode="0.00">
                  <c:v>6.2100000000000097</c:v>
                </c:pt>
                <c:pt idx="210" formatCode="0.00">
                  <c:v>6.2200000000000104</c:v>
                </c:pt>
                <c:pt idx="211" formatCode="0">
                  <c:v>7</c:v>
                </c:pt>
                <c:pt idx="212">
                  <c:v>7.1</c:v>
                </c:pt>
                <c:pt idx="213">
                  <c:v>7.2</c:v>
                </c:pt>
                <c:pt idx="214">
                  <c:v>7.3</c:v>
                </c:pt>
                <c:pt idx="216" formatCode="0">
                  <c:v>8</c:v>
                </c:pt>
                <c:pt idx="217">
                  <c:v>8.1</c:v>
                </c:pt>
                <c:pt idx="218">
                  <c:v>8.1999999999999993</c:v>
                </c:pt>
              </c:numCache>
            </c:numRef>
          </c:val>
        </c:ser>
        <c:ser>
          <c:idx val="1"/>
          <c:order val="1"/>
          <c:tx>
            <c:strRef>
              <c:f>'Test Case'!$B$1</c:f>
              <c:strCache>
                <c:ptCount val="1"/>
                <c:pt idx="0">
                  <c:v>Input data / Action / Field Name</c:v>
                </c:pt>
              </c:strCache>
            </c:strRef>
          </c:tx>
          <c:invertIfNegative val="0"/>
          <c:val>
            <c:numRef>
              <c:f>'Test Case'!$B$2:$B$233</c:f>
              <c:numCache>
                <c:formatCode>0.0000</c:formatCode>
                <c:ptCount val="23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15">
                  <c:v>0</c:v>
                </c:pt>
                <c:pt idx="20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50">
                  <c:v>0</c:v>
                </c:pt>
                <c:pt idx="55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84">
                  <c:v>0</c:v>
                </c:pt>
                <c:pt idx="89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27">
                  <c:v>0</c:v>
                </c:pt>
                <c:pt idx="132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70">
                  <c:v>0</c:v>
                </c:pt>
                <c:pt idx="175">
                  <c:v>0</c:v>
                </c:pt>
                <c:pt idx="189">
                  <c:v>0</c:v>
                </c:pt>
                <c:pt idx="190">
                  <c:v>0</c:v>
                </c:pt>
                <c:pt idx="211">
                  <c:v>0</c:v>
                </c:pt>
                <c:pt idx="212">
                  <c:v>0</c:v>
                </c:pt>
                <c:pt idx="216">
                  <c:v>0</c:v>
                </c:pt>
                <c:pt idx="217">
                  <c:v>0</c:v>
                </c:pt>
                <c:pt idx="219" formatCode="General">
                  <c:v>0</c:v>
                </c:pt>
                <c:pt idx="220" formatCode="General">
                  <c:v>0</c:v>
                </c:pt>
                <c:pt idx="222" formatCode="General">
                  <c:v>0</c:v>
                </c:pt>
                <c:pt idx="224" formatCode="General">
                  <c:v>0</c:v>
                </c:pt>
                <c:pt idx="225" formatCode="General">
                  <c:v>0</c:v>
                </c:pt>
                <c:pt idx="227" formatCode="General">
                  <c:v>0</c:v>
                </c:pt>
              </c:numCache>
            </c:numRef>
          </c:val>
        </c:ser>
        <c:ser>
          <c:idx val="2"/>
          <c:order val="2"/>
          <c:tx>
            <c:strRef>
              <c:f>'Test Case'!$C$1</c:f>
              <c:strCache>
                <c:ptCount val="1"/>
              </c:strCache>
            </c:strRef>
          </c:tx>
          <c:invertIfNegative val="0"/>
          <c:val>
            <c:numRef>
              <c:f>'Test Case'!$C$2:$C$233</c:f>
              <c:numCache>
                <c:formatCode>General</c:formatCode>
                <c:ptCount val="232"/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7">
                  <c:v>0</c:v>
                </c:pt>
                <c:pt idx="219">
                  <c:v>0</c:v>
                </c:pt>
                <c:pt idx="220">
                  <c:v>0</c:v>
                </c:pt>
                <c:pt idx="222">
                  <c:v>0</c:v>
                </c:pt>
                <c:pt idx="224">
                  <c:v>0</c:v>
                </c:pt>
                <c:pt idx="225">
                  <c:v>0</c:v>
                </c:pt>
                <c:pt idx="227">
                  <c:v>0</c:v>
                </c:pt>
              </c:numCache>
            </c:numRef>
          </c:val>
        </c:ser>
        <c:ser>
          <c:idx val="3"/>
          <c:order val="3"/>
          <c:tx>
            <c:strRef>
              <c:f>'Test Case'!$D$1</c:f>
              <c:strCache>
                <c:ptCount val="1"/>
                <c:pt idx="0">
                  <c:v>Expected Results</c:v>
                </c:pt>
              </c:strCache>
            </c:strRef>
          </c:tx>
          <c:invertIfNegative val="0"/>
          <c:val>
            <c:numRef>
              <c:f>'Test Case'!$D$2:$D$233</c:f>
              <c:numCache>
                <c:formatCode>General</c:formatCode>
                <c:ptCount val="232"/>
                <c:pt idx="2">
                  <c:v>0</c:v>
                </c:pt>
                <c:pt idx="3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4">
                  <c:v>0</c:v>
                </c:pt>
                <c:pt idx="36">
                  <c:v>0</c:v>
                </c:pt>
                <c:pt idx="37">
                  <c:v>0</c:v>
                </c:pt>
                <c:pt idx="41">
                  <c:v>0</c:v>
                </c:pt>
                <c:pt idx="42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9">
                  <c:v>0</c:v>
                </c:pt>
                <c:pt idx="72">
                  <c:v>0</c:v>
                </c:pt>
                <c:pt idx="77">
                  <c:v>0</c:v>
                </c:pt>
                <c:pt idx="78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106">
                  <c:v>0</c:v>
                </c:pt>
                <c:pt idx="111">
                  <c:v>0</c:v>
                </c:pt>
                <c:pt idx="114">
                  <c:v>0</c:v>
                </c:pt>
                <c:pt idx="118">
                  <c:v>0</c:v>
                </c:pt>
                <c:pt idx="120">
                  <c:v>0</c:v>
                </c:pt>
                <c:pt idx="121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49">
                  <c:v>0</c:v>
                </c:pt>
                <c:pt idx="154">
                  <c:v>0</c:v>
                </c:pt>
                <c:pt idx="157">
                  <c:v>0</c:v>
                </c:pt>
                <c:pt idx="161">
                  <c:v>0</c:v>
                </c:pt>
                <c:pt idx="163">
                  <c:v>0</c:v>
                </c:pt>
                <c:pt idx="164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90">
                  <c:v>0</c:v>
                </c:pt>
                <c:pt idx="208">
                  <c:v>0</c:v>
                </c:pt>
                <c:pt idx="209">
                  <c:v>0</c:v>
                </c:pt>
                <c:pt idx="212">
                  <c:v>0</c:v>
                </c:pt>
                <c:pt idx="217">
                  <c:v>0</c:v>
                </c:pt>
                <c:pt idx="220">
                  <c:v>0</c:v>
                </c:pt>
                <c:pt idx="222">
                  <c:v>0</c:v>
                </c:pt>
                <c:pt idx="225">
                  <c:v>0</c:v>
                </c:pt>
                <c:pt idx="227">
                  <c:v>0</c:v>
                </c:pt>
              </c:numCache>
            </c:numRef>
          </c:val>
        </c:ser>
        <c:ser>
          <c:idx val="4"/>
          <c:order val="4"/>
          <c:tx>
            <c:strRef>
              <c:f>'Test Case'!$E$1</c:f>
              <c:strCache>
                <c:ptCount val="1"/>
                <c:pt idx="0">
                  <c:v>Notes</c:v>
                </c:pt>
              </c:strCache>
            </c:strRef>
          </c:tx>
          <c:invertIfNegative val="0"/>
          <c:val>
            <c:numRef>
              <c:f>'Test Case'!$E$2:$E$233</c:f>
              <c:numCache>
                <c:formatCode>General</c:formatCode>
                <c:ptCount val="232"/>
                <c:pt idx="2">
                  <c:v>0</c:v>
                </c:pt>
                <c:pt idx="14">
                  <c:v>0</c:v>
                </c:pt>
                <c:pt idx="36">
                  <c:v>0</c:v>
                </c:pt>
                <c:pt idx="49">
                  <c:v>0</c:v>
                </c:pt>
                <c:pt idx="72">
                  <c:v>0</c:v>
                </c:pt>
                <c:pt idx="83">
                  <c:v>0</c:v>
                </c:pt>
                <c:pt idx="106">
                  <c:v>0</c:v>
                </c:pt>
                <c:pt idx="123">
                  <c:v>0</c:v>
                </c:pt>
                <c:pt idx="126">
                  <c:v>0</c:v>
                </c:pt>
                <c:pt idx="149">
                  <c:v>0</c:v>
                </c:pt>
                <c:pt idx="166">
                  <c:v>0</c:v>
                </c:pt>
                <c:pt idx="169">
                  <c:v>0</c:v>
                </c:pt>
                <c:pt idx="190">
                  <c:v>0</c:v>
                </c:pt>
                <c:pt idx="207">
                  <c:v>0</c:v>
                </c:pt>
                <c:pt idx="210">
                  <c:v>0</c:v>
                </c:pt>
              </c:numCache>
            </c:numRef>
          </c:val>
        </c:ser>
        <c:ser>
          <c:idx val="5"/>
          <c:order val="5"/>
          <c:tx>
            <c:strRef>
              <c:f>'Test Case'!$F$1</c:f>
              <c:strCache>
                <c:ptCount val="1"/>
                <c:pt idx="0">
                  <c:v>Bug  ID</c:v>
                </c:pt>
              </c:strCache>
            </c:strRef>
          </c:tx>
          <c:invertIfNegative val="0"/>
          <c:val>
            <c:numRef>
              <c:f>'Test Case'!$F$2:$F$233</c:f>
              <c:numCache>
                <c:formatCode>General</c:formatCode>
                <c:ptCount val="232"/>
                <c:pt idx="11">
                  <c:v>0</c:v>
                </c:pt>
                <c:pt idx="47">
                  <c:v>0</c:v>
                </c:pt>
                <c:pt idx="81">
                  <c:v>0</c:v>
                </c:pt>
                <c:pt idx="106">
                  <c:v>0</c:v>
                </c:pt>
                <c:pt idx="149">
                  <c:v>0</c:v>
                </c:pt>
                <c:pt idx="2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'Test Case'!$G$1</c:f>
              <c:strCache>
                <c:ptCount val="1"/>
                <c:pt idx="0">
                  <c:v>Pass/Fail</c:v>
                </c:pt>
              </c:strCache>
            </c:strRef>
          </c:tx>
          <c:invertIfNegative val="0"/>
          <c:val>
            <c:numRef>
              <c:f>'Test Case'!$G$2:$G$233</c:f>
              <c:numCache>
                <c:formatCode>General</c:formatCode>
                <c:ptCount val="232"/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7">
                  <c:v>0</c:v>
                </c:pt>
                <c:pt idx="220">
                  <c:v>0</c:v>
                </c:pt>
                <c:pt idx="222">
                  <c:v>0</c:v>
                </c:pt>
                <c:pt idx="225">
                  <c:v>0</c:v>
                </c:pt>
                <c:pt idx="227">
                  <c:v>0</c:v>
                </c:pt>
              </c:numCache>
            </c:numRef>
          </c:val>
        </c:ser>
        <c:ser>
          <c:idx val="7"/>
          <c:order val="7"/>
          <c:tx>
            <c:strRef>
              <c:f>'Test Case'!$H$1</c:f>
              <c:strCache>
                <c:ptCount val="1"/>
                <c:pt idx="0">
                  <c:v>Pass</c:v>
                </c:pt>
              </c:strCache>
            </c:strRef>
          </c:tx>
          <c:invertIfNegative val="0"/>
          <c:val>
            <c:numRef>
              <c:f>'Test Case'!$H$2:$H$233</c:f>
              <c:numCache>
                <c:formatCode>General</c:formatCode>
                <c:ptCount val="232"/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32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33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31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21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21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3</c:v>
                </c:pt>
                <c:pt idx="217">
                  <c:v>1</c:v>
                </c:pt>
                <c:pt idx="220">
                  <c:v>0</c:v>
                </c:pt>
                <c:pt idx="222">
                  <c:v>0</c:v>
                </c:pt>
                <c:pt idx="225">
                  <c:v>0</c:v>
                </c:pt>
                <c:pt idx="227">
                  <c:v>0</c:v>
                </c:pt>
                <c:pt idx="231">
                  <c:v>1</c:v>
                </c:pt>
              </c:numCache>
            </c:numRef>
          </c:val>
        </c:ser>
        <c:ser>
          <c:idx val="8"/>
          <c:order val="8"/>
          <c:tx>
            <c:strRef>
              <c:f>'Test Case'!$I$1</c:f>
              <c:strCache>
                <c:ptCount val="1"/>
                <c:pt idx="0">
                  <c:v>Fail</c:v>
                </c:pt>
              </c:strCache>
            </c:strRef>
          </c:tx>
          <c:invertIfNegative val="0"/>
          <c:val>
            <c:numRef>
              <c:f>'Test Case'!$I$2:$I$233</c:f>
              <c:numCache>
                <c:formatCode>General</c:formatCode>
                <c:ptCount val="232"/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7">
                  <c:v>0</c:v>
                </c:pt>
                <c:pt idx="220">
                  <c:v>0</c:v>
                </c:pt>
                <c:pt idx="222">
                  <c:v>0</c:v>
                </c:pt>
                <c:pt idx="225">
                  <c:v>0</c:v>
                </c:pt>
                <c:pt idx="227">
                  <c:v>0</c:v>
                </c:pt>
                <c:pt idx="231">
                  <c:v>0</c:v>
                </c:pt>
              </c:numCache>
            </c:numRef>
          </c:val>
        </c:ser>
        <c:ser>
          <c:idx val="9"/>
          <c:order val="9"/>
          <c:tx>
            <c:strRef>
              <c:f>'Test Case'!$J$1</c:f>
              <c:strCache>
                <c:ptCount val="1"/>
              </c:strCache>
            </c:strRef>
          </c:tx>
          <c:invertIfNegative val="0"/>
          <c:val>
            <c:numRef>
              <c:f>'Test Case'!$J$2:$J$233</c:f>
              <c:numCache>
                <c:formatCode>General</c:formatCode>
                <c:ptCount val="232"/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7">
                  <c:v>0</c:v>
                </c:pt>
                <c:pt idx="220">
                  <c:v>0</c:v>
                </c:pt>
                <c:pt idx="222">
                  <c:v>0</c:v>
                </c:pt>
                <c:pt idx="225">
                  <c:v>0</c:v>
                </c:pt>
                <c:pt idx="227">
                  <c:v>0</c:v>
                </c:pt>
                <c:pt idx="231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'Test Case'!$K$1</c:f>
              <c:strCache>
                <c:ptCount val="1"/>
                <c:pt idx="0">
                  <c:v>N/A</c:v>
                </c:pt>
              </c:strCache>
            </c:strRef>
          </c:tx>
          <c:invertIfNegative val="0"/>
          <c:val>
            <c:numRef>
              <c:f>'Test Case'!$K$2:$K$233</c:f>
              <c:numCache>
                <c:formatCode>General</c:formatCode>
                <c:ptCount val="232"/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7">
                  <c:v>0</c:v>
                </c:pt>
                <c:pt idx="220">
                  <c:v>0</c:v>
                </c:pt>
                <c:pt idx="222">
                  <c:v>0</c:v>
                </c:pt>
                <c:pt idx="225">
                  <c:v>0</c:v>
                </c:pt>
                <c:pt idx="227">
                  <c:v>0</c:v>
                </c:pt>
                <c:pt idx="231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'Test Case'!$L$1</c:f>
              <c:strCache>
                <c:ptCount val="1"/>
                <c:pt idx="0">
                  <c:v>Not Now</c:v>
                </c:pt>
              </c:strCache>
            </c:strRef>
          </c:tx>
          <c:invertIfNegative val="0"/>
          <c:val>
            <c:numRef>
              <c:f>'Test Case'!$L$2:$L$233</c:f>
              <c:numCache>
                <c:formatCode>General</c:formatCode>
                <c:ptCount val="232"/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21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7">
                  <c:v>0</c:v>
                </c:pt>
                <c:pt idx="220">
                  <c:v>1</c:v>
                </c:pt>
                <c:pt idx="222">
                  <c:v>1</c:v>
                </c:pt>
                <c:pt idx="225">
                  <c:v>1</c:v>
                </c:pt>
                <c:pt idx="227">
                  <c:v>1</c:v>
                </c:pt>
                <c:pt idx="231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'Test Case'!$M$1</c:f>
              <c:strCache>
                <c:ptCount val="1"/>
                <c:pt idx="0">
                  <c:v>Data Dictionary</c:v>
                </c:pt>
              </c:strCache>
            </c:strRef>
          </c:tx>
          <c:invertIfNegative val="0"/>
          <c:val>
            <c:numRef>
              <c:f>'Test Case'!$M$2:$M$233</c:f>
              <c:numCache>
                <c:formatCode>General</c:formatCode>
                <c:ptCount val="23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0053760"/>
        <c:axId val="80055296"/>
      </c:barChart>
      <c:catAx>
        <c:axId val="80053760"/>
        <c:scaling>
          <c:orientation val="minMax"/>
        </c:scaling>
        <c:delete val="0"/>
        <c:axPos val="b"/>
        <c:majorTickMark val="out"/>
        <c:minorTickMark val="none"/>
        <c:tickLblPos val="nextTo"/>
        <c:crossAx val="80055296"/>
        <c:crosses val="autoZero"/>
        <c:auto val="1"/>
        <c:lblAlgn val="ctr"/>
        <c:lblOffset val="100"/>
        <c:noMultiLvlLbl val="0"/>
      </c:catAx>
      <c:valAx>
        <c:axId val="80055296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800537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7</xdr:row>
          <xdr:rowOff>60960</xdr:rowOff>
        </xdr:from>
        <xdr:to>
          <xdr:col>0</xdr:col>
          <xdr:colOff>579120</xdr:colOff>
          <xdr:row>8</xdr:row>
          <xdr:rowOff>106680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7620</xdr:rowOff>
        </xdr:from>
        <xdr:to>
          <xdr:col>0</xdr:col>
          <xdr:colOff>579120</xdr:colOff>
          <xdr:row>2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7620</xdr:rowOff>
        </xdr:from>
        <xdr:to>
          <xdr:col>0</xdr:col>
          <xdr:colOff>579120</xdr:colOff>
          <xdr:row>3</xdr:row>
          <xdr:rowOff>175260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5308" cy="629138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30480</xdr:rowOff>
        </xdr:from>
        <xdr:to>
          <xdr:col>0</xdr:col>
          <xdr:colOff>685800</xdr:colOff>
          <xdr:row>0</xdr:row>
          <xdr:rowOff>182880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30480</xdr:rowOff>
        </xdr:from>
        <xdr:to>
          <xdr:col>0</xdr:col>
          <xdr:colOff>685800</xdr:colOff>
          <xdr:row>0</xdr:row>
          <xdr:rowOff>182880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30480</xdr:rowOff>
        </xdr:from>
        <xdr:to>
          <xdr:col>0</xdr:col>
          <xdr:colOff>685800</xdr:colOff>
          <xdr:row>0</xdr:row>
          <xdr:rowOff>182880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934817/Documents/Sutuwa/Copy%20of%20Switch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est Case"/>
      <sheetName val="MarketValueToStable"/>
      <sheetName val="Copy of Switches"/>
    </sheetNames>
    <definedNames>
      <definedName name="Button5_Click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H7"/>
  <sheetViews>
    <sheetView tabSelected="1" zoomScaleNormal="100" workbookViewId="0">
      <selection activeCell="H4" sqref="H4"/>
    </sheetView>
  </sheetViews>
  <sheetFormatPr defaultColWidth="9.109375" defaultRowHeight="14.4" x14ac:dyDescent="0.3"/>
  <cols>
    <col min="1" max="1" width="9.109375" style="3"/>
    <col min="2" max="2" width="52.109375" style="3" customWidth="1"/>
    <col min="3" max="8" width="15" style="3" customWidth="1"/>
    <col min="9" max="16384" width="9.109375" style="3"/>
  </cols>
  <sheetData>
    <row r="2" spans="2:8" x14ac:dyDescent="0.25">
      <c r="B2" s="13"/>
      <c r="C2" s="13" t="s">
        <v>4</v>
      </c>
      <c r="D2" s="13" t="s">
        <v>5</v>
      </c>
      <c r="E2" s="13" t="s">
        <v>8</v>
      </c>
      <c r="F2" s="13" t="s">
        <v>6</v>
      </c>
      <c r="G2" s="13" t="s">
        <v>7</v>
      </c>
      <c r="H2" s="13" t="s">
        <v>9</v>
      </c>
    </row>
    <row r="3" spans="2:8" x14ac:dyDescent="0.25">
      <c r="B3" s="20" t="s">
        <v>79</v>
      </c>
      <c r="C3" s="14">
        <f>'Test Case'!G237</f>
        <v>142</v>
      </c>
      <c r="D3" s="14">
        <f>'Test Case'!G238</f>
        <v>0</v>
      </c>
      <c r="E3" s="14">
        <f>'Test Case'!G239</f>
        <v>0</v>
      </c>
      <c r="F3" s="14">
        <f>'Test Case'!G240</f>
        <v>0</v>
      </c>
      <c r="G3" s="14">
        <f>'Test Case'!G241</f>
        <v>21</v>
      </c>
      <c r="H3" s="14">
        <f>SUM(C3:E3)</f>
        <v>142</v>
      </c>
    </row>
    <row r="4" spans="2:8" x14ac:dyDescent="0.25">
      <c r="B4" s="20"/>
      <c r="C4" s="14"/>
      <c r="D4" s="14"/>
      <c r="E4" s="14"/>
      <c r="F4" s="15"/>
      <c r="G4" s="15"/>
      <c r="H4" s="14"/>
    </row>
    <row r="5" spans="2:8" x14ac:dyDescent="0.25">
      <c r="B5" s="13"/>
      <c r="C5" s="14"/>
      <c r="D5" s="14"/>
      <c r="E5" s="14"/>
      <c r="F5" s="15"/>
      <c r="G5" s="15"/>
      <c r="H5" s="14"/>
    </row>
    <row r="6" spans="2:8" x14ac:dyDescent="0.25">
      <c r="B6" s="13"/>
      <c r="C6" s="14"/>
      <c r="D6" s="14"/>
      <c r="E6" s="14"/>
      <c r="F6" s="15"/>
      <c r="G6" s="15"/>
      <c r="H6" s="14"/>
    </row>
    <row r="7" spans="2:8" x14ac:dyDescent="0.25">
      <c r="B7" s="13"/>
      <c r="C7" s="14"/>
      <c r="D7" s="14"/>
      <c r="E7" s="14"/>
      <c r="F7" s="15"/>
      <c r="G7" s="15"/>
      <c r="H7" s="1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_xludf.CLEAR">
                <anchor moveWithCells="1">
                  <from>
                    <xdr:col>0</xdr:col>
                    <xdr:colOff>38100</xdr:colOff>
                    <xdr:row>7</xdr:row>
                    <xdr:rowOff>60960</xdr:rowOff>
                  </from>
                  <to>
                    <xdr:col>0</xdr:col>
                    <xdr:colOff>579120</xdr:colOff>
                    <xdr:row>8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utton2_Click">
                <anchor moveWithCells="1">
                  <from>
                    <xdr:col>0</xdr:col>
                    <xdr:colOff>38100</xdr:colOff>
                    <xdr:row>2</xdr:row>
                    <xdr:rowOff>7620</xdr:rowOff>
                  </from>
                  <to>
                    <xdr:col>0</xdr:col>
                    <xdr:colOff>579120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Button2_Click">
                <anchor moveWithCells="1">
                  <from>
                    <xdr:col>0</xdr:col>
                    <xdr:colOff>38100</xdr:colOff>
                    <xdr:row>3</xdr:row>
                    <xdr:rowOff>7620</xdr:rowOff>
                  </from>
                  <to>
                    <xdr:col>0</xdr:col>
                    <xdr:colOff>579120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243"/>
  <sheetViews>
    <sheetView topLeftCell="D1" zoomScale="90" zoomScaleNormal="90" workbookViewId="0">
      <pane ySplit="1" topLeftCell="A213" activePane="bottomLeft" state="frozen"/>
      <selection pane="bottomLeft" activeCell="G219" sqref="G219"/>
    </sheetView>
  </sheetViews>
  <sheetFormatPr defaultColWidth="9.109375" defaultRowHeight="14.4" x14ac:dyDescent="0.3"/>
  <cols>
    <col min="1" max="1" width="11.33203125" style="4" bestFit="1" customWidth="1"/>
    <col min="2" max="2" width="52.77734375" style="4" customWidth="1"/>
    <col min="3" max="3" width="48.5546875" style="1" customWidth="1"/>
    <col min="4" max="4" width="32.109375" style="1" customWidth="1"/>
    <col min="5" max="5" width="21.88671875" style="1" customWidth="1"/>
    <col min="6" max="6" width="17.6640625" style="1" customWidth="1"/>
    <col min="7" max="7" width="14.6640625" style="1" customWidth="1"/>
    <col min="8" max="11" width="9.109375" style="1"/>
    <col min="12" max="12" width="16.5546875" style="1" customWidth="1"/>
    <col min="13" max="13" width="39" style="1" customWidth="1"/>
    <col min="14" max="16384" width="9.109375" style="1"/>
  </cols>
  <sheetData>
    <row r="1" spans="1:13" ht="30" customHeight="1" x14ac:dyDescent="0.25">
      <c r="A1" s="10" t="s">
        <v>0</v>
      </c>
      <c r="B1" s="53" t="s">
        <v>10</v>
      </c>
      <c r="C1" s="54"/>
      <c r="D1" s="11" t="s">
        <v>1</v>
      </c>
      <c r="E1" s="12" t="s">
        <v>3</v>
      </c>
      <c r="F1" s="12" t="s">
        <v>2</v>
      </c>
      <c r="G1" s="11" t="s">
        <v>109</v>
      </c>
      <c r="H1" s="12" t="s">
        <v>4</v>
      </c>
      <c r="I1" s="12" t="s">
        <v>5</v>
      </c>
      <c r="J1" s="12"/>
      <c r="K1" s="12" t="s">
        <v>6</v>
      </c>
      <c r="L1" s="12" t="s">
        <v>7</v>
      </c>
      <c r="M1" s="12" t="s">
        <v>11</v>
      </c>
    </row>
    <row r="2" spans="1:13" ht="30" customHeight="1" x14ac:dyDescent="0.25">
      <c r="A2" s="50" t="s">
        <v>43</v>
      </c>
      <c r="B2" s="51"/>
      <c r="C2" s="52"/>
      <c r="D2" s="11"/>
      <c r="E2" s="12"/>
      <c r="F2" s="12"/>
      <c r="G2" s="11"/>
      <c r="H2" s="12"/>
      <c r="I2" s="12"/>
      <c r="J2" s="12"/>
      <c r="K2" s="12"/>
      <c r="L2" s="12"/>
      <c r="M2" s="12"/>
    </row>
    <row r="3" spans="1:13" s="19" customFormat="1" ht="25.5" x14ac:dyDescent="0.25">
      <c r="A3" s="23">
        <v>1</v>
      </c>
      <c r="B3" s="22" t="s">
        <v>12</v>
      </c>
      <c r="C3" s="16"/>
      <c r="D3" s="17"/>
      <c r="E3" s="16"/>
      <c r="F3" s="16"/>
      <c r="G3" s="18"/>
      <c r="H3" s="18"/>
      <c r="I3" s="18"/>
      <c r="J3" s="18"/>
      <c r="K3" s="18"/>
      <c r="L3" s="18"/>
      <c r="M3" s="16"/>
    </row>
    <row r="4" spans="1:13" ht="26.4" x14ac:dyDescent="0.3">
      <c r="A4" s="23">
        <v>1.1000000000000001</v>
      </c>
      <c r="B4" s="5" t="s">
        <v>13</v>
      </c>
      <c r="C4" s="24" t="s">
        <v>14</v>
      </c>
      <c r="D4" s="9" t="s">
        <v>15</v>
      </c>
      <c r="E4" s="33" t="s">
        <v>86</v>
      </c>
      <c r="F4" s="6"/>
      <c r="G4" s="8" t="s">
        <v>4</v>
      </c>
      <c r="H4" s="8">
        <f t="shared" ref="H4:L20" si="0">IF($G4=H$1,1,0)</f>
        <v>1</v>
      </c>
      <c r="I4" s="8">
        <f t="shared" si="0"/>
        <v>0</v>
      </c>
      <c r="J4" s="8">
        <f t="shared" si="0"/>
        <v>0</v>
      </c>
      <c r="K4" s="8">
        <f t="shared" si="0"/>
        <v>0</v>
      </c>
      <c r="L4" s="8">
        <f t="shared" si="0"/>
        <v>0</v>
      </c>
      <c r="M4" s="7"/>
    </row>
    <row r="5" spans="1:13" x14ac:dyDescent="0.3">
      <c r="A5" s="23">
        <v>1.2</v>
      </c>
      <c r="B5" s="5" t="s">
        <v>16</v>
      </c>
      <c r="C5" s="25" t="s">
        <v>17</v>
      </c>
      <c r="D5" s="9" t="s">
        <v>83</v>
      </c>
      <c r="E5" s="7"/>
      <c r="F5" s="6"/>
      <c r="G5" s="8" t="s">
        <v>4</v>
      </c>
      <c r="H5" s="8">
        <f t="shared" si="0"/>
        <v>1</v>
      </c>
      <c r="I5" s="8">
        <f t="shared" si="0"/>
        <v>0</v>
      </c>
      <c r="J5" s="8">
        <f t="shared" si="0"/>
        <v>0</v>
      </c>
      <c r="K5" s="8">
        <f t="shared" si="0"/>
        <v>0</v>
      </c>
      <c r="L5" s="8">
        <f t="shared" si="0"/>
        <v>0</v>
      </c>
      <c r="M5" s="7"/>
    </row>
    <row r="6" spans="1:13" x14ac:dyDescent="0.3">
      <c r="A6" s="23">
        <v>1.3</v>
      </c>
      <c r="B6" s="5"/>
      <c r="C6" s="25" t="s">
        <v>18</v>
      </c>
      <c r="D6" s="9"/>
      <c r="E6" s="7"/>
      <c r="F6" s="6"/>
      <c r="G6" s="8" t="s">
        <v>4</v>
      </c>
      <c r="H6" s="8">
        <f t="shared" si="0"/>
        <v>1</v>
      </c>
      <c r="I6" s="8">
        <f t="shared" si="0"/>
        <v>0</v>
      </c>
      <c r="J6" s="8">
        <f t="shared" si="0"/>
        <v>0</v>
      </c>
      <c r="K6" s="8">
        <f t="shared" si="0"/>
        <v>0</v>
      </c>
      <c r="L6" s="8">
        <f t="shared" si="0"/>
        <v>0</v>
      </c>
      <c r="M6" s="7"/>
    </row>
    <row r="7" spans="1:13" x14ac:dyDescent="0.3">
      <c r="A7" s="23">
        <v>1.4</v>
      </c>
      <c r="B7" s="5"/>
      <c r="C7" s="25" t="s">
        <v>44</v>
      </c>
      <c r="D7" s="6"/>
      <c r="E7" s="7"/>
      <c r="F7" s="7"/>
      <c r="G7" s="8" t="s">
        <v>4</v>
      </c>
      <c r="H7" s="8">
        <f t="shared" si="0"/>
        <v>1</v>
      </c>
      <c r="I7" s="8">
        <f t="shared" si="0"/>
        <v>0</v>
      </c>
      <c r="J7" s="8">
        <f t="shared" si="0"/>
        <v>0</v>
      </c>
      <c r="K7" s="8">
        <f t="shared" si="0"/>
        <v>0</v>
      </c>
      <c r="L7" s="8">
        <f t="shared" si="0"/>
        <v>0</v>
      </c>
      <c r="M7" s="7"/>
    </row>
    <row r="8" spans="1:13" x14ac:dyDescent="0.3">
      <c r="A8" s="23">
        <v>1.5</v>
      </c>
      <c r="B8" s="5"/>
      <c r="C8" s="30" t="s">
        <v>20</v>
      </c>
      <c r="D8" s="9"/>
      <c r="E8" s="7"/>
      <c r="F8" s="6"/>
      <c r="G8" s="8" t="s">
        <v>4</v>
      </c>
      <c r="H8" s="8">
        <f t="shared" si="0"/>
        <v>1</v>
      </c>
      <c r="I8" s="8">
        <f t="shared" si="0"/>
        <v>0</v>
      </c>
      <c r="J8" s="8">
        <f t="shared" si="0"/>
        <v>0</v>
      </c>
      <c r="K8" s="8">
        <f t="shared" si="0"/>
        <v>0</v>
      </c>
      <c r="L8" s="8">
        <f t="shared" si="0"/>
        <v>0</v>
      </c>
      <c r="M8" s="7"/>
    </row>
    <row r="9" spans="1:13" x14ac:dyDescent="0.3">
      <c r="A9" s="23">
        <v>1.6</v>
      </c>
      <c r="B9" s="5"/>
      <c r="C9" s="25" t="s">
        <v>45</v>
      </c>
      <c r="D9" s="6" t="s">
        <v>133</v>
      </c>
      <c r="E9" s="7"/>
      <c r="F9" s="6"/>
      <c r="G9" s="8" t="s">
        <v>4</v>
      </c>
      <c r="H9" s="8">
        <f t="shared" si="0"/>
        <v>1</v>
      </c>
      <c r="I9" s="8">
        <f t="shared" si="0"/>
        <v>0</v>
      </c>
      <c r="J9" s="8">
        <f t="shared" si="0"/>
        <v>0</v>
      </c>
      <c r="K9" s="8">
        <f t="shared" si="0"/>
        <v>0</v>
      </c>
      <c r="L9" s="8">
        <f t="shared" si="0"/>
        <v>0</v>
      </c>
      <c r="M9" s="7"/>
    </row>
    <row r="10" spans="1:13" ht="39.6" x14ac:dyDescent="0.3">
      <c r="A10" s="23">
        <v>1.7</v>
      </c>
      <c r="B10" s="5"/>
      <c r="C10" s="25" t="s">
        <v>19</v>
      </c>
      <c r="D10" s="9" t="s">
        <v>46</v>
      </c>
      <c r="E10" s="7"/>
      <c r="F10" s="7"/>
      <c r="G10" s="8" t="s">
        <v>4</v>
      </c>
      <c r="H10" s="8">
        <f t="shared" si="0"/>
        <v>1</v>
      </c>
      <c r="I10" s="8">
        <f t="shared" si="0"/>
        <v>0</v>
      </c>
      <c r="J10" s="8">
        <f t="shared" si="0"/>
        <v>0</v>
      </c>
      <c r="K10" s="8">
        <f t="shared" si="0"/>
        <v>0</v>
      </c>
      <c r="L10" s="8">
        <f t="shared" si="0"/>
        <v>0</v>
      </c>
      <c r="M10" s="7"/>
    </row>
    <row r="11" spans="1:13" x14ac:dyDescent="0.3">
      <c r="A11" s="23">
        <v>1.8</v>
      </c>
      <c r="B11" s="5"/>
      <c r="C11" s="25" t="s">
        <v>47</v>
      </c>
      <c r="D11" s="9"/>
      <c r="E11" s="7"/>
      <c r="F11" s="7"/>
      <c r="G11" s="8" t="s">
        <v>4</v>
      </c>
      <c r="H11" s="8">
        <f t="shared" si="0"/>
        <v>1</v>
      </c>
      <c r="I11" s="8">
        <f t="shared" si="0"/>
        <v>0</v>
      </c>
      <c r="J11" s="8">
        <f t="shared" si="0"/>
        <v>0</v>
      </c>
      <c r="K11" s="8">
        <f t="shared" si="0"/>
        <v>0</v>
      </c>
      <c r="L11" s="8">
        <f t="shared" si="0"/>
        <v>0</v>
      </c>
      <c r="M11" s="7"/>
    </row>
    <row r="12" spans="1:13" x14ac:dyDescent="0.3">
      <c r="A12" s="23">
        <v>1.9</v>
      </c>
      <c r="B12" s="5"/>
      <c r="C12" s="30" t="s">
        <v>48</v>
      </c>
      <c r="D12" s="6" t="s">
        <v>84</v>
      </c>
      <c r="E12" s="7"/>
      <c r="G12" s="8" t="s">
        <v>4</v>
      </c>
      <c r="H12" s="8">
        <f t="shared" si="0"/>
        <v>1</v>
      </c>
      <c r="I12" s="8">
        <f t="shared" si="0"/>
        <v>0</v>
      </c>
      <c r="J12" s="8">
        <f t="shared" si="0"/>
        <v>0</v>
      </c>
      <c r="K12" s="8">
        <f t="shared" si="0"/>
        <v>0</v>
      </c>
      <c r="L12" s="8">
        <f t="shared" si="0"/>
        <v>0</v>
      </c>
      <c r="M12" s="7"/>
    </row>
    <row r="13" spans="1:13" x14ac:dyDescent="0.3">
      <c r="A13" s="26">
        <v>1.1000000000000001</v>
      </c>
      <c r="B13" s="5"/>
      <c r="C13" s="30" t="s">
        <v>49</v>
      </c>
      <c r="D13" s="6" t="s">
        <v>133</v>
      </c>
      <c r="E13" s="7"/>
      <c r="F13" s="7" t="s">
        <v>85</v>
      </c>
      <c r="G13" s="8" t="s">
        <v>4</v>
      </c>
      <c r="H13" s="8">
        <f t="shared" si="0"/>
        <v>1</v>
      </c>
      <c r="I13" s="8">
        <f t="shared" si="0"/>
        <v>0</v>
      </c>
      <c r="J13" s="8">
        <f t="shared" si="0"/>
        <v>0</v>
      </c>
      <c r="K13" s="8">
        <f t="shared" si="0"/>
        <v>0</v>
      </c>
      <c r="L13" s="8">
        <f t="shared" si="0"/>
        <v>0</v>
      </c>
      <c r="M13" s="7"/>
    </row>
    <row r="14" spans="1:13" x14ac:dyDescent="0.3">
      <c r="A14" s="26">
        <v>1.1100000000000001</v>
      </c>
      <c r="B14" s="5"/>
      <c r="C14" s="30" t="s">
        <v>57</v>
      </c>
      <c r="D14" s="6" t="s">
        <v>51</v>
      </c>
      <c r="E14" s="7"/>
      <c r="F14" s="7"/>
      <c r="G14" s="8" t="s">
        <v>4</v>
      </c>
      <c r="H14" s="8">
        <f t="shared" si="0"/>
        <v>1</v>
      </c>
      <c r="I14" s="8">
        <f t="shared" si="0"/>
        <v>0</v>
      </c>
      <c r="J14" s="8">
        <f t="shared" si="0"/>
        <v>0</v>
      </c>
      <c r="K14" s="8">
        <f t="shared" si="0"/>
        <v>0</v>
      </c>
      <c r="L14" s="8">
        <f t="shared" si="0"/>
        <v>0</v>
      </c>
      <c r="M14" s="7"/>
    </row>
    <row r="15" spans="1:13" x14ac:dyDescent="0.3">
      <c r="A15" s="26">
        <v>1.1200000000000001</v>
      </c>
      <c r="B15" s="5"/>
      <c r="C15" s="30" t="s">
        <v>70</v>
      </c>
      <c r="D15" s="6"/>
      <c r="E15" s="7"/>
      <c r="F15" s="7"/>
      <c r="G15" s="8" t="s">
        <v>4</v>
      </c>
      <c r="H15" s="8">
        <f t="shared" si="0"/>
        <v>1</v>
      </c>
      <c r="I15" s="8">
        <f t="shared" si="0"/>
        <v>0</v>
      </c>
      <c r="J15" s="8">
        <f t="shared" si="0"/>
        <v>0</v>
      </c>
      <c r="K15" s="8">
        <f t="shared" si="0"/>
        <v>0</v>
      </c>
      <c r="L15" s="8">
        <f t="shared" si="0"/>
        <v>0</v>
      </c>
      <c r="M15" s="7"/>
    </row>
    <row r="16" spans="1:13" ht="39.6" x14ac:dyDescent="0.3">
      <c r="A16" s="26">
        <v>1.1299999999999999</v>
      </c>
      <c r="B16" s="5"/>
      <c r="C16" s="25" t="s">
        <v>24</v>
      </c>
      <c r="D16" s="6" t="s">
        <v>25</v>
      </c>
      <c r="E16" s="7" t="s">
        <v>110</v>
      </c>
      <c r="F16" s="7"/>
      <c r="G16" s="8" t="s">
        <v>4</v>
      </c>
      <c r="H16" s="8">
        <f t="shared" si="0"/>
        <v>1</v>
      </c>
      <c r="I16" s="8">
        <f t="shared" si="0"/>
        <v>0</v>
      </c>
      <c r="J16" s="8">
        <f t="shared" si="0"/>
        <v>0</v>
      </c>
      <c r="K16" s="8">
        <f t="shared" si="0"/>
        <v>0</v>
      </c>
      <c r="L16" s="8">
        <f t="shared" si="0"/>
        <v>0</v>
      </c>
      <c r="M16" s="7"/>
    </row>
    <row r="17" spans="1:13" x14ac:dyDescent="0.3">
      <c r="A17" s="26">
        <v>1.1399999999999999</v>
      </c>
      <c r="B17" s="5" t="s">
        <v>115</v>
      </c>
      <c r="C17" s="30" t="s">
        <v>116</v>
      </c>
      <c r="D17" s="6"/>
      <c r="E17" s="7"/>
      <c r="F17" s="7"/>
      <c r="G17" s="8" t="s">
        <v>4</v>
      </c>
      <c r="H17" s="8">
        <f t="shared" si="0"/>
        <v>1</v>
      </c>
      <c r="I17" s="8">
        <f t="shared" si="0"/>
        <v>0</v>
      </c>
      <c r="J17" s="8">
        <f t="shared" si="0"/>
        <v>0</v>
      </c>
      <c r="K17" s="8">
        <f t="shared" si="0"/>
        <v>0</v>
      </c>
      <c r="L17" s="8">
        <f t="shared" si="0"/>
        <v>0</v>
      </c>
      <c r="M17" s="7"/>
    </row>
    <row r="18" spans="1:13" x14ac:dyDescent="0.3">
      <c r="A18" s="26">
        <v>1.1499999999999999</v>
      </c>
      <c r="B18" s="5"/>
      <c r="C18" s="30" t="s">
        <v>117</v>
      </c>
      <c r="D18" s="6"/>
      <c r="E18" s="7"/>
      <c r="F18" s="7"/>
      <c r="G18" s="8" t="s">
        <v>4</v>
      </c>
      <c r="H18" s="8">
        <f t="shared" si="0"/>
        <v>1</v>
      </c>
      <c r="I18" s="8">
        <f t="shared" si="0"/>
        <v>0</v>
      </c>
      <c r="J18" s="8">
        <f t="shared" si="0"/>
        <v>0</v>
      </c>
      <c r="K18" s="8">
        <f t="shared" si="0"/>
        <v>0</v>
      </c>
      <c r="L18" s="8">
        <f t="shared" si="0"/>
        <v>0</v>
      </c>
      <c r="M18" s="7"/>
    </row>
    <row r="19" spans="1:13" x14ac:dyDescent="0.3">
      <c r="A19" s="26">
        <v>1.1599999999999999</v>
      </c>
      <c r="B19" s="5"/>
      <c r="C19" s="30" t="s">
        <v>118</v>
      </c>
      <c r="D19" s="6"/>
      <c r="E19" s="7"/>
      <c r="F19" s="7"/>
      <c r="G19" s="8" t="s">
        <v>4</v>
      </c>
      <c r="H19" s="8">
        <f t="shared" si="0"/>
        <v>1</v>
      </c>
      <c r="I19" s="8">
        <f t="shared" si="0"/>
        <v>0</v>
      </c>
      <c r="J19" s="8">
        <f t="shared" si="0"/>
        <v>0</v>
      </c>
      <c r="K19" s="8">
        <f t="shared" si="0"/>
        <v>0</v>
      </c>
      <c r="L19" s="8">
        <f t="shared" si="0"/>
        <v>0</v>
      </c>
      <c r="M19" s="7"/>
    </row>
    <row r="20" spans="1:13" x14ac:dyDescent="0.3">
      <c r="A20" s="26">
        <v>1.17</v>
      </c>
      <c r="B20" s="5"/>
      <c r="C20" s="30" t="s">
        <v>119</v>
      </c>
      <c r="D20" s="6"/>
      <c r="E20" s="7"/>
      <c r="F20" s="7"/>
      <c r="G20" s="8" t="s">
        <v>4</v>
      </c>
      <c r="H20" s="8">
        <f t="shared" si="0"/>
        <v>1</v>
      </c>
      <c r="I20" s="8">
        <f t="shared" si="0"/>
        <v>0</v>
      </c>
      <c r="J20" s="8">
        <f t="shared" si="0"/>
        <v>0</v>
      </c>
      <c r="K20" s="8">
        <f t="shared" si="0"/>
        <v>0</v>
      </c>
      <c r="L20" s="8">
        <f t="shared" si="0"/>
        <v>0</v>
      </c>
      <c r="M20" s="7"/>
    </row>
    <row r="21" spans="1:13" x14ac:dyDescent="0.3">
      <c r="A21" s="26">
        <v>1.18</v>
      </c>
      <c r="B21" s="5"/>
      <c r="C21" s="30" t="s">
        <v>120</v>
      </c>
      <c r="D21" s="6"/>
      <c r="E21" s="7"/>
      <c r="F21" s="7"/>
      <c r="G21" s="8" t="s">
        <v>4</v>
      </c>
      <c r="H21" s="8">
        <f t="shared" ref="H21:L35" si="1">IF($G21=H$1,1,0)</f>
        <v>1</v>
      </c>
      <c r="I21" s="8">
        <f t="shared" si="1"/>
        <v>0</v>
      </c>
      <c r="J21" s="8">
        <f t="shared" si="1"/>
        <v>0</v>
      </c>
      <c r="K21" s="8">
        <f t="shared" si="1"/>
        <v>0</v>
      </c>
      <c r="L21" s="8">
        <f t="shared" si="1"/>
        <v>0</v>
      </c>
      <c r="M21" s="7"/>
    </row>
    <row r="22" spans="1:13" x14ac:dyDescent="0.3">
      <c r="A22" s="26">
        <v>1.19</v>
      </c>
      <c r="B22" s="5" t="s">
        <v>121</v>
      </c>
      <c r="C22" s="30" t="s">
        <v>122</v>
      </c>
      <c r="D22" s="6"/>
      <c r="E22" s="7"/>
      <c r="F22" s="7"/>
      <c r="G22" s="8" t="s">
        <v>4</v>
      </c>
      <c r="H22" s="8">
        <f t="shared" si="1"/>
        <v>1</v>
      </c>
      <c r="I22" s="8">
        <f t="shared" si="1"/>
        <v>0</v>
      </c>
      <c r="J22" s="8">
        <f t="shared" si="1"/>
        <v>0</v>
      </c>
      <c r="K22" s="8">
        <f t="shared" si="1"/>
        <v>0</v>
      </c>
      <c r="L22" s="8">
        <f t="shared" si="1"/>
        <v>0</v>
      </c>
      <c r="M22" s="7"/>
    </row>
    <row r="23" spans="1:13" x14ac:dyDescent="0.3">
      <c r="A23" s="26">
        <v>1.2</v>
      </c>
      <c r="B23" s="5"/>
      <c r="C23" s="30" t="s">
        <v>123</v>
      </c>
      <c r="D23" s="6"/>
      <c r="E23" s="7"/>
      <c r="F23" s="7"/>
      <c r="G23" s="8" t="s">
        <v>4</v>
      </c>
      <c r="H23" s="8">
        <f t="shared" si="1"/>
        <v>1</v>
      </c>
      <c r="I23" s="8">
        <f t="shared" si="1"/>
        <v>0</v>
      </c>
      <c r="J23" s="8">
        <f t="shared" si="1"/>
        <v>0</v>
      </c>
      <c r="K23" s="8">
        <f t="shared" si="1"/>
        <v>0</v>
      </c>
      <c r="L23" s="8">
        <f t="shared" si="1"/>
        <v>0</v>
      </c>
      <c r="M23" s="7"/>
    </row>
    <row r="24" spans="1:13" x14ac:dyDescent="0.3">
      <c r="A24" s="26">
        <v>1.21</v>
      </c>
      <c r="B24" s="5"/>
      <c r="C24" s="30" t="s">
        <v>124</v>
      </c>
      <c r="D24" s="6"/>
      <c r="E24" s="7"/>
      <c r="F24" s="7"/>
      <c r="G24" s="8" t="s">
        <v>4</v>
      </c>
      <c r="H24" s="8">
        <f t="shared" si="1"/>
        <v>1</v>
      </c>
      <c r="I24" s="8">
        <f t="shared" si="1"/>
        <v>0</v>
      </c>
      <c r="J24" s="8">
        <f t="shared" si="1"/>
        <v>0</v>
      </c>
      <c r="K24" s="8">
        <f t="shared" si="1"/>
        <v>0</v>
      </c>
      <c r="L24" s="8">
        <f t="shared" si="1"/>
        <v>0</v>
      </c>
      <c r="M24" s="7"/>
    </row>
    <row r="25" spans="1:13" x14ac:dyDescent="0.3">
      <c r="A25" s="26">
        <v>1.22</v>
      </c>
      <c r="B25" s="5"/>
      <c r="C25" s="30" t="s">
        <v>125</v>
      </c>
      <c r="D25" s="6"/>
      <c r="E25" s="7"/>
      <c r="F25" s="7"/>
      <c r="G25" s="8" t="s">
        <v>4</v>
      </c>
      <c r="H25" s="8">
        <f t="shared" si="1"/>
        <v>1</v>
      </c>
      <c r="I25" s="8">
        <f t="shared" si="1"/>
        <v>0</v>
      </c>
      <c r="J25" s="8">
        <f t="shared" si="1"/>
        <v>0</v>
      </c>
      <c r="K25" s="8">
        <f t="shared" si="1"/>
        <v>0</v>
      </c>
      <c r="L25" s="8">
        <f t="shared" si="1"/>
        <v>0</v>
      </c>
      <c r="M25" s="7"/>
    </row>
    <row r="26" spans="1:13" x14ac:dyDescent="0.3">
      <c r="A26" s="26">
        <v>1.23</v>
      </c>
      <c r="B26" s="5"/>
      <c r="C26" s="30" t="s">
        <v>126</v>
      </c>
      <c r="D26" s="6"/>
      <c r="E26" s="7"/>
      <c r="F26" s="7"/>
      <c r="G26" s="8" t="s">
        <v>4</v>
      </c>
      <c r="H26" s="8">
        <f t="shared" si="1"/>
        <v>1</v>
      </c>
      <c r="I26" s="8">
        <f t="shared" si="1"/>
        <v>0</v>
      </c>
      <c r="J26" s="8">
        <f t="shared" si="1"/>
        <v>0</v>
      </c>
      <c r="K26" s="8">
        <f t="shared" si="1"/>
        <v>0</v>
      </c>
      <c r="L26" s="8">
        <f t="shared" si="1"/>
        <v>0</v>
      </c>
      <c r="M26" s="7"/>
    </row>
    <row r="27" spans="1:13" x14ac:dyDescent="0.3">
      <c r="A27" s="26">
        <v>1.24</v>
      </c>
      <c r="B27" s="5"/>
      <c r="C27" s="30" t="s">
        <v>127</v>
      </c>
      <c r="D27" s="6"/>
      <c r="E27" s="7"/>
      <c r="F27" s="7"/>
      <c r="G27" s="8" t="s">
        <v>4</v>
      </c>
      <c r="H27" s="8">
        <f t="shared" si="1"/>
        <v>1</v>
      </c>
      <c r="I27" s="8">
        <f t="shared" si="1"/>
        <v>0</v>
      </c>
      <c r="J27" s="8">
        <f t="shared" si="1"/>
        <v>0</v>
      </c>
      <c r="K27" s="8">
        <f t="shared" si="1"/>
        <v>0</v>
      </c>
      <c r="L27" s="8">
        <f t="shared" si="1"/>
        <v>0</v>
      </c>
      <c r="M27" s="7"/>
    </row>
    <row r="28" spans="1:13" x14ac:dyDescent="0.3">
      <c r="A28" s="26">
        <v>1.25</v>
      </c>
      <c r="B28" s="5"/>
      <c r="C28" s="30" t="s">
        <v>122</v>
      </c>
      <c r="D28" s="6"/>
      <c r="E28" s="7"/>
      <c r="F28" s="7"/>
      <c r="G28" s="8" t="s">
        <v>4</v>
      </c>
      <c r="H28" s="8">
        <f t="shared" si="1"/>
        <v>1</v>
      </c>
      <c r="I28" s="8">
        <f t="shared" si="1"/>
        <v>0</v>
      </c>
      <c r="J28" s="8">
        <f t="shared" si="1"/>
        <v>0</v>
      </c>
      <c r="K28" s="8">
        <f t="shared" si="1"/>
        <v>0</v>
      </c>
      <c r="L28" s="8">
        <f t="shared" si="1"/>
        <v>0</v>
      </c>
      <c r="M28" s="7"/>
    </row>
    <row r="29" spans="1:13" x14ac:dyDescent="0.3">
      <c r="A29" s="26">
        <v>1.26</v>
      </c>
      <c r="B29" s="5"/>
      <c r="C29" s="30" t="s">
        <v>123</v>
      </c>
      <c r="D29" s="6"/>
      <c r="E29" s="7"/>
      <c r="F29" s="7"/>
      <c r="G29" s="8" t="s">
        <v>4</v>
      </c>
      <c r="H29" s="8">
        <f t="shared" si="1"/>
        <v>1</v>
      </c>
      <c r="I29" s="8">
        <f t="shared" si="1"/>
        <v>0</v>
      </c>
      <c r="J29" s="8">
        <f t="shared" si="1"/>
        <v>0</v>
      </c>
      <c r="K29" s="8">
        <f t="shared" si="1"/>
        <v>0</v>
      </c>
      <c r="L29" s="8">
        <f t="shared" si="1"/>
        <v>0</v>
      </c>
      <c r="M29" s="7"/>
    </row>
    <row r="30" spans="1:13" x14ac:dyDescent="0.3">
      <c r="A30" s="26">
        <v>1.27</v>
      </c>
      <c r="B30" s="5"/>
      <c r="C30" s="30" t="s">
        <v>124</v>
      </c>
      <c r="D30" s="6"/>
      <c r="E30" s="7"/>
      <c r="F30" s="7"/>
      <c r="G30" s="8" t="s">
        <v>4</v>
      </c>
      <c r="H30" s="8">
        <f t="shared" si="1"/>
        <v>1</v>
      </c>
      <c r="I30" s="8">
        <f t="shared" si="1"/>
        <v>0</v>
      </c>
      <c r="J30" s="8">
        <f t="shared" si="1"/>
        <v>0</v>
      </c>
      <c r="K30" s="8">
        <f t="shared" si="1"/>
        <v>0</v>
      </c>
      <c r="L30" s="8">
        <f t="shared" si="1"/>
        <v>0</v>
      </c>
      <c r="M30" s="7"/>
    </row>
    <row r="31" spans="1:13" x14ac:dyDescent="0.3">
      <c r="A31" s="26">
        <v>1.28</v>
      </c>
      <c r="B31" s="5"/>
      <c r="C31" s="30" t="s">
        <v>125</v>
      </c>
      <c r="D31" s="6"/>
      <c r="E31" s="7"/>
      <c r="F31" s="7"/>
      <c r="G31" s="8" t="s">
        <v>4</v>
      </c>
      <c r="H31" s="8">
        <f t="shared" si="1"/>
        <v>1</v>
      </c>
      <c r="I31" s="8">
        <f t="shared" si="1"/>
        <v>0</v>
      </c>
      <c r="J31" s="8">
        <f t="shared" si="1"/>
        <v>0</v>
      </c>
      <c r="K31" s="8">
        <f t="shared" si="1"/>
        <v>0</v>
      </c>
      <c r="L31" s="8">
        <f t="shared" si="1"/>
        <v>0</v>
      </c>
      <c r="M31" s="7"/>
    </row>
    <row r="32" spans="1:13" x14ac:dyDescent="0.3">
      <c r="A32" s="26">
        <v>1.29</v>
      </c>
      <c r="B32" s="5"/>
      <c r="C32" s="30" t="s">
        <v>128</v>
      </c>
      <c r="D32" s="6"/>
      <c r="E32" s="7"/>
      <c r="F32" s="7"/>
      <c r="G32" s="8" t="s">
        <v>4</v>
      </c>
      <c r="H32" s="8">
        <f t="shared" si="1"/>
        <v>1</v>
      </c>
      <c r="I32" s="8">
        <f t="shared" si="1"/>
        <v>0</v>
      </c>
      <c r="J32" s="8">
        <f t="shared" si="1"/>
        <v>0</v>
      </c>
      <c r="K32" s="8">
        <f t="shared" si="1"/>
        <v>0</v>
      </c>
      <c r="L32" s="8">
        <f t="shared" si="1"/>
        <v>0</v>
      </c>
      <c r="M32" s="7"/>
    </row>
    <row r="33" spans="1:13" x14ac:dyDescent="0.3">
      <c r="A33" s="26">
        <v>1.3</v>
      </c>
      <c r="B33" s="5"/>
      <c r="C33" s="30" t="s">
        <v>129</v>
      </c>
      <c r="D33" s="6"/>
      <c r="E33" s="7"/>
      <c r="F33" s="7"/>
      <c r="G33" s="8" t="s">
        <v>4</v>
      </c>
      <c r="H33" s="8">
        <f t="shared" si="1"/>
        <v>1</v>
      </c>
      <c r="I33" s="8">
        <f t="shared" si="1"/>
        <v>0</v>
      </c>
      <c r="J33" s="8">
        <f t="shared" si="1"/>
        <v>0</v>
      </c>
      <c r="K33" s="8">
        <f t="shared" si="1"/>
        <v>0</v>
      </c>
      <c r="L33" s="8">
        <f t="shared" si="1"/>
        <v>0</v>
      </c>
      <c r="M33" s="7"/>
    </row>
    <row r="34" spans="1:13" x14ac:dyDescent="0.3">
      <c r="A34" s="26">
        <v>1.31</v>
      </c>
      <c r="B34" s="5"/>
      <c r="C34" s="30" t="s">
        <v>130</v>
      </c>
      <c r="D34" s="6"/>
      <c r="E34" s="7"/>
      <c r="F34" s="7"/>
      <c r="G34" s="8" t="s">
        <v>4</v>
      </c>
      <c r="H34" s="8">
        <f t="shared" si="1"/>
        <v>1</v>
      </c>
      <c r="I34" s="8">
        <f t="shared" si="1"/>
        <v>0</v>
      </c>
      <c r="J34" s="8">
        <f t="shared" si="1"/>
        <v>0</v>
      </c>
      <c r="K34" s="8">
        <f t="shared" si="1"/>
        <v>0</v>
      </c>
      <c r="L34" s="8">
        <f t="shared" si="1"/>
        <v>0</v>
      </c>
      <c r="M34" s="7"/>
    </row>
    <row r="35" spans="1:13" x14ac:dyDescent="0.3">
      <c r="A35" s="26">
        <v>1.32</v>
      </c>
      <c r="B35" s="5"/>
      <c r="C35" s="30" t="s">
        <v>131</v>
      </c>
      <c r="D35" s="6"/>
      <c r="E35" s="7"/>
      <c r="F35" s="7"/>
      <c r="G35" s="8" t="s">
        <v>4</v>
      </c>
      <c r="H35" s="8">
        <f t="shared" si="1"/>
        <v>1</v>
      </c>
      <c r="I35" s="8">
        <f t="shared" si="1"/>
        <v>0</v>
      </c>
      <c r="J35" s="8">
        <f t="shared" si="1"/>
        <v>0</v>
      </c>
      <c r="K35" s="8">
        <f t="shared" si="1"/>
        <v>0</v>
      </c>
      <c r="L35" s="8">
        <f t="shared" si="1"/>
        <v>0</v>
      </c>
      <c r="M35" s="7"/>
    </row>
    <row r="36" spans="1:13" s="19" customFormat="1" ht="15" x14ac:dyDescent="0.25">
      <c r="A36" s="26"/>
      <c r="B36" s="5"/>
      <c r="C36" s="25"/>
      <c r="D36" s="6"/>
      <c r="E36" s="7"/>
      <c r="F36" s="7"/>
      <c r="G36" s="18"/>
      <c r="H36" s="18">
        <f>SUM(H4:H35)</f>
        <v>32</v>
      </c>
      <c r="I36" s="18">
        <f t="shared" ref="I36:L36" si="2">SUM(I4:I35)</f>
        <v>0</v>
      </c>
      <c r="J36" s="18">
        <f t="shared" si="2"/>
        <v>0</v>
      </c>
      <c r="K36" s="18">
        <f t="shared" si="2"/>
        <v>0</v>
      </c>
      <c r="L36" s="18">
        <f t="shared" si="2"/>
        <v>0</v>
      </c>
      <c r="M36" s="16"/>
    </row>
    <row r="37" spans="1:13" s="19" customFormat="1" ht="15" x14ac:dyDescent="0.25">
      <c r="A37" s="23">
        <v>2</v>
      </c>
      <c r="B37" s="22" t="s">
        <v>26</v>
      </c>
      <c r="C37" s="16"/>
      <c r="D37" s="17"/>
      <c r="E37" s="16"/>
      <c r="F37" s="16"/>
      <c r="G37" s="18"/>
      <c r="H37" s="18"/>
      <c r="I37" s="18"/>
      <c r="J37" s="18"/>
      <c r="K37" s="18"/>
      <c r="L37" s="18"/>
      <c r="M37" s="16"/>
    </row>
    <row r="38" spans="1:13" ht="26.4" x14ac:dyDescent="0.3">
      <c r="A38" s="23">
        <v>2.1</v>
      </c>
      <c r="B38" s="5" t="s">
        <v>13</v>
      </c>
      <c r="C38" s="24" t="s">
        <v>14</v>
      </c>
      <c r="D38" s="9" t="s">
        <v>15</v>
      </c>
      <c r="E38" s="33" t="s">
        <v>86</v>
      </c>
      <c r="F38" s="7"/>
      <c r="G38" s="8" t="s">
        <v>4</v>
      </c>
      <c r="H38" s="8">
        <f t="shared" ref="H38:L53" si="3">IF($G38=H$1,1,0)</f>
        <v>1</v>
      </c>
      <c r="I38" s="8">
        <f t="shared" si="3"/>
        <v>0</v>
      </c>
      <c r="J38" s="8">
        <f t="shared" si="3"/>
        <v>0</v>
      </c>
      <c r="K38" s="8">
        <f t="shared" si="3"/>
        <v>0</v>
      </c>
      <c r="L38" s="8">
        <f t="shared" si="3"/>
        <v>0</v>
      </c>
      <c r="M38" s="7"/>
    </row>
    <row r="39" spans="1:13" x14ac:dyDescent="0.3">
      <c r="A39" s="23">
        <v>2.2000000000000002</v>
      </c>
      <c r="B39" s="5" t="s">
        <v>27</v>
      </c>
      <c r="C39" s="25" t="s">
        <v>17</v>
      </c>
      <c r="D39" s="9" t="s">
        <v>83</v>
      </c>
      <c r="E39" s="7"/>
      <c r="F39" s="7"/>
      <c r="G39" s="8" t="s">
        <v>4</v>
      </c>
      <c r="H39" s="8">
        <f t="shared" si="3"/>
        <v>1</v>
      </c>
      <c r="I39" s="8">
        <f t="shared" si="3"/>
        <v>0</v>
      </c>
      <c r="J39" s="8">
        <f t="shared" si="3"/>
        <v>0</v>
      </c>
      <c r="K39" s="8">
        <f t="shared" si="3"/>
        <v>0</v>
      </c>
      <c r="L39" s="8">
        <f t="shared" si="3"/>
        <v>0</v>
      </c>
      <c r="M39" s="7"/>
    </row>
    <row r="40" spans="1:13" x14ac:dyDescent="0.3">
      <c r="A40" s="23">
        <v>2.2999999999999998</v>
      </c>
      <c r="B40" s="5"/>
      <c r="C40" s="25" t="s">
        <v>18</v>
      </c>
      <c r="D40" s="9"/>
      <c r="E40" s="7"/>
      <c r="F40" s="7"/>
      <c r="G40" s="8" t="s">
        <v>4</v>
      </c>
      <c r="H40" s="8">
        <f t="shared" si="3"/>
        <v>1</v>
      </c>
      <c r="I40" s="8">
        <f t="shared" si="3"/>
        <v>0</v>
      </c>
      <c r="J40" s="8">
        <f t="shared" si="3"/>
        <v>0</v>
      </c>
      <c r="K40" s="8">
        <f t="shared" si="3"/>
        <v>0</v>
      </c>
      <c r="L40" s="8">
        <f t="shared" si="3"/>
        <v>0</v>
      </c>
      <c r="M40" s="7"/>
    </row>
    <row r="41" spans="1:13" x14ac:dyDescent="0.3">
      <c r="A41" s="23">
        <v>2.4</v>
      </c>
      <c r="B41" s="5"/>
      <c r="C41" s="25" t="s">
        <v>52</v>
      </c>
      <c r="D41" s="6"/>
      <c r="E41" s="7"/>
      <c r="F41" s="7"/>
      <c r="G41" s="8" t="s">
        <v>4</v>
      </c>
      <c r="H41" s="8">
        <f t="shared" si="3"/>
        <v>1</v>
      </c>
      <c r="I41" s="8">
        <f t="shared" si="3"/>
        <v>0</v>
      </c>
      <c r="J41" s="8">
        <f t="shared" si="3"/>
        <v>0</v>
      </c>
      <c r="K41" s="8">
        <f t="shared" si="3"/>
        <v>0</v>
      </c>
      <c r="L41" s="8">
        <f t="shared" si="3"/>
        <v>0</v>
      </c>
      <c r="M41" s="7"/>
    </row>
    <row r="42" spans="1:13" x14ac:dyDescent="0.3">
      <c r="A42" s="23">
        <v>2.5</v>
      </c>
      <c r="B42" s="5"/>
      <c r="C42" s="30" t="s">
        <v>20</v>
      </c>
      <c r="D42" s="9"/>
      <c r="E42" s="7"/>
      <c r="F42" s="7"/>
      <c r="G42" s="8" t="s">
        <v>4</v>
      </c>
      <c r="H42" s="8">
        <f t="shared" si="3"/>
        <v>1</v>
      </c>
      <c r="I42" s="8">
        <f t="shared" si="3"/>
        <v>0</v>
      </c>
      <c r="J42" s="8">
        <f t="shared" si="3"/>
        <v>0</v>
      </c>
      <c r="K42" s="8">
        <f t="shared" si="3"/>
        <v>0</v>
      </c>
      <c r="L42" s="8">
        <f t="shared" si="3"/>
        <v>0</v>
      </c>
      <c r="M42" s="7"/>
    </row>
    <row r="43" spans="1:13" x14ac:dyDescent="0.3">
      <c r="A43" s="23">
        <v>2.6</v>
      </c>
      <c r="B43" s="5"/>
      <c r="C43" s="25" t="s">
        <v>45</v>
      </c>
      <c r="D43" s="6" t="s">
        <v>133</v>
      </c>
      <c r="E43" s="7"/>
      <c r="F43" s="7"/>
      <c r="G43" s="8" t="s">
        <v>4</v>
      </c>
      <c r="H43" s="8">
        <f t="shared" si="3"/>
        <v>1</v>
      </c>
      <c r="I43" s="8">
        <f t="shared" si="3"/>
        <v>0</v>
      </c>
      <c r="J43" s="8">
        <f t="shared" si="3"/>
        <v>0</v>
      </c>
      <c r="K43" s="8">
        <f t="shared" si="3"/>
        <v>0</v>
      </c>
      <c r="L43" s="8">
        <f t="shared" si="3"/>
        <v>0</v>
      </c>
      <c r="M43" s="7"/>
    </row>
    <row r="44" spans="1:13" ht="39.6" x14ac:dyDescent="0.3">
      <c r="A44" s="23">
        <v>2.7</v>
      </c>
      <c r="B44" s="5"/>
      <c r="C44" s="25" t="s">
        <v>19</v>
      </c>
      <c r="D44" s="9" t="s">
        <v>46</v>
      </c>
      <c r="E44" s="7"/>
      <c r="F44" s="7"/>
      <c r="G44" s="8" t="s">
        <v>4</v>
      </c>
      <c r="H44" s="8">
        <f t="shared" si="3"/>
        <v>1</v>
      </c>
      <c r="I44" s="8">
        <f t="shared" si="3"/>
        <v>0</v>
      </c>
      <c r="J44" s="8">
        <f t="shared" si="3"/>
        <v>0</v>
      </c>
      <c r="K44" s="8">
        <f t="shared" si="3"/>
        <v>0</v>
      </c>
      <c r="L44" s="8">
        <f t="shared" si="3"/>
        <v>0</v>
      </c>
      <c r="M44" s="7"/>
    </row>
    <row r="45" spans="1:13" x14ac:dyDescent="0.3">
      <c r="A45" s="23">
        <v>2.8</v>
      </c>
      <c r="B45" s="5"/>
      <c r="C45" s="25" t="s">
        <v>47</v>
      </c>
      <c r="D45" s="9"/>
      <c r="E45" s="7"/>
      <c r="F45" s="7"/>
      <c r="G45" s="8" t="s">
        <v>4</v>
      </c>
      <c r="H45" s="8">
        <f t="shared" si="3"/>
        <v>1</v>
      </c>
      <c r="I45" s="8">
        <f t="shared" si="3"/>
        <v>0</v>
      </c>
      <c r="J45" s="8">
        <f t="shared" si="3"/>
        <v>0</v>
      </c>
      <c r="K45" s="8">
        <f t="shared" si="3"/>
        <v>0</v>
      </c>
      <c r="L45" s="8">
        <f t="shared" si="3"/>
        <v>0</v>
      </c>
      <c r="M45" s="7"/>
    </row>
    <row r="46" spans="1:13" ht="26.4" x14ac:dyDescent="0.3">
      <c r="A46" s="23">
        <v>2.9</v>
      </c>
      <c r="B46" s="5"/>
      <c r="C46" s="30" t="s">
        <v>53</v>
      </c>
      <c r="D46" s="6" t="s">
        <v>54</v>
      </c>
      <c r="E46" s="7"/>
      <c r="F46" s="7"/>
      <c r="G46" s="8" t="s">
        <v>4</v>
      </c>
      <c r="H46" s="8">
        <f t="shared" si="3"/>
        <v>1</v>
      </c>
      <c r="I46" s="8">
        <f t="shared" si="3"/>
        <v>0</v>
      </c>
      <c r="J46" s="8">
        <f t="shared" si="3"/>
        <v>0</v>
      </c>
      <c r="K46" s="8">
        <f t="shared" si="3"/>
        <v>0</v>
      </c>
      <c r="L46" s="8">
        <f t="shared" si="3"/>
        <v>0</v>
      </c>
      <c r="M46" s="7"/>
    </row>
    <row r="47" spans="1:13" ht="22.8" x14ac:dyDescent="0.3">
      <c r="A47" s="26">
        <v>2.1</v>
      </c>
      <c r="B47" s="5"/>
      <c r="C47" s="30" t="s">
        <v>55</v>
      </c>
      <c r="D47" s="6" t="s">
        <v>133</v>
      </c>
      <c r="E47" s="7"/>
      <c r="F47" s="7"/>
      <c r="G47" s="8" t="s">
        <v>4</v>
      </c>
      <c r="H47" s="8">
        <f t="shared" si="3"/>
        <v>1</v>
      </c>
      <c r="I47" s="8">
        <f t="shared" si="3"/>
        <v>0</v>
      </c>
      <c r="J47" s="8">
        <f t="shared" si="3"/>
        <v>0</v>
      </c>
      <c r="K47" s="8">
        <f t="shared" si="3"/>
        <v>0</v>
      </c>
      <c r="L47" s="8">
        <f t="shared" si="3"/>
        <v>0</v>
      </c>
      <c r="M47" s="7"/>
    </row>
    <row r="48" spans="1:13" ht="22.8" x14ac:dyDescent="0.3">
      <c r="A48" s="26">
        <v>2.11</v>
      </c>
      <c r="B48" s="5"/>
      <c r="C48" s="30" t="s">
        <v>56</v>
      </c>
      <c r="D48" s="6" t="s">
        <v>133</v>
      </c>
      <c r="E48" s="7"/>
      <c r="F48" s="7"/>
      <c r="G48" s="8" t="s">
        <v>4</v>
      </c>
      <c r="H48" s="8">
        <f t="shared" si="3"/>
        <v>1</v>
      </c>
      <c r="I48" s="8">
        <f t="shared" si="3"/>
        <v>0</v>
      </c>
      <c r="J48" s="8">
        <f t="shared" si="3"/>
        <v>0</v>
      </c>
      <c r="K48" s="8">
        <f t="shared" si="3"/>
        <v>0</v>
      </c>
      <c r="L48" s="8">
        <f t="shared" si="3"/>
        <v>0</v>
      </c>
      <c r="M48" s="7"/>
    </row>
    <row r="49" spans="1:13" ht="52.8" x14ac:dyDescent="0.3">
      <c r="A49" s="26">
        <v>2.12</v>
      </c>
      <c r="B49" s="5"/>
      <c r="C49" s="30" t="s">
        <v>57</v>
      </c>
      <c r="D49" s="6" t="s">
        <v>87</v>
      </c>
      <c r="E49" s="7"/>
      <c r="F49" s="7" t="s">
        <v>85</v>
      </c>
      <c r="G49" s="8" t="s">
        <v>4</v>
      </c>
      <c r="H49" s="8">
        <f t="shared" si="3"/>
        <v>1</v>
      </c>
      <c r="I49" s="8">
        <f t="shared" si="3"/>
        <v>0</v>
      </c>
      <c r="J49" s="8">
        <f t="shared" si="3"/>
        <v>0</v>
      </c>
      <c r="K49" s="8">
        <f t="shared" si="3"/>
        <v>0</v>
      </c>
      <c r="L49" s="8">
        <f t="shared" si="3"/>
        <v>0</v>
      </c>
      <c r="M49" s="7"/>
    </row>
    <row r="50" spans="1:13" x14ac:dyDescent="0.3">
      <c r="A50" s="26">
        <v>2.13</v>
      </c>
      <c r="B50" s="5"/>
      <c r="C50" s="30" t="s">
        <v>50</v>
      </c>
      <c r="D50" s="6"/>
      <c r="E50" s="7"/>
      <c r="F50" s="7"/>
      <c r="G50" s="8" t="s">
        <v>4</v>
      </c>
      <c r="H50" s="8">
        <f t="shared" si="3"/>
        <v>1</v>
      </c>
      <c r="I50" s="8">
        <f t="shared" si="3"/>
        <v>0</v>
      </c>
      <c r="J50" s="8">
        <f t="shared" si="3"/>
        <v>0</v>
      </c>
      <c r="K50" s="8">
        <f t="shared" si="3"/>
        <v>0</v>
      </c>
      <c r="L50" s="8">
        <f t="shared" si="3"/>
        <v>0</v>
      </c>
      <c r="M50" s="7"/>
    </row>
    <row r="51" spans="1:13" ht="39.6" x14ac:dyDescent="0.3">
      <c r="A51" s="26">
        <v>2.14</v>
      </c>
      <c r="B51" s="5"/>
      <c r="C51" s="25" t="s">
        <v>24</v>
      </c>
      <c r="D51" s="6" t="s">
        <v>25</v>
      </c>
      <c r="E51" s="7" t="s">
        <v>110</v>
      </c>
      <c r="F51" s="7"/>
      <c r="G51" s="8" t="s">
        <v>4</v>
      </c>
      <c r="H51" s="8">
        <f t="shared" si="3"/>
        <v>1</v>
      </c>
      <c r="I51" s="8">
        <f t="shared" si="3"/>
        <v>0</v>
      </c>
      <c r="J51" s="8">
        <f t="shared" si="3"/>
        <v>0</v>
      </c>
      <c r="K51" s="8">
        <f t="shared" si="3"/>
        <v>0</v>
      </c>
      <c r="L51" s="8">
        <f t="shared" si="3"/>
        <v>0</v>
      </c>
      <c r="M51" s="7"/>
    </row>
    <row r="52" spans="1:13" x14ac:dyDescent="0.3">
      <c r="A52" s="26">
        <v>2.15</v>
      </c>
      <c r="B52" s="5" t="s">
        <v>115</v>
      </c>
      <c r="C52" s="30" t="s">
        <v>116</v>
      </c>
      <c r="D52" s="6"/>
      <c r="E52" s="7"/>
      <c r="F52" s="7"/>
      <c r="G52" s="8" t="s">
        <v>4</v>
      </c>
      <c r="H52" s="8">
        <f t="shared" si="3"/>
        <v>1</v>
      </c>
      <c r="I52" s="8">
        <f t="shared" si="3"/>
        <v>0</v>
      </c>
      <c r="J52" s="8">
        <f t="shared" si="3"/>
        <v>0</v>
      </c>
      <c r="K52" s="8">
        <f t="shared" si="3"/>
        <v>0</v>
      </c>
      <c r="L52" s="8">
        <f t="shared" si="3"/>
        <v>0</v>
      </c>
      <c r="M52" s="7"/>
    </row>
    <row r="53" spans="1:13" x14ac:dyDescent="0.3">
      <c r="A53" s="26">
        <v>2.16</v>
      </c>
      <c r="B53" s="5"/>
      <c r="C53" s="30" t="s">
        <v>117</v>
      </c>
      <c r="D53" s="6"/>
      <c r="E53" s="7"/>
      <c r="F53" s="7"/>
      <c r="G53" s="8" t="s">
        <v>4</v>
      </c>
      <c r="H53" s="8">
        <f t="shared" si="3"/>
        <v>1</v>
      </c>
      <c r="I53" s="8">
        <f t="shared" si="3"/>
        <v>0</v>
      </c>
      <c r="J53" s="8">
        <f t="shared" si="3"/>
        <v>0</v>
      </c>
      <c r="K53" s="8">
        <f t="shared" si="3"/>
        <v>0</v>
      </c>
      <c r="L53" s="8">
        <f t="shared" si="3"/>
        <v>0</v>
      </c>
      <c r="M53" s="7"/>
    </row>
    <row r="54" spans="1:13" x14ac:dyDescent="0.3">
      <c r="A54" s="26">
        <v>2.17</v>
      </c>
      <c r="B54" s="5"/>
      <c r="C54" s="30" t="s">
        <v>118</v>
      </c>
      <c r="D54" s="6"/>
      <c r="E54" s="7"/>
      <c r="F54" s="7"/>
      <c r="G54" s="8" t="s">
        <v>4</v>
      </c>
      <c r="H54" s="8">
        <f t="shared" ref="H54:L70" si="4">IF($G54=H$1,1,0)</f>
        <v>1</v>
      </c>
      <c r="I54" s="8">
        <f t="shared" si="4"/>
        <v>0</v>
      </c>
      <c r="J54" s="8">
        <f t="shared" si="4"/>
        <v>0</v>
      </c>
      <c r="K54" s="8">
        <f t="shared" si="4"/>
        <v>0</v>
      </c>
      <c r="L54" s="8">
        <f t="shared" si="4"/>
        <v>0</v>
      </c>
      <c r="M54" s="7"/>
    </row>
    <row r="55" spans="1:13" x14ac:dyDescent="0.3">
      <c r="A55" s="26">
        <v>2.1800000000000002</v>
      </c>
      <c r="B55" s="5"/>
      <c r="C55" s="30" t="s">
        <v>119</v>
      </c>
      <c r="D55" s="6"/>
      <c r="E55" s="7"/>
      <c r="F55" s="7"/>
      <c r="G55" s="8" t="s">
        <v>4</v>
      </c>
      <c r="H55" s="8">
        <f t="shared" si="4"/>
        <v>1</v>
      </c>
      <c r="I55" s="8">
        <f t="shared" si="4"/>
        <v>0</v>
      </c>
      <c r="J55" s="8">
        <f t="shared" si="4"/>
        <v>0</v>
      </c>
      <c r="K55" s="8">
        <f t="shared" si="4"/>
        <v>0</v>
      </c>
      <c r="L55" s="8">
        <f t="shared" si="4"/>
        <v>0</v>
      </c>
      <c r="M55" s="7"/>
    </row>
    <row r="56" spans="1:13" x14ac:dyDescent="0.3">
      <c r="A56" s="26">
        <v>2.19</v>
      </c>
      <c r="B56" s="5"/>
      <c r="C56" s="30" t="s">
        <v>132</v>
      </c>
      <c r="D56" s="6"/>
      <c r="E56" s="7"/>
      <c r="F56" s="7"/>
      <c r="G56" s="8" t="s">
        <v>4</v>
      </c>
      <c r="H56" s="8">
        <f t="shared" si="4"/>
        <v>1</v>
      </c>
      <c r="I56" s="8">
        <f t="shared" si="4"/>
        <v>0</v>
      </c>
      <c r="J56" s="8">
        <f t="shared" si="4"/>
        <v>0</v>
      </c>
      <c r="K56" s="8">
        <f t="shared" si="4"/>
        <v>0</v>
      </c>
      <c r="L56" s="8">
        <f t="shared" si="4"/>
        <v>0</v>
      </c>
      <c r="M56" s="7"/>
    </row>
    <row r="57" spans="1:13" x14ac:dyDescent="0.3">
      <c r="A57" s="26">
        <v>2.2000000000000002</v>
      </c>
      <c r="B57" s="5" t="s">
        <v>121</v>
      </c>
      <c r="C57" s="30" t="s">
        <v>122</v>
      </c>
      <c r="D57" s="6"/>
      <c r="E57" s="7"/>
      <c r="F57" s="7"/>
      <c r="G57" s="8" t="s">
        <v>4</v>
      </c>
      <c r="H57" s="8">
        <f t="shared" si="4"/>
        <v>1</v>
      </c>
      <c r="I57" s="8">
        <f t="shared" si="4"/>
        <v>0</v>
      </c>
      <c r="J57" s="8">
        <f t="shared" si="4"/>
        <v>0</v>
      </c>
      <c r="K57" s="8">
        <f t="shared" si="4"/>
        <v>0</v>
      </c>
      <c r="L57" s="8">
        <f t="shared" si="4"/>
        <v>0</v>
      </c>
      <c r="M57" s="7"/>
    </row>
    <row r="58" spans="1:13" x14ac:dyDescent="0.3">
      <c r="A58" s="26">
        <v>2.21</v>
      </c>
      <c r="B58" s="5"/>
      <c r="C58" s="30" t="s">
        <v>123</v>
      </c>
      <c r="D58" s="6"/>
      <c r="E58" s="7"/>
      <c r="F58" s="7"/>
      <c r="G58" s="8" t="s">
        <v>4</v>
      </c>
      <c r="H58" s="8">
        <f t="shared" si="4"/>
        <v>1</v>
      </c>
      <c r="I58" s="8">
        <f t="shared" si="4"/>
        <v>0</v>
      </c>
      <c r="J58" s="8">
        <f t="shared" si="4"/>
        <v>0</v>
      </c>
      <c r="K58" s="8">
        <f t="shared" si="4"/>
        <v>0</v>
      </c>
      <c r="L58" s="8">
        <f t="shared" si="4"/>
        <v>0</v>
      </c>
      <c r="M58" s="7"/>
    </row>
    <row r="59" spans="1:13" x14ac:dyDescent="0.3">
      <c r="A59" s="26">
        <v>2.2200000000000002</v>
      </c>
      <c r="B59" s="5"/>
      <c r="C59" s="30" t="s">
        <v>124</v>
      </c>
      <c r="D59" s="6"/>
      <c r="E59" s="7"/>
      <c r="F59" s="7"/>
      <c r="G59" s="8" t="s">
        <v>4</v>
      </c>
      <c r="H59" s="8">
        <f t="shared" si="4"/>
        <v>1</v>
      </c>
      <c r="I59" s="8">
        <f t="shared" si="4"/>
        <v>0</v>
      </c>
      <c r="J59" s="8">
        <f t="shared" si="4"/>
        <v>0</v>
      </c>
      <c r="K59" s="8">
        <f t="shared" si="4"/>
        <v>0</v>
      </c>
      <c r="L59" s="8">
        <f t="shared" si="4"/>
        <v>0</v>
      </c>
      <c r="M59" s="7"/>
    </row>
    <row r="60" spans="1:13" x14ac:dyDescent="0.3">
      <c r="A60" s="26">
        <v>2.23</v>
      </c>
      <c r="B60" s="5"/>
      <c r="C60" s="30" t="s">
        <v>125</v>
      </c>
      <c r="D60" s="6"/>
      <c r="E60" s="7"/>
      <c r="F60" s="7"/>
      <c r="G60" s="8" t="s">
        <v>4</v>
      </c>
      <c r="H60" s="8">
        <f t="shared" si="4"/>
        <v>1</v>
      </c>
      <c r="I60" s="8">
        <f t="shared" si="4"/>
        <v>0</v>
      </c>
      <c r="J60" s="8">
        <f t="shared" si="4"/>
        <v>0</v>
      </c>
      <c r="K60" s="8">
        <f t="shared" si="4"/>
        <v>0</v>
      </c>
      <c r="L60" s="8">
        <f t="shared" si="4"/>
        <v>0</v>
      </c>
      <c r="M60" s="7"/>
    </row>
    <row r="61" spans="1:13" x14ac:dyDescent="0.3">
      <c r="A61" s="26">
        <v>2.2400000000000002</v>
      </c>
      <c r="B61" s="5"/>
      <c r="C61" s="30" t="s">
        <v>126</v>
      </c>
      <c r="D61" s="6"/>
      <c r="E61" s="7"/>
      <c r="F61" s="7"/>
      <c r="G61" s="8" t="s">
        <v>4</v>
      </c>
      <c r="H61" s="8">
        <f t="shared" si="4"/>
        <v>1</v>
      </c>
      <c r="I61" s="8">
        <f t="shared" si="4"/>
        <v>0</v>
      </c>
      <c r="J61" s="8">
        <f t="shared" si="4"/>
        <v>0</v>
      </c>
      <c r="K61" s="8">
        <f t="shared" si="4"/>
        <v>0</v>
      </c>
      <c r="L61" s="8">
        <f t="shared" si="4"/>
        <v>0</v>
      </c>
      <c r="M61" s="7"/>
    </row>
    <row r="62" spans="1:13" x14ac:dyDescent="0.3">
      <c r="A62" s="26">
        <v>2.25</v>
      </c>
      <c r="B62" s="5"/>
      <c r="C62" s="30" t="s">
        <v>127</v>
      </c>
      <c r="D62" s="6"/>
      <c r="E62" s="7"/>
      <c r="F62" s="7"/>
      <c r="G62" s="8" t="s">
        <v>4</v>
      </c>
      <c r="H62" s="8">
        <f t="shared" si="4"/>
        <v>1</v>
      </c>
      <c r="I62" s="8">
        <f t="shared" si="4"/>
        <v>0</v>
      </c>
      <c r="J62" s="8">
        <f t="shared" si="4"/>
        <v>0</v>
      </c>
      <c r="K62" s="8">
        <f t="shared" si="4"/>
        <v>0</v>
      </c>
      <c r="L62" s="8">
        <f t="shared" si="4"/>
        <v>0</v>
      </c>
      <c r="M62" s="7"/>
    </row>
    <row r="63" spans="1:13" x14ac:dyDescent="0.3">
      <c r="A63" s="26">
        <v>2.2599999999999998</v>
      </c>
      <c r="B63" s="5"/>
      <c r="C63" s="30" t="s">
        <v>122</v>
      </c>
      <c r="D63" s="6"/>
      <c r="E63" s="7"/>
      <c r="F63" s="7"/>
      <c r="G63" s="8" t="s">
        <v>4</v>
      </c>
      <c r="H63" s="8">
        <f t="shared" si="4"/>
        <v>1</v>
      </c>
      <c r="I63" s="8">
        <f t="shared" si="4"/>
        <v>0</v>
      </c>
      <c r="J63" s="8">
        <f t="shared" si="4"/>
        <v>0</v>
      </c>
      <c r="K63" s="8">
        <f t="shared" si="4"/>
        <v>0</v>
      </c>
      <c r="L63" s="8">
        <f t="shared" si="4"/>
        <v>0</v>
      </c>
      <c r="M63" s="7"/>
    </row>
    <row r="64" spans="1:13" x14ac:dyDescent="0.3">
      <c r="A64" s="26">
        <v>2.27</v>
      </c>
      <c r="B64" s="5"/>
      <c r="C64" s="30" t="s">
        <v>123</v>
      </c>
      <c r="D64" s="6"/>
      <c r="E64" s="7"/>
      <c r="F64" s="7"/>
      <c r="G64" s="8" t="s">
        <v>4</v>
      </c>
      <c r="H64" s="8">
        <f t="shared" si="4"/>
        <v>1</v>
      </c>
      <c r="I64" s="8">
        <f t="shared" si="4"/>
        <v>0</v>
      </c>
      <c r="J64" s="8">
        <f t="shared" si="4"/>
        <v>0</v>
      </c>
      <c r="K64" s="8">
        <f t="shared" si="4"/>
        <v>0</v>
      </c>
      <c r="L64" s="8">
        <f t="shared" si="4"/>
        <v>0</v>
      </c>
      <c r="M64" s="7"/>
    </row>
    <row r="65" spans="1:13" x14ac:dyDescent="0.3">
      <c r="A65" s="26">
        <v>2.2799999999999998</v>
      </c>
      <c r="B65" s="5"/>
      <c r="C65" s="30" t="s">
        <v>124</v>
      </c>
      <c r="D65" s="6"/>
      <c r="E65" s="7"/>
      <c r="F65" s="7"/>
      <c r="G65" s="8" t="s">
        <v>4</v>
      </c>
      <c r="H65" s="8">
        <f t="shared" si="4"/>
        <v>1</v>
      </c>
      <c r="I65" s="8">
        <f t="shared" si="4"/>
        <v>0</v>
      </c>
      <c r="J65" s="8">
        <f t="shared" si="4"/>
        <v>0</v>
      </c>
      <c r="K65" s="8">
        <f t="shared" si="4"/>
        <v>0</v>
      </c>
      <c r="L65" s="8">
        <f t="shared" si="4"/>
        <v>0</v>
      </c>
      <c r="M65" s="7"/>
    </row>
    <row r="66" spans="1:13" x14ac:dyDescent="0.3">
      <c r="A66" s="26">
        <v>2.29</v>
      </c>
      <c r="B66" s="5"/>
      <c r="C66" s="30" t="s">
        <v>125</v>
      </c>
      <c r="D66" s="6"/>
      <c r="E66" s="7"/>
      <c r="F66" s="7"/>
      <c r="G66" s="8" t="s">
        <v>4</v>
      </c>
      <c r="H66" s="8">
        <f t="shared" si="4"/>
        <v>1</v>
      </c>
      <c r="I66" s="8">
        <f t="shared" si="4"/>
        <v>0</v>
      </c>
      <c r="J66" s="8">
        <f t="shared" si="4"/>
        <v>0</v>
      </c>
      <c r="K66" s="8">
        <f t="shared" si="4"/>
        <v>0</v>
      </c>
      <c r="L66" s="8">
        <f t="shared" si="4"/>
        <v>0</v>
      </c>
      <c r="M66" s="7"/>
    </row>
    <row r="67" spans="1:13" x14ac:dyDescent="0.3">
      <c r="A67" s="26">
        <v>2.2999999999999998</v>
      </c>
      <c r="B67" s="5"/>
      <c r="C67" s="30" t="s">
        <v>128</v>
      </c>
      <c r="D67" s="6"/>
      <c r="E67" s="7"/>
      <c r="F67" s="7"/>
      <c r="G67" s="8" t="s">
        <v>4</v>
      </c>
      <c r="H67" s="8">
        <f t="shared" si="4"/>
        <v>1</v>
      </c>
      <c r="I67" s="8">
        <f t="shared" si="4"/>
        <v>0</v>
      </c>
      <c r="J67" s="8">
        <f t="shared" si="4"/>
        <v>0</v>
      </c>
      <c r="K67" s="8">
        <f t="shared" si="4"/>
        <v>0</v>
      </c>
      <c r="L67" s="8">
        <f t="shared" si="4"/>
        <v>0</v>
      </c>
      <c r="M67" s="7"/>
    </row>
    <row r="68" spans="1:13" x14ac:dyDescent="0.3">
      <c r="A68" s="26">
        <v>2.31</v>
      </c>
      <c r="B68" s="5"/>
      <c r="C68" s="30" t="s">
        <v>129</v>
      </c>
      <c r="D68" s="6"/>
      <c r="E68" s="7"/>
      <c r="F68" s="7"/>
      <c r="G68" s="8" t="s">
        <v>4</v>
      </c>
      <c r="H68" s="8">
        <f t="shared" si="4"/>
        <v>1</v>
      </c>
      <c r="I68" s="8">
        <f t="shared" si="4"/>
        <v>0</v>
      </c>
      <c r="J68" s="8">
        <f t="shared" si="4"/>
        <v>0</v>
      </c>
      <c r="K68" s="8">
        <f t="shared" si="4"/>
        <v>0</v>
      </c>
      <c r="L68" s="8">
        <f t="shared" si="4"/>
        <v>0</v>
      </c>
      <c r="M68" s="7"/>
    </row>
    <row r="69" spans="1:13" x14ac:dyDescent="0.3">
      <c r="A69" s="26">
        <v>2.3199999999999998</v>
      </c>
      <c r="B69" s="5"/>
      <c r="C69" s="30" t="s">
        <v>130</v>
      </c>
      <c r="D69" s="6"/>
      <c r="E69" s="7"/>
      <c r="F69" s="7"/>
      <c r="G69" s="8" t="s">
        <v>4</v>
      </c>
      <c r="H69" s="8">
        <f t="shared" si="4"/>
        <v>1</v>
      </c>
      <c r="I69" s="8">
        <f t="shared" si="4"/>
        <v>0</v>
      </c>
      <c r="J69" s="8">
        <f t="shared" si="4"/>
        <v>0</v>
      </c>
      <c r="K69" s="8">
        <f t="shared" si="4"/>
        <v>0</v>
      </c>
      <c r="L69" s="8">
        <f t="shared" si="4"/>
        <v>0</v>
      </c>
      <c r="M69" s="7"/>
    </row>
    <row r="70" spans="1:13" x14ac:dyDescent="0.3">
      <c r="A70" s="26">
        <v>2.33</v>
      </c>
      <c r="B70" s="5"/>
      <c r="C70" s="30" t="s">
        <v>131</v>
      </c>
      <c r="D70" s="6"/>
      <c r="E70" s="7"/>
      <c r="F70" s="7"/>
      <c r="G70" s="8" t="s">
        <v>4</v>
      </c>
      <c r="H70" s="8">
        <f t="shared" si="4"/>
        <v>1</v>
      </c>
      <c r="I70" s="8">
        <f t="shared" si="4"/>
        <v>0</v>
      </c>
      <c r="J70" s="8">
        <f t="shared" si="4"/>
        <v>0</v>
      </c>
      <c r="K70" s="8">
        <f t="shared" si="4"/>
        <v>0</v>
      </c>
      <c r="L70" s="8">
        <f t="shared" si="4"/>
        <v>0</v>
      </c>
      <c r="M70" s="7"/>
    </row>
    <row r="71" spans="1:13" s="19" customFormat="1" ht="15" x14ac:dyDescent="0.25">
      <c r="C71" s="25"/>
      <c r="D71" s="6"/>
      <c r="E71" s="7"/>
      <c r="F71" s="7"/>
      <c r="G71" s="18"/>
      <c r="H71" s="18">
        <f>SUM(H38:H70)</f>
        <v>33</v>
      </c>
      <c r="I71" s="18">
        <f t="shared" ref="I71:L71" si="5">SUM(I38:I70)</f>
        <v>0</v>
      </c>
      <c r="J71" s="18">
        <f t="shared" si="5"/>
        <v>0</v>
      </c>
      <c r="K71" s="18">
        <f t="shared" si="5"/>
        <v>0</v>
      </c>
      <c r="L71" s="18">
        <f t="shared" si="5"/>
        <v>0</v>
      </c>
      <c r="M71" s="16"/>
    </row>
    <row r="72" spans="1:13" ht="30" customHeight="1" x14ac:dyDescent="0.25">
      <c r="A72" s="50" t="s">
        <v>58</v>
      </c>
      <c r="B72" s="51"/>
      <c r="C72" s="52"/>
      <c r="D72" s="11"/>
      <c r="E72" s="12"/>
      <c r="F72" s="12"/>
      <c r="G72" s="11"/>
      <c r="H72" s="12"/>
      <c r="I72" s="12"/>
      <c r="J72" s="12"/>
      <c r="K72" s="12"/>
      <c r="L72" s="12"/>
      <c r="M72" s="12"/>
    </row>
    <row r="73" spans="1:13" s="19" customFormat="1" ht="15" x14ac:dyDescent="0.25">
      <c r="A73" s="21">
        <v>3</v>
      </c>
      <c r="B73" s="22" t="s">
        <v>28</v>
      </c>
      <c r="C73" s="31"/>
      <c r="D73" s="17"/>
      <c r="E73" s="16"/>
      <c r="F73" s="16"/>
      <c r="G73" s="18"/>
      <c r="H73" s="18"/>
      <c r="I73" s="18"/>
      <c r="J73" s="18"/>
      <c r="K73" s="18"/>
      <c r="L73" s="18"/>
      <c r="M73" s="16"/>
    </row>
    <row r="74" spans="1:13" ht="26.4" x14ac:dyDescent="0.3">
      <c r="A74" s="23">
        <v>3.1</v>
      </c>
      <c r="B74" s="5" t="s">
        <v>29</v>
      </c>
      <c r="C74" s="24" t="s">
        <v>14</v>
      </c>
      <c r="D74" s="9" t="s">
        <v>15</v>
      </c>
      <c r="E74" s="33" t="s">
        <v>112</v>
      </c>
      <c r="F74" s="7"/>
      <c r="G74" s="8" t="s">
        <v>4</v>
      </c>
      <c r="H74" s="8">
        <f t="shared" ref="H74:L89" si="6">IF($G74=H$1,1,0)</f>
        <v>1</v>
      </c>
      <c r="I74" s="8">
        <f t="shared" si="6"/>
        <v>0</v>
      </c>
      <c r="J74" s="8">
        <f t="shared" si="6"/>
        <v>0</v>
      </c>
      <c r="K74" s="8">
        <f t="shared" si="6"/>
        <v>0</v>
      </c>
      <c r="L74" s="8">
        <f t="shared" si="6"/>
        <v>0</v>
      </c>
      <c r="M74" s="7"/>
    </row>
    <row r="75" spans="1:13" x14ac:dyDescent="0.3">
      <c r="A75" s="23">
        <v>3.2</v>
      </c>
      <c r="B75" s="5" t="s">
        <v>30</v>
      </c>
      <c r="C75" s="25" t="s">
        <v>17</v>
      </c>
      <c r="D75" s="9"/>
      <c r="E75" s="7"/>
      <c r="F75" s="7"/>
      <c r="G75" s="8" t="s">
        <v>4</v>
      </c>
      <c r="H75" s="8">
        <f t="shared" si="6"/>
        <v>1</v>
      </c>
      <c r="I75" s="8">
        <f t="shared" si="6"/>
        <v>0</v>
      </c>
      <c r="J75" s="8">
        <f t="shared" si="6"/>
        <v>0</v>
      </c>
      <c r="K75" s="8">
        <f t="shared" si="6"/>
        <v>0</v>
      </c>
      <c r="L75" s="8">
        <f t="shared" si="6"/>
        <v>0</v>
      </c>
      <c r="M75" s="7"/>
    </row>
    <row r="76" spans="1:13" x14ac:dyDescent="0.3">
      <c r="A76" s="23">
        <v>3.3</v>
      </c>
      <c r="B76" s="5"/>
      <c r="C76" s="25" t="s">
        <v>18</v>
      </c>
      <c r="D76" s="9"/>
      <c r="E76" s="7"/>
      <c r="F76" s="7"/>
      <c r="G76" s="8" t="s">
        <v>4</v>
      </c>
      <c r="H76" s="8">
        <f t="shared" si="6"/>
        <v>1</v>
      </c>
      <c r="I76" s="8">
        <f t="shared" si="6"/>
        <v>0</v>
      </c>
      <c r="J76" s="8">
        <f t="shared" si="6"/>
        <v>0</v>
      </c>
      <c r="K76" s="8">
        <f t="shared" si="6"/>
        <v>0</v>
      </c>
      <c r="L76" s="8">
        <f t="shared" si="6"/>
        <v>0</v>
      </c>
      <c r="M76" s="7"/>
    </row>
    <row r="77" spans="1:13" x14ac:dyDescent="0.3">
      <c r="A77" s="23">
        <v>3.4</v>
      </c>
      <c r="B77" s="5"/>
      <c r="C77" s="25" t="s">
        <v>44</v>
      </c>
      <c r="D77" s="6"/>
      <c r="E77" s="7"/>
      <c r="F77" s="7"/>
      <c r="G77" s="8" t="s">
        <v>4</v>
      </c>
      <c r="H77" s="8">
        <f t="shared" si="6"/>
        <v>1</v>
      </c>
      <c r="I77" s="8">
        <f t="shared" si="6"/>
        <v>0</v>
      </c>
      <c r="J77" s="8">
        <f t="shared" si="6"/>
        <v>0</v>
      </c>
      <c r="K77" s="8">
        <f t="shared" si="6"/>
        <v>0</v>
      </c>
      <c r="L77" s="8">
        <f t="shared" si="6"/>
        <v>0</v>
      </c>
      <c r="M77" s="7"/>
    </row>
    <row r="78" spans="1:13" x14ac:dyDescent="0.3">
      <c r="A78" s="23">
        <v>3.5</v>
      </c>
      <c r="B78" s="5"/>
      <c r="C78" s="30" t="s">
        <v>20</v>
      </c>
      <c r="D78" s="9"/>
      <c r="E78" s="7"/>
      <c r="F78" s="7"/>
      <c r="G78" s="8" t="s">
        <v>4</v>
      </c>
      <c r="H78" s="8">
        <f t="shared" si="6"/>
        <v>1</v>
      </c>
      <c r="I78" s="8">
        <f t="shared" si="6"/>
        <v>0</v>
      </c>
      <c r="J78" s="8">
        <f t="shared" si="6"/>
        <v>0</v>
      </c>
      <c r="K78" s="8">
        <f t="shared" si="6"/>
        <v>0</v>
      </c>
      <c r="L78" s="8">
        <f t="shared" si="6"/>
        <v>0</v>
      </c>
      <c r="M78" s="7"/>
    </row>
    <row r="79" spans="1:13" x14ac:dyDescent="0.3">
      <c r="A79" s="23">
        <v>3.6</v>
      </c>
      <c r="B79" s="5"/>
      <c r="C79" s="25" t="s">
        <v>45</v>
      </c>
      <c r="D79" s="6" t="s">
        <v>133</v>
      </c>
      <c r="E79" s="7"/>
      <c r="F79" s="7"/>
      <c r="G79" s="8" t="s">
        <v>4</v>
      </c>
      <c r="H79" s="8">
        <f t="shared" si="6"/>
        <v>1</v>
      </c>
      <c r="I79" s="8">
        <f t="shared" si="6"/>
        <v>0</v>
      </c>
      <c r="J79" s="8">
        <f t="shared" si="6"/>
        <v>0</v>
      </c>
      <c r="K79" s="8">
        <f t="shared" si="6"/>
        <v>0</v>
      </c>
      <c r="L79" s="8">
        <f t="shared" si="6"/>
        <v>0</v>
      </c>
      <c r="M79" s="7"/>
    </row>
    <row r="80" spans="1:13" ht="39.6" x14ac:dyDescent="0.3">
      <c r="A80" s="23">
        <v>3.7</v>
      </c>
      <c r="B80" s="5"/>
      <c r="C80" s="25" t="s">
        <v>19</v>
      </c>
      <c r="D80" s="9" t="s">
        <v>46</v>
      </c>
      <c r="E80" s="7"/>
      <c r="F80" s="7"/>
      <c r="G80" s="8" t="s">
        <v>4</v>
      </c>
      <c r="H80" s="8">
        <f t="shared" si="6"/>
        <v>1</v>
      </c>
      <c r="I80" s="8">
        <f t="shared" si="6"/>
        <v>0</v>
      </c>
      <c r="J80" s="8">
        <f t="shared" si="6"/>
        <v>0</v>
      </c>
      <c r="K80" s="8">
        <f t="shared" si="6"/>
        <v>0</v>
      </c>
      <c r="L80" s="8">
        <f t="shared" si="6"/>
        <v>0</v>
      </c>
      <c r="M80" s="7"/>
    </row>
    <row r="81" spans="1:13" x14ac:dyDescent="0.3">
      <c r="A81" s="23">
        <v>3.8</v>
      </c>
      <c r="B81" s="5"/>
      <c r="C81" s="25" t="s">
        <v>47</v>
      </c>
      <c r="D81" s="9"/>
      <c r="E81" s="7"/>
      <c r="F81" s="7"/>
      <c r="G81" s="8" t="s">
        <v>4</v>
      </c>
      <c r="H81" s="8">
        <f t="shared" si="6"/>
        <v>1</v>
      </c>
      <c r="I81" s="8">
        <f t="shared" si="6"/>
        <v>0</v>
      </c>
      <c r="J81" s="8">
        <f t="shared" si="6"/>
        <v>0</v>
      </c>
      <c r="K81" s="8">
        <f t="shared" si="6"/>
        <v>0</v>
      </c>
      <c r="L81" s="8">
        <f t="shared" si="6"/>
        <v>0</v>
      </c>
      <c r="M81" s="7"/>
    </row>
    <row r="82" spans="1:13" x14ac:dyDescent="0.3">
      <c r="A82" s="23">
        <v>3.9</v>
      </c>
      <c r="B82" s="5"/>
      <c r="C82" s="30" t="s">
        <v>48</v>
      </c>
      <c r="D82" s="6"/>
      <c r="E82" s="7"/>
      <c r="F82" s="7"/>
      <c r="G82" s="8" t="s">
        <v>4</v>
      </c>
      <c r="H82" s="8">
        <f t="shared" si="6"/>
        <v>1</v>
      </c>
      <c r="I82" s="8">
        <f t="shared" si="6"/>
        <v>0</v>
      </c>
      <c r="J82" s="8">
        <f t="shared" si="6"/>
        <v>0</v>
      </c>
      <c r="K82" s="8">
        <f t="shared" si="6"/>
        <v>0</v>
      </c>
      <c r="L82" s="8">
        <f t="shared" si="6"/>
        <v>0</v>
      </c>
      <c r="M82" s="7"/>
    </row>
    <row r="83" spans="1:13" x14ac:dyDescent="0.3">
      <c r="A83" s="26">
        <v>3.1</v>
      </c>
      <c r="B83" s="5"/>
      <c r="C83" s="30" t="s">
        <v>49</v>
      </c>
      <c r="D83" s="6" t="s">
        <v>134</v>
      </c>
      <c r="E83" s="7"/>
      <c r="F83" s="7" t="s">
        <v>85</v>
      </c>
      <c r="G83" s="8" t="s">
        <v>4</v>
      </c>
      <c r="H83" s="8">
        <f t="shared" si="6"/>
        <v>1</v>
      </c>
      <c r="I83" s="8">
        <f t="shared" si="6"/>
        <v>0</v>
      </c>
      <c r="J83" s="8">
        <f t="shared" si="6"/>
        <v>0</v>
      </c>
      <c r="K83" s="8">
        <f t="shared" si="6"/>
        <v>0</v>
      </c>
      <c r="L83" s="8">
        <f t="shared" si="6"/>
        <v>0</v>
      </c>
      <c r="M83" s="7"/>
    </row>
    <row r="84" spans="1:13" x14ac:dyDescent="0.3">
      <c r="A84" s="26">
        <v>3.11</v>
      </c>
      <c r="B84" s="5"/>
      <c r="C84" s="30" t="s">
        <v>50</v>
      </c>
      <c r="D84" s="6" t="s">
        <v>51</v>
      </c>
      <c r="E84" s="7"/>
      <c r="F84" s="7"/>
      <c r="G84" s="8" t="s">
        <v>4</v>
      </c>
      <c r="H84" s="8">
        <f t="shared" si="6"/>
        <v>1</v>
      </c>
      <c r="I84" s="8">
        <f t="shared" si="6"/>
        <v>0</v>
      </c>
      <c r="J84" s="8">
        <f t="shared" si="6"/>
        <v>0</v>
      </c>
      <c r="K84" s="8">
        <f t="shared" si="6"/>
        <v>0</v>
      </c>
      <c r="L84" s="8">
        <f t="shared" si="6"/>
        <v>0</v>
      </c>
      <c r="M84" s="7"/>
    </row>
    <row r="85" spans="1:13" ht="39.6" x14ac:dyDescent="0.3">
      <c r="A85" s="26">
        <v>3.12</v>
      </c>
      <c r="B85" s="5"/>
      <c r="C85" s="25" t="s">
        <v>24</v>
      </c>
      <c r="D85" s="6" t="s">
        <v>25</v>
      </c>
      <c r="E85" s="7" t="s">
        <v>110</v>
      </c>
      <c r="F85" s="7"/>
      <c r="G85" s="8" t="s">
        <v>4</v>
      </c>
      <c r="H85" s="8">
        <f t="shared" si="6"/>
        <v>1</v>
      </c>
      <c r="I85" s="8">
        <f t="shared" si="6"/>
        <v>0</v>
      </c>
      <c r="J85" s="8">
        <f t="shared" si="6"/>
        <v>0</v>
      </c>
      <c r="K85" s="8">
        <f t="shared" si="6"/>
        <v>0</v>
      </c>
      <c r="L85" s="8">
        <f t="shared" si="6"/>
        <v>0</v>
      </c>
      <c r="M85" s="7"/>
    </row>
    <row r="86" spans="1:13" x14ac:dyDescent="0.3">
      <c r="A86" s="26">
        <v>3.13</v>
      </c>
      <c r="B86" s="5" t="s">
        <v>115</v>
      </c>
      <c r="C86" s="30" t="s">
        <v>116</v>
      </c>
      <c r="D86" s="6"/>
      <c r="E86" s="7"/>
      <c r="F86" s="7"/>
      <c r="G86" s="8" t="s">
        <v>4</v>
      </c>
      <c r="H86" s="8">
        <f t="shared" si="6"/>
        <v>1</v>
      </c>
      <c r="I86" s="8">
        <f t="shared" si="6"/>
        <v>0</v>
      </c>
      <c r="J86" s="8">
        <f t="shared" si="6"/>
        <v>0</v>
      </c>
      <c r="K86" s="8">
        <f t="shared" si="6"/>
        <v>0</v>
      </c>
      <c r="L86" s="8">
        <f t="shared" si="6"/>
        <v>0</v>
      </c>
      <c r="M86" s="7"/>
    </row>
    <row r="87" spans="1:13" x14ac:dyDescent="0.3">
      <c r="A87" s="26">
        <v>3.14</v>
      </c>
      <c r="B87" s="5"/>
      <c r="C87" s="30" t="s">
        <v>117</v>
      </c>
      <c r="D87" s="6"/>
      <c r="E87" s="7"/>
      <c r="F87" s="7"/>
      <c r="G87" s="8" t="s">
        <v>4</v>
      </c>
      <c r="H87" s="8">
        <f t="shared" si="6"/>
        <v>1</v>
      </c>
      <c r="I87" s="8">
        <f t="shared" si="6"/>
        <v>0</v>
      </c>
      <c r="J87" s="8">
        <f t="shared" si="6"/>
        <v>0</v>
      </c>
      <c r="K87" s="8">
        <f t="shared" si="6"/>
        <v>0</v>
      </c>
      <c r="L87" s="8">
        <f t="shared" si="6"/>
        <v>0</v>
      </c>
      <c r="M87" s="7"/>
    </row>
    <row r="88" spans="1:13" x14ac:dyDescent="0.3">
      <c r="A88" s="26">
        <v>3.15</v>
      </c>
      <c r="B88" s="5"/>
      <c r="C88" s="30" t="s">
        <v>118</v>
      </c>
      <c r="D88" s="6"/>
      <c r="E88" s="7"/>
      <c r="F88" s="7"/>
      <c r="G88" s="8" t="s">
        <v>4</v>
      </c>
      <c r="H88" s="8">
        <f t="shared" si="6"/>
        <v>1</v>
      </c>
      <c r="I88" s="8">
        <f t="shared" si="6"/>
        <v>0</v>
      </c>
      <c r="J88" s="8">
        <f t="shared" si="6"/>
        <v>0</v>
      </c>
      <c r="K88" s="8">
        <f t="shared" si="6"/>
        <v>0</v>
      </c>
      <c r="L88" s="8">
        <f t="shared" si="6"/>
        <v>0</v>
      </c>
      <c r="M88" s="7"/>
    </row>
    <row r="89" spans="1:13" x14ac:dyDescent="0.3">
      <c r="A89" s="26">
        <v>3.16</v>
      </c>
      <c r="B89" s="5"/>
      <c r="C89" s="30" t="s">
        <v>119</v>
      </c>
      <c r="D89" s="6"/>
      <c r="E89" s="7"/>
      <c r="F89" s="7"/>
      <c r="G89" s="8" t="s">
        <v>4</v>
      </c>
      <c r="H89" s="8">
        <f t="shared" si="6"/>
        <v>1</v>
      </c>
      <c r="I89" s="8">
        <f t="shared" si="6"/>
        <v>0</v>
      </c>
      <c r="J89" s="8">
        <f t="shared" si="6"/>
        <v>0</v>
      </c>
      <c r="K89" s="8">
        <f t="shared" si="6"/>
        <v>0</v>
      </c>
      <c r="L89" s="8">
        <f t="shared" si="6"/>
        <v>0</v>
      </c>
      <c r="M89" s="7"/>
    </row>
    <row r="90" spans="1:13" x14ac:dyDescent="0.3">
      <c r="A90" s="26">
        <v>3.17</v>
      </c>
      <c r="B90" s="5"/>
      <c r="C90" s="30" t="s">
        <v>132</v>
      </c>
      <c r="D90" s="6"/>
      <c r="E90" s="7"/>
      <c r="F90" s="7"/>
      <c r="G90" s="8" t="s">
        <v>4</v>
      </c>
      <c r="H90" s="8">
        <f t="shared" ref="H90:L104" si="7">IF($G90=H$1,1,0)</f>
        <v>1</v>
      </c>
      <c r="I90" s="8">
        <f t="shared" si="7"/>
        <v>0</v>
      </c>
      <c r="J90" s="8">
        <f t="shared" si="7"/>
        <v>0</v>
      </c>
      <c r="K90" s="8">
        <f t="shared" si="7"/>
        <v>0</v>
      </c>
      <c r="L90" s="8">
        <f t="shared" si="7"/>
        <v>0</v>
      </c>
      <c r="M90" s="7"/>
    </row>
    <row r="91" spans="1:13" x14ac:dyDescent="0.3">
      <c r="A91" s="26">
        <v>3.18</v>
      </c>
      <c r="B91" s="5" t="s">
        <v>121</v>
      </c>
      <c r="C91" s="30" t="s">
        <v>122</v>
      </c>
      <c r="D91" s="6"/>
      <c r="E91" s="7"/>
      <c r="F91" s="7"/>
      <c r="G91" s="8" t="s">
        <v>4</v>
      </c>
      <c r="H91" s="8">
        <f t="shared" si="7"/>
        <v>1</v>
      </c>
      <c r="I91" s="8">
        <f t="shared" si="7"/>
        <v>0</v>
      </c>
      <c r="J91" s="8">
        <f t="shared" si="7"/>
        <v>0</v>
      </c>
      <c r="K91" s="8">
        <f t="shared" si="7"/>
        <v>0</v>
      </c>
      <c r="L91" s="8">
        <f t="shared" si="7"/>
        <v>0</v>
      </c>
      <c r="M91" s="7"/>
    </row>
    <row r="92" spans="1:13" x14ac:dyDescent="0.3">
      <c r="A92" s="26">
        <v>3.19</v>
      </c>
      <c r="B92" s="5"/>
      <c r="C92" s="30" t="s">
        <v>123</v>
      </c>
      <c r="D92" s="6"/>
      <c r="E92" s="7"/>
      <c r="F92" s="7"/>
      <c r="G92" s="8" t="s">
        <v>4</v>
      </c>
      <c r="H92" s="8">
        <f t="shared" si="7"/>
        <v>1</v>
      </c>
      <c r="I92" s="8">
        <f t="shared" si="7"/>
        <v>0</v>
      </c>
      <c r="J92" s="8">
        <f t="shared" si="7"/>
        <v>0</v>
      </c>
      <c r="K92" s="8">
        <f t="shared" si="7"/>
        <v>0</v>
      </c>
      <c r="L92" s="8">
        <f t="shared" si="7"/>
        <v>0</v>
      </c>
      <c r="M92" s="7"/>
    </row>
    <row r="93" spans="1:13" x14ac:dyDescent="0.3">
      <c r="A93" s="26">
        <v>3.2</v>
      </c>
      <c r="B93" s="5"/>
      <c r="C93" s="30" t="s">
        <v>124</v>
      </c>
      <c r="D93" s="6"/>
      <c r="E93" s="7"/>
      <c r="F93" s="7"/>
      <c r="G93" s="8" t="s">
        <v>4</v>
      </c>
      <c r="H93" s="8">
        <f t="shared" si="7"/>
        <v>1</v>
      </c>
      <c r="I93" s="8">
        <f t="shared" si="7"/>
        <v>0</v>
      </c>
      <c r="J93" s="8">
        <f t="shared" si="7"/>
        <v>0</v>
      </c>
      <c r="K93" s="8">
        <f t="shared" si="7"/>
        <v>0</v>
      </c>
      <c r="L93" s="8">
        <f t="shared" si="7"/>
        <v>0</v>
      </c>
      <c r="M93" s="7"/>
    </row>
    <row r="94" spans="1:13" x14ac:dyDescent="0.3">
      <c r="A94" s="26">
        <v>3.21</v>
      </c>
      <c r="B94" s="5"/>
      <c r="C94" s="30" t="s">
        <v>125</v>
      </c>
      <c r="D94" s="6"/>
      <c r="E94" s="7"/>
      <c r="F94" s="7"/>
      <c r="G94" s="8" t="s">
        <v>4</v>
      </c>
      <c r="H94" s="8">
        <f t="shared" si="7"/>
        <v>1</v>
      </c>
      <c r="I94" s="8">
        <f t="shared" si="7"/>
        <v>0</v>
      </c>
      <c r="J94" s="8">
        <f t="shared" si="7"/>
        <v>0</v>
      </c>
      <c r="K94" s="8">
        <f t="shared" si="7"/>
        <v>0</v>
      </c>
      <c r="L94" s="8">
        <f t="shared" si="7"/>
        <v>0</v>
      </c>
      <c r="M94" s="7"/>
    </row>
    <row r="95" spans="1:13" x14ac:dyDescent="0.3">
      <c r="A95" s="26">
        <v>3.22</v>
      </c>
      <c r="B95" s="5"/>
      <c r="C95" s="30" t="s">
        <v>126</v>
      </c>
      <c r="D95" s="6"/>
      <c r="E95" s="7"/>
      <c r="F95" s="7"/>
      <c r="G95" s="8" t="s">
        <v>4</v>
      </c>
      <c r="H95" s="8">
        <f t="shared" si="7"/>
        <v>1</v>
      </c>
      <c r="I95" s="8">
        <f t="shared" si="7"/>
        <v>0</v>
      </c>
      <c r="J95" s="8">
        <f t="shared" si="7"/>
        <v>0</v>
      </c>
      <c r="K95" s="8">
        <f t="shared" si="7"/>
        <v>0</v>
      </c>
      <c r="L95" s="8">
        <f t="shared" si="7"/>
        <v>0</v>
      </c>
      <c r="M95" s="7"/>
    </row>
    <row r="96" spans="1:13" x14ac:dyDescent="0.3">
      <c r="A96" s="26">
        <v>3.23</v>
      </c>
      <c r="B96" s="5"/>
      <c r="C96" s="30" t="s">
        <v>127</v>
      </c>
      <c r="D96" s="6"/>
      <c r="E96" s="7"/>
      <c r="F96" s="7"/>
      <c r="G96" s="8" t="s">
        <v>4</v>
      </c>
      <c r="H96" s="8">
        <f t="shared" si="7"/>
        <v>1</v>
      </c>
      <c r="I96" s="8">
        <f t="shared" si="7"/>
        <v>0</v>
      </c>
      <c r="J96" s="8">
        <f t="shared" si="7"/>
        <v>0</v>
      </c>
      <c r="K96" s="8">
        <f t="shared" si="7"/>
        <v>0</v>
      </c>
      <c r="L96" s="8">
        <f t="shared" si="7"/>
        <v>0</v>
      </c>
      <c r="M96" s="7"/>
    </row>
    <row r="97" spans="1:13" x14ac:dyDescent="0.3">
      <c r="A97" s="26">
        <v>3.24</v>
      </c>
      <c r="B97" s="5"/>
      <c r="C97" s="30" t="s">
        <v>122</v>
      </c>
      <c r="D97" s="6"/>
      <c r="E97" s="7"/>
      <c r="F97" s="7"/>
      <c r="G97" s="8" t="s">
        <v>4</v>
      </c>
      <c r="H97" s="8">
        <f t="shared" si="7"/>
        <v>1</v>
      </c>
      <c r="I97" s="8">
        <f t="shared" si="7"/>
        <v>0</v>
      </c>
      <c r="J97" s="8">
        <f t="shared" si="7"/>
        <v>0</v>
      </c>
      <c r="K97" s="8">
        <f t="shared" si="7"/>
        <v>0</v>
      </c>
      <c r="L97" s="8">
        <f t="shared" si="7"/>
        <v>0</v>
      </c>
      <c r="M97" s="7"/>
    </row>
    <row r="98" spans="1:13" x14ac:dyDescent="0.3">
      <c r="A98" s="26">
        <v>3.25</v>
      </c>
      <c r="B98" s="5"/>
      <c r="C98" s="30" t="s">
        <v>123</v>
      </c>
      <c r="D98" s="6"/>
      <c r="E98" s="7"/>
      <c r="F98" s="7"/>
      <c r="G98" s="8" t="s">
        <v>4</v>
      </c>
      <c r="H98" s="8">
        <f t="shared" si="7"/>
        <v>1</v>
      </c>
      <c r="I98" s="8">
        <f t="shared" si="7"/>
        <v>0</v>
      </c>
      <c r="J98" s="8">
        <f t="shared" si="7"/>
        <v>0</v>
      </c>
      <c r="K98" s="8">
        <f t="shared" si="7"/>
        <v>0</v>
      </c>
      <c r="L98" s="8">
        <f t="shared" si="7"/>
        <v>0</v>
      </c>
      <c r="M98" s="7"/>
    </row>
    <row r="99" spans="1:13" x14ac:dyDescent="0.3">
      <c r="A99" s="26">
        <v>3.26</v>
      </c>
      <c r="B99" s="5"/>
      <c r="C99" s="30" t="s">
        <v>124</v>
      </c>
      <c r="D99" s="6"/>
      <c r="E99" s="7"/>
      <c r="F99" s="7"/>
      <c r="G99" s="8" t="s">
        <v>4</v>
      </c>
      <c r="H99" s="8">
        <f t="shared" si="7"/>
        <v>1</v>
      </c>
      <c r="I99" s="8">
        <f t="shared" si="7"/>
        <v>0</v>
      </c>
      <c r="J99" s="8">
        <f t="shared" si="7"/>
        <v>0</v>
      </c>
      <c r="K99" s="8">
        <f t="shared" si="7"/>
        <v>0</v>
      </c>
      <c r="L99" s="8">
        <f t="shared" si="7"/>
        <v>0</v>
      </c>
      <c r="M99" s="7"/>
    </row>
    <row r="100" spans="1:13" x14ac:dyDescent="0.3">
      <c r="A100" s="26">
        <v>3.27</v>
      </c>
      <c r="B100" s="5"/>
      <c r="C100" s="30" t="s">
        <v>125</v>
      </c>
      <c r="D100" s="6"/>
      <c r="E100" s="7"/>
      <c r="F100" s="7"/>
      <c r="G100" s="8" t="s">
        <v>4</v>
      </c>
      <c r="H100" s="8">
        <f t="shared" si="7"/>
        <v>1</v>
      </c>
      <c r="I100" s="8">
        <f t="shared" si="7"/>
        <v>0</v>
      </c>
      <c r="J100" s="8">
        <f t="shared" si="7"/>
        <v>0</v>
      </c>
      <c r="K100" s="8">
        <f t="shared" si="7"/>
        <v>0</v>
      </c>
      <c r="L100" s="8">
        <f t="shared" si="7"/>
        <v>0</v>
      </c>
      <c r="M100" s="7"/>
    </row>
    <row r="101" spans="1:13" x14ac:dyDescent="0.3">
      <c r="A101" s="26">
        <v>3.28</v>
      </c>
      <c r="B101" s="5"/>
      <c r="C101" s="30" t="s">
        <v>128</v>
      </c>
      <c r="D101" s="6"/>
      <c r="E101" s="7"/>
      <c r="F101" s="7"/>
      <c r="G101" s="8" t="s">
        <v>4</v>
      </c>
      <c r="H101" s="8">
        <f t="shared" si="7"/>
        <v>1</v>
      </c>
      <c r="I101" s="8">
        <f t="shared" si="7"/>
        <v>0</v>
      </c>
      <c r="J101" s="8">
        <f t="shared" si="7"/>
        <v>0</v>
      </c>
      <c r="K101" s="8">
        <f t="shared" si="7"/>
        <v>0</v>
      </c>
      <c r="L101" s="8">
        <f t="shared" si="7"/>
        <v>0</v>
      </c>
      <c r="M101" s="7"/>
    </row>
    <row r="102" spans="1:13" x14ac:dyDescent="0.3">
      <c r="A102" s="26">
        <v>3.29</v>
      </c>
      <c r="B102" s="5"/>
      <c r="C102" s="30" t="s">
        <v>129</v>
      </c>
      <c r="D102" s="6"/>
      <c r="E102" s="7"/>
      <c r="F102" s="7"/>
      <c r="G102" s="8" t="s">
        <v>4</v>
      </c>
      <c r="H102" s="8">
        <f t="shared" si="7"/>
        <v>1</v>
      </c>
      <c r="I102" s="8">
        <f t="shared" si="7"/>
        <v>0</v>
      </c>
      <c r="J102" s="8">
        <f t="shared" si="7"/>
        <v>0</v>
      </c>
      <c r="K102" s="8">
        <f t="shared" si="7"/>
        <v>0</v>
      </c>
      <c r="L102" s="8">
        <f t="shared" si="7"/>
        <v>0</v>
      </c>
      <c r="M102" s="7"/>
    </row>
    <row r="103" spans="1:13" x14ac:dyDescent="0.3">
      <c r="A103" s="26">
        <v>3.3</v>
      </c>
      <c r="B103" s="5"/>
      <c r="C103" s="30" t="s">
        <v>130</v>
      </c>
      <c r="D103" s="6"/>
      <c r="E103" s="7"/>
      <c r="F103" s="7"/>
      <c r="G103" s="8" t="s">
        <v>4</v>
      </c>
      <c r="H103" s="8">
        <f t="shared" si="7"/>
        <v>1</v>
      </c>
      <c r="I103" s="8">
        <f t="shared" si="7"/>
        <v>0</v>
      </c>
      <c r="J103" s="8">
        <f t="shared" si="7"/>
        <v>0</v>
      </c>
      <c r="K103" s="8">
        <f t="shared" si="7"/>
        <v>0</v>
      </c>
      <c r="L103" s="8">
        <f t="shared" si="7"/>
        <v>0</v>
      </c>
      <c r="M103" s="7"/>
    </row>
    <row r="104" spans="1:13" x14ac:dyDescent="0.3">
      <c r="A104" s="26">
        <v>3.31</v>
      </c>
      <c r="B104" s="5"/>
      <c r="C104" s="30" t="s">
        <v>131</v>
      </c>
      <c r="D104" s="6"/>
      <c r="E104" s="7"/>
      <c r="F104" s="7"/>
      <c r="G104" s="8" t="s">
        <v>4</v>
      </c>
      <c r="H104" s="8">
        <f t="shared" si="7"/>
        <v>1</v>
      </c>
      <c r="I104" s="8">
        <f t="shared" si="7"/>
        <v>0</v>
      </c>
      <c r="J104" s="8">
        <f t="shared" si="7"/>
        <v>0</v>
      </c>
      <c r="K104" s="8">
        <f t="shared" si="7"/>
        <v>0</v>
      </c>
      <c r="L104" s="8">
        <f t="shared" si="7"/>
        <v>0</v>
      </c>
      <c r="M104" s="7"/>
    </row>
    <row r="105" spans="1:13" s="19" customFormat="1" ht="15" x14ac:dyDescent="0.25">
      <c r="A105" s="26"/>
      <c r="B105" s="5"/>
      <c r="C105" s="25"/>
      <c r="D105" s="6"/>
      <c r="E105" s="7"/>
      <c r="F105" s="7"/>
      <c r="G105" s="18"/>
      <c r="H105" s="18">
        <f>SUM(H74:H104)</f>
        <v>31</v>
      </c>
      <c r="I105" s="18">
        <f t="shared" ref="I105:L105" si="8">SUM(I74:I104)</f>
        <v>0</v>
      </c>
      <c r="J105" s="18">
        <f t="shared" si="8"/>
        <v>0</v>
      </c>
      <c r="K105" s="18">
        <f t="shared" si="8"/>
        <v>0</v>
      </c>
      <c r="L105" s="18">
        <f t="shared" si="8"/>
        <v>0</v>
      </c>
      <c r="M105" s="16"/>
    </row>
    <row r="106" spans="1:13" ht="30" customHeight="1" x14ac:dyDescent="0.25">
      <c r="A106" s="50" t="s">
        <v>59</v>
      </c>
      <c r="B106" s="51"/>
      <c r="C106" s="52"/>
      <c r="D106" s="11"/>
      <c r="E106" s="12"/>
      <c r="F106" s="12"/>
      <c r="G106" s="11"/>
      <c r="H106" s="12"/>
      <c r="I106" s="12"/>
      <c r="J106" s="12"/>
      <c r="K106" s="12"/>
      <c r="L106" s="12"/>
      <c r="M106" s="12"/>
    </row>
    <row r="107" spans="1:13" s="19" customFormat="1" ht="15" x14ac:dyDescent="0.25">
      <c r="A107" s="21">
        <v>4</v>
      </c>
      <c r="B107" s="22" t="s">
        <v>28</v>
      </c>
      <c r="C107" s="31"/>
      <c r="D107" s="17"/>
      <c r="E107" s="16"/>
      <c r="F107" s="16"/>
      <c r="G107" s="18"/>
      <c r="H107" s="18"/>
      <c r="I107" s="18"/>
      <c r="J107" s="18"/>
      <c r="K107" s="18"/>
      <c r="L107" s="18"/>
      <c r="M107" s="16"/>
    </row>
    <row r="108" spans="1:13" ht="26.4" x14ac:dyDescent="0.3">
      <c r="A108" s="23">
        <v>4.0999999999999996</v>
      </c>
      <c r="B108" s="5" t="s">
        <v>31</v>
      </c>
      <c r="C108" s="24" t="s">
        <v>14</v>
      </c>
      <c r="D108" s="9" t="s">
        <v>15</v>
      </c>
      <c r="E108" s="33" t="s">
        <v>112</v>
      </c>
      <c r="F108" s="7" t="s">
        <v>88</v>
      </c>
      <c r="G108" s="8" t="s">
        <v>4</v>
      </c>
      <c r="H108" s="8">
        <f t="shared" ref="H108:L125" si="9">IF($G108=H$1,1,0)</f>
        <v>1</v>
      </c>
      <c r="I108" s="8">
        <f t="shared" si="9"/>
        <v>0</v>
      </c>
      <c r="J108" s="8">
        <f t="shared" si="9"/>
        <v>0</v>
      </c>
      <c r="K108" s="8">
        <f t="shared" si="9"/>
        <v>0</v>
      </c>
      <c r="L108" s="8">
        <f t="shared" si="9"/>
        <v>0</v>
      </c>
      <c r="M108" s="7"/>
    </row>
    <row r="109" spans="1:13" x14ac:dyDescent="0.3">
      <c r="A109" s="23">
        <v>4.2</v>
      </c>
      <c r="B109" s="5" t="s">
        <v>32</v>
      </c>
      <c r="C109" s="25" t="s">
        <v>17</v>
      </c>
      <c r="D109" s="6"/>
      <c r="E109" s="7"/>
      <c r="F109" s="7"/>
      <c r="G109" s="8" t="s">
        <v>4</v>
      </c>
      <c r="H109" s="8">
        <f t="shared" si="9"/>
        <v>1</v>
      </c>
      <c r="I109" s="8">
        <f t="shared" si="9"/>
        <v>0</v>
      </c>
      <c r="J109" s="8">
        <f t="shared" si="9"/>
        <v>0</v>
      </c>
      <c r="K109" s="8">
        <f t="shared" si="9"/>
        <v>0</v>
      </c>
      <c r="L109" s="8">
        <f t="shared" si="9"/>
        <v>0</v>
      </c>
      <c r="M109" s="7"/>
    </row>
    <row r="110" spans="1:13" x14ac:dyDescent="0.3">
      <c r="A110" s="23">
        <v>4.3</v>
      </c>
      <c r="B110" s="5"/>
      <c r="C110" s="25" t="s">
        <v>18</v>
      </c>
      <c r="D110" s="6"/>
      <c r="E110" s="7"/>
      <c r="F110" s="7"/>
      <c r="G110" s="8" t="s">
        <v>4</v>
      </c>
      <c r="H110" s="8">
        <f t="shared" si="9"/>
        <v>1</v>
      </c>
      <c r="I110" s="8">
        <f t="shared" si="9"/>
        <v>0</v>
      </c>
      <c r="J110" s="8">
        <f t="shared" si="9"/>
        <v>0</v>
      </c>
      <c r="K110" s="8">
        <f t="shared" si="9"/>
        <v>0</v>
      </c>
      <c r="L110" s="8">
        <f t="shared" si="9"/>
        <v>0</v>
      </c>
      <c r="M110" s="7"/>
    </row>
    <row r="111" spans="1:13" x14ac:dyDescent="0.3">
      <c r="A111" s="23">
        <v>4.4000000000000004</v>
      </c>
      <c r="B111" s="5"/>
      <c r="C111" s="25" t="s">
        <v>44</v>
      </c>
      <c r="D111" s="6"/>
      <c r="E111" s="7"/>
      <c r="F111" s="7"/>
      <c r="G111" s="8" t="s">
        <v>4</v>
      </c>
      <c r="H111" s="8">
        <f t="shared" si="9"/>
        <v>1</v>
      </c>
      <c r="I111" s="8">
        <f t="shared" si="9"/>
        <v>0</v>
      </c>
      <c r="J111" s="8">
        <f t="shared" si="9"/>
        <v>0</v>
      </c>
      <c r="K111" s="8">
        <f t="shared" si="9"/>
        <v>0</v>
      </c>
      <c r="L111" s="8">
        <f t="shared" si="9"/>
        <v>0</v>
      </c>
      <c r="M111" s="7"/>
    </row>
    <row r="112" spans="1:13" x14ac:dyDescent="0.3">
      <c r="A112" s="23">
        <v>4.5</v>
      </c>
      <c r="B112" s="5"/>
      <c r="C112" s="30" t="s">
        <v>20</v>
      </c>
      <c r="D112" s="6"/>
      <c r="E112" s="7"/>
      <c r="F112" s="7"/>
      <c r="G112" s="8" t="s">
        <v>4</v>
      </c>
      <c r="H112" s="8">
        <f t="shared" si="9"/>
        <v>1</v>
      </c>
      <c r="I112" s="8">
        <f t="shared" si="9"/>
        <v>0</v>
      </c>
      <c r="J112" s="8">
        <f t="shared" si="9"/>
        <v>0</v>
      </c>
      <c r="K112" s="8">
        <f t="shared" si="9"/>
        <v>0</v>
      </c>
      <c r="L112" s="8">
        <f t="shared" si="9"/>
        <v>0</v>
      </c>
      <c r="M112" s="7"/>
    </row>
    <row r="113" spans="1:13" x14ac:dyDescent="0.3">
      <c r="A113" s="23">
        <v>4.5999999999999996</v>
      </c>
      <c r="B113" s="5"/>
      <c r="C113" s="25" t="s">
        <v>45</v>
      </c>
      <c r="D113" s="6" t="s">
        <v>134</v>
      </c>
      <c r="E113" s="7"/>
      <c r="F113" s="7"/>
      <c r="G113" s="8" t="s">
        <v>4</v>
      </c>
      <c r="H113" s="8">
        <f t="shared" si="9"/>
        <v>1</v>
      </c>
      <c r="I113" s="8">
        <f t="shared" si="9"/>
        <v>0</v>
      </c>
      <c r="J113" s="8">
        <f t="shared" si="9"/>
        <v>0</v>
      </c>
      <c r="K113" s="8">
        <f t="shared" si="9"/>
        <v>0</v>
      </c>
      <c r="L113" s="8">
        <f t="shared" si="9"/>
        <v>0</v>
      </c>
      <c r="M113" s="7"/>
    </row>
    <row r="114" spans="1:13" x14ac:dyDescent="0.3">
      <c r="A114" s="23">
        <v>4.7</v>
      </c>
      <c r="B114" s="5"/>
      <c r="C114" s="25" t="s">
        <v>19</v>
      </c>
      <c r="D114" s="6"/>
      <c r="E114" s="7"/>
      <c r="F114" s="7"/>
      <c r="G114" s="8" t="s">
        <v>4</v>
      </c>
      <c r="H114" s="8">
        <f t="shared" si="9"/>
        <v>1</v>
      </c>
      <c r="I114" s="8">
        <f t="shared" si="9"/>
        <v>0</v>
      </c>
      <c r="J114" s="8">
        <f t="shared" si="9"/>
        <v>0</v>
      </c>
      <c r="K114" s="8">
        <f t="shared" si="9"/>
        <v>0</v>
      </c>
      <c r="L114" s="8">
        <f t="shared" si="9"/>
        <v>0</v>
      </c>
      <c r="M114" s="7"/>
    </row>
    <row r="115" spans="1:13" x14ac:dyDescent="0.3">
      <c r="A115" s="23">
        <v>4.8</v>
      </c>
      <c r="B115" s="5"/>
      <c r="C115" s="25" t="s">
        <v>47</v>
      </c>
      <c r="D115" s="6"/>
      <c r="E115" s="7"/>
      <c r="F115" s="7"/>
      <c r="G115" s="8" t="s">
        <v>4</v>
      </c>
      <c r="H115" s="8">
        <f t="shared" si="9"/>
        <v>1</v>
      </c>
      <c r="I115" s="8">
        <f t="shared" si="9"/>
        <v>0</v>
      </c>
      <c r="J115" s="8">
        <f t="shared" si="9"/>
        <v>0</v>
      </c>
      <c r="K115" s="8">
        <f t="shared" si="9"/>
        <v>0</v>
      </c>
      <c r="L115" s="8">
        <f t="shared" si="9"/>
        <v>0</v>
      </c>
      <c r="M115" s="7"/>
    </row>
    <row r="116" spans="1:13" ht="26.4" x14ac:dyDescent="0.3">
      <c r="A116" s="23">
        <v>4.9000000000000004</v>
      </c>
      <c r="B116" s="5"/>
      <c r="C116" s="30" t="s">
        <v>60</v>
      </c>
      <c r="D116" s="6" t="s">
        <v>61</v>
      </c>
      <c r="E116" s="7"/>
      <c r="F116" s="7"/>
      <c r="G116" s="8" t="s">
        <v>4</v>
      </c>
      <c r="H116" s="8">
        <f t="shared" si="9"/>
        <v>1</v>
      </c>
      <c r="I116" s="8">
        <f t="shared" si="9"/>
        <v>0</v>
      </c>
      <c r="J116" s="8">
        <f t="shared" si="9"/>
        <v>0</v>
      </c>
      <c r="K116" s="8">
        <f t="shared" si="9"/>
        <v>0</v>
      </c>
      <c r="L116" s="8">
        <f t="shared" si="9"/>
        <v>0</v>
      </c>
      <c r="M116" s="7"/>
    </row>
    <row r="117" spans="1:13" ht="22.8" x14ac:dyDescent="0.3">
      <c r="A117" s="26">
        <v>4.0999999999999996</v>
      </c>
      <c r="B117" s="5"/>
      <c r="C117" s="30" t="s">
        <v>111</v>
      </c>
      <c r="D117" s="6"/>
      <c r="E117" s="7"/>
      <c r="F117" s="7"/>
      <c r="G117" s="8" t="s">
        <v>4</v>
      </c>
      <c r="H117" s="8">
        <f t="shared" si="9"/>
        <v>1</v>
      </c>
      <c r="I117" s="8">
        <f t="shared" si="9"/>
        <v>0</v>
      </c>
      <c r="J117" s="8">
        <f t="shared" si="9"/>
        <v>0</v>
      </c>
      <c r="K117" s="8">
        <f t="shared" si="9"/>
        <v>0</v>
      </c>
      <c r="L117" s="8">
        <f t="shared" si="9"/>
        <v>0</v>
      </c>
      <c r="M117" s="7"/>
    </row>
    <row r="118" spans="1:13" x14ac:dyDescent="0.3">
      <c r="A118" s="26">
        <v>4.1100000000000003</v>
      </c>
      <c r="B118" s="5"/>
      <c r="C118" s="30" t="s">
        <v>66</v>
      </c>
      <c r="D118" s="6"/>
      <c r="E118" s="7"/>
      <c r="F118" s="7"/>
      <c r="G118" s="8" t="s">
        <v>4</v>
      </c>
      <c r="H118" s="8">
        <f t="shared" si="9"/>
        <v>1</v>
      </c>
      <c r="I118" s="8">
        <f t="shared" si="9"/>
        <v>0</v>
      </c>
      <c r="J118" s="8">
        <f t="shared" si="9"/>
        <v>0</v>
      </c>
      <c r="K118" s="8">
        <f t="shared" si="9"/>
        <v>0</v>
      </c>
      <c r="L118" s="8">
        <f t="shared" si="9"/>
        <v>0</v>
      </c>
      <c r="M118" s="7"/>
    </row>
    <row r="119" spans="1:13" x14ac:dyDescent="0.3">
      <c r="A119" s="26">
        <v>4.12</v>
      </c>
      <c r="B119" s="5"/>
      <c r="C119" s="30" t="s">
        <v>71</v>
      </c>
      <c r="D119" s="6"/>
      <c r="E119" s="7"/>
      <c r="F119" s="7"/>
      <c r="G119" s="8" t="s">
        <v>4</v>
      </c>
      <c r="H119" s="8">
        <f t="shared" si="9"/>
        <v>1</v>
      </c>
      <c r="I119" s="8">
        <f t="shared" si="9"/>
        <v>0</v>
      </c>
      <c r="J119" s="8">
        <f t="shared" si="9"/>
        <v>0</v>
      </c>
      <c r="K119" s="8">
        <f t="shared" si="9"/>
        <v>0</v>
      </c>
      <c r="L119" s="8">
        <f t="shared" si="9"/>
        <v>0</v>
      </c>
      <c r="M119" s="7"/>
    </row>
    <row r="120" spans="1:13" x14ac:dyDescent="0.3">
      <c r="A120" s="26">
        <v>4.13</v>
      </c>
      <c r="B120" s="5"/>
      <c r="C120" s="30" t="s">
        <v>68</v>
      </c>
      <c r="D120" s="6" t="s">
        <v>69</v>
      </c>
      <c r="E120" s="7"/>
      <c r="F120" s="7"/>
      <c r="G120" s="8" t="s">
        <v>4</v>
      </c>
      <c r="H120" s="8">
        <f t="shared" si="9"/>
        <v>1</v>
      </c>
      <c r="I120" s="8">
        <f t="shared" si="9"/>
        <v>0</v>
      </c>
      <c r="J120" s="8">
        <f t="shared" si="9"/>
        <v>0</v>
      </c>
      <c r="K120" s="8">
        <f t="shared" si="9"/>
        <v>0</v>
      </c>
      <c r="L120" s="8">
        <f t="shared" si="9"/>
        <v>0</v>
      </c>
      <c r="M120" s="7"/>
    </row>
    <row r="121" spans="1:13" x14ac:dyDescent="0.3">
      <c r="A121" s="26">
        <v>4.1399999999999997</v>
      </c>
      <c r="B121" s="5"/>
      <c r="C121" s="25" t="s">
        <v>21</v>
      </c>
      <c r="D121" s="6"/>
      <c r="E121" s="7"/>
      <c r="F121" s="7"/>
      <c r="G121" s="8" t="s">
        <v>4</v>
      </c>
      <c r="H121" s="8">
        <f t="shared" si="9"/>
        <v>1</v>
      </c>
      <c r="I121" s="8">
        <f t="shared" si="9"/>
        <v>0</v>
      </c>
      <c r="J121" s="8">
        <f t="shared" si="9"/>
        <v>0</v>
      </c>
      <c r="K121" s="8">
        <f t="shared" si="9"/>
        <v>0</v>
      </c>
      <c r="L121" s="8">
        <f t="shared" si="9"/>
        <v>0</v>
      </c>
      <c r="M121" s="7"/>
    </row>
    <row r="122" spans="1:13" x14ac:dyDescent="0.3">
      <c r="A122" s="26">
        <v>4.1500000000000004</v>
      </c>
      <c r="B122" s="5"/>
      <c r="C122" s="25" t="s">
        <v>89</v>
      </c>
      <c r="D122" s="6" t="s">
        <v>134</v>
      </c>
      <c r="E122" s="7"/>
      <c r="F122" s="7"/>
      <c r="G122" s="8" t="s">
        <v>4</v>
      </c>
      <c r="H122" s="8">
        <f t="shared" si="9"/>
        <v>1</v>
      </c>
      <c r="I122" s="8">
        <f t="shared" si="9"/>
        <v>0</v>
      </c>
      <c r="J122" s="8">
        <f t="shared" si="9"/>
        <v>0</v>
      </c>
      <c r="K122" s="8">
        <f t="shared" si="9"/>
        <v>0</v>
      </c>
      <c r="L122" s="8">
        <f t="shared" si="9"/>
        <v>0</v>
      </c>
      <c r="M122" s="7"/>
    </row>
    <row r="123" spans="1:13" x14ac:dyDescent="0.3">
      <c r="A123" s="26">
        <v>4.16</v>
      </c>
      <c r="B123" s="5"/>
      <c r="C123" s="25" t="s">
        <v>23</v>
      </c>
      <c r="D123" s="6" t="s">
        <v>51</v>
      </c>
      <c r="E123" s="7"/>
      <c r="F123" s="7"/>
      <c r="G123" s="8" t="s">
        <v>4</v>
      </c>
      <c r="H123" s="8">
        <f t="shared" si="9"/>
        <v>1</v>
      </c>
      <c r="I123" s="8">
        <f t="shared" si="9"/>
        <v>0</v>
      </c>
      <c r="J123" s="8">
        <f t="shared" si="9"/>
        <v>0</v>
      </c>
      <c r="K123" s="8">
        <f t="shared" si="9"/>
        <v>0</v>
      </c>
      <c r="L123" s="8">
        <f t="shared" si="9"/>
        <v>0</v>
      </c>
      <c r="M123" s="7"/>
    </row>
    <row r="124" spans="1:13" x14ac:dyDescent="0.3">
      <c r="A124" s="26">
        <v>4.17</v>
      </c>
      <c r="B124" s="5"/>
      <c r="C124" s="25" t="s">
        <v>70</v>
      </c>
      <c r="D124" s="6"/>
      <c r="E124" s="7"/>
      <c r="F124" s="7"/>
      <c r="G124" s="8" t="s">
        <v>4</v>
      </c>
      <c r="H124" s="8">
        <f t="shared" si="9"/>
        <v>1</v>
      </c>
      <c r="I124" s="8">
        <f t="shared" si="9"/>
        <v>0</v>
      </c>
      <c r="J124" s="8">
        <f t="shared" si="9"/>
        <v>0</v>
      </c>
      <c r="K124" s="8">
        <f t="shared" si="9"/>
        <v>0</v>
      </c>
      <c r="L124" s="8">
        <f t="shared" si="9"/>
        <v>0</v>
      </c>
      <c r="M124" s="7"/>
    </row>
    <row r="125" spans="1:13" ht="39.6" x14ac:dyDescent="0.3">
      <c r="A125" s="26">
        <v>4.1800000000000104</v>
      </c>
      <c r="B125" s="5"/>
      <c r="C125" s="25" t="s">
        <v>24</v>
      </c>
      <c r="D125" s="6" t="s">
        <v>90</v>
      </c>
      <c r="E125" s="7" t="s">
        <v>110</v>
      </c>
      <c r="F125" s="7"/>
      <c r="G125" s="8" t="s">
        <v>4</v>
      </c>
      <c r="H125" s="8">
        <f t="shared" si="9"/>
        <v>1</v>
      </c>
      <c r="I125" s="8">
        <f t="shared" si="9"/>
        <v>0</v>
      </c>
      <c r="J125" s="8">
        <f t="shared" si="9"/>
        <v>0</v>
      </c>
      <c r="K125" s="8">
        <f t="shared" si="9"/>
        <v>0</v>
      </c>
      <c r="L125" s="8">
        <f t="shared" si="9"/>
        <v>0</v>
      </c>
      <c r="M125" s="7"/>
    </row>
    <row r="126" spans="1:13" s="37" customFormat="1" ht="39.6" x14ac:dyDescent="0.3">
      <c r="A126" s="26">
        <v>4.1900000000000102</v>
      </c>
      <c r="B126" s="34"/>
      <c r="C126" s="30" t="s">
        <v>62</v>
      </c>
      <c r="D126" s="6" t="s">
        <v>63</v>
      </c>
      <c r="E126" s="35"/>
      <c r="F126" s="35"/>
      <c r="G126" s="8" t="s">
        <v>4</v>
      </c>
      <c r="H126" s="36">
        <f>IF($G126=H$1,1,0)</f>
        <v>1</v>
      </c>
      <c r="I126" s="36">
        <f>IF($G126=I$1,1,0)</f>
        <v>0</v>
      </c>
      <c r="J126" s="36">
        <f>IF($G126=J$1,1,0)</f>
        <v>0</v>
      </c>
      <c r="K126" s="36">
        <f>IF($G126=K$1,1,0)</f>
        <v>0</v>
      </c>
      <c r="L126" s="36">
        <f>IF($G126=L$1,1,0)</f>
        <v>0</v>
      </c>
      <c r="M126" s="35"/>
    </row>
    <row r="127" spans="1:13" s="41" customFormat="1" ht="26.4" x14ac:dyDescent="0.3">
      <c r="A127" s="26">
        <v>4.2000000000000099</v>
      </c>
      <c r="B127" s="38"/>
      <c r="C127" s="25" t="s">
        <v>64</v>
      </c>
      <c r="D127" s="6" t="s">
        <v>65</v>
      </c>
      <c r="E127" s="39"/>
      <c r="F127" s="39"/>
      <c r="G127" s="8" t="s">
        <v>4</v>
      </c>
      <c r="H127" s="40">
        <f t="shared" ref="H127:L142" si="10">IF($G127=H$1,1,0)</f>
        <v>1</v>
      </c>
      <c r="I127" s="40">
        <f t="shared" si="10"/>
        <v>0</v>
      </c>
      <c r="J127" s="40">
        <f t="shared" si="10"/>
        <v>0</v>
      </c>
      <c r="K127" s="40">
        <f t="shared" si="10"/>
        <v>0</v>
      </c>
      <c r="L127" s="40">
        <f t="shared" si="10"/>
        <v>0</v>
      </c>
      <c r="M127" s="39"/>
    </row>
    <row r="128" spans="1:13" s="41" customFormat="1" ht="39.6" x14ac:dyDescent="0.3">
      <c r="A128" s="26">
        <v>4.2100000000000097</v>
      </c>
      <c r="B128" s="38"/>
      <c r="C128" s="25" t="s">
        <v>64</v>
      </c>
      <c r="D128" s="6"/>
      <c r="E128" s="6" t="s">
        <v>91</v>
      </c>
      <c r="F128" s="39"/>
      <c r="G128" s="8" t="s">
        <v>4</v>
      </c>
      <c r="H128" s="40">
        <f t="shared" si="10"/>
        <v>1</v>
      </c>
      <c r="I128" s="40">
        <f t="shared" si="10"/>
        <v>0</v>
      </c>
      <c r="J128" s="40">
        <f t="shared" si="10"/>
        <v>0</v>
      </c>
      <c r="K128" s="40">
        <f t="shared" si="10"/>
        <v>0</v>
      </c>
      <c r="L128" s="40">
        <f t="shared" si="10"/>
        <v>0</v>
      </c>
      <c r="M128" s="39"/>
    </row>
    <row r="129" spans="1:13" s="41" customFormat="1" x14ac:dyDescent="0.3">
      <c r="A129" s="26">
        <v>4.2200000000000104</v>
      </c>
      <c r="B129" s="5" t="s">
        <v>115</v>
      </c>
      <c r="C129" s="30" t="s">
        <v>116</v>
      </c>
      <c r="D129" s="6"/>
      <c r="E129" s="6"/>
      <c r="F129" s="39"/>
      <c r="G129" s="8" t="s">
        <v>4</v>
      </c>
      <c r="H129" s="40">
        <f t="shared" si="10"/>
        <v>1</v>
      </c>
      <c r="I129" s="40">
        <f t="shared" si="10"/>
        <v>0</v>
      </c>
      <c r="J129" s="40">
        <f t="shared" si="10"/>
        <v>0</v>
      </c>
      <c r="K129" s="40">
        <f t="shared" si="10"/>
        <v>0</v>
      </c>
      <c r="L129" s="40">
        <f t="shared" si="10"/>
        <v>0</v>
      </c>
      <c r="M129" s="39"/>
    </row>
    <row r="130" spans="1:13" s="41" customFormat="1" x14ac:dyDescent="0.3">
      <c r="A130" s="26">
        <v>4.2300000000000102</v>
      </c>
      <c r="B130" s="5"/>
      <c r="C130" s="30" t="s">
        <v>117</v>
      </c>
      <c r="D130" s="6"/>
      <c r="E130" s="6"/>
      <c r="F130" s="39"/>
      <c r="G130" s="8" t="s">
        <v>4</v>
      </c>
      <c r="H130" s="40">
        <f t="shared" si="10"/>
        <v>1</v>
      </c>
      <c r="I130" s="40">
        <f t="shared" si="10"/>
        <v>0</v>
      </c>
      <c r="J130" s="40">
        <f t="shared" si="10"/>
        <v>0</v>
      </c>
      <c r="K130" s="40">
        <f t="shared" si="10"/>
        <v>0</v>
      </c>
      <c r="L130" s="40">
        <f t="shared" si="10"/>
        <v>0</v>
      </c>
      <c r="M130" s="39"/>
    </row>
    <row r="131" spans="1:13" s="41" customFormat="1" x14ac:dyDescent="0.3">
      <c r="A131" s="26">
        <v>4.24000000000001</v>
      </c>
      <c r="B131" s="5"/>
      <c r="C131" s="30" t="s">
        <v>118</v>
      </c>
      <c r="D131" s="6"/>
      <c r="E131" s="6"/>
      <c r="F131" s="39"/>
      <c r="G131" s="8" t="s">
        <v>4</v>
      </c>
      <c r="H131" s="40">
        <f t="shared" si="10"/>
        <v>1</v>
      </c>
      <c r="I131" s="40">
        <f t="shared" si="10"/>
        <v>0</v>
      </c>
      <c r="J131" s="40">
        <f t="shared" si="10"/>
        <v>0</v>
      </c>
      <c r="K131" s="40">
        <f t="shared" si="10"/>
        <v>0</v>
      </c>
      <c r="L131" s="40">
        <f t="shared" si="10"/>
        <v>0</v>
      </c>
      <c r="M131" s="39"/>
    </row>
    <row r="132" spans="1:13" s="41" customFormat="1" x14ac:dyDescent="0.3">
      <c r="A132" s="26">
        <v>4.2500000000000098</v>
      </c>
      <c r="B132" s="5"/>
      <c r="C132" s="30" t="s">
        <v>119</v>
      </c>
      <c r="D132" s="6"/>
      <c r="E132" s="6"/>
      <c r="F132" s="39"/>
      <c r="G132" s="8" t="s">
        <v>4</v>
      </c>
      <c r="H132" s="40">
        <f t="shared" si="10"/>
        <v>1</v>
      </c>
      <c r="I132" s="40">
        <f t="shared" si="10"/>
        <v>0</v>
      </c>
      <c r="J132" s="40">
        <f t="shared" si="10"/>
        <v>0</v>
      </c>
      <c r="K132" s="40">
        <f t="shared" si="10"/>
        <v>0</v>
      </c>
      <c r="L132" s="40">
        <f t="shared" si="10"/>
        <v>0</v>
      </c>
      <c r="M132" s="39"/>
    </row>
    <row r="133" spans="1:13" s="41" customFormat="1" x14ac:dyDescent="0.3">
      <c r="A133" s="26">
        <v>4.2600000000000096</v>
      </c>
      <c r="B133" s="5"/>
      <c r="C133" s="30" t="s">
        <v>132</v>
      </c>
      <c r="D133" s="6"/>
      <c r="E133" s="6"/>
      <c r="F133" s="39"/>
      <c r="G133" s="8" t="s">
        <v>4</v>
      </c>
      <c r="H133" s="40">
        <f t="shared" si="10"/>
        <v>1</v>
      </c>
      <c r="I133" s="40">
        <f t="shared" si="10"/>
        <v>0</v>
      </c>
      <c r="J133" s="40">
        <f t="shared" si="10"/>
        <v>0</v>
      </c>
      <c r="K133" s="40">
        <f t="shared" si="10"/>
        <v>0</v>
      </c>
      <c r="L133" s="40">
        <f t="shared" si="10"/>
        <v>0</v>
      </c>
      <c r="M133" s="39"/>
    </row>
    <row r="134" spans="1:13" s="41" customFormat="1" x14ac:dyDescent="0.3">
      <c r="A134" s="26">
        <v>4.2700000000000102</v>
      </c>
      <c r="B134" s="5" t="s">
        <v>121</v>
      </c>
      <c r="C134" s="30" t="s">
        <v>122</v>
      </c>
      <c r="D134" s="6"/>
      <c r="E134" s="6"/>
      <c r="F134" s="39"/>
      <c r="G134" s="8" t="s">
        <v>4</v>
      </c>
      <c r="H134" s="40">
        <f t="shared" si="10"/>
        <v>1</v>
      </c>
      <c r="I134" s="40">
        <f t="shared" si="10"/>
        <v>0</v>
      </c>
      <c r="J134" s="40">
        <f t="shared" si="10"/>
        <v>0</v>
      </c>
      <c r="K134" s="40">
        <f t="shared" si="10"/>
        <v>0</v>
      </c>
      <c r="L134" s="40">
        <f t="shared" si="10"/>
        <v>0</v>
      </c>
      <c r="M134" s="39"/>
    </row>
    <row r="135" spans="1:13" s="41" customFormat="1" x14ac:dyDescent="0.3">
      <c r="A135" s="26">
        <v>4.28000000000001</v>
      </c>
      <c r="B135" s="5"/>
      <c r="C135" s="30" t="s">
        <v>123</v>
      </c>
      <c r="D135" s="6"/>
      <c r="E135" s="6"/>
      <c r="F135" s="39"/>
      <c r="G135" s="8" t="s">
        <v>4</v>
      </c>
      <c r="H135" s="40">
        <f t="shared" si="10"/>
        <v>1</v>
      </c>
      <c r="I135" s="40">
        <f t="shared" si="10"/>
        <v>0</v>
      </c>
      <c r="J135" s="40">
        <f t="shared" si="10"/>
        <v>0</v>
      </c>
      <c r="K135" s="40">
        <f t="shared" si="10"/>
        <v>0</v>
      </c>
      <c r="L135" s="40">
        <f t="shared" si="10"/>
        <v>0</v>
      </c>
      <c r="M135" s="39"/>
    </row>
    <row r="136" spans="1:13" s="41" customFormat="1" x14ac:dyDescent="0.3">
      <c r="A136" s="26">
        <v>4.2900000000000098</v>
      </c>
      <c r="B136" s="5"/>
      <c r="C136" s="30" t="s">
        <v>124</v>
      </c>
      <c r="D136" s="6"/>
      <c r="E136" s="6"/>
      <c r="F136" s="39"/>
      <c r="G136" s="8" t="s">
        <v>4</v>
      </c>
      <c r="H136" s="40">
        <f t="shared" si="10"/>
        <v>1</v>
      </c>
      <c r="I136" s="40">
        <f t="shared" si="10"/>
        <v>0</v>
      </c>
      <c r="J136" s="40">
        <f t="shared" si="10"/>
        <v>0</v>
      </c>
      <c r="K136" s="40">
        <f t="shared" si="10"/>
        <v>0</v>
      </c>
      <c r="L136" s="40">
        <f t="shared" si="10"/>
        <v>0</v>
      </c>
      <c r="M136" s="39"/>
    </row>
    <row r="137" spans="1:13" s="41" customFormat="1" x14ac:dyDescent="0.3">
      <c r="A137" s="26">
        <v>4.3000000000000096</v>
      </c>
      <c r="B137" s="5"/>
      <c r="C137" s="30" t="s">
        <v>125</v>
      </c>
      <c r="D137" s="6"/>
      <c r="E137" s="6"/>
      <c r="F137" s="39"/>
      <c r="G137" s="8" t="s">
        <v>4</v>
      </c>
      <c r="H137" s="40">
        <f t="shared" si="10"/>
        <v>1</v>
      </c>
      <c r="I137" s="40">
        <f t="shared" si="10"/>
        <v>0</v>
      </c>
      <c r="J137" s="40">
        <f t="shared" si="10"/>
        <v>0</v>
      </c>
      <c r="K137" s="40">
        <f t="shared" si="10"/>
        <v>0</v>
      </c>
      <c r="L137" s="40">
        <f t="shared" si="10"/>
        <v>0</v>
      </c>
      <c r="M137" s="39"/>
    </row>
    <row r="138" spans="1:13" s="41" customFormat="1" x14ac:dyDescent="0.3">
      <c r="A138" s="26">
        <v>4.3100000000000103</v>
      </c>
      <c r="B138" s="5"/>
      <c r="C138" s="30" t="s">
        <v>126</v>
      </c>
      <c r="D138" s="6"/>
      <c r="E138" s="6"/>
      <c r="F138" s="39"/>
      <c r="G138" s="8" t="s">
        <v>4</v>
      </c>
      <c r="H138" s="40">
        <f t="shared" si="10"/>
        <v>1</v>
      </c>
      <c r="I138" s="40">
        <f t="shared" si="10"/>
        <v>0</v>
      </c>
      <c r="J138" s="40">
        <f t="shared" si="10"/>
        <v>0</v>
      </c>
      <c r="K138" s="40">
        <f t="shared" si="10"/>
        <v>0</v>
      </c>
      <c r="L138" s="40">
        <f t="shared" si="10"/>
        <v>0</v>
      </c>
      <c r="M138" s="39"/>
    </row>
    <row r="139" spans="1:13" s="41" customFormat="1" x14ac:dyDescent="0.3">
      <c r="A139" s="26">
        <v>4.3200000000000101</v>
      </c>
      <c r="B139" s="5"/>
      <c r="C139" s="30" t="s">
        <v>127</v>
      </c>
      <c r="D139" s="6"/>
      <c r="E139" s="6"/>
      <c r="F139" s="39"/>
      <c r="G139" s="8" t="s">
        <v>4</v>
      </c>
      <c r="H139" s="40">
        <f t="shared" si="10"/>
        <v>1</v>
      </c>
      <c r="I139" s="40">
        <f t="shared" si="10"/>
        <v>0</v>
      </c>
      <c r="J139" s="40">
        <f t="shared" si="10"/>
        <v>0</v>
      </c>
      <c r="K139" s="40">
        <f t="shared" si="10"/>
        <v>0</v>
      </c>
      <c r="L139" s="40">
        <f t="shared" si="10"/>
        <v>0</v>
      </c>
      <c r="M139" s="39"/>
    </row>
    <row r="140" spans="1:13" s="41" customFormat="1" x14ac:dyDescent="0.3">
      <c r="A140" s="26">
        <v>4.3300000000000098</v>
      </c>
      <c r="B140" s="5"/>
      <c r="C140" s="30" t="s">
        <v>122</v>
      </c>
      <c r="D140" s="6"/>
      <c r="E140" s="6"/>
      <c r="F140" s="39"/>
      <c r="G140" s="8" t="s">
        <v>4</v>
      </c>
      <c r="H140" s="40">
        <f t="shared" si="10"/>
        <v>1</v>
      </c>
      <c r="I140" s="40">
        <f t="shared" si="10"/>
        <v>0</v>
      </c>
      <c r="J140" s="40">
        <f t="shared" si="10"/>
        <v>0</v>
      </c>
      <c r="K140" s="40">
        <f t="shared" si="10"/>
        <v>0</v>
      </c>
      <c r="L140" s="40">
        <f t="shared" si="10"/>
        <v>0</v>
      </c>
      <c r="M140" s="39"/>
    </row>
    <row r="141" spans="1:13" s="41" customFormat="1" x14ac:dyDescent="0.3">
      <c r="A141" s="26">
        <v>4.3400000000000096</v>
      </c>
      <c r="B141" s="5"/>
      <c r="C141" s="30" t="s">
        <v>123</v>
      </c>
      <c r="D141" s="6"/>
      <c r="E141" s="6"/>
      <c r="F141" s="39"/>
      <c r="G141" s="8" t="s">
        <v>4</v>
      </c>
      <c r="H141" s="40">
        <f t="shared" si="10"/>
        <v>1</v>
      </c>
      <c r="I141" s="40">
        <f t="shared" si="10"/>
        <v>0</v>
      </c>
      <c r="J141" s="40">
        <f t="shared" si="10"/>
        <v>0</v>
      </c>
      <c r="K141" s="40">
        <f t="shared" si="10"/>
        <v>0</v>
      </c>
      <c r="L141" s="40">
        <f t="shared" si="10"/>
        <v>0</v>
      </c>
      <c r="M141" s="39"/>
    </row>
    <row r="142" spans="1:13" s="41" customFormat="1" x14ac:dyDescent="0.3">
      <c r="A142" s="26">
        <v>4.3500000000000103</v>
      </c>
      <c r="B142" s="5"/>
      <c r="C142" s="30" t="s">
        <v>124</v>
      </c>
      <c r="D142" s="6"/>
      <c r="E142" s="6"/>
      <c r="F142" s="39"/>
      <c r="G142" s="8" t="s">
        <v>4</v>
      </c>
      <c r="H142" s="40">
        <f t="shared" si="10"/>
        <v>1</v>
      </c>
      <c r="I142" s="40">
        <f t="shared" si="10"/>
        <v>0</v>
      </c>
      <c r="J142" s="40">
        <f t="shared" si="10"/>
        <v>0</v>
      </c>
      <c r="K142" s="40">
        <f t="shared" si="10"/>
        <v>0</v>
      </c>
      <c r="L142" s="40">
        <f t="shared" si="10"/>
        <v>0</v>
      </c>
      <c r="M142" s="39"/>
    </row>
    <row r="143" spans="1:13" s="41" customFormat="1" x14ac:dyDescent="0.3">
      <c r="A143" s="26">
        <v>4.3600000000000101</v>
      </c>
      <c r="B143" s="5"/>
      <c r="C143" s="30" t="s">
        <v>125</v>
      </c>
      <c r="D143" s="6"/>
      <c r="E143" s="6"/>
      <c r="F143" s="39"/>
      <c r="G143" s="8" t="s">
        <v>4</v>
      </c>
      <c r="H143" s="40">
        <f t="shared" ref="H143:L147" si="11">IF($G143=H$1,1,0)</f>
        <v>1</v>
      </c>
      <c r="I143" s="40">
        <f t="shared" si="11"/>
        <v>0</v>
      </c>
      <c r="J143" s="40">
        <f t="shared" si="11"/>
        <v>0</v>
      </c>
      <c r="K143" s="40">
        <f t="shared" si="11"/>
        <v>0</v>
      </c>
      <c r="L143" s="40">
        <f t="shared" si="11"/>
        <v>0</v>
      </c>
      <c r="M143" s="39"/>
    </row>
    <row r="144" spans="1:13" s="41" customFormat="1" x14ac:dyDescent="0.3">
      <c r="A144" s="26">
        <v>4.3700000000000099</v>
      </c>
      <c r="B144" s="5"/>
      <c r="C144" s="30" t="s">
        <v>128</v>
      </c>
      <c r="D144" s="6"/>
      <c r="E144" s="6"/>
      <c r="F144" s="39"/>
      <c r="G144" s="8" t="s">
        <v>4</v>
      </c>
      <c r="H144" s="40">
        <f t="shared" si="11"/>
        <v>1</v>
      </c>
      <c r="I144" s="40">
        <f t="shared" si="11"/>
        <v>0</v>
      </c>
      <c r="J144" s="40">
        <f t="shared" si="11"/>
        <v>0</v>
      </c>
      <c r="K144" s="40">
        <f t="shared" si="11"/>
        <v>0</v>
      </c>
      <c r="L144" s="40">
        <f t="shared" si="11"/>
        <v>0</v>
      </c>
      <c r="M144" s="39"/>
    </row>
    <row r="145" spans="1:13" s="41" customFormat="1" x14ac:dyDescent="0.3">
      <c r="A145" s="26">
        <v>4.3800000000000097</v>
      </c>
      <c r="B145" s="5"/>
      <c r="C145" s="30" t="s">
        <v>129</v>
      </c>
      <c r="D145" s="6"/>
      <c r="E145" s="6"/>
      <c r="F145" s="39"/>
      <c r="G145" s="8" t="s">
        <v>4</v>
      </c>
      <c r="H145" s="40">
        <f t="shared" si="11"/>
        <v>1</v>
      </c>
      <c r="I145" s="40">
        <f t="shared" si="11"/>
        <v>0</v>
      </c>
      <c r="J145" s="40">
        <f t="shared" si="11"/>
        <v>0</v>
      </c>
      <c r="K145" s="40">
        <f t="shared" si="11"/>
        <v>0</v>
      </c>
      <c r="L145" s="40">
        <f t="shared" si="11"/>
        <v>0</v>
      </c>
      <c r="M145" s="39"/>
    </row>
    <row r="146" spans="1:13" s="41" customFormat="1" x14ac:dyDescent="0.3">
      <c r="A146" s="26">
        <v>4.3900000000000103</v>
      </c>
      <c r="B146" s="5"/>
      <c r="C146" s="30" t="s">
        <v>130</v>
      </c>
      <c r="D146" s="6"/>
      <c r="E146" s="6"/>
      <c r="F146" s="39"/>
      <c r="G146" s="8" t="s">
        <v>4</v>
      </c>
      <c r="H146" s="40">
        <f t="shared" si="11"/>
        <v>1</v>
      </c>
      <c r="I146" s="40">
        <f t="shared" si="11"/>
        <v>0</v>
      </c>
      <c r="J146" s="40">
        <f t="shared" si="11"/>
        <v>0</v>
      </c>
      <c r="K146" s="40">
        <f t="shared" si="11"/>
        <v>0</v>
      </c>
      <c r="L146" s="40">
        <f t="shared" si="11"/>
        <v>0</v>
      </c>
      <c r="M146" s="39"/>
    </row>
    <row r="147" spans="1:13" s="41" customFormat="1" x14ac:dyDescent="0.3">
      <c r="A147" s="26">
        <v>4.4000000000000101</v>
      </c>
      <c r="B147" s="5"/>
      <c r="C147" s="30" t="s">
        <v>131</v>
      </c>
      <c r="D147" s="6"/>
      <c r="E147" s="6"/>
      <c r="F147" s="39"/>
      <c r="G147" s="8" t="s">
        <v>4</v>
      </c>
      <c r="H147" s="40">
        <f t="shared" si="11"/>
        <v>1</v>
      </c>
      <c r="I147" s="40">
        <f t="shared" si="11"/>
        <v>0</v>
      </c>
      <c r="J147" s="40">
        <f t="shared" si="11"/>
        <v>0</v>
      </c>
      <c r="K147" s="40">
        <f t="shared" si="11"/>
        <v>0</v>
      </c>
      <c r="L147" s="40">
        <f t="shared" si="11"/>
        <v>0</v>
      </c>
      <c r="M147" s="39"/>
    </row>
    <row r="148" spans="1:13" s="19" customFormat="1" ht="15" x14ac:dyDescent="0.25">
      <c r="A148" s="26"/>
      <c r="B148" s="5"/>
      <c r="C148" s="25"/>
      <c r="D148" s="6"/>
      <c r="E148" s="7"/>
      <c r="F148" s="7"/>
      <c r="G148" s="8"/>
      <c r="H148" s="18">
        <f>SUM(H108:H128)</f>
        <v>21</v>
      </c>
      <c r="I148" s="18">
        <f t="shared" ref="I148:L148" si="12">SUM(I108:I128)</f>
        <v>0</v>
      </c>
      <c r="J148" s="18">
        <f t="shared" si="12"/>
        <v>0</v>
      </c>
      <c r="K148" s="18">
        <f t="shared" si="12"/>
        <v>0</v>
      </c>
      <c r="L148" s="18">
        <f t="shared" si="12"/>
        <v>0</v>
      </c>
      <c r="M148" s="16"/>
    </row>
    <row r="149" spans="1:13" ht="30" customHeight="1" x14ac:dyDescent="0.25">
      <c r="A149" s="50" t="s">
        <v>80</v>
      </c>
      <c r="B149" s="51"/>
      <c r="C149" s="52"/>
      <c r="D149" s="11"/>
      <c r="E149" s="12"/>
      <c r="F149" s="12"/>
      <c r="G149" s="11"/>
      <c r="H149" s="12"/>
      <c r="I149" s="12"/>
      <c r="J149" s="12"/>
      <c r="K149" s="12"/>
      <c r="L149" s="12"/>
      <c r="M149" s="12"/>
    </row>
    <row r="150" spans="1:13" s="19" customFormat="1" ht="15" x14ac:dyDescent="0.25">
      <c r="A150" s="21">
        <v>5</v>
      </c>
      <c r="B150" s="22" t="s">
        <v>28</v>
      </c>
      <c r="C150" s="16"/>
      <c r="D150" s="17"/>
      <c r="E150" s="16"/>
      <c r="F150" s="16"/>
      <c r="G150" s="18"/>
      <c r="H150" s="18"/>
      <c r="I150" s="18"/>
      <c r="J150" s="18"/>
      <c r="K150" s="18"/>
      <c r="L150" s="18"/>
      <c r="M150" s="16"/>
    </row>
    <row r="151" spans="1:13" ht="26.4" x14ac:dyDescent="0.3">
      <c r="A151" s="23">
        <f>A150+0.1</f>
        <v>5.0999999999999996</v>
      </c>
      <c r="B151" s="5" t="s">
        <v>33</v>
      </c>
      <c r="C151" s="24" t="s">
        <v>14</v>
      </c>
      <c r="D151" s="9" t="s">
        <v>15</v>
      </c>
      <c r="E151" s="33" t="s">
        <v>112</v>
      </c>
      <c r="F151" s="7" t="s">
        <v>88</v>
      </c>
      <c r="G151" s="8" t="s">
        <v>4</v>
      </c>
      <c r="H151" s="8">
        <f t="shared" ref="H151:L168" si="13">IF($G151=H$1,1,0)</f>
        <v>1</v>
      </c>
      <c r="I151" s="8">
        <f t="shared" si="13"/>
        <v>0</v>
      </c>
      <c r="J151" s="8">
        <f t="shared" si="13"/>
        <v>0</v>
      </c>
      <c r="K151" s="8">
        <f t="shared" si="13"/>
        <v>0</v>
      </c>
      <c r="L151" s="8">
        <f t="shared" si="13"/>
        <v>0</v>
      </c>
      <c r="M151" s="7"/>
    </row>
    <row r="152" spans="1:13" x14ac:dyDescent="0.3">
      <c r="A152" s="23">
        <f t="shared" ref="A152:A159" si="14">A151+0.1</f>
        <v>5.1999999999999993</v>
      </c>
      <c r="B152" s="5" t="s">
        <v>34</v>
      </c>
      <c r="C152" s="25" t="s">
        <v>17</v>
      </c>
      <c r="D152" s="6"/>
      <c r="E152" s="7"/>
      <c r="F152" s="7"/>
      <c r="G152" s="8" t="s">
        <v>4</v>
      </c>
      <c r="H152" s="8">
        <f t="shared" si="13"/>
        <v>1</v>
      </c>
      <c r="I152" s="8">
        <f t="shared" si="13"/>
        <v>0</v>
      </c>
      <c r="J152" s="8">
        <f t="shared" si="13"/>
        <v>0</v>
      </c>
      <c r="K152" s="8">
        <f t="shared" si="13"/>
        <v>0</v>
      </c>
      <c r="L152" s="8">
        <f t="shared" si="13"/>
        <v>0</v>
      </c>
      <c r="M152" s="7"/>
    </row>
    <row r="153" spans="1:13" x14ac:dyDescent="0.3">
      <c r="A153" s="23">
        <f t="shared" si="14"/>
        <v>5.2999999999999989</v>
      </c>
      <c r="B153" s="5"/>
      <c r="C153" s="25" t="s">
        <v>18</v>
      </c>
      <c r="D153" s="6"/>
      <c r="E153" s="7"/>
      <c r="F153" s="7"/>
      <c r="G153" s="8" t="s">
        <v>4</v>
      </c>
      <c r="H153" s="8">
        <f t="shared" si="13"/>
        <v>1</v>
      </c>
      <c r="I153" s="8">
        <f t="shared" si="13"/>
        <v>0</v>
      </c>
      <c r="J153" s="8">
        <f t="shared" si="13"/>
        <v>0</v>
      </c>
      <c r="K153" s="8">
        <f t="shared" si="13"/>
        <v>0</v>
      </c>
      <c r="L153" s="8">
        <f t="shared" si="13"/>
        <v>0</v>
      </c>
      <c r="M153" s="7"/>
    </row>
    <row r="154" spans="1:13" x14ac:dyDescent="0.3">
      <c r="A154" s="23">
        <f t="shared" si="14"/>
        <v>5.3999999999999986</v>
      </c>
      <c r="B154" s="5"/>
      <c r="C154" s="25" t="s">
        <v>44</v>
      </c>
      <c r="D154" s="6"/>
      <c r="E154" s="7"/>
      <c r="F154" s="7"/>
      <c r="G154" s="8" t="s">
        <v>4</v>
      </c>
      <c r="H154" s="8">
        <f t="shared" si="13"/>
        <v>1</v>
      </c>
      <c r="I154" s="8">
        <f t="shared" si="13"/>
        <v>0</v>
      </c>
      <c r="J154" s="8">
        <f t="shared" si="13"/>
        <v>0</v>
      </c>
      <c r="K154" s="8">
        <f t="shared" si="13"/>
        <v>0</v>
      </c>
      <c r="L154" s="8">
        <f t="shared" si="13"/>
        <v>0</v>
      </c>
      <c r="M154" s="7"/>
    </row>
    <row r="155" spans="1:13" x14ac:dyDescent="0.3">
      <c r="A155" s="23">
        <f t="shared" si="14"/>
        <v>5.4999999999999982</v>
      </c>
      <c r="B155" s="5"/>
      <c r="C155" s="30" t="s">
        <v>20</v>
      </c>
      <c r="D155" s="6"/>
      <c r="E155" s="7"/>
      <c r="F155" s="7"/>
      <c r="G155" s="8" t="s">
        <v>4</v>
      </c>
      <c r="H155" s="8">
        <f t="shared" si="13"/>
        <v>1</v>
      </c>
      <c r="I155" s="8">
        <f t="shared" si="13"/>
        <v>0</v>
      </c>
      <c r="J155" s="8">
        <f t="shared" si="13"/>
        <v>0</v>
      </c>
      <c r="K155" s="8">
        <f t="shared" si="13"/>
        <v>0</v>
      </c>
      <c r="L155" s="8">
        <f t="shared" si="13"/>
        <v>0</v>
      </c>
      <c r="M155" s="7"/>
    </row>
    <row r="156" spans="1:13" x14ac:dyDescent="0.3">
      <c r="A156" s="23">
        <f t="shared" si="14"/>
        <v>5.5999999999999979</v>
      </c>
      <c r="B156" s="5"/>
      <c r="C156" s="25" t="s">
        <v>45</v>
      </c>
      <c r="D156" s="6" t="s">
        <v>134</v>
      </c>
      <c r="E156" s="7"/>
      <c r="F156" s="7"/>
      <c r="G156" s="8" t="s">
        <v>4</v>
      </c>
      <c r="H156" s="8">
        <f t="shared" si="13"/>
        <v>1</v>
      </c>
      <c r="I156" s="8">
        <f t="shared" si="13"/>
        <v>0</v>
      </c>
      <c r="J156" s="8">
        <f t="shared" si="13"/>
        <v>0</v>
      </c>
      <c r="K156" s="8">
        <f t="shared" si="13"/>
        <v>0</v>
      </c>
      <c r="L156" s="8">
        <f t="shared" si="13"/>
        <v>0</v>
      </c>
      <c r="M156" s="7"/>
    </row>
    <row r="157" spans="1:13" x14ac:dyDescent="0.3">
      <c r="A157" s="23">
        <f t="shared" si="14"/>
        <v>5.6999999999999975</v>
      </c>
      <c r="B157" s="5"/>
      <c r="C157" s="25" t="s">
        <v>19</v>
      </c>
      <c r="D157" s="6"/>
      <c r="E157" s="7"/>
      <c r="F157" s="7"/>
      <c r="G157" s="8" t="s">
        <v>4</v>
      </c>
      <c r="H157" s="8">
        <f t="shared" si="13"/>
        <v>1</v>
      </c>
      <c r="I157" s="8">
        <f t="shared" si="13"/>
        <v>0</v>
      </c>
      <c r="J157" s="8">
        <f t="shared" si="13"/>
        <v>0</v>
      </c>
      <c r="K157" s="8">
        <f t="shared" si="13"/>
        <v>0</v>
      </c>
      <c r="L157" s="8">
        <f t="shared" si="13"/>
        <v>0</v>
      </c>
      <c r="M157" s="7"/>
    </row>
    <row r="158" spans="1:13" x14ac:dyDescent="0.3">
      <c r="A158" s="23">
        <f t="shared" si="14"/>
        <v>5.7999999999999972</v>
      </c>
      <c r="B158" s="5"/>
      <c r="C158" s="25" t="s">
        <v>47</v>
      </c>
      <c r="D158" s="6"/>
      <c r="E158" s="7"/>
      <c r="F158" s="7"/>
      <c r="G158" s="8" t="s">
        <v>4</v>
      </c>
      <c r="H158" s="8">
        <f t="shared" si="13"/>
        <v>1</v>
      </c>
      <c r="I158" s="8">
        <f t="shared" si="13"/>
        <v>0</v>
      </c>
      <c r="J158" s="8">
        <f t="shared" si="13"/>
        <v>0</v>
      </c>
      <c r="K158" s="8">
        <f t="shared" si="13"/>
        <v>0</v>
      </c>
      <c r="L158" s="8">
        <f t="shared" si="13"/>
        <v>0</v>
      </c>
      <c r="M158" s="7"/>
    </row>
    <row r="159" spans="1:13" ht="26.4" x14ac:dyDescent="0.3">
      <c r="A159" s="23">
        <f t="shared" si="14"/>
        <v>5.8999999999999968</v>
      </c>
      <c r="B159" s="5"/>
      <c r="C159" s="30" t="s">
        <v>60</v>
      </c>
      <c r="D159" s="6" t="s">
        <v>61</v>
      </c>
      <c r="E159" s="7"/>
      <c r="F159" s="7"/>
      <c r="G159" s="8" t="s">
        <v>4</v>
      </c>
      <c r="H159" s="8">
        <f t="shared" si="13"/>
        <v>1</v>
      </c>
      <c r="I159" s="8">
        <f t="shared" si="13"/>
        <v>0</v>
      </c>
      <c r="J159" s="8">
        <f t="shared" si="13"/>
        <v>0</v>
      </c>
      <c r="K159" s="8">
        <f t="shared" si="13"/>
        <v>0</v>
      </c>
      <c r="L159" s="8">
        <f t="shared" si="13"/>
        <v>0</v>
      </c>
      <c r="M159" s="7"/>
    </row>
    <row r="160" spans="1:13" ht="22.8" x14ac:dyDescent="0.3">
      <c r="A160" s="26">
        <v>5.0999999999999996</v>
      </c>
      <c r="B160" s="5"/>
      <c r="C160" s="30" t="s">
        <v>113</v>
      </c>
      <c r="D160" s="6"/>
      <c r="E160" s="7"/>
      <c r="F160" s="7"/>
      <c r="G160" s="8" t="s">
        <v>4</v>
      </c>
      <c r="H160" s="8">
        <f t="shared" si="13"/>
        <v>1</v>
      </c>
      <c r="I160" s="8">
        <f t="shared" si="13"/>
        <v>0</v>
      </c>
      <c r="J160" s="8">
        <f t="shared" si="13"/>
        <v>0</v>
      </c>
      <c r="K160" s="8">
        <f t="shared" si="13"/>
        <v>0</v>
      </c>
      <c r="L160" s="8">
        <f t="shared" si="13"/>
        <v>0</v>
      </c>
      <c r="M160" s="7"/>
    </row>
    <row r="161" spans="1:13" x14ac:dyDescent="0.3">
      <c r="A161" s="26">
        <v>5.1100000000000003</v>
      </c>
      <c r="B161" s="5"/>
      <c r="C161" s="30" t="s">
        <v>66</v>
      </c>
      <c r="D161" s="6"/>
      <c r="E161" s="7"/>
      <c r="F161" s="7"/>
      <c r="G161" s="8" t="s">
        <v>4</v>
      </c>
      <c r="H161" s="8">
        <f t="shared" si="13"/>
        <v>1</v>
      </c>
      <c r="I161" s="8">
        <f t="shared" si="13"/>
        <v>0</v>
      </c>
      <c r="J161" s="8">
        <f t="shared" si="13"/>
        <v>0</v>
      </c>
      <c r="K161" s="8">
        <f t="shared" si="13"/>
        <v>0</v>
      </c>
      <c r="L161" s="8">
        <f t="shared" si="13"/>
        <v>0</v>
      </c>
      <c r="M161" s="7"/>
    </row>
    <row r="162" spans="1:13" x14ac:dyDescent="0.3">
      <c r="A162" s="26">
        <v>5.12</v>
      </c>
      <c r="B162" s="5"/>
      <c r="C162" s="30" t="s">
        <v>71</v>
      </c>
      <c r="D162" s="6"/>
      <c r="E162" s="7"/>
      <c r="F162" s="7"/>
      <c r="G162" s="8" t="s">
        <v>4</v>
      </c>
      <c r="H162" s="8">
        <f t="shared" si="13"/>
        <v>1</v>
      </c>
      <c r="I162" s="8">
        <f t="shared" si="13"/>
        <v>0</v>
      </c>
      <c r="J162" s="8">
        <f t="shared" si="13"/>
        <v>0</v>
      </c>
      <c r="K162" s="8">
        <f t="shared" si="13"/>
        <v>0</v>
      </c>
      <c r="L162" s="8">
        <f t="shared" si="13"/>
        <v>0</v>
      </c>
      <c r="M162" s="7"/>
    </row>
    <row r="163" spans="1:13" x14ac:dyDescent="0.3">
      <c r="A163" s="26">
        <v>5.13</v>
      </c>
      <c r="B163" s="5"/>
      <c r="C163" s="30" t="s">
        <v>68</v>
      </c>
      <c r="D163" s="6" t="s">
        <v>69</v>
      </c>
      <c r="E163" s="7"/>
      <c r="F163" s="7"/>
      <c r="G163" s="8" t="s">
        <v>4</v>
      </c>
      <c r="H163" s="8">
        <f t="shared" si="13"/>
        <v>1</v>
      </c>
      <c r="I163" s="8">
        <f t="shared" si="13"/>
        <v>0</v>
      </c>
      <c r="J163" s="8">
        <f t="shared" si="13"/>
        <v>0</v>
      </c>
      <c r="K163" s="8">
        <f t="shared" si="13"/>
        <v>0</v>
      </c>
      <c r="L163" s="8">
        <f t="shared" si="13"/>
        <v>0</v>
      </c>
      <c r="M163" s="7"/>
    </row>
    <row r="164" spans="1:13" x14ac:dyDescent="0.3">
      <c r="A164" s="26">
        <v>5.14</v>
      </c>
      <c r="B164" s="5"/>
      <c r="C164" s="25" t="s">
        <v>21</v>
      </c>
      <c r="D164" s="6"/>
      <c r="E164" s="7"/>
      <c r="F164" s="7"/>
      <c r="G164" s="8" t="s">
        <v>4</v>
      </c>
      <c r="H164" s="8">
        <f t="shared" si="13"/>
        <v>1</v>
      </c>
      <c r="I164" s="8">
        <f t="shared" si="13"/>
        <v>0</v>
      </c>
      <c r="J164" s="8">
        <f t="shared" si="13"/>
        <v>0</v>
      </c>
      <c r="K164" s="8">
        <f t="shared" si="13"/>
        <v>0</v>
      </c>
      <c r="L164" s="8">
        <f t="shared" si="13"/>
        <v>0</v>
      </c>
      <c r="M164" s="7"/>
    </row>
    <row r="165" spans="1:13" x14ac:dyDescent="0.3">
      <c r="A165" s="26">
        <v>5.15</v>
      </c>
      <c r="B165" s="5"/>
      <c r="C165" s="25" t="s">
        <v>22</v>
      </c>
      <c r="D165" s="6" t="s">
        <v>133</v>
      </c>
      <c r="E165" s="7"/>
      <c r="F165" s="7"/>
      <c r="G165" s="8" t="s">
        <v>4</v>
      </c>
      <c r="H165" s="8">
        <f t="shared" si="13"/>
        <v>1</v>
      </c>
      <c r="I165" s="8">
        <f t="shared" si="13"/>
        <v>0</v>
      </c>
      <c r="J165" s="8">
        <f t="shared" si="13"/>
        <v>0</v>
      </c>
      <c r="K165" s="8">
        <f t="shared" si="13"/>
        <v>0</v>
      </c>
      <c r="L165" s="8">
        <f t="shared" si="13"/>
        <v>0</v>
      </c>
      <c r="M165" s="7"/>
    </row>
    <row r="166" spans="1:13" x14ac:dyDescent="0.3">
      <c r="A166" s="26">
        <v>5.16</v>
      </c>
      <c r="B166" s="5"/>
      <c r="C166" s="25" t="s">
        <v>23</v>
      </c>
      <c r="D166" s="6" t="s">
        <v>51</v>
      </c>
      <c r="E166" s="7"/>
      <c r="F166" s="7"/>
      <c r="G166" s="8" t="s">
        <v>4</v>
      </c>
      <c r="H166" s="8">
        <f t="shared" si="13"/>
        <v>1</v>
      </c>
      <c r="I166" s="8">
        <f t="shared" si="13"/>
        <v>0</v>
      </c>
      <c r="J166" s="8">
        <f t="shared" si="13"/>
        <v>0</v>
      </c>
      <c r="K166" s="8">
        <f t="shared" si="13"/>
        <v>0</v>
      </c>
      <c r="L166" s="8">
        <f t="shared" si="13"/>
        <v>0</v>
      </c>
      <c r="M166" s="7"/>
    </row>
    <row r="167" spans="1:13" x14ac:dyDescent="0.3">
      <c r="A167" s="26">
        <v>5.17</v>
      </c>
      <c r="B167" s="5"/>
      <c r="C167" s="25" t="s">
        <v>70</v>
      </c>
      <c r="D167" s="6"/>
      <c r="E167" s="7"/>
      <c r="F167" s="7"/>
      <c r="G167" s="8" t="s">
        <v>4</v>
      </c>
      <c r="H167" s="8">
        <f t="shared" si="13"/>
        <v>1</v>
      </c>
      <c r="I167" s="8">
        <f t="shared" si="13"/>
        <v>0</v>
      </c>
      <c r="J167" s="8">
        <f t="shared" si="13"/>
        <v>0</v>
      </c>
      <c r="K167" s="8">
        <f t="shared" si="13"/>
        <v>0</v>
      </c>
      <c r="L167" s="8">
        <f t="shared" si="13"/>
        <v>0</v>
      </c>
      <c r="M167" s="7"/>
    </row>
    <row r="168" spans="1:13" ht="39.6" x14ac:dyDescent="0.3">
      <c r="A168" s="26">
        <v>5.1800000000000104</v>
      </c>
      <c r="B168" s="5"/>
      <c r="C168" s="25" t="s">
        <v>24</v>
      </c>
      <c r="D168" s="6" t="s">
        <v>92</v>
      </c>
      <c r="E168" s="7" t="s">
        <v>110</v>
      </c>
      <c r="F168" s="7"/>
      <c r="G168" s="8" t="s">
        <v>4</v>
      </c>
      <c r="H168" s="8">
        <f t="shared" si="13"/>
        <v>1</v>
      </c>
      <c r="I168" s="8">
        <f t="shared" si="13"/>
        <v>0</v>
      </c>
      <c r="J168" s="8">
        <f t="shared" si="13"/>
        <v>0</v>
      </c>
      <c r="K168" s="8">
        <f t="shared" si="13"/>
        <v>0</v>
      </c>
      <c r="L168" s="8">
        <f t="shared" si="13"/>
        <v>0</v>
      </c>
      <c r="M168" s="7"/>
    </row>
    <row r="169" spans="1:13" s="37" customFormat="1" ht="39.6" x14ac:dyDescent="0.3">
      <c r="A169" s="26">
        <v>5.1900000000000102</v>
      </c>
      <c r="B169" s="34"/>
      <c r="C169" s="30" t="s">
        <v>62</v>
      </c>
      <c r="D169" s="35" t="s">
        <v>63</v>
      </c>
      <c r="E169" s="35"/>
      <c r="F169" s="35"/>
      <c r="G169" s="8" t="s">
        <v>4</v>
      </c>
      <c r="H169" s="36">
        <f t="shared" ref="H169:L184" si="15">IF($G169=H$1,1,0)</f>
        <v>1</v>
      </c>
      <c r="I169" s="36">
        <f t="shared" si="15"/>
        <v>0</v>
      </c>
      <c r="J169" s="36">
        <f t="shared" si="15"/>
        <v>0</v>
      </c>
      <c r="K169" s="36">
        <f t="shared" si="15"/>
        <v>0</v>
      </c>
      <c r="L169" s="36">
        <f t="shared" si="15"/>
        <v>0</v>
      </c>
      <c r="M169" s="35"/>
    </row>
    <row r="170" spans="1:13" s="37" customFormat="1" ht="26.4" x14ac:dyDescent="0.3">
      <c r="A170" s="26">
        <v>5.2000000000000099</v>
      </c>
      <c r="B170" s="34"/>
      <c r="C170" s="30" t="s">
        <v>64</v>
      </c>
      <c r="D170" s="35" t="s">
        <v>65</v>
      </c>
      <c r="E170" s="35"/>
      <c r="F170" s="35"/>
      <c r="G170" s="8" t="s">
        <v>4</v>
      </c>
      <c r="H170" s="36">
        <f t="shared" si="15"/>
        <v>1</v>
      </c>
      <c r="I170" s="36">
        <f t="shared" si="15"/>
        <v>0</v>
      </c>
      <c r="J170" s="36">
        <f t="shared" si="15"/>
        <v>0</v>
      </c>
      <c r="K170" s="36">
        <f t="shared" si="15"/>
        <v>0</v>
      </c>
      <c r="L170" s="36">
        <f t="shared" si="15"/>
        <v>0</v>
      </c>
      <c r="M170" s="35"/>
    </row>
    <row r="171" spans="1:13" s="37" customFormat="1" ht="39.6" x14ac:dyDescent="0.3">
      <c r="A171" s="26">
        <v>5.2100000000000097</v>
      </c>
      <c r="B171" s="34"/>
      <c r="C171" s="30" t="s">
        <v>64</v>
      </c>
      <c r="D171" s="35"/>
      <c r="E171" s="35" t="s">
        <v>91</v>
      </c>
      <c r="F171" s="35"/>
      <c r="G171" s="8" t="s">
        <v>4</v>
      </c>
      <c r="H171" s="36">
        <f t="shared" si="15"/>
        <v>1</v>
      </c>
      <c r="I171" s="36">
        <f t="shared" si="15"/>
        <v>0</v>
      </c>
      <c r="J171" s="36">
        <f t="shared" si="15"/>
        <v>0</v>
      </c>
      <c r="K171" s="36">
        <f t="shared" si="15"/>
        <v>0</v>
      </c>
      <c r="L171" s="36">
        <f t="shared" si="15"/>
        <v>0</v>
      </c>
      <c r="M171" s="35"/>
    </row>
    <row r="172" spans="1:13" s="37" customFormat="1" x14ac:dyDescent="0.3">
      <c r="A172" s="26">
        <v>5.2200000000000104</v>
      </c>
      <c r="B172" s="5" t="s">
        <v>115</v>
      </c>
      <c r="C172" s="30" t="s">
        <v>116</v>
      </c>
      <c r="D172" s="35"/>
      <c r="E172" s="35"/>
      <c r="F172" s="35"/>
      <c r="G172" s="8" t="s">
        <v>4</v>
      </c>
      <c r="H172" s="36">
        <f t="shared" si="15"/>
        <v>1</v>
      </c>
      <c r="I172" s="36">
        <f t="shared" si="15"/>
        <v>0</v>
      </c>
      <c r="J172" s="36">
        <f t="shared" si="15"/>
        <v>0</v>
      </c>
      <c r="K172" s="36">
        <f t="shared" si="15"/>
        <v>0</v>
      </c>
      <c r="L172" s="36">
        <f t="shared" si="15"/>
        <v>0</v>
      </c>
      <c r="M172" s="35"/>
    </row>
    <row r="173" spans="1:13" s="37" customFormat="1" x14ac:dyDescent="0.3">
      <c r="A173" s="26">
        <v>5.2300000000000102</v>
      </c>
      <c r="B173" s="5"/>
      <c r="C173" s="30" t="s">
        <v>117</v>
      </c>
      <c r="D173" s="35"/>
      <c r="E173" s="35"/>
      <c r="F173" s="35"/>
      <c r="G173" s="8" t="s">
        <v>4</v>
      </c>
      <c r="H173" s="36">
        <f t="shared" si="15"/>
        <v>1</v>
      </c>
      <c r="I173" s="36">
        <f t="shared" si="15"/>
        <v>0</v>
      </c>
      <c r="J173" s="36">
        <f t="shared" si="15"/>
        <v>0</v>
      </c>
      <c r="K173" s="36">
        <f t="shared" si="15"/>
        <v>0</v>
      </c>
      <c r="L173" s="36">
        <f t="shared" si="15"/>
        <v>0</v>
      </c>
      <c r="M173" s="35"/>
    </row>
    <row r="174" spans="1:13" s="37" customFormat="1" x14ac:dyDescent="0.3">
      <c r="A174" s="26">
        <v>5.24000000000001</v>
      </c>
      <c r="B174" s="5"/>
      <c r="C174" s="30" t="s">
        <v>118</v>
      </c>
      <c r="D174" s="35"/>
      <c r="E174" s="35"/>
      <c r="F174" s="35"/>
      <c r="G174" s="8" t="s">
        <v>4</v>
      </c>
      <c r="H174" s="36">
        <f t="shared" si="15"/>
        <v>1</v>
      </c>
      <c r="I174" s="36">
        <f t="shared" si="15"/>
        <v>0</v>
      </c>
      <c r="J174" s="36">
        <f t="shared" si="15"/>
        <v>0</v>
      </c>
      <c r="K174" s="36">
        <f t="shared" si="15"/>
        <v>0</v>
      </c>
      <c r="L174" s="36">
        <f t="shared" si="15"/>
        <v>0</v>
      </c>
      <c r="M174" s="35"/>
    </row>
    <row r="175" spans="1:13" s="37" customFormat="1" x14ac:dyDescent="0.3">
      <c r="A175" s="26">
        <v>5.2500000000000098</v>
      </c>
      <c r="B175" s="5"/>
      <c r="C175" s="30" t="s">
        <v>119</v>
      </c>
      <c r="D175" s="35"/>
      <c r="E175" s="35"/>
      <c r="F175" s="35"/>
      <c r="G175" s="8" t="s">
        <v>4</v>
      </c>
      <c r="H175" s="36">
        <f t="shared" si="15"/>
        <v>1</v>
      </c>
      <c r="I175" s="36">
        <f t="shared" si="15"/>
        <v>0</v>
      </c>
      <c r="J175" s="36">
        <f t="shared" si="15"/>
        <v>0</v>
      </c>
      <c r="K175" s="36">
        <f t="shared" si="15"/>
        <v>0</v>
      </c>
      <c r="L175" s="36">
        <f t="shared" si="15"/>
        <v>0</v>
      </c>
      <c r="M175" s="35"/>
    </row>
    <row r="176" spans="1:13" s="37" customFormat="1" x14ac:dyDescent="0.3">
      <c r="A176" s="26">
        <v>5.2600000000000096</v>
      </c>
      <c r="B176" s="5"/>
      <c r="C176" s="30" t="s">
        <v>132</v>
      </c>
      <c r="D176" s="35"/>
      <c r="E176" s="35"/>
      <c r="F176" s="35"/>
      <c r="G176" s="8" t="s">
        <v>4</v>
      </c>
      <c r="H176" s="36">
        <f t="shared" si="15"/>
        <v>1</v>
      </c>
      <c r="I176" s="36">
        <f t="shared" si="15"/>
        <v>0</v>
      </c>
      <c r="J176" s="36">
        <f t="shared" si="15"/>
        <v>0</v>
      </c>
      <c r="K176" s="36">
        <f t="shared" si="15"/>
        <v>0</v>
      </c>
      <c r="L176" s="36">
        <f t="shared" si="15"/>
        <v>0</v>
      </c>
      <c r="M176" s="35"/>
    </row>
    <row r="177" spans="1:13" s="37" customFormat="1" x14ac:dyDescent="0.3">
      <c r="A177" s="26">
        <v>5.2700000000000102</v>
      </c>
      <c r="B177" s="5" t="s">
        <v>121</v>
      </c>
      <c r="C177" s="30" t="s">
        <v>122</v>
      </c>
      <c r="D177" s="35"/>
      <c r="E177" s="35"/>
      <c r="F177" s="35"/>
      <c r="G177" s="8" t="s">
        <v>4</v>
      </c>
      <c r="H177" s="36">
        <f t="shared" si="15"/>
        <v>1</v>
      </c>
      <c r="I177" s="36">
        <f t="shared" si="15"/>
        <v>0</v>
      </c>
      <c r="J177" s="36">
        <f t="shared" si="15"/>
        <v>0</v>
      </c>
      <c r="K177" s="36">
        <f t="shared" si="15"/>
        <v>0</v>
      </c>
      <c r="L177" s="36">
        <f t="shared" si="15"/>
        <v>0</v>
      </c>
      <c r="M177" s="35"/>
    </row>
    <row r="178" spans="1:13" s="37" customFormat="1" x14ac:dyDescent="0.3">
      <c r="A178" s="26">
        <v>5.28000000000001</v>
      </c>
      <c r="B178" s="5"/>
      <c r="C178" s="30" t="s">
        <v>123</v>
      </c>
      <c r="D178" s="35"/>
      <c r="E178" s="35"/>
      <c r="F178" s="35"/>
      <c r="G178" s="8" t="s">
        <v>4</v>
      </c>
      <c r="H178" s="36">
        <f t="shared" si="15"/>
        <v>1</v>
      </c>
      <c r="I178" s="36">
        <f t="shared" si="15"/>
        <v>0</v>
      </c>
      <c r="J178" s="36">
        <f t="shared" si="15"/>
        <v>0</v>
      </c>
      <c r="K178" s="36">
        <f t="shared" si="15"/>
        <v>0</v>
      </c>
      <c r="L178" s="36">
        <f t="shared" si="15"/>
        <v>0</v>
      </c>
      <c r="M178" s="35"/>
    </row>
    <row r="179" spans="1:13" s="37" customFormat="1" x14ac:dyDescent="0.3">
      <c r="A179" s="26">
        <v>5.2900000000000098</v>
      </c>
      <c r="B179" s="5"/>
      <c r="C179" s="30" t="s">
        <v>124</v>
      </c>
      <c r="D179" s="35"/>
      <c r="E179" s="35"/>
      <c r="F179" s="35"/>
      <c r="G179" s="8" t="s">
        <v>4</v>
      </c>
      <c r="H179" s="36">
        <f t="shared" si="15"/>
        <v>1</v>
      </c>
      <c r="I179" s="36">
        <f t="shared" si="15"/>
        <v>0</v>
      </c>
      <c r="J179" s="36">
        <f t="shared" si="15"/>
        <v>0</v>
      </c>
      <c r="K179" s="36">
        <f t="shared" si="15"/>
        <v>0</v>
      </c>
      <c r="L179" s="36">
        <f t="shared" si="15"/>
        <v>0</v>
      </c>
      <c r="M179" s="35"/>
    </row>
    <row r="180" spans="1:13" s="37" customFormat="1" x14ac:dyDescent="0.3">
      <c r="A180" s="26">
        <v>5.3000000000000096</v>
      </c>
      <c r="B180" s="5"/>
      <c r="C180" s="30" t="s">
        <v>125</v>
      </c>
      <c r="D180" s="35"/>
      <c r="E180" s="35"/>
      <c r="F180" s="35"/>
      <c r="G180" s="8" t="s">
        <v>4</v>
      </c>
      <c r="H180" s="36">
        <f t="shared" si="15"/>
        <v>1</v>
      </c>
      <c r="I180" s="36">
        <f t="shared" si="15"/>
        <v>0</v>
      </c>
      <c r="J180" s="36">
        <f t="shared" si="15"/>
        <v>0</v>
      </c>
      <c r="K180" s="36">
        <f t="shared" si="15"/>
        <v>0</v>
      </c>
      <c r="L180" s="36">
        <f t="shared" si="15"/>
        <v>0</v>
      </c>
      <c r="M180" s="35"/>
    </row>
    <row r="181" spans="1:13" s="37" customFormat="1" x14ac:dyDescent="0.3">
      <c r="A181" s="26">
        <v>5.3100000000000103</v>
      </c>
      <c r="B181" s="5"/>
      <c r="C181" s="30" t="s">
        <v>126</v>
      </c>
      <c r="D181" s="35"/>
      <c r="E181" s="35"/>
      <c r="F181" s="35"/>
      <c r="G181" s="8" t="s">
        <v>4</v>
      </c>
      <c r="H181" s="36">
        <f t="shared" si="15"/>
        <v>1</v>
      </c>
      <c r="I181" s="36">
        <f t="shared" si="15"/>
        <v>0</v>
      </c>
      <c r="J181" s="36">
        <f t="shared" si="15"/>
        <v>0</v>
      </c>
      <c r="K181" s="36">
        <f t="shared" si="15"/>
        <v>0</v>
      </c>
      <c r="L181" s="36">
        <f t="shared" si="15"/>
        <v>0</v>
      </c>
      <c r="M181" s="35"/>
    </row>
    <row r="182" spans="1:13" s="37" customFormat="1" x14ac:dyDescent="0.3">
      <c r="A182" s="26">
        <v>5.3200000000000101</v>
      </c>
      <c r="B182" s="5"/>
      <c r="C182" s="30" t="s">
        <v>127</v>
      </c>
      <c r="D182" s="35"/>
      <c r="E182" s="35"/>
      <c r="F182" s="35"/>
      <c r="G182" s="8" t="s">
        <v>4</v>
      </c>
      <c r="H182" s="36">
        <f t="shared" si="15"/>
        <v>1</v>
      </c>
      <c r="I182" s="36">
        <f t="shared" si="15"/>
        <v>0</v>
      </c>
      <c r="J182" s="36">
        <f t="shared" si="15"/>
        <v>0</v>
      </c>
      <c r="K182" s="36">
        <f t="shared" si="15"/>
        <v>0</v>
      </c>
      <c r="L182" s="36">
        <f t="shared" si="15"/>
        <v>0</v>
      </c>
      <c r="M182" s="35"/>
    </row>
    <row r="183" spans="1:13" s="37" customFormat="1" x14ac:dyDescent="0.3">
      <c r="A183" s="26">
        <v>5.3300000000000098</v>
      </c>
      <c r="B183" s="5"/>
      <c r="C183" s="30" t="s">
        <v>122</v>
      </c>
      <c r="D183" s="35"/>
      <c r="E183" s="35"/>
      <c r="F183" s="35"/>
      <c r="G183" s="8" t="s">
        <v>4</v>
      </c>
      <c r="H183" s="36">
        <f t="shared" si="15"/>
        <v>1</v>
      </c>
      <c r="I183" s="36">
        <f t="shared" si="15"/>
        <v>0</v>
      </c>
      <c r="J183" s="36">
        <f t="shared" si="15"/>
        <v>0</v>
      </c>
      <c r="K183" s="36">
        <f t="shared" si="15"/>
        <v>0</v>
      </c>
      <c r="L183" s="36">
        <f t="shared" si="15"/>
        <v>0</v>
      </c>
      <c r="M183" s="35"/>
    </row>
    <row r="184" spans="1:13" s="37" customFormat="1" x14ac:dyDescent="0.3">
      <c r="A184" s="26">
        <v>5.3400000000000096</v>
      </c>
      <c r="B184" s="5"/>
      <c r="C184" s="30" t="s">
        <v>123</v>
      </c>
      <c r="D184" s="35"/>
      <c r="E184" s="35"/>
      <c r="F184" s="35"/>
      <c r="G184" s="8" t="s">
        <v>4</v>
      </c>
      <c r="H184" s="36">
        <f t="shared" si="15"/>
        <v>1</v>
      </c>
      <c r="I184" s="36">
        <f t="shared" si="15"/>
        <v>0</v>
      </c>
      <c r="J184" s="36">
        <f t="shared" si="15"/>
        <v>0</v>
      </c>
      <c r="K184" s="36">
        <f t="shared" si="15"/>
        <v>0</v>
      </c>
      <c r="L184" s="36">
        <f t="shared" si="15"/>
        <v>0</v>
      </c>
      <c r="M184" s="35"/>
    </row>
    <row r="185" spans="1:13" s="37" customFormat="1" x14ac:dyDescent="0.3">
      <c r="A185" s="26">
        <v>5.3500000000000103</v>
      </c>
      <c r="B185" s="5"/>
      <c r="C185" s="30" t="s">
        <v>124</v>
      </c>
      <c r="D185" s="35"/>
      <c r="E185" s="35"/>
      <c r="F185" s="35"/>
      <c r="G185" s="8" t="s">
        <v>4</v>
      </c>
      <c r="H185" s="36">
        <f t="shared" ref="H185:L190" si="16">IF($G185=H$1,1,0)</f>
        <v>1</v>
      </c>
      <c r="I185" s="36">
        <f t="shared" si="16"/>
        <v>0</v>
      </c>
      <c r="J185" s="36">
        <f t="shared" si="16"/>
        <v>0</v>
      </c>
      <c r="K185" s="36">
        <f t="shared" si="16"/>
        <v>0</v>
      </c>
      <c r="L185" s="36">
        <f t="shared" si="16"/>
        <v>0</v>
      </c>
      <c r="M185" s="35"/>
    </row>
    <row r="186" spans="1:13" s="37" customFormat="1" x14ac:dyDescent="0.3">
      <c r="A186" s="26">
        <v>5.3600000000000101</v>
      </c>
      <c r="B186" s="5"/>
      <c r="C186" s="30" t="s">
        <v>125</v>
      </c>
      <c r="D186" s="35"/>
      <c r="E186" s="35"/>
      <c r="F186" s="35"/>
      <c r="G186" s="8" t="s">
        <v>4</v>
      </c>
      <c r="H186" s="36">
        <f t="shared" si="16"/>
        <v>1</v>
      </c>
      <c r="I186" s="36">
        <f t="shared" si="16"/>
        <v>0</v>
      </c>
      <c r="J186" s="36">
        <f t="shared" si="16"/>
        <v>0</v>
      </c>
      <c r="K186" s="36">
        <f t="shared" si="16"/>
        <v>0</v>
      </c>
      <c r="L186" s="36">
        <f t="shared" si="16"/>
        <v>0</v>
      </c>
      <c r="M186" s="35"/>
    </row>
    <row r="187" spans="1:13" s="37" customFormat="1" x14ac:dyDescent="0.3">
      <c r="A187" s="26">
        <v>5.3700000000000099</v>
      </c>
      <c r="B187" s="5"/>
      <c r="C187" s="30" t="s">
        <v>128</v>
      </c>
      <c r="D187" s="35"/>
      <c r="E187" s="35"/>
      <c r="F187" s="35"/>
      <c r="G187" s="8" t="s">
        <v>4</v>
      </c>
      <c r="H187" s="36">
        <f t="shared" si="16"/>
        <v>1</v>
      </c>
      <c r="I187" s="36">
        <f t="shared" si="16"/>
        <v>0</v>
      </c>
      <c r="J187" s="36">
        <f t="shared" si="16"/>
        <v>0</v>
      </c>
      <c r="K187" s="36">
        <f t="shared" si="16"/>
        <v>0</v>
      </c>
      <c r="L187" s="36">
        <f t="shared" si="16"/>
        <v>0</v>
      </c>
      <c r="M187" s="35"/>
    </row>
    <row r="188" spans="1:13" s="37" customFormat="1" x14ac:dyDescent="0.3">
      <c r="A188" s="26">
        <v>5.3800000000000097</v>
      </c>
      <c r="B188" s="5"/>
      <c r="C188" s="30" t="s">
        <v>129</v>
      </c>
      <c r="D188" s="35"/>
      <c r="E188" s="35"/>
      <c r="F188" s="35"/>
      <c r="G188" s="8" t="s">
        <v>4</v>
      </c>
      <c r="H188" s="36">
        <f t="shared" si="16"/>
        <v>1</v>
      </c>
      <c r="I188" s="36">
        <f t="shared" si="16"/>
        <v>0</v>
      </c>
      <c r="J188" s="36">
        <f t="shared" si="16"/>
        <v>0</v>
      </c>
      <c r="K188" s="36">
        <f t="shared" si="16"/>
        <v>0</v>
      </c>
      <c r="L188" s="36">
        <f t="shared" si="16"/>
        <v>0</v>
      </c>
      <c r="M188" s="35"/>
    </row>
    <row r="189" spans="1:13" s="37" customFormat="1" x14ac:dyDescent="0.3">
      <c r="A189" s="26">
        <v>5.3900000000000103</v>
      </c>
      <c r="B189" s="5"/>
      <c r="C189" s="30" t="s">
        <v>130</v>
      </c>
      <c r="D189" s="35"/>
      <c r="E189" s="35"/>
      <c r="F189" s="35"/>
      <c r="G189" s="8" t="s">
        <v>4</v>
      </c>
      <c r="H189" s="36">
        <f t="shared" si="16"/>
        <v>1</v>
      </c>
      <c r="I189" s="36">
        <f t="shared" si="16"/>
        <v>0</v>
      </c>
      <c r="J189" s="36">
        <f t="shared" si="16"/>
        <v>0</v>
      </c>
      <c r="K189" s="36">
        <f t="shared" si="16"/>
        <v>0</v>
      </c>
      <c r="L189" s="36">
        <f t="shared" si="16"/>
        <v>0</v>
      </c>
      <c r="M189" s="35"/>
    </row>
    <row r="190" spans="1:13" s="37" customFormat="1" x14ac:dyDescent="0.3">
      <c r="A190" s="26">
        <v>5.4000000000000101</v>
      </c>
      <c r="B190" s="5"/>
      <c r="C190" s="30" t="s">
        <v>131</v>
      </c>
      <c r="D190" s="35"/>
      <c r="E190" s="35"/>
      <c r="F190" s="35"/>
      <c r="G190" s="8" t="s">
        <v>4</v>
      </c>
      <c r="H190" s="36">
        <f t="shared" si="16"/>
        <v>1</v>
      </c>
      <c r="I190" s="36">
        <f t="shared" si="16"/>
        <v>0</v>
      </c>
      <c r="J190" s="36">
        <f t="shared" si="16"/>
        <v>0</v>
      </c>
      <c r="K190" s="36">
        <f t="shared" si="16"/>
        <v>0</v>
      </c>
      <c r="L190" s="36">
        <f t="shared" si="16"/>
        <v>0</v>
      </c>
      <c r="M190" s="35"/>
    </row>
    <row r="191" spans="1:13" s="19" customFormat="1" ht="15" x14ac:dyDescent="0.25">
      <c r="A191" s="23">
        <v>6</v>
      </c>
      <c r="B191" s="22" t="s">
        <v>35</v>
      </c>
      <c r="C191" s="16"/>
      <c r="D191" s="17"/>
      <c r="E191" s="16"/>
      <c r="F191" s="16"/>
      <c r="G191" s="18"/>
      <c r="H191" s="18">
        <f>SUM(H151:H171)</f>
        <v>21</v>
      </c>
      <c r="I191" s="18">
        <f>SUM(I151:I171)</f>
        <v>0</v>
      </c>
      <c r="J191" s="18">
        <f>SUM(J151:J171)</f>
        <v>0</v>
      </c>
      <c r="K191" s="18">
        <f>SUM(K151:K171)</f>
        <v>0</v>
      </c>
      <c r="L191" s="18">
        <f>SUM(L151:L171)</f>
        <v>0</v>
      </c>
      <c r="M191" s="16"/>
    </row>
    <row r="192" spans="1:13" ht="39.6" x14ac:dyDescent="0.3">
      <c r="A192" s="23">
        <v>6.1</v>
      </c>
      <c r="B192" s="5" t="s">
        <v>36</v>
      </c>
      <c r="C192" s="24" t="s">
        <v>14</v>
      </c>
      <c r="D192" s="9" t="s">
        <v>15</v>
      </c>
      <c r="E192" s="33" t="s">
        <v>81</v>
      </c>
      <c r="F192" s="7"/>
      <c r="G192" s="8" t="s">
        <v>7</v>
      </c>
      <c r="H192" s="8">
        <f>IF($G192=H$1,1,0)</f>
        <v>0</v>
      </c>
      <c r="I192" s="8">
        <f t="shared" ref="I192:L206" si="17">IF($G192=I$1,1,0)</f>
        <v>0</v>
      </c>
      <c r="J192" s="8">
        <f t="shared" si="17"/>
        <v>0</v>
      </c>
      <c r="K192" s="8">
        <f t="shared" si="17"/>
        <v>0</v>
      </c>
      <c r="L192" s="8">
        <f t="shared" si="17"/>
        <v>1</v>
      </c>
      <c r="M192" s="7"/>
    </row>
    <row r="193" spans="1:13" ht="15" x14ac:dyDescent="0.25">
      <c r="A193" s="23">
        <v>6.2</v>
      </c>
      <c r="B193" s="5"/>
      <c r="C193" s="25" t="s">
        <v>17</v>
      </c>
      <c r="D193" s="6"/>
      <c r="E193" s="7"/>
      <c r="F193" s="7"/>
      <c r="G193" s="8" t="s">
        <v>7</v>
      </c>
      <c r="H193" s="8">
        <f t="shared" ref="H193:L212" si="18">IF($G193=H$1,1,0)</f>
        <v>0</v>
      </c>
      <c r="I193" s="8">
        <f t="shared" si="17"/>
        <v>0</v>
      </c>
      <c r="J193" s="8">
        <f t="shared" si="17"/>
        <v>0</v>
      </c>
      <c r="K193" s="8">
        <f t="shared" si="17"/>
        <v>0</v>
      </c>
      <c r="L193" s="8">
        <f t="shared" si="17"/>
        <v>1</v>
      </c>
      <c r="M193" s="7"/>
    </row>
    <row r="194" spans="1:13" ht="15" x14ac:dyDescent="0.25">
      <c r="A194" s="23">
        <v>6.3</v>
      </c>
      <c r="B194" s="5"/>
      <c r="C194" s="25" t="s">
        <v>18</v>
      </c>
      <c r="D194" s="6"/>
      <c r="E194" s="7"/>
      <c r="F194" s="7"/>
      <c r="G194" s="8" t="s">
        <v>7</v>
      </c>
      <c r="H194" s="8">
        <f t="shared" si="18"/>
        <v>0</v>
      </c>
      <c r="I194" s="8">
        <f t="shared" si="17"/>
        <v>0</v>
      </c>
      <c r="J194" s="8">
        <f t="shared" si="17"/>
        <v>0</v>
      </c>
      <c r="K194" s="8">
        <f t="shared" si="17"/>
        <v>0</v>
      </c>
      <c r="L194" s="8">
        <f t="shared" si="17"/>
        <v>1</v>
      </c>
      <c r="M194" s="7"/>
    </row>
    <row r="195" spans="1:13" ht="15" x14ac:dyDescent="0.25">
      <c r="A195" s="23">
        <v>6.4</v>
      </c>
      <c r="B195" s="5"/>
      <c r="C195" s="25" t="s">
        <v>82</v>
      </c>
      <c r="D195" s="6"/>
      <c r="E195" s="7"/>
      <c r="F195" s="7"/>
      <c r="G195" s="8" t="s">
        <v>7</v>
      </c>
      <c r="H195" s="8">
        <f t="shared" si="18"/>
        <v>0</v>
      </c>
      <c r="I195" s="8">
        <f t="shared" si="17"/>
        <v>0</v>
      </c>
      <c r="J195" s="8">
        <f t="shared" si="17"/>
        <v>0</v>
      </c>
      <c r="K195" s="8">
        <f t="shared" si="17"/>
        <v>0</v>
      </c>
      <c r="L195" s="8">
        <f t="shared" si="17"/>
        <v>1</v>
      </c>
      <c r="M195" s="7"/>
    </row>
    <row r="196" spans="1:13" ht="15" x14ac:dyDescent="0.25">
      <c r="A196" s="23">
        <v>6.5</v>
      </c>
      <c r="B196" s="5"/>
      <c r="C196" s="30" t="s">
        <v>20</v>
      </c>
      <c r="D196" s="6"/>
      <c r="E196" s="7"/>
      <c r="F196" s="7"/>
      <c r="G196" s="8" t="s">
        <v>7</v>
      </c>
      <c r="H196" s="8">
        <f t="shared" si="18"/>
        <v>0</v>
      </c>
      <c r="I196" s="8">
        <f t="shared" si="17"/>
        <v>0</v>
      </c>
      <c r="J196" s="8">
        <f t="shared" si="17"/>
        <v>0</v>
      </c>
      <c r="K196" s="8">
        <f t="shared" si="17"/>
        <v>0</v>
      </c>
      <c r="L196" s="8">
        <f t="shared" si="17"/>
        <v>1</v>
      </c>
      <c r="M196" s="7"/>
    </row>
    <row r="197" spans="1:13" ht="15" x14ac:dyDescent="0.25">
      <c r="A197" s="23">
        <v>6.6</v>
      </c>
      <c r="B197" s="5"/>
      <c r="C197" s="25" t="s">
        <v>45</v>
      </c>
      <c r="D197" s="6"/>
      <c r="E197" s="7"/>
      <c r="F197" s="7"/>
      <c r="G197" s="8" t="s">
        <v>7</v>
      </c>
      <c r="H197" s="8">
        <f t="shared" si="18"/>
        <v>0</v>
      </c>
      <c r="I197" s="8">
        <f t="shared" si="17"/>
        <v>0</v>
      </c>
      <c r="J197" s="8">
        <f t="shared" si="17"/>
        <v>0</v>
      </c>
      <c r="K197" s="8">
        <f t="shared" si="17"/>
        <v>0</v>
      </c>
      <c r="L197" s="8">
        <f t="shared" si="17"/>
        <v>1</v>
      </c>
      <c r="M197" s="7"/>
    </row>
    <row r="198" spans="1:13" ht="15" x14ac:dyDescent="0.25">
      <c r="A198" s="23">
        <v>6.7</v>
      </c>
      <c r="B198" s="5"/>
      <c r="C198" s="25" t="s">
        <v>19</v>
      </c>
      <c r="D198" s="6"/>
      <c r="E198" s="7"/>
      <c r="F198" s="7"/>
      <c r="G198" s="8" t="s">
        <v>7</v>
      </c>
      <c r="H198" s="8">
        <f t="shared" si="18"/>
        <v>0</v>
      </c>
      <c r="I198" s="8">
        <f t="shared" si="17"/>
        <v>0</v>
      </c>
      <c r="J198" s="8">
        <f t="shared" si="17"/>
        <v>0</v>
      </c>
      <c r="K198" s="8">
        <f t="shared" si="17"/>
        <v>0</v>
      </c>
      <c r="L198" s="8">
        <f t="shared" si="17"/>
        <v>1</v>
      </c>
      <c r="M198" s="7"/>
    </row>
    <row r="199" spans="1:13" ht="15" x14ac:dyDescent="0.25">
      <c r="A199" s="23">
        <v>6.8</v>
      </c>
      <c r="B199" s="5"/>
      <c r="C199" s="25" t="s">
        <v>47</v>
      </c>
      <c r="D199" s="6"/>
      <c r="E199" s="7"/>
      <c r="F199" s="7"/>
      <c r="G199" s="8" t="s">
        <v>7</v>
      </c>
      <c r="H199" s="8">
        <f t="shared" si="18"/>
        <v>0</v>
      </c>
      <c r="I199" s="8">
        <f t="shared" si="17"/>
        <v>0</v>
      </c>
      <c r="J199" s="8">
        <f t="shared" si="17"/>
        <v>0</v>
      </c>
      <c r="K199" s="8">
        <f t="shared" si="17"/>
        <v>0</v>
      </c>
      <c r="L199" s="8">
        <f t="shared" si="17"/>
        <v>1</v>
      </c>
      <c r="M199" s="7"/>
    </row>
    <row r="200" spans="1:13" ht="15" x14ac:dyDescent="0.25">
      <c r="A200" s="23">
        <v>6.9</v>
      </c>
      <c r="B200" s="5"/>
      <c r="C200" s="30" t="s">
        <v>60</v>
      </c>
      <c r="D200" s="6"/>
      <c r="E200" s="7"/>
      <c r="F200" s="7"/>
      <c r="G200" s="8" t="s">
        <v>7</v>
      </c>
      <c r="H200" s="8">
        <f t="shared" si="18"/>
        <v>0</v>
      </c>
      <c r="I200" s="8">
        <f t="shared" si="17"/>
        <v>0</v>
      </c>
      <c r="J200" s="8">
        <f t="shared" si="17"/>
        <v>0</v>
      </c>
      <c r="K200" s="8">
        <f t="shared" si="17"/>
        <v>0</v>
      </c>
      <c r="L200" s="8">
        <f t="shared" si="17"/>
        <v>1</v>
      </c>
      <c r="M200" s="7"/>
    </row>
    <row r="201" spans="1:13" ht="22.5" x14ac:dyDescent="0.25">
      <c r="A201" s="26">
        <v>6.1</v>
      </c>
      <c r="B201" s="5"/>
      <c r="C201" s="30" t="s">
        <v>114</v>
      </c>
      <c r="D201" s="6"/>
      <c r="E201" s="7"/>
      <c r="F201" s="7"/>
      <c r="G201" s="8" t="s">
        <v>7</v>
      </c>
      <c r="H201" s="8">
        <f t="shared" si="18"/>
        <v>0</v>
      </c>
      <c r="I201" s="8">
        <f t="shared" si="17"/>
        <v>0</v>
      </c>
      <c r="J201" s="8">
        <f t="shared" si="17"/>
        <v>0</v>
      </c>
      <c r="K201" s="8">
        <f t="shared" si="17"/>
        <v>0</v>
      </c>
      <c r="L201" s="8">
        <f t="shared" si="17"/>
        <v>1</v>
      </c>
      <c r="M201" s="7"/>
    </row>
    <row r="202" spans="1:13" ht="15" x14ac:dyDescent="0.25">
      <c r="A202" s="26">
        <v>6.12</v>
      </c>
      <c r="B202" s="5"/>
      <c r="C202" s="30" t="s">
        <v>66</v>
      </c>
      <c r="D202" s="6"/>
      <c r="E202" s="7"/>
      <c r="F202" s="7"/>
      <c r="G202" s="8" t="s">
        <v>7</v>
      </c>
      <c r="H202" s="8">
        <f t="shared" si="18"/>
        <v>0</v>
      </c>
      <c r="I202" s="8">
        <f t="shared" si="17"/>
        <v>0</v>
      </c>
      <c r="J202" s="8">
        <f t="shared" si="17"/>
        <v>0</v>
      </c>
      <c r="K202" s="8">
        <f t="shared" si="17"/>
        <v>0</v>
      </c>
      <c r="L202" s="8">
        <f t="shared" si="17"/>
        <v>1</v>
      </c>
      <c r="M202" s="7"/>
    </row>
    <row r="203" spans="1:13" ht="15" x14ac:dyDescent="0.25">
      <c r="A203" s="26">
        <v>6.13</v>
      </c>
      <c r="B203" s="5"/>
      <c r="C203" s="30" t="s">
        <v>67</v>
      </c>
      <c r="D203" s="6"/>
      <c r="E203" s="7"/>
      <c r="F203" s="7"/>
      <c r="G203" s="8" t="s">
        <v>7</v>
      </c>
      <c r="H203" s="8">
        <f t="shared" si="18"/>
        <v>0</v>
      </c>
      <c r="I203" s="8">
        <f t="shared" si="17"/>
        <v>0</v>
      </c>
      <c r="J203" s="8">
        <f t="shared" si="17"/>
        <v>0</v>
      </c>
      <c r="K203" s="8">
        <f t="shared" si="17"/>
        <v>0</v>
      </c>
      <c r="L203" s="8">
        <f t="shared" si="17"/>
        <v>1</v>
      </c>
      <c r="M203" s="7"/>
    </row>
    <row r="204" spans="1:13" ht="15" x14ac:dyDescent="0.25">
      <c r="A204" s="26">
        <v>6.14</v>
      </c>
      <c r="B204" s="5"/>
      <c r="C204" s="30" t="s">
        <v>68</v>
      </c>
      <c r="D204" s="6"/>
      <c r="E204" s="7"/>
      <c r="F204" s="7"/>
      <c r="G204" s="8" t="s">
        <v>7</v>
      </c>
      <c r="H204" s="8">
        <f t="shared" si="18"/>
        <v>0</v>
      </c>
      <c r="I204" s="8">
        <f t="shared" si="17"/>
        <v>0</v>
      </c>
      <c r="J204" s="8">
        <f t="shared" si="17"/>
        <v>0</v>
      </c>
      <c r="K204" s="8">
        <f t="shared" si="17"/>
        <v>0</v>
      </c>
      <c r="L204" s="8">
        <f t="shared" si="17"/>
        <v>1</v>
      </c>
      <c r="M204" s="7"/>
    </row>
    <row r="205" spans="1:13" ht="15" x14ac:dyDescent="0.25">
      <c r="A205" s="26">
        <v>6.15</v>
      </c>
      <c r="B205" s="5"/>
      <c r="C205" s="25" t="s">
        <v>21</v>
      </c>
      <c r="D205" s="6"/>
      <c r="E205" s="7"/>
      <c r="F205" s="7"/>
      <c r="G205" s="8" t="s">
        <v>7</v>
      </c>
      <c r="H205" s="8">
        <f t="shared" si="18"/>
        <v>0</v>
      </c>
      <c r="I205" s="8">
        <f t="shared" si="17"/>
        <v>0</v>
      </c>
      <c r="J205" s="8">
        <f t="shared" si="17"/>
        <v>0</v>
      </c>
      <c r="K205" s="8">
        <f t="shared" si="17"/>
        <v>0</v>
      </c>
      <c r="L205" s="8">
        <f t="shared" si="17"/>
        <v>1</v>
      </c>
      <c r="M205" s="7"/>
    </row>
    <row r="206" spans="1:13" ht="15" x14ac:dyDescent="0.25">
      <c r="A206" s="26">
        <v>6.16</v>
      </c>
      <c r="B206" s="5"/>
      <c r="C206" s="25" t="s">
        <v>22</v>
      </c>
      <c r="D206" s="6"/>
      <c r="E206" s="7"/>
      <c r="F206" s="7"/>
      <c r="G206" s="8" t="s">
        <v>7</v>
      </c>
      <c r="H206" s="8">
        <f t="shared" si="18"/>
        <v>0</v>
      </c>
      <c r="I206" s="8">
        <f t="shared" si="17"/>
        <v>0</v>
      </c>
      <c r="J206" s="8">
        <f t="shared" si="17"/>
        <v>0</v>
      </c>
      <c r="K206" s="8">
        <f t="shared" si="17"/>
        <v>0</v>
      </c>
      <c r="L206" s="8">
        <f t="shared" si="17"/>
        <v>1</v>
      </c>
      <c r="M206" s="7"/>
    </row>
    <row r="207" spans="1:13" ht="15" x14ac:dyDescent="0.25">
      <c r="A207" s="26">
        <v>6.17</v>
      </c>
      <c r="B207" s="5"/>
      <c r="C207" s="25" t="s">
        <v>23</v>
      </c>
      <c r="D207" s="6"/>
      <c r="E207" s="7"/>
      <c r="F207" s="7"/>
      <c r="G207" s="8" t="s">
        <v>7</v>
      </c>
      <c r="H207" s="8">
        <f t="shared" si="18"/>
        <v>0</v>
      </c>
      <c r="I207" s="8">
        <f t="shared" si="18"/>
        <v>0</v>
      </c>
      <c r="J207" s="8">
        <f t="shared" si="18"/>
        <v>0</v>
      </c>
      <c r="K207" s="8">
        <f t="shared" si="18"/>
        <v>0</v>
      </c>
      <c r="L207" s="8">
        <f t="shared" si="18"/>
        <v>1</v>
      </c>
      <c r="M207" s="7"/>
    </row>
    <row r="208" spans="1:13" ht="15" x14ac:dyDescent="0.25">
      <c r="A208" s="26">
        <v>6.1800000000000104</v>
      </c>
      <c r="B208" s="5"/>
      <c r="C208" s="25" t="s">
        <v>70</v>
      </c>
      <c r="D208" s="6"/>
      <c r="E208" s="7"/>
      <c r="F208" s="7"/>
      <c r="G208" s="8" t="s">
        <v>7</v>
      </c>
      <c r="H208" s="8">
        <f t="shared" si="18"/>
        <v>0</v>
      </c>
      <c r="I208" s="8">
        <f t="shared" si="18"/>
        <v>0</v>
      </c>
      <c r="J208" s="8">
        <f t="shared" si="18"/>
        <v>0</v>
      </c>
      <c r="K208" s="8">
        <f t="shared" si="18"/>
        <v>0</v>
      </c>
      <c r="L208" s="8">
        <f t="shared" si="18"/>
        <v>1</v>
      </c>
      <c r="M208" s="7"/>
    </row>
    <row r="209" spans="1:13" ht="38.25" x14ac:dyDescent="0.25">
      <c r="A209" s="26">
        <v>6.1900000000000102</v>
      </c>
      <c r="B209" s="5"/>
      <c r="C209" s="25" t="s">
        <v>24</v>
      </c>
      <c r="D209" s="6"/>
      <c r="E209" s="7" t="s">
        <v>110</v>
      </c>
      <c r="F209" s="7"/>
      <c r="G209" s="8" t="s">
        <v>7</v>
      </c>
      <c r="H209" s="8">
        <f t="shared" si="18"/>
        <v>0</v>
      </c>
      <c r="I209" s="8">
        <f t="shared" si="18"/>
        <v>0</v>
      </c>
      <c r="J209" s="8">
        <f t="shared" si="18"/>
        <v>0</v>
      </c>
      <c r="K209" s="8">
        <f t="shared" si="18"/>
        <v>0</v>
      </c>
      <c r="L209" s="8">
        <f t="shared" si="18"/>
        <v>1</v>
      </c>
      <c r="M209" s="7"/>
    </row>
    <row r="210" spans="1:13" ht="38.25" x14ac:dyDescent="0.25">
      <c r="A210" s="26">
        <v>6.2000000000000099</v>
      </c>
      <c r="B210" s="5"/>
      <c r="C210" s="30" t="s">
        <v>62</v>
      </c>
      <c r="D210" s="35" t="s">
        <v>63</v>
      </c>
      <c r="E210" s="35"/>
      <c r="F210" s="7"/>
      <c r="G210" s="8" t="s">
        <v>7</v>
      </c>
      <c r="H210" s="8">
        <f t="shared" si="18"/>
        <v>0</v>
      </c>
      <c r="I210" s="8">
        <f t="shared" si="18"/>
        <v>0</v>
      </c>
      <c r="J210" s="8">
        <f t="shared" si="18"/>
        <v>0</v>
      </c>
      <c r="K210" s="8">
        <f t="shared" si="18"/>
        <v>0</v>
      </c>
      <c r="L210" s="8">
        <f t="shared" si="18"/>
        <v>1</v>
      </c>
      <c r="M210" s="7"/>
    </row>
    <row r="211" spans="1:13" ht="25.5" x14ac:dyDescent="0.25">
      <c r="A211" s="26">
        <v>6.2100000000000097</v>
      </c>
      <c r="B211" s="5"/>
      <c r="C211" s="30" t="s">
        <v>64</v>
      </c>
      <c r="D211" s="35" t="s">
        <v>65</v>
      </c>
      <c r="E211" s="35"/>
      <c r="F211" s="7"/>
      <c r="G211" s="8" t="s">
        <v>7</v>
      </c>
      <c r="H211" s="8">
        <f t="shared" si="18"/>
        <v>0</v>
      </c>
      <c r="I211" s="8">
        <f t="shared" si="18"/>
        <v>0</v>
      </c>
      <c r="J211" s="8">
        <f t="shared" si="18"/>
        <v>0</v>
      </c>
      <c r="K211" s="8">
        <f t="shared" si="18"/>
        <v>0</v>
      </c>
      <c r="L211" s="8">
        <f t="shared" si="18"/>
        <v>1</v>
      </c>
      <c r="M211" s="7"/>
    </row>
    <row r="212" spans="1:13" ht="38.25" x14ac:dyDescent="0.25">
      <c r="A212" s="26">
        <v>6.2200000000000104</v>
      </c>
      <c r="B212" s="5"/>
      <c r="C212" s="30" t="s">
        <v>64</v>
      </c>
      <c r="D212" s="35"/>
      <c r="E212" s="35" t="s">
        <v>91</v>
      </c>
      <c r="F212" s="7"/>
      <c r="G212" s="8" t="s">
        <v>7</v>
      </c>
      <c r="H212" s="8">
        <f t="shared" si="18"/>
        <v>0</v>
      </c>
      <c r="I212" s="8">
        <f t="shared" si="18"/>
        <v>0</v>
      </c>
      <c r="J212" s="8">
        <f t="shared" si="18"/>
        <v>0</v>
      </c>
      <c r="K212" s="8">
        <f t="shared" si="18"/>
        <v>0</v>
      </c>
      <c r="L212" s="8">
        <f t="shared" si="18"/>
        <v>1</v>
      </c>
      <c r="M212" s="7"/>
    </row>
    <row r="213" spans="1:13" s="19" customFormat="1" ht="15" x14ac:dyDescent="0.25">
      <c r="A213" s="49">
        <v>7</v>
      </c>
      <c r="B213" s="22" t="s">
        <v>37</v>
      </c>
      <c r="C213" s="16"/>
      <c r="D213" s="17"/>
      <c r="E213" s="16"/>
      <c r="F213" s="16"/>
      <c r="G213" s="18"/>
      <c r="H213" s="18">
        <f>SUM(H192:H212)</f>
        <v>0</v>
      </c>
      <c r="I213" s="18">
        <f>SUM(I192:I212)</f>
        <v>0</v>
      </c>
      <c r="J213" s="18">
        <f>SUM(J192:J212)</f>
        <v>0</v>
      </c>
      <c r="K213" s="18">
        <f>SUM(K192:K212)</f>
        <v>0</v>
      </c>
      <c r="L213" s="18">
        <f>SUM(L192:L212)</f>
        <v>21</v>
      </c>
      <c r="M213" s="16"/>
    </row>
    <row r="214" spans="1:13" ht="22.8" x14ac:dyDescent="0.3">
      <c r="A214" s="23">
        <v>7.1</v>
      </c>
      <c r="B214" s="5" t="s">
        <v>38</v>
      </c>
      <c r="C214" s="25" t="s">
        <v>72</v>
      </c>
      <c r="D214" s="9" t="s">
        <v>39</v>
      </c>
      <c r="E214" s="7"/>
      <c r="F214" s="7"/>
      <c r="G214" s="8" t="s">
        <v>4</v>
      </c>
      <c r="H214" s="8">
        <f t="shared" ref="H214:L216" si="19">IF($G214=H$1,1,0)</f>
        <v>1</v>
      </c>
      <c r="I214" s="8">
        <f t="shared" si="19"/>
        <v>0</v>
      </c>
      <c r="J214" s="8">
        <f t="shared" si="19"/>
        <v>0</v>
      </c>
      <c r="K214" s="8">
        <f t="shared" si="19"/>
        <v>0</v>
      </c>
      <c r="L214" s="8">
        <f t="shared" si="19"/>
        <v>0</v>
      </c>
      <c r="M214" s="7"/>
    </row>
    <row r="215" spans="1:13" ht="26.4" x14ac:dyDescent="0.3">
      <c r="A215" s="23">
        <v>7.2</v>
      </c>
      <c r="B215" s="5"/>
      <c r="C215" s="6" t="s">
        <v>73</v>
      </c>
      <c r="D215" s="9"/>
      <c r="E215" s="7"/>
      <c r="F215" s="6"/>
      <c r="G215" s="8" t="s">
        <v>4</v>
      </c>
      <c r="H215" s="8">
        <f t="shared" si="19"/>
        <v>1</v>
      </c>
      <c r="I215" s="8">
        <f t="shared" si="19"/>
        <v>0</v>
      </c>
      <c r="J215" s="8">
        <f t="shared" si="19"/>
        <v>0</v>
      </c>
      <c r="K215" s="8">
        <f t="shared" si="19"/>
        <v>0</v>
      </c>
      <c r="L215" s="8">
        <f t="shared" si="19"/>
        <v>0</v>
      </c>
      <c r="M215" s="7"/>
    </row>
    <row r="216" spans="1:13" x14ac:dyDescent="0.3">
      <c r="A216" s="23">
        <v>7.3</v>
      </c>
      <c r="B216" s="5"/>
      <c r="C216" s="6" t="s">
        <v>74</v>
      </c>
      <c r="D216" s="9"/>
      <c r="E216" s="7"/>
      <c r="F216" s="6"/>
      <c r="G216" s="8" t="s">
        <v>4</v>
      </c>
      <c r="H216" s="8">
        <f t="shared" si="19"/>
        <v>1</v>
      </c>
      <c r="I216" s="8">
        <f t="shared" si="19"/>
        <v>0</v>
      </c>
      <c r="J216" s="8">
        <f t="shared" si="19"/>
        <v>0</v>
      </c>
      <c r="K216" s="8">
        <f t="shared" si="19"/>
        <v>0</v>
      </c>
      <c r="L216" s="8">
        <f t="shared" si="19"/>
        <v>0</v>
      </c>
      <c r="M216" s="7"/>
    </row>
    <row r="217" spans="1:13" s="41" customFormat="1" x14ac:dyDescent="0.3">
      <c r="A217" s="44"/>
      <c r="B217" s="34"/>
      <c r="C217" s="35"/>
      <c r="D217" s="45"/>
      <c r="E217" s="35"/>
      <c r="F217" s="35"/>
      <c r="G217" s="44"/>
      <c r="H217" s="43">
        <f>SUM(H214:H216)</f>
        <v>3</v>
      </c>
      <c r="I217" s="43">
        <f t="shared" ref="I217:L217" si="20">SUM(I214:I216)</f>
        <v>0</v>
      </c>
      <c r="J217" s="43">
        <f t="shared" si="20"/>
        <v>0</v>
      </c>
      <c r="K217" s="43">
        <f t="shared" si="20"/>
        <v>0</v>
      </c>
      <c r="L217" s="43">
        <f t="shared" si="20"/>
        <v>0</v>
      </c>
      <c r="M217" s="46"/>
    </row>
    <row r="218" spans="1:13" s="19" customFormat="1" ht="15" x14ac:dyDescent="0.25">
      <c r="A218" s="49">
        <v>8</v>
      </c>
      <c r="B218" s="22" t="s">
        <v>75</v>
      </c>
      <c r="C218" s="16"/>
      <c r="D218" s="17"/>
      <c r="E218" s="16"/>
      <c r="F218" s="16"/>
      <c r="G218" s="18"/>
      <c r="H218" s="18"/>
      <c r="I218" s="18"/>
      <c r="J218" s="18"/>
      <c r="K218" s="18"/>
      <c r="L218" s="18"/>
      <c r="M218" s="16"/>
    </row>
    <row r="219" spans="1:13" ht="26.4" x14ac:dyDescent="0.3">
      <c r="A219" s="23">
        <v>8.1</v>
      </c>
      <c r="B219" s="5" t="s">
        <v>76</v>
      </c>
      <c r="C219" s="7" t="s">
        <v>77</v>
      </c>
      <c r="D219" s="6" t="s">
        <v>78</v>
      </c>
      <c r="E219" s="7"/>
      <c r="F219" s="7" t="s">
        <v>88</v>
      </c>
      <c r="G219" s="8" t="s">
        <v>4</v>
      </c>
      <c r="H219" s="8">
        <f>IF($G219=H$1,1,0)</f>
        <v>1</v>
      </c>
      <c r="I219" s="8">
        <f t="shared" ref="I219:L219" si="21">IF($G219=I$1,1,0)</f>
        <v>0</v>
      </c>
      <c r="J219" s="8">
        <f t="shared" si="21"/>
        <v>0</v>
      </c>
      <c r="K219" s="8">
        <f t="shared" si="21"/>
        <v>0</v>
      </c>
      <c r="L219" s="8">
        <f t="shared" si="21"/>
        <v>0</v>
      </c>
      <c r="M219" s="7"/>
    </row>
    <row r="220" spans="1:13" ht="15" x14ac:dyDescent="0.25">
      <c r="A220" s="23">
        <v>8.1999999999999993</v>
      </c>
      <c r="B220" s="5"/>
      <c r="C220" s="7"/>
      <c r="D220" s="6"/>
      <c r="E220" s="7"/>
      <c r="F220" s="7"/>
      <c r="G220" s="8"/>
      <c r="H220" s="8"/>
      <c r="I220" s="8"/>
      <c r="J220" s="8"/>
      <c r="K220" s="8"/>
      <c r="L220" s="8"/>
      <c r="M220" s="7"/>
    </row>
    <row r="221" spans="1:13" ht="15" x14ac:dyDescent="0.25">
      <c r="A221" s="23"/>
      <c r="B221" s="16" t="s">
        <v>105</v>
      </c>
      <c r="C221" s="17" t="s">
        <v>99</v>
      </c>
      <c r="D221" s="17"/>
      <c r="E221" s="7"/>
      <c r="F221" s="7"/>
      <c r="G221" s="8"/>
      <c r="H221" s="8"/>
      <c r="I221" s="8"/>
      <c r="J221" s="8"/>
      <c r="K221" s="8"/>
      <c r="L221" s="8"/>
      <c r="M221" s="7"/>
    </row>
    <row r="222" spans="1:13" ht="30" x14ac:dyDescent="0.25">
      <c r="A222" s="23"/>
      <c r="B222" s="47" t="s">
        <v>103</v>
      </c>
      <c r="C222" s="6" t="s">
        <v>100</v>
      </c>
      <c r="D222" s="48" t="s">
        <v>101</v>
      </c>
      <c r="E222" s="7"/>
      <c r="F222" s="7"/>
      <c r="G222" s="8" t="s">
        <v>7</v>
      </c>
      <c r="H222" s="8">
        <f>IF($G222=H$1,1,0)</f>
        <v>0</v>
      </c>
      <c r="I222" s="8">
        <f t="shared" ref="I222:L222" si="22">IF($G222=I$1,1,0)</f>
        <v>0</v>
      </c>
      <c r="J222" s="8">
        <f t="shared" si="22"/>
        <v>0</v>
      </c>
      <c r="K222" s="8">
        <f t="shared" si="22"/>
        <v>0</v>
      </c>
      <c r="L222" s="8">
        <f t="shared" si="22"/>
        <v>1</v>
      </c>
      <c r="M222" s="7"/>
    </row>
    <row r="223" spans="1:13" ht="15" x14ac:dyDescent="0.25">
      <c r="A223" s="23"/>
      <c r="B223" s="7"/>
      <c r="C223" s="6"/>
      <c r="D223" s="48"/>
      <c r="E223" s="7"/>
      <c r="F223" s="7"/>
      <c r="G223" s="8"/>
      <c r="H223" s="8"/>
      <c r="I223" s="8"/>
      <c r="J223" s="8"/>
      <c r="K223" s="8"/>
      <c r="L223" s="8"/>
      <c r="M223" s="7"/>
    </row>
    <row r="224" spans="1:13" ht="30" x14ac:dyDescent="0.25">
      <c r="A224" s="23"/>
      <c r="B224" s="47" t="s">
        <v>104</v>
      </c>
      <c r="C224" s="6" t="s">
        <v>102</v>
      </c>
      <c r="D224" s="48" t="s">
        <v>101</v>
      </c>
      <c r="E224" s="7"/>
      <c r="F224" s="7"/>
      <c r="G224" s="8" t="s">
        <v>7</v>
      </c>
      <c r="H224" s="8">
        <f>IF($G224=H$1,1,0)</f>
        <v>0</v>
      </c>
      <c r="I224" s="8">
        <f t="shared" ref="I224:L224" si="23">IF($G224=I$1,1,0)</f>
        <v>0</v>
      </c>
      <c r="J224" s="8">
        <f t="shared" si="23"/>
        <v>0</v>
      </c>
      <c r="K224" s="8">
        <f t="shared" si="23"/>
        <v>0</v>
      </c>
      <c r="L224" s="8">
        <f t="shared" si="23"/>
        <v>1</v>
      </c>
      <c r="M224" s="7"/>
    </row>
    <row r="225" spans="1:13" x14ac:dyDescent="0.3">
      <c r="A225" s="23"/>
      <c r="B225" s="5"/>
      <c r="C225" s="7"/>
      <c r="D225" s="6"/>
      <c r="E225" s="7"/>
      <c r="F225" s="7"/>
      <c r="G225" s="8"/>
      <c r="H225" s="8"/>
      <c r="I225" s="8"/>
      <c r="J225" s="8"/>
      <c r="K225" s="8"/>
      <c r="L225" s="8"/>
      <c r="M225" s="7"/>
    </row>
    <row r="226" spans="1:13" ht="26.4" x14ac:dyDescent="0.3">
      <c r="A226" s="23"/>
      <c r="B226" s="16" t="s">
        <v>106</v>
      </c>
      <c r="C226" s="17" t="s">
        <v>99</v>
      </c>
      <c r="D226" s="17"/>
      <c r="E226" s="7"/>
      <c r="F226" s="7"/>
      <c r="G226" s="8"/>
      <c r="H226" s="8"/>
      <c r="I226" s="8"/>
      <c r="J226" s="8"/>
      <c r="K226" s="8"/>
      <c r="L226" s="8"/>
      <c r="M226" s="7"/>
    </row>
    <row r="227" spans="1:13" ht="28.8" x14ac:dyDescent="0.3">
      <c r="A227" s="23"/>
      <c r="B227" s="47" t="s">
        <v>103</v>
      </c>
      <c r="C227" s="6" t="s">
        <v>107</v>
      </c>
      <c r="D227" s="48" t="s">
        <v>101</v>
      </c>
      <c r="E227" s="7"/>
      <c r="F227" s="7"/>
      <c r="G227" s="8" t="s">
        <v>7</v>
      </c>
      <c r="H227" s="8">
        <f>IF($G227=H$1,1,0)</f>
        <v>0</v>
      </c>
      <c r="I227" s="8">
        <f t="shared" ref="I227:L227" si="24">IF($G227=I$1,1,0)</f>
        <v>0</v>
      </c>
      <c r="J227" s="8">
        <f t="shared" si="24"/>
        <v>0</v>
      </c>
      <c r="K227" s="8">
        <f t="shared" si="24"/>
        <v>0</v>
      </c>
      <c r="L227" s="8">
        <f t="shared" si="24"/>
        <v>1</v>
      </c>
      <c r="M227" s="7"/>
    </row>
    <row r="228" spans="1:13" x14ac:dyDescent="0.3">
      <c r="A228" s="23"/>
      <c r="B228" s="7"/>
      <c r="C228" s="6"/>
      <c r="D228" s="48"/>
      <c r="E228" s="7"/>
      <c r="F228" s="7"/>
      <c r="G228" s="8"/>
      <c r="H228" s="8"/>
      <c r="I228" s="8"/>
      <c r="J228" s="8"/>
      <c r="K228" s="8"/>
      <c r="L228" s="8"/>
      <c r="M228" s="7"/>
    </row>
    <row r="229" spans="1:13" ht="28.8" x14ac:dyDescent="0.3">
      <c r="A229" s="23"/>
      <c r="B229" s="47" t="s">
        <v>104</v>
      </c>
      <c r="C229" s="6" t="s">
        <v>108</v>
      </c>
      <c r="D229" s="48" t="s">
        <v>101</v>
      </c>
      <c r="E229" s="7"/>
      <c r="F229" s="7"/>
      <c r="G229" s="8" t="s">
        <v>7</v>
      </c>
      <c r="H229" s="8">
        <f>IF($G229=H$1,1,0)</f>
        <v>0</v>
      </c>
      <c r="I229" s="8">
        <f t="shared" ref="I229:L229" si="25">IF($G229=I$1,1,0)</f>
        <v>0</v>
      </c>
      <c r="J229" s="8">
        <f t="shared" si="25"/>
        <v>0</v>
      </c>
      <c r="K229" s="8">
        <f t="shared" si="25"/>
        <v>0</v>
      </c>
      <c r="L229" s="8">
        <f t="shared" si="25"/>
        <v>1</v>
      </c>
      <c r="M229" s="7"/>
    </row>
    <row r="230" spans="1:13" x14ac:dyDescent="0.3">
      <c r="A230" s="23"/>
      <c r="B230" s="5"/>
      <c r="C230" s="7"/>
      <c r="D230" s="6"/>
      <c r="E230" s="7"/>
      <c r="F230" s="7"/>
      <c r="G230" s="8"/>
      <c r="H230" s="8"/>
      <c r="I230" s="8"/>
      <c r="J230" s="8"/>
      <c r="K230" s="8"/>
      <c r="L230" s="8"/>
      <c r="M230" s="7"/>
    </row>
    <row r="231" spans="1:13" x14ac:dyDescent="0.3">
      <c r="A231" s="23"/>
      <c r="B231" s="5"/>
      <c r="C231" s="7"/>
      <c r="D231" s="6"/>
      <c r="E231" s="7"/>
      <c r="F231" s="7"/>
      <c r="G231" s="8"/>
      <c r="H231" s="8"/>
      <c r="I231" s="8"/>
      <c r="J231" s="8"/>
      <c r="K231" s="8"/>
      <c r="L231" s="8"/>
      <c r="M231" s="7"/>
    </row>
    <row r="232" spans="1:13" x14ac:dyDescent="0.3">
      <c r="A232" s="23"/>
      <c r="B232" s="5"/>
      <c r="C232" s="7"/>
      <c r="D232" s="6"/>
      <c r="E232" s="7"/>
      <c r="F232" s="7"/>
      <c r="G232" s="8"/>
      <c r="H232" s="8"/>
      <c r="I232" s="8"/>
      <c r="J232" s="8"/>
      <c r="K232" s="8"/>
      <c r="L232" s="8"/>
      <c r="M232" s="7"/>
    </row>
    <row r="233" spans="1:13" s="37" customFormat="1" x14ac:dyDescent="0.3">
      <c r="A233" s="34"/>
      <c r="B233" s="34"/>
      <c r="C233" s="35"/>
      <c r="D233" s="35"/>
      <c r="E233" s="35"/>
      <c r="F233" s="35"/>
      <c r="G233" s="36"/>
      <c r="H233" s="43">
        <f>SUM(H219)</f>
        <v>1</v>
      </c>
      <c r="I233" s="43">
        <f t="shared" ref="I233:L233" si="26">SUM(I219)</f>
        <v>0</v>
      </c>
      <c r="J233" s="43">
        <f t="shared" si="26"/>
        <v>0</v>
      </c>
      <c r="K233" s="43">
        <f t="shared" si="26"/>
        <v>0</v>
      </c>
      <c r="L233" s="43">
        <f t="shared" si="26"/>
        <v>0</v>
      </c>
      <c r="M233" s="35"/>
    </row>
    <row r="234" spans="1:13" x14ac:dyDescent="0.3">
      <c r="A234" s="5"/>
      <c r="B234" s="5"/>
      <c r="C234" s="7"/>
      <c r="D234" s="6"/>
      <c r="E234" s="7"/>
      <c r="F234" s="7"/>
      <c r="G234" s="8"/>
      <c r="H234" s="8"/>
      <c r="I234" s="8"/>
      <c r="J234" s="8"/>
      <c r="K234" s="8"/>
      <c r="L234" s="8"/>
      <c r="M234" s="7"/>
    </row>
    <row r="235" spans="1:13" ht="16.2" thickBot="1" x14ac:dyDescent="0.35">
      <c r="H235" s="32">
        <f>H233+H217+H213+H191+H148+H105+H71+H36</f>
        <v>142</v>
      </c>
      <c r="I235" s="32">
        <f>I233+I217+I213+I191+I148+I105+I71+I36</f>
        <v>0</v>
      </c>
      <c r="J235" s="32">
        <f>J233+J217+J213+J191+J148+J105+J71+J36</f>
        <v>0</v>
      </c>
      <c r="K235" s="32">
        <f>K233+K217+K213+K191+K148+K105+K71+K36</f>
        <v>0</v>
      </c>
      <c r="L235" s="32">
        <f>L233+L217+L213+L191+L148+L105+L71+L36</f>
        <v>21</v>
      </c>
    </row>
    <row r="236" spans="1:13" ht="15" thickTop="1" x14ac:dyDescent="0.3"/>
    <row r="237" spans="1:13" x14ac:dyDescent="0.3">
      <c r="F237" s="19" t="s">
        <v>40</v>
      </c>
      <c r="G237" s="19">
        <f>H235</f>
        <v>142</v>
      </c>
      <c r="H237" s="28">
        <f>G237/G242</f>
        <v>0.87116564417177911</v>
      </c>
    </row>
    <row r="238" spans="1:13" x14ac:dyDescent="0.3">
      <c r="F238" s="19" t="s">
        <v>41</v>
      </c>
      <c r="G238" s="19">
        <f>I235</f>
        <v>0</v>
      </c>
      <c r="H238" s="28">
        <f>G238/G242</f>
        <v>0</v>
      </c>
    </row>
    <row r="239" spans="1:13" x14ac:dyDescent="0.3">
      <c r="F239" s="19" t="s">
        <v>42</v>
      </c>
      <c r="G239" s="19">
        <f>J235</f>
        <v>0</v>
      </c>
      <c r="H239" s="28">
        <f>G239/G242</f>
        <v>0</v>
      </c>
    </row>
    <row r="240" spans="1:13" x14ac:dyDescent="0.3">
      <c r="F240" s="19" t="s">
        <v>6</v>
      </c>
      <c r="G240" s="19">
        <f>K235</f>
        <v>0</v>
      </c>
      <c r="H240" s="28">
        <f>G240/G242</f>
        <v>0</v>
      </c>
    </row>
    <row r="241" spans="6:8" x14ac:dyDescent="0.3">
      <c r="F241" s="19" t="s">
        <v>7</v>
      </c>
      <c r="G241" s="19">
        <f>L235</f>
        <v>21</v>
      </c>
      <c r="H241" s="28">
        <f>G241/G242</f>
        <v>0.12883435582822086</v>
      </c>
    </row>
    <row r="242" spans="6:8" ht="15" thickBot="1" x14ac:dyDescent="0.35">
      <c r="G242" s="2">
        <f>SUM(G237:G241)</f>
        <v>163</v>
      </c>
      <c r="H242" s="29">
        <f>SUM(H237:H241)</f>
        <v>1</v>
      </c>
    </row>
    <row r="243" spans="6:8" ht="15" thickTop="1" x14ac:dyDescent="0.3"/>
  </sheetData>
  <mergeCells count="5">
    <mergeCell ref="A2:C2"/>
    <mergeCell ref="A72:C72"/>
    <mergeCell ref="A106:C106"/>
    <mergeCell ref="A149:C149"/>
    <mergeCell ref="B1:C1"/>
  </mergeCells>
  <conditionalFormatting sqref="B223:C223 C222">
    <cfRule type="expression" dxfId="29" priority="38">
      <formula>$E222="Fail"</formula>
    </cfRule>
  </conditionalFormatting>
  <conditionalFormatting sqref="B221:C221">
    <cfRule type="expression" dxfId="28" priority="37">
      <formula>$E221="Fail"</formula>
    </cfRule>
  </conditionalFormatting>
  <conditionalFormatting sqref="D221">
    <cfRule type="expression" dxfId="27" priority="36">
      <formula>$E221="Fail"</formula>
    </cfRule>
  </conditionalFormatting>
  <conditionalFormatting sqref="B222">
    <cfRule type="expression" dxfId="26" priority="35">
      <formula>$E222="Fail"</formula>
    </cfRule>
  </conditionalFormatting>
  <conditionalFormatting sqref="C224">
    <cfRule type="expression" dxfId="25" priority="34">
      <formula>$E224="Fail"</formula>
    </cfRule>
  </conditionalFormatting>
  <conditionalFormatting sqref="C224">
    <cfRule type="expression" dxfId="24" priority="33">
      <formula>$E224="Fail"</formula>
    </cfRule>
  </conditionalFormatting>
  <conditionalFormatting sqref="B224">
    <cfRule type="expression" dxfId="23" priority="32">
      <formula>$E224="Fail"</formula>
    </cfRule>
  </conditionalFormatting>
  <conditionalFormatting sqref="A4 A191:A216 A6 A8 A10 A12">
    <cfRule type="expression" dxfId="22" priority="31">
      <formula>$F4="Fail"</formula>
    </cfRule>
  </conditionalFormatting>
  <conditionalFormatting sqref="A3">
    <cfRule type="expression" dxfId="21" priority="30">
      <formula>$F3="Fail"</formula>
    </cfRule>
  </conditionalFormatting>
  <conditionalFormatting sqref="A5 A7 A9 A11">
    <cfRule type="expression" dxfId="20" priority="29">
      <formula>$F5="Fail"</formula>
    </cfRule>
  </conditionalFormatting>
  <conditionalFormatting sqref="A13:A70">
    <cfRule type="expression" dxfId="19" priority="26">
      <formula>$F13="Fail"</formula>
    </cfRule>
  </conditionalFormatting>
  <conditionalFormatting sqref="A74">
    <cfRule type="expression" dxfId="18" priority="25">
      <formula>$F74="Fail"</formula>
    </cfRule>
  </conditionalFormatting>
  <conditionalFormatting sqref="A75:A105">
    <cfRule type="expression" dxfId="17" priority="24">
      <formula>$F75="Fail"</formula>
    </cfRule>
  </conditionalFormatting>
  <conditionalFormatting sqref="A108:A147">
    <cfRule type="expression" dxfId="16" priority="23">
      <formula>$F108="Fail"</formula>
    </cfRule>
  </conditionalFormatting>
  <conditionalFormatting sqref="A151:A160 A162 A164 A166 A168 A170 A172 A174 A176 A178 A180 A182 A184 A186 A188 A190">
    <cfRule type="expression" dxfId="15" priority="22">
      <formula>$F151="Fail"</formula>
    </cfRule>
  </conditionalFormatting>
  <conditionalFormatting sqref="A223:A224">
    <cfRule type="expression" dxfId="14" priority="19">
      <formula>$F223="Fail"</formula>
    </cfRule>
  </conditionalFormatting>
  <conditionalFormatting sqref="B228:C228 C227">
    <cfRule type="expression" dxfId="13" priority="18">
      <formula>$E227="Fail"</formula>
    </cfRule>
  </conditionalFormatting>
  <conditionalFormatting sqref="B226:C226">
    <cfRule type="expression" dxfId="12" priority="17">
      <formula>$E226="Fail"</formula>
    </cfRule>
  </conditionalFormatting>
  <conditionalFormatting sqref="D226">
    <cfRule type="expression" dxfId="11" priority="16">
      <formula>$E226="Fail"</formula>
    </cfRule>
  </conditionalFormatting>
  <conditionalFormatting sqref="B227">
    <cfRule type="expression" dxfId="10" priority="15">
      <formula>$E227="Fail"</formula>
    </cfRule>
  </conditionalFormatting>
  <conditionalFormatting sqref="C229">
    <cfRule type="expression" dxfId="9" priority="14">
      <formula>$E229="Fail"</formula>
    </cfRule>
  </conditionalFormatting>
  <conditionalFormatting sqref="C229">
    <cfRule type="expression" dxfId="8" priority="13">
      <formula>$E229="Fail"</formula>
    </cfRule>
  </conditionalFormatting>
  <conditionalFormatting sqref="B229">
    <cfRule type="expression" dxfId="7" priority="12">
      <formula>$E229="Fail"</formula>
    </cfRule>
  </conditionalFormatting>
  <conditionalFormatting sqref="A226:A229">
    <cfRule type="expression" dxfId="6" priority="10">
      <formula>$F226="Fail"</formula>
    </cfRule>
  </conditionalFormatting>
  <conditionalFormatting sqref="A161 A163 A165 A167 A169 A171 A173 A175 A177 A179 A181 A183 A185 A187 A189">
    <cfRule type="expression" dxfId="5" priority="8">
      <formula>$F161="Fail"</formula>
    </cfRule>
  </conditionalFormatting>
  <conditionalFormatting sqref="A218:A222">
    <cfRule type="expression" dxfId="4" priority="7">
      <formula>$F218="Fail"</formula>
    </cfRule>
  </conditionalFormatting>
  <dataValidations count="1">
    <dataValidation type="list" allowBlank="1" showInputMessage="1" showErrorMessage="1" sqref="G3:G71 G107:G148 G73:G105 G150:G234">
      <formula1>$H$1:$L$1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Button5_Click">
                <anchor moveWithCells="1">
                  <from>
                    <xdr:col>0</xdr:col>
                    <xdr:colOff>60960</xdr:colOff>
                    <xdr:row>0</xdr:row>
                    <xdr:rowOff>30480</xdr:rowOff>
                  </from>
                  <to>
                    <xdr:col>0</xdr:col>
                    <xdr:colOff>685800</xdr:colOff>
                    <xdr:row>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1]!Button5_Click">
                <anchor moveWithCells="1">
                  <from>
                    <xdr:col>0</xdr:col>
                    <xdr:colOff>60960</xdr:colOff>
                    <xdr:row>0</xdr:row>
                    <xdr:rowOff>30480</xdr:rowOff>
                  </from>
                  <to>
                    <xdr:col>0</xdr:col>
                    <xdr:colOff>685800</xdr:colOff>
                    <xdr:row>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1]!Button5_Click">
                <anchor moveWithCells="1">
                  <from>
                    <xdr:col>0</xdr:col>
                    <xdr:colOff>60960</xdr:colOff>
                    <xdr:row>0</xdr:row>
                    <xdr:rowOff>30480</xdr:rowOff>
                  </from>
                  <to>
                    <xdr:col>0</xdr:col>
                    <xdr:colOff>685800</xdr:colOff>
                    <xdr:row>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8"/>
  <sheetViews>
    <sheetView workbookViewId="0">
      <selection activeCell="D13" sqref="D13"/>
    </sheetView>
  </sheetViews>
  <sheetFormatPr defaultRowHeight="14.4" x14ac:dyDescent="0.3"/>
  <cols>
    <col min="2" max="2" width="41" customWidth="1"/>
    <col min="3" max="3" width="38.33203125" customWidth="1"/>
    <col min="4" max="4" width="29.44140625" customWidth="1"/>
    <col min="6" max="6" width="8.88671875" bestFit="1" customWidth="1"/>
  </cols>
  <sheetData>
    <row r="1" spans="1:6" ht="15" x14ac:dyDescent="0.25">
      <c r="A1" t="s">
        <v>93</v>
      </c>
    </row>
    <row r="3" spans="1:6" ht="15" x14ac:dyDescent="0.25">
      <c r="A3" s="27"/>
      <c r="B3" s="22" t="s">
        <v>97</v>
      </c>
      <c r="C3" s="16"/>
      <c r="D3" s="17"/>
      <c r="E3" s="16"/>
      <c r="F3" s="16"/>
    </row>
    <row r="4" spans="1:6" ht="25.5" x14ac:dyDescent="0.25">
      <c r="A4" s="23">
        <v>1.1000000000000001</v>
      </c>
      <c r="B4" s="5" t="s">
        <v>94</v>
      </c>
      <c r="C4" s="7" t="s">
        <v>95</v>
      </c>
      <c r="D4" s="6" t="s">
        <v>96</v>
      </c>
      <c r="E4" s="7"/>
      <c r="F4" s="7"/>
    </row>
    <row r="5" spans="1:6" ht="15" x14ac:dyDescent="0.25">
      <c r="A5" s="5"/>
      <c r="B5" s="5"/>
      <c r="C5" s="7"/>
      <c r="D5" s="6"/>
      <c r="E5" s="7"/>
      <c r="F5" s="7"/>
    </row>
    <row r="6" spans="1:6" ht="15" x14ac:dyDescent="0.25">
      <c r="A6" s="5"/>
      <c r="B6" s="5"/>
      <c r="C6" s="7"/>
      <c r="D6" s="6"/>
      <c r="E6" s="7"/>
      <c r="F6" s="7"/>
    </row>
    <row r="8" spans="1:6" ht="15" x14ac:dyDescent="0.25">
      <c r="A8" s="42" t="s">
        <v>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Summary</vt:lpstr>
      <vt:lpstr>Test Case</vt:lpstr>
      <vt:lpstr>Check Funding level</vt:lpstr>
      <vt:lpstr>Chart1</vt:lpstr>
    </vt:vector>
  </TitlesOfParts>
  <Company>Sanlam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Jannie Basson (SEB)</dc:creator>
  <cp:lastModifiedBy>Laurentia Jantjies (SEB)</cp:lastModifiedBy>
  <dcterms:created xsi:type="dcterms:W3CDTF">2014-07-31T09:50:05Z</dcterms:created>
  <dcterms:modified xsi:type="dcterms:W3CDTF">2014-12-04T12:47:35Z</dcterms:modified>
</cp:coreProperties>
</file>